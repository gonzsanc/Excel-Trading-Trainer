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test\"/>
    </mc:Choice>
  </mc:AlternateContent>
  <bookViews>
    <workbookView xWindow="0" yWindow="0" windowWidth="16560" windowHeight="6371"/>
  </bookViews>
  <sheets>
    <sheet name="iterator" sheetId="1" r:id="rId1"/>
    <sheet name="summary" sheetId="3" state="hidden" r:id="rId2"/>
    <sheet name="data" sheetId="7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6" i="1" l="1"/>
  <c r="BT35" i="1"/>
  <c r="BT34" i="1"/>
  <c r="BT33" i="1"/>
  <c r="BT32" i="1"/>
  <c r="BT31" i="1"/>
  <c r="BT30" i="1"/>
  <c r="BT29" i="1"/>
  <c r="BT28" i="1"/>
  <c r="BT27" i="1"/>
  <c r="BT26" i="1"/>
  <c r="BT25" i="1"/>
  <c r="BT24" i="1"/>
  <c r="BT23" i="1"/>
  <c r="BT22" i="1"/>
  <c r="BT21" i="1"/>
  <c r="BT20" i="1"/>
  <c r="BT19" i="1"/>
  <c r="BT18" i="1"/>
  <c r="BT17" i="1"/>
  <c r="BT16" i="1"/>
  <c r="BT15" i="1"/>
  <c r="BT14" i="1"/>
  <c r="BT13" i="1" l="1"/>
  <c r="BT12" i="1" l="1"/>
  <c r="BT11" i="1"/>
  <c r="BT10" i="1"/>
  <c r="BT9" i="1"/>
  <c r="BT8" i="1"/>
  <c r="BT7" i="1"/>
  <c r="BT6" i="1"/>
  <c r="BT5" i="1"/>
  <c r="BT4" i="1"/>
  <c r="BT3" i="1"/>
  <c r="X4" i="4" l="1"/>
  <c r="BE28" i="1" l="1"/>
  <c r="BD28" i="1"/>
  <c r="BF28" i="1" l="1"/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<sst xmlns="http://schemas.openxmlformats.org/spreadsheetml/2006/main" count="4763" uniqueCount="4645">
  <si>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</si>
  <si>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</si>
  <si>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</si>
  <si>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</si>
  <si>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</si>
  <si>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</si>
  <si>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</si>
  <si>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</si>
  <si>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</si>
  <si>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</si>
  <si>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</si>
  <si>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</si>
  <si>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</si>
  <si>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</si>
  <si>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</si>
  <si>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</si>
  <si>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</si>
  <si>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</si>
  <si>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</si>
  <si>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</si>
  <si>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</si>
  <si>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</si>
  <si>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</si>
  <si>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</si>
  <si>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</si>
  <si>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</si>
  <si>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</si>
  <si>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</si>
  <si>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</si>
  <si>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</si>
  <si>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</si>
  <si>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</si>
  <si>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</si>
  <si>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</si>
  <si>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</si>
  <si>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</si>
  <si>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</si>
  <si>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</si>
  <si>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</si>
  <si>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</si>
  <si>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</si>
  <si>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</si>
  <si>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</si>
  <si>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</si>
  <si>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</si>
  <si>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</si>
  <si>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</si>
  <si>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</si>
  <si>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</si>
  <si>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</si>
  <si>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</si>
  <si>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</si>
  <si>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</si>
  <si>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</si>
  <si>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</si>
  <si>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</si>
  <si>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</si>
  <si>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</si>
  <si>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</si>
  <si>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</si>
  <si>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</si>
  <si>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</si>
  <si>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</si>
  <si>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</si>
  <si>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</si>
  <si>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</si>
  <si>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</si>
  <si>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</si>
  <si>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</si>
  <si>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</si>
  <si>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</si>
  <si>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</si>
  <si>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</si>
  <si>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</si>
  <si>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</si>
  <si>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</si>
  <si>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</si>
  <si>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</si>
  <si>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</si>
  <si>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</si>
  <si>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</si>
  <si>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</si>
  <si>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</si>
  <si>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</si>
  <si>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</si>
  <si>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</si>
  <si>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</si>
  <si>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</si>
  <si>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</si>
  <si>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</si>
  <si>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</si>
  <si>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</si>
  <si>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</si>
  <si>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</si>
  <si>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</si>
  <si>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</si>
  <si>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</si>
  <si>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</si>
  <si>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</si>
  <si>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</si>
  <si>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</si>
  <si>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</si>
  <si>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</si>
  <si>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</si>
  <si>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</si>
  <si>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</si>
  <si>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</si>
  <si>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</si>
  <si>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</si>
  <si>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</si>
  <si>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</si>
  <si>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</si>
  <si>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</si>
  <si>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</si>
  <si>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</si>
  <si>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</si>
  <si>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</si>
  <si>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</si>
  <si>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</si>
  <si>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</si>
  <si>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</si>
  <si>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</si>
  <si>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</si>
  <si>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</si>
  <si>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1999-12-31</t>
  </si>
  <si>
    <t>2000-10-12</t>
  </si>
  <si>
    <t>Volume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</si>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</sst>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81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5" fillId="7" borderId="22" xfId="0" applyNumberFormat="1" applyFont="1" applyFill="1" applyBorder="1" applyAlignment="1">
      <alignment horizontal="center"/>
    </xf>
    <xf numFmtId="165" fontId="5" fillId="7" borderId="22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24" xfId="0" applyFont="1" applyFill="1" applyBorder="1" applyAlignment="1">
      <alignment horizontal="center"/>
    </xf>
    <xf numFmtId="10" fontId="7" fillId="9" borderId="20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5" fontId="5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49" fontId="0" fillId="0" borderId="29" xfId="0" applyNumberFormat="1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8" fillId="10" borderId="27" xfId="0" applyNumberFormat="1" applyFont="1" applyFill="1" applyBorder="1" applyAlignment="1">
      <alignment horizontal="center"/>
    </xf>
    <xf numFmtId="164" fontId="8" fillId="10" borderId="27" xfId="0" applyNumberFormat="1" applyFont="1" applyFill="1" applyBorder="1" applyAlignment="1">
      <alignment horizontal="center"/>
    </xf>
    <xf numFmtId="164" fontId="0" fillId="0" borderId="29" xfId="0" applyNumberFormat="1" applyFont="1" applyBorder="1" applyAlignment="1">
      <alignment horizontal="center"/>
    </xf>
    <xf numFmtId="164" fontId="0" fillId="0" borderId="0" xfId="0" applyNumberFormat="1"/>
    <xf numFmtId="1" fontId="8" fillId="10" borderId="28" xfId="0" applyNumberFormat="1" applyFont="1" applyFill="1" applyBorder="1" applyAlignment="1">
      <alignment horizontal="center"/>
    </xf>
    <xf numFmtId="1" fontId="0" fillId="0" borderId="29" xfId="0" applyNumberFormat="1" applyFont="1" applyBorder="1" applyAlignment="1">
      <alignment horizontal="center"/>
    </xf>
    <xf numFmtId="1" fontId="0" fillId="0" borderId="0" xfId="0" applyNumberFormat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data!$B$257:$B$357</c:f>
              <c:numCache>
                <c:formatCode>0.0000</c:formatCode>
                <c:ptCount val="101"/>
                <c:pt idx="0">
                  <c:v>27.663955999999999</c:v>
                </c:pt>
                <c:pt idx="1">
                  <c:v>27.618228999999999</c:v>
                </c:pt>
                <c:pt idx="2">
                  <c:v>27.343876000000002</c:v>
                </c:pt>
                <c:pt idx="3">
                  <c:v>27.115247999999902</c:v>
                </c:pt>
                <c:pt idx="4">
                  <c:v>27.115247999999902</c:v>
                </c:pt>
                <c:pt idx="5">
                  <c:v>26.840895</c:v>
                </c:pt>
                <c:pt idx="6">
                  <c:v>26.292189</c:v>
                </c:pt>
                <c:pt idx="7">
                  <c:v>26.703717999999999</c:v>
                </c:pt>
                <c:pt idx="8">
                  <c:v>26.155011999999999</c:v>
                </c:pt>
                <c:pt idx="9">
                  <c:v>26.109286999999998</c:v>
                </c:pt>
                <c:pt idx="10">
                  <c:v>26.38364</c:v>
                </c:pt>
                <c:pt idx="11">
                  <c:v>26.429365000000001</c:v>
                </c:pt>
                <c:pt idx="12">
                  <c:v>26.520816999999901</c:v>
                </c:pt>
                <c:pt idx="13">
                  <c:v>26.566541999999998</c:v>
                </c:pt>
                <c:pt idx="14">
                  <c:v>26.520816999999901</c:v>
                </c:pt>
                <c:pt idx="15">
                  <c:v>26.475090000000002</c:v>
                </c:pt>
                <c:pt idx="16">
                  <c:v>26.476918999999999</c:v>
                </c:pt>
                <c:pt idx="17">
                  <c:v>26.535447999999999</c:v>
                </c:pt>
                <c:pt idx="18">
                  <c:v>26.630558000000001</c:v>
                </c:pt>
                <c:pt idx="19">
                  <c:v>26.250121999999902</c:v>
                </c:pt>
                <c:pt idx="20">
                  <c:v>26.411076000000001</c:v>
                </c:pt>
                <c:pt idx="21">
                  <c:v>26.842724</c:v>
                </c:pt>
                <c:pt idx="22">
                  <c:v>26.703717999999999</c:v>
                </c:pt>
                <c:pt idx="23">
                  <c:v>26.484235999999999</c:v>
                </c:pt>
                <c:pt idx="24">
                  <c:v>26.586659999999998</c:v>
                </c:pt>
                <c:pt idx="25">
                  <c:v>26.557397999999999</c:v>
                </c:pt>
                <c:pt idx="26">
                  <c:v>26.520816999999901</c:v>
                </c:pt>
                <c:pt idx="27">
                  <c:v>26.374495</c:v>
                </c:pt>
                <c:pt idx="28">
                  <c:v>26.374495</c:v>
                </c:pt>
                <c:pt idx="29">
                  <c:v>26.425706999999999</c:v>
                </c:pt>
                <c:pt idx="30">
                  <c:v>26.411076000000001</c:v>
                </c:pt>
                <c:pt idx="31">
                  <c:v>26.411076000000001</c:v>
                </c:pt>
                <c:pt idx="32">
                  <c:v>26.228171999999901</c:v>
                </c:pt>
                <c:pt idx="33">
                  <c:v>25.825787999999999</c:v>
                </c:pt>
                <c:pt idx="34">
                  <c:v>25.291713999999999</c:v>
                </c:pt>
                <c:pt idx="35">
                  <c:v>25.716047</c:v>
                </c:pt>
                <c:pt idx="36">
                  <c:v>26.667138999999999</c:v>
                </c:pt>
                <c:pt idx="37">
                  <c:v>27.113420000000001</c:v>
                </c:pt>
                <c:pt idx="38">
                  <c:v>27.662127000000002</c:v>
                </c:pt>
                <c:pt idx="39">
                  <c:v>27.910872999999999</c:v>
                </c:pt>
                <c:pt idx="40">
                  <c:v>28.196200999999999</c:v>
                </c:pt>
                <c:pt idx="41">
                  <c:v>28.357154999999999</c:v>
                </c:pt>
                <c:pt idx="42">
                  <c:v>28.196200999999999</c:v>
                </c:pt>
                <c:pt idx="43">
                  <c:v>27.801131999999999</c:v>
                </c:pt>
                <c:pt idx="44">
                  <c:v>27.801131999999999</c:v>
                </c:pt>
                <c:pt idx="45">
                  <c:v>27.588964000000001</c:v>
                </c:pt>
                <c:pt idx="46">
                  <c:v>27.362166999999999</c:v>
                </c:pt>
                <c:pt idx="47">
                  <c:v>27.406063</c:v>
                </c:pt>
                <c:pt idx="48">
                  <c:v>26.740299</c:v>
                </c:pt>
                <c:pt idx="49">
                  <c:v>26.337914000000001</c:v>
                </c:pt>
                <c:pt idx="50">
                  <c:v>26.630558000000001</c:v>
                </c:pt>
                <c:pt idx="51">
                  <c:v>27.106103999999998</c:v>
                </c:pt>
                <c:pt idx="52">
                  <c:v>27.054891999999999</c:v>
                </c:pt>
                <c:pt idx="53">
                  <c:v>26.411076000000001</c:v>
                </c:pt>
                <c:pt idx="54">
                  <c:v>25.972110999999899</c:v>
                </c:pt>
                <c:pt idx="55">
                  <c:v>25.789207000000001</c:v>
                </c:pt>
                <c:pt idx="56">
                  <c:v>26.411076000000001</c:v>
                </c:pt>
                <c:pt idx="57">
                  <c:v>26.447654999999902</c:v>
                </c:pt>
                <c:pt idx="58">
                  <c:v>25.93553</c:v>
                </c:pt>
                <c:pt idx="59">
                  <c:v>26.228171999999901</c:v>
                </c:pt>
                <c:pt idx="60">
                  <c:v>26.506184000000001</c:v>
                </c:pt>
                <c:pt idx="61">
                  <c:v>26.776879999999998</c:v>
                </c:pt>
                <c:pt idx="62">
                  <c:v>26.264752999999999</c:v>
                </c:pt>
                <c:pt idx="63">
                  <c:v>26.191593000000001</c:v>
                </c:pt>
                <c:pt idx="64">
                  <c:v>26.667138999999999</c:v>
                </c:pt>
                <c:pt idx="65">
                  <c:v>26.155011999999999</c:v>
                </c:pt>
                <c:pt idx="66">
                  <c:v>26.045271</c:v>
                </c:pt>
                <c:pt idx="67">
                  <c:v>26.008689999999898</c:v>
                </c:pt>
                <c:pt idx="68">
                  <c:v>25.591673</c:v>
                </c:pt>
                <c:pt idx="69">
                  <c:v>25.445353000000001</c:v>
                </c:pt>
                <c:pt idx="70">
                  <c:v>25.350242999999999</c:v>
                </c:pt>
                <c:pt idx="71">
                  <c:v>25.606306</c:v>
                </c:pt>
                <c:pt idx="72">
                  <c:v>25.774576</c:v>
                </c:pt>
                <c:pt idx="73">
                  <c:v>25.825787999999999</c:v>
                </c:pt>
                <c:pt idx="74">
                  <c:v>25.825787999999999</c:v>
                </c:pt>
                <c:pt idx="75">
                  <c:v>25.664835</c:v>
                </c:pt>
                <c:pt idx="76">
                  <c:v>25.752625999999999</c:v>
                </c:pt>
                <c:pt idx="77">
                  <c:v>25.723364</c:v>
                </c:pt>
                <c:pt idx="78">
                  <c:v>26.374495</c:v>
                </c:pt>
                <c:pt idx="79">
                  <c:v>26.776879999999998</c:v>
                </c:pt>
                <c:pt idx="80">
                  <c:v>26.871988000000002</c:v>
                </c:pt>
                <c:pt idx="81">
                  <c:v>27.032941999999998</c:v>
                </c:pt>
                <c:pt idx="82">
                  <c:v>26.842724</c:v>
                </c:pt>
                <c:pt idx="83">
                  <c:v>26.703717999999999</c:v>
                </c:pt>
                <c:pt idx="84">
                  <c:v>26.630558000000001</c:v>
                </c:pt>
                <c:pt idx="85">
                  <c:v>26.667138999999999</c:v>
                </c:pt>
                <c:pt idx="86">
                  <c:v>26.447654999999902</c:v>
                </c:pt>
                <c:pt idx="87">
                  <c:v>26.374495</c:v>
                </c:pt>
                <c:pt idx="88">
                  <c:v>26.337914000000001</c:v>
                </c:pt>
                <c:pt idx="89">
                  <c:v>26.323281999999999</c:v>
                </c:pt>
                <c:pt idx="90">
                  <c:v>26.337914000000001</c:v>
                </c:pt>
                <c:pt idx="91">
                  <c:v>26.411076000000001</c:v>
                </c:pt>
                <c:pt idx="92">
                  <c:v>26.776879999999998</c:v>
                </c:pt>
                <c:pt idx="93">
                  <c:v>26.776879999999998</c:v>
                </c:pt>
                <c:pt idx="94">
                  <c:v>26.593976999999999</c:v>
                </c:pt>
                <c:pt idx="95">
                  <c:v>26.586659999999998</c:v>
                </c:pt>
                <c:pt idx="96">
                  <c:v>26.879304999999999</c:v>
                </c:pt>
                <c:pt idx="97">
                  <c:v>27.201211999999899</c:v>
                </c:pt>
                <c:pt idx="98">
                  <c:v>27.435327999999998</c:v>
                </c:pt>
                <c:pt idx="99">
                  <c:v>27.325585999999898</c:v>
                </c:pt>
                <c:pt idx="100">
                  <c:v>27.552384999999902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data!$A$257:$A$357</c15:sqref>
                        </c15:formulaRef>
                      </c:ext>
                    </c:extLst>
                    <c:strCache>
                      <c:ptCount val="101"/>
                      <c:pt idx="0">
                        <c:v>2001-01-04</c:v>
                      </c:pt>
                      <c:pt idx="1">
                        <c:v>2001-01-05</c:v>
                      </c:pt>
                      <c:pt idx="2">
                        <c:v>2001-01-08</c:v>
                      </c:pt>
                      <c:pt idx="3">
                        <c:v>2001-01-09</c:v>
                      </c:pt>
                      <c:pt idx="4">
                        <c:v>2001-01-10</c:v>
                      </c:pt>
                      <c:pt idx="5">
                        <c:v>2001-01-11</c:v>
                      </c:pt>
                      <c:pt idx="6">
                        <c:v>2001-01-12</c:v>
                      </c:pt>
                      <c:pt idx="7">
                        <c:v>2001-01-16</c:v>
                      </c:pt>
                      <c:pt idx="8">
                        <c:v>2001-01-17</c:v>
                      </c:pt>
                      <c:pt idx="9">
                        <c:v>2001-01-18</c:v>
                      </c:pt>
                      <c:pt idx="10">
                        <c:v>2001-01-19</c:v>
                      </c:pt>
                      <c:pt idx="11">
                        <c:v>2001-01-22</c:v>
                      </c:pt>
                      <c:pt idx="12">
                        <c:v>2001-01-23</c:v>
                      </c:pt>
                      <c:pt idx="13">
                        <c:v>2001-01-24</c:v>
                      </c:pt>
                      <c:pt idx="14">
                        <c:v>2001-01-25</c:v>
                      </c:pt>
                      <c:pt idx="15">
                        <c:v>2001-01-26</c:v>
                      </c:pt>
                      <c:pt idx="16">
                        <c:v>2001-01-29</c:v>
                      </c:pt>
                      <c:pt idx="17">
                        <c:v>2001-01-30</c:v>
                      </c:pt>
                      <c:pt idx="18">
                        <c:v>2001-01-31</c:v>
                      </c:pt>
                      <c:pt idx="19">
                        <c:v>2001-02-01</c:v>
                      </c:pt>
                      <c:pt idx="20">
                        <c:v>2001-02-02</c:v>
                      </c:pt>
                      <c:pt idx="21">
                        <c:v>2001-02-05</c:v>
                      </c:pt>
                      <c:pt idx="22">
                        <c:v>2001-02-06</c:v>
                      </c:pt>
                      <c:pt idx="23">
                        <c:v>2001-02-07</c:v>
                      </c:pt>
                      <c:pt idx="24">
                        <c:v>2001-02-08</c:v>
                      </c:pt>
                      <c:pt idx="25">
                        <c:v>2001-02-09</c:v>
                      </c:pt>
                      <c:pt idx="26">
                        <c:v>2001-02-12</c:v>
                      </c:pt>
                      <c:pt idx="27">
                        <c:v>2001-02-13</c:v>
                      </c:pt>
                      <c:pt idx="28">
                        <c:v>2001-02-14</c:v>
                      </c:pt>
                      <c:pt idx="29">
                        <c:v>2001-02-15</c:v>
                      </c:pt>
                      <c:pt idx="30">
                        <c:v>2001-02-16</c:v>
                      </c:pt>
                      <c:pt idx="31">
                        <c:v>2001-02-20</c:v>
                      </c:pt>
                      <c:pt idx="32">
                        <c:v>2001-02-21</c:v>
                      </c:pt>
                      <c:pt idx="33">
                        <c:v>2001-02-22</c:v>
                      </c:pt>
                      <c:pt idx="34">
                        <c:v>2001-02-23</c:v>
                      </c:pt>
                      <c:pt idx="35">
                        <c:v>2001-02-26</c:v>
                      </c:pt>
                      <c:pt idx="36">
                        <c:v>2001-02-27</c:v>
                      </c:pt>
                      <c:pt idx="37">
                        <c:v>2001-02-28</c:v>
                      </c:pt>
                      <c:pt idx="38">
                        <c:v>2001-03-01</c:v>
                      </c:pt>
                      <c:pt idx="39">
                        <c:v>2001-03-02</c:v>
                      </c:pt>
                      <c:pt idx="40">
                        <c:v>2001-03-05</c:v>
                      </c:pt>
                      <c:pt idx="41">
                        <c:v>2001-03-06</c:v>
                      </c:pt>
                      <c:pt idx="42">
                        <c:v>2001-03-07</c:v>
                      </c:pt>
                      <c:pt idx="43">
                        <c:v>2001-03-08</c:v>
                      </c:pt>
                      <c:pt idx="44">
                        <c:v>2001-03-09</c:v>
                      </c:pt>
                      <c:pt idx="45">
                        <c:v>2001-03-12</c:v>
                      </c:pt>
                      <c:pt idx="46">
                        <c:v>2001-03-13</c:v>
                      </c:pt>
                      <c:pt idx="47">
                        <c:v>2001-03-14</c:v>
                      </c:pt>
                      <c:pt idx="48">
                        <c:v>2001-03-15</c:v>
                      </c:pt>
                      <c:pt idx="49">
                        <c:v>2001-03-16</c:v>
                      </c:pt>
                      <c:pt idx="50">
                        <c:v>2001-03-19</c:v>
                      </c:pt>
                      <c:pt idx="51">
                        <c:v>2001-03-20</c:v>
                      </c:pt>
                      <c:pt idx="52">
                        <c:v>2001-03-21</c:v>
                      </c:pt>
                      <c:pt idx="53">
                        <c:v>2001-03-22</c:v>
                      </c:pt>
                      <c:pt idx="54">
                        <c:v>2001-03-23</c:v>
                      </c:pt>
                      <c:pt idx="55">
                        <c:v>2001-03-26</c:v>
                      </c:pt>
                      <c:pt idx="56">
                        <c:v>2001-03-27</c:v>
                      </c:pt>
                      <c:pt idx="57">
                        <c:v>2001-03-28</c:v>
                      </c:pt>
                      <c:pt idx="58">
                        <c:v>2001-03-29</c:v>
                      </c:pt>
                      <c:pt idx="59">
                        <c:v>2001-03-30</c:v>
                      </c:pt>
                      <c:pt idx="60">
                        <c:v>2001-04-02</c:v>
                      </c:pt>
                      <c:pt idx="61">
                        <c:v>2001-04-03</c:v>
                      </c:pt>
                      <c:pt idx="62">
                        <c:v>2001-04-04</c:v>
                      </c:pt>
                      <c:pt idx="63">
                        <c:v>2001-04-05</c:v>
                      </c:pt>
                      <c:pt idx="64">
                        <c:v>2001-04-06</c:v>
                      </c:pt>
                      <c:pt idx="65">
                        <c:v>2001-04-09</c:v>
                      </c:pt>
                      <c:pt idx="66">
                        <c:v>2001-04-10</c:v>
                      </c:pt>
                      <c:pt idx="67">
                        <c:v>2001-04-11</c:v>
                      </c:pt>
                      <c:pt idx="68">
                        <c:v>2001-04-12</c:v>
                      </c:pt>
                      <c:pt idx="69">
                        <c:v>2001-04-16</c:v>
                      </c:pt>
                      <c:pt idx="70">
                        <c:v>2001-04-17</c:v>
                      </c:pt>
                      <c:pt idx="71">
                        <c:v>2001-04-18</c:v>
                      </c:pt>
                      <c:pt idx="72">
                        <c:v>2001-04-19</c:v>
                      </c:pt>
                      <c:pt idx="73">
                        <c:v>2001-04-20</c:v>
                      </c:pt>
                      <c:pt idx="74">
                        <c:v>2001-04-23</c:v>
                      </c:pt>
                      <c:pt idx="75">
                        <c:v>2001-04-24</c:v>
                      </c:pt>
                      <c:pt idx="76">
                        <c:v>2001-04-25</c:v>
                      </c:pt>
                      <c:pt idx="77">
                        <c:v>2001-04-26</c:v>
                      </c:pt>
                      <c:pt idx="78">
                        <c:v>2001-04-27</c:v>
                      </c:pt>
                      <c:pt idx="79">
                        <c:v>2001-04-30</c:v>
                      </c:pt>
                      <c:pt idx="80">
                        <c:v>2001-05-01</c:v>
                      </c:pt>
                      <c:pt idx="81">
                        <c:v>2001-05-02</c:v>
                      </c:pt>
                      <c:pt idx="82">
                        <c:v>2001-05-03</c:v>
                      </c:pt>
                      <c:pt idx="83">
                        <c:v>2001-05-04</c:v>
                      </c:pt>
                      <c:pt idx="84">
                        <c:v>2001-05-07</c:v>
                      </c:pt>
                      <c:pt idx="85">
                        <c:v>2001-05-08</c:v>
                      </c:pt>
                      <c:pt idx="86">
                        <c:v>2001-05-09</c:v>
                      </c:pt>
                      <c:pt idx="87">
                        <c:v>2001-05-10</c:v>
                      </c:pt>
                      <c:pt idx="88">
                        <c:v>2001-05-11</c:v>
                      </c:pt>
                      <c:pt idx="89">
                        <c:v>2001-05-14</c:v>
                      </c:pt>
                      <c:pt idx="90">
                        <c:v>2001-05-15</c:v>
                      </c:pt>
                      <c:pt idx="91">
                        <c:v>2001-05-16</c:v>
                      </c:pt>
                      <c:pt idx="92">
                        <c:v>2001-05-17</c:v>
                      </c:pt>
                      <c:pt idx="93">
                        <c:v>2001-05-18</c:v>
                      </c:pt>
                      <c:pt idx="94">
                        <c:v>2001-05-21</c:v>
                      </c:pt>
                      <c:pt idx="95">
                        <c:v>2001-05-22</c:v>
                      </c:pt>
                      <c:pt idx="96">
                        <c:v>2001-05-23</c:v>
                      </c:pt>
                      <c:pt idx="97">
                        <c:v>2001-05-24</c:v>
                      </c:pt>
                      <c:pt idx="98">
                        <c:v>2001-05-25</c:v>
                      </c:pt>
                      <c:pt idx="99">
                        <c:v>2001-05-29</c:v>
                      </c:pt>
                      <c:pt idx="10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data!$C$257:$C$357</c:f>
              <c:numCache>
                <c:formatCode>0.0000</c:formatCode>
                <c:ptCount val="101"/>
                <c:pt idx="0">
                  <c:v>27.709681</c:v>
                </c:pt>
                <c:pt idx="1">
                  <c:v>27.618228999999999</c:v>
                </c:pt>
                <c:pt idx="2">
                  <c:v>27.481051999999998</c:v>
                </c:pt>
                <c:pt idx="3">
                  <c:v>27.343876000000002</c:v>
                </c:pt>
                <c:pt idx="4">
                  <c:v>27.115247999999902</c:v>
                </c:pt>
                <c:pt idx="5">
                  <c:v>26.840895</c:v>
                </c:pt>
                <c:pt idx="6">
                  <c:v>26.520816999999901</c:v>
                </c:pt>
                <c:pt idx="7">
                  <c:v>26.703717999999999</c:v>
                </c:pt>
                <c:pt idx="8">
                  <c:v>26.155011999999999</c:v>
                </c:pt>
                <c:pt idx="9">
                  <c:v>26.475090000000002</c:v>
                </c:pt>
                <c:pt idx="10">
                  <c:v>26.703717999999999</c:v>
                </c:pt>
                <c:pt idx="11">
                  <c:v>26.612268</c:v>
                </c:pt>
                <c:pt idx="12">
                  <c:v>26.657992999999902</c:v>
                </c:pt>
                <c:pt idx="13">
                  <c:v>26.566541999999998</c:v>
                </c:pt>
                <c:pt idx="14">
                  <c:v>26.520816999999901</c:v>
                </c:pt>
                <c:pt idx="15">
                  <c:v>26.475090000000002</c:v>
                </c:pt>
                <c:pt idx="16">
                  <c:v>26.557397999999999</c:v>
                </c:pt>
                <c:pt idx="17">
                  <c:v>26.630558000000001</c:v>
                </c:pt>
                <c:pt idx="18">
                  <c:v>26.996362999999999</c:v>
                </c:pt>
                <c:pt idx="19">
                  <c:v>26.557397999999999</c:v>
                </c:pt>
                <c:pt idx="20">
                  <c:v>27.069522999999901</c:v>
                </c:pt>
                <c:pt idx="21">
                  <c:v>26.842724</c:v>
                </c:pt>
                <c:pt idx="22">
                  <c:v>26.703717999999999</c:v>
                </c:pt>
                <c:pt idx="23">
                  <c:v>26.740299</c:v>
                </c:pt>
                <c:pt idx="24">
                  <c:v>26.601293999999999</c:v>
                </c:pt>
                <c:pt idx="25">
                  <c:v>26.623240999999901</c:v>
                </c:pt>
                <c:pt idx="26">
                  <c:v>26.557397999999999</c:v>
                </c:pt>
                <c:pt idx="27">
                  <c:v>26.484235999999999</c:v>
                </c:pt>
                <c:pt idx="28">
                  <c:v>26.454971</c:v>
                </c:pt>
                <c:pt idx="29">
                  <c:v>26.425706999999999</c:v>
                </c:pt>
                <c:pt idx="30">
                  <c:v>26.557397999999999</c:v>
                </c:pt>
                <c:pt idx="31">
                  <c:v>26.411076000000001</c:v>
                </c:pt>
                <c:pt idx="32">
                  <c:v>26.301334000000001</c:v>
                </c:pt>
                <c:pt idx="33">
                  <c:v>25.898948999999899</c:v>
                </c:pt>
                <c:pt idx="34">
                  <c:v>26.528133</c:v>
                </c:pt>
                <c:pt idx="35">
                  <c:v>26.776879999999998</c:v>
                </c:pt>
                <c:pt idx="36">
                  <c:v>27.1719469999999</c:v>
                </c:pt>
                <c:pt idx="37">
                  <c:v>28.057196000000001</c:v>
                </c:pt>
                <c:pt idx="38">
                  <c:v>27.910872999999999</c:v>
                </c:pt>
                <c:pt idx="39">
                  <c:v>28.679061999999998</c:v>
                </c:pt>
                <c:pt idx="40">
                  <c:v>28.422998</c:v>
                </c:pt>
                <c:pt idx="41">
                  <c:v>28.386419</c:v>
                </c:pt>
                <c:pt idx="42">
                  <c:v>28.196200999999999</c:v>
                </c:pt>
                <c:pt idx="43">
                  <c:v>27.801131999999999</c:v>
                </c:pt>
                <c:pt idx="44">
                  <c:v>27.801131999999999</c:v>
                </c:pt>
                <c:pt idx="45">
                  <c:v>27.618228999999999</c:v>
                </c:pt>
                <c:pt idx="46">
                  <c:v>27.662127000000002</c:v>
                </c:pt>
                <c:pt idx="47">
                  <c:v>27.435327999999998</c:v>
                </c:pt>
                <c:pt idx="48">
                  <c:v>27.054891999999999</c:v>
                </c:pt>
                <c:pt idx="49">
                  <c:v>26.703717999999999</c:v>
                </c:pt>
                <c:pt idx="50">
                  <c:v>27.208528999999999</c:v>
                </c:pt>
                <c:pt idx="51">
                  <c:v>27.6913909999999</c:v>
                </c:pt>
                <c:pt idx="52">
                  <c:v>27.215845000000002</c:v>
                </c:pt>
                <c:pt idx="53">
                  <c:v>26.484235999999999</c:v>
                </c:pt>
                <c:pt idx="54">
                  <c:v>26.630558000000001</c:v>
                </c:pt>
                <c:pt idx="55">
                  <c:v>26.557397999999999</c:v>
                </c:pt>
                <c:pt idx="56">
                  <c:v>26.557397999999999</c:v>
                </c:pt>
                <c:pt idx="57">
                  <c:v>26.447654999999902</c:v>
                </c:pt>
                <c:pt idx="58">
                  <c:v>26.337914000000001</c:v>
                </c:pt>
                <c:pt idx="59">
                  <c:v>26.703717999999999</c:v>
                </c:pt>
                <c:pt idx="60">
                  <c:v>26.886621000000002</c:v>
                </c:pt>
                <c:pt idx="61">
                  <c:v>26.798828</c:v>
                </c:pt>
                <c:pt idx="62">
                  <c:v>26.513500000000001</c:v>
                </c:pt>
                <c:pt idx="63">
                  <c:v>26.740299</c:v>
                </c:pt>
                <c:pt idx="64">
                  <c:v>26.667138999999999</c:v>
                </c:pt>
                <c:pt idx="65">
                  <c:v>26.484235999999999</c:v>
                </c:pt>
                <c:pt idx="66">
                  <c:v>26.191593000000001</c:v>
                </c:pt>
                <c:pt idx="67">
                  <c:v>26.030638</c:v>
                </c:pt>
                <c:pt idx="68">
                  <c:v>25.591673</c:v>
                </c:pt>
                <c:pt idx="69">
                  <c:v>25.606306</c:v>
                </c:pt>
                <c:pt idx="70">
                  <c:v>25.679466000000001</c:v>
                </c:pt>
                <c:pt idx="71">
                  <c:v>25.825787999999999</c:v>
                </c:pt>
                <c:pt idx="72">
                  <c:v>25.825787999999999</c:v>
                </c:pt>
                <c:pt idx="73">
                  <c:v>25.972110999999899</c:v>
                </c:pt>
                <c:pt idx="74">
                  <c:v>25.884316999999999</c:v>
                </c:pt>
                <c:pt idx="75">
                  <c:v>25.825787999999999</c:v>
                </c:pt>
                <c:pt idx="76">
                  <c:v>25.877001</c:v>
                </c:pt>
                <c:pt idx="77">
                  <c:v>26.169643000000001</c:v>
                </c:pt>
                <c:pt idx="78">
                  <c:v>26.85004</c:v>
                </c:pt>
                <c:pt idx="79">
                  <c:v>26.923200999999999</c:v>
                </c:pt>
                <c:pt idx="80">
                  <c:v>27.040258000000001</c:v>
                </c:pt>
                <c:pt idx="81">
                  <c:v>27.069522999999901</c:v>
                </c:pt>
                <c:pt idx="82">
                  <c:v>26.996362999999999</c:v>
                </c:pt>
                <c:pt idx="83">
                  <c:v>26.835408999999999</c:v>
                </c:pt>
                <c:pt idx="84">
                  <c:v>26.769563999999999</c:v>
                </c:pt>
                <c:pt idx="85">
                  <c:v>26.667138999999999</c:v>
                </c:pt>
                <c:pt idx="86">
                  <c:v>26.447654999999902</c:v>
                </c:pt>
                <c:pt idx="87">
                  <c:v>26.447654999999902</c:v>
                </c:pt>
                <c:pt idx="88">
                  <c:v>26.374495</c:v>
                </c:pt>
                <c:pt idx="89">
                  <c:v>26.337914000000001</c:v>
                </c:pt>
                <c:pt idx="90">
                  <c:v>26.513500000000001</c:v>
                </c:pt>
                <c:pt idx="91">
                  <c:v>26.754929999999899</c:v>
                </c:pt>
                <c:pt idx="92">
                  <c:v>26.85004</c:v>
                </c:pt>
                <c:pt idx="93">
                  <c:v>26.776879999999998</c:v>
                </c:pt>
                <c:pt idx="94">
                  <c:v>26.630558000000001</c:v>
                </c:pt>
                <c:pt idx="95">
                  <c:v>27.069522999999901</c:v>
                </c:pt>
                <c:pt idx="96">
                  <c:v>27.325585999999898</c:v>
                </c:pt>
                <c:pt idx="97">
                  <c:v>27.479222999999902</c:v>
                </c:pt>
                <c:pt idx="98">
                  <c:v>27.435327999999998</c:v>
                </c:pt>
                <c:pt idx="99">
                  <c:v>27.6913909999999</c:v>
                </c:pt>
                <c:pt idx="100">
                  <c:v>27.552384999999902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data!$A$257:$A$357</c15:sqref>
                        </c15:formulaRef>
                      </c:ext>
                    </c:extLst>
                    <c:strCache>
                      <c:ptCount val="101"/>
                      <c:pt idx="0">
                        <c:v>2001-01-04</c:v>
                      </c:pt>
                      <c:pt idx="1">
                        <c:v>2001-01-05</c:v>
                      </c:pt>
                      <c:pt idx="2">
                        <c:v>2001-01-08</c:v>
                      </c:pt>
                      <c:pt idx="3">
                        <c:v>2001-01-09</c:v>
                      </c:pt>
                      <c:pt idx="4">
                        <c:v>2001-01-10</c:v>
                      </c:pt>
                      <c:pt idx="5">
                        <c:v>2001-01-11</c:v>
                      </c:pt>
                      <c:pt idx="6">
                        <c:v>2001-01-12</c:v>
                      </c:pt>
                      <c:pt idx="7">
                        <c:v>2001-01-16</c:v>
                      </c:pt>
                      <c:pt idx="8">
                        <c:v>2001-01-17</c:v>
                      </c:pt>
                      <c:pt idx="9">
                        <c:v>2001-01-18</c:v>
                      </c:pt>
                      <c:pt idx="10">
                        <c:v>2001-01-19</c:v>
                      </c:pt>
                      <c:pt idx="11">
                        <c:v>2001-01-22</c:v>
                      </c:pt>
                      <c:pt idx="12">
                        <c:v>2001-01-23</c:v>
                      </c:pt>
                      <c:pt idx="13">
                        <c:v>2001-01-24</c:v>
                      </c:pt>
                      <c:pt idx="14">
                        <c:v>2001-01-25</c:v>
                      </c:pt>
                      <c:pt idx="15">
                        <c:v>2001-01-26</c:v>
                      </c:pt>
                      <c:pt idx="16">
                        <c:v>2001-01-29</c:v>
                      </c:pt>
                      <c:pt idx="17">
                        <c:v>2001-01-30</c:v>
                      </c:pt>
                      <c:pt idx="18">
                        <c:v>2001-01-31</c:v>
                      </c:pt>
                      <c:pt idx="19">
                        <c:v>2001-02-01</c:v>
                      </c:pt>
                      <c:pt idx="20">
                        <c:v>2001-02-02</c:v>
                      </c:pt>
                      <c:pt idx="21">
                        <c:v>2001-02-05</c:v>
                      </c:pt>
                      <c:pt idx="22">
                        <c:v>2001-02-06</c:v>
                      </c:pt>
                      <c:pt idx="23">
                        <c:v>2001-02-07</c:v>
                      </c:pt>
                      <c:pt idx="24">
                        <c:v>2001-02-08</c:v>
                      </c:pt>
                      <c:pt idx="25">
                        <c:v>2001-02-09</c:v>
                      </c:pt>
                      <c:pt idx="26">
                        <c:v>2001-02-12</c:v>
                      </c:pt>
                      <c:pt idx="27">
                        <c:v>2001-02-13</c:v>
                      </c:pt>
                      <c:pt idx="28">
                        <c:v>2001-02-14</c:v>
                      </c:pt>
                      <c:pt idx="29">
                        <c:v>2001-02-15</c:v>
                      </c:pt>
                      <c:pt idx="30">
                        <c:v>2001-02-16</c:v>
                      </c:pt>
                      <c:pt idx="31">
                        <c:v>2001-02-20</c:v>
                      </c:pt>
                      <c:pt idx="32">
                        <c:v>2001-02-21</c:v>
                      </c:pt>
                      <c:pt idx="33">
                        <c:v>2001-02-22</c:v>
                      </c:pt>
                      <c:pt idx="34">
                        <c:v>2001-02-23</c:v>
                      </c:pt>
                      <c:pt idx="35">
                        <c:v>2001-02-26</c:v>
                      </c:pt>
                      <c:pt idx="36">
                        <c:v>2001-02-27</c:v>
                      </c:pt>
                      <c:pt idx="37">
                        <c:v>2001-02-28</c:v>
                      </c:pt>
                      <c:pt idx="38">
                        <c:v>2001-03-01</c:v>
                      </c:pt>
                      <c:pt idx="39">
                        <c:v>2001-03-02</c:v>
                      </c:pt>
                      <c:pt idx="40">
                        <c:v>2001-03-05</c:v>
                      </c:pt>
                      <c:pt idx="41">
                        <c:v>2001-03-06</c:v>
                      </c:pt>
                      <c:pt idx="42">
                        <c:v>2001-03-07</c:v>
                      </c:pt>
                      <c:pt idx="43">
                        <c:v>2001-03-08</c:v>
                      </c:pt>
                      <c:pt idx="44">
                        <c:v>2001-03-09</c:v>
                      </c:pt>
                      <c:pt idx="45">
                        <c:v>2001-03-12</c:v>
                      </c:pt>
                      <c:pt idx="46">
                        <c:v>2001-03-13</c:v>
                      </c:pt>
                      <c:pt idx="47">
                        <c:v>2001-03-14</c:v>
                      </c:pt>
                      <c:pt idx="48">
                        <c:v>2001-03-15</c:v>
                      </c:pt>
                      <c:pt idx="49">
                        <c:v>2001-03-16</c:v>
                      </c:pt>
                      <c:pt idx="50">
                        <c:v>2001-03-19</c:v>
                      </c:pt>
                      <c:pt idx="51">
                        <c:v>2001-03-20</c:v>
                      </c:pt>
                      <c:pt idx="52">
                        <c:v>2001-03-21</c:v>
                      </c:pt>
                      <c:pt idx="53">
                        <c:v>2001-03-22</c:v>
                      </c:pt>
                      <c:pt idx="54">
                        <c:v>2001-03-23</c:v>
                      </c:pt>
                      <c:pt idx="55">
                        <c:v>2001-03-26</c:v>
                      </c:pt>
                      <c:pt idx="56">
                        <c:v>2001-03-27</c:v>
                      </c:pt>
                      <c:pt idx="57">
                        <c:v>2001-03-28</c:v>
                      </c:pt>
                      <c:pt idx="58">
                        <c:v>2001-03-29</c:v>
                      </c:pt>
                      <c:pt idx="59">
                        <c:v>2001-03-30</c:v>
                      </c:pt>
                      <c:pt idx="60">
                        <c:v>2001-04-02</c:v>
                      </c:pt>
                      <c:pt idx="61">
                        <c:v>2001-04-03</c:v>
                      </c:pt>
                      <c:pt idx="62">
                        <c:v>2001-04-04</c:v>
                      </c:pt>
                      <c:pt idx="63">
                        <c:v>2001-04-05</c:v>
                      </c:pt>
                      <c:pt idx="64">
                        <c:v>2001-04-06</c:v>
                      </c:pt>
                      <c:pt idx="65">
                        <c:v>2001-04-09</c:v>
                      </c:pt>
                      <c:pt idx="66">
                        <c:v>2001-04-10</c:v>
                      </c:pt>
                      <c:pt idx="67">
                        <c:v>2001-04-11</c:v>
                      </c:pt>
                      <c:pt idx="68">
                        <c:v>2001-04-12</c:v>
                      </c:pt>
                      <c:pt idx="69">
                        <c:v>2001-04-16</c:v>
                      </c:pt>
                      <c:pt idx="70">
                        <c:v>2001-04-17</c:v>
                      </c:pt>
                      <c:pt idx="71">
                        <c:v>2001-04-18</c:v>
                      </c:pt>
                      <c:pt idx="72">
                        <c:v>2001-04-19</c:v>
                      </c:pt>
                      <c:pt idx="73">
                        <c:v>2001-04-20</c:v>
                      </c:pt>
                      <c:pt idx="74">
                        <c:v>2001-04-23</c:v>
                      </c:pt>
                      <c:pt idx="75">
                        <c:v>2001-04-24</c:v>
                      </c:pt>
                      <c:pt idx="76">
                        <c:v>2001-04-25</c:v>
                      </c:pt>
                      <c:pt idx="77">
                        <c:v>2001-04-26</c:v>
                      </c:pt>
                      <c:pt idx="78">
                        <c:v>2001-04-27</c:v>
                      </c:pt>
                      <c:pt idx="79">
                        <c:v>2001-04-30</c:v>
                      </c:pt>
                      <c:pt idx="80">
                        <c:v>2001-05-01</c:v>
                      </c:pt>
                      <c:pt idx="81">
                        <c:v>2001-05-02</c:v>
                      </c:pt>
                      <c:pt idx="82">
                        <c:v>2001-05-03</c:v>
                      </c:pt>
                      <c:pt idx="83">
                        <c:v>2001-05-04</c:v>
                      </c:pt>
                      <c:pt idx="84">
                        <c:v>2001-05-07</c:v>
                      </c:pt>
                      <c:pt idx="85">
                        <c:v>2001-05-08</c:v>
                      </c:pt>
                      <c:pt idx="86">
                        <c:v>2001-05-09</c:v>
                      </c:pt>
                      <c:pt idx="87">
                        <c:v>2001-05-10</c:v>
                      </c:pt>
                      <c:pt idx="88">
                        <c:v>2001-05-11</c:v>
                      </c:pt>
                      <c:pt idx="89">
                        <c:v>2001-05-14</c:v>
                      </c:pt>
                      <c:pt idx="90">
                        <c:v>2001-05-15</c:v>
                      </c:pt>
                      <c:pt idx="91">
                        <c:v>2001-05-16</c:v>
                      </c:pt>
                      <c:pt idx="92">
                        <c:v>2001-05-17</c:v>
                      </c:pt>
                      <c:pt idx="93">
                        <c:v>2001-05-18</c:v>
                      </c:pt>
                      <c:pt idx="94">
                        <c:v>2001-05-21</c:v>
                      </c:pt>
                      <c:pt idx="95">
                        <c:v>2001-05-22</c:v>
                      </c:pt>
                      <c:pt idx="96">
                        <c:v>2001-05-23</c:v>
                      </c:pt>
                      <c:pt idx="97">
                        <c:v>2001-05-24</c:v>
                      </c:pt>
                      <c:pt idx="98">
                        <c:v>2001-05-25</c:v>
                      </c:pt>
                      <c:pt idx="99">
                        <c:v>2001-05-29</c:v>
                      </c:pt>
                      <c:pt idx="10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data!$D$257:$D$357</c:f>
              <c:numCache>
                <c:formatCode>0.0000</c:formatCode>
                <c:ptCount val="101"/>
                <c:pt idx="0">
                  <c:v>27.435327999999998</c:v>
                </c:pt>
                <c:pt idx="1">
                  <c:v>27.252426</c:v>
                </c:pt>
                <c:pt idx="2">
                  <c:v>27.115247999999902</c:v>
                </c:pt>
                <c:pt idx="3">
                  <c:v>27.069522999999901</c:v>
                </c:pt>
                <c:pt idx="4">
                  <c:v>26.795169999999999</c:v>
                </c:pt>
                <c:pt idx="5">
                  <c:v>26.429365000000001</c:v>
                </c:pt>
                <c:pt idx="6">
                  <c:v>26.246464</c:v>
                </c:pt>
                <c:pt idx="7">
                  <c:v>26.063559999999999</c:v>
                </c:pt>
                <c:pt idx="8">
                  <c:v>25.834934000000001</c:v>
                </c:pt>
                <c:pt idx="9">
                  <c:v>25.743482999999902</c:v>
                </c:pt>
                <c:pt idx="10">
                  <c:v>26.337914000000001</c:v>
                </c:pt>
                <c:pt idx="11">
                  <c:v>26.292189</c:v>
                </c:pt>
                <c:pt idx="12">
                  <c:v>26.520816999999901</c:v>
                </c:pt>
                <c:pt idx="13">
                  <c:v>26.337914000000001</c:v>
                </c:pt>
                <c:pt idx="14">
                  <c:v>26.337914000000001</c:v>
                </c:pt>
                <c:pt idx="15">
                  <c:v>26.38364</c:v>
                </c:pt>
                <c:pt idx="16">
                  <c:v>26.418391999999901</c:v>
                </c:pt>
                <c:pt idx="17">
                  <c:v>26.528133</c:v>
                </c:pt>
                <c:pt idx="18">
                  <c:v>26.535447999999999</c:v>
                </c:pt>
                <c:pt idx="19">
                  <c:v>26.250121999999902</c:v>
                </c:pt>
                <c:pt idx="20">
                  <c:v>26.411076000000001</c:v>
                </c:pt>
                <c:pt idx="21">
                  <c:v>26.637875000000001</c:v>
                </c:pt>
                <c:pt idx="22">
                  <c:v>26.418391999999901</c:v>
                </c:pt>
                <c:pt idx="23">
                  <c:v>26.484235999999999</c:v>
                </c:pt>
                <c:pt idx="24">
                  <c:v>26.337914000000001</c:v>
                </c:pt>
                <c:pt idx="25">
                  <c:v>26.345229999999901</c:v>
                </c:pt>
                <c:pt idx="26">
                  <c:v>26.337914000000001</c:v>
                </c:pt>
                <c:pt idx="27">
                  <c:v>26.337914000000001</c:v>
                </c:pt>
                <c:pt idx="28">
                  <c:v>26.337914000000001</c:v>
                </c:pt>
                <c:pt idx="29">
                  <c:v>26.162329</c:v>
                </c:pt>
                <c:pt idx="30">
                  <c:v>26.294017999999902</c:v>
                </c:pt>
                <c:pt idx="31">
                  <c:v>26.118431000000001</c:v>
                </c:pt>
                <c:pt idx="32">
                  <c:v>25.716047</c:v>
                </c:pt>
                <c:pt idx="33">
                  <c:v>25.218554000000001</c:v>
                </c:pt>
                <c:pt idx="34">
                  <c:v>25.291713999999999</c:v>
                </c:pt>
                <c:pt idx="35">
                  <c:v>25.716047</c:v>
                </c:pt>
                <c:pt idx="36">
                  <c:v>26.645188999999998</c:v>
                </c:pt>
                <c:pt idx="37">
                  <c:v>27.106103999999998</c:v>
                </c:pt>
                <c:pt idx="38">
                  <c:v>27.435327999999998</c:v>
                </c:pt>
                <c:pt idx="39">
                  <c:v>27.910872999999999</c:v>
                </c:pt>
                <c:pt idx="40">
                  <c:v>28.196200999999999</c:v>
                </c:pt>
                <c:pt idx="41">
                  <c:v>28.174251999999999</c:v>
                </c:pt>
                <c:pt idx="42">
                  <c:v>27.727969999999999</c:v>
                </c:pt>
                <c:pt idx="43">
                  <c:v>27.713339000000001</c:v>
                </c:pt>
                <c:pt idx="44">
                  <c:v>27.435327999999998</c:v>
                </c:pt>
                <c:pt idx="45">
                  <c:v>27.215845000000002</c:v>
                </c:pt>
                <c:pt idx="46">
                  <c:v>27.362166999999999</c:v>
                </c:pt>
                <c:pt idx="47">
                  <c:v>27.054891999999999</c:v>
                </c:pt>
                <c:pt idx="48">
                  <c:v>26.484235999999999</c:v>
                </c:pt>
                <c:pt idx="49">
                  <c:v>26.337914000000001</c:v>
                </c:pt>
                <c:pt idx="50">
                  <c:v>26.593976999999999</c:v>
                </c:pt>
                <c:pt idx="51">
                  <c:v>27.032941999999998</c:v>
                </c:pt>
                <c:pt idx="52">
                  <c:v>26.337914000000001</c:v>
                </c:pt>
                <c:pt idx="53">
                  <c:v>25.533144</c:v>
                </c:pt>
                <c:pt idx="54">
                  <c:v>25.789207000000001</c:v>
                </c:pt>
                <c:pt idx="55">
                  <c:v>25.789207000000001</c:v>
                </c:pt>
                <c:pt idx="56">
                  <c:v>25.972110999999899</c:v>
                </c:pt>
                <c:pt idx="57">
                  <c:v>25.862369999999999</c:v>
                </c:pt>
                <c:pt idx="58">
                  <c:v>25.869683999999999</c:v>
                </c:pt>
                <c:pt idx="59">
                  <c:v>26.206223999999999</c:v>
                </c:pt>
                <c:pt idx="60">
                  <c:v>26.506184000000001</c:v>
                </c:pt>
                <c:pt idx="61">
                  <c:v>26.074535000000001</c:v>
                </c:pt>
                <c:pt idx="62">
                  <c:v>26.081851999999898</c:v>
                </c:pt>
                <c:pt idx="63">
                  <c:v>26.191593000000001</c:v>
                </c:pt>
                <c:pt idx="64">
                  <c:v>26.111115999999999</c:v>
                </c:pt>
                <c:pt idx="65">
                  <c:v>26.030638</c:v>
                </c:pt>
                <c:pt idx="66">
                  <c:v>25.891632000000001</c:v>
                </c:pt>
                <c:pt idx="67">
                  <c:v>25.511195999999899</c:v>
                </c:pt>
                <c:pt idx="68">
                  <c:v>25.277082</c:v>
                </c:pt>
                <c:pt idx="69">
                  <c:v>25.284396999999998</c:v>
                </c:pt>
                <c:pt idx="70">
                  <c:v>25.240500999999998</c:v>
                </c:pt>
                <c:pt idx="71">
                  <c:v>25.313662000000001</c:v>
                </c:pt>
                <c:pt idx="72">
                  <c:v>25.606306</c:v>
                </c:pt>
                <c:pt idx="73">
                  <c:v>25.620936999999898</c:v>
                </c:pt>
                <c:pt idx="74">
                  <c:v>25.496565</c:v>
                </c:pt>
                <c:pt idx="75">
                  <c:v>25.489248</c:v>
                </c:pt>
                <c:pt idx="76">
                  <c:v>25.620936999999898</c:v>
                </c:pt>
                <c:pt idx="77">
                  <c:v>25.723364</c:v>
                </c:pt>
                <c:pt idx="78">
                  <c:v>26.250121999999902</c:v>
                </c:pt>
                <c:pt idx="79">
                  <c:v>26.696403999999902</c:v>
                </c:pt>
                <c:pt idx="80">
                  <c:v>26.740299</c:v>
                </c:pt>
                <c:pt idx="81">
                  <c:v>26.886621000000002</c:v>
                </c:pt>
                <c:pt idx="82">
                  <c:v>26.667138999999999</c:v>
                </c:pt>
                <c:pt idx="83">
                  <c:v>26.396441999999901</c:v>
                </c:pt>
                <c:pt idx="84">
                  <c:v>26.542764999999999</c:v>
                </c:pt>
                <c:pt idx="85">
                  <c:v>26.264752999999999</c:v>
                </c:pt>
                <c:pt idx="86">
                  <c:v>26.279387</c:v>
                </c:pt>
                <c:pt idx="87">
                  <c:v>26.337914000000001</c:v>
                </c:pt>
                <c:pt idx="88">
                  <c:v>26.228171999999901</c:v>
                </c:pt>
                <c:pt idx="89">
                  <c:v>26.162329</c:v>
                </c:pt>
                <c:pt idx="90">
                  <c:v>26.257436999999999</c:v>
                </c:pt>
                <c:pt idx="91">
                  <c:v>26.411076000000001</c:v>
                </c:pt>
                <c:pt idx="92">
                  <c:v>26.608609999999999</c:v>
                </c:pt>
                <c:pt idx="93">
                  <c:v>26.542764999999999</c:v>
                </c:pt>
                <c:pt idx="94">
                  <c:v>26.403759000000001</c:v>
                </c:pt>
                <c:pt idx="95">
                  <c:v>26.550080999999999</c:v>
                </c:pt>
                <c:pt idx="96">
                  <c:v>26.747615999999901</c:v>
                </c:pt>
                <c:pt idx="97">
                  <c:v>27.142683000000002</c:v>
                </c:pt>
                <c:pt idx="98">
                  <c:v>27.069522999999901</c:v>
                </c:pt>
                <c:pt idx="99">
                  <c:v>27.252426</c:v>
                </c:pt>
                <c:pt idx="100">
                  <c:v>27.362166999999999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data!$A$257:$A$357</c15:sqref>
                        </c15:formulaRef>
                      </c:ext>
                    </c:extLst>
                    <c:strCache>
                      <c:ptCount val="101"/>
                      <c:pt idx="0">
                        <c:v>2001-01-04</c:v>
                      </c:pt>
                      <c:pt idx="1">
                        <c:v>2001-01-05</c:v>
                      </c:pt>
                      <c:pt idx="2">
                        <c:v>2001-01-08</c:v>
                      </c:pt>
                      <c:pt idx="3">
                        <c:v>2001-01-09</c:v>
                      </c:pt>
                      <c:pt idx="4">
                        <c:v>2001-01-10</c:v>
                      </c:pt>
                      <c:pt idx="5">
                        <c:v>2001-01-11</c:v>
                      </c:pt>
                      <c:pt idx="6">
                        <c:v>2001-01-12</c:v>
                      </c:pt>
                      <c:pt idx="7">
                        <c:v>2001-01-16</c:v>
                      </c:pt>
                      <c:pt idx="8">
                        <c:v>2001-01-17</c:v>
                      </c:pt>
                      <c:pt idx="9">
                        <c:v>2001-01-18</c:v>
                      </c:pt>
                      <c:pt idx="10">
                        <c:v>2001-01-19</c:v>
                      </c:pt>
                      <c:pt idx="11">
                        <c:v>2001-01-22</c:v>
                      </c:pt>
                      <c:pt idx="12">
                        <c:v>2001-01-23</c:v>
                      </c:pt>
                      <c:pt idx="13">
                        <c:v>2001-01-24</c:v>
                      </c:pt>
                      <c:pt idx="14">
                        <c:v>2001-01-25</c:v>
                      </c:pt>
                      <c:pt idx="15">
                        <c:v>2001-01-26</c:v>
                      </c:pt>
                      <c:pt idx="16">
                        <c:v>2001-01-29</c:v>
                      </c:pt>
                      <c:pt idx="17">
                        <c:v>2001-01-30</c:v>
                      </c:pt>
                      <c:pt idx="18">
                        <c:v>2001-01-31</c:v>
                      </c:pt>
                      <c:pt idx="19">
                        <c:v>2001-02-01</c:v>
                      </c:pt>
                      <c:pt idx="20">
                        <c:v>2001-02-02</c:v>
                      </c:pt>
                      <c:pt idx="21">
                        <c:v>2001-02-05</c:v>
                      </c:pt>
                      <c:pt idx="22">
                        <c:v>2001-02-06</c:v>
                      </c:pt>
                      <c:pt idx="23">
                        <c:v>2001-02-07</c:v>
                      </c:pt>
                      <c:pt idx="24">
                        <c:v>2001-02-08</c:v>
                      </c:pt>
                      <c:pt idx="25">
                        <c:v>2001-02-09</c:v>
                      </c:pt>
                      <c:pt idx="26">
                        <c:v>2001-02-12</c:v>
                      </c:pt>
                      <c:pt idx="27">
                        <c:v>2001-02-13</c:v>
                      </c:pt>
                      <c:pt idx="28">
                        <c:v>2001-02-14</c:v>
                      </c:pt>
                      <c:pt idx="29">
                        <c:v>2001-02-15</c:v>
                      </c:pt>
                      <c:pt idx="30">
                        <c:v>2001-02-16</c:v>
                      </c:pt>
                      <c:pt idx="31">
                        <c:v>2001-02-20</c:v>
                      </c:pt>
                      <c:pt idx="32">
                        <c:v>2001-02-21</c:v>
                      </c:pt>
                      <c:pt idx="33">
                        <c:v>2001-02-22</c:v>
                      </c:pt>
                      <c:pt idx="34">
                        <c:v>2001-02-23</c:v>
                      </c:pt>
                      <c:pt idx="35">
                        <c:v>2001-02-26</c:v>
                      </c:pt>
                      <c:pt idx="36">
                        <c:v>2001-02-27</c:v>
                      </c:pt>
                      <c:pt idx="37">
                        <c:v>2001-02-28</c:v>
                      </c:pt>
                      <c:pt idx="38">
                        <c:v>2001-03-01</c:v>
                      </c:pt>
                      <c:pt idx="39">
                        <c:v>2001-03-02</c:v>
                      </c:pt>
                      <c:pt idx="40">
                        <c:v>2001-03-05</c:v>
                      </c:pt>
                      <c:pt idx="41">
                        <c:v>2001-03-06</c:v>
                      </c:pt>
                      <c:pt idx="42">
                        <c:v>2001-03-07</c:v>
                      </c:pt>
                      <c:pt idx="43">
                        <c:v>2001-03-08</c:v>
                      </c:pt>
                      <c:pt idx="44">
                        <c:v>2001-03-09</c:v>
                      </c:pt>
                      <c:pt idx="45">
                        <c:v>2001-03-12</c:v>
                      </c:pt>
                      <c:pt idx="46">
                        <c:v>2001-03-13</c:v>
                      </c:pt>
                      <c:pt idx="47">
                        <c:v>2001-03-14</c:v>
                      </c:pt>
                      <c:pt idx="48">
                        <c:v>2001-03-15</c:v>
                      </c:pt>
                      <c:pt idx="49">
                        <c:v>2001-03-16</c:v>
                      </c:pt>
                      <c:pt idx="50">
                        <c:v>2001-03-19</c:v>
                      </c:pt>
                      <c:pt idx="51">
                        <c:v>2001-03-20</c:v>
                      </c:pt>
                      <c:pt idx="52">
                        <c:v>2001-03-21</c:v>
                      </c:pt>
                      <c:pt idx="53">
                        <c:v>2001-03-22</c:v>
                      </c:pt>
                      <c:pt idx="54">
                        <c:v>2001-03-23</c:v>
                      </c:pt>
                      <c:pt idx="55">
                        <c:v>2001-03-26</c:v>
                      </c:pt>
                      <c:pt idx="56">
                        <c:v>2001-03-27</c:v>
                      </c:pt>
                      <c:pt idx="57">
                        <c:v>2001-03-28</c:v>
                      </c:pt>
                      <c:pt idx="58">
                        <c:v>2001-03-29</c:v>
                      </c:pt>
                      <c:pt idx="59">
                        <c:v>2001-03-30</c:v>
                      </c:pt>
                      <c:pt idx="60">
                        <c:v>2001-04-02</c:v>
                      </c:pt>
                      <c:pt idx="61">
                        <c:v>2001-04-03</c:v>
                      </c:pt>
                      <c:pt idx="62">
                        <c:v>2001-04-04</c:v>
                      </c:pt>
                      <c:pt idx="63">
                        <c:v>2001-04-05</c:v>
                      </c:pt>
                      <c:pt idx="64">
                        <c:v>2001-04-06</c:v>
                      </c:pt>
                      <c:pt idx="65">
                        <c:v>2001-04-09</c:v>
                      </c:pt>
                      <c:pt idx="66">
                        <c:v>2001-04-10</c:v>
                      </c:pt>
                      <c:pt idx="67">
                        <c:v>2001-04-11</c:v>
                      </c:pt>
                      <c:pt idx="68">
                        <c:v>2001-04-12</c:v>
                      </c:pt>
                      <c:pt idx="69">
                        <c:v>2001-04-16</c:v>
                      </c:pt>
                      <c:pt idx="70">
                        <c:v>2001-04-17</c:v>
                      </c:pt>
                      <c:pt idx="71">
                        <c:v>2001-04-18</c:v>
                      </c:pt>
                      <c:pt idx="72">
                        <c:v>2001-04-19</c:v>
                      </c:pt>
                      <c:pt idx="73">
                        <c:v>2001-04-20</c:v>
                      </c:pt>
                      <c:pt idx="74">
                        <c:v>2001-04-23</c:v>
                      </c:pt>
                      <c:pt idx="75">
                        <c:v>2001-04-24</c:v>
                      </c:pt>
                      <c:pt idx="76">
                        <c:v>2001-04-25</c:v>
                      </c:pt>
                      <c:pt idx="77">
                        <c:v>2001-04-26</c:v>
                      </c:pt>
                      <c:pt idx="78">
                        <c:v>2001-04-27</c:v>
                      </c:pt>
                      <c:pt idx="79">
                        <c:v>2001-04-30</c:v>
                      </c:pt>
                      <c:pt idx="80">
                        <c:v>2001-05-01</c:v>
                      </c:pt>
                      <c:pt idx="81">
                        <c:v>2001-05-02</c:v>
                      </c:pt>
                      <c:pt idx="82">
                        <c:v>2001-05-03</c:v>
                      </c:pt>
                      <c:pt idx="83">
                        <c:v>2001-05-04</c:v>
                      </c:pt>
                      <c:pt idx="84">
                        <c:v>2001-05-07</c:v>
                      </c:pt>
                      <c:pt idx="85">
                        <c:v>2001-05-08</c:v>
                      </c:pt>
                      <c:pt idx="86">
                        <c:v>2001-05-09</c:v>
                      </c:pt>
                      <c:pt idx="87">
                        <c:v>2001-05-10</c:v>
                      </c:pt>
                      <c:pt idx="88">
                        <c:v>2001-05-11</c:v>
                      </c:pt>
                      <c:pt idx="89">
                        <c:v>2001-05-14</c:v>
                      </c:pt>
                      <c:pt idx="90">
                        <c:v>2001-05-15</c:v>
                      </c:pt>
                      <c:pt idx="91">
                        <c:v>2001-05-16</c:v>
                      </c:pt>
                      <c:pt idx="92">
                        <c:v>2001-05-17</c:v>
                      </c:pt>
                      <c:pt idx="93">
                        <c:v>2001-05-18</c:v>
                      </c:pt>
                      <c:pt idx="94">
                        <c:v>2001-05-21</c:v>
                      </c:pt>
                      <c:pt idx="95">
                        <c:v>2001-05-22</c:v>
                      </c:pt>
                      <c:pt idx="96">
                        <c:v>2001-05-23</c:v>
                      </c:pt>
                      <c:pt idx="97">
                        <c:v>2001-05-24</c:v>
                      </c:pt>
                      <c:pt idx="98">
                        <c:v>2001-05-25</c:v>
                      </c:pt>
                      <c:pt idx="99">
                        <c:v>2001-05-29</c:v>
                      </c:pt>
                      <c:pt idx="10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data!$E$257:$E$357</c:f>
              <c:numCache>
                <c:formatCode>0.0000</c:formatCode>
                <c:ptCount val="101"/>
                <c:pt idx="0">
                  <c:v>27.572503999999999</c:v>
                </c:pt>
                <c:pt idx="1">
                  <c:v>27.298151000000001</c:v>
                </c:pt>
                <c:pt idx="2">
                  <c:v>27.298151000000001</c:v>
                </c:pt>
                <c:pt idx="3">
                  <c:v>27.115247999999902</c:v>
                </c:pt>
                <c:pt idx="4">
                  <c:v>26.886621000000002</c:v>
                </c:pt>
                <c:pt idx="5">
                  <c:v>26.475090000000002</c:v>
                </c:pt>
                <c:pt idx="6">
                  <c:v>26.246464</c:v>
                </c:pt>
                <c:pt idx="7">
                  <c:v>26.155011999999999</c:v>
                </c:pt>
                <c:pt idx="8">
                  <c:v>25.926383999999999</c:v>
                </c:pt>
                <c:pt idx="9">
                  <c:v>26.475090000000002</c:v>
                </c:pt>
                <c:pt idx="10">
                  <c:v>26.429365000000001</c:v>
                </c:pt>
                <c:pt idx="11">
                  <c:v>26.612268</c:v>
                </c:pt>
                <c:pt idx="12">
                  <c:v>26.566541999999998</c:v>
                </c:pt>
                <c:pt idx="13">
                  <c:v>26.520816999999901</c:v>
                </c:pt>
                <c:pt idx="14">
                  <c:v>26.475090000000002</c:v>
                </c:pt>
                <c:pt idx="15">
                  <c:v>26.475090000000002</c:v>
                </c:pt>
                <c:pt idx="16">
                  <c:v>26.557397999999999</c:v>
                </c:pt>
                <c:pt idx="17">
                  <c:v>26.623240999999901</c:v>
                </c:pt>
                <c:pt idx="18">
                  <c:v>26.630558000000001</c:v>
                </c:pt>
                <c:pt idx="19">
                  <c:v>26.520816999999901</c:v>
                </c:pt>
                <c:pt idx="20">
                  <c:v>26.857357</c:v>
                </c:pt>
                <c:pt idx="21">
                  <c:v>26.703717999999999</c:v>
                </c:pt>
                <c:pt idx="22">
                  <c:v>26.572028999999901</c:v>
                </c:pt>
                <c:pt idx="23">
                  <c:v>26.601293999999999</c:v>
                </c:pt>
                <c:pt idx="24">
                  <c:v>26.528133</c:v>
                </c:pt>
                <c:pt idx="25">
                  <c:v>26.411076000000001</c:v>
                </c:pt>
                <c:pt idx="26">
                  <c:v>26.396441999999901</c:v>
                </c:pt>
                <c:pt idx="27">
                  <c:v>26.374495</c:v>
                </c:pt>
                <c:pt idx="28">
                  <c:v>26.425706999999999</c:v>
                </c:pt>
                <c:pt idx="29">
                  <c:v>26.337914000000001</c:v>
                </c:pt>
                <c:pt idx="30">
                  <c:v>26.337914000000001</c:v>
                </c:pt>
                <c:pt idx="31">
                  <c:v>26.301334000000001</c:v>
                </c:pt>
                <c:pt idx="32">
                  <c:v>25.986742</c:v>
                </c:pt>
                <c:pt idx="33">
                  <c:v>25.291713999999999</c:v>
                </c:pt>
                <c:pt idx="34">
                  <c:v>25.716047</c:v>
                </c:pt>
                <c:pt idx="35">
                  <c:v>26.667138999999999</c:v>
                </c:pt>
                <c:pt idx="36">
                  <c:v>27.113420000000001</c:v>
                </c:pt>
                <c:pt idx="37">
                  <c:v>27.662127000000002</c:v>
                </c:pt>
                <c:pt idx="38">
                  <c:v>27.764551000000001</c:v>
                </c:pt>
                <c:pt idx="39">
                  <c:v>28.203515999999901</c:v>
                </c:pt>
                <c:pt idx="40">
                  <c:v>28.357154999999999</c:v>
                </c:pt>
                <c:pt idx="41">
                  <c:v>28.196200999999999</c:v>
                </c:pt>
                <c:pt idx="42">
                  <c:v>27.801131999999999</c:v>
                </c:pt>
                <c:pt idx="43">
                  <c:v>27.801131999999999</c:v>
                </c:pt>
                <c:pt idx="44">
                  <c:v>27.545069000000002</c:v>
                </c:pt>
                <c:pt idx="45">
                  <c:v>27.369482000000001</c:v>
                </c:pt>
                <c:pt idx="46">
                  <c:v>27.58165</c:v>
                </c:pt>
                <c:pt idx="47">
                  <c:v>27.069522999999901</c:v>
                </c:pt>
                <c:pt idx="48">
                  <c:v>26.740299</c:v>
                </c:pt>
                <c:pt idx="49">
                  <c:v>26.623240999999901</c:v>
                </c:pt>
                <c:pt idx="50">
                  <c:v>27.106103999999998</c:v>
                </c:pt>
                <c:pt idx="51">
                  <c:v>27.047574999999998</c:v>
                </c:pt>
                <c:pt idx="52">
                  <c:v>26.389127999999999</c:v>
                </c:pt>
                <c:pt idx="53">
                  <c:v>25.972110999999899</c:v>
                </c:pt>
                <c:pt idx="54">
                  <c:v>25.825787999999999</c:v>
                </c:pt>
                <c:pt idx="55">
                  <c:v>26.557397999999999</c:v>
                </c:pt>
                <c:pt idx="56">
                  <c:v>26.520816999999901</c:v>
                </c:pt>
                <c:pt idx="57">
                  <c:v>25.913582000000002</c:v>
                </c:pt>
                <c:pt idx="58">
                  <c:v>26.228171999999901</c:v>
                </c:pt>
                <c:pt idx="59">
                  <c:v>26.213540999999999</c:v>
                </c:pt>
                <c:pt idx="60">
                  <c:v>26.85004</c:v>
                </c:pt>
                <c:pt idx="61">
                  <c:v>26.118431000000001</c:v>
                </c:pt>
                <c:pt idx="62">
                  <c:v>26.213540999999999</c:v>
                </c:pt>
                <c:pt idx="63">
                  <c:v>26.623240999999901</c:v>
                </c:pt>
                <c:pt idx="64">
                  <c:v>26.155011999999999</c:v>
                </c:pt>
                <c:pt idx="65">
                  <c:v>26.045271</c:v>
                </c:pt>
                <c:pt idx="66">
                  <c:v>25.913582000000002</c:v>
                </c:pt>
                <c:pt idx="67">
                  <c:v>25.591673</c:v>
                </c:pt>
                <c:pt idx="68">
                  <c:v>25.445353000000001</c:v>
                </c:pt>
                <c:pt idx="69">
                  <c:v>25.284396999999998</c:v>
                </c:pt>
                <c:pt idx="70">
                  <c:v>25.606306</c:v>
                </c:pt>
                <c:pt idx="71">
                  <c:v>25.774576</c:v>
                </c:pt>
                <c:pt idx="72">
                  <c:v>25.789207000000001</c:v>
                </c:pt>
                <c:pt idx="73">
                  <c:v>25.701414</c:v>
                </c:pt>
                <c:pt idx="74">
                  <c:v>25.664835</c:v>
                </c:pt>
                <c:pt idx="75">
                  <c:v>25.679466000000001</c:v>
                </c:pt>
                <c:pt idx="76">
                  <c:v>25.716047</c:v>
                </c:pt>
                <c:pt idx="77">
                  <c:v>26.052588</c:v>
                </c:pt>
                <c:pt idx="78">
                  <c:v>26.740299</c:v>
                </c:pt>
                <c:pt idx="79">
                  <c:v>26.864671999999999</c:v>
                </c:pt>
                <c:pt idx="80">
                  <c:v>27.018310999999901</c:v>
                </c:pt>
                <c:pt idx="81">
                  <c:v>27.069522999999901</c:v>
                </c:pt>
                <c:pt idx="82">
                  <c:v>26.893936</c:v>
                </c:pt>
                <c:pt idx="83">
                  <c:v>26.732983000000001</c:v>
                </c:pt>
                <c:pt idx="84">
                  <c:v>26.630558000000001</c:v>
                </c:pt>
                <c:pt idx="85">
                  <c:v>26.513500000000001</c:v>
                </c:pt>
                <c:pt idx="86">
                  <c:v>26.359863000000001</c:v>
                </c:pt>
                <c:pt idx="87">
                  <c:v>26.381810999999999</c:v>
                </c:pt>
                <c:pt idx="88">
                  <c:v>26.308648999999999</c:v>
                </c:pt>
                <c:pt idx="89">
                  <c:v>26.337914000000001</c:v>
                </c:pt>
                <c:pt idx="90">
                  <c:v>26.411076000000001</c:v>
                </c:pt>
                <c:pt idx="91">
                  <c:v>26.754929999999899</c:v>
                </c:pt>
                <c:pt idx="92">
                  <c:v>26.798828</c:v>
                </c:pt>
                <c:pt idx="93">
                  <c:v>26.652505999999999</c:v>
                </c:pt>
                <c:pt idx="94">
                  <c:v>26.513500000000001</c:v>
                </c:pt>
                <c:pt idx="95">
                  <c:v>26.85004</c:v>
                </c:pt>
                <c:pt idx="96">
                  <c:v>27.201211999999899</c:v>
                </c:pt>
                <c:pt idx="97">
                  <c:v>27.457274999999999</c:v>
                </c:pt>
                <c:pt idx="98">
                  <c:v>27.252426</c:v>
                </c:pt>
                <c:pt idx="99">
                  <c:v>27.552384999999902</c:v>
                </c:pt>
                <c:pt idx="100">
                  <c:v>27.362166999999999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data!$A$257:$A$357</c15:sqref>
                        </c15:formulaRef>
                      </c:ext>
                    </c:extLst>
                    <c:strCache>
                      <c:ptCount val="101"/>
                      <c:pt idx="0">
                        <c:v>2001-01-04</c:v>
                      </c:pt>
                      <c:pt idx="1">
                        <c:v>2001-01-05</c:v>
                      </c:pt>
                      <c:pt idx="2">
                        <c:v>2001-01-08</c:v>
                      </c:pt>
                      <c:pt idx="3">
                        <c:v>2001-01-09</c:v>
                      </c:pt>
                      <c:pt idx="4">
                        <c:v>2001-01-10</c:v>
                      </c:pt>
                      <c:pt idx="5">
                        <c:v>2001-01-11</c:v>
                      </c:pt>
                      <c:pt idx="6">
                        <c:v>2001-01-12</c:v>
                      </c:pt>
                      <c:pt idx="7">
                        <c:v>2001-01-16</c:v>
                      </c:pt>
                      <c:pt idx="8">
                        <c:v>2001-01-17</c:v>
                      </c:pt>
                      <c:pt idx="9">
                        <c:v>2001-01-18</c:v>
                      </c:pt>
                      <c:pt idx="10">
                        <c:v>2001-01-19</c:v>
                      </c:pt>
                      <c:pt idx="11">
                        <c:v>2001-01-22</c:v>
                      </c:pt>
                      <c:pt idx="12">
                        <c:v>2001-01-23</c:v>
                      </c:pt>
                      <c:pt idx="13">
                        <c:v>2001-01-24</c:v>
                      </c:pt>
                      <c:pt idx="14">
                        <c:v>2001-01-25</c:v>
                      </c:pt>
                      <c:pt idx="15">
                        <c:v>2001-01-26</c:v>
                      </c:pt>
                      <c:pt idx="16">
                        <c:v>2001-01-29</c:v>
                      </c:pt>
                      <c:pt idx="17">
                        <c:v>2001-01-30</c:v>
                      </c:pt>
                      <c:pt idx="18">
                        <c:v>2001-01-31</c:v>
                      </c:pt>
                      <c:pt idx="19">
                        <c:v>2001-02-01</c:v>
                      </c:pt>
                      <c:pt idx="20">
                        <c:v>2001-02-02</c:v>
                      </c:pt>
                      <c:pt idx="21">
                        <c:v>2001-02-05</c:v>
                      </c:pt>
                      <c:pt idx="22">
                        <c:v>2001-02-06</c:v>
                      </c:pt>
                      <c:pt idx="23">
                        <c:v>2001-02-07</c:v>
                      </c:pt>
                      <c:pt idx="24">
                        <c:v>2001-02-08</c:v>
                      </c:pt>
                      <c:pt idx="25">
                        <c:v>2001-02-09</c:v>
                      </c:pt>
                      <c:pt idx="26">
                        <c:v>2001-02-12</c:v>
                      </c:pt>
                      <c:pt idx="27">
                        <c:v>2001-02-13</c:v>
                      </c:pt>
                      <c:pt idx="28">
                        <c:v>2001-02-14</c:v>
                      </c:pt>
                      <c:pt idx="29">
                        <c:v>2001-02-15</c:v>
                      </c:pt>
                      <c:pt idx="30">
                        <c:v>2001-02-16</c:v>
                      </c:pt>
                      <c:pt idx="31">
                        <c:v>2001-02-20</c:v>
                      </c:pt>
                      <c:pt idx="32">
                        <c:v>2001-02-21</c:v>
                      </c:pt>
                      <c:pt idx="33">
                        <c:v>2001-02-22</c:v>
                      </c:pt>
                      <c:pt idx="34">
                        <c:v>2001-02-23</c:v>
                      </c:pt>
                      <c:pt idx="35">
                        <c:v>2001-02-26</c:v>
                      </c:pt>
                      <c:pt idx="36">
                        <c:v>2001-02-27</c:v>
                      </c:pt>
                      <c:pt idx="37">
                        <c:v>2001-02-28</c:v>
                      </c:pt>
                      <c:pt idx="38">
                        <c:v>2001-03-01</c:v>
                      </c:pt>
                      <c:pt idx="39">
                        <c:v>2001-03-02</c:v>
                      </c:pt>
                      <c:pt idx="40">
                        <c:v>2001-03-05</c:v>
                      </c:pt>
                      <c:pt idx="41">
                        <c:v>2001-03-06</c:v>
                      </c:pt>
                      <c:pt idx="42">
                        <c:v>2001-03-07</c:v>
                      </c:pt>
                      <c:pt idx="43">
                        <c:v>2001-03-08</c:v>
                      </c:pt>
                      <c:pt idx="44">
                        <c:v>2001-03-09</c:v>
                      </c:pt>
                      <c:pt idx="45">
                        <c:v>2001-03-12</c:v>
                      </c:pt>
                      <c:pt idx="46">
                        <c:v>2001-03-13</c:v>
                      </c:pt>
                      <c:pt idx="47">
                        <c:v>2001-03-14</c:v>
                      </c:pt>
                      <c:pt idx="48">
                        <c:v>2001-03-15</c:v>
                      </c:pt>
                      <c:pt idx="49">
                        <c:v>2001-03-16</c:v>
                      </c:pt>
                      <c:pt idx="50">
                        <c:v>2001-03-19</c:v>
                      </c:pt>
                      <c:pt idx="51">
                        <c:v>2001-03-20</c:v>
                      </c:pt>
                      <c:pt idx="52">
                        <c:v>2001-03-21</c:v>
                      </c:pt>
                      <c:pt idx="53">
                        <c:v>2001-03-22</c:v>
                      </c:pt>
                      <c:pt idx="54">
                        <c:v>2001-03-23</c:v>
                      </c:pt>
                      <c:pt idx="55">
                        <c:v>2001-03-26</c:v>
                      </c:pt>
                      <c:pt idx="56">
                        <c:v>2001-03-27</c:v>
                      </c:pt>
                      <c:pt idx="57">
                        <c:v>2001-03-28</c:v>
                      </c:pt>
                      <c:pt idx="58">
                        <c:v>2001-03-29</c:v>
                      </c:pt>
                      <c:pt idx="59">
                        <c:v>2001-03-30</c:v>
                      </c:pt>
                      <c:pt idx="60">
                        <c:v>2001-04-02</c:v>
                      </c:pt>
                      <c:pt idx="61">
                        <c:v>2001-04-03</c:v>
                      </c:pt>
                      <c:pt idx="62">
                        <c:v>2001-04-04</c:v>
                      </c:pt>
                      <c:pt idx="63">
                        <c:v>2001-04-05</c:v>
                      </c:pt>
                      <c:pt idx="64">
                        <c:v>2001-04-06</c:v>
                      </c:pt>
                      <c:pt idx="65">
                        <c:v>2001-04-09</c:v>
                      </c:pt>
                      <c:pt idx="66">
                        <c:v>2001-04-10</c:v>
                      </c:pt>
                      <c:pt idx="67">
                        <c:v>2001-04-11</c:v>
                      </c:pt>
                      <c:pt idx="68">
                        <c:v>2001-04-12</c:v>
                      </c:pt>
                      <c:pt idx="69">
                        <c:v>2001-04-16</c:v>
                      </c:pt>
                      <c:pt idx="70">
                        <c:v>2001-04-17</c:v>
                      </c:pt>
                      <c:pt idx="71">
                        <c:v>2001-04-18</c:v>
                      </c:pt>
                      <c:pt idx="72">
                        <c:v>2001-04-19</c:v>
                      </c:pt>
                      <c:pt idx="73">
                        <c:v>2001-04-20</c:v>
                      </c:pt>
                      <c:pt idx="74">
                        <c:v>2001-04-23</c:v>
                      </c:pt>
                      <c:pt idx="75">
                        <c:v>2001-04-24</c:v>
                      </c:pt>
                      <c:pt idx="76">
                        <c:v>2001-04-25</c:v>
                      </c:pt>
                      <c:pt idx="77">
                        <c:v>2001-04-26</c:v>
                      </c:pt>
                      <c:pt idx="78">
                        <c:v>2001-04-27</c:v>
                      </c:pt>
                      <c:pt idx="79">
                        <c:v>2001-04-30</c:v>
                      </c:pt>
                      <c:pt idx="80">
                        <c:v>2001-05-01</c:v>
                      </c:pt>
                      <c:pt idx="81">
                        <c:v>2001-05-02</c:v>
                      </c:pt>
                      <c:pt idx="82">
                        <c:v>2001-05-03</c:v>
                      </c:pt>
                      <c:pt idx="83">
                        <c:v>2001-05-04</c:v>
                      </c:pt>
                      <c:pt idx="84">
                        <c:v>2001-05-07</c:v>
                      </c:pt>
                      <c:pt idx="85">
                        <c:v>2001-05-08</c:v>
                      </c:pt>
                      <c:pt idx="86">
                        <c:v>2001-05-09</c:v>
                      </c:pt>
                      <c:pt idx="87">
                        <c:v>2001-05-10</c:v>
                      </c:pt>
                      <c:pt idx="88">
                        <c:v>2001-05-11</c:v>
                      </c:pt>
                      <c:pt idx="89">
                        <c:v>2001-05-14</c:v>
                      </c:pt>
                      <c:pt idx="90">
                        <c:v>2001-05-15</c:v>
                      </c:pt>
                      <c:pt idx="91">
                        <c:v>2001-05-16</c:v>
                      </c:pt>
                      <c:pt idx="92">
                        <c:v>2001-05-17</c:v>
                      </c:pt>
                      <c:pt idx="93">
                        <c:v>2001-05-18</c:v>
                      </c:pt>
                      <c:pt idx="94">
                        <c:v>2001-05-21</c:v>
                      </c:pt>
                      <c:pt idx="95">
                        <c:v>2001-05-22</c:v>
                      </c:pt>
                      <c:pt idx="96">
                        <c:v>2001-05-23</c:v>
                      </c:pt>
                      <c:pt idx="97">
                        <c:v>2001-05-24</c:v>
                      </c:pt>
                      <c:pt idx="98">
                        <c:v>2001-05-25</c:v>
                      </c:pt>
                      <c:pt idx="99">
                        <c:v>2001-05-29</c:v>
                      </c:pt>
                      <c:pt idx="10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754666960"/>
        <c:axId val="-1754663152"/>
      </c:stockChart>
      <c:catAx>
        <c:axId val="-175466696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54663152"/>
        <c:crosses val="autoZero"/>
        <c:auto val="1"/>
        <c:lblAlgn val="ctr"/>
        <c:lblOffset val="100"/>
        <c:tickLblSkip val="2"/>
        <c:noMultiLvlLbl val="0"/>
      </c:catAx>
      <c:valAx>
        <c:axId val="-1754663152"/>
        <c:scaling>
          <c:orientation val="minMax"/>
          <c:max val="28.96585262"/>
          <c:min val="24.96636846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5466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data!$B$327:$B$357</c:f>
              <c:numCache>
                <c:formatCode>0.0000</c:formatCode>
                <c:ptCount val="31"/>
                <c:pt idx="0">
                  <c:v>25.350242999999999</c:v>
                </c:pt>
                <c:pt idx="1">
                  <c:v>25.606306</c:v>
                </c:pt>
                <c:pt idx="2">
                  <c:v>25.774576</c:v>
                </c:pt>
                <c:pt idx="3">
                  <c:v>25.825787999999999</c:v>
                </c:pt>
                <c:pt idx="4">
                  <c:v>25.825787999999999</c:v>
                </c:pt>
                <c:pt idx="5">
                  <c:v>25.664835</c:v>
                </c:pt>
                <c:pt idx="6">
                  <c:v>25.752625999999999</c:v>
                </c:pt>
                <c:pt idx="7">
                  <c:v>25.723364</c:v>
                </c:pt>
                <c:pt idx="8">
                  <c:v>26.374495</c:v>
                </c:pt>
                <c:pt idx="9">
                  <c:v>26.776879999999998</c:v>
                </c:pt>
                <c:pt idx="10">
                  <c:v>26.871988000000002</c:v>
                </c:pt>
                <c:pt idx="11">
                  <c:v>27.032941999999998</c:v>
                </c:pt>
                <c:pt idx="12">
                  <c:v>26.842724</c:v>
                </c:pt>
                <c:pt idx="13">
                  <c:v>26.703717999999999</c:v>
                </c:pt>
                <c:pt idx="14">
                  <c:v>26.630558000000001</c:v>
                </c:pt>
                <c:pt idx="15">
                  <c:v>26.667138999999999</c:v>
                </c:pt>
                <c:pt idx="16">
                  <c:v>26.447654999999902</c:v>
                </c:pt>
                <c:pt idx="17">
                  <c:v>26.374495</c:v>
                </c:pt>
                <c:pt idx="18">
                  <c:v>26.337914000000001</c:v>
                </c:pt>
                <c:pt idx="19">
                  <c:v>26.323281999999999</c:v>
                </c:pt>
                <c:pt idx="20">
                  <c:v>26.337914000000001</c:v>
                </c:pt>
                <c:pt idx="21">
                  <c:v>26.411076000000001</c:v>
                </c:pt>
                <c:pt idx="22">
                  <c:v>26.776879999999998</c:v>
                </c:pt>
                <c:pt idx="23">
                  <c:v>26.776879999999998</c:v>
                </c:pt>
                <c:pt idx="24">
                  <c:v>26.593976999999999</c:v>
                </c:pt>
                <c:pt idx="25">
                  <c:v>26.586659999999998</c:v>
                </c:pt>
                <c:pt idx="26">
                  <c:v>26.879304999999999</c:v>
                </c:pt>
                <c:pt idx="27">
                  <c:v>27.201211999999899</c:v>
                </c:pt>
                <c:pt idx="28">
                  <c:v>27.435327999999998</c:v>
                </c:pt>
                <c:pt idx="29">
                  <c:v>27.325585999999898</c:v>
                </c:pt>
                <c:pt idx="30">
                  <c:v>27.552384999999902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data!$A$327:$A$357</c15:sqref>
                        </c15:formulaRef>
                      </c:ext>
                    </c:extLst>
                    <c:strCache>
                      <c:ptCount val="31"/>
                      <c:pt idx="0">
                        <c:v>2001-04-17</c:v>
                      </c:pt>
                      <c:pt idx="1">
                        <c:v>2001-04-18</c:v>
                      </c:pt>
                      <c:pt idx="2">
                        <c:v>2001-04-19</c:v>
                      </c:pt>
                      <c:pt idx="3">
                        <c:v>2001-04-20</c:v>
                      </c:pt>
                      <c:pt idx="4">
                        <c:v>2001-04-23</c:v>
                      </c:pt>
                      <c:pt idx="5">
                        <c:v>2001-04-24</c:v>
                      </c:pt>
                      <c:pt idx="6">
                        <c:v>2001-04-25</c:v>
                      </c:pt>
                      <c:pt idx="7">
                        <c:v>2001-04-26</c:v>
                      </c:pt>
                      <c:pt idx="8">
                        <c:v>2001-04-27</c:v>
                      </c:pt>
                      <c:pt idx="9">
                        <c:v>2001-04-30</c:v>
                      </c:pt>
                      <c:pt idx="10">
                        <c:v>2001-05-01</c:v>
                      </c:pt>
                      <c:pt idx="11">
                        <c:v>2001-05-02</c:v>
                      </c:pt>
                      <c:pt idx="12">
                        <c:v>2001-05-03</c:v>
                      </c:pt>
                      <c:pt idx="13">
                        <c:v>2001-05-04</c:v>
                      </c:pt>
                      <c:pt idx="14">
                        <c:v>2001-05-07</c:v>
                      </c:pt>
                      <c:pt idx="15">
                        <c:v>2001-05-08</c:v>
                      </c:pt>
                      <c:pt idx="16">
                        <c:v>2001-05-09</c:v>
                      </c:pt>
                      <c:pt idx="17">
                        <c:v>2001-05-10</c:v>
                      </c:pt>
                      <c:pt idx="18">
                        <c:v>2001-05-11</c:v>
                      </c:pt>
                      <c:pt idx="19">
                        <c:v>2001-05-14</c:v>
                      </c:pt>
                      <c:pt idx="20">
                        <c:v>2001-05-15</c:v>
                      </c:pt>
                      <c:pt idx="21">
                        <c:v>2001-05-16</c:v>
                      </c:pt>
                      <c:pt idx="22">
                        <c:v>2001-05-17</c:v>
                      </c:pt>
                      <c:pt idx="23">
                        <c:v>2001-05-18</c:v>
                      </c:pt>
                      <c:pt idx="24">
                        <c:v>2001-05-21</c:v>
                      </c:pt>
                      <c:pt idx="25">
                        <c:v>2001-05-22</c:v>
                      </c:pt>
                      <c:pt idx="26">
                        <c:v>2001-05-23</c:v>
                      </c:pt>
                      <c:pt idx="27">
                        <c:v>2001-05-24</c:v>
                      </c:pt>
                      <c:pt idx="28">
                        <c:v>2001-05-25</c:v>
                      </c:pt>
                      <c:pt idx="29">
                        <c:v>2001-05-29</c:v>
                      </c:pt>
                      <c:pt idx="3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data!$C$327:$C$357</c:f>
              <c:numCache>
                <c:formatCode>0.0000</c:formatCode>
                <c:ptCount val="31"/>
                <c:pt idx="0">
                  <c:v>25.679466000000001</c:v>
                </c:pt>
                <c:pt idx="1">
                  <c:v>25.825787999999999</c:v>
                </c:pt>
                <c:pt idx="2">
                  <c:v>25.825787999999999</c:v>
                </c:pt>
                <c:pt idx="3">
                  <c:v>25.972110999999899</c:v>
                </c:pt>
                <c:pt idx="4">
                  <c:v>25.884316999999999</c:v>
                </c:pt>
                <c:pt idx="5">
                  <c:v>25.825787999999999</c:v>
                </c:pt>
                <c:pt idx="6">
                  <c:v>25.877001</c:v>
                </c:pt>
                <c:pt idx="7">
                  <c:v>26.169643000000001</c:v>
                </c:pt>
                <c:pt idx="8">
                  <c:v>26.85004</c:v>
                </c:pt>
                <c:pt idx="9">
                  <c:v>26.923200999999999</c:v>
                </c:pt>
                <c:pt idx="10">
                  <c:v>27.040258000000001</c:v>
                </c:pt>
                <c:pt idx="11">
                  <c:v>27.069522999999901</c:v>
                </c:pt>
                <c:pt idx="12">
                  <c:v>26.996362999999999</c:v>
                </c:pt>
                <c:pt idx="13">
                  <c:v>26.835408999999999</c:v>
                </c:pt>
                <c:pt idx="14">
                  <c:v>26.769563999999999</c:v>
                </c:pt>
                <c:pt idx="15">
                  <c:v>26.667138999999999</c:v>
                </c:pt>
                <c:pt idx="16">
                  <c:v>26.447654999999902</c:v>
                </c:pt>
                <c:pt idx="17">
                  <c:v>26.447654999999902</c:v>
                </c:pt>
                <c:pt idx="18">
                  <c:v>26.374495</c:v>
                </c:pt>
                <c:pt idx="19">
                  <c:v>26.337914000000001</c:v>
                </c:pt>
                <c:pt idx="20">
                  <c:v>26.513500000000001</c:v>
                </c:pt>
                <c:pt idx="21">
                  <c:v>26.754929999999899</c:v>
                </c:pt>
                <c:pt idx="22">
                  <c:v>26.85004</c:v>
                </c:pt>
                <c:pt idx="23">
                  <c:v>26.776879999999998</c:v>
                </c:pt>
                <c:pt idx="24">
                  <c:v>26.630558000000001</c:v>
                </c:pt>
                <c:pt idx="25">
                  <c:v>27.069522999999901</c:v>
                </c:pt>
                <c:pt idx="26">
                  <c:v>27.325585999999898</c:v>
                </c:pt>
                <c:pt idx="27">
                  <c:v>27.479222999999902</c:v>
                </c:pt>
                <c:pt idx="28">
                  <c:v>27.435327999999998</c:v>
                </c:pt>
                <c:pt idx="29">
                  <c:v>27.6913909999999</c:v>
                </c:pt>
                <c:pt idx="30">
                  <c:v>27.552384999999902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data!$A$327:$A$357</c15:sqref>
                        </c15:formulaRef>
                      </c:ext>
                    </c:extLst>
                    <c:strCache>
                      <c:ptCount val="31"/>
                      <c:pt idx="0">
                        <c:v>2001-04-17</c:v>
                      </c:pt>
                      <c:pt idx="1">
                        <c:v>2001-04-18</c:v>
                      </c:pt>
                      <c:pt idx="2">
                        <c:v>2001-04-19</c:v>
                      </c:pt>
                      <c:pt idx="3">
                        <c:v>2001-04-20</c:v>
                      </c:pt>
                      <c:pt idx="4">
                        <c:v>2001-04-23</c:v>
                      </c:pt>
                      <c:pt idx="5">
                        <c:v>2001-04-24</c:v>
                      </c:pt>
                      <c:pt idx="6">
                        <c:v>2001-04-25</c:v>
                      </c:pt>
                      <c:pt idx="7">
                        <c:v>2001-04-26</c:v>
                      </c:pt>
                      <c:pt idx="8">
                        <c:v>2001-04-27</c:v>
                      </c:pt>
                      <c:pt idx="9">
                        <c:v>2001-04-30</c:v>
                      </c:pt>
                      <c:pt idx="10">
                        <c:v>2001-05-01</c:v>
                      </c:pt>
                      <c:pt idx="11">
                        <c:v>2001-05-02</c:v>
                      </c:pt>
                      <c:pt idx="12">
                        <c:v>2001-05-03</c:v>
                      </c:pt>
                      <c:pt idx="13">
                        <c:v>2001-05-04</c:v>
                      </c:pt>
                      <c:pt idx="14">
                        <c:v>2001-05-07</c:v>
                      </c:pt>
                      <c:pt idx="15">
                        <c:v>2001-05-08</c:v>
                      </c:pt>
                      <c:pt idx="16">
                        <c:v>2001-05-09</c:v>
                      </c:pt>
                      <c:pt idx="17">
                        <c:v>2001-05-10</c:v>
                      </c:pt>
                      <c:pt idx="18">
                        <c:v>2001-05-11</c:v>
                      </c:pt>
                      <c:pt idx="19">
                        <c:v>2001-05-14</c:v>
                      </c:pt>
                      <c:pt idx="20">
                        <c:v>2001-05-15</c:v>
                      </c:pt>
                      <c:pt idx="21">
                        <c:v>2001-05-16</c:v>
                      </c:pt>
                      <c:pt idx="22">
                        <c:v>2001-05-17</c:v>
                      </c:pt>
                      <c:pt idx="23">
                        <c:v>2001-05-18</c:v>
                      </c:pt>
                      <c:pt idx="24">
                        <c:v>2001-05-21</c:v>
                      </c:pt>
                      <c:pt idx="25">
                        <c:v>2001-05-22</c:v>
                      </c:pt>
                      <c:pt idx="26">
                        <c:v>2001-05-23</c:v>
                      </c:pt>
                      <c:pt idx="27">
                        <c:v>2001-05-24</c:v>
                      </c:pt>
                      <c:pt idx="28">
                        <c:v>2001-05-25</c:v>
                      </c:pt>
                      <c:pt idx="29">
                        <c:v>2001-05-29</c:v>
                      </c:pt>
                      <c:pt idx="3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data!$D$327:$D$357</c:f>
              <c:numCache>
                <c:formatCode>0.0000</c:formatCode>
                <c:ptCount val="31"/>
                <c:pt idx="0">
                  <c:v>25.240500999999998</c:v>
                </c:pt>
                <c:pt idx="1">
                  <c:v>25.313662000000001</c:v>
                </c:pt>
                <c:pt idx="2">
                  <c:v>25.606306</c:v>
                </c:pt>
                <c:pt idx="3">
                  <c:v>25.620936999999898</c:v>
                </c:pt>
                <c:pt idx="4">
                  <c:v>25.496565</c:v>
                </c:pt>
                <c:pt idx="5">
                  <c:v>25.489248</c:v>
                </c:pt>
                <c:pt idx="6">
                  <c:v>25.620936999999898</c:v>
                </c:pt>
                <c:pt idx="7">
                  <c:v>25.723364</c:v>
                </c:pt>
                <c:pt idx="8">
                  <c:v>26.250121999999902</c:v>
                </c:pt>
                <c:pt idx="9">
                  <c:v>26.696403999999902</c:v>
                </c:pt>
                <c:pt idx="10">
                  <c:v>26.740299</c:v>
                </c:pt>
                <c:pt idx="11">
                  <c:v>26.886621000000002</c:v>
                </c:pt>
                <c:pt idx="12">
                  <c:v>26.667138999999999</c:v>
                </c:pt>
                <c:pt idx="13">
                  <c:v>26.396441999999901</c:v>
                </c:pt>
                <c:pt idx="14">
                  <c:v>26.542764999999999</c:v>
                </c:pt>
                <c:pt idx="15">
                  <c:v>26.264752999999999</c:v>
                </c:pt>
                <c:pt idx="16">
                  <c:v>26.279387</c:v>
                </c:pt>
                <c:pt idx="17">
                  <c:v>26.337914000000001</c:v>
                </c:pt>
                <c:pt idx="18">
                  <c:v>26.228171999999901</c:v>
                </c:pt>
                <c:pt idx="19">
                  <c:v>26.162329</c:v>
                </c:pt>
                <c:pt idx="20">
                  <c:v>26.257436999999999</c:v>
                </c:pt>
                <c:pt idx="21">
                  <c:v>26.411076000000001</c:v>
                </c:pt>
                <c:pt idx="22">
                  <c:v>26.608609999999999</c:v>
                </c:pt>
                <c:pt idx="23">
                  <c:v>26.542764999999999</c:v>
                </c:pt>
                <c:pt idx="24">
                  <c:v>26.403759000000001</c:v>
                </c:pt>
                <c:pt idx="25">
                  <c:v>26.550080999999999</c:v>
                </c:pt>
                <c:pt idx="26">
                  <c:v>26.747615999999901</c:v>
                </c:pt>
                <c:pt idx="27">
                  <c:v>27.142683000000002</c:v>
                </c:pt>
                <c:pt idx="28">
                  <c:v>27.069522999999901</c:v>
                </c:pt>
                <c:pt idx="29">
                  <c:v>27.252426</c:v>
                </c:pt>
                <c:pt idx="30">
                  <c:v>27.362166999999999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data!$A$327:$A$357</c15:sqref>
                        </c15:formulaRef>
                      </c:ext>
                    </c:extLst>
                    <c:strCache>
                      <c:ptCount val="31"/>
                      <c:pt idx="0">
                        <c:v>2001-04-17</c:v>
                      </c:pt>
                      <c:pt idx="1">
                        <c:v>2001-04-18</c:v>
                      </c:pt>
                      <c:pt idx="2">
                        <c:v>2001-04-19</c:v>
                      </c:pt>
                      <c:pt idx="3">
                        <c:v>2001-04-20</c:v>
                      </c:pt>
                      <c:pt idx="4">
                        <c:v>2001-04-23</c:v>
                      </c:pt>
                      <c:pt idx="5">
                        <c:v>2001-04-24</c:v>
                      </c:pt>
                      <c:pt idx="6">
                        <c:v>2001-04-25</c:v>
                      </c:pt>
                      <c:pt idx="7">
                        <c:v>2001-04-26</c:v>
                      </c:pt>
                      <c:pt idx="8">
                        <c:v>2001-04-27</c:v>
                      </c:pt>
                      <c:pt idx="9">
                        <c:v>2001-04-30</c:v>
                      </c:pt>
                      <c:pt idx="10">
                        <c:v>2001-05-01</c:v>
                      </c:pt>
                      <c:pt idx="11">
                        <c:v>2001-05-02</c:v>
                      </c:pt>
                      <c:pt idx="12">
                        <c:v>2001-05-03</c:v>
                      </c:pt>
                      <c:pt idx="13">
                        <c:v>2001-05-04</c:v>
                      </c:pt>
                      <c:pt idx="14">
                        <c:v>2001-05-07</c:v>
                      </c:pt>
                      <c:pt idx="15">
                        <c:v>2001-05-08</c:v>
                      </c:pt>
                      <c:pt idx="16">
                        <c:v>2001-05-09</c:v>
                      </c:pt>
                      <c:pt idx="17">
                        <c:v>2001-05-10</c:v>
                      </c:pt>
                      <c:pt idx="18">
                        <c:v>2001-05-11</c:v>
                      </c:pt>
                      <c:pt idx="19">
                        <c:v>2001-05-14</c:v>
                      </c:pt>
                      <c:pt idx="20">
                        <c:v>2001-05-15</c:v>
                      </c:pt>
                      <c:pt idx="21">
                        <c:v>2001-05-16</c:v>
                      </c:pt>
                      <c:pt idx="22">
                        <c:v>2001-05-17</c:v>
                      </c:pt>
                      <c:pt idx="23">
                        <c:v>2001-05-18</c:v>
                      </c:pt>
                      <c:pt idx="24">
                        <c:v>2001-05-21</c:v>
                      </c:pt>
                      <c:pt idx="25">
                        <c:v>2001-05-22</c:v>
                      </c:pt>
                      <c:pt idx="26">
                        <c:v>2001-05-23</c:v>
                      </c:pt>
                      <c:pt idx="27">
                        <c:v>2001-05-24</c:v>
                      </c:pt>
                      <c:pt idx="28">
                        <c:v>2001-05-25</c:v>
                      </c:pt>
                      <c:pt idx="29">
                        <c:v>2001-05-29</c:v>
                      </c:pt>
                      <c:pt idx="3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data!$E$327:$E$357</c:f>
              <c:numCache>
                <c:formatCode>0.0000</c:formatCode>
                <c:ptCount val="31"/>
                <c:pt idx="0">
                  <c:v>25.606306</c:v>
                </c:pt>
                <c:pt idx="1">
                  <c:v>25.774576</c:v>
                </c:pt>
                <c:pt idx="2">
                  <c:v>25.789207000000001</c:v>
                </c:pt>
                <c:pt idx="3">
                  <c:v>25.701414</c:v>
                </c:pt>
                <c:pt idx="4">
                  <c:v>25.664835</c:v>
                </c:pt>
                <c:pt idx="5">
                  <c:v>25.679466000000001</c:v>
                </c:pt>
                <c:pt idx="6">
                  <c:v>25.716047</c:v>
                </c:pt>
                <c:pt idx="7">
                  <c:v>26.052588</c:v>
                </c:pt>
                <c:pt idx="8">
                  <c:v>26.740299</c:v>
                </c:pt>
                <c:pt idx="9">
                  <c:v>26.864671999999999</c:v>
                </c:pt>
                <c:pt idx="10">
                  <c:v>27.018310999999901</c:v>
                </c:pt>
                <c:pt idx="11">
                  <c:v>27.069522999999901</c:v>
                </c:pt>
                <c:pt idx="12">
                  <c:v>26.893936</c:v>
                </c:pt>
                <c:pt idx="13">
                  <c:v>26.732983000000001</c:v>
                </c:pt>
                <c:pt idx="14">
                  <c:v>26.630558000000001</c:v>
                </c:pt>
                <c:pt idx="15">
                  <c:v>26.513500000000001</c:v>
                </c:pt>
                <c:pt idx="16">
                  <c:v>26.359863000000001</c:v>
                </c:pt>
                <c:pt idx="17">
                  <c:v>26.381810999999999</c:v>
                </c:pt>
                <c:pt idx="18">
                  <c:v>26.308648999999999</c:v>
                </c:pt>
                <c:pt idx="19">
                  <c:v>26.337914000000001</c:v>
                </c:pt>
                <c:pt idx="20">
                  <c:v>26.411076000000001</c:v>
                </c:pt>
                <c:pt idx="21">
                  <c:v>26.754929999999899</c:v>
                </c:pt>
                <c:pt idx="22">
                  <c:v>26.798828</c:v>
                </c:pt>
                <c:pt idx="23">
                  <c:v>26.652505999999999</c:v>
                </c:pt>
                <c:pt idx="24">
                  <c:v>26.513500000000001</c:v>
                </c:pt>
                <c:pt idx="25">
                  <c:v>26.85004</c:v>
                </c:pt>
                <c:pt idx="26">
                  <c:v>27.201211999999899</c:v>
                </c:pt>
                <c:pt idx="27">
                  <c:v>27.457274999999999</c:v>
                </c:pt>
                <c:pt idx="28">
                  <c:v>27.252426</c:v>
                </c:pt>
                <c:pt idx="29">
                  <c:v>27.552384999999902</c:v>
                </c:pt>
                <c:pt idx="30">
                  <c:v>27.362166999999999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data!$A$327:$A$357</c15:sqref>
                        </c15:formulaRef>
                      </c:ext>
                    </c:extLst>
                    <c:strCache>
                      <c:ptCount val="31"/>
                      <c:pt idx="0">
                        <c:v>2001-04-17</c:v>
                      </c:pt>
                      <c:pt idx="1">
                        <c:v>2001-04-18</c:v>
                      </c:pt>
                      <c:pt idx="2">
                        <c:v>2001-04-19</c:v>
                      </c:pt>
                      <c:pt idx="3">
                        <c:v>2001-04-20</c:v>
                      </c:pt>
                      <c:pt idx="4">
                        <c:v>2001-04-23</c:v>
                      </c:pt>
                      <c:pt idx="5">
                        <c:v>2001-04-24</c:v>
                      </c:pt>
                      <c:pt idx="6">
                        <c:v>2001-04-25</c:v>
                      </c:pt>
                      <c:pt idx="7">
                        <c:v>2001-04-26</c:v>
                      </c:pt>
                      <c:pt idx="8">
                        <c:v>2001-04-27</c:v>
                      </c:pt>
                      <c:pt idx="9">
                        <c:v>2001-04-30</c:v>
                      </c:pt>
                      <c:pt idx="10">
                        <c:v>2001-05-01</c:v>
                      </c:pt>
                      <c:pt idx="11">
                        <c:v>2001-05-02</c:v>
                      </c:pt>
                      <c:pt idx="12">
                        <c:v>2001-05-03</c:v>
                      </c:pt>
                      <c:pt idx="13">
                        <c:v>2001-05-04</c:v>
                      </c:pt>
                      <c:pt idx="14">
                        <c:v>2001-05-07</c:v>
                      </c:pt>
                      <c:pt idx="15">
                        <c:v>2001-05-08</c:v>
                      </c:pt>
                      <c:pt idx="16">
                        <c:v>2001-05-09</c:v>
                      </c:pt>
                      <c:pt idx="17">
                        <c:v>2001-05-10</c:v>
                      </c:pt>
                      <c:pt idx="18">
                        <c:v>2001-05-11</c:v>
                      </c:pt>
                      <c:pt idx="19">
                        <c:v>2001-05-14</c:v>
                      </c:pt>
                      <c:pt idx="20">
                        <c:v>2001-05-15</c:v>
                      </c:pt>
                      <c:pt idx="21">
                        <c:v>2001-05-16</c:v>
                      </c:pt>
                      <c:pt idx="22">
                        <c:v>2001-05-17</c:v>
                      </c:pt>
                      <c:pt idx="23">
                        <c:v>2001-05-18</c:v>
                      </c:pt>
                      <c:pt idx="24">
                        <c:v>2001-05-21</c:v>
                      </c:pt>
                      <c:pt idx="25">
                        <c:v>2001-05-22</c:v>
                      </c:pt>
                      <c:pt idx="26">
                        <c:v>2001-05-23</c:v>
                      </c:pt>
                      <c:pt idx="27">
                        <c:v>2001-05-24</c:v>
                      </c:pt>
                      <c:pt idx="28">
                        <c:v>2001-05-25</c:v>
                      </c:pt>
                      <c:pt idx="29">
                        <c:v>2001-05-29</c:v>
                      </c:pt>
                      <c:pt idx="3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754666416"/>
        <c:axId val="-1754669680"/>
      </c:stockChart>
      <c:catAx>
        <c:axId val="-17546664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54669680"/>
        <c:crosses val="autoZero"/>
        <c:auto val="1"/>
        <c:lblAlgn val="ctr"/>
        <c:lblOffset val="100"/>
        <c:tickLblSkip val="2"/>
        <c:noMultiLvlLbl val="0"/>
      </c:catAx>
      <c:valAx>
        <c:axId val="-1754669680"/>
        <c:scaling>
          <c:orientation val="minMax"/>
          <c:max val="27.968304909999897"/>
          <c:min val="24.98809598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5466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data!$E$237:$E$357</c:f>
              <c:numCache>
                <c:formatCode>0.0000</c:formatCode>
                <c:ptCount val="121"/>
                <c:pt idx="0">
                  <c:v>27.572503999999999</c:v>
                </c:pt>
                <c:pt idx="1">
                  <c:v>27.755405</c:v>
                </c:pt>
                <c:pt idx="2">
                  <c:v>27.801131999999999</c:v>
                </c:pt>
                <c:pt idx="3">
                  <c:v>27.663955999999999</c:v>
                </c:pt>
                <c:pt idx="4">
                  <c:v>27.755405</c:v>
                </c:pt>
                <c:pt idx="5">
                  <c:v>27.618228999999999</c:v>
                </c:pt>
                <c:pt idx="6">
                  <c:v>27.846857</c:v>
                </c:pt>
                <c:pt idx="7">
                  <c:v>27.709681</c:v>
                </c:pt>
                <c:pt idx="8">
                  <c:v>27.938309</c:v>
                </c:pt>
                <c:pt idx="9">
                  <c:v>28.304113000000001</c:v>
                </c:pt>
                <c:pt idx="10">
                  <c:v>28.349837999999998</c:v>
                </c:pt>
                <c:pt idx="11">
                  <c:v>28.258386999999999</c:v>
                </c:pt>
                <c:pt idx="12">
                  <c:v>27.892582000000001</c:v>
                </c:pt>
                <c:pt idx="13">
                  <c:v>27.801131999999999</c:v>
                </c:pt>
                <c:pt idx="14">
                  <c:v>27.801131999999999</c:v>
                </c:pt>
                <c:pt idx="15">
                  <c:v>27.892582000000001</c:v>
                </c:pt>
                <c:pt idx="16">
                  <c:v>28.487015</c:v>
                </c:pt>
                <c:pt idx="17">
                  <c:v>28.0297599999999</c:v>
                </c:pt>
                <c:pt idx="18">
                  <c:v>27.572503999999999</c:v>
                </c:pt>
                <c:pt idx="19">
                  <c:v>27.663955999999999</c:v>
                </c:pt>
                <c:pt idx="20">
                  <c:v>27.572503999999999</c:v>
                </c:pt>
                <c:pt idx="21">
                  <c:v>27.298151000000001</c:v>
                </c:pt>
                <c:pt idx="22">
                  <c:v>27.298151000000001</c:v>
                </c:pt>
                <c:pt idx="23">
                  <c:v>27.115247999999902</c:v>
                </c:pt>
                <c:pt idx="24">
                  <c:v>26.886621000000002</c:v>
                </c:pt>
                <c:pt idx="25">
                  <c:v>26.475090000000002</c:v>
                </c:pt>
                <c:pt idx="26">
                  <c:v>26.246464</c:v>
                </c:pt>
                <c:pt idx="27">
                  <c:v>26.155011999999999</c:v>
                </c:pt>
                <c:pt idx="28">
                  <c:v>25.926383999999999</c:v>
                </c:pt>
                <c:pt idx="29">
                  <c:v>26.475090000000002</c:v>
                </c:pt>
                <c:pt idx="30">
                  <c:v>26.429365000000001</c:v>
                </c:pt>
                <c:pt idx="31">
                  <c:v>26.612268</c:v>
                </c:pt>
                <c:pt idx="32">
                  <c:v>26.566541999999998</c:v>
                </c:pt>
                <c:pt idx="33">
                  <c:v>26.520816999999901</c:v>
                </c:pt>
                <c:pt idx="34">
                  <c:v>26.475090000000002</c:v>
                </c:pt>
                <c:pt idx="35">
                  <c:v>26.475090000000002</c:v>
                </c:pt>
                <c:pt idx="36">
                  <c:v>26.557397999999999</c:v>
                </c:pt>
                <c:pt idx="37">
                  <c:v>26.623240999999901</c:v>
                </c:pt>
                <c:pt idx="38">
                  <c:v>26.630558000000001</c:v>
                </c:pt>
                <c:pt idx="39">
                  <c:v>26.520816999999901</c:v>
                </c:pt>
                <c:pt idx="40">
                  <c:v>26.857357</c:v>
                </c:pt>
                <c:pt idx="41">
                  <c:v>26.703717999999999</c:v>
                </c:pt>
                <c:pt idx="42">
                  <c:v>26.572028999999901</c:v>
                </c:pt>
                <c:pt idx="43">
                  <c:v>26.601293999999999</c:v>
                </c:pt>
                <c:pt idx="44">
                  <c:v>26.528133</c:v>
                </c:pt>
                <c:pt idx="45">
                  <c:v>26.411076000000001</c:v>
                </c:pt>
                <c:pt idx="46">
                  <c:v>26.396441999999901</c:v>
                </c:pt>
                <c:pt idx="47">
                  <c:v>26.374495</c:v>
                </c:pt>
                <c:pt idx="48">
                  <c:v>26.425706999999999</c:v>
                </c:pt>
                <c:pt idx="49">
                  <c:v>26.337914000000001</c:v>
                </c:pt>
                <c:pt idx="50">
                  <c:v>26.337914000000001</c:v>
                </c:pt>
                <c:pt idx="51">
                  <c:v>26.301334000000001</c:v>
                </c:pt>
                <c:pt idx="52">
                  <c:v>25.986742</c:v>
                </c:pt>
                <c:pt idx="53">
                  <c:v>25.291713999999999</c:v>
                </c:pt>
                <c:pt idx="54">
                  <c:v>25.716047</c:v>
                </c:pt>
                <c:pt idx="55">
                  <c:v>26.667138999999999</c:v>
                </c:pt>
                <c:pt idx="56">
                  <c:v>27.113420000000001</c:v>
                </c:pt>
                <c:pt idx="57">
                  <c:v>27.662127000000002</c:v>
                </c:pt>
                <c:pt idx="58">
                  <c:v>27.764551000000001</c:v>
                </c:pt>
                <c:pt idx="59">
                  <c:v>28.203515999999901</c:v>
                </c:pt>
                <c:pt idx="60">
                  <c:v>28.357154999999999</c:v>
                </c:pt>
                <c:pt idx="61">
                  <c:v>28.196200999999999</c:v>
                </c:pt>
                <c:pt idx="62">
                  <c:v>27.801131999999999</c:v>
                </c:pt>
                <c:pt idx="63">
                  <c:v>27.801131999999999</c:v>
                </c:pt>
                <c:pt idx="64">
                  <c:v>27.545069000000002</c:v>
                </c:pt>
                <c:pt idx="65">
                  <c:v>27.369482000000001</c:v>
                </c:pt>
                <c:pt idx="66">
                  <c:v>27.58165</c:v>
                </c:pt>
                <c:pt idx="67">
                  <c:v>27.069522999999901</c:v>
                </c:pt>
                <c:pt idx="68">
                  <c:v>26.740299</c:v>
                </c:pt>
                <c:pt idx="69">
                  <c:v>26.623240999999901</c:v>
                </c:pt>
                <c:pt idx="70">
                  <c:v>27.106103999999998</c:v>
                </c:pt>
                <c:pt idx="71">
                  <c:v>27.047574999999998</c:v>
                </c:pt>
                <c:pt idx="72">
                  <c:v>26.389127999999999</c:v>
                </c:pt>
                <c:pt idx="73">
                  <c:v>25.972110999999899</c:v>
                </c:pt>
                <c:pt idx="74">
                  <c:v>25.825787999999999</c:v>
                </c:pt>
                <c:pt idx="75">
                  <c:v>26.557397999999999</c:v>
                </c:pt>
                <c:pt idx="76">
                  <c:v>26.520816999999901</c:v>
                </c:pt>
                <c:pt idx="77">
                  <c:v>25.913582000000002</c:v>
                </c:pt>
                <c:pt idx="78">
                  <c:v>26.228171999999901</c:v>
                </c:pt>
                <c:pt idx="79">
                  <c:v>26.213540999999999</c:v>
                </c:pt>
                <c:pt idx="80">
                  <c:v>26.85004</c:v>
                </c:pt>
                <c:pt idx="81">
                  <c:v>26.118431000000001</c:v>
                </c:pt>
                <c:pt idx="82">
                  <c:v>26.213540999999999</c:v>
                </c:pt>
                <c:pt idx="83">
                  <c:v>26.623240999999901</c:v>
                </c:pt>
                <c:pt idx="84">
                  <c:v>26.155011999999999</c:v>
                </c:pt>
                <c:pt idx="85">
                  <c:v>26.045271</c:v>
                </c:pt>
                <c:pt idx="86">
                  <c:v>25.913582000000002</c:v>
                </c:pt>
                <c:pt idx="87">
                  <c:v>25.591673</c:v>
                </c:pt>
                <c:pt idx="88">
                  <c:v>25.445353000000001</c:v>
                </c:pt>
                <c:pt idx="89">
                  <c:v>25.284396999999998</c:v>
                </c:pt>
                <c:pt idx="90">
                  <c:v>25.606306</c:v>
                </c:pt>
                <c:pt idx="91">
                  <c:v>25.774576</c:v>
                </c:pt>
                <c:pt idx="92">
                  <c:v>25.789207000000001</c:v>
                </c:pt>
                <c:pt idx="93">
                  <c:v>25.701414</c:v>
                </c:pt>
                <c:pt idx="94">
                  <c:v>25.664835</c:v>
                </c:pt>
                <c:pt idx="95">
                  <c:v>25.679466000000001</c:v>
                </c:pt>
                <c:pt idx="96">
                  <c:v>25.716047</c:v>
                </c:pt>
                <c:pt idx="97">
                  <c:v>26.052588</c:v>
                </c:pt>
                <c:pt idx="98">
                  <c:v>26.740299</c:v>
                </c:pt>
                <c:pt idx="99">
                  <c:v>26.864671999999999</c:v>
                </c:pt>
                <c:pt idx="100">
                  <c:v>27.018310999999901</c:v>
                </c:pt>
                <c:pt idx="101">
                  <c:v>27.069522999999901</c:v>
                </c:pt>
                <c:pt idx="102">
                  <c:v>26.893936</c:v>
                </c:pt>
                <c:pt idx="103">
                  <c:v>26.732983000000001</c:v>
                </c:pt>
                <c:pt idx="104">
                  <c:v>26.630558000000001</c:v>
                </c:pt>
                <c:pt idx="105">
                  <c:v>26.513500000000001</c:v>
                </c:pt>
                <c:pt idx="106">
                  <c:v>26.359863000000001</c:v>
                </c:pt>
                <c:pt idx="107">
                  <c:v>26.381810999999999</c:v>
                </c:pt>
                <c:pt idx="108">
                  <c:v>26.308648999999999</c:v>
                </c:pt>
                <c:pt idx="109">
                  <c:v>26.337914000000001</c:v>
                </c:pt>
                <c:pt idx="110">
                  <c:v>26.411076000000001</c:v>
                </c:pt>
                <c:pt idx="111">
                  <c:v>26.754929999999899</c:v>
                </c:pt>
                <c:pt idx="112">
                  <c:v>26.798828</c:v>
                </c:pt>
                <c:pt idx="113">
                  <c:v>26.652505999999999</c:v>
                </c:pt>
                <c:pt idx="114">
                  <c:v>26.513500000000001</c:v>
                </c:pt>
                <c:pt idx="115">
                  <c:v>26.85004</c:v>
                </c:pt>
                <c:pt idx="116">
                  <c:v>27.201211999999899</c:v>
                </c:pt>
                <c:pt idx="117">
                  <c:v>27.457274999999999</c:v>
                </c:pt>
                <c:pt idx="118">
                  <c:v>27.252426</c:v>
                </c:pt>
                <c:pt idx="119">
                  <c:v>27.552384999999902</c:v>
                </c:pt>
                <c:pt idx="120">
                  <c:v>27.362166999999999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data!$A$237:$A$357</c15:sqref>
                        </c15:formulaRef>
                      </c:ext>
                    </c:extLst>
                    <c:strCache>
                      <c:ptCount val="121"/>
                      <c:pt idx="0">
                        <c:v>2000-12-05</c:v>
                      </c:pt>
                      <c:pt idx="1">
                        <c:v>2000-12-06</c:v>
                      </c:pt>
                      <c:pt idx="2">
                        <c:v>2000-12-07</c:v>
                      </c:pt>
                      <c:pt idx="3">
                        <c:v>2000-12-08</c:v>
                      </c:pt>
                      <c:pt idx="4">
                        <c:v>2000-12-11</c:v>
                      </c:pt>
                      <c:pt idx="5">
                        <c:v>2000-12-12</c:v>
                      </c:pt>
                      <c:pt idx="6">
                        <c:v>2000-12-13</c:v>
                      </c:pt>
                      <c:pt idx="7">
                        <c:v>2000-12-14</c:v>
                      </c:pt>
                      <c:pt idx="8">
                        <c:v>2000-12-15</c:v>
                      </c:pt>
                      <c:pt idx="9">
                        <c:v>2000-12-18</c:v>
                      </c:pt>
                      <c:pt idx="10">
                        <c:v>2000-12-19</c:v>
                      </c:pt>
                      <c:pt idx="11">
                        <c:v>2000-12-20</c:v>
                      </c:pt>
                      <c:pt idx="12">
                        <c:v>2000-12-21</c:v>
                      </c:pt>
                      <c:pt idx="13">
                        <c:v>2000-12-22</c:v>
                      </c:pt>
                      <c:pt idx="14">
                        <c:v>2000-12-26</c:v>
                      </c:pt>
                      <c:pt idx="15">
                        <c:v>2000-12-27</c:v>
                      </c:pt>
                      <c:pt idx="16">
                        <c:v>2000-12-28</c:v>
                      </c:pt>
                      <c:pt idx="17">
                        <c:v>2000-12-29</c:v>
                      </c:pt>
                      <c:pt idx="18">
                        <c:v>2001-01-02</c:v>
                      </c:pt>
                      <c:pt idx="19">
                        <c:v>2001-01-03</c:v>
                      </c:pt>
                      <c:pt idx="20">
                        <c:v>2001-01-04</c:v>
                      </c:pt>
                      <c:pt idx="21">
                        <c:v>2001-01-05</c:v>
                      </c:pt>
                      <c:pt idx="22">
                        <c:v>2001-01-08</c:v>
                      </c:pt>
                      <c:pt idx="23">
                        <c:v>2001-01-09</c:v>
                      </c:pt>
                      <c:pt idx="24">
                        <c:v>2001-01-10</c:v>
                      </c:pt>
                      <c:pt idx="25">
                        <c:v>2001-01-11</c:v>
                      </c:pt>
                      <c:pt idx="26">
                        <c:v>2001-01-12</c:v>
                      </c:pt>
                      <c:pt idx="27">
                        <c:v>2001-01-16</c:v>
                      </c:pt>
                      <c:pt idx="28">
                        <c:v>2001-01-17</c:v>
                      </c:pt>
                      <c:pt idx="29">
                        <c:v>2001-01-18</c:v>
                      </c:pt>
                      <c:pt idx="30">
                        <c:v>2001-01-19</c:v>
                      </c:pt>
                      <c:pt idx="31">
                        <c:v>2001-01-22</c:v>
                      </c:pt>
                      <c:pt idx="32">
                        <c:v>2001-01-23</c:v>
                      </c:pt>
                      <c:pt idx="33">
                        <c:v>2001-01-24</c:v>
                      </c:pt>
                      <c:pt idx="34">
                        <c:v>2001-01-25</c:v>
                      </c:pt>
                      <c:pt idx="35">
                        <c:v>2001-01-26</c:v>
                      </c:pt>
                      <c:pt idx="36">
                        <c:v>2001-01-29</c:v>
                      </c:pt>
                      <c:pt idx="37">
                        <c:v>2001-01-30</c:v>
                      </c:pt>
                      <c:pt idx="38">
                        <c:v>2001-01-31</c:v>
                      </c:pt>
                      <c:pt idx="39">
                        <c:v>2001-02-01</c:v>
                      </c:pt>
                      <c:pt idx="40">
                        <c:v>2001-02-02</c:v>
                      </c:pt>
                      <c:pt idx="41">
                        <c:v>2001-02-05</c:v>
                      </c:pt>
                      <c:pt idx="42">
                        <c:v>2001-02-06</c:v>
                      </c:pt>
                      <c:pt idx="43">
                        <c:v>2001-02-07</c:v>
                      </c:pt>
                      <c:pt idx="44">
                        <c:v>2001-02-08</c:v>
                      </c:pt>
                      <c:pt idx="45">
                        <c:v>2001-02-09</c:v>
                      </c:pt>
                      <c:pt idx="46">
                        <c:v>2001-02-12</c:v>
                      </c:pt>
                      <c:pt idx="47">
                        <c:v>2001-02-13</c:v>
                      </c:pt>
                      <c:pt idx="48">
                        <c:v>2001-02-14</c:v>
                      </c:pt>
                      <c:pt idx="49">
                        <c:v>2001-02-15</c:v>
                      </c:pt>
                      <c:pt idx="50">
                        <c:v>2001-02-16</c:v>
                      </c:pt>
                      <c:pt idx="51">
                        <c:v>2001-02-20</c:v>
                      </c:pt>
                      <c:pt idx="52">
                        <c:v>2001-02-21</c:v>
                      </c:pt>
                      <c:pt idx="53">
                        <c:v>2001-02-22</c:v>
                      </c:pt>
                      <c:pt idx="54">
                        <c:v>2001-02-23</c:v>
                      </c:pt>
                      <c:pt idx="55">
                        <c:v>2001-02-26</c:v>
                      </c:pt>
                      <c:pt idx="56">
                        <c:v>2001-02-27</c:v>
                      </c:pt>
                      <c:pt idx="57">
                        <c:v>2001-02-28</c:v>
                      </c:pt>
                      <c:pt idx="58">
                        <c:v>2001-03-01</c:v>
                      </c:pt>
                      <c:pt idx="59">
                        <c:v>2001-03-02</c:v>
                      </c:pt>
                      <c:pt idx="60">
                        <c:v>2001-03-05</c:v>
                      </c:pt>
                      <c:pt idx="61">
                        <c:v>2001-03-06</c:v>
                      </c:pt>
                      <c:pt idx="62">
                        <c:v>2001-03-07</c:v>
                      </c:pt>
                      <c:pt idx="63">
                        <c:v>2001-03-08</c:v>
                      </c:pt>
                      <c:pt idx="64">
                        <c:v>2001-03-09</c:v>
                      </c:pt>
                      <c:pt idx="65">
                        <c:v>2001-03-12</c:v>
                      </c:pt>
                      <c:pt idx="66">
                        <c:v>2001-03-13</c:v>
                      </c:pt>
                      <c:pt idx="67">
                        <c:v>2001-03-14</c:v>
                      </c:pt>
                      <c:pt idx="68">
                        <c:v>2001-03-15</c:v>
                      </c:pt>
                      <c:pt idx="69">
                        <c:v>2001-03-16</c:v>
                      </c:pt>
                      <c:pt idx="70">
                        <c:v>2001-03-19</c:v>
                      </c:pt>
                      <c:pt idx="71">
                        <c:v>2001-03-20</c:v>
                      </c:pt>
                      <c:pt idx="72">
                        <c:v>2001-03-21</c:v>
                      </c:pt>
                      <c:pt idx="73">
                        <c:v>2001-03-22</c:v>
                      </c:pt>
                      <c:pt idx="74">
                        <c:v>2001-03-23</c:v>
                      </c:pt>
                      <c:pt idx="75">
                        <c:v>2001-03-26</c:v>
                      </c:pt>
                      <c:pt idx="76">
                        <c:v>2001-03-27</c:v>
                      </c:pt>
                      <c:pt idx="77">
                        <c:v>2001-03-28</c:v>
                      </c:pt>
                      <c:pt idx="78">
                        <c:v>2001-03-29</c:v>
                      </c:pt>
                      <c:pt idx="79">
                        <c:v>2001-03-30</c:v>
                      </c:pt>
                      <c:pt idx="80">
                        <c:v>2001-04-02</c:v>
                      </c:pt>
                      <c:pt idx="81">
                        <c:v>2001-04-03</c:v>
                      </c:pt>
                      <c:pt idx="82">
                        <c:v>2001-04-04</c:v>
                      </c:pt>
                      <c:pt idx="83">
                        <c:v>2001-04-05</c:v>
                      </c:pt>
                      <c:pt idx="84">
                        <c:v>2001-04-06</c:v>
                      </c:pt>
                      <c:pt idx="85">
                        <c:v>2001-04-09</c:v>
                      </c:pt>
                      <c:pt idx="86">
                        <c:v>2001-04-10</c:v>
                      </c:pt>
                      <c:pt idx="87">
                        <c:v>2001-04-11</c:v>
                      </c:pt>
                      <c:pt idx="88">
                        <c:v>2001-04-12</c:v>
                      </c:pt>
                      <c:pt idx="89">
                        <c:v>2001-04-16</c:v>
                      </c:pt>
                      <c:pt idx="90">
                        <c:v>2001-04-17</c:v>
                      </c:pt>
                      <c:pt idx="91">
                        <c:v>2001-04-18</c:v>
                      </c:pt>
                      <c:pt idx="92">
                        <c:v>2001-04-19</c:v>
                      </c:pt>
                      <c:pt idx="93">
                        <c:v>2001-04-20</c:v>
                      </c:pt>
                      <c:pt idx="94">
                        <c:v>2001-04-23</c:v>
                      </c:pt>
                      <c:pt idx="95">
                        <c:v>2001-04-24</c:v>
                      </c:pt>
                      <c:pt idx="96">
                        <c:v>2001-04-25</c:v>
                      </c:pt>
                      <c:pt idx="97">
                        <c:v>2001-04-26</c:v>
                      </c:pt>
                      <c:pt idx="98">
                        <c:v>2001-04-27</c:v>
                      </c:pt>
                      <c:pt idx="99">
                        <c:v>2001-04-30</c:v>
                      </c:pt>
                      <c:pt idx="100">
                        <c:v>2001-05-01</c:v>
                      </c:pt>
                      <c:pt idx="101">
                        <c:v>2001-05-02</c:v>
                      </c:pt>
                      <c:pt idx="102">
                        <c:v>2001-05-03</c:v>
                      </c:pt>
                      <c:pt idx="103">
                        <c:v>2001-05-04</c:v>
                      </c:pt>
                      <c:pt idx="104">
                        <c:v>2001-05-07</c:v>
                      </c:pt>
                      <c:pt idx="105">
                        <c:v>2001-05-08</c:v>
                      </c:pt>
                      <c:pt idx="106">
                        <c:v>2001-05-09</c:v>
                      </c:pt>
                      <c:pt idx="107">
                        <c:v>2001-05-10</c:v>
                      </c:pt>
                      <c:pt idx="108">
                        <c:v>2001-05-11</c:v>
                      </c:pt>
                      <c:pt idx="109">
                        <c:v>2001-05-14</c:v>
                      </c:pt>
                      <c:pt idx="110">
                        <c:v>2001-05-15</c:v>
                      </c:pt>
                      <c:pt idx="111">
                        <c:v>2001-05-16</c:v>
                      </c:pt>
                      <c:pt idx="112">
                        <c:v>2001-05-17</c:v>
                      </c:pt>
                      <c:pt idx="113">
                        <c:v>2001-05-18</c:v>
                      </c:pt>
                      <c:pt idx="114">
                        <c:v>2001-05-21</c:v>
                      </c:pt>
                      <c:pt idx="115">
                        <c:v>2001-05-22</c:v>
                      </c:pt>
                      <c:pt idx="116">
                        <c:v>2001-05-23</c:v>
                      </c:pt>
                      <c:pt idx="117">
                        <c:v>2001-05-24</c:v>
                      </c:pt>
                      <c:pt idx="118">
                        <c:v>2001-05-25</c:v>
                      </c:pt>
                      <c:pt idx="119">
                        <c:v>2001-05-29</c:v>
                      </c:pt>
                      <c:pt idx="120">
                        <c:v>2001-05-30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98122560"/>
        <c:axId val="-1554182048"/>
      </c:lineChart>
      <c:catAx>
        <c:axId val="-179812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4182048"/>
        <c:crosses val="autoZero"/>
        <c:auto val="1"/>
        <c:lblAlgn val="ctr"/>
        <c:lblOffset val="100"/>
        <c:noMultiLvlLbl val="0"/>
      </c:catAx>
      <c:valAx>
        <c:axId val="-1554182048"/>
        <c:scaling>
          <c:orientation val="minMax"/>
          <c:max val="28.771885149999999"/>
          <c:min val="25.03155302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981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554188576"/>
        <c:axId val="-1554190208"/>
      </c:stockChart>
      <c:catAx>
        <c:axId val="-15541885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4190208"/>
        <c:crosses val="autoZero"/>
        <c:auto val="1"/>
        <c:lblAlgn val="ctr"/>
        <c:lblOffset val="100"/>
        <c:tickLblSkip val="2"/>
        <c:noMultiLvlLbl val="0"/>
      </c:catAx>
      <c:valAx>
        <c:axId val="-15541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418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554183680"/>
        <c:axId val="-1554174976"/>
      </c:stockChart>
      <c:catAx>
        <c:axId val="-155418368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4174976"/>
        <c:crosses val="autoZero"/>
        <c:auto val="1"/>
        <c:lblAlgn val="ctr"/>
        <c:lblOffset val="100"/>
        <c:tickLblSkip val="2"/>
        <c:noMultiLvlLbl val="0"/>
      </c:catAx>
      <c:valAx>
        <c:axId val="-155417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41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54180960"/>
        <c:axId val="-1554178240"/>
      </c:lineChart>
      <c:catAx>
        <c:axId val="-15541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4178240"/>
        <c:crosses val="autoZero"/>
        <c:auto val="1"/>
        <c:lblAlgn val="ctr"/>
        <c:lblOffset val="100"/>
        <c:noMultiLvlLbl val="0"/>
      </c:catAx>
      <c:valAx>
        <c:axId val="-155417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41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94891</xdr:rowOff>
        </xdr:from>
        <xdr:to>
          <xdr:col>53</xdr:col>
          <xdr:colOff>77638</xdr:colOff>
          <xdr:row>25</xdr:row>
          <xdr:rowOff>51758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146649</xdr:rowOff>
        </xdr:from>
        <xdr:to>
          <xdr:col>53</xdr:col>
          <xdr:colOff>86264</xdr:colOff>
          <xdr:row>27</xdr:row>
          <xdr:rowOff>94891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17253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8626</xdr:colOff>
          <xdr:row>30</xdr:row>
          <xdr:rowOff>43132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86264</xdr:colOff>
          <xdr:row>45</xdr:row>
          <xdr:rowOff>17253</xdr:rowOff>
        </xdr:from>
        <xdr:to>
          <xdr:col>18</xdr:col>
          <xdr:colOff>86264</xdr:colOff>
          <xdr:row>46</xdr:row>
          <xdr:rowOff>129396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51758</xdr:colOff>
          <xdr:row>45</xdr:row>
          <xdr:rowOff>34506</xdr:rowOff>
        </xdr:from>
        <xdr:to>
          <xdr:col>12</xdr:col>
          <xdr:colOff>17253</xdr:colOff>
          <xdr:row>46</xdr:row>
          <xdr:rowOff>146649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43132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552091</xdr:colOff>
          <xdr:row>0</xdr:row>
          <xdr:rowOff>69011</xdr:rowOff>
        </xdr:from>
        <xdr:to>
          <xdr:col>63</xdr:col>
          <xdr:colOff>77638</xdr:colOff>
          <xdr:row>1</xdr:row>
          <xdr:rowOff>146649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45</xdr:col>
      <xdr:colOff>108858</xdr:colOff>
      <xdr:row>5</xdr:row>
      <xdr:rowOff>10887</xdr:rowOff>
    </xdr:to>
    <xdr:cxnSp macro="">
      <xdr:nvCxnSpPr>
        <xdr:cNvPr id="15" name="Straight Connector 14"/>
        <xdr:cNvCxnSpPr/>
      </xdr:nvCxnSpPr>
      <xdr:spPr>
        <a:xfrm>
          <a:off x="2122714" y="925286"/>
          <a:ext cx="5323115" cy="108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52992</xdr:colOff>
      <xdr:row>8</xdr:row>
      <xdr:rowOff>174171</xdr:rowOff>
    </xdr:from>
    <xdr:to>
      <xdr:col>50</xdr:col>
      <xdr:colOff>85647</xdr:colOff>
      <xdr:row>9</xdr:row>
      <xdr:rowOff>10887</xdr:rowOff>
    </xdr:to>
    <xdr:cxnSp macro="">
      <xdr:nvCxnSpPr>
        <xdr:cNvPr id="18" name="Straight Connector 17"/>
        <xdr:cNvCxnSpPr/>
      </xdr:nvCxnSpPr>
      <xdr:spPr>
        <a:xfrm>
          <a:off x="1950803" y="1652985"/>
          <a:ext cx="5738413" cy="2156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34506</xdr:colOff>
          <xdr:row>7</xdr:row>
          <xdr:rowOff>172528</xdr:rowOff>
        </xdr:from>
        <xdr:to>
          <xdr:col>13</xdr:col>
          <xdr:colOff>8626</xdr:colOff>
          <xdr:row>9</xdr:row>
          <xdr:rowOff>86264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C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CH28" sqref="CH28"/>
    </sheetView>
  </sheetViews>
  <sheetFormatPr defaultColWidth="1.75" defaultRowHeight="14.3" x14ac:dyDescent="0.25"/>
  <cols>
    <col min="1" max="1" width="1.75" style="13"/>
    <col min="2" max="2" width="14" style="14" bestFit="1" customWidth="1"/>
    <col min="3" max="3" width="10" style="14" bestFit="1" customWidth="1"/>
    <col min="4" max="5" width="1.75" style="14"/>
    <col min="6" max="6" width="1.75" style="15"/>
    <col min="7" max="8" width="1.75" style="12"/>
    <col min="9" max="9" width="2.25" style="12" customWidth="1"/>
    <col min="10" max="55" width="1.75" style="12"/>
    <col min="56" max="58" width="11.125" style="12" customWidth="1"/>
    <col min="59" max="59" width="13" style="12" bestFit="1" customWidth="1"/>
    <col min="60" max="60" width="12.75" style="12" bestFit="1" customWidth="1"/>
    <col min="61" max="61" width="2.75" style="12" customWidth="1"/>
    <col min="62" max="63" width="1.75" style="12"/>
    <col min="64" max="64" width="1.75" style="12" customWidth="1"/>
    <col min="65" max="65" width="13.375" style="12" bestFit="1" customWidth="1"/>
    <col min="66" max="66" width="13.75" style="12" bestFit="1" customWidth="1"/>
    <col min="67" max="67" width="15.25" style="12" customWidth="1"/>
    <col min="68" max="68" width="10.625" style="12" bestFit="1" customWidth="1"/>
    <col min="69" max="69" width="10" style="12" customWidth="1"/>
    <col min="70" max="70" width="16.25" style="12" bestFit="1" customWidth="1"/>
    <col min="71" max="71" width="21.75" style="12" customWidth="1"/>
    <col min="72" max="72" width="16.5" style="12" customWidth="1"/>
    <col min="73" max="121" width="1.625" style="12" customWidth="1"/>
    <col min="122" max="16384" width="1.75" style="12"/>
  </cols>
  <sheetData>
    <row r="1" spans="1:72" ht="14.95" thickBot="1" x14ac:dyDescent="0.3"/>
    <row r="2" spans="1:72" ht="14.95" thickBot="1" x14ac:dyDescent="0.3">
      <c r="A2" s="9"/>
      <c r="B2" s="10"/>
      <c r="C2" s="10"/>
      <c r="D2" s="10"/>
      <c r="E2" s="10"/>
      <c r="F2" s="11"/>
      <c r="BM2" s="64" t="s">
        <v>31</v>
      </c>
      <c r="BN2" s="65" t="s">
        <v>41</v>
      </c>
      <c r="BO2" s="65" t="s">
        <v>40</v>
      </c>
      <c r="BP2" s="65" t="s">
        <v>36</v>
      </c>
      <c r="BQ2" s="65" t="s">
        <v>37</v>
      </c>
      <c r="BR2" s="65" t="s">
        <v>50</v>
      </c>
      <c r="BS2" s="69" t="s">
        <v>38</v>
      </c>
      <c r="BT2" s="61" t="s">
        <v>106</v>
      </c>
    </row>
    <row r="3" spans="1:72" ht="14.95" thickBot="1" x14ac:dyDescent="0.3">
      <c r="BM3" s="62" t="s">
        <v>332</v>
      </c>
      <c r="BN3" s="63" t="s">
        <v>43</v>
      </c>
      <c r="BO3" s="63">
        <v>24.5</v>
      </c>
      <c r="BP3" s="63">
        <v>26.6</v>
      </c>
      <c r="BQ3" s="63"/>
      <c r="BR3" s="63" t="s">
        <v>48</v>
      </c>
      <c r="BS3" s="68"/>
      <c r="BT3" s="67" t="str">
        <f t="shared" ref="BT3:BT36" si="0">IF(OR(BR3="Counter",BR3="SL",BR3="TP"),(BO3-BO2)*IF(BN3="Buy",-1,1),"")</f>
        <v/>
      </c>
    </row>
    <row r="4" spans="1:72" ht="14.95" thickBot="1" x14ac:dyDescent="0.3">
      <c r="BM4" s="62" t="s">
        <v>350</v>
      </c>
      <c r="BN4" s="63" t="s">
        <v>42</v>
      </c>
      <c r="BO4" s="63">
        <v>26.200737</v>
      </c>
      <c r="BP4" s="63"/>
      <c r="BQ4" s="63"/>
      <c r="BR4" s="63" t="s">
        <v>98</v>
      </c>
      <c r="BS4" s="68"/>
      <c r="BT4" s="67">
        <f t="shared" si="0"/>
        <v>-1.7007370000000002</v>
      </c>
    </row>
    <row r="5" spans="1:72" ht="14.95" thickBot="1" x14ac:dyDescent="0.3">
      <c r="BM5" s="62" t="s">
        <v>350</v>
      </c>
      <c r="BN5" s="63" t="s">
        <v>42</v>
      </c>
      <c r="BO5" s="63">
        <v>26.200737</v>
      </c>
      <c r="BP5" s="63">
        <v>27.4</v>
      </c>
      <c r="BQ5" s="63"/>
      <c r="BR5" s="63" t="s">
        <v>48</v>
      </c>
      <c r="BS5" s="68"/>
      <c r="BT5" s="67" t="str">
        <f t="shared" si="0"/>
        <v/>
      </c>
    </row>
    <row r="6" spans="1:72" ht="14.95" thickBot="1" x14ac:dyDescent="0.3">
      <c r="BM6" s="62" t="s">
        <v>368</v>
      </c>
      <c r="BN6" s="63" t="s">
        <v>43</v>
      </c>
      <c r="BO6" s="63">
        <v>27.938309</v>
      </c>
      <c r="BP6" s="63"/>
      <c r="BQ6" s="63"/>
      <c r="BR6" s="63" t="s">
        <v>98</v>
      </c>
      <c r="BS6" s="68"/>
      <c r="BT6" s="67">
        <f t="shared" si="0"/>
        <v>1.7375720000000001</v>
      </c>
    </row>
    <row r="7" spans="1:72" ht="14.95" thickBot="1" x14ac:dyDescent="0.3">
      <c r="BM7" s="62" t="s">
        <v>372</v>
      </c>
      <c r="BN7" s="63" t="s">
        <v>43</v>
      </c>
      <c r="BO7" s="63">
        <v>27.892582000000001</v>
      </c>
      <c r="BP7" s="63">
        <v>28.1</v>
      </c>
      <c r="BQ7" s="63"/>
      <c r="BR7" s="63" t="s">
        <v>48</v>
      </c>
      <c r="BS7" s="68"/>
      <c r="BT7" s="67" t="str">
        <f t="shared" si="0"/>
        <v/>
      </c>
    </row>
    <row r="8" spans="1:72" ht="14.95" thickBot="1" x14ac:dyDescent="0.3">
      <c r="BM8" s="62" t="s">
        <v>375</v>
      </c>
      <c r="BN8" s="63" t="s">
        <v>42</v>
      </c>
      <c r="BO8" s="63">
        <v>27.892582000000001</v>
      </c>
      <c r="BP8" s="63"/>
      <c r="BQ8" s="63"/>
      <c r="BR8" s="63" t="s">
        <v>98</v>
      </c>
      <c r="BS8" s="68"/>
      <c r="BT8" s="67">
        <f t="shared" si="0"/>
        <v>0</v>
      </c>
    </row>
    <row r="9" spans="1:72" ht="14.95" thickBot="1" x14ac:dyDescent="0.3">
      <c r="BM9" s="62" t="s">
        <v>375</v>
      </c>
      <c r="BN9" s="63" t="s">
        <v>42</v>
      </c>
      <c r="BO9" s="63">
        <v>27.892582000000001</v>
      </c>
      <c r="BP9" s="63">
        <v>28</v>
      </c>
      <c r="BQ9" s="63"/>
      <c r="BR9" s="63" t="s">
        <v>48</v>
      </c>
      <c r="BS9" s="68"/>
      <c r="BT9" s="67" t="str">
        <f t="shared" si="0"/>
        <v/>
      </c>
    </row>
    <row r="10" spans="1:72" ht="14.95" thickBot="1" x14ac:dyDescent="0.3">
      <c r="BM10" s="62" t="s">
        <v>377</v>
      </c>
      <c r="BN10" s="63" t="s">
        <v>43</v>
      </c>
      <c r="BO10" s="63">
        <v>28</v>
      </c>
      <c r="BP10" s="63"/>
      <c r="BQ10" s="63"/>
      <c r="BR10" s="63" t="s">
        <v>98</v>
      </c>
      <c r="BS10" s="68"/>
      <c r="BT10" s="67">
        <f t="shared" si="0"/>
        <v>0.10741799999999913</v>
      </c>
    </row>
    <row r="11" spans="1:72" ht="14.95" thickBot="1" x14ac:dyDescent="0.3">
      <c r="BM11" s="62" t="s">
        <v>378</v>
      </c>
      <c r="BN11" s="63" t="s">
        <v>43</v>
      </c>
      <c r="BO11" s="63">
        <v>27.572503999999999</v>
      </c>
      <c r="BP11" s="63">
        <v>27.4</v>
      </c>
      <c r="BQ11" s="63"/>
      <c r="BR11" s="63" t="s">
        <v>48</v>
      </c>
      <c r="BS11" s="68"/>
      <c r="BT11" s="67" t="str">
        <f t="shared" si="0"/>
        <v/>
      </c>
    </row>
    <row r="12" spans="1:72" ht="14.95" thickBot="1" x14ac:dyDescent="0.3">
      <c r="BM12" s="62" t="s">
        <v>382</v>
      </c>
      <c r="BN12" s="63" t="s">
        <v>42</v>
      </c>
      <c r="BO12" s="63">
        <v>27.298151000000001</v>
      </c>
      <c r="BP12" s="63"/>
      <c r="BQ12" s="63"/>
      <c r="BR12" s="63" t="s">
        <v>98</v>
      </c>
      <c r="BS12" s="68"/>
      <c r="BT12" s="67">
        <f t="shared" si="0"/>
        <v>0.27435299999999785</v>
      </c>
    </row>
    <row r="13" spans="1:72" ht="14.95" thickBot="1" x14ac:dyDescent="0.3">
      <c r="BM13" s="62" t="s">
        <v>383</v>
      </c>
      <c r="BN13" s="63" t="s">
        <v>45</v>
      </c>
      <c r="BO13" s="63">
        <v>27.65</v>
      </c>
      <c r="BP13" s="63"/>
      <c r="BQ13" s="63"/>
      <c r="BR13" s="63" t="s">
        <v>48</v>
      </c>
      <c r="BS13" s="68"/>
      <c r="BT13" s="67" t="str">
        <f t="shared" si="0"/>
        <v/>
      </c>
    </row>
    <row r="14" spans="1:72" ht="14.95" thickBot="1" x14ac:dyDescent="0.3">
      <c r="BM14" s="62" t="s">
        <v>384</v>
      </c>
      <c r="BN14" s="63" t="s">
        <v>43</v>
      </c>
      <c r="BO14" s="63">
        <v>27.65</v>
      </c>
      <c r="BP14" s="63">
        <v>26.9</v>
      </c>
      <c r="BQ14" s="63"/>
      <c r="BR14" s="63" t="s">
        <v>48</v>
      </c>
      <c r="BS14" s="68"/>
      <c r="BT14" s="67" t="str">
        <f t="shared" si="0"/>
        <v/>
      </c>
    </row>
    <row r="15" spans="1:72" ht="14.95" thickBot="1" x14ac:dyDescent="0.3">
      <c r="BM15" s="62" t="s">
        <v>398</v>
      </c>
      <c r="BN15" s="63" t="s">
        <v>42</v>
      </c>
      <c r="BO15" s="63">
        <v>26.630558000000001</v>
      </c>
      <c r="BP15" s="63"/>
      <c r="BQ15" s="63"/>
      <c r="BR15" s="63" t="s">
        <v>98</v>
      </c>
      <c r="BS15" s="68"/>
      <c r="BT15" s="67">
        <f t="shared" si="0"/>
        <v>1.019441999999998</v>
      </c>
    </row>
    <row r="16" spans="1:72" ht="14.95" thickBot="1" x14ac:dyDescent="0.3">
      <c r="BM16" s="62" t="s">
        <v>398</v>
      </c>
      <c r="BN16" s="63" t="s">
        <v>45</v>
      </c>
      <c r="BO16" s="63">
        <v>25.85</v>
      </c>
      <c r="BP16" s="63">
        <v>27.2</v>
      </c>
      <c r="BQ16" s="63"/>
      <c r="BR16" s="63" t="s">
        <v>51</v>
      </c>
      <c r="BS16" s="68"/>
      <c r="BT16" s="67" t="str">
        <f t="shared" si="0"/>
        <v/>
      </c>
    </row>
    <row r="17" spans="47:81" ht="14.95" thickBot="1" x14ac:dyDescent="0.3">
      <c r="BM17" s="62" t="s">
        <v>400</v>
      </c>
      <c r="BN17" s="63" t="s">
        <v>42</v>
      </c>
      <c r="BO17" s="63">
        <v>26.857357</v>
      </c>
      <c r="BP17" s="63">
        <v>25.9</v>
      </c>
      <c r="BQ17" s="63"/>
      <c r="BR17" s="63" t="s">
        <v>48</v>
      </c>
      <c r="BS17" s="68"/>
      <c r="BT17" s="67" t="str">
        <f t="shared" si="0"/>
        <v/>
      </c>
    </row>
    <row r="18" spans="47:81" ht="14.95" thickBot="1" x14ac:dyDescent="0.3">
      <c r="BM18" s="62" t="s">
        <v>405</v>
      </c>
      <c r="BN18" s="63" t="s">
        <v>43</v>
      </c>
      <c r="BO18" s="63">
        <v>26.411076000000001</v>
      </c>
      <c r="BP18" s="63"/>
      <c r="BQ18" s="63"/>
      <c r="BR18" s="63" t="s">
        <v>98</v>
      </c>
      <c r="BS18" s="68"/>
      <c r="BT18" s="67">
        <f t="shared" si="0"/>
        <v>-0.44628099999999904</v>
      </c>
    </row>
    <row r="19" spans="47:81" ht="14.95" thickBot="1" x14ac:dyDescent="0.3">
      <c r="BM19" s="62" t="s">
        <v>405</v>
      </c>
      <c r="BN19" s="63" t="s">
        <v>43</v>
      </c>
      <c r="BO19" s="63">
        <v>26.411076000000001</v>
      </c>
      <c r="BP19" s="63">
        <v>26.8</v>
      </c>
      <c r="BQ19" s="63"/>
      <c r="BR19" s="63" t="s">
        <v>48</v>
      </c>
      <c r="BS19" s="68"/>
      <c r="BT19" s="67" t="str">
        <f t="shared" si="0"/>
        <v/>
      </c>
    </row>
    <row r="20" spans="47:81" ht="14.95" thickBot="1" x14ac:dyDescent="0.3">
      <c r="BM20" s="62" t="s">
        <v>408</v>
      </c>
      <c r="BN20" s="63" t="s">
        <v>42</v>
      </c>
      <c r="BO20" s="63">
        <v>26.425706999999999</v>
      </c>
      <c r="BP20" s="63"/>
      <c r="BQ20" s="63"/>
      <c r="BR20" s="63" t="s">
        <v>98</v>
      </c>
      <c r="BS20" s="68"/>
      <c r="BT20" s="67">
        <f t="shared" si="0"/>
        <v>-1.463099999999784E-2</v>
      </c>
    </row>
    <row r="21" spans="47:81" ht="14.95" thickBot="1" x14ac:dyDescent="0.3">
      <c r="BM21" s="62" t="s">
        <v>408</v>
      </c>
      <c r="BN21" s="63" t="s">
        <v>44</v>
      </c>
      <c r="BO21" s="63">
        <v>26.75</v>
      </c>
      <c r="BP21" s="63">
        <v>26.2</v>
      </c>
      <c r="BQ21" s="63"/>
      <c r="BR21" s="63" t="s">
        <v>48</v>
      </c>
      <c r="BS21" s="68"/>
      <c r="BT21" s="67" t="str">
        <f t="shared" si="0"/>
        <v/>
      </c>
    </row>
    <row r="22" spans="47:81" ht="14.95" thickBot="1" x14ac:dyDescent="0.3">
      <c r="BM22" s="62" t="s">
        <v>412</v>
      </c>
      <c r="BN22" s="63" t="s">
        <v>43</v>
      </c>
      <c r="BO22" s="63">
        <v>25.986742</v>
      </c>
      <c r="BP22" s="63"/>
      <c r="BQ22" s="63"/>
      <c r="BR22" s="63" t="s">
        <v>48</v>
      </c>
      <c r="BS22" s="68"/>
      <c r="BT22" s="67" t="str">
        <f t="shared" si="0"/>
        <v/>
      </c>
    </row>
    <row r="23" spans="47:81" ht="14.95" thickBot="1" x14ac:dyDescent="0.3">
      <c r="BM23" s="62" t="s">
        <v>413</v>
      </c>
      <c r="BN23" s="63" t="s">
        <v>42</v>
      </c>
      <c r="BO23" s="63">
        <v>25.291713999999999</v>
      </c>
      <c r="BP23" s="63"/>
      <c r="BQ23" s="63"/>
      <c r="BR23" s="63" t="s">
        <v>98</v>
      </c>
      <c r="BS23" s="68"/>
      <c r="BT23" s="67">
        <f t="shared" si="0"/>
        <v>0.69502800000000065</v>
      </c>
      <c r="CC23" s="14"/>
    </row>
    <row r="24" spans="47:81" ht="14.95" thickBot="1" x14ac:dyDescent="0.3">
      <c r="AV24" s="46"/>
      <c r="AW24" s="47"/>
      <c r="AX24" s="47"/>
      <c r="AY24" s="47"/>
      <c r="AZ24" s="47"/>
      <c r="BA24" s="47"/>
      <c r="BB24" s="47"/>
      <c r="BC24" s="47"/>
      <c r="BD24" s="57" t="s">
        <v>31</v>
      </c>
      <c r="BE24" s="57" t="s">
        <v>32</v>
      </c>
      <c r="BF24" s="57" t="s">
        <v>33</v>
      </c>
      <c r="BG24" s="57" t="s">
        <v>34</v>
      </c>
      <c r="BH24" s="58" t="s">
        <v>35</v>
      </c>
      <c r="BM24" s="62" t="s">
        <v>419</v>
      </c>
      <c r="BN24" s="63" t="s">
        <v>45</v>
      </c>
      <c r="BO24" s="63">
        <v>27.4</v>
      </c>
      <c r="BP24" s="63"/>
      <c r="BQ24" s="63"/>
      <c r="BR24" s="63" t="s">
        <v>48</v>
      </c>
      <c r="BS24" s="68"/>
      <c r="BT24" s="67" t="str">
        <f t="shared" si="0"/>
        <v/>
      </c>
    </row>
    <row r="25" spans="47:81" ht="14.95" thickBot="1" x14ac:dyDescent="0.3">
      <c r="AV25" s="50"/>
      <c r="AW25" s="21"/>
      <c r="AX25" s="21"/>
      <c r="AY25" s="21"/>
      <c r="AZ25" s="21"/>
      <c r="BA25" s="21"/>
      <c r="BB25" s="21"/>
      <c r="BC25" s="21"/>
      <c r="BD25" s="17" t="s">
        <v>480</v>
      </c>
      <c r="BE25" s="19">
        <v>27.552384999999902</v>
      </c>
      <c r="BF25" s="19">
        <v>27.552384999999902</v>
      </c>
      <c r="BG25" s="19">
        <v>27.362166999999999</v>
      </c>
      <c r="BH25" s="59">
        <v>27.362166999999999</v>
      </c>
      <c r="BM25" s="62" t="s">
        <v>425</v>
      </c>
      <c r="BN25" s="63" t="s">
        <v>43</v>
      </c>
      <c r="BO25" s="63">
        <v>27.4</v>
      </c>
      <c r="BP25" s="63">
        <v>27.2</v>
      </c>
      <c r="BQ25" s="63"/>
      <c r="BR25" s="63" t="s">
        <v>48</v>
      </c>
      <c r="BS25" s="68"/>
      <c r="BT25" s="67" t="str">
        <f t="shared" si="0"/>
        <v/>
      </c>
    </row>
    <row r="26" spans="47:81" ht="14.95" thickBot="1" x14ac:dyDescent="0.3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62" t="s">
        <v>430</v>
      </c>
      <c r="BN26" s="63" t="s">
        <v>42</v>
      </c>
      <c r="BO26" s="63">
        <v>27.2</v>
      </c>
      <c r="BP26" s="63"/>
      <c r="BQ26" s="63"/>
      <c r="BR26" s="63" t="s">
        <v>98</v>
      </c>
      <c r="BS26" s="68"/>
      <c r="BT26" s="67">
        <f t="shared" si="0"/>
        <v>0.19999999999999929</v>
      </c>
    </row>
    <row r="27" spans="47:81" ht="14.95" thickBot="1" x14ac:dyDescent="0.3">
      <c r="AV27" s="50"/>
      <c r="AW27" s="21"/>
      <c r="AX27" s="21"/>
      <c r="AY27" s="21"/>
      <c r="AZ27" s="21"/>
      <c r="BA27" s="21"/>
      <c r="BB27" s="21"/>
      <c r="BC27" s="21"/>
      <c r="BD27" s="16" t="s">
        <v>99</v>
      </c>
      <c r="BE27" s="16" t="s">
        <v>107</v>
      </c>
      <c r="BF27" s="16" t="s">
        <v>105</v>
      </c>
      <c r="BG27" s="21"/>
      <c r="BH27" s="51"/>
      <c r="BM27" s="62" t="s">
        <v>431</v>
      </c>
      <c r="BN27" s="63" t="s">
        <v>45</v>
      </c>
      <c r="BO27" s="63">
        <v>26.38</v>
      </c>
      <c r="BP27" s="63"/>
      <c r="BQ27" s="63"/>
      <c r="BR27" s="63" t="s">
        <v>48</v>
      </c>
      <c r="BS27" s="68"/>
      <c r="BT27" s="67" t="str">
        <f t="shared" si="0"/>
        <v/>
      </c>
    </row>
    <row r="28" spans="47:81" ht="14.95" thickBot="1" x14ac:dyDescent="0.3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-0.38457300275482098</v>
      </c>
      <c r="BE28" s="66">
        <f>IF(iterator_current_row&lt;&gt;"",INDEX(data_no_header,iterator_current_row-2,7)/INDEX(data_no_header,iterator_current_row-3,7)-1,"")</f>
        <v>-0.38265306122448983</v>
      </c>
      <c r="BF28" s="60">
        <f>(BD28-BE28)/ABS(BE28)</f>
        <v>-5.0174471992654006E-3</v>
      </c>
      <c r="BG28" s="53"/>
      <c r="BH28" s="56"/>
      <c r="BM28" s="62" t="s">
        <v>432</v>
      </c>
      <c r="BN28" s="63" t="s">
        <v>43</v>
      </c>
      <c r="BO28" s="63">
        <v>26.38</v>
      </c>
      <c r="BP28" s="63">
        <v>26.65</v>
      </c>
      <c r="BQ28" s="63"/>
      <c r="BR28" s="63" t="s">
        <v>48</v>
      </c>
      <c r="BS28" s="68"/>
      <c r="BT28" s="67" t="str">
        <f t="shared" si="0"/>
        <v/>
      </c>
    </row>
    <row r="29" spans="47:81" ht="14.95" thickBot="1" x14ac:dyDescent="0.3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62" t="s">
        <v>439</v>
      </c>
      <c r="BN29" s="63" t="s">
        <v>42</v>
      </c>
      <c r="BO29" s="63">
        <v>26.65</v>
      </c>
      <c r="BP29" s="63"/>
      <c r="BQ29" s="63"/>
      <c r="BR29" s="63" t="s">
        <v>98</v>
      </c>
      <c r="BS29" s="68"/>
      <c r="BT29" s="67">
        <f t="shared" si="0"/>
        <v>-0.26999999999999957</v>
      </c>
    </row>
    <row r="30" spans="47:81" ht="14.95" thickBot="1" x14ac:dyDescent="0.3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39</v>
      </c>
      <c r="BE30" s="31"/>
      <c r="BF30" s="30" t="s">
        <v>81</v>
      </c>
      <c r="BG30" s="16" t="s">
        <v>36</v>
      </c>
      <c r="BH30" s="51"/>
      <c r="BM30" s="62" t="s">
        <v>439</v>
      </c>
      <c r="BN30" s="63" t="s">
        <v>45</v>
      </c>
      <c r="BO30" s="63">
        <v>26.213540999999999</v>
      </c>
      <c r="BP30" s="63">
        <v>25.84</v>
      </c>
      <c r="BQ30" s="63"/>
      <c r="BR30" s="63" t="s">
        <v>48</v>
      </c>
      <c r="BS30" s="68"/>
      <c r="BT30" s="67" t="str">
        <f t="shared" si="0"/>
        <v/>
      </c>
    </row>
    <row r="31" spans="47:81" ht="14.95" thickBot="1" x14ac:dyDescent="0.3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>
        <f>IF(BO3&lt;&gt;"",IF(BN3="Sell",BO3-BH25,-1*(BO3BH26)),"")</f>
        <v>-2.8621669999999995</v>
      </c>
      <c r="BG31" s="18" t="b">
        <f>IF(BP3&lt;&gt;"",IF(BN3="Sell",BF25&gt;=BP3,BG25&lt;=BP3),"")</f>
        <v>1</v>
      </c>
      <c r="BH31" s="51"/>
      <c r="BM31" s="62" t="s">
        <v>447</v>
      </c>
      <c r="BN31" s="63" t="s">
        <v>43</v>
      </c>
      <c r="BO31" s="63">
        <v>25.84</v>
      </c>
      <c r="BP31" s="63">
        <v>25.6</v>
      </c>
      <c r="BQ31" s="63"/>
      <c r="BR31" s="63" t="s">
        <v>48</v>
      </c>
      <c r="BS31" s="68"/>
      <c r="BT31" s="67" t="str">
        <f t="shared" si="0"/>
        <v/>
      </c>
    </row>
    <row r="32" spans="47:81" ht="14.95" thickBot="1" x14ac:dyDescent="0.3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62" t="s">
        <v>450</v>
      </c>
      <c r="BN32" s="63" t="s">
        <v>42</v>
      </c>
      <c r="BO32" s="63">
        <v>25.6</v>
      </c>
      <c r="BP32" s="63"/>
      <c r="BQ32" s="63"/>
      <c r="BR32" s="63" t="s">
        <v>98</v>
      </c>
      <c r="BS32" s="68"/>
      <c r="BT32" s="67">
        <f t="shared" si="0"/>
        <v>0.23999999999999844</v>
      </c>
    </row>
    <row r="33" spans="2:72" ht="14.95" thickBot="1" x14ac:dyDescent="0.3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62" t="s">
        <v>452</v>
      </c>
      <c r="BN33" s="63" t="s">
        <v>45</v>
      </c>
      <c r="BO33" s="63">
        <v>25.9</v>
      </c>
      <c r="BP33" s="63">
        <v>27.1</v>
      </c>
      <c r="BQ33" s="63"/>
      <c r="BR33" s="63" t="s">
        <v>48</v>
      </c>
      <c r="BS33" s="68"/>
      <c r="BT33" s="67" t="str">
        <f t="shared" si="0"/>
        <v/>
      </c>
    </row>
    <row r="34" spans="2:72" ht="14.95" thickBot="1" x14ac:dyDescent="0.3">
      <c r="BM34" s="62" t="s">
        <v>473</v>
      </c>
      <c r="BN34" s="63" t="s">
        <v>43</v>
      </c>
      <c r="BO34" s="63">
        <v>26.652505999999999</v>
      </c>
      <c r="BP34" s="63"/>
      <c r="BQ34" s="63"/>
      <c r="BR34" s="63" t="s">
        <v>48</v>
      </c>
      <c r="BS34" s="68"/>
      <c r="BT34" s="67" t="str">
        <f t="shared" si="0"/>
        <v/>
      </c>
    </row>
    <row r="35" spans="2:72" ht="14.95" thickBot="1" x14ac:dyDescent="0.3">
      <c r="BD35" s="32" t="s">
        <v>80</v>
      </c>
      <c r="BE35" s="16" t="s">
        <v>82</v>
      </c>
      <c r="BF35" s="16" t="s">
        <v>84</v>
      </c>
      <c r="BG35" s="16" t="s">
        <v>83</v>
      </c>
      <c r="BH35" s="35" t="s">
        <v>85</v>
      </c>
      <c r="BM35" s="62" t="s">
        <v>474</v>
      </c>
      <c r="BN35" s="63" t="s">
        <v>42</v>
      </c>
      <c r="BO35" s="63">
        <v>26.513500000000001</v>
      </c>
      <c r="BP35" s="63"/>
      <c r="BQ35" s="63"/>
      <c r="BR35" s="63" t="s">
        <v>98</v>
      </c>
      <c r="BS35" s="68"/>
      <c r="BT35" s="67">
        <f t="shared" si="0"/>
        <v>0.13900599999999841</v>
      </c>
    </row>
    <row r="36" spans="2:72" x14ac:dyDescent="0.25">
      <c r="BD36" s="33">
        <v>1</v>
      </c>
      <c r="BE36" s="18">
        <v>357</v>
      </c>
      <c r="BF36" s="34">
        <v>528</v>
      </c>
      <c r="BG36" s="18">
        <f>IF(BF36&lt;&gt;"",BF36-iterator_current_row,"")</f>
        <v>171</v>
      </c>
      <c r="BH36" s="18" t="str">
        <f>IF(BF36&lt;&gt;"",INDEX(dates_no_header,BF36-1),"")</f>
        <v>2002-02-07</v>
      </c>
      <c r="BM36" s="62" t="s">
        <v>474</v>
      </c>
      <c r="BN36" s="63" t="s">
        <v>45</v>
      </c>
      <c r="BO36" s="63">
        <v>26.3</v>
      </c>
      <c r="BP36" s="63">
        <v>27.1</v>
      </c>
      <c r="BQ36" s="63"/>
      <c r="BR36" s="63" t="s">
        <v>51</v>
      </c>
      <c r="BS36" s="68"/>
      <c r="BT36" s="67" t="str">
        <f t="shared" si="0"/>
        <v/>
      </c>
    </row>
    <row r="41" spans="2:72" x14ac:dyDescent="0.25">
      <c r="BT41" s="14"/>
    </row>
    <row r="43" spans="2:72" x14ac:dyDescent="0.25">
      <c r="BF43" s="45"/>
    </row>
    <row r="46" spans="2:72" x14ac:dyDescent="0.25">
      <c r="B46" s="24" t="s">
        <v>54</v>
      </c>
      <c r="C46" s="25">
        <f>COUNTA(dates_no_header)</f>
        <v>4520</v>
      </c>
    </row>
    <row r="47" spans="2:72" x14ac:dyDescent="0.25">
      <c r="B47" s="24" t="s">
        <v>52</v>
      </c>
      <c r="C47" s="18" t="str">
        <f>initial_chart_date</f>
        <v>1999-12-31</v>
      </c>
    </row>
    <row r="48" spans="2:72" x14ac:dyDescent="0.25">
      <c r="B48" s="24" t="s">
        <v>53</v>
      </c>
      <c r="C48" s="18" t="str">
        <f>INDEX(dates_no_header,C46)</f>
        <v>2017-12-15</v>
      </c>
    </row>
    <row r="49" spans="2:3" x14ac:dyDescent="0.25">
      <c r="B49" s="12"/>
      <c r="C49" s="12"/>
    </row>
  </sheetData>
  <autoFilter ref="BM2:BS2"/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:BN36">
      <formula1>order_type</formula1>
    </dataValidation>
    <dataValidation type="list" allowBlank="1" showInputMessage="1" showErrorMessage="1" sqref="BR3:BR36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43132</xdr:colOff>
                <xdr:row>35</xdr:row>
                <xdr:rowOff>163902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51758</xdr:colOff>
                <xdr:row>45</xdr:row>
                <xdr:rowOff>34506</xdr:rowOff>
              </from>
              <to>
                <xdr:col>12</xdr:col>
                <xdr:colOff>17253</xdr:colOff>
                <xdr:row>46</xdr:row>
                <xdr:rowOff>146649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12</xdr:col>
                <xdr:colOff>86264</xdr:colOff>
                <xdr:row>45</xdr:row>
                <xdr:rowOff>17253</xdr:rowOff>
              </from>
              <to>
                <xdr:col>18</xdr:col>
                <xdr:colOff>86264</xdr:colOff>
                <xdr:row>46</xdr:row>
                <xdr:rowOff>129396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8626</xdr:colOff>
                <xdr:row>30</xdr:row>
                <xdr:rowOff>25879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17253</xdr:colOff>
                <xdr:row>32</xdr:row>
                <xdr:rowOff>120770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86264</xdr:colOff>
                <xdr:row>27</xdr:row>
                <xdr:rowOff>77638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77638</xdr:colOff>
                <xdr:row>25</xdr:row>
                <xdr:rowOff>34506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r:id="rId19">
            <anchor moveWithCells="1">
              <from>
                <xdr:col>59</xdr:col>
                <xdr:colOff>552091</xdr:colOff>
                <xdr:row>0</xdr:row>
                <xdr:rowOff>69011</xdr:rowOff>
              </from>
              <to>
                <xdr:col>63</xdr:col>
                <xdr:colOff>77638</xdr:colOff>
                <xdr:row>1</xdr:row>
                <xdr:rowOff>146649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1</v>
      </c>
      <c r="B1" t="s">
        <v>30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521"/>
  <sheetViews>
    <sheetView workbookViewId="0">
      <selection activeCell="N23" sqref="N23"/>
    </sheetView>
  </sheetViews>
  <sheetFormatPr defaultRowHeight="14.3" x14ac:dyDescent="0.25"/>
  <cols>
    <col min="1" max="1" width="10.125" style="1" bestFit="1" customWidth="1"/>
    <col min="2" max="5" width="9.375" style="76" bestFit="1" customWidth="1"/>
    <col min="6" max="6" width="8.625" style="76" bestFit="1" customWidth="1"/>
    <col min="7" max="7" width="7.875" style="79" bestFit="1" customWidth="1"/>
    <col min="8" max="8" width="3.125" customWidth="1"/>
    <col min="9" max="9" width="0.75" customWidth="1"/>
  </cols>
  <sheetData>
    <row r="1" spans="1:14" x14ac:dyDescent="0.25">
      <c r="A1" s="73" t="s">
        <v>119</v>
      </c>
      <c r="B1" s="74" t="s">
        <v>0</v>
      </c>
      <c r="C1" s="74" t="s">
        <v>120</v>
      </c>
      <c r="D1" s="74" t="s">
        <v>121</v>
      </c>
      <c r="E1" s="74" t="s">
        <v>122</v>
      </c>
      <c r="F1" s="74" t="s">
        <v>123</v>
      </c>
      <c r="G1" s="77" t="s">
        <v>126</v>
      </c>
    </row>
    <row r="2" spans="1:14" x14ac:dyDescent="0.25">
      <c r="A2" s="70" t="s">
        <v>124</v>
      </c>
      <c r="B2" s="75">
        <v>24.325990999999998</v>
      </c>
      <c r="C2" s="75">
        <v>24.691794999999999</v>
      </c>
      <c r="D2" s="75">
        <v>23.777284999999999</v>
      </c>
      <c r="E2" s="75">
        <v>23.777284999999999</v>
      </c>
      <c r="F2" s="75">
        <v>10.611907</v>
      </c>
      <c r="G2" s="78">
        <v>87800</v>
      </c>
    </row>
    <row r="3" spans="1:14" x14ac:dyDescent="0.25">
      <c r="A3" s="1" t="s">
        <v>127</v>
      </c>
      <c r="B3" s="76">
        <v>23.868734</v>
      </c>
      <c r="C3" s="76">
        <v>24.508891999999999</v>
      </c>
      <c r="D3" s="76">
        <v>23.777284999999999</v>
      </c>
      <c r="E3" s="76">
        <v>24.417442000000001</v>
      </c>
      <c r="F3" s="76">
        <v>10.897611999999899</v>
      </c>
      <c r="G3" s="79">
        <v>289200</v>
      </c>
    </row>
    <row r="4" spans="1:14" x14ac:dyDescent="0.25">
      <c r="A4" s="1" t="s">
        <v>128</v>
      </c>
      <c r="B4" s="76">
        <v>24.234539000000002</v>
      </c>
      <c r="C4" s="76">
        <v>24.508891999999999</v>
      </c>
      <c r="D4" s="76">
        <v>24.143087000000001</v>
      </c>
      <c r="E4" s="76">
        <v>24.417442000000001</v>
      </c>
      <c r="F4" s="76">
        <v>10.897611999999899</v>
      </c>
      <c r="G4" s="79">
        <v>294500</v>
      </c>
      <c r="M4" t="s">
        <v>108</v>
      </c>
    </row>
    <row r="5" spans="1:14" x14ac:dyDescent="0.25">
      <c r="A5" s="1" t="s">
        <v>129</v>
      </c>
      <c r="B5" s="76">
        <v>24.188814000000001</v>
      </c>
      <c r="C5" s="76">
        <v>25.057597999999999</v>
      </c>
      <c r="D5" s="76">
        <v>24.097363000000001</v>
      </c>
      <c r="E5" s="76">
        <v>25.057597999999999</v>
      </c>
      <c r="F5" s="76">
        <v>11.18332</v>
      </c>
      <c r="G5" s="79">
        <v>191200</v>
      </c>
      <c r="M5" t="s">
        <v>109</v>
      </c>
      <c r="N5" t="s">
        <v>111</v>
      </c>
    </row>
    <row r="6" spans="1:14" x14ac:dyDescent="0.25">
      <c r="A6" s="1" t="s">
        <v>130</v>
      </c>
      <c r="B6" s="76">
        <v>24.966148</v>
      </c>
      <c r="C6" s="76">
        <v>25.423403</v>
      </c>
      <c r="D6" s="76">
        <v>24.828972</v>
      </c>
      <c r="E6" s="76">
        <v>25.377678</v>
      </c>
      <c r="F6" s="76">
        <v>11.326174</v>
      </c>
      <c r="G6" s="79">
        <v>185600</v>
      </c>
      <c r="M6" t="s">
        <v>110</v>
      </c>
      <c r="N6">
        <v>0</v>
      </c>
    </row>
    <row r="7" spans="1:14" x14ac:dyDescent="0.25">
      <c r="A7" s="1" t="s">
        <v>131</v>
      </c>
      <c r="B7" s="76">
        <v>25.240500999999998</v>
      </c>
      <c r="C7" s="76">
        <v>25.697755999999998</v>
      </c>
      <c r="D7" s="76">
        <v>25.240500999999998</v>
      </c>
      <c r="E7" s="76">
        <v>25.560579000000001</v>
      </c>
      <c r="F7" s="76">
        <v>11.407797</v>
      </c>
      <c r="G7" s="79">
        <v>1521100</v>
      </c>
      <c r="M7" t="s">
        <v>112</v>
      </c>
    </row>
    <row r="8" spans="1:14" x14ac:dyDescent="0.25">
      <c r="A8" s="1" t="s">
        <v>132</v>
      </c>
      <c r="B8" s="76">
        <v>25.560579000000001</v>
      </c>
      <c r="C8" s="76">
        <v>26.337914000000001</v>
      </c>
      <c r="D8" s="76">
        <v>25.423403</v>
      </c>
      <c r="E8" s="76">
        <v>25.789207000000001</v>
      </c>
      <c r="F8" s="76">
        <v>11.509836</v>
      </c>
      <c r="G8" s="79">
        <v>354600</v>
      </c>
    </row>
    <row r="9" spans="1:14" x14ac:dyDescent="0.25">
      <c r="A9" s="1" t="s">
        <v>133</v>
      </c>
      <c r="B9" s="76">
        <v>25.880659000000001</v>
      </c>
      <c r="C9" s="76">
        <v>25.880659000000001</v>
      </c>
      <c r="D9" s="76">
        <v>25.423403</v>
      </c>
      <c r="E9" s="76">
        <v>25.514854</v>
      </c>
      <c r="F9" s="76">
        <v>11.387390999999999</v>
      </c>
      <c r="G9" s="79">
        <v>259900</v>
      </c>
    </row>
    <row r="10" spans="1:14" x14ac:dyDescent="0.25">
      <c r="A10" s="1" t="s">
        <v>134</v>
      </c>
      <c r="B10" s="76">
        <v>25.331952999999999</v>
      </c>
      <c r="C10" s="76">
        <v>25.423403</v>
      </c>
      <c r="D10" s="76">
        <v>25.194776999999998</v>
      </c>
      <c r="E10" s="76">
        <v>25.240500999999998</v>
      </c>
      <c r="F10" s="76">
        <v>11.264948</v>
      </c>
      <c r="G10" s="79">
        <v>92000</v>
      </c>
    </row>
    <row r="11" spans="1:14" x14ac:dyDescent="0.25">
      <c r="A11" s="1" t="s">
        <v>135</v>
      </c>
      <c r="B11" s="76">
        <v>25.240500999999998</v>
      </c>
      <c r="C11" s="76">
        <v>25.286225999999999</v>
      </c>
      <c r="D11" s="76">
        <v>25.103325000000002</v>
      </c>
      <c r="E11" s="76">
        <v>25.194776999999998</v>
      </c>
      <c r="F11" s="76">
        <v>11.244539999999899</v>
      </c>
      <c r="G11" s="79">
        <v>88900</v>
      </c>
    </row>
    <row r="12" spans="1:14" x14ac:dyDescent="0.25">
      <c r="A12" s="1" t="s">
        <v>136</v>
      </c>
      <c r="B12" s="76">
        <v>25.194776999999998</v>
      </c>
      <c r="C12" s="76">
        <v>25.194776999999998</v>
      </c>
      <c r="D12" s="76">
        <v>24.783245000000001</v>
      </c>
      <c r="E12" s="76">
        <v>24.783245000000001</v>
      </c>
      <c r="F12" s="76">
        <v>11.060871000000001</v>
      </c>
      <c r="G12" s="79">
        <v>170800</v>
      </c>
    </row>
    <row r="13" spans="1:14" x14ac:dyDescent="0.25">
      <c r="A13" s="1" t="s">
        <v>137</v>
      </c>
      <c r="B13" s="76">
        <v>24.691794999999999</v>
      </c>
      <c r="C13" s="76">
        <v>25.331952999999999</v>
      </c>
      <c r="D13" s="76">
        <v>24.691794999999999</v>
      </c>
      <c r="E13" s="76">
        <v>25.103325000000002</v>
      </c>
      <c r="F13" s="76">
        <v>11.203727000000001</v>
      </c>
      <c r="G13" s="79">
        <v>128800</v>
      </c>
    </row>
    <row r="14" spans="1:14" x14ac:dyDescent="0.25">
      <c r="A14" s="1" t="s">
        <v>138</v>
      </c>
      <c r="B14" s="76">
        <v>25.103325000000002</v>
      </c>
      <c r="C14" s="76">
        <v>25.149049999999999</v>
      </c>
      <c r="D14" s="76">
        <v>24.874697000000001</v>
      </c>
      <c r="E14" s="76">
        <v>24.966148</v>
      </c>
      <c r="F14" s="76">
        <v>11.142503999999899</v>
      </c>
      <c r="G14" s="79">
        <v>179700</v>
      </c>
    </row>
    <row r="15" spans="1:14" x14ac:dyDescent="0.25">
      <c r="A15" s="1" t="s">
        <v>139</v>
      </c>
      <c r="B15" s="76">
        <v>24.874697000000001</v>
      </c>
      <c r="C15" s="76">
        <v>24.966148</v>
      </c>
      <c r="D15" s="76">
        <v>24.691794999999999</v>
      </c>
      <c r="E15" s="76">
        <v>24.73752</v>
      </c>
      <c r="F15" s="76">
        <v>11.040464999999999</v>
      </c>
      <c r="G15" s="79">
        <v>81600</v>
      </c>
    </row>
    <row r="16" spans="1:14" x14ac:dyDescent="0.25">
      <c r="A16" s="1" t="s">
        <v>140</v>
      </c>
      <c r="B16" s="76">
        <v>24.783245000000001</v>
      </c>
      <c r="C16" s="76">
        <v>24.828972</v>
      </c>
      <c r="D16" s="76">
        <v>24.554618999999999</v>
      </c>
      <c r="E16" s="76">
        <v>24.554618999999999</v>
      </c>
      <c r="F16" s="76">
        <v>10.9588369999999</v>
      </c>
      <c r="G16" s="79">
        <v>205200</v>
      </c>
    </row>
    <row r="17" spans="1:7" x14ac:dyDescent="0.25">
      <c r="A17" s="1" t="s">
        <v>141</v>
      </c>
      <c r="B17" s="76">
        <v>24.371715999999999</v>
      </c>
      <c r="C17" s="76">
        <v>24.508891999999999</v>
      </c>
      <c r="D17" s="76">
        <v>23.548656000000001</v>
      </c>
      <c r="E17" s="76">
        <v>23.731558</v>
      </c>
      <c r="F17" s="76">
        <v>10.591500999999999</v>
      </c>
      <c r="G17" s="79">
        <v>482800</v>
      </c>
    </row>
    <row r="18" spans="1:7" x14ac:dyDescent="0.25">
      <c r="A18" s="1" t="s">
        <v>142</v>
      </c>
      <c r="B18" s="76">
        <v>23.731558</v>
      </c>
      <c r="C18" s="76">
        <v>23.731558</v>
      </c>
      <c r="D18" s="76">
        <v>23.320028000000001</v>
      </c>
      <c r="E18" s="76">
        <v>23.411479999999901</v>
      </c>
      <c r="F18" s="76">
        <v>10.448651</v>
      </c>
      <c r="G18" s="79">
        <v>648900</v>
      </c>
    </row>
    <row r="19" spans="1:7" x14ac:dyDescent="0.25">
      <c r="A19" s="1" t="s">
        <v>143</v>
      </c>
      <c r="B19" s="76">
        <v>23.411479999999901</v>
      </c>
      <c r="C19" s="76">
        <v>23.502929999999999</v>
      </c>
      <c r="D19" s="76">
        <v>22.954224</v>
      </c>
      <c r="E19" s="76">
        <v>23.457204999999998</v>
      </c>
      <c r="F19" s="76">
        <v>10.469059</v>
      </c>
      <c r="G19" s="79">
        <v>174800</v>
      </c>
    </row>
    <row r="20" spans="1:7" x14ac:dyDescent="0.25">
      <c r="A20" s="1" t="s">
        <v>144</v>
      </c>
      <c r="B20" s="76">
        <v>23.274303</v>
      </c>
      <c r="C20" s="76">
        <v>23.502929999999999</v>
      </c>
      <c r="D20" s="76">
        <v>23.137127</v>
      </c>
      <c r="E20" s="76">
        <v>23.365753000000002</v>
      </c>
      <c r="F20" s="76">
        <v>10.428238</v>
      </c>
      <c r="G20" s="79">
        <v>161300</v>
      </c>
    </row>
    <row r="21" spans="1:7" x14ac:dyDescent="0.25">
      <c r="A21" s="1" t="s">
        <v>145</v>
      </c>
      <c r="B21" s="76">
        <v>23.365753000000002</v>
      </c>
      <c r="C21" s="76">
        <v>23.365753000000002</v>
      </c>
      <c r="D21" s="76">
        <v>23.182852</v>
      </c>
      <c r="E21" s="76">
        <v>23.365753000000002</v>
      </c>
      <c r="F21" s="76">
        <v>10.428238</v>
      </c>
      <c r="G21" s="79">
        <v>114800</v>
      </c>
    </row>
    <row r="22" spans="1:7" x14ac:dyDescent="0.25">
      <c r="A22" s="1" t="s">
        <v>146</v>
      </c>
      <c r="B22" s="76">
        <v>23.365753000000002</v>
      </c>
      <c r="C22" s="76">
        <v>23.411479999999901</v>
      </c>
      <c r="D22" s="76">
        <v>22.908498999999999</v>
      </c>
      <c r="E22" s="76">
        <v>22.908498999999999</v>
      </c>
      <c r="F22" s="76">
        <v>10.224164999999999</v>
      </c>
      <c r="G22" s="79">
        <v>305700</v>
      </c>
    </row>
    <row r="23" spans="1:7" x14ac:dyDescent="0.25">
      <c r="A23" s="1" t="s">
        <v>147</v>
      </c>
      <c r="B23" s="76">
        <v>23.0914</v>
      </c>
      <c r="C23" s="76">
        <v>23.365753000000002</v>
      </c>
      <c r="D23" s="76">
        <v>22.954224</v>
      </c>
      <c r="E23" s="76">
        <v>23.228576999999898</v>
      </c>
      <c r="F23" s="76">
        <v>10.367016</v>
      </c>
      <c r="G23" s="79">
        <v>724500</v>
      </c>
    </row>
    <row r="24" spans="1:7" x14ac:dyDescent="0.25">
      <c r="A24" s="1" t="s">
        <v>148</v>
      </c>
      <c r="B24" s="76">
        <v>23.228576999999898</v>
      </c>
      <c r="C24" s="76">
        <v>23.274303</v>
      </c>
      <c r="D24" s="76">
        <v>22.954224</v>
      </c>
      <c r="E24" s="76">
        <v>23.228576999999898</v>
      </c>
      <c r="F24" s="76">
        <v>10.367016</v>
      </c>
      <c r="G24" s="79">
        <v>490100</v>
      </c>
    </row>
    <row r="25" spans="1:7" x14ac:dyDescent="0.25">
      <c r="A25" s="1" t="s">
        <v>149</v>
      </c>
      <c r="B25" s="76">
        <v>22.862772</v>
      </c>
      <c r="C25" s="76">
        <v>22.862772</v>
      </c>
      <c r="D25" s="76">
        <v>22.725594999999998</v>
      </c>
      <c r="E25" s="76">
        <v>22.862772</v>
      </c>
      <c r="F25" s="76">
        <v>10.360386</v>
      </c>
      <c r="G25" s="79">
        <v>233900</v>
      </c>
    </row>
    <row r="26" spans="1:7" x14ac:dyDescent="0.25">
      <c r="A26" s="1" t="s">
        <v>150</v>
      </c>
      <c r="B26" s="76">
        <v>22.862772</v>
      </c>
      <c r="C26" s="76">
        <v>22.908498999999999</v>
      </c>
      <c r="D26" s="76">
        <v>22.314066</v>
      </c>
      <c r="E26" s="76">
        <v>22.405518000000001</v>
      </c>
      <c r="F26" s="76">
        <v>10.153174999999999</v>
      </c>
      <c r="G26" s="79">
        <v>2278900</v>
      </c>
    </row>
    <row r="27" spans="1:7" x14ac:dyDescent="0.25">
      <c r="A27" s="1" t="s">
        <v>151</v>
      </c>
      <c r="B27" s="76">
        <v>22.314066</v>
      </c>
      <c r="C27" s="76">
        <v>22.679870999999999</v>
      </c>
      <c r="D27" s="76">
        <v>22.314066</v>
      </c>
      <c r="E27" s="76">
        <v>22.679870999999999</v>
      </c>
      <c r="F27" s="76">
        <v>10.277505999999899</v>
      </c>
      <c r="G27" s="79">
        <v>205300</v>
      </c>
    </row>
    <row r="28" spans="1:7" x14ac:dyDescent="0.25">
      <c r="A28" s="1" t="s">
        <v>152</v>
      </c>
      <c r="B28" s="76">
        <v>22.679870999999999</v>
      </c>
      <c r="C28" s="76">
        <v>22.679870999999999</v>
      </c>
      <c r="D28" s="76">
        <v>22.496969</v>
      </c>
      <c r="E28" s="76">
        <v>22.634145999999902</v>
      </c>
      <c r="F28" s="76">
        <v>10.256779999999999</v>
      </c>
      <c r="G28" s="79">
        <v>248500</v>
      </c>
    </row>
    <row r="29" spans="1:7" x14ac:dyDescent="0.25">
      <c r="A29" s="1" t="s">
        <v>153</v>
      </c>
      <c r="B29" s="76">
        <v>22.634145999999902</v>
      </c>
      <c r="C29" s="76">
        <v>22.679870999999999</v>
      </c>
      <c r="D29" s="76">
        <v>22.496969</v>
      </c>
      <c r="E29" s="76">
        <v>22.634145999999902</v>
      </c>
      <c r="F29" s="76">
        <v>10.256779999999999</v>
      </c>
      <c r="G29" s="79">
        <v>342600</v>
      </c>
    </row>
    <row r="30" spans="1:7" x14ac:dyDescent="0.25">
      <c r="A30" s="1" t="s">
        <v>154</v>
      </c>
      <c r="B30" s="76">
        <v>22.679870999999999</v>
      </c>
      <c r="C30" s="76">
        <v>22.679870999999999</v>
      </c>
      <c r="D30" s="76">
        <v>22.451242000000001</v>
      </c>
      <c r="E30" s="76">
        <v>22.496969</v>
      </c>
      <c r="F30" s="76">
        <v>10.194622000000001</v>
      </c>
      <c r="G30" s="79">
        <v>229600</v>
      </c>
    </row>
    <row r="31" spans="1:7" x14ac:dyDescent="0.25">
      <c r="A31" s="1" t="s">
        <v>155</v>
      </c>
      <c r="B31" s="76">
        <v>22.496969</v>
      </c>
      <c r="C31" s="76">
        <v>22.679870999999999</v>
      </c>
      <c r="D31" s="76">
        <v>22.451242000000001</v>
      </c>
      <c r="E31" s="76">
        <v>22.496969</v>
      </c>
      <c r="F31" s="76">
        <v>10.194622000000001</v>
      </c>
      <c r="G31" s="79">
        <v>139800</v>
      </c>
    </row>
    <row r="32" spans="1:7" x14ac:dyDescent="0.25">
      <c r="A32" s="1" t="s">
        <v>156</v>
      </c>
      <c r="B32" s="76">
        <v>22.496969</v>
      </c>
      <c r="C32" s="76">
        <v>22.496969</v>
      </c>
      <c r="D32" s="76">
        <v>22.314066</v>
      </c>
      <c r="E32" s="76">
        <v>22.359793</v>
      </c>
      <c r="F32" s="76">
        <v>10.1324589999999</v>
      </c>
      <c r="G32" s="79">
        <v>385900</v>
      </c>
    </row>
    <row r="33" spans="1:7" x14ac:dyDescent="0.25">
      <c r="A33" s="1" t="s">
        <v>157</v>
      </c>
      <c r="B33" s="76">
        <v>22.451242000000001</v>
      </c>
      <c r="C33" s="76">
        <v>22.771322000000001</v>
      </c>
      <c r="D33" s="76">
        <v>22.314066</v>
      </c>
      <c r="E33" s="76">
        <v>22.679870999999999</v>
      </c>
      <c r="F33" s="76">
        <v>10.277505999999899</v>
      </c>
      <c r="G33" s="79">
        <v>231100</v>
      </c>
    </row>
    <row r="34" spans="1:7" x14ac:dyDescent="0.25">
      <c r="A34" s="1" t="s">
        <v>158</v>
      </c>
      <c r="B34" s="76">
        <v>22.542694000000001</v>
      </c>
      <c r="C34" s="76">
        <v>22.588418999999998</v>
      </c>
      <c r="D34" s="76">
        <v>22.359793</v>
      </c>
      <c r="E34" s="76">
        <v>22.405518000000001</v>
      </c>
      <c r="F34" s="76">
        <v>10.153174999999999</v>
      </c>
      <c r="G34" s="79">
        <v>182100</v>
      </c>
    </row>
    <row r="35" spans="1:7" x14ac:dyDescent="0.25">
      <c r="A35" s="1" t="s">
        <v>159</v>
      </c>
      <c r="B35" s="76">
        <v>22.451242000000001</v>
      </c>
      <c r="C35" s="76">
        <v>22.588418999999998</v>
      </c>
      <c r="D35" s="76">
        <v>22.359793</v>
      </c>
      <c r="E35" s="76">
        <v>22.588418999999998</v>
      </c>
      <c r="F35" s="76">
        <v>10.236058999999999</v>
      </c>
      <c r="G35" s="79">
        <v>102500</v>
      </c>
    </row>
    <row r="36" spans="1:7" x14ac:dyDescent="0.25">
      <c r="A36" s="1" t="s">
        <v>160</v>
      </c>
      <c r="B36" s="76">
        <v>22.588418999999998</v>
      </c>
      <c r="C36" s="76">
        <v>22.679870999999999</v>
      </c>
      <c r="D36" s="76">
        <v>22.314066</v>
      </c>
      <c r="E36" s="76">
        <v>22.405518000000001</v>
      </c>
      <c r="F36" s="76">
        <v>10.153174999999999</v>
      </c>
      <c r="G36" s="79">
        <v>159700</v>
      </c>
    </row>
    <row r="37" spans="1:7" x14ac:dyDescent="0.25">
      <c r="A37" s="1" t="s">
        <v>161</v>
      </c>
      <c r="B37" s="76">
        <v>22.222614</v>
      </c>
      <c r="C37" s="76">
        <v>22.542694000000001</v>
      </c>
      <c r="D37" s="76">
        <v>22.222614</v>
      </c>
      <c r="E37" s="76">
        <v>22.451242000000001</v>
      </c>
      <c r="F37" s="76">
        <v>10.173899</v>
      </c>
      <c r="G37" s="79">
        <v>316400</v>
      </c>
    </row>
    <row r="38" spans="1:7" x14ac:dyDescent="0.25">
      <c r="A38" s="1" t="s">
        <v>162</v>
      </c>
      <c r="B38" s="76">
        <v>22.496969</v>
      </c>
      <c r="C38" s="76">
        <v>22.588418999999998</v>
      </c>
      <c r="D38" s="76">
        <v>22.039712999999999</v>
      </c>
      <c r="E38" s="76">
        <v>22.314066</v>
      </c>
      <c r="F38" s="76">
        <v>10.111734999999999</v>
      </c>
      <c r="G38" s="79">
        <v>333400</v>
      </c>
    </row>
    <row r="39" spans="1:7" x14ac:dyDescent="0.25">
      <c r="A39" s="1" t="s">
        <v>163</v>
      </c>
      <c r="B39" s="76">
        <v>22.496969</v>
      </c>
      <c r="C39" s="76">
        <v>22.496969</v>
      </c>
      <c r="D39" s="76">
        <v>22.131164999999999</v>
      </c>
      <c r="E39" s="76">
        <v>22.222614</v>
      </c>
      <c r="F39" s="76">
        <v>10.070290999999999</v>
      </c>
      <c r="G39" s="79">
        <v>155700</v>
      </c>
    </row>
    <row r="40" spans="1:7" x14ac:dyDescent="0.25">
      <c r="A40" s="1" t="s">
        <v>164</v>
      </c>
      <c r="B40" s="76">
        <v>22.131164999999999</v>
      </c>
      <c r="C40" s="76">
        <v>22.222614</v>
      </c>
      <c r="D40" s="76">
        <v>22.039712999999999</v>
      </c>
      <c r="E40" s="76">
        <v>22.039712999999999</v>
      </c>
      <c r="F40" s="76">
        <v>9.9874109999999998</v>
      </c>
      <c r="G40" s="79">
        <v>79000</v>
      </c>
    </row>
    <row r="41" spans="1:7" x14ac:dyDescent="0.25">
      <c r="A41" s="1" t="s">
        <v>165</v>
      </c>
      <c r="B41" s="76">
        <v>22.039712999999999</v>
      </c>
      <c r="C41" s="76">
        <v>22.222614</v>
      </c>
      <c r="D41" s="76">
        <v>21.948260999999999</v>
      </c>
      <c r="E41" s="76">
        <v>22.176888999999999</v>
      </c>
      <c r="F41" s="76">
        <v>10.049572999999899</v>
      </c>
      <c r="G41" s="79">
        <v>179200</v>
      </c>
    </row>
    <row r="42" spans="1:7" x14ac:dyDescent="0.25">
      <c r="A42" s="1" t="s">
        <v>166</v>
      </c>
      <c r="B42" s="76">
        <v>22.268340999999999</v>
      </c>
      <c r="C42" s="76">
        <v>22.405518000000001</v>
      </c>
      <c r="D42" s="76">
        <v>22.131164999999999</v>
      </c>
      <c r="E42" s="76">
        <v>22.382618000000001</v>
      </c>
      <c r="F42" s="76">
        <v>10.142799</v>
      </c>
      <c r="G42" s="79">
        <v>144400</v>
      </c>
    </row>
    <row r="43" spans="1:7" x14ac:dyDescent="0.25">
      <c r="A43" s="1" t="s">
        <v>167</v>
      </c>
      <c r="B43" s="76">
        <v>22.222614</v>
      </c>
      <c r="C43" s="76">
        <v>22.634145999999902</v>
      </c>
      <c r="D43" s="76">
        <v>22.176888999999999</v>
      </c>
      <c r="E43" s="76">
        <v>22.542694000000001</v>
      </c>
      <c r="F43" s="76">
        <v>10.215336000000001</v>
      </c>
      <c r="G43" s="79">
        <v>138800</v>
      </c>
    </row>
    <row r="44" spans="1:7" x14ac:dyDescent="0.25">
      <c r="A44" s="1" t="s">
        <v>168</v>
      </c>
      <c r="B44" s="76">
        <v>22.451242000000001</v>
      </c>
      <c r="C44" s="76">
        <v>22.725594999999998</v>
      </c>
      <c r="D44" s="76">
        <v>22.314066</v>
      </c>
      <c r="E44" s="76">
        <v>22.588418999999998</v>
      </c>
      <c r="F44" s="76">
        <v>10.236058999999999</v>
      </c>
      <c r="G44" s="79">
        <v>109800</v>
      </c>
    </row>
    <row r="45" spans="1:7" x14ac:dyDescent="0.25">
      <c r="A45" s="1" t="s">
        <v>169</v>
      </c>
      <c r="B45" s="76">
        <v>22.451242000000001</v>
      </c>
      <c r="C45" s="76">
        <v>22.588418999999998</v>
      </c>
      <c r="D45" s="76">
        <v>22.405518000000001</v>
      </c>
      <c r="E45" s="76">
        <v>22.451242000000001</v>
      </c>
      <c r="F45" s="76">
        <v>10.173899</v>
      </c>
      <c r="G45" s="79">
        <v>194700</v>
      </c>
    </row>
    <row r="46" spans="1:7" x14ac:dyDescent="0.25">
      <c r="A46" s="1" t="s">
        <v>170</v>
      </c>
      <c r="B46" s="76">
        <v>22.542694000000001</v>
      </c>
      <c r="C46" s="76">
        <v>22.862772</v>
      </c>
      <c r="D46" s="76">
        <v>22.451242000000001</v>
      </c>
      <c r="E46" s="76">
        <v>22.634145999999902</v>
      </c>
      <c r="F46" s="76">
        <v>10.256779999999999</v>
      </c>
      <c r="G46" s="79">
        <v>129300</v>
      </c>
    </row>
    <row r="47" spans="1:7" x14ac:dyDescent="0.25">
      <c r="A47" s="1" t="s">
        <v>171</v>
      </c>
      <c r="B47" s="76">
        <v>22.634145999999902</v>
      </c>
      <c r="C47" s="76">
        <v>22.817046999999999</v>
      </c>
      <c r="D47" s="76">
        <v>22.542694000000001</v>
      </c>
      <c r="E47" s="76">
        <v>22.679870999999999</v>
      </c>
      <c r="F47" s="76">
        <v>10.277505999999899</v>
      </c>
      <c r="G47" s="79">
        <v>378200</v>
      </c>
    </row>
    <row r="48" spans="1:7" x14ac:dyDescent="0.25">
      <c r="A48" s="1" t="s">
        <v>172</v>
      </c>
      <c r="B48" s="76">
        <v>22.588418999999998</v>
      </c>
      <c r="C48" s="76">
        <v>22.679870999999999</v>
      </c>
      <c r="D48" s="76">
        <v>22.359793</v>
      </c>
      <c r="E48" s="76">
        <v>22.542694000000001</v>
      </c>
      <c r="F48" s="76">
        <v>10.215336000000001</v>
      </c>
      <c r="G48" s="79">
        <v>120200</v>
      </c>
    </row>
    <row r="49" spans="1:7" x14ac:dyDescent="0.25">
      <c r="A49" s="1" t="s">
        <v>173</v>
      </c>
      <c r="B49" s="76">
        <v>22.542694000000001</v>
      </c>
      <c r="C49" s="76">
        <v>22.542694000000001</v>
      </c>
      <c r="D49" s="76">
        <v>22.268340999999999</v>
      </c>
      <c r="E49" s="76">
        <v>22.314066</v>
      </c>
      <c r="F49" s="76">
        <v>10.111734999999999</v>
      </c>
      <c r="G49" s="79">
        <v>169000</v>
      </c>
    </row>
    <row r="50" spans="1:7" x14ac:dyDescent="0.25">
      <c r="A50" s="1" t="s">
        <v>174</v>
      </c>
      <c r="B50" s="76">
        <v>22.314066</v>
      </c>
      <c r="C50" s="76">
        <v>22.359793</v>
      </c>
      <c r="D50" s="76">
        <v>22.268340999999999</v>
      </c>
      <c r="E50" s="76">
        <v>22.314066</v>
      </c>
      <c r="F50" s="76">
        <v>10.111734999999999</v>
      </c>
      <c r="G50" s="79">
        <v>202500</v>
      </c>
    </row>
    <row r="51" spans="1:7" x14ac:dyDescent="0.25">
      <c r="A51" s="1" t="s">
        <v>175</v>
      </c>
      <c r="B51" s="76">
        <v>22.451242000000001</v>
      </c>
      <c r="C51" s="76">
        <v>22.451242000000001</v>
      </c>
      <c r="D51" s="76">
        <v>21.856811999999898</v>
      </c>
      <c r="E51" s="76">
        <v>21.856811999999898</v>
      </c>
      <c r="F51" s="76">
        <v>9.9045279999999902</v>
      </c>
      <c r="G51" s="79">
        <v>119600</v>
      </c>
    </row>
    <row r="52" spans="1:7" x14ac:dyDescent="0.25">
      <c r="A52" s="1" t="s">
        <v>176</v>
      </c>
      <c r="B52" s="76">
        <v>21.948260999999999</v>
      </c>
      <c r="C52" s="76">
        <v>22.314066</v>
      </c>
      <c r="D52" s="76">
        <v>21.902535999999898</v>
      </c>
      <c r="E52" s="76">
        <v>22.222614</v>
      </c>
      <c r="F52" s="76">
        <v>10.070290999999999</v>
      </c>
      <c r="G52" s="79">
        <v>230900</v>
      </c>
    </row>
    <row r="53" spans="1:7" x14ac:dyDescent="0.25">
      <c r="A53" s="1" t="s">
        <v>177</v>
      </c>
      <c r="B53" s="76">
        <v>22.268340999999999</v>
      </c>
      <c r="C53" s="76">
        <v>22.496969</v>
      </c>
      <c r="D53" s="76">
        <v>22.222614</v>
      </c>
      <c r="E53" s="76">
        <v>22.496969</v>
      </c>
      <c r="F53" s="76">
        <v>10.194622000000001</v>
      </c>
      <c r="G53" s="79">
        <v>526800</v>
      </c>
    </row>
    <row r="54" spans="1:7" x14ac:dyDescent="0.25">
      <c r="A54" s="1" t="s">
        <v>178</v>
      </c>
      <c r="B54" s="76">
        <v>22.405518000000001</v>
      </c>
      <c r="C54" s="76">
        <v>23.411479999999901</v>
      </c>
      <c r="D54" s="76">
        <v>22.405518000000001</v>
      </c>
      <c r="E54" s="76">
        <v>23.274303</v>
      </c>
      <c r="F54" s="76">
        <v>10.546872</v>
      </c>
      <c r="G54" s="79">
        <v>346400</v>
      </c>
    </row>
    <row r="55" spans="1:7" x14ac:dyDescent="0.25">
      <c r="A55" s="1" t="s">
        <v>179</v>
      </c>
      <c r="B55" s="76">
        <v>23.365753000000002</v>
      </c>
      <c r="C55" s="76">
        <v>23.502929999999999</v>
      </c>
      <c r="D55" s="76">
        <v>22.679870999999999</v>
      </c>
      <c r="E55" s="76">
        <v>23.274303</v>
      </c>
      <c r="F55" s="76">
        <v>10.546872</v>
      </c>
      <c r="G55" s="79">
        <v>824700</v>
      </c>
    </row>
    <row r="56" spans="1:7" x14ac:dyDescent="0.25">
      <c r="A56" s="1" t="s">
        <v>180</v>
      </c>
      <c r="B56" s="76">
        <v>23.548656000000001</v>
      </c>
      <c r="C56" s="76">
        <v>23.777284999999999</v>
      </c>
      <c r="D56" s="76">
        <v>22.954224</v>
      </c>
      <c r="E56" s="76">
        <v>23.411479999999901</v>
      </c>
      <c r="F56" s="76">
        <v>10.609033</v>
      </c>
      <c r="G56" s="79">
        <v>890900</v>
      </c>
    </row>
    <row r="57" spans="1:7" x14ac:dyDescent="0.25">
      <c r="A57" s="1" t="s">
        <v>181</v>
      </c>
      <c r="B57" s="76">
        <v>23.365753000000002</v>
      </c>
      <c r="C57" s="76">
        <v>23.685832999999999</v>
      </c>
      <c r="D57" s="76">
        <v>23.182852</v>
      </c>
      <c r="E57" s="76">
        <v>23.685832999999999</v>
      </c>
      <c r="F57" s="76">
        <v>10.733357</v>
      </c>
      <c r="G57" s="79">
        <v>104700</v>
      </c>
    </row>
    <row r="58" spans="1:7" x14ac:dyDescent="0.25">
      <c r="A58" s="1" t="s">
        <v>182</v>
      </c>
      <c r="B58" s="76">
        <v>23.868734</v>
      </c>
      <c r="C58" s="76">
        <v>23.914460999999999</v>
      </c>
      <c r="D58" s="76">
        <v>23.594380999999998</v>
      </c>
      <c r="E58" s="76">
        <v>23.914460999999999</v>
      </c>
      <c r="F58" s="76">
        <v>10.836964999999999</v>
      </c>
      <c r="G58" s="79">
        <v>122100</v>
      </c>
    </row>
    <row r="59" spans="1:7" x14ac:dyDescent="0.25">
      <c r="A59" s="1" t="s">
        <v>183</v>
      </c>
      <c r="B59" s="76">
        <v>23.914460999999999</v>
      </c>
      <c r="C59" s="76">
        <v>24.646069000000001</v>
      </c>
      <c r="D59" s="76">
        <v>23.868734</v>
      </c>
      <c r="E59" s="76">
        <v>24.325990999999998</v>
      </c>
      <c r="F59" s="76">
        <v>11.023452000000001</v>
      </c>
      <c r="G59" s="79">
        <v>449500</v>
      </c>
    </row>
    <row r="60" spans="1:7" x14ac:dyDescent="0.25">
      <c r="A60" s="1" t="s">
        <v>184</v>
      </c>
      <c r="B60" s="76">
        <v>24.325990999999998</v>
      </c>
      <c r="C60" s="76">
        <v>24.325990999999998</v>
      </c>
      <c r="D60" s="76">
        <v>23.594380999999998</v>
      </c>
      <c r="E60" s="76">
        <v>23.685832999999999</v>
      </c>
      <c r="F60" s="76">
        <v>10.733357</v>
      </c>
      <c r="G60" s="79">
        <v>128800</v>
      </c>
    </row>
    <row r="61" spans="1:7" x14ac:dyDescent="0.25">
      <c r="A61" s="1" t="s">
        <v>185</v>
      </c>
      <c r="B61" s="76">
        <v>23.868734</v>
      </c>
      <c r="C61" s="76">
        <v>24.417442000000001</v>
      </c>
      <c r="D61" s="76">
        <v>23.823008999999999</v>
      </c>
      <c r="E61" s="76">
        <v>24.097363000000001</v>
      </c>
      <c r="F61" s="76">
        <v>10.919843999999999</v>
      </c>
      <c r="G61" s="79">
        <v>809600</v>
      </c>
    </row>
    <row r="62" spans="1:7" x14ac:dyDescent="0.25">
      <c r="A62" s="1" t="s">
        <v>186</v>
      </c>
      <c r="B62" s="76">
        <v>24.097363000000001</v>
      </c>
      <c r="C62" s="76">
        <v>24.325990999999998</v>
      </c>
      <c r="D62" s="76">
        <v>23.777284999999999</v>
      </c>
      <c r="E62" s="76">
        <v>24.143087000000001</v>
      </c>
      <c r="F62" s="76">
        <v>10.940564999999999</v>
      </c>
      <c r="G62" s="79">
        <v>128800</v>
      </c>
    </row>
    <row r="63" spans="1:7" x14ac:dyDescent="0.25">
      <c r="A63" s="1" t="s">
        <v>187</v>
      </c>
      <c r="B63" s="76">
        <v>24.234539000000002</v>
      </c>
      <c r="C63" s="76">
        <v>24.325990999999998</v>
      </c>
      <c r="D63" s="76">
        <v>23.914460999999999</v>
      </c>
      <c r="E63" s="76">
        <v>24.234539000000002</v>
      </c>
      <c r="F63" s="76">
        <v>10.982006</v>
      </c>
      <c r="G63" s="79">
        <v>48500</v>
      </c>
    </row>
    <row r="64" spans="1:7" x14ac:dyDescent="0.25">
      <c r="A64" s="1" t="s">
        <v>188</v>
      </c>
      <c r="B64" s="76">
        <v>24.417442000000001</v>
      </c>
      <c r="C64" s="76">
        <v>24.600344</v>
      </c>
      <c r="D64" s="76">
        <v>24.234539000000002</v>
      </c>
      <c r="E64" s="76">
        <v>24.554618999999999</v>
      </c>
      <c r="F64" s="76">
        <v>11.127051</v>
      </c>
      <c r="G64" s="79">
        <v>208900</v>
      </c>
    </row>
    <row r="65" spans="1:7" x14ac:dyDescent="0.25">
      <c r="A65" s="1" t="s">
        <v>189</v>
      </c>
      <c r="B65" s="76">
        <v>24.600344</v>
      </c>
      <c r="C65" s="76">
        <v>24.874697000000001</v>
      </c>
      <c r="D65" s="76">
        <v>24.508891999999999</v>
      </c>
      <c r="E65" s="76">
        <v>24.508891999999999</v>
      </c>
      <c r="F65" s="76">
        <v>11.106336000000001</v>
      </c>
      <c r="G65" s="79">
        <v>299200</v>
      </c>
    </row>
    <row r="66" spans="1:7" x14ac:dyDescent="0.25">
      <c r="A66" s="1" t="s">
        <v>190</v>
      </c>
      <c r="B66" s="76">
        <v>24.508891999999999</v>
      </c>
      <c r="C66" s="76">
        <v>24.783245000000001</v>
      </c>
      <c r="D66" s="76">
        <v>24.508891999999999</v>
      </c>
      <c r="E66" s="76">
        <v>24.646069000000001</v>
      </c>
      <c r="F66" s="76">
        <v>11.168495999999999</v>
      </c>
      <c r="G66" s="79">
        <v>80800</v>
      </c>
    </row>
    <row r="67" spans="1:7" x14ac:dyDescent="0.25">
      <c r="A67" s="1" t="s">
        <v>191</v>
      </c>
      <c r="B67" s="76">
        <v>24.600344</v>
      </c>
      <c r="C67" s="76">
        <v>24.783245000000001</v>
      </c>
      <c r="D67" s="76">
        <v>24.325990999999998</v>
      </c>
      <c r="E67" s="76">
        <v>24.691794999999999</v>
      </c>
      <c r="F67" s="76">
        <v>11.189216</v>
      </c>
      <c r="G67" s="79">
        <v>117300</v>
      </c>
    </row>
    <row r="68" spans="1:7" x14ac:dyDescent="0.25">
      <c r="A68" s="1" t="s">
        <v>192</v>
      </c>
      <c r="B68" s="76">
        <v>24.508891999999999</v>
      </c>
      <c r="C68" s="76">
        <v>25.149049999999999</v>
      </c>
      <c r="D68" s="76">
        <v>23.868734</v>
      </c>
      <c r="E68" s="76">
        <v>24.966148</v>
      </c>
      <c r="F68" s="76">
        <v>11.313542</v>
      </c>
      <c r="G68" s="79">
        <v>174000</v>
      </c>
    </row>
    <row r="69" spans="1:7" x14ac:dyDescent="0.25">
      <c r="A69" s="1" t="s">
        <v>193</v>
      </c>
      <c r="B69" s="76">
        <v>25.057597999999999</v>
      </c>
      <c r="C69" s="76">
        <v>25.240500999999998</v>
      </c>
      <c r="D69" s="76">
        <v>24.691794999999999</v>
      </c>
      <c r="E69" s="76">
        <v>24.920421999999999</v>
      </c>
      <c r="F69" s="76">
        <v>11.292817999999899</v>
      </c>
      <c r="G69" s="79">
        <v>150300</v>
      </c>
    </row>
    <row r="70" spans="1:7" x14ac:dyDescent="0.25">
      <c r="A70" s="1" t="s">
        <v>194</v>
      </c>
      <c r="B70" s="76">
        <v>25.011873000000001</v>
      </c>
      <c r="C70" s="76">
        <v>25.331952999999999</v>
      </c>
      <c r="D70" s="76">
        <v>24.73752</v>
      </c>
      <c r="E70" s="76">
        <v>25.149049999999999</v>
      </c>
      <c r="F70" s="76">
        <v>11.396423</v>
      </c>
      <c r="G70" s="79">
        <v>163200</v>
      </c>
    </row>
    <row r="71" spans="1:7" x14ac:dyDescent="0.25">
      <c r="A71" s="1" t="s">
        <v>195</v>
      </c>
      <c r="B71" s="76">
        <v>25.149049999999999</v>
      </c>
      <c r="C71" s="76">
        <v>25.606306</v>
      </c>
      <c r="D71" s="76">
        <v>25.149049999999999</v>
      </c>
      <c r="E71" s="76">
        <v>25.240500999999998</v>
      </c>
      <c r="F71" s="76">
        <v>11.437863999999999</v>
      </c>
      <c r="G71" s="79">
        <v>63600</v>
      </c>
    </row>
    <row r="72" spans="1:7" x14ac:dyDescent="0.25">
      <c r="A72" s="1" t="s">
        <v>196</v>
      </c>
      <c r="B72" s="76">
        <v>25.240500999999998</v>
      </c>
      <c r="C72" s="76">
        <v>26.063559999999999</v>
      </c>
      <c r="D72" s="76">
        <v>25.240500999999998</v>
      </c>
      <c r="E72" s="76">
        <v>25.789207000000001</v>
      </c>
      <c r="F72" s="76">
        <v>11.686515</v>
      </c>
      <c r="G72" s="79">
        <v>300200</v>
      </c>
    </row>
    <row r="73" spans="1:7" x14ac:dyDescent="0.25">
      <c r="A73" s="1" t="s">
        <v>197</v>
      </c>
      <c r="B73" s="76">
        <v>25.606306</v>
      </c>
      <c r="C73" s="76">
        <v>26.109286999999998</v>
      </c>
      <c r="D73" s="76">
        <v>25.606306</v>
      </c>
      <c r="E73" s="76">
        <v>26.063559999999999</v>
      </c>
      <c r="F73" s="76">
        <v>11.810834</v>
      </c>
      <c r="G73" s="79">
        <v>640900</v>
      </c>
    </row>
    <row r="74" spans="1:7" x14ac:dyDescent="0.25">
      <c r="A74" s="1" t="s">
        <v>198</v>
      </c>
      <c r="B74" s="76">
        <v>25.880659000000001</v>
      </c>
      <c r="C74" s="76">
        <v>25.880659000000001</v>
      </c>
      <c r="D74" s="76">
        <v>24.73752</v>
      </c>
      <c r="E74" s="76">
        <v>25.331952999999999</v>
      </c>
      <c r="F74" s="76">
        <v>11.479305</v>
      </c>
      <c r="G74" s="79">
        <v>552200</v>
      </c>
    </row>
    <row r="75" spans="1:7" x14ac:dyDescent="0.25">
      <c r="A75" s="1" t="s">
        <v>199</v>
      </c>
      <c r="B75" s="76">
        <v>25.149049999999999</v>
      </c>
      <c r="C75" s="76">
        <v>25.377678</v>
      </c>
      <c r="D75" s="76">
        <v>24.508891999999999</v>
      </c>
      <c r="E75" s="76">
        <v>25.377678</v>
      </c>
      <c r="F75" s="76">
        <v>11.500029</v>
      </c>
      <c r="G75" s="79">
        <v>608100</v>
      </c>
    </row>
    <row r="76" spans="1:7" x14ac:dyDescent="0.25">
      <c r="A76" s="1" t="s">
        <v>200</v>
      </c>
      <c r="B76" s="76">
        <v>25.377678</v>
      </c>
      <c r="C76" s="76">
        <v>25.377678</v>
      </c>
      <c r="D76" s="76">
        <v>24.691794999999999</v>
      </c>
      <c r="E76" s="76">
        <v>25.240500999999998</v>
      </c>
      <c r="F76" s="76">
        <v>11.437863999999999</v>
      </c>
      <c r="G76" s="79">
        <v>158200</v>
      </c>
    </row>
    <row r="77" spans="1:7" x14ac:dyDescent="0.25">
      <c r="A77" s="1" t="s">
        <v>201</v>
      </c>
      <c r="B77" s="76">
        <v>25.240500999999998</v>
      </c>
      <c r="C77" s="76">
        <v>25.240500999999998</v>
      </c>
      <c r="D77" s="76">
        <v>25.011873000000001</v>
      </c>
      <c r="E77" s="76">
        <v>25.240500999999998</v>
      </c>
      <c r="F77" s="76">
        <v>11.437863999999999</v>
      </c>
      <c r="G77" s="79">
        <v>138700</v>
      </c>
    </row>
    <row r="78" spans="1:7" x14ac:dyDescent="0.25">
      <c r="A78" s="1" t="s">
        <v>202</v>
      </c>
      <c r="B78" s="76">
        <v>25.286225999999999</v>
      </c>
      <c r="C78" s="76">
        <v>25.331952999999999</v>
      </c>
      <c r="D78" s="76">
        <v>25.194776999999998</v>
      </c>
      <c r="E78" s="76">
        <v>25.240500999999998</v>
      </c>
      <c r="F78" s="76">
        <v>11.437863999999999</v>
      </c>
      <c r="G78" s="79">
        <v>177300</v>
      </c>
    </row>
    <row r="79" spans="1:7" x14ac:dyDescent="0.25">
      <c r="A79" s="1" t="s">
        <v>203</v>
      </c>
      <c r="B79" s="76">
        <v>25.331952999999999</v>
      </c>
      <c r="C79" s="76">
        <v>25.377678</v>
      </c>
      <c r="D79" s="76">
        <v>25.240500999999998</v>
      </c>
      <c r="E79" s="76">
        <v>25.286225999999999</v>
      </c>
      <c r="F79" s="76">
        <v>11.458584999999999</v>
      </c>
      <c r="G79" s="79">
        <v>121300</v>
      </c>
    </row>
    <row r="80" spans="1:7" x14ac:dyDescent="0.25">
      <c r="A80" s="1" t="s">
        <v>204</v>
      </c>
      <c r="B80" s="76">
        <v>25.377678</v>
      </c>
      <c r="C80" s="76">
        <v>25.697755999999998</v>
      </c>
      <c r="D80" s="76">
        <v>25.377678</v>
      </c>
      <c r="E80" s="76">
        <v>25.514854</v>
      </c>
      <c r="F80" s="76">
        <v>11.562188000000001</v>
      </c>
      <c r="G80" s="79">
        <v>141600</v>
      </c>
    </row>
    <row r="81" spans="1:7" x14ac:dyDescent="0.25">
      <c r="A81" s="1" t="s">
        <v>205</v>
      </c>
      <c r="B81" s="76">
        <v>25.514854</v>
      </c>
      <c r="C81" s="76">
        <v>25.514854</v>
      </c>
      <c r="D81" s="76">
        <v>24.966148</v>
      </c>
      <c r="E81" s="76">
        <v>25.286225999999999</v>
      </c>
      <c r="F81" s="76">
        <v>11.458584999999999</v>
      </c>
      <c r="G81" s="79">
        <v>271200</v>
      </c>
    </row>
    <row r="82" spans="1:7" x14ac:dyDescent="0.25">
      <c r="A82" s="1" t="s">
        <v>206</v>
      </c>
      <c r="B82" s="76">
        <v>25.377678</v>
      </c>
      <c r="C82" s="76">
        <v>25.834934000000001</v>
      </c>
      <c r="D82" s="76">
        <v>25.286225999999999</v>
      </c>
      <c r="E82" s="76">
        <v>25.606306</v>
      </c>
      <c r="F82" s="76">
        <v>11.603629</v>
      </c>
      <c r="G82" s="79">
        <v>466700</v>
      </c>
    </row>
    <row r="83" spans="1:7" x14ac:dyDescent="0.25">
      <c r="A83" s="1" t="s">
        <v>207</v>
      </c>
      <c r="B83" s="76">
        <v>25.514854</v>
      </c>
      <c r="C83" s="76">
        <v>25.514854</v>
      </c>
      <c r="D83" s="76">
        <v>25.240500999999998</v>
      </c>
      <c r="E83" s="76">
        <v>25.46913</v>
      </c>
      <c r="F83" s="76">
        <v>11.541466</v>
      </c>
      <c r="G83" s="79">
        <v>193500</v>
      </c>
    </row>
    <row r="84" spans="1:7" x14ac:dyDescent="0.25">
      <c r="A84" s="1" t="s">
        <v>208</v>
      </c>
      <c r="B84" s="76">
        <v>25.423403</v>
      </c>
      <c r="C84" s="76">
        <v>25.514854</v>
      </c>
      <c r="D84" s="76">
        <v>25.240500999999998</v>
      </c>
      <c r="E84" s="76">
        <v>25.240500999999998</v>
      </c>
      <c r="F84" s="76">
        <v>11.437863999999999</v>
      </c>
      <c r="G84" s="79">
        <v>372100</v>
      </c>
    </row>
    <row r="85" spans="1:7" x14ac:dyDescent="0.25">
      <c r="A85" s="1" t="s">
        <v>209</v>
      </c>
      <c r="B85" s="76">
        <v>25.331952999999999</v>
      </c>
      <c r="C85" s="76">
        <v>25.972110999999899</v>
      </c>
      <c r="D85" s="76">
        <v>25.286225999999999</v>
      </c>
      <c r="E85" s="76">
        <v>25.926383999999999</v>
      </c>
      <c r="F85" s="76">
        <v>11.748678</v>
      </c>
      <c r="G85" s="79">
        <v>301200</v>
      </c>
    </row>
    <row r="86" spans="1:7" x14ac:dyDescent="0.25">
      <c r="A86" s="1" t="s">
        <v>210</v>
      </c>
      <c r="B86" s="76">
        <v>26.109286999999998</v>
      </c>
      <c r="C86" s="76">
        <v>26.978071</v>
      </c>
      <c r="D86" s="76">
        <v>25.926383999999999</v>
      </c>
      <c r="E86" s="76">
        <v>26.703717999999999</v>
      </c>
      <c r="F86" s="76">
        <v>12.100928</v>
      </c>
      <c r="G86" s="79">
        <v>549000</v>
      </c>
    </row>
    <row r="87" spans="1:7" x14ac:dyDescent="0.25">
      <c r="A87" s="1" t="s">
        <v>211</v>
      </c>
      <c r="B87" s="76">
        <v>26.566541999999998</v>
      </c>
      <c r="C87" s="76">
        <v>26.703717999999999</v>
      </c>
      <c r="D87" s="76">
        <v>26.292189</v>
      </c>
      <c r="E87" s="76">
        <v>26.612268</v>
      </c>
      <c r="F87" s="76">
        <v>12.059488</v>
      </c>
      <c r="G87" s="79">
        <v>552800</v>
      </c>
    </row>
    <row r="88" spans="1:7" x14ac:dyDescent="0.25">
      <c r="A88" s="1" t="s">
        <v>212</v>
      </c>
      <c r="B88" s="76">
        <v>26.109286999999998</v>
      </c>
      <c r="C88" s="76">
        <v>26.337914000000001</v>
      </c>
      <c r="D88" s="76">
        <v>26.063559999999999</v>
      </c>
      <c r="E88" s="76">
        <v>26.337914000000001</v>
      </c>
      <c r="F88" s="76">
        <v>12.094764999999899</v>
      </c>
      <c r="G88" s="79">
        <v>165000</v>
      </c>
    </row>
    <row r="89" spans="1:7" x14ac:dyDescent="0.25">
      <c r="A89" s="1" t="s">
        <v>213</v>
      </c>
      <c r="B89" s="76">
        <v>26.337914000000001</v>
      </c>
      <c r="C89" s="76">
        <v>26.475090000000002</v>
      </c>
      <c r="D89" s="76">
        <v>26.109286999999998</v>
      </c>
      <c r="E89" s="76">
        <v>26.109286999999998</v>
      </c>
      <c r="F89" s="76">
        <v>11.98977</v>
      </c>
      <c r="G89" s="79">
        <v>275400</v>
      </c>
    </row>
    <row r="90" spans="1:7" x14ac:dyDescent="0.25">
      <c r="A90" s="1" t="s">
        <v>214</v>
      </c>
      <c r="B90" s="76">
        <v>26.246464</v>
      </c>
      <c r="C90" s="76">
        <v>26.429365000000001</v>
      </c>
      <c r="D90" s="76">
        <v>26.109286999999998</v>
      </c>
      <c r="E90" s="76">
        <v>26.200737</v>
      </c>
      <c r="F90" s="76">
        <v>12.031769000000001</v>
      </c>
      <c r="G90" s="79">
        <v>112800</v>
      </c>
    </row>
    <row r="91" spans="1:7" x14ac:dyDescent="0.25">
      <c r="A91" s="1" t="s">
        <v>215</v>
      </c>
      <c r="B91" s="76">
        <v>26.155011999999999</v>
      </c>
      <c r="C91" s="76">
        <v>26.292189</v>
      </c>
      <c r="D91" s="76">
        <v>26.063559999999999</v>
      </c>
      <c r="E91" s="76">
        <v>26.246464</v>
      </c>
      <c r="F91" s="76">
        <v>12.0527649999999</v>
      </c>
      <c r="G91" s="79">
        <v>109700</v>
      </c>
    </row>
    <row r="92" spans="1:7" x14ac:dyDescent="0.25">
      <c r="A92" s="1" t="s">
        <v>216</v>
      </c>
      <c r="B92" s="76">
        <v>26.063559999999999</v>
      </c>
      <c r="C92" s="76">
        <v>26.292189</v>
      </c>
      <c r="D92" s="76">
        <v>25.972110999999899</v>
      </c>
      <c r="E92" s="76">
        <v>26.246464</v>
      </c>
      <c r="F92" s="76">
        <v>12.0527649999999</v>
      </c>
      <c r="G92" s="79">
        <v>170700</v>
      </c>
    </row>
    <row r="93" spans="1:7" x14ac:dyDescent="0.25">
      <c r="A93" s="1" t="s">
        <v>217</v>
      </c>
      <c r="B93" s="76">
        <v>26.246464</v>
      </c>
      <c r="C93" s="76">
        <v>26.429365000000001</v>
      </c>
      <c r="D93" s="76">
        <v>26.246464</v>
      </c>
      <c r="E93" s="76">
        <v>26.292189</v>
      </c>
      <c r="F93" s="76">
        <v>12.073767</v>
      </c>
      <c r="G93" s="79">
        <v>371100</v>
      </c>
    </row>
    <row r="94" spans="1:7" x14ac:dyDescent="0.25">
      <c r="A94" s="1" t="s">
        <v>218</v>
      </c>
      <c r="B94" s="76">
        <v>26.200737</v>
      </c>
      <c r="C94" s="76">
        <v>26.292189</v>
      </c>
      <c r="D94" s="76">
        <v>26.063559999999999</v>
      </c>
      <c r="E94" s="76">
        <v>26.292189</v>
      </c>
      <c r="F94" s="76">
        <v>12.073767</v>
      </c>
      <c r="G94" s="79">
        <v>79700</v>
      </c>
    </row>
    <row r="95" spans="1:7" x14ac:dyDescent="0.25">
      <c r="A95" s="1" t="s">
        <v>219</v>
      </c>
      <c r="B95" s="76">
        <v>26.292189</v>
      </c>
      <c r="C95" s="76">
        <v>26.292189</v>
      </c>
      <c r="D95" s="76">
        <v>25.972110999999899</v>
      </c>
      <c r="E95" s="76">
        <v>26.246464</v>
      </c>
      <c r="F95" s="76">
        <v>12.0527649999999</v>
      </c>
      <c r="G95" s="79">
        <v>120500</v>
      </c>
    </row>
    <row r="96" spans="1:7" x14ac:dyDescent="0.25">
      <c r="A96" s="1" t="s">
        <v>220</v>
      </c>
      <c r="B96" s="76">
        <v>26.246464</v>
      </c>
      <c r="C96" s="76">
        <v>26.337914000000001</v>
      </c>
      <c r="D96" s="76">
        <v>26.155011999999999</v>
      </c>
      <c r="E96" s="76">
        <v>26.292189</v>
      </c>
      <c r="F96" s="76">
        <v>12.073767</v>
      </c>
      <c r="G96" s="79">
        <v>135800</v>
      </c>
    </row>
    <row r="97" spans="1:7" x14ac:dyDescent="0.25">
      <c r="A97" s="1" t="s">
        <v>221</v>
      </c>
      <c r="B97" s="76">
        <v>26.292189</v>
      </c>
      <c r="C97" s="76">
        <v>26.429365000000001</v>
      </c>
      <c r="D97" s="76">
        <v>26.109286999999998</v>
      </c>
      <c r="E97" s="76">
        <v>26.200737</v>
      </c>
      <c r="F97" s="76">
        <v>12.031769000000001</v>
      </c>
      <c r="G97" s="79">
        <v>315900</v>
      </c>
    </row>
    <row r="98" spans="1:7" x14ac:dyDescent="0.25">
      <c r="A98" s="1" t="s">
        <v>222</v>
      </c>
      <c r="B98" s="76">
        <v>26.292189</v>
      </c>
      <c r="C98" s="76">
        <v>26.429365000000001</v>
      </c>
      <c r="D98" s="76">
        <v>25.789207000000001</v>
      </c>
      <c r="E98" s="76">
        <v>26.109286999999998</v>
      </c>
      <c r="F98" s="76">
        <v>11.98977</v>
      </c>
      <c r="G98" s="79">
        <v>252700</v>
      </c>
    </row>
    <row r="99" spans="1:7" x14ac:dyDescent="0.25">
      <c r="A99" s="1" t="s">
        <v>223</v>
      </c>
      <c r="B99" s="76">
        <v>25.926383999999999</v>
      </c>
      <c r="C99" s="76">
        <v>26.200737</v>
      </c>
      <c r="D99" s="76">
        <v>25.926383999999999</v>
      </c>
      <c r="E99" s="76">
        <v>26.017835999999999</v>
      </c>
      <c r="F99" s="76">
        <v>11.947778</v>
      </c>
      <c r="G99" s="79">
        <v>76300</v>
      </c>
    </row>
    <row r="100" spans="1:7" x14ac:dyDescent="0.25">
      <c r="A100" s="1" t="s">
        <v>224</v>
      </c>
      <c r="B100" s="76">
        <v>25.972110999999899</v>
      </c>
      <c r="C100" s="76">
        <v>26.109286999999998</v>
      </c>
      <c r="D100" s="76">
        <v>25.926383999999999</v>
      </c>
      <c r="E100" s="76">
        <v>25.926383999999999</v>
      </c>
      <c r="F100" s="76">
        <v>11.905782</v>
      </c>
      <c r="G100" s="79">
        <v>253200</v>
      </c>
    </row>
    <row r="101" spans="1:7" x14ac:dyDescent="0.25">
      <c r="A101" s="1" t="s">
        <v>225</v>
      </c>
      <c r="B101" s="76">
        <v>25.972110999999899</v>
      </c>
      <c r="C101" s="76">
        <v>25.972110999999899</v>
      </c>
      <c r="D101" s="76">
        <v>25.606306</v>
      </c>
      <c r="E101" s="76">
        <v>25.606306</v>
      </c>
      <c r="F101" s="76">
        <v>11.758801</v>
      </c>
      <c r="G101" s="79">
        <v>916200</v>
      </c>
    </row>
    <row r="102" spans="1:7" x14ac:dyDescent="0.25">
      <c r="A102" s="1" t="s">
        <v>226</v>
      </c>
      <c r="B102" s="76">
        <v>25.606306</v>
      </c>
      <c r="C102" s="76">
        <v>25.606306</v>
      </c>
      <c r="D102" s="76">
        <v>25.423403</v>
      </c>
      <c r="E102" s="76">
        <v>25.46913</v>
      </c>
      <c r="F102" s="76">
        <v>11.695805999999999</v>
      </c>
      <c r="G102" s="79">
        <v>477200</v>
      </c>
    </row>
    <row r="103" spans="1:7" x14ac:dyDescent="0.25">
      <c r="A103" s="1" t="s">
        <v>227</v>
      </c>
      <c r="B103" s="76">
        <v>25.560579000000001</v>
      </c>
      <c r="C103" s="76">
        <v>25.697755999999998</v>
      </c>
      <c r="D103" s="76">
        <v>25.423403</v>
      </c>
      <c r="E103" s="76">
        <v>25.514854</v>
      </c>
      <c r="F103" s="76">
        <v>11.716804</v>
      </c>
      <c r="G103" s="79">
        <v>620600</v>
      </c>
    </row>
    <row r="104" spans="1:7" x14ac:dyDescent="0.25">
      <c r="A104" s="1" t="s">
        <v>228</v>
      </c>
      <c r="B104" s="76">
        <v>25.697755999999998</v>
      </c>
      <c r="C104" s="76">
        <v>25.789207000000001</v>
      </c>
      <c r="D104" s="76">
        <v>25.560579000000001</v>
      </c>
      <c r="E104" s="76">
        <v>25.789207000000001</v>
      </c>
      <c r="F104" s="76">
        <v>11.842784</v>
      </c>
      <c r="G104" s="79">
        <v>502200</v>
      </c>
    </row>
    <row r="105" spans="1:7" x14ac:dyDescent="0.25">
      <c r="A105" s="1" t="s">
        <v>229</v>
      </c>
      <c r="B105" s="76">
        <v>25.743482999999902</v>
      </c>
      <c r="C105" s="76">
        <v>25.789207000000001</v>
      </c>
      <c r="D105" s="76">
        <v>25.423403</v>
      </c>
      <c r="E105" s="76">
        <v>25.606306</v>
      </c>
      <c r="F105" s="76">
        <v>11.758801</v>
      </c>
      <c r="G105" s="79">
        <v>128200</v>
      </c>
    </row>
    <row r="106" spans="1:7" x14ac:dyDescent="0.25">
      <c r="A106" s="1" t="s">
        <v>230</v>
      </c>
      <c r="B106" s="76">
        <v>25.46913</v>
      </c>
      <c r="C106" s="76">
        <v>25.652031000000001</v>
      </c>
      <c r="D106" s="76">
        <v>25.423403</v>
      </c>
      <c r="E106" s="76">
        <v>25.560579000000001</v>
      </c>
      <c r="F106" s="76">
        <v>11.737797</v>
      </c>
      <c r="G106" s="79">
        <v>127900</v>
      </c>
    </row>
    <row r="107" spans="1:7" x14ac:dyDescent="0.25">
      <c r="A107" s="1" t="s">
        <v>231</v>
      </c>
      <c r="B107" s="76">
        <v>25.606306</v>
      </c>
      <c r="C107" s="76">
        <v>25.606306</v>
      </c>
      <c r="D107" s="76">
        <v>25.423403</v>
      </c>
      <c r="E107" s="76">
        <v>25.606306</v>
      </c>
      <c r="F107" s="76">
        <v>11.758801</v>
      </c>
      <c r="G107" s="79">
        <v>58300</v>
      </c>
    </row>
    <row r="108" spans="1:7" x14ac:dyDescent="0.25">
      <c r="A108" s="1" t="s">
        <v>232</v>
      </c>
      <c r="B108" s="76">
        <v>25.606306</v>
      </c>
      <c r="C108" s="76">
        <v>25.972110999999899</v>
      </c>
      <c r="D108" s="76">
        <v>25.606306</v>
      </c>
      <c r="E108" s="76">
        <v>25.652031000000001</v>
      </c>
      <c r="F108" s="76">
        <v>11.779795999999999</v>
      </c>
      <c r="G108" s="79">
        <v>95500</v>
      </c>
    </row>
    <row r="109" spans="1:7" x14ac:dyDescent="0.25">
      <c r="A109" s="1" t="s">
        <v>233</v>
      </c>
      <c r="B109" s="76">
        <v>25.652031000000001</v>
      </c>
      <c r="C109" s="76">
        <v>25.834934000000001</v>
      </c>
      <c r="D109" s="76">
        <v>25.652031000000001</v>
      </c>
      <c r="E109" s="76">
        <v>25.743482999999902</v>
      </c>
      <c r="F109" s="76">
        <v>11.821795</v>
      </c>
      <c r="G109" s="79">
        <v>53400</v>
      </c>
    </row>
    <row r="110" spans="1:7" x14ac:dyDescent="0.25">
      <c r="A110" s="1" t="s">
        <v>234</v>
      </c>
      <c r="B110" s="76">
        <v>25.743482999999902</v>
      </c>
      <c r="C110" s="76">
        <v>25.972110999999899</v>
      </c>
      <c r="D110" s="76">
        <v>25.697755999999998</v>
      </c>
      <c r="E110" s="76">
        <v>25.880659000000001</v>
      </c>
      <c r="F110" s="76">
        <v>11.884779999999999</v>
      </c>
      <c r="G110" s="79">
        <v>143200</v>
      </c>
    </row>
    <row r="111" spans="1:7" x14ac:dyDescent="0.25">
      <c r="A111" s="1" t="s">
        <v>235</v>
      </c>
      <c r="B111" s="76">
        <v>25.789207000000001</v>
      </c>
      <c r="C111" s="76">
        <v>26.017835999999999</v>
      </c>
      <c r="D111" s="76">
        <v>25.789207000000001</v>
      </c>
      <c r="E111" s="76">
        <v>25.926383999999999</v>
      </c>
      <c r="F111" s="76">
        <v>11.905782</v>
      </c>
      <c r="G111" s="79">
        <v>107500</v>
      </c>
    </row>
    <row r="112" spans="1:7" x14ac:dyDescent="0.25">
      <c r="A112" s="1" t="s">
        <v>236</v>
      </c>
      <c r="B112" s="76">
        <v>25.926383999999999</v>
      </c>
      <c r="C112" s="76">
        <v>26.063559999999999</v>
      </c>
      <c r="D112" s="76">
        <v>25.880659000000001</v>
      </c>
      <c r="E112" s="76">
        <v>25.926383999999999</v>
      </c>
      <c r="F112" s="76">
        <v>11.905782</v>
      </c>
      <c r="G112" s="79">
        <v>112700</v>
      </c>
    </row>
    <row r="113" spans="1:7" x14ac:dyDescent="0.25">
      <c r="A113" s="1" t="s">
        <v>237</v>
      </c>
      <c r="B113" s="76">
        <v>25.972110999999899</v>
      </c>
      <c r="C113" s="76">
        <v>26.246464</v>
      </c>
      <c r="D113" s="76">
        <v>25.834934000000001</v>
      </c>
      <c r="E113" s="76">
        <v>26.246464</v>
      </c>
      <c r="F113" s="76">
        <v>12.0527649999999</v>
      </c>
      <c r="G113" s="79">
        <v>104400</v>
      </c>
    </row>
    <row r="114" spans="1:7" x14ac:dyDescent="0.25">
      <c r="A114" s="1" t="s">
        <v>238</v>
      </c>
      <c r="B114" s="76">
        <v>26.200737</v>
      </c>
      <c r="C114" s="76">
        <v>26.292189</v>
      </c>
      <c r="D114" s="76">
        <v>26.155011999999999</v>
      </c>
      <c r="E114" s="76">
        <v>26.200737</v>
      </c>
      <c r="F114" s="76">
        <v>12.031769000000001</v>
      </c>
      <c r="G114" s="79">
        <v>145300</v>
      </c>
    </row>
    <row r="115" spans="1:7" x14ac:dyDescent="0.25">
      <c r="A115" s="1" t="s">
        <v>239</v>
      </c>
      <c r="B115" s="76">
        <v>26.337914000000001</v>
      </c>
      <c r="C115" s="76">
        <v>26.337914000000001</v>
      </c>
      <c r="D115" s="76">
        <v>26.200737</v>
      </c>
      <c r="E115" s="76">
        <v>26.246464</v>
      </c>
      <c r="F115" s="76">
        <v>12.0527649999999</v>
      </c>
      <c r="G115" s="79">
        <v>151300</v>
      </c>
    </row>
    <row r="116" spans="1:7" x14ac:dyDescent="0.25">
      <c r="A116" s="1" t="s">
        <v>240</v>
      </c>
      <c r="B116" s="76">
        <v>26.292189</v>
      </c>
      <c r="C116" s="76">
        <v>26.703717999999999</v>
      </c>
      <c r="D116" s="76">
        <v>25.926383999999999</v>
      </c>
      <c r="E116" s="76">
        <v>26.657992999999902</v>
      </c>
      <c r="F116" s="76">
        <v>12.24175</v>
      </c>
      <c r="G116" s="79">
        <v>814800</v>
      </c>
    </row>
    <row r="117" spans="1:7" x14ac:dyDescent="0.25">
      <c r="A117" s="1" t="s">
        <v>241</v>
      </c>
      <c r="B117" s="76">
        <v>26.566541999999998</v>
      </c>
      <c r="C117" s="76">
        <v>26.657992999999902</v>
      </c>
      <c r="D117" s="76">
        <v>26.520816999999901</v>
      </c>
      <c r="E117" s="76">
        <v>26.612268</v>
      </c>
      <c r="F117" s="76">
        <v>12.220750000000001</v>
      </c>
      <c r="G117" s="79">
        <v>138000</v>
      </c>
    </row>
    <row r="118" spans="1:7" x14ac:dyDescent="0.25">
      <c r="A118" s="1" t="s">
        <v>242</v>
      </c>
      <c r="B118" s="76">
        <v>26.612268</v>
      </c>
      <c r="C118" s="76">
        <v>26.703717999999999</v>
      </c>
      <c r="D118" s="76">
        <v>26.475090000000002</v>
      </c>
      <c r="E118" s="76">
        <v>26.566541999999998</v>
      </c>
      <c r="F118" s="76">
        <v>12.199752</v>
      </c>
      <c r="G118" s="79">
        <v>898100</v>
      </c>
    </row>
    <row r="119" spans="1:7" x14ac:dyDescent="0.25">
      <c r="A119" s="1" t="s">
        <v>243</v>
      </c>
      <c r="B119" s="76">
        <v>26.566541999999998</v>
      </c>
      <c r="C119" s="76">
        <v>26.657992999999902</v>
      </c>
      <c r="D119" s="76">
        <v>26.292189</v>
      </c>
      <c r="E119" s="76">
        <v>26.292189</v>
      </c>
      <c r="F119" s="76">
        <v>12.073767</v>
      </c>
      <c r="G119" s="79">
        <v>180800</v>
      </c>
    </row>
    <row r="120" spans="1:7" x14ac:dyDescent="0.25">
      <c r="A120" s="1" t="s">
        <v>244</v>
      </c>
      <c r="B120" s="76">
        <v>26.292189</v>
      </c>
      <c r="C120" s="76">
        <v>26.337914000000001</v>
      </c>
      <c r="D120" s="76">
        <v>26.246464</v>
      </c>
      <c r="E120" s="76">
        <v>26.337914000000001</v>
      </c>
      <c r="F120" s="76">
        <v>12.094764999999899</v>
      </c>
      <c r="G120" s="79">
        <v>1132100</v>
      </c>
    </row>
    <row r="121" spans="1:7" x14ac:dyDescent="0.25">
      <c r="A121" s="1" t="s">
        <v>245</v>
      </c>
      <c r="B121" s="76">
        <v>26.200737</v>
      </c>
      <c r="C121" s="76">
        <v>26.429365000000001</v>
      </c>
      <c r="D121" s="76">
        <v>26.200737</v>
      </c>
      <c r="E121" s="76">
        <v>26.38364</v>
      </c>
      <c r="F121" s="76">
        <v>12.115764</v>
      </c>
      <c r="G121" s="79">
        <v>215700</v>
      </c>
    </row>
    <row r="122" spans="1:7" x14ac:dyDescent="0.25">
      <c r="A122" s="1" t="s">
        <v>246</v>
      </c>
      <c r="B122" s="76">
        <v>26.337914000000001</v>
      </c>
      <c r="C122" s="76">
        <v>26.566541999999998</v>
      </c>
      <c r="D122" s="76">
        <v>26.337914000000001</v>
      </c>
      <c r="E122" s="76">
        <v>26.566541999999998</v>
      </c>
      <c r="F122" s="76">
        <v>12.199752</v>
      </c>
      <c r="G122" s="79">
        <v>294500</v>
      </c>
    </row>
    <row r="123" spans="1:7" x14ac:dyDescent="0.25">
      <c r="A123" s="1" t="s">
        <v>247</v>
      </c>
      <c r="B123" s="76">
        <v>26.475090000000002</v>
      </c>
      <c r="C123" s="76">
        <v>26.520816999999901</v>
      </c>
      <c r="D123" s="76">
        <v>26.337914000000001</v>
      </c>
      <c r="E123" s="76">
        <v>26.38364</v>
      </c>
      <c r="F123" s="76">
        <v>12.115764</v>
      </c>
      <c r="G123" s="79">
        <v>413700</v>
      </c>
    </row>
    <row r="124" spans="1:7" x14ac:dyDescent="0.25">
      <c r="A124" s="1" t="s">
        <v>248</v>
      </c>
      <c r="B124" s="76">
        <v>26.38364</v>
      </c>
      <c r="C124" s="76">
        <v>26.520816999999901</v>
      </c>
      <c r="D124" s="76">
        <v>26.063559999999999</v>
      </c>
      <c r="E124" s="76">
        <v>26.38364</v>
      </c>
      <c r="F124" s="76">
        <v>12.115764</v>
      </c>
      <c r="G124" s="79">
        <v>160200</v>
      </c>
    </row>
    <row r="125" spans="1:7" x14ac:dyDescent="0.25">
      <c r="A125" s="1" t="s">
        <v>249</v>
      </c>
      <c r="B125" s="76">
        <v>26.292189</v>
      </c>
      <c r="C125" s="76">
        <v>26.429365000000001</v>
      </c>
      <c r="D125" s="76">
        <v>26.246464</v>
      </c>
      <c r="E125" s="76">
        <v>26.292189</v>
      </c>
      <c r="F125" s="76">
        <v>12.073767</v>
      </c>
      <c r="G125" s="79">
        <v>151500</v>
      </c>
    </row>
    <row r="126" spans="1:7" x14ac:dyDescent="0.25">
      <c r="A126" s="1" t="s">
        <v>250</v>
      </c>
      <c r="B126" s="76">
        <v>26.337914000000001</v>
      </c>
      <c r="C126" s="76">
        <v>26.566541999999998</v>
      </c>
      <c r="D126" s="76">
        <v>26.292189</v>
      </c>
      <c r="E126" s="76">
        <v>26.337914000000001</v>
      </c>
      <c r="F126" s="76">
        <v>12.094764999999899</v>
      </c>
      <c r="G126" s="79">
        <v>463900</v>
      </c>
    </row>
    <row r="127" spans="1:7" x14ac:dyDescent="0.25">
      <c r="A127" s="1" t="s">
        <v>251</v>
      </c>
      <c r="B127" s="76">
        <v>26.337914000000001</v>
      </c>
      <c r="C127" s="76">
        <v>26.429365000000001</v>
      </c>
      <c r="D127" s="76">
        <v>26.223564</v>
      </c>
      <c r="E127" s="76">
        <v>26.429365000000001</v>
      </c>
      <c r="F127" s="76">
        <v>12.136759</v>
      </c>
      <c r="G127" s="79">
        <v>377900</v>
      </c>
    </row>
    <row r="128" spans="1:7" x14ac:dyDescent="0.25">
      <c r="A128" s="1" t="s">
        <v>252</v>
      </c>
      <c r="B128" s="76">
        <v>26.337914000000001</v>
      </c>
      <c r="C128" s="76">
        <v>26.795169999999999</v>
      </c>
      <c r="D128" s="76">
        <v>25.057597999999999</v>
      </c>
      <c r="E128" s="76">
        <v>25.423403</v>
      </c>
      <c r="F128" s="76">
        <v>11.674804999999999</v>
      </c>
      <c r="G128" s="79">
        <v>951600</v>
      </c>
    </row>
    <row r="129" spans="1:7" x14ac:dyDescent="0.25">
      <c r="A129" s="1" t="s">
        <v>253</v>
      </c>
      <c r="B129" s="76">
        <v>25.697755999999998</v>
      </c>
      <c r="C129" s="76">
        <v>26.017835999999999</v>
      </c>
      <c r="D129" s="76">
        <v>25.697755999999998</v>
      </c>
      <c r="E129" s="76">
        <v>25.972110999999899</v>
      </c>
      <c r="F129" s="76">
        <v>11.926780000000001</v>
      </c>
      <c r="G129" s="79">
        <v>199000</v>
      </c>
    </row>
    <row r="130" spans="1:7" x14ac:dyDescent="0.25">
      <c r="A130" s="1" t="s">
        <v>254</v>
      </c>
      <c r="B130" s="76">
        <v>25.834934000000001</v>
      </c>
      <c r="C130" s="76">
        <v>26.566541999999998</v>
      </c>
      <c r="D130" s="76">
        <v>25.789207000000001</v>
      </c>
      <c r="E130" s="76">
        <v>26.520816999999901</v>
      </c>
      <c r="F130" s="76">
        <v>12.178756999999999</v>
      </c>
      <c r="G130" s="79">
        <v>208200</v>
      </c>
    </row>
    <row r="131" spans="1:7" x14ac:dyDescent="0.25">
      <c r="A131" s="1" t="s">
        <v>255</v>
      </c>
      <c r="B131" s="76">
        <v>26.38364</v>
      </c>
      <c r="C131" s="76">
        <v>27.115247999999902</v>
      </c>
      <c r="D131" s="76">
        <v>26.38364</v>
      </c>
      <c r="E131" s="76">
        <v>27.115247999999902</v>
      </c>
      <c r="F131" s="76">
        <v>12.451727</v>
      </c>
      <c r="G131" s="79">
        <v>359800</v>
      </c>
    </row>
    <row r="132" spans="1:7" x14ac:dyDescent="0.25">
      <c r="A132" s="1" t="s">
        <v>256</v>
      </c>
      <c r="B132" s="76">
        <v>26.978071</v>
      </c>
      <c r="C132" s="76">
        <v>27.343876000000002</v>
      </c>
      <c r="D132" s="76">
        <v>26.932345999999999</v>
      </c>
      <c r="E132" s="76">
        <v>27.069522999999901</v>
      </c>
      <c r="F132" s="76">
        <v>12.430728999999999</v>
      </c>
      <c r="G132" s="79">
        <v>229300</v>
      </c>
    </row>
    <row r="133" spans="1:7" x14ac:dyDescent="0.25">
      <c r="A133" s="1" t="s">
        <v>257</v>
      </c>
      <c r="B133" s="76">
        <v>27.206699</v>
      </c>
      <c r="C133" s="76">
        <v>27.389603000000001</v>
      </c>
      <c r="D133" s="76">
        <v>26.978071</v>
      </c>
      <c r="E133" s="76">
        <v>27.069522999999901</v>
      </c>
      <c r="F133" s="76">
        <v>12.430728999999999</v>
      </c>
      <c r="G133" s="79">
        <v>131200</v>
      </c>
    </row>
    <row r="134" spans="1:7" x14ac:dyDescent="0.25">
      <c r="A134" s="1" t="s">
        <v>258</v>
      </c>
      <c r="B134" s="76">
        <v>27.069522999999901</v>
      </c>
      <c r="C134" s="76">
        <v>27.115247999999902</v>
      </c>
      <c r="D134" s="76">
        <v>26.932345999999999</v>
      </c>
      <c r="E134" s="76">
        <v>26.978071</v>
      </c>
      <c r="F134" s="76">
        <v>12.388735</v>
      </c>
      <c r="G134" s="79">
        <v>192400</v>
      </c>
    </row>
    <row r="135" spans="1:7" x14ac:dyDescent="0.25">
      <c r="A135" s="1" t="s">
        <v>259</v>
      </c>
      <c r="B135" s="76">
        <v>26.978071</v>
      </c>
      <c r="C135" s="76">
        <v>27.069522999999901</v>
      </c>
      <c r="D135" s="76">
        <v>26.932345999999999</v>
      </c>
      <c r="E135" s="76">
        <v>26.978071</v>
      </c>
      <c r="F135" s="76">
        <v>12.388735</v>
      </c>
      <c r="G135" s="79">
        <v>139500</v>
      </c>
    </row>
    <row r="136" spans="1:7" x14ac:dyDescent="0.25">
      <c r="A136" s="1" t="s">
        <v>260</v>
      </c>
      <c r="B136" s="76">
        <v>26.978071</v>
      </c>
      <c r="C136" s="76">
        <v>27.069522999999901</v>
      </c>
      <c r="D136" s="76">
        <v>26.909446999999901</v>
      </c>
      <c r="E136" s="76">
        <v>26.909446999999901</v>
      </c>
      <c r="F136" s="76">
        <v>12.357217</v>
      </c>
      <c r="G136" s="79">
        <v>200100</v>
      </c>
    </row>
    <row r="137" spans="1:7" x14ac:dyDescent="0.25">
      <c r="A137" s="1" t="s">
        <v>261</v>
      </c>
      <c r="B137" s="76">
        <v>26.932345999999999</v>
      </c>
      <c r="C137" s="76">
        <v>27.160975000000001</v>
      </c>
      <c r="D137" s="76">
        <v>26.932345999999999</v>
      </c>
      <c r="E137" s="76">
        <v>26.955172999999998</v>
      </c>
      <c r="F137" s="76">
        <v>12.378221999999999</v>
      </c>
      <c r="G137" s="79">
        <v>100600</v>
      </c>
    </row>
    <row r="138" spans="1:7" x14ac:dyDescent="0.25">
      <c r="A138" s="1" t="s">
        <v>262</v>
      </c>
      <c r="B138" s="76">
        <v>27.115247999999902</v>
      </c>
      <c r="C138" s="76">
        <v>27.115247999999902</v>
      </c>
      <c r="D138" s="76">
        <v>26.886621000000002</v>
      </c>
      <c r="E138" s="76">
        <v>27.023797999999999</v>
      </c>
      <c r="F138" s="76">
        <v>12.409730999999899</v>
      </c>
      <c r="G138" s="79">
        <v>122700</v>
      </c>
    </row>
    <row r="139" spans="1:7" x14ac:dyDescent="0.25">
      <c r="A139" s="1" t="s">
        <v>263</v>
      </c>
      <c r="B139" s="76">
        <v>26.978071</v>
      </c>
      <c r="C139" s="76">
        <v>27.206699</v>
      </c>
      <c r="D139" s="76">
        <v>26.978071</v>
      </c>
      <c r="E139" s="76">
        <v>27.160975000000001</v>
      </c>
      <c r="F139" s="76">
        <v>12.472723999999999</v>
      </c>
      <c r="G139" s="79">
        <v>119000</v>
      </c>
    </row>
    <row r="140" spans="1:7" x14ac:dyDescent="0.25">
      <c r="A140" s="1" t="s">
        <v>264</v>
      </c>
      <c r="B140" s="76">
        <v>27.115247999999902</v>
      </c>
      <c r="C140" s="76">
        <v>27.298151000000001</v>
      </c>
      <c r="D140" s="76">
        <v>27.115247999999902</v>
      </c>
      <c r="E140" s="76">
        <v>27.160975000000001</v>
      </c>
      <c r="F140" s="76">
        <v>12.472723999999999</v>
      </c>
      <c r="G140" s="79">
        <v>55000</v>
      </c>
    </row>
    <row r="141" spans="1:7" x14ac:dyDescent="0.25">
      <c r="A141" s="1" t="s">
        <v>265</v>
      </c>
      <c r="B141" s="76">
        <v>27.298151000000001</v>
      </c>
      <c r="C141" s="76">
        <v>27.526778999999902</v>
      </c>
      <c r="D141" s="76">
        <v>27.206699</v>
      </c>
      <c r="E141" s="76">
        <v>27.526778999999902</v>
      </c>
      <c r="F141" s="76">
        <v>12.640707000000001</v>
      </c>
      <c r="G141" s="79">
        <v>190400</v>
      </c>
    </row>
    <row r="142" spans="1:7" x14ac:dyDescent="0.25">
      <c r="A142" s="1" t="s">
        <v>266</v>
      </c>
      <c r="B142" s="76">
        <v>27.435327999999998</v>
      </c>
      <c r="C142" s="76">
        <v>27.801131999999999</v>
      </c>
      <c r="D142" s="76">
        <v>27.435327999999998</v>
      </c>
      <c r="E142" s="76">
        <v>27.801131999999999</v>
      </c>
      <c r="F142" s="76">
        <v>12.766697000000001</v>
      </c>
      <c r="G142" s="79">
        <v>161200</v>
      </c>
    </row>
    <row r="143" spans="1:7" x14ac:dyDescent="0.25">
      <c r="A143" s="1" t="s">
        <v>267</v>
      </c>
      <c r="B143" s="76">
        <v>27.801131999999999</v>
      </c>
      <c r="C143" s="76">
        <v>27.984034000000001</v>
      </c>
      <c r="D143" s="76">
        <v>27.755405</v>
      </c>
      <c r="E143" s="76">
        <v>27.892582000000001</v>
      </c>
      <c r="F143" s="76">
        <v>12.808693999999999</v>
      </c>
      <c r="G143" s="79">
        <v>130900</v>
      </c>
    </row>
    <row r="144" spans="1:7" x14ac:dyDescent="0.25">
      <c r="A144" s="1" t="s">
        <v>268</v>
      </c>
      <c r="B144" s="76">
        <v>28.0297599999999</v>
      </c>
      <c r="C144" s="76">
        <v>28.258386999999999</v>
      </c>
      <c r="D144" s="76">
        <v>28.0297599999999</v>
      </c>
      <c r="E144" s="76">
        <v>28.189761999999899</v>
      </c>
      <c r="F144" s="76">
        <v>12.9451559999999</v>
      </c>
      <c r="G144" s="79">
        <v>216600</v>
      </c>
    </row>
    <row r="145" spans="1:7" x14ac:dyDescent="0.25">
      <c r="A145" s="1" t="s">
        <v>269</v>
      </c>
      <c r="B145" s="76">
        <v>28.212661999999899</v>
      </c>
      <c r="C145" s="76">
        <v>28.715643</v>
      </c>
      <c r="D145" s="76">
        <v>28.212661999999899</v>
      </c>
      <c r="E145" s="76">
        <v>28.692743</v>
      </c>
      <c r="F145" s="76">
        <v>13.1761359999999</v>
      </c>
      <c r="G145" s="79">
        <v>375400</v>
      </c>
    </row>
    <row r="146" spans="1:7" x14ac:dyDescent="0.25">
      <c r="A146" s="1" t="s">
        <v>270</v>
      </c>
      <c r="B146" s="76">
        <v>28.715643</v>
      </c>
      <c r="C146" s="76">
        <v>28.989996000000001</v>
      </c>
      <c r="D146" s="76">
        <v>28.669917999999999</v>
      </c>
      <c r="E146" s="76">
        <v>28.875644999999999</v>
      </c>
      <c r="F146" s="76">
        <v>13.260128999999999</v>
      </c>
      <c r="G146" s="79">
        <v>181200</v>
      </c>
    </row>
    <row r="147" spans="1:7" x14ac:dyDescent="0.25">
      <c r="A147" s="1" t="s">
        <v>271</v>
      </c>
      <c r="B147" s="76">
        <v>28.944271000000001</v>
      </c>
      <c r="C147" s="76">
        <v>29.035720999999999</v>
      </c>
      <c r="D147" s="76">
        <v>28.669917999999999</v>
      </c>
      <c r="E147" s="76">
        <v>28.784195</v>
      </c>
      <c r="F147" s="76">
        <v>13.2181269999999</v>
      </c>
      <c r="G147" s="79">
        <v>343100</v>
      </c>
    </row>
    <row r="148" spans="1:7" x14ac:dyDescent="0.25">
      <c r="A148" s="1" t="s">
        <v>272</v>
      </c>
      <c r="B148" s="76">
        <v>28.761368000000001</v>
      </c>
      <c r="C148" s="76">
        <v>28.852819</v>
      </c>
      <c r="D148" s="76">
        <v>28.53274</v>
      </c>
      <c r="E148" s="76">
        <v>28.601291999999901</v>
      </c>
      <c r="F148" s="76">
        <v>13.1341369999999</v>
      </c>
      <c r="G148" s="79">
        <v>202500</v>
      </c>
    </row>
    <row r="149" spans="1:7" x14ac:dyDescent="0.25">
      <c r="A149" s="1" t="s">
        <v>273</v>
      </c>
      <c r="B149" s="76">
        <v>28.53274</v>
      </c>
      <c r="C149" s="76">
        <v>29.813054999999999</v>
      </c>
      <c r="D149" s="76">
        <v>28.53274</v>
      </c>
      <c r="E149" s="76">
        <v>29.813054999999999</v>
      </c>
      <c r="F149" s="76">
        <v>13.690598999999899</v>
      </c>
      <c r="G149" s="79">
        <v>761400</v>
      </c>
    </row>
    <row r="150" spans="1:7" x14ac:dyDescent="0.25">
      <c r="A150" s="1" t="s">
        <v>274</v>
      </c>
      <c r="B150" s="76">
        <v>29.721605</v>
      </c>
      <c r="C150" s="76">
        <v>29.813054999999999</v>
      </c>
      <c r="D150" s="76">
        <v>29.401524999999999</v>
      </c>
      <c r="E150" s="76">
        <v>29.790157000000001</v>
      </c>
      <c r="F150" s="76">
        <v>13.6800829999999</v>
      </c>
      <c r="G150" s="79">
        <v>204200</v>
      </c>
    </row>
    <row r="151" spans="1:7" x14ac:dyDescent="0.25">
      <c r="A151" s="1" t="s">
        <v>275</v>
      </c>
      <c r="B151" s="76">
        <v>29.355801</v>
      </c>
      <c r="C151" s="76">
        <v>29.675878999999998</v>
      </c>
      <c r="D151" s="76">
        <v>29.355801</v>
      </c>
      <c r="E151" s="76">
        <v>29.538702000000001</v>
      </c>
      <c r="F151" s="76">
        <v>13.726426999999999</v>
      </c>
      <c r="G151" s="79">
        <v>462600</v>
      </c>
    </row>
    <row r="152" spans="1:7" x14ac:dyDescent="0.25">
      <c r="A152" s="1" t="s">
        <v>276</v>
      </c>
      <c r="B152" s="76">
        <v>29.584428999999901</v>
      </c>
      <c r="C152" s="76">
        <v>29.630153999999902</v>
      </c>
      <c r="D152" s="76">
        <v>28.989996000000001</v>
      </c>
      <c r="E152" s="76">
        <v>29.15</v>
      </c>
      <c r="F152" s="76">
        <v>13.545797</v>
      </c>
      <c r="G152" s="79">
        <v>343900</v>
      </c>
    </row>
    <row r="153" spans="1:7" x14ac:dyDescent="0.25">
      <c r="A153" s="1" t="s">
        <v>277</v>
      </c>
      <c r="B153" s="76">
        <v>29.447251999999999</v>
      </c>
      <c r="C153" s="76">
        <v>29.447251999999999</v>
      </c>
      <c r="D153" s="76">
        <v>29.127171999999899</v>
      </c>
      <c r="E153" s="76">
        <v>29.15</v>
      </c>
      <c r="F153" s="76">
        <v>13.545797</v>
      </c>
      <c r="G153" s="79">
        <v>218900</v>
      </c>
    </row>
    <row r="154" spans="1:7" x14ac:dyDescent="0.25">
      <c r="A154" s="1" t="s">
        <v>278</v>
      </c>
      <c r="B154" s="76">
        <v>28.989996000000001</v>
      </c>
      <c r="C154" s="76">
        <v>29.538702000000001</v>
      </c>
      <c r="D154" s="76">
        <v>28.989996000000001</v>
      </c>
      <c r="E154" s="76">
        <v>29.355801</v>
      </c>
      <c r="F154" s="76">
        <v>13.641429</v>
      </c>
      <c r="G154" s="79">
        <v>122800</v>
      </c>
    </row>
    <row r="155" spans="1:7" x14ac:dyDescent="0.25">
      <c r="A155" s="1" t="s">
        <v>279</v>
      </c>
      <c r="B155" s="76">
        <v>29.264348999999999</v>
      </c>
      <c r="C155" s="76">
        <v>29.401524999999999</v>
      </c>
      <c r="D155" s="76">
        <v>29.264348999999999</v>
      </c>
      <c r="E155" s="76">
        <v>29.355801</v>
      </c>
      <c r="F155" s="76">
        <v>13.641429</v>
      </c>
      <c r="G155" s="79">
        <v>63300</v>
      </c>
    </row>
    <row r="156" spans="1:7" x14ac:dyDescent="0.25">
      <c r="A156" s="1" t="s">
        <v>280</v>
      </c>
      <c r="B156" s="76">
        <v>29.264348999999999</v>
      </c>
      <c r="C156" s="76">
        <v>29.447251999999999</v>
      </c>
      <c r="D156" s="76">
        <v>29.127171999999899</v>
      </c>
      <c r="E156" s="76">
        <v>29.355801</v>
      </c>
      <c r="F156" s="76">
        <v>13.641429</v>
      </c>
      <c r="G156" s="79">
        <v>99600</v>
      </c>
    </row>
    <row r="157" spans="1:7" x14ac:dyDescent="0.25">
      <c r="A157" s="1" t="s">
        <v>281</v>
      </c>
      <c r="B157" s="76">
        <v>29.492977</v>
      </c>
      <c r="C157" s="76">
        <v>29.538702000000001</v>
      </c>
      <c r="D157" s="76">
        <v>29.355801</v>
      </c>
      <c r="E157" s="76">
        <v>29.538702000000001</v>
      </c>
      <c r="F157" s="76">
        <v>13.726426999999999</v>
      </c>
      <c r="G157" s="79">
        <v>82600</v>
      </c>
    </row>
    <row r="158" spans="1:7" x14ac:dyDescent="0.25">
      <c r="A158" s="1" t="s">
        <v>282</v>
      </c>
      <c r="B158" s="76">
        <v>29.447251999999999</v>
      </c>
      <c r="C158" s="76">
        <v>29.630153999999902</v>
      </c>
      <c r="D158" s="76">
        <v>29.355801</v>
      </c>
      <c r="E158" s="76">
        <v>29.447251999999999</v>
      </c>
      <c r="F158" s="76">
        <v>13.683928</v>
      </c>
      <c r="G158" s="79">
        <v>64100</v>
      </c>
    </row>
    <row r="159" spans="1:7" x14ac:dyDescent="0.25">
      <c r="A159" s="1" t="s">
        <v>283</v>
      </c>
      <c r="B159" s="76">
        <v>29.447251999999999</v>
      </c>
      <c r="C159" s="76">
        <v>29.492977</v>
      </c>
      <c r="D159" s="76">
        <v>29.218623999999998</v>
      </c>
      <c r="E159" s="76">
        <v>29.355801</v>
      </c>
      <c r="F159" s="76">
        <v>13.641429</v>
      </c>
      <c r="G159" s="79">
        <v>128600</v>
      </c>
    </row>
    <row r="160" spans="1:7" x14ac:dyDescent="0.25">
      <c r="A160" s="1" t="s">
        <v>284</v>
      </c>
      <c r="B160" s="76">
        <v>29.264348999999999</v>
      </c>
      <c r="C160" s="76">
        <v>29.310074</v>
      </c>
      <c r="D160" s="76">
        <v>29.172896999999999</v>
      </c>
      <c r="E160" s="76">
        <v>29.264348999999999</v>
      </c>
      <c r="F160" s="76">
        <v>13.598926000000001</v>
      </c>
      <c r="G160" s="79">
        <v>265100</v>
      </c>
    </row>
    <row r="161" spans="1:7" x14ac:dyDescent="0.25">
      <c r="A161" s="1" t="s">
        <v>285</v>
      </c>
      <c r="B161" s="76">
        <v>29.218623999999998</v>
      </c>
      <c r="C161" s="76">
        <v>29.218623999999998</v>
      </c>
      <c r="D161" s="76">
        <v>28.989996000000001</v>
      </c>
      <c r="E161" s="76">
        <v>29.127171999999899</v>
      </c>
      <c r="F161" s="76">
        <v>13.535183999999999</v>
      </c>
      <c r="G161" s="79">
        <v>157300</v>
      </c>
    </row>
    <row r="162" spans="1:7" x14ac:dyDescent="0.25">
      <c r="A162" s="1" t="s">
        <v>286</v>
      </c>
      <c r="B162" s="76">
        <v>29.172896999999999</v>
      </c>
      <c r="C162" s="76">
        <v>29.172896999999999</v>
      </c>
      <c r="D162" s="76">
        <v>28.807095</v>
      </c>
      <c r="E162" s="76">
        <v>28.852819</v>
      </c>
      <c r="F162" s="76">
        <v>13.4077</v>
      </c>
      <c r="G162" s="79">
        <v>236100</v>
      </c>
    </row>
    <row r="163" spans="1:7" x14ac:dyDescent="0.25">
      <c r="A163" s="1" t="s">
        <v>287</v>
      </c>
      <c r="B163" s="76">
        <v>28.898544000000001</v>
      </c>
      <c r="C163" s="76">
        <v>29.127171999999899</v>
      </c>
      <c r="D163" s="76">
        <v>28.852819</v>
      </c>
      <c r="E163" s="76">
        <v>28.852819</v>
      </c>
      <c r="F163" s="76">
        <v>13.4077</v>
      </c>
      <c r="G163" s="79">
        <v>143500</v>
      </c>
    </row>
    <row r="164" spans="1:7" x14ac:dyDescent="0.25">
      <c r="A164" s="1" t="s">
        <v>288</v>
      </c>
      <c r="B164" s="76">
        <v>28.852819</v>
      </c>
      <c r="C164" s="76">
        <v>28.898544000000001</v>
      </c>
      <c r="D164" s="76">
        <v>28.6241909999999</v>
      </c>
      <c r="E164" s="76">
        <v>28.761368000000001</v>
      </c>
      <c r="F164" s="76">
        <v>13.365197999999999</v>
      </c>
      <c r="G164" s="79">
        <v>253700</v>
      </c>
    </row>
    <row r="165" spans="1:7" x14ac:dyDescent="0.25">
      <c r="A165" s="1" t="s">
        <v>289</v>
      </c>
      <c r="B165" s="76">
        <v>28.761368000000001</v>
      </c>
      <c r="C165" s="76">
        <v>28.807095</v>
      </c>
      <c r="D165" s="76">
        <v>28.441289999999999</v>
      </c>
      <c r="E165" s="76">
        <v>28.441289999999999</v>
      </c>
      <c r="F165" s="76">
        <v>13.216466</v>
      </c>
      <c r="G165" s="79">
        <v>365000</v>
      </c>
    </row>
    <row r="166" spans="1:7" x14ac:dyDescent="0.25">
      <c r="A166" s="1" t="s">
        <v>290</v>
      </c>
      <c r="B166" s="76">
        <v>28.441289999999999</v>
      </c>
      <c r="C166" s="76">
        <v>28.487015</v>
      </c>
      <c r="D166" s="76">
        <v>27.801131999999999</v>
      </c>
      <c r="E166" s="76">
        <v>27.846857</v>
      </c>
      <c r="F166" s="76">
        <v>12.940234</v>
      </c>
      <c r="G166" s="79">
        <v>353900</v>
      </c>
    </row>
    <row r="167" spans="1:7" x14ac:dyDescent="0.25">
      <c r="A167" s="1" t="s">
        <v>291</v>
      </c>
      <c r="B167" s="76">
        <v>27.938309</v>
      </c>
      <c r="C167" s="76">
        <v>28.0297599999999</v>
      </c>
      <c r="D167" s="76">
        <v>27.618228999999999</v>
      </c>
      <c r="E167" s="76">
        <v>27.801131999999999</v>
      </c>
      <c r="F167" s="76">
        <v>12.918988000000001</v>
      </c>
      <c r="G167" s="79">
        <v>478200</v>
      </c>
    </row>
    <row r="168" spans="1:7" x14ac:dyDescent="0.25">
      <c r="A168" s="1" t="s">
        <v>292</v>
      </c>
      <c r="B168" s="76">
        <v>27.938309</v>
      </c>
      <c r="C168" s="76">
        <v>28.0297599999999</v>
      </c>
      <c r="D168" s="76">
        <v>27.709681</v>
      </c>
      <c r="E168" s="76">
        <v>27.846857</v>
      </c>
      <c r="F168" s="76">
        <v>12.940234</v>
      </c>
      <c r="G168" s="79">
        <v>85600</v>
      </c>
    </row>
    <row r="169" spans="1:7" x14ac:dyDescent="0.25">
      <c r="A169" s="1" t="s">
        <v>293</v>
      </c>
      <c r="B169" s="76">
        <v>27.801131999999999</v>
      </c>
      <c r="C169" s="76">
        <v>27.938309</v>
      </c>
      <c r="D169" s="76">
        <v>27.389603000000001</v>
      </c>
      <c r="E169" s="76">
        <v>27.435327999999998</v>
      </c>
      <c r="F169" s="76">
        <v>12.748998</v>
      </c>
      <c r="G169" s="79">
        <v>412500</v>
      </c>
    </row>
    <row r="170" spans="1:7" x14ac:dyDescent="0.25">
      <c r="A170" s="1" t="s">
        <v>294</v>
      </c>
      <c r="B170" s="76">
        <v>27.435327999999998</v>
      </c>
      <c r="C170" s="76">
        <v>27.572503999999999</v>
      </c>
      <c r="D170" s="76">
        <v>26.703717999999999</v>
      </c>
      <c r="E170" s="76">
        <v>27.206699</v>
      </c>
      <c r="F170" s="76">
        <v>12.642756</v>
      </c>
      <c r="G170" s="79">
        <v>540000</v>
      </c>
    </row>
    <row r="171" spans="1:7" x14ac:dyDescent="0.25">
      <c r="A171" s="1" t="s">
        <v>295</v>
      </c>
      <c r="B171" s="76">
        <v>27.343876000000002</v>
      </c>
      <c r="C171" s="76">
        <v>27.435327999999998</v>
      </c>
      <c r="D171" s="76">
        <v>27.069522999999901</v>
      </c>
      <c r="E171" s="76">
        <v>27.069522999999901</v>
      </c>
      <c r="F171" s="76">
        <v>12.579014000000001</v>
      </c>
      <c r="G171" s="79">
        <v>456200</v>
      </c>
    </row>
    <row r="172" spans="1:7" x14ac:dyDescent="0.25">
      <c r="A172" s="1" t="s">
        <v>296</v>
      </c>
      <c r="B172" s="76">
        <v>27.160975000000001</v>
      </c>
      <c r="C172" s="76">
        <v>27.206699</v>
      </c>
      <c r="D172" s="76">
        <v>26.337914000000001</v>
      </c>
      <c r="E172" s="76">
        <v>26.657992999999902</v>
      </c>
      <c r="F172" s="76">
        <v>12.387781</v>
      </c>
      <c r="G172" s="79">
        <v>2740700</v>
      </c>
    </row>
    <row r="173" spans="1:7" x14ac:dyDescent="0.25">
      <c r="A173" s="1" t="s">
        <v>297</v>
      </c>
      <c r="B173" s="76">
        <v>26.840895</v>
      </c>
      <c r="C173" s="76">
        <v>27.389603000000001</v>
      </c>
      <c r="D173" s="76">
        <v>26.612268</v>
      </c>
      <c r="E173" s="76">
        <v>27.138075000000001</v>
      </c>
      <c r="F173" s="76">
        <v>12.610861999999999</v>
      </c>
      <c r="G173" s="79">
        <v>421200</v>
      </c>
    </row>
    <row r="174" spans="1:7" x14ac:dyDescent="0.25">
      <c r="A174" s="1" t="s">
        <v>298</v>
      </c>
      <c r="B174" s="76">
        <v>27.069522999999901</v>
      </c>
      <c r="C174" s="76">
        <v>27.069522999999901</v>
      </c>
      <c r="D174" s="76">
        <v>26.886621000000002</v>
      </c>
      <c r="E174" s="76">
        <v>27.069522999999901</v>
      </c>
      <c r="F174" s="76">
        <v>12.579014000000001</v>
      </c>
      <c r="G174" s="79">
        <v>177100</v>
      </c>
    </row>
    <row r="175" spans="1:7" x14ac:dyDescent="0.25">
      <c r="A175" s="1" t="s">
        <v>299</v>
      </c>
      <c r="B175" s="76">
        <v>27.069522999999901</v>
      </c>
      <c r="C175" s="76">
        <v>27.526778999999902</v>
      </c>
      <c r="D175" s="76">
        <v>26.978071</v>
      </c>
      <c r="E175" s="76">
        <v>27.526778999999902</v>
      </c>
      <c r="F175" s="76">
        <v>12.791503000000001</v>
      </c>
      <c r="G175" s="79">
        <v>146500</v>
      </c>
    </row>
    <row r="176" spans="1:7" x14ac:dyDescent="0.25">
      <c r="A176" s="1" t="s">
        <v>300</v>
      </c>
      <c r="B176" s="76">
        <v>27.709681</v>
      </c>
      <c r="C176" s="76">
        <v>28.487015</v>
      </c>
      <c r="D176" s="76">
        <v>27.526778999999902</v>
      </c>
      <c r="E176" s="76">
        <v>28.464115</v>
      </c>
      <c r="F176" s="76">
        <v>13.227069</v>
      </c>
      <c r="G176" s="79">
        <v>306800</v>
      </c>
    </row>
    <row r="177" spans="1:7" x14ac:dyDescent="0.25">
      <c r="A177" s="1" t="s">
        <v>301</v>
      </c>
      <c r="B177" s="76">
        <v>28.669917999999999</v>
      </c>
      <c r="C177" s="76">
        <v>29.035720999999999</v>
      </c>
      <c r="D177" s="76">
        <v>28.258386999999999</v>
      </c>
      <c r="E177" s="76">
        <v>28.509841999999999</v>
      </c>
      <c r="F177" s="76">
        <v>13.248316000000001</v>
      </c>
      <c r="G177" s="79">
        <v>385400</v>
      </c>
    </row>
    <row r="178" spans="1:7" x14ac:dyDescent="0.25">
      <c r="A178" s="1" t="s">
        <v>302</v>
      </c>
      <c r="B178" s="76">
        <v>28.53274</v>
      </c>
      <c r="C178" s="76">
        <v>28.53274</v>
      </c>
      <c r="D178" s="76">
        <v>28.212661999999899</v>
      </c>
      <c r="E178" s="76">
        <v>28.418389999999999</v>
      </c>
      <c r="F178" s="76">
        <v>13.205822</v>
      </c>
      <c r="G178" s="79">
        <v>158600</v>
      </c>
    </row>
    <row r="179" spans="1:7" x14ac:dyDescent="0.25">
      <c r="A179" s="1" t="s">
        <v>303</v>
      </c>
      <c r="B179" s="76">
        <v>28.441289999999999</v>
      </c>
      <c r="C179" s="76">
        <v>28.441289999999999</v>
      </c>
      <c r="D179" s="76">
        <v>28.212661999999899</v>
      </c>
      <c r="E179" s="76">
        <v>28.304113000000001</v>
      </c>
      <c r="F179" s="76">
        <v>13.152725</v>
      </c>
      <c r="G179" s="79">
        <v>239600</v>
      </c>
    </row>
    <row r="180" spans="1:7" x14ac:dyDescent="0.25">
      <c r="A180" s="1" t="s">
        <v>304</v>
      </c>
      <c r="B180" s="76">
        <v>28.349837999999998</v>
      </c>
      <c r="C180" s="76">
        <v>28.53274</v>
      </c>
      <c r="D180" s="76">
        <v>27.846857</v>
      </c>
      <c r="E180" s="76">
        <v>28.075484999999901</v>
      </c>
      <c r="F180" s="76">
        <v>13.046476</v>
      </c>
      <c r="G180" s="79">
        <v>196100</v>
      </c>
    </row>
    <row r="181" spans="1:7" x14ac:dyDescent="0.25">
      <c r="A181" s="1" t="s">
        <v>305</v>
      </c>
      <c r="B181" s="76">
        <v>28.166937000000001</v>
      </c>
      <c r="C181" s="76">
        <v>28.258386999999999</v>
      </c>
      <c r="D181" s="76">
        <v>28.075484999999901</v>
      </c>
      <c r="E181" s="76">
        <v>28.258386999999999</v>
      </c>
      <c r="F181" s="76">
        <v>13.131464999999899</v>
      </c>
      <c r="G181" s="79">
        <v>1064400</v>
      </c>
    </row>
    <row r="182" spans="1:7" x14ac:dyDescent="0.25">
      <c r="A182" s="1" t="s">
        <v>306</v>
      </c>
      <c r="B182" s="76">
        <v>28.258386999999999</v>
      </c>
      <c r="C182" s="76">
        <v>28.304113000000001</v>
      </c>
      <c r="D182" s="76">
        <v>27.526778999999902</v>
      </c>
      <c r="E182" s="76">
        <v>27.572503999999999</v>
      </c>
      <c r="F182" s="76">
        <v>12.812746000000001</v>
      </c>
      <c r="G182" s="79">
        <v>1256300</v>
      </c>
    </row>
    <row r="183" spans="1:7" x14ac:dyDescent="0.25">
      <c r="A183" s="1" t="s">
        <v>307</v>
      </c>
      <c r="B183" s="76">
        <v>27.663955999999999</v>
      </c>
      <c r="C183" s="76">
        <v>27.846857</v>
      </c>
      <c r="D183" s="76">
        <v>27.481051999999998</v>
      </c>
      <c r="E183" s="76">
        <v>27.663955999999999</v>
      </c>
      <c r="F183" s="76">
        <v>12.855240999999999</v>
      </c>
      <c r="G183" s="79">
        <v>155500</v>
      </c>
    </row>
    <row r="184" spans="1:7" x14ac:dyDescent="0.25">
      <c r="A184" s="1" t="s">
        <v>308</v>
      </c>
      <c r="B184" s="76">
        <v>27.663955999999999</v>
      </c>
      <c r="C184" s="76">
        <v>27.755405</v>
      </c>
      <c r="D184" s="76">
        <v>27.435327999999998</v>
      </c>
      <c r="E184" s="76">
        <v>27.663955999999999</v>
      </c>
      <c r="F184" s="76">
        <v>12.855240999999999</v>
      </c>
      <c r="G184" s="79">
        <v>53700</v>
      </c>
    </row>
    <row r="185" spans="1:7" x14ac:dyDescent="0.25">
      <c r="A185" s="1" t="s">
        <v>309</v>
      </c>
      <c r="B185" s="76">
        <v>27.755405</v>
      </c>
      <c r="C185" s="76">
        <v>27.801131999999999</v>
      </c>
      <c r="D185" s="76">
        <v>27.298151000000001</v>
      </c>
      <c r="E185" s="76">
        <v>27.481051999999998</v>
      </c>
      <c r="F185" s="76">
        <v>12.770242999999899</v>
      </c>
      <c r="G185" s="79">
        <v>116600</v>
      </c>
    </row>
    <row r="186" spans="1:7" x14ac:dyDescent="0.25">
      <c r="A186" s="1" t="s">
        <v>310</v>
      </c>
      <c r="B186" s="76">
        <v>27.572503999999999</v>
      </c>
      <c r="C186" s="76">
        <v>27.892582000000001</v>
      </c>
      <c r="D186" s="76">
        <v>27.115247999999902</v>
      </c>
      <c r="E186" s="76">
        <v>27.846857</v>
      </c>
      <c r="F186" s="76">
        <v>12.940234</v>
      </c>
      <c r="G186" s="79">
        <v>379600</v>
      </c>
    </row>
    <row r="187" spans="1:7" x14ac:dyDescent="0.25">
      <c r="A187" s="1" t="s">
        <v>311</v>
      </c>
      <c r="B187" s="76">
        <v>27.801131999999999</v>
      </c>
      <c r="C187" s="76">
        <v>27.801131999999999</v>
      </c>
      <c r="D187" s="76">
        <v>27.023797999999999</v>
      </c>
      <c r="E187" s="76">
        <v>27.343876000000002</v>
      </c>
      <c r="F187" s="76">
        <v>12.706500999999999</v>
      </c>
      <c r="G187" s="79">
        <v>364700</v>
      </c>
    </row>
    <row r="188" spans="1:7" x14ac:dyDescent="0.25">
      <c r="A188" s="1" t="s">
        <v>312</v>
      </c>
      <c r="B188" s="76">
        <v>27.252426</v>
      </c>
      <c r="C188" s="76">
        <v>27.343876000000002</v>
      </c>
      <c r="D188" s="76">
        <v>27.023797999999999</v>
      </c>
      <c r="E188" s="76">
        <v>27.160975000000001</v>
      </c>
      <c r="F188" s="76">
        <v>12.621513999999999</v>
      </c>
      <c r="G188" s="79">
        <v>269800</v>
      </c>
    </row>
    <row r="189" spans="1:7" x14ac:dyDescent="0.25">
      <c r="A189" s="1" t="s">
        <v>313</v>
      </c>
      <c r="B189" s="76">
        <v>27.206699</v>
      </c>
      <c r="C189" s="76">
        <v>27.846857</v>
      </c>
      <c r="D189" s="76">
        <v>27.160975000000001</v>
      </c>
      <c r="E189" s="76">
        <v>27.778233</v>
      </c>
      <c r="F189" s="76">
        <v>12.9083399999999</v>
      </c>
      <c r="G189" s="79">
        <v>320800</v>
      </c>
    </row>
    <row r="190" spans="1:7" x14ac:dyDescent="0.25">
      <c r="A190" s="1" t="s">
        <v>314</v>
      </c>
      <c r="B190" s="76">
        <v>27.801131999999999</v>
      </c>
      <c r="C190" s="76">
        <v>28.212661999999899</v>
      </c>
      <c r="D190" s="76">
        <v>27.618228999999999</v>
      </c>
      <c r="E190" s="76">
        <v>27.618228999999999</v>
      </c>
      <c r="F190" s="76">
        <v>12.833993</v>
      </c>
      <c r="G190" s="79">
        <v>129100</v>
      </c>
    </row>
    <row r="191" spans="1:7" x14ac:dyDescent="0.25">
      <c r="A191" s="1" t="s">
        <v>315</v>
      </c>
      <c r="B191" s="76">
        <v>27.618228999999999</v>
      </c>
      <c r="C191" s="76">
        <v>27.618228999999999</v>
      </c>
      <c r="D191" s="76">
        <v>26.703717999999999</v>
      </c>
      <c r="E191" s="76">
        <v>27.160975000000001</v>
      </c>
      <c r="F191" s="76">
        <v>12.621513999999999</v>
      </c>
      <c r="G191" s="79">
        <v>2353100</v>
      </c>
    </row>
    <row r="192" spans="1:7" x14ac:dyDescent="0.25">
      <c r="A192" s="1" t="s">
        <v>316</v>
      </c>
      <c r="B192" s="76">
        <v>27.115247999999902</v>
      </c>
      <c r="C192" s="76">
        <v>27.160975000000001</v>
      </c>
      <c r="D192" s="76">
        <v>25.972110999999899</v>
      </c>
      <c r="E192" s="76">
        <v>25.972110999999899</v>
      </c>
      <c r="F192" s="76">
        <v>12.069057000000001</v>
      </c>
      <c r="G192" s="79">
        <v>310500</v>
      </c>
    </row>
    <row r="193" spans="1:7" x14ac:dyDescent="0.25">
      <c r="A193" s="1" t="s">
        <v>317</v>
      </c>
      <c r="B193" s="76">
        <v>26.155011999999999</v>
      </c>
      <c r="C193" s="76">
        <v>26.429365000000001</v>
      </c>
      <c r="D193" s="76">
        <v>25.789207000000001</v>
      </c>
      <c r="E193" s="76">
        <v>25.834934000000001</v>
      </c>
      <c r="F193" s="76">
        <v>12.005312</v>
      </c>
      <c r="G193" s="79">
        <v>444200</v>
      </c>
    </row>
    <row r="194" spans="1:7" x14ac:dyDescent="0.25">
      <c r="A194" s="1" t="s">
        <v>318</v>
      </c>
      <c r="B194" s="76">
        <v>25.834934000000001</v>
      </c>
      <c r="C194" s="76">
        <v>25.834934000000001</v>
      </c>
      <c r="D194" s="76">
        <v>25.331952999999999</v>
      </c>
      <c r="E194" s="76">
        <v>25.331952999999999</v>
      </c>
      <c r="F194" s="76">
        <v>11.771578999999999</v>
      </c>
      <c r="G194" s="79">
        <v>677900</v>
      </c>
    </row>
    <row r="195" spans="1:7" x14ac:dyDescent="0.25">
      <c r="A195" s="1" t="s">
        <v>319</v>
      </c>
      <c r="B195" s="76">
        <v>25.697755999999998</v>
      </c>
      <c r="C195" s="76">
        <v>25.697755999999998</v>
      </c>
      <c r="D195" s="76">
        <v>24.508891999999999</v>
      </c>
      <c r="E195" s="76">
        <v>24.73752</v>
      </c>
      <c r="F195" s="76">
        <v>11.495348</v>
      </c>
      <c r="G195" s="79">
        <v>2923900</v>
      </c>
    </row>
    <row r="196" spans="1:7" x14ac:dyDescent="0.25">
      <c r="A196" s="1" t="s">
        <v>320</v>
      </c>
      <c r="B196" s="76">
        <v>25.240500999999998</v>
      </c>
      <c r="C196" s="76">
        <v>25.789207000000001</v>
      </c>
      <c r="D196" s="76">
        <v>25.240500999999998</v>
      </c>
      <c r="E196" s="76">
        <v>25.560579000000001</v>
      </c>
      <c r="F196" s="76">
        <v>11.877810999999999</v>
      </c>
      <c r="G196" s="79">
        <v>1002500</v>
      </c>
    </row>
    <row r="197" spans="1:7" x14ac:dyDescent="0.25">
      <c r="A197" s="1" t="s">
        <v>321</v>
      </c>
      <c r="B197" s="76">
        <v>25.514854</v>
      </c>
      <c r="C197" s="76">
        <v>25.834934000000001</v>
      </c>
      <c r="D197" s="76">
        <v>25.423403</v>
      </c>
      <c r="E197" s="76">
        <v>25.743482999999902</v>
      </c>
      <c r="F197" s="76">
        <v>11.962811</v>
      </c>
      <c r="G197" s="79">
        <v>346900</v>
      </c>
    </row>
    <row r="198" spans="1:7" x14ac:dyDescent="0.25">
      <c r="A198" s="1" t="s">
        <v>322</v>
      </c>
      <c r="B198" s="76">
        <v>25.880659000000001</v>
      </c>
      <c r="C198" s="76">
        <v>25.880659000000001</v>
      </c>
      <c r="D198" s="76">
        <v>25.331952999999999</v>
      </c>
      <c r="E198" s="76">
        <v>25.377678</v>
      </c>
      <c r="F198" s="76">
        <v>11.792823</v>
      </c>
      <c r="G198" s="79">
        <v>74700</v>
      </c>
    </row>
    <row r="199" spans="1:7" x14ac:dyDescent="0.25">
      <c r="A199" s="1" t="s">
        <v>323</v>
      </c>
      <c r="B199" s="76">
        <v>25.46913</v>
      </c>
      <c r="C199" s="76">
        <v>25.697755999999998</v>
      </c>
      <c r="D199" s="76">
        <v>25.149049999999999</v>
      </c>
      <c r="E199" s="76">
        <v>25.194776999999998</v>
      </c>
      <c r="F199" s="76">
        <v>11.707831000000001</v>
      </c>
      <c r="G199" s="79">
        <v>333000</v>
      </c>
    </row>
    <row r="200" spans="1:7" x14ac:dyDescent="0.25">
      <c r="A200" s="1" t="s">
        <v>125</v>
      </c>
      <c r="B200" s="76">
        <v>25.240500999999998</v>
      </c>
      <c r="C200" s="76">
        <v>25.972110999999899</v>
      </c>
      <c r="D200" s="76">
        <v>24.874697000000001</v>
      </c>
      <c r="E200" s="76">
        <v>25.149049999999999</v>
      </c>
      <c r="F200" s="76">
        <v>11.686575999999899</v>
      </c>
      <c r="G200" s="79">
        <v>543400</v>
      </c>
    </row>
    <row r="201" spans="1:7" x14ac:dyDescent="0.25">
      <c r="A201" s="1" t="s">
        <v>324</v>
      </c>
      <c r="B201" s="76">
        <v>25.331952999999999</v>
      </c>
      <c r="C201" s="76">
        <v>25.423403</v>
      </c>
      <c r="D201" s="76">
        <v>24.966148</v>
      </c>
      <c r="E201" s="76">
        <v>25.149049999999999</v>
      </c>
      <c r="F201" s="76">
        <v>11.686575999999899</v>
      </c>
      <c r="G201" s="79">
        <v>213400</v>
      </c>
    </row>
    <row r="202" spans="1:7" x14ac:dyDescent="0.25">
      <c r="A202" s="1" t="s">
        <v>325</v>
      </c>
      <c r="B202" s="76">
        <v>25.331952999999999</v>
      </c>
      <c r="C202" s="76">
        <v>25.606306</v>
      </c>
      <c r="D202" s="76">
        <v>25.240500999999998</v>
      </c>
      <c r="E202" s="76">
        <v>25.331952999999999</v>
      </c>
      <c r="F202" s="76">
        <v>11.771578999999999</v>
      </c>
      <c r="G202" s="79">
        <v>244600</v>
      </c>
    </row>
    <row r="203" spans="1:7" x14ac:dyDescent="0.25">
      <c r="A203" s="1" t="s">
        <v>326</v>
      </c>
      <c r="B203" s="76">
        <v>25.286225999999999</v>
      </c>
      <c r="C203" s="76">
        <v>25.743482999999902</v>
      </c>
      <c r="D203" s="76">
        <v>25.286225999999999</v>
      </c>
      <c r="E203" s="76">
        <v>25.606306</v>
      </c>
      <c r="F203" s="76">
        <v>11.899067000000001</v>
      </c>
      <c r="G203" s="79">
        <v>284800</v>
      </c>
    </row>
    <row r="204" spans="1:7" x14ac:dyDescent="0.25">
      <c r="A204" s="1" t="s">
        <v>327</v>
      </c>
      <c r="B204" s="76">
        <v>25.46913</v>
      </c>
      <c r="C204" s="76">
        <v>25.743482999999902</v>
      </c>
      <c r="D204" s="76">
        <v>25.46913</v>
      </c>
      <c r="E204" s="76">
        <v>25.652031000000001</v>
      </c>
      <c r="F204" s="76">
        <v>11.920314999999899</v>
      </c>
      <c r="G204" s="79">
        <v>272300</v>
      </c>
    </row>
    <row r="205" spans="1:7" x14ac:dyDescent="0.25">
      <c r="A205" s="1" t="s">
        <v>328</v>
      </c>
      <c r="B205" s="76">
        <v>25.652031000000001</v>
      </c>
      <c r="C205" s="76">
        <v>25.880659000000001</v>
      </c>
      <c r="D205" s="76">
        <v>25.331952999999999</v>
      </c>
      <c r="E205" s="76">
        <v>25.46913</v>
      </c>
      <c r="F205" s="76">
        <v>11.835319999999999</v>
      </c>
      <c r="G205" s="79">
        <v>193000</v>
      </c>
    </row>
    <row r="206" spans="1:7" x14ac:dyDescent="0.25">
      <c r="A206" s="1" t="s">
        <v>329</v>
      </c>
      <c r="B206" s="76">
        <v>25.377678</v>
      </c>
      <c r="C206" s="76">
        <v>25.652031000000001</v>
      </c>
      <c r="D206" s="76">
        <v>25.011873000000001</v>
      </c>
      <c r="E206" s="76">
        <v>25.194776999999998</v>
      </c>
      <c r="F206" s="76">
        <v>11.707831000000001</v>
      </c>
      <c r="G206" s="79">
        <v>171900</v>
      </c>
    </row>
    <row r="207" spans="1:7" x14ac:dyDescent="0.25">
      <c r="A207" s="1" t="s">
        <v>330</v>
      </c>
      <c r="B207" s="76">
        <v>25.377678</v>
      </c>
      <c r="C207" s="76">
        <v>25.606306</v>
      </c>
      <c r="D207" s="76">
        <v>25.057597999999999</v>
      </c>
      <c r="E207" s="76">
        <v>25.286225999999999</v>
      </c>
      <c r="F207" s="76">
        <v>11.750327</v>
      </c>
      <c r="G207" s="79">
        <v>96900</v>
      </c>
    </row>
    <row r="208" spans="1:7" x14ac:dyDescent="0.25">
      <c r="A208" s="1" t="s">
        <v>331</v>
      </c>
      <c r="B208" s="76">
        <v>25.194776999999998</v>
      </c>
      <c r="C208" s="76">
        <v>25.240500999999998</v>
      </c>
      <c r="D208" s="76">
        <v>24.508891999999999</v>
      </c>
      <c r="E208" s="76">
        <v>24.966148</v>
      </c>
      <c r="F208" s="76">
        <v>11.601585999999999</v>
      </c>
      <c r="G208" s="79">
        <v>277100</v>
      </c>
    </row>
    <row r="209" spans="1:7" x14ac:dyDescent="0.25">
      <c r="A209" s="1" t="s">
        <v>332</v>
      </c>
      <c r="B209" s="76">
        <v>24.920421999999999</v>
      </c>
      <c r="C209" s="76">
        <v>24.920421999999999</v>
      </c>
      <c r="D209" s="76">
        <v>24.325990999999998</v>
      </c>
      <c r="E209" s="76">
        <v>24.417442000000001</v>
      </c>
      <c r="F209" s="76">
        <v>11.346610999999999</v>
      </c>
      <c r="G209" s="79">
        <v>214600</v>
      </c>
    </row>
    <row r="210" spans="1:7" x14ac:dyDescent="0.25">
      <c r="A210" s="1" t="s">
        <v>333</v>
      </c>
      <c r="B210" s="76">
        <v>24.280263999999999</v>
      </c>
      <c r="C210" s="76">
        <v>24.783245000000001</v>
      </c>
      <c r="D210" s="76">
        <v>24.188814000000001</v>
      </c>
      <c r="E210" s="76">
        <v>24.646069000000001</v>
      </c>
      <c r="F210" s="76">
        <v>11.452852999999999</v>
      </c>
      <c r="G210" s="79">
        <v>181700</v>
      </c>
    </row>
    <row r="211" spans="1:7" x14ac:dyDescent="0.25">
      <c r="A211" s="1" t="s">
        <v>334</v>
      </c>
      <c r="B211" s="76">
        <v>24.554618999999999</v>
      </c>
      <c r="C211" s="76">
        <v>25.103325000000002</v>
      </c>
      <c r="D211" s="76">
        <v>24.554618999999999</v>
      </c>
      <c r="E211" s="76">
        <v>25.011873000000001</v>
      </c>
      <c r="F211" s="76">
        <v>11.622838</v>
      </c>
      <c r="G211" s="79">
        <v>263200</v>
      </c>
    </row>
    <row r="212" spans="1:7" x14ac:dyDescent="0.25">
      <c r="A212" s="1" t="s">
        <v>335</v>
      </c>
      <c r="B212" s="76">
        <v>25.149049999999999</v>
      </c>
      <c r="C212" s="76">
        <v>25.286225999999999</v>
      </c>
      <c r="D212" s="76">
        <v>24.966148</v>
      </c>
      <c r="E212" s="76">
        <v>25.149049999999999</v>
      </c>
      <c r="F212" s="76">
        <v>11.686575999999899</v>
      </c>
      <c r="G212" s="79">
        <v>271900</v>
      </c>
    </row>
    <row r="213" spans="1:7" x14ac:dyDescent="0.25">
      <c r="A213" s="1" t="s">
        <v>336</v>
      </c>
      <c r="B213" s="76">
        <v>25.149049999999999</v>
      </c>
      <c r="C213" s="76">
        <v>25.652031000000001</v>
      </c>
      <c r="D213" s="76">
        <v>25.149049999999999</v>
      </c>
      <c r="E213" s="76">
        <v>25.46913</v>
      </c>
      <c r="F213" s="76">
        <v>11.835319999999999</v>
      </c>
      <c r="G213" s="79">
        <v>272800</v>
      </c>
    </row>
    <row r="214" spans="1:7" x14ac:dyDescent="0.25">
      <c r="A214" s="1" t="s">
        <v>337</v>
      </c>
      <c r="B214" s="76">
        <v>25.423403</v>
      </c>
      <c r="C214" s="76">
        <v>25.880659000000001</v>
      </c>
      <c r="D214" s="76">
        <v>25.377678</v>
      </c>
      <c r="E214" s="76">
        <v>25.834934000000001</v>
      </c>
      <c r="F214" s="76">
        <v>12.005312</v>
      </c>
      <c r="G214" s="79">
        <v>1037000</v>
      </c>
    </row>
    <row r="215" spans="1:7" x14ac:dyDescent="0.25">
      <c r="A215" s="1" t="s">
        <v>338</v>
      </c>
      <c r="B215" s="76">
        <v>25.514854</v>
      </c>
      <c r="C215" s="76">
        <v>25.834934000000001</v>
      </c>
      <c r="D215" s="76">
        <v>25.46913</v>
      </c>
      <c r="E215" s="76">
        <v>25.606306</v>
      </c>
      <c r="F215" s="76">
        <v>12.080378999999899</v>
      </c>
      <c r="G215" s="79">
        <v>171000</v>
      </c>
    </row>
    <row r="216" spans="1:7" x14ac:dyDescent="0.25">
      <c r="A216" s="1" t="s">
        <v>339</v>
      </c>
      <c r="B216" s="76">
        <v>25.331952999999999</v>
      </c>
      <c r="C216" s="76">
        <v>25.560579000000001</v>
      </c>
      <c r="D216" s="76">
        <v>25.331952999999999</v>
      </c>
      <c r="E216" s="76">
        <v>25.46913</v>
      </c>
      <c r="F216" s="76">
        <v>12.015661999999899</v>
      </c>
      <c r="G216" s="79">
        <v>108900</v>
      </c>
    </row>
    <row r="217" spans="1:7" x14ac:dyDescent="0.25">
      <c r="A217" s="1" t="s">
        <v>340</v>
      </c>
      <c r="B217" s="76">
        <v>25.377678</v>
      </c>
      <c r="C217" s="76">
        <v>25.606306</v>
      </c>
      <c r="D217" s="76">
        <v>25.377678</v>
      </c>
      <c r="E217" s="76">
        <v>25.514854</v>
      </c>
      <c r="F217" s="76">
        <v>12.037236</v>
      </c>
      <c r="G217" s="79">
        <v>118800</v>
      </c>
    </row>
    <row r="218" spans="1:7" x14ac:dyDescent="0.25">
      <c r="A218" s="1" t="s">
        <v>341</v>
      </c>
      <c r="B218" s="76">
        <v>25.606306</v>
      </c>
      <c r="C218" s="76">
        <v>25.606306</v>
      </c>
      <c r="D218" s="76">
        <v>25.331952999999999</v>
      </c>
      <c r="E218" s="76">
        <v>25.514854</v>
      </c>
      <c r="F218" s="76">
        <v>12.037236</v>
      </c>
      <c r="G218" s="79">
        <v>121200</v>
      </c>
    </row>
    <row r="219" spans="1:7" x14ac:dyDescent="0.25">
      <c r="A219" s="1" t="s">
        <v>342</v>
      </c>
      <c r="B219" s="76">
        <v>25.46913</v>
      </c>
      <c r="C219" s="76">
        <v>25.789207000000001</v>
      </c>
      <c r="D219" s="76">
        <v>25.46913</v>
      </c>
      <c r="E219" s="76">
        <v>25.652031000000001</v>
      </c>
      <c r="F219" s="76">
        <v>12.101951</v>
      </c>
      <c r="G219" s="79">
        <v>120500</v>
      </c>
    </row>
    <row r="220" spans="1:7" x14ac:dyDescent="0.25">
      <c r="A220" s="1" t="s">
        <v>343</v>
      </c>
      <c r="B220" s="76">
        <v>25.697755999999998</v>
      </c>
      <c r="C220" s="76">
        <v>25.697755999999998</v>
      </c>
      <c r="D220" s="76">
        <v>25.606306</v>
      </c>
      <c r="E220" s="76">
        <v>25.606306</v>
      </c>
      <c r="F220" s="76">
        <v>12.080378999999899</v>
      </c>
      <c r="G220" s="79">
        <v>203200</v>
      </c>
    </row>
    <row r="221" spans="1:7" x14ac:dyDescent="0.25">
      <c r="A221" s="1" t="s">
        <v>344</v>
      </c>
      <c r="B221" s="76">
        <v>25.697755999999998</v>
      </c>
      <c r="C221" s="76">
        <v>25.789207000000001</v>
      </c>
      <c r="D221" s="76">
        <v>25.606306</v>
      </c>
      <c r="E221" s="76">
        <v>25.606306</v>
      </c>
      <c r="F221" s="76">
        <v>12.080378999999899</v>
      </c>
      <c r="G221" s="79">
        <v>166100</v>
      </c>
    </row>
    <row r="222" spans="1:7" x14ac:dyDescent="0.25">
      <c r="A222" s="1" t="s">
        <v>345</v>
      </c>
      <c r="B222" s="76">
        <v>25.606306</v>
      </c>
      <c r="C222" s="76">
        <v>25.697755999999998</v>
      </c>
      <c r="D222" s="76">
        <v>25.606306</v>
      </c>
      <c r="E222" s="76">
        <v>25.697755999999998</v>
      </c>
      <c r="F222" s="76">
        <v>12.123525000000001</v>
      </c>
      <c r="G222" s="79">
        <v>137400</v>
      </c>
    </row>
    <row r="223" spans="1:7" x14ac:dyDescent="0.25">
      <c r="A223" s="1" t="s">
        <v>346</v>
      </c>
      <c r="B223" s="76">
        <v>25.652031000000001</v>
      </c>
      <c r="C223" s="76">
        <v>25.697755999999998</v>
      </c>
      <c r="D223" s="76">
        <v>25.606306</v>
      </c>
      <c r="E223" s="76">
        <v>25.697755999999998</v>
      </c>
      <c r="F223" s="76">
        <v>12.123525000000001</v>
      </c>
      <c r="G223" s="79">
        <v>82500</v>
      </c>
    </row>
    <row r="224" spans="1:7" x14ac:dyDescent="0.25">
      <c r="A224" s="1" t="s">
        <v>347</v>
      </c>
      <c r="B224" s="76">
        <v>25.697755999999998</v>
      </c>
      <c r="C224" s="76">
        <v>25.880659000000001</v>
      </c>
      <c r="D224" s="76">
        <v>25.514854</v>
      </c>
      <c r="E224" s="76">
        <v>25.834934000000001</v>
      </c>
      <c r="F224" s="76">
        <v>12.1882369999999</v>
      </c>
      <c r="G224" s="79">
        <v>200000</v>
      </c>
    </row>
    <row r="225" spans="1:7" x14ac:dyDescent="0.25">
      <c r="A225" s="1" t="s">
        <v>348</v>
      </c>
      <c r="B225" s="76">
        <v>25.880659000000001</v>
      </c>
      <c r="C225" s="76">
        <v>26.063559999999999</v>
      </c>
      <c r="D225" s="76">
        <v>25.789207000000001</v>
      </c>
      <c r="E225" s="76">
        <v>25.834934000000001</v>
      </c>
      <c r="F225" s="76">
        <v>12.1882369999999</v>
      </c>
      <c r="G225" s="79">
        <v>81900</v>
      </c>
    </row>
    <row r="226" spans="1:7" x14ac:dyDescent="0.25">
      <c r="A226" s="1" t="s">
        <v>349</v>
      </c>
      <c r="B226" s="76">
        <v>25.789207000000001</v>
      </c>
      <c r="C226" s="76">
        <v>25.972110999999899</v>
      </c>
      <c r="D226" s="76">
        <v>25.789207000000001</v>
      </c>
      <c r="E226" s="76">
        <v>25.834934000000001</v>
      </c>
      <c r="F226" s="76">
        <v>12.1882369999999</v>
      </c>
      <c r="G226" s="79">
        <v>68800</v>
      </c>
    </row>
    <row r="227" spans="1:7" x14ac:dyDescent="0.25">
      <c r="A227" s="1" t="s">
        <v>350</v>
      </c>
      <c r="B227" s="76">
        <v>25.743482999999902</v>
      </c>
      <c r="C227" s="76">
        <v>26.200737</v>
      </c>
      <c r="D227" s="76">
        <v>25.743482999999902</v>
      </c>
      <c r="E227" s="76">
        <v>26.200737</v>
      </c>
      <c r="F227" s="76">
        <v>12.360814999999899</v>
      </c>
      <c r="G227" s="79">
        <v>248900</v>
      </c>
    </row>
    <row r="228" spans="1:7" x14ac:dyDescent="0.25">
      <c r="A228" s="1" t="s">
        <v>351</v>
      </c>
      <c r="B228" s="76">
        <v>26.109286999999998</v>
      </c>
      <c r="C228" s="76">
        <v>26.246464</v>
      </c>
      <c r="D228" s="76">
        <v>26.109286999999998</v>
      </c>
      <c r="E228" s="76">
        <v>26.155011999999999</v>
      </c>
      <c r="F228" s="76">
        <v>12.339245</v>
      </c>
      <c r="G228" s="79">
        <v>62300</v>
      </c>
    </row>
    <row r="229" spans="1:7" x14ac:dyDescent="0.25">
      <c r="A229" s="1" t="s">
        <v>352</v>
      </c>
      <c r="B229" s="76">
        <v>26.200737</v>
      </c>
      <c r="C229" s="76">
        <v>26.200737</v>
      </c>
      <c r="D229" s="76">
        <v>26.063559999999999</v>
      </c>
      <c r="E229" s="76">
        <v>26.155011999999999</v>
      </c>
      <c r="F229" s="76">
        <v>12.339245</v>
      </c>
      <c r="G229" s="79">
        <v>104400</v>
      </c>
    </row>
    <row r="230" spans="1:7" x14ac:dyDescent="0.25">
      <c r="A230" s="1" t="s">
        <v>353</v>
      </c>
      <c r="B230" s="76">
        <v>26.292189</v>
      </c>
      <c r="C230" s="76">
        <v>26.38364</v>
      </c>
      <c r="D230" s="76">
        <v>26.155011999999999</v>
      </c>
      <c r="E230" s="76">
        <v>26.155011999999999</v>
      </c>
      <c r="F230" s="76">
        <v>12.339245</v>
      </c>
      <c r="G230" s="79">
        <v>36500</v>
      </c>
    </row>
    <row r="231" spans="1:7" x14ac:dyDescent="0.25">
      <c r="A231" s="1" t="s">
        <v>354</v>
      </c>
      <c r="B231" s="76">
        <v>26.292189</v>
      </c>
      <c r="C231" s="76">
        <v>26.475090000000002</v>
      </c>
      <c r="D231" s="76">
        <v>26.200737</v>
      </c>
      <c r="E231" s="76">
        <v>26.246464</v>
      </c>
      <c r="F231" s="76">
        <v>12.382389</v>
      </c>
      <c r="G231" s="79">
        <v>70900</v>
      </c>
    </row>
    <row r="232" spans="1:7" x14ac:dyDescent="0.25">
      <c r="A232" s="1" t="s">
        <v>355</v>
      </c>
      <c r="B232" s="76">
        <v>26.292189</v>
      </c>
      <c r="C232" s="76">
        <v>26.520816999999901</v>
      </c>
      <c r="D232" s="76">
        <v>26.200737</v>
      </c>
      <c r="E232" s="76">
        <v>26.429365000000001</v>
      </c>
      <c r="F232" s="76">
        <v>12.4686729999999</v>
      </c>
      <c r="G232" s="79">
        <v>199400</v>
      </c>
    </row>
    <row r="233" spans="1:7" x14ac:dyDescent="0.25">
      <c r="A233" s="1" t="s">
        <v>356</v>
      </c>
      <c r="B233" s="76">
        <v>26.475090000000002</v>
      </c>
      <c r="C233" s="76">
        <v>26.612268</v>
      </c>
      <c r="D233" s="76">
        <v>26.429365000000001</v>
      </c>
      <c r="E233" s="76">
        <v>26.612268</v>
      </c>
      <c r="F233" s="76">
        <v>12.554963000000001</v>
      </c>
      <c r="G233" s="79">
        <v>85200</v>
      </c>
    </row>
    <row r="234" spans="1:7" x14ac:dyDescent="0.25">
      <c r="A234" s="1" t="s">
        <v>357</v>
      </c>
      <c r="B234" s="76">
        <v>26.657992999999902</v>
      </c>
      <c r="C234" s="76">
        <v>27.069522999999901</v>
      </c>
      <c r="D234" s="76">
        <v>26.657992999999902</v>
      </c>
      <c r="E234" s="76">
        <v>27.023797999999999</v>
      </c>
      <c r="F234" s="76">
        <v>12.749108999999899</v>
      </c>
      <c r="G234" s="79">
        <v>208900</v>
      </c>
    </row>
    <row r="235" spans="1:7" x14ac:dyDescent="0.25">
      <c r="A235" s="1" t="s">
        <v>358</v>
      </c>
      <c r="B235" s="76">
        <v>26.932345999999999</v>
      </c>
      <c r="C235" s="76">
        <v>27.252426</v>
      </c>
      <c r="D235" s="76">
        <v>26.932345999999999</v>
      </c>
      <c r="E235" s="76">
        <v>26.978071</v>
      </c>
      <c r="F235" s="76">
        <v>12.727542999999899</v>
      </c>
      <c r="G235" s="79">
        <v>127300</v>
      </c>
    </row>
    <row r="236" spans="1:7" x14ac:dyDescent="0.25">
      <c r="A236" s="1" t="s">
        <v>359</v>
      </c>
      <c r="B236" s="76">
        <v>26.886621000000002</v>
      </c>
      <c r="C236" s="76">
        <v>27.160975000000001</v>
      </c>
      <c r="D236" s="76">
        <v>26.749445000000001</v>
      </c>
      <c r="E236" s="76">
        <v>27.115247999999902</v>
      </c>
      <c r="F236" s="76">
        <v>12.792255000000001</v>
      </c>
      <c r="G236" s="79">
        <v>139800</v>
      </c>
    </row>
    <row r="237" spans="1:7" x14ac:dyDescent="0.25">
      <c r="A237" s="1" t="s">
        <v>360</v>
      </c>
      <c r="B237" s="76">
        <v>27.206699</v>
      </c>
      <c r="C237" s="76">
        <v>27.572503999999999</v>
      </c>
      <c r="D237" s="76">
        <v>27.206699</v>
      </c>
      <c r="E237" s="76">
        <v>27.572503999999999</v>
      </c>
      <c r="F237" s="76">
        <v>13.007977</v>
      </c>
      <c r="G237" s="79">
        <v>320400</v>
      </c>
    </row>
    <row r="238" spans="1:7" x14ac:dyDescent="0.25">
      <c r="A238" s="1" t="s">
        <v>361</v>
      </c>
      <c r="B238" s="76">
        <v>27.481051999999998</v>
      </c>
      <c r="C238" s="76">
        <v>27.801131999999999</v>
      </c>
      <c r="D238" s="76">
        <v>27.389603000000001</v>
      </c>
      <c r="E238" s="76">
        <v>27.755405</v>
      </c>
      <c r="F238" s="76">
        <v>13.094267</v>
      </c>
      <c r="G238" s="79">
        <v>333900</v>
      </c>
    </row>
    <row r="239" spans="1:7" x14ac:dyDescent="0.25">
      <c r="A239" s="1" t="s">
        <v>362</v>
      </c>
      <c r="B239" s="76">
        <v>27.663955999999999</v>
      </c>
      <c r="C239" s="76">
        <v>27.892582000000001</v>
      </c>
      <c r="D239" s="76">
        <v>27.526778999999902</v>
      </c>
      <c r="E239" s="76">
        <v>27.801131999999999</v>
      </c>
      <c r="F239" s="76">
        <v>13.115831999999999</v>
      </c>
      <c r="G239" s="79">
        <v>411300</v>
      </c>
    </row>
    <row r="240" spans="1:7" x14ac:dyDescent="0.25">
      <c r="A240" s="1" t="s">
        <v>363</v>
      </c>
      <c r="B240" s="76">
        <v>27.801131999999999</v>
      </c>
      <c r="C240" s="76">
        <v>27.892582000000001</v>
      </c>
      <c r="D240" s="76">
        <v>27.618228999999999</v>
      </c>
      <c r="E240" s="76">
        <v>27.663955999999999</v>
      </c>
      <c r="F240" s="76">
        <v>13.051121999999999</v>
      </c>
      <c r="G240" s="79">
        <v>212500</v>
      </c>
    </row>
    <row r="241" spans="1:7" x14ac:dyDescent="0.25">
      <c r="A241" s="1" t="s">
        <v>364</v>
      </c>
      <c r="B241" s="76">
        <v>27.801131999999999</v>
      </c>
      <c r="C241" s="76">
        <v>27.801131999999999</v>
      </c>
      <c r="D241" s="76">
        <v>27.435327999999998</v>
      </c>
      <c r="E241" s="76">
        <v>27.755405</v>
      </c>
      <c r="F241" s="76">
        <v>13.094267</v>
      </c>
      <c r="G241" s="79">
        <v>556000</v>
      </c>
    </row>
    <row r="242" spans="1:7" x14ac:dyDescent="0.25">
      <c r="A242" s="1" t="s">
        <v>365</v>
      </c>
      <c r="B242" s="76">
        <v>27.481051999999998</v>
      </c>
      <c r="C242" s="76">
        <v>27.801131999999999</v>
      </c>
      <c r="D242" s="76">
        <v>27.435327999999998</v>
      </c>
      <c r="E242" s="76">
        <v>27.618228999999999</v>
      </c>
      <c r="F242" s="76">
        <v>13.02955</v>
      </c>
      <c r="G242" s="79">
        <v>606500</v>
      </c>
    </row>
    <row r="243" spans="1:7" x14ac:dyDescent="0.25">
      <c r="A243" s="1" t="s">
        <v>366</v>
      </c>
      <c r="B243" s="76">
        <v>27.618228999999999</v>
      </c>
      <c r="C243" s="76">
        <v>27.938309</v>
      </c>
      <c r="D243" s="76">
        <v>27.481051999999998</v>
      </c>
      <c r="E243" s="76">
        <v>27.846857</v>
      </c>
      <c r="F243" s="76">
        <v>13.137409</v>
      </c>
      <c r="G243" s="79">
        <v>225600</v>
      </c>
    </row>
    <row r="244" spans="1:7" x14ac:dyDescent="0.25">
      <c r="A244" s="1" t="s">
        <v>367</v>
      </c>
      <c r="B244" s="76">
        <v>27.709681</v>
      </c>
      <c r="C244" s="76">
        <v>27.755405</v>
      </c>
      <c r="D244" s="76">
        <v>27.526778999999902</v>
      </c>
      <c r="E244" s="76">
        <v>27.709681</v>
      </c>
      <c r="F244" s="76">
        <v>13.072691000000001</v>
      </c>
      <c r="G244" s="79">
        <v>113300</v>
      </c>
    </row>
    <row r="245" spans="1:7" x14ac:dyDescent="0.25">
      <c r="A245" s="1" t="s">
        <v>368</v>
      </c>
      <c r="B245" s="76">
        <v>27.435327999999998</v>
      </c>
      <c r="C245" s="76">
        <v>27.938309</v>
      </c>
      <c r="D245" s="76">
        <v>27.298151000000001</v>
      </c>
      <c r="E245" s="76">
        <v>27.938309</v>
      </c>
      <c r="F245" s="76">
        <v>13.180551999999899</v>
      </c>
      <c r="G245" s="79">
        <v>2413900</v>
      </c>
    </row>
    <row r="246" spans="1:7" x14ac:dyDescent="0.25">
      <c r="A246" s="1" t="s">
        <v>369</v>
      </c>
      <c r="B246" s="76">
        <v>27.801131999999999</v>
      </c>
      <c r="C246" s="76">
        <v>28.441289999999999</v>
      </c>
      <c r="D246" s="76">
        <v>27.618228999999999</v>
      </c>
      <c r="E246" s="76">
        <v>28.304113000000001</v>
      </c>
      <c r="F246" s="76">
        <v>13.353132</v>
      </c>
      <c r="G246" s="79">
        <v>1271400</v>
      </c>
    </row>
    <row r="247" spans="1:7" x14ac:dyDescent="0.25">
      <c r="A247" s="1" t="s">
        <v>370</v>
      </c>
      <c r="B247" s="76">
        <v>28.121209999999898</v>
      </c>
      <c r="C247" s="76">
        <v>28.441289999999999</v>
      </c>
      <c r="D247" s="76">
        <v>28.121209999999898</v>
      </c>
      <c r="E247" s="76">
        <v>28.349837999999998</v>
      </c>
      <c r="F247" s="76">
        <v>13.374703</v>
      </c>
      <c r="G247" s="79">
        <v>97400</v>
      </c>
    </row>
    <row r="248" spans="1:7" x14ac:dyDescent="0.25">
      <c r="A248" s="1" t="s">
        <v>371</v>
      </c>
      <c r="B248" s="76">
        <v>28.349837999999998</v>
      </c>
      <c r="C248" s="76">
        <v>28.349837999999998</v>
      </c>
      <c r="D248" s="76">
        <v>27.984034000000001</v>
      </c>
      <c r="E248" s="76">
        <v>28.258386999999999</v>
      </c>
      <c r="F248" s="76">
        <v>13.33156</v>
      </c>
      <c r="G248" s="79">
        <v>88800</v>
      </c>
    </row>
    <row r="249" spans="1:7" x14ac:dyDescent="0.25">
      <c r="A249" s="1" t="s">
        <v>372</v>
      </c>
      <c r="B249" s="76">
        <v>28.166937000000001</v>
      </c>
      <c r="C249" s="76">
        <v>28.349837999999998</v>
      </c>
      <c r="D249" s="76">
        <v>27.846857</v>
      </c>
      <c r="E249" s="76">
        <v>27.892582000000001</v>
      </c>
      <c r="F249" s="76">
        <v>13.158977999999999</v>
      </c>
      <c r="G249" s="79">
        <v>95700</v>
      </c>
    </row>
    <row r="250" spans="1:7" x14ac:dyDescent="0.25">
      <c r="A250" s="1" t="s">
        <v>373</v>
      </c>
      <c r="B250" s="76">
        <v>27.801131999999999</v>
      </c>
      <c r="C250" s="76">
        <v>27.892582000000001</v>
      </c>
      <c r="D250" s="76">
        <v>27.526778999999902</v>
      </c>
      <c r="E250" s="76">
        <v>27.801131999999999</v>
      </c>
      <c r="F250" s="76">
        <v>13.115831999999999</v>
      </c>
      <c r="G250" s="79">
        <v>139200</v>
      </c>
    </row>
    <row r="251" spans="1:7" x14ac:dyDescent="0.25">
      <c r="A251" s="1" t="s">
        <v>374</v>
      </c>
      <c r="B251" s="76">
        <v>27.709681</v>
      </c>
      <c r="C251" s="76">
        <v>27.801131999999999</v>
      </c>
      <c r="D251" s="76">
        <v>27.709681</v>
      </c>
      <c r="E251" s="76">
        <v>27.801131999999999</v>
      </c>
      <c r="F251" s="76">
        <v>13.115831999999999</v>
      </c>
      <c r="G251" s="79">
        <v>28500</v>
      </c>
    </row>
    <row r="252" spans="1:7" x14ac:dyDescent="0.25">
      <c r="A252" s="1" t="s">
        <v>375</v>
      </c>
      <c r="B252" s="76">
        <v>27.801131999999999</v>
      </c>
      <c r="C252" s="76">
        <v>27.938309</v>
      </c>
      <c r="D252" s="76">
        <v>27.801131999999999</v>
      </c>
      <c r="E252" s="76">
        <v>27.892582000000001</v>
      </c>
      <c r="F252" s="76">
        <v>13.158977999999999</v>
      </c>
      <c r="G252" s="79">
        <v>246400</v>
      </c>
    </row>
    <row r="253" spans="1:7" x14ac:dyDescent="0.25">
      <c r="A253" s="1" t="s">
        <v>376</v>
      </c>
      <c r="B253" s="76">
        <v>27.801131999999999</v>
      </c>
      <c r="C253" s="76">
        <v>28.53274</v>
      </c>
      <c r="D253" s="76">
        <v>27.755405</v>
      </c>
      <c r="E253" s="76">
        <v>28.487015</v>
      </c>
      <c r="F253" s="76">
        <v>13.439416</v>
      </c>
      <c r="G253" s="79">
        <v>212300</v>
      </c>
    </row>
    <row r="254" spans="1:7" x14ac:dyDescent="0.25">
      <c r="A254" s="1" t="s">
        <v>377</v>
      </c>
      <c r="B254" s="76">
        <v>28.395562999999999</v>
      </c>
      <c r="C254" s="76">
        <v>28.395562999999999</v>
      </c>
      <c r="D254" s="76">
        <v>27.984034000000001</v>
      </c>
      <c r="E254" s="76">
        <v>28.0297599999999</v>
      </c>
      <c r="F254" s="76">
        <v>13.223701</v>
      </c>
      <c r="G254" s="79">
        <v>117400</v>
      </c>
    </row>
    <row r="255" spans="1:7" x14ac:dyDescent="0.25">
      <c r="A255" s="1" t="s">
        <v>378</v>
      </c>
      <c r="B255" s="76">
        <v>27.984034000000001</v>
      </c>
      <c r="C255" s="76">
        <v>28.075484999999901</v>
      </c>
      <c r="D255" s="76">
        <v>27.526778999999902</v>
      </c>
      <c r="E255" s="76">
        <v>27.572503999999999</v>
      </c>
      <c r="F255" s="76">
        <v>13.007977</v>
      </c>
      <c r="G255" s="79">
        <v>449000</v>
      </c>
    </row>
    <row r="256" spans="1:7" x14ac:dyDescent="0.25">
      <c r="A256" s="1" t="s">
        <v>379</v>
      </c>
      <c r="B256" s="76">
        <v>27.572503999999999</v>
      </c>
      <c r="C256" s="76">
        <v>27.892582000000001</v>
      </c>
      <c r="D256" s="76">
        <v>27.526778999999902</v>
      </c>
      <c r="E256" s="76">
        <v>27.663955999999999</v>
      </c>
      <c r="F256" s="76">
        <v>13.051121999999999</v>
      </c>
      <c r="G256" s="79">
        <v>272300</v>
      </c>
    </row>
    <row r="257" spans="1:7" x14ac:dyDescent="0.25">
      <c r="A257" s="1" t="s">
        <v>380</v>
      </c>
      <c r="B257" s="76">
        <v>27.663955999999999</v>
      </c>
      <c r="C257" s="76">
        <v>27.709681</v>
      </c>
      <c r="D257" s="76">
        <v>27.435327999999998</v>
      </c>
      <c r="E257" s="76">
        <v>27.572503999999999</v>
      </c>
      <c r="F257" s="76">
        <v>13.007977</v>
      </c>
      <c r="G257" s="79">
        <v>220100</v>
      </c>
    </row>
    <row r="258" spans="1:7" x14ac:dyDescent="0.25">
      <c r="A258" s="1" t="s">
        <v>381</v>
      </c>
      <c r="B258" s="76">
        <v>27.618228999999999</v>
      </c>
      <c r="C258" s="76">
        <v>27.618228999999999</v>
      </c>
      <c r="D258" s="76">
        <v>27.252426</v>
      </c>
      <c r="E258" s="76">
        <v>27.298151000000001</v>
      </c>
      <c r="F258" s="76">
        <v>12.878546</v>
      </c>
      <c r="G258" s="79">
        <v>74500</v>
      </c>
    </row>
    <row r="259" spans="1:7" x14ac:dyDescent="0.25">
      <c r="A259" s="1" t="s">
        <v>382</v>
      </c>
      <c r="B259" s="76">
        <v>27.343876000000002</v>
      </c>
      <c r="C259" s="76">
        <v>27.481051999999998</v>
      </c>
      <c r="D259" s="76">
        <v>27.115247999999902</v>
      </c>
      <c r="E259" s="76">
        <v>27.298151000000001</v>
      </c>
      <c r="F259" s="76">
        <v>12.878546</v>
      </c>
      <c r="G259" s="79">
        <v>159300</v>
      </c>
    </row>
    <row r="260" spans="1:7" x14ac:dyDescent="0.25">
      <c r="A260" s="1" t="s">
        <v>383</v>
      </c>
      <c r="B260" s="76">
        <v>27.115247999999902</v>
      </c>
      <c r="C260" s="76">
        <v>27.343876000000002</v>
      </c>
      <c r="D260" s="76">
        <v>27.069522999999901</v>
      </c>
      <c r="E260" s="76">
        <v>27.115247999999902</v>
      </c>
      <c r="F260" s="76">
        <v>12.792255000000001</v>
      </c>
      <c r="G260" s="79">
        <v>64400</v>
      </c>
    </row>
    <row r="261" spans="1:7" x14ac:dyDescent="0.25">
      <c r="A261" s="1" t="s">
        <v>384</v>
      </c>
      <c r="B261" s="76">
        <v>27.115247999999902</v>
      </c>
      <c r="C261" s="76">
        <v>27.115247999999902</v>
      </c>
      <c r="D261" s="76">
        <v>26.795169999999999</v>
      </c>
      <c r="E261" s="76">
        <v>26.886621000000002</v>
      </c>
      <c r="F261" s="76">
        <v>12.684395</v>
      </c>
      <c r="G261" s="79">
        <v>278700</v>
      </c>
    </row>
    <row r="262" spans="1:7" x14ac:dyDescent="0.25">
      <c r="A262" s="1" t="s">
        <v>385</v>
      </c>
      <c r="B262" s="76">
        <v>26.840895</v>
      </c>
      <c r="C262" s="76">
        <v>26.840895</v>
      </c>
      <c r="D262" s="76">
        <v>26.429365000000001</v>
      </c>
      <c r="E262" s="76">
        <v>26.475090000000002</v>
      </c>
      <c r="F262" s="76">
        <v>12.490246000000001</v>
      </c>
      <c r="G262" s="79">
        <v>269000</v>
      </c>
    </row>
    <row r="263" spans="1:7" x14ac:dyDescent="0.25">
      <c r="A263" s="1" t="s">
        <v>386</v>
      </c>
      <c r="B263" s="76">
        <v>26.292189</v>
      </c>
      <c r="C263" s="76">
        <v>26.520816999999901</v>
      </c>
      <c r="D263" s="76">
        <v>26.246464</v>
      </c>
      <c r="E263" s="76">
        <v>26.246464</v>
      </c>
      <c r="F263" s="76">
        <v>12.382389</v>
      </c>
      <c r="G263" s="79">
        <v>220800</v>
      </c>
    </row>
    <row r="264" spans="1:7" x14ac:dyDescent="0.25">
      <c r="A264" s="1" t="s">
        <v>387</v>
      </c>
      <c r="B264" s="76">
        <v>26.703717999999999</v>
      </c>
      <c r="C264" s="76">
        <v>26.703717999999999</v>
      </c>
      <c r="D264" s="76">
        <v>26.063559999999999</v>
      </c>
      <c r="E264" s="76">
        <v>26.155011999999999</v>
      </c>
      <c r="F264" s="76">
        <v>12.339245</v>
      </c>
      <c r="G264" s="79">
        <v>188400</v>
      </c>
    </row>
    <row r="265" spans="1:7" x14ac:dyDescent="0.25">
      <c r="A265" s="1" t="s">
        <v>388</v>
      </c>
      <c r="B265" s="76">
        <v>26.155011999999999</v>
      </c>
      <c r="C265" s="76">
        <v>26.155011999999999</v>
      </c>
      <c r="D265" s="76">
        <v>25.834934000000001</v>
      </c>
      <c r="E265" s="76">
        <v>25.926383999999999</v>
      </c>
      <c r="F265" s="76">
        <v>12.231382</v>
      </c>
      <c r="G265" s="79">
        <v>284500</v>
      </c>
    </row>
    <row r="266" spans="1:7" x14ac:dyDescent="0.25">
      <c r="A266" s="1" t="s">
        <v>389</v>
      </c>
      <c r="B266" s="76">
        <v>26.109286999999998</v>
      </c>
      <c r="C266" s="76">
        <v>26.475090000000002</v>
      </c>
      <c r="D266" s="76">
        <v>25.743482999999902</v>
      </c>
      <c r="E266" s="76">
        <v>26.475090000000002</v>
      </c>
      <c r="F266" s="76">
        <v>12.490246000000001</v>
      </c>
      <c r="G266" s="79">
        <v>609600</v>
      </c>
    </row>
    <row r="267" spans="1:7" x14ac:dyDescent="0.25">
      <c r="A267" s="1" t="s">
        <v>390</v>
      </c>
      <c r="B267" s="76">
        <v>26.38364</v>
      </c>
      <c r="C267" s="76">
        <v>26.703717999999999</v>
      </c>
      <c r="D267" s="76">
        <v>26.337914000000001</v>
      </c>
      <c r="E267" s="76">
        <v>26.429365000000001</v>
      </c>
      <c r="F267" s="76">
        <v>12.4686729999999</v>
      </c>
      <c r="G267" s="79">
        <v>134000</v>
      </c>
    </row>
    <row r="268" spans="1:7" x14ac:dyDescent="0.25">
      <c r="A268" s="1" t="s">
        <v>391</v>
      </c>
      <c r="B268" s="76">
        <v>26.429365000000001</v>
      </c>
      <c r="C268" s="76">
        <v>26.612268</v>
      </c>
      <c r="D268" s="76">
        <v>26.292189</v>
      </c>
      <c r="E268" s="76">
        <v>26.612268</v>
      </c>
      <c r="F268" s="76">
        <v>12.554963000000001</v>
      </c>
      <c r="G268" s="79">
        <v>466300</v>
      </c>
    </row>
    <row r="269" spans="1:7" x14ac:dyDescent="0.25">
      <c r="A269" s="1" t="s">
        <v>392</v>
      </c>
      <c r="B269" s="76">
        <v>26.520816999999901</v>
      </c>
      <c r="C269" s="76">
        <v>26.657992999999902</v>
      </c>
      <c r="D269" s="76">
        <v>26.520816999999901</v>
      </c>
      <c r="E269" s="76">
        <v>26.566541999999998</v>
      </c>
      <c r="F269" s="76">
        <v>12.533395000000001</v>
      </c>
      <c r="G269" s="79">
        <v>139500</v>
      </c>
    </row>
    <row r="270" spans="1:7" x14ac:dyDescent="0.25">
      <c r="A270" s="1" t="s">
        <v>393</v>
      </c>
      <c r="B270" s="76">
        <v>26.566541999999998</v>
      </c>
      <c r="C270" s="76">
        <v>26.566541999999998</v>
      </c>
      <c r="D270" s="76">
        <v>26.337914000000001</v>
      </c>
      <c r="E270" s="76">
        <v>26.520816999999901</v>
      </c>
      <c r="F270" s="76">
        <v>12.51182</v>
      </c>
      <c r="G270" s="79">
        <v>98600</v>
      </c>
    </row>
    <row r="271" spans="1:7" x14ac:dyDescent="0.25">
      <c r="A271" s="1" t="s">
        <v>394</v>
      </c>
      <c r="B271" s="76">
        <v>26.520816999999901</v>
      </c>
      <c r="C271" s="76">
        <v>26.520816999999901</v>
      </c>
      <c r="D271" s="76">
        <v>26.337914000000001</v>
      </c>
      <c r="E271" s="76">
        <v>26.475090000000002</v>
      </c>
      <c r="F271" s="76">
        <v>12.490246000000001</v>
      </c>
      <c r="G271" s="79">
        <v>128300</v>
      </c>
    </row>
    <row r="272" spans="1:7" x14ac:dyDescent="0.25">
      <c r="A272" s="1" t="s">
        <v>395</v>
      </c>
      <c r="B272" s="76">
        <v>26.475090000000002</v>
      </c>
      <c r="C272" s="76">
        <v>26.475090000000002</v>
      </c>
      <c r="D272" s="76">
        <v>26.38364</v>
      </c>
      <c r="E272" s="76">
        <v>26.475090000000002</v>
      </c>
      <c r="F272" s="76">
        <v>12.490246000000001</v>
      </c>
      <c r="G272" s="79">
        <v>222900</v>
      </c>
    </row>
    <row r="273" spans="1:7" x14ac:dyDescent="0.25">
      <c r="A273" s="1" t="s">
        <v>396</v>
      </c>
      <c r="B273" s="76">
        <v>26.476918999999999</v>
      </c>
      <c r="C273" s="76">
        <v>26.557397999999999</v>
      </c>
      <c r="D273" s="76">
        <v>26.418391999999901</v>
      </c>
      <c r="E273" s="76">
        <v>26.557397999999999</v>
      </c>
      <c r="F273" s="76">
        <v>12.52908</v>
      </c>
      <c r="G273" s="79">
        <v>271800</v>
      </c>
    </row>
    <row r="274" spans="1:7" x14ac:dyDescent="0.25">
      <c r="A274" s="1" t="s">
        <v>397</v>
      </c>
      <c r="B274" s="76">
        <v>26.535447999999999</v>
      </c>
      <c r="C274" s="76">
        <v>26.630558000000001</v>
      </c>
      <c r="D274" s="76">
        <v>26.528133</v>
      </c>
      <c r="E274" s="76">
        <v>26.623240999999901</v>
      </c>
      <c r="F274" s="76">
        <v>12.5601419999999</v>
      </c>
      <c r="G274" s="79">
        <v>616800</v>
      </c>
    </row>
    <row r="275" spans="1:7" x14ac:dyDescent="0.25">
      <c r="A275" s="1" t="s">
        <v>398</v>
      </c>
      <c r="B275" s="76">
        <v>26.630558000000001</v>
      </c>
      <c r="C275" s="76">
        <v>26.996362999999999</v>
      </c>
      <c r="D275" s="76">
        <v>26.535447999999999</v>
      </c>
      <c r="E275" s="76">
        <v>26.630558000000001</v>
      </c>
      <c r="F275" s="76">
        <v>12.56359</v>
      </c>
      <c r="G275" s="79">
        <v>277200</v>
      </c>
    </row>
    <row r="276" spans="1:7" x14ac:dyDescent="0.25">
      <c r="A276" s="1" t="s">
        <v>399</v>
      </c>
      <c r="B276" s="76">
        <v>26.250121999999902</v>
      </c>
      <c r="C276" s="76">
        <v>26.557397999999999</v>
      </c>
      <c r="D276" s="76">
        <v>26.250121999999902</v>
      </c>
      <c r="E276" s="76">
        <v>26.520816999999901</v>
      </c>
      <c r="F276" s="76">
        <v>12.696692000000001</v>
      </c>
      <c r="G276" s="79">
        <v>236500</v>
      </c>
    </row>
    <row r="277" spans="1:7" x14ac:dyDescent="0.25">
      <c r="A277" s="1" t="s">
        <v>400</v>
      </c>
      <c r="B277" s="76">
        <v>26.411076000000001</v>
      </c>
      <c r="C277" s="76">
        <v>27.069522999999901</v>
      </c>
      <c r="D277" s="76">
        <v>26.411076000000001</v>
      </c>
      <c r="E277" s="76">
        <v>26.857357</v>
      </c>
      <c r="F277" s="76">
        <v>12.857802</v>
      </c>
      <c r="G277" s="79">
        <v>282700</v>
      </c>
    </row>
    <row r="278" spans="1:7" x14ac:dyDescent="0.25">
      <c r="A278" s="1" t="s">
        <v>401</v>
      </c>
      <c r="B278" s="76">
        <v>26.842724</v>
      </c>
      <c r="C278" s="76">
        <v>26.842724</v>
      </c>
      <c r="D278" s="76">
        <v>26.637875000000001</v>
      </c>
      <c r="E278" s="76">
        <v>26.703717999999999</v>
      </c>
      <c r="F278" s="76">
        <v>12.784250999999999</v>
      </c>
      <c r="G278" s="79">
        <v>341800</v>
      </c>
    </row>
    <row r="279" spans="1:7" x14ac:dyDescent="0.25">
      <c r="A279" s="1" t="s">
        <v>402</v>
      </c>
      <c r="B279" s="76">
        <v>26.703717999999999</v>
      </c>
      <c r="C279" s="76">
        <v>26.703717999999999</v>
      </c>
      <c r="D279" s="76">
        <v>26.418391999999901</v>
      </c>
      <c r="E279" s="76">
        <v>26.572028999999901</v>
      </c>
      <c r="F279" s="76">
        <v>12.721206</v>
      </c>
      <c r="G279" s="79">
        <v>166500</v>
      </c>
    </row>
    <row r="280" spans="1:7" x14ac:dyDescent="0.25">
      <c r="A280" s="1" t="s">
        <v>403</v>
      </c>
      <c r="B280" s="76">
        <v>26.484235999999999</v>
      </c>
      <c r="C280" s="76">
        <v>26.740299</v>
      </c>
      <c r="D280" s="76">
        <v>26.484235999999999</v>
      </c>
      <c r="E280" s="76">
        <v>26.601293999999999</v>
      </c>
      <c r="F280" s="76">
        <v>12.735215999999999</v>
      </c>
      <c r="G280" s="79">
        <v>441600</v>
      </c>
    </row>
    <row r="281" spans="1:7" x14ac:dyDescent="0.25">
      <c r="A281" s="1" t="s">
        <v>404</v>
      </c>
      <c r="B281" s="76">
        <v>26.586659999999998</v>
      </c>
      <c r="C281" s="76">
        <v>26.601293999999999</v>
      </c>
      <c r="D281" s="76">
        <v>26.337914000000001</v>
      </c>
      <c r="E281" s="76">
        <v>26.528133</v>
      </c>
      <c r="F281" s="76">
        <v>12.700188000000001</v>
      </c>
      <c r="G281" s="79">
        <v>97000</v>
      </c>
    </row>
    <row r="282" spans="1:7" x14ac:dyDescent="0.25">
      <c r="A282" s="1" t="s">
        <v>405</v>
      </c>
      <c r="B282" s="76">
        <v>26.557397999999999</v>
      </c>
      <c r="C282" s="76">
        <v>26.623240999999901</v>
      </c>
      <c r="D282" s="76">
        <v>26.345229999999901</v>
      </c>
      <c r="E282" s="76">
        <v>26.411076000000001</v>
      </c>
      <c r="F282" s="76">
        <v>12.644152</v>
      </c>
      <c r="G282" s="79">
        <v>104700</v>
      </c>
    </row>
    <row r="283" spans="1:7" x14ac:dyDescent="0.25">
      <c r="A283" s="1" t="s">
        <v>406</v>
      </c>
      <c r="B283" s="76">
        <v>26.520816999999901</v>
      </c>
      <c r="C283" s="76">
        <v>26.557397999999999</v>
      </c>
      <c r="D283" s="76">
        <v>26.337914000000001</v>
      </c>
      <c r="E283" s="76">
        <v>26.396441999999901</v>
      </c>
      <c r="F283" s="76">
        <v>12.637147000000001</v>
      </c>
      <c r="G283" s="79">
        <v>115700</v>
      </c>
    </row>
    <row r="284" spans="1:7" x14ac:dyDescent="0.25">
      <c r="A284" s="1" t="s">
        <v>407</v>
      </c>
      <c r="B284" s="76">
        <v>26.374495</v>
      </c>
      <c r="C284" s="76">
        <v>26.484235999999999</v>
      </c>
      <c r="D284" s="76">
        <v>26.337914000000001</v>
      </c>
      <c r="E284" s="76">
        <v>26.374495</v>
      </c>
      <c r="F284" s="76">
        <v>12.626638</v>
      </c>
      <c r="G284" s="79">
        <v>271800</v>
      </c>
    </row>
    <row r="285" spans="1:7" x14ac:dyDescent="0.25">
      <c r="A285" s="1" t="s">
        <v>408</v>
      </c>
      <c r="B285" s="76">
        <v>26.374495</v>
      </c>
      <c r="C285" s="76">
        <v>26.454971</v>
      </c>
      <c r="D285" s="76">
        <v>26.337914000000001</v>
      </c>
      <c r="E285" s="76">
        <v>26.425706999999999</v>
      </c>
      <c r="F285" s="76">
        <v>12.651154999999999</v>
      </c>
      <c r="G285" s="79">
        <v>1797100</v>
      </c>
    </row>
    <row r="286" spans="1:7" x14ac:dyDescent="0.25">
      <c r="A286" s="1" t="s">
        <v>409</v>
      </c>
      <c r="B286" s="76">
        <v>26.425706999999999</v>
      </c>
      <c r="C286" s="76">
        <v>26.425706999999999</v>
      </c>
      <c r="D286" s="76">
        <v>26.162329</v>
      </c>
      <c r="E286" s="76">
        <v>26.337914000000001</v>
      </c>
      <c r="F286" s="76">
        <v>12.609125000000001</v>
      </c>
      <c r="G286" s="79">
        <v>922100</v>
      </c>
    </row>
    <row r="287" spans="1:7" x14ac:dyDescent="0.25">
      <c r="A287" s="1" t="s">
        <v>410</v>
      </c>
      <c r="B287" s="76">
        <v>26.411076000000001</v>
      </c>
      <c r="C287" s="76">
        <v>26.557397999999999</v>
      </c>
      <c r="D287" s="76">
        <v>26.294017999999902</v>
      </c>
      <c r="E287" s="76">
        <v>26.337914000000001</v>
      </c>
      <c r="F287" s="76">
        <v>12.609125000000001</v>
      </c>
      <c r="G287" s="79">
        <v>709900</v>
      </c>
    </row>
    <row r="288" spans="1:7" x14ac:dyDescent="0.25">
      <c r="A288" s="1" t="s">
        <v>411</v>
      </c>
      <c r="B288" s="76">
        <v>26.411076000000001</v>
      </c>
      <c r="C288" s="76">
        <v>26.411076000000001</v>
      </c>
      <c r="D288" s="76">
        <v>26.118431000000001</v>
      </c>
      <c r="E288" s="76">
        <v>26.301334000000001</v>
      </c>
      <c r="F288" s="76">
        <v>12.591616</v>
      </c>
      <c r="G288" s="79">
        <v>1575800</v>
      </c>
    </row>
    <row r="289" spans="1:7" x14ac:dyDescent="0.25">
      <c r="A289" s="1" t="s">
        <v>412</v>
      </c>
      <c r="B289" s="76">
        <v>26.228171999999901</v>
      </c>
      <c r="C289" s="76">
        <v>26.301334000000001</v>
      </c>
      <c r="D289" s="76">
        <v>25.716047</v>
      </c>
      <c r="E289" s="76">
        <v>25.986742</v>
      </c>
      <c r="F289" s="76">
        <v>12.441001999999999</v>
      </c>
      <c r="G289" s="79">
        <v>232700</v>
      </c>
    </row>
    <row r="290" spans="1:7" x14ac:dyDescent="0.25">
      <c r="A290" s="1" t="s">
        <v>413</v>
      </c>
      <c r="B290" s="76">
        <v>25.825787999999999</v>
      </c>
      <c r="C290" s="76">
        <v>25.898948999999899</v>
      </c>
      <c r="D290" s="76">
        <v>25.218554000000001</v>
      </c>
      <c r="E290" s="76">
        <v>25.291713999999999</v>
      </c>
      <c r="F290" s="76">
        <v>12.108266</v>
      </c>
      <c r="G290" s="79">
        <v>360500</v>
      </c>
    </row>
    <row r="291" spans="1:7" x14ac:dyDescent="0.25">
      <c r="A291" s="1" t="s">
        <v>414</v>
      </c>
      <c r="B291" s="76">
        <v>25.291713999999999</v>
      </c>
      <c r="C291" s="76">
        <v>26.528133</v>
      </c>
      <c r="D291" s="76">
        <v>25.291713999999999</v>
      </c>
      <c r="E291" s="76">
        <v>25.716047</v>
      </c>
      <c r="F291" s="76">
        <v>12.311413999999999</v>
      </c>
      <c r="G291" s="79">
        <v>1236500</v>
      </c>
    </row>
    <row r="292" spans="1:7" x14ac:dyDescent="0.25">
      <c r="A292" s="1" t="s">
        <v>415</v>
      </c>
      <c r="B292" s="76">
        <v>25.716047</v>
      </c>
      <c r="C292" s="76">
        <v>26.776879999999998</v>
      </c>
      <c r="D292" s="76">
        <v>25.716047</v>
      </c>
      <c r="E292" s="76">
        <v>26.667138999999999</v>
      </c>
      <c r="F292" s="76">
        <v>12.766741</v>
      </c>
      <c r="G292" s="79">
        <v>394400</v>
      </c>
    </row>
    <row r="293" spans="1:7" x14ac:dyDescent="0.25">
      <c r="A293" s="1" t="s">
        <v>416</v>
      </c>
      <c r="B293" s="76">
        <v>26.667138999999999</v>
      </c>
      <c r="C293" s="76">
        <v>27.1719469999999</v>
      </c>
      <c r="D293" s="76">
        <v>26.645188999999998</v>
      </c>
      <c r="E293" s="76">
        <v>27.113420000000001</v>
      </c>
      <c r="F293" s="76">
        <v>12.980389000000001</v>
      </c>
      <c r="G293" s="79">
        <v>1108200</v>
      </c>
    </row>
    <row r="294" spans="1:7" x14ac:dyDescent="0.25">
      <c r="A294" s="1" t="s">
        <v>417</v>
      </c>
      <c r="B294" s="76">
        <v>27.113420000000001</v>
      </c>
      <c r="C294" s="76">
        <v>28.057196000000001</v>
      </c>
      <c r="D294" s="76">
        <v>27.106103999999998</v>
      </c>
      <c r="E294" s="76">
        <v>27.662127000000002</v>
      </c>
      <c r="F294" s="76">
        <v>13.243086999999999</v>
      </c>
      <c r="G294" s="79">
        <v>544500</v>
      </c>
    </row>
    <row r="295" spans="1:7" x14ac:dyDescent="0.25">
      <c r="A295" s="1" t="s">
        <v>418</v>
      </c>
      <c r="B295" s="76">
        <v>27.662127000000002</v>
      </c>
      <c r="C295" s="76">
        <v>27.910872999999999</v>
      </c>
      <c r="D295" s="76">
        <v>27.435327999999998</v>
      </c>
      <c r="E295" s="76">
        <v>27.764551000000001</v>
      </c>
      <c r="F295" s="76">
        <v>13.292119</v>
      </c>
      <c r="G295" s="79">
        <v>246300</v>
      </c>
    </row>
    <row r="296" spans="1:7" x14ac:dyDescent="0.25">
      <c r="A296" s="1" t="s">
        <v>419</v>
      </c>
      <c r="B296" s="76">
        <v>27.910872999999999</v>
      </c>
      <c r="C296" s="76">
        <v>28.679061999999998</v>
      </c>
      <c r="D296" s="76">
        <v>27.910872999999999</v>
      </c>
      <c r="E296" s="76">
        <v>28.203515999999901</v>
      </c>
      <c r="F296" s="76">
        <v>13.502270999999901</v>
      </c>
      <c r="G296" s="79">
        <v>633500</v>
      </c>
    </row>
    <row r="297" spans="1:7" x14ac:dyDescent="0.25">
      <c r="A297" s="1" t="s">
        <v>420</v>
      </c>
      <c r="B297" s="76">
        <v>28.196200999999999</v>
      </c>
      <c r="C297" s="76">
        <v>28.422998</v>
      </c>
      <c r="D297" s="76">
        <v>28.196200999999999</v>
      </c>
      <c r="E297" s="76">
        <v>28.357154999999999</v>
      </c>
      <c r="F297" s="76">
        <v>13.575825</v>
      </c>
      <c r="G297" s="79">
        <v>589900</v>
      </c>
    </row>
    <row r="298" spans="1:7" x14ac:dyDescent="0.25">
      <c r="A298" s="1" t="s">
        <v>421</v>
      </c>
      <c r="B298" s="76">
        <v>28.357154999999999</v>
      </c>
      <c r="C298" s="76">
        <v>28.386419</v>
      </c>
      <c r="D298" s="76">
        <v>28.174251999999999</v>
      </c>
      <c r="E298" s="76">
        <v>28.196200999999999</v>
      </c>
      <c r="F298" s="76">
        <v>13.498775</v>
      </c>
      <c r="G298" s="79">
        <v>275000</v>
      </c>
    </row>
    <row r="299" spans="1:7" x14ac:dyDescent="0.25">
      <c r="A299" s="1" t="s">
        <v>422</v>
      </c>
      <c r="B299" s="76">
        <v>28.196200999999999</v>
      </c>
      <c r="C299" s="76">
        <v>28.196200999999999</v>
      </c>
      <c r="D299" s="76">
        <v>27.727969999999999</v>
      </c>
      <c r="E299" s="76">
        <v>27.801131999999999</v>
      </c>
      <c r="F299" s="76">
        <v>13.3096339999999</v>
      </c>
      <c r="G299" s="79">
        <v>913600</v>
      </c>
    </row>
    <row r="300" spans="1:7" x14ac:dyDescent="0.25">
      <c r="A300" s="1" t="s">
        <v>423</v>
      </c>
      <c r="B300" s="76">
        <v>27.801131999999999</v>
      </c>
      <c r="C300" s="76">
        <v>27.801131999999999</v>
      </c>
      <c r="D300" s="76">
        <v>27.713339000000001</v>
      </c>
      <c r="E300" s="76">
        <v>27.801131999999999</v>
      </c>
      <c r="F300" s="76">
        <v>13.3096339999999</v>
      </c>
      <c r="G300" s="79">
        <v>99500</v>
      </c>
    </row>
    <row r="301" spans="1:7" x14ac:dyDescent="0.25">
      <c r="A301" s="1" t="s">
        <v>424</v>
      </c>
      <c r="B301" s="76">
        <v>27.801131999999999</v>
      </c>
      <c r="C301" s="76">
        <v>27.801131999999999</v>
      </c>
      <c r="D301" s="76">
        <v>27.435327999999998</v>
      </c>
      <c r="E301" s="76">
        <v>27.545069000000002</v>
      </c>
      <c r="F301" s="76">
        <v>13.187039</v>
      </c>
      <c r="G301" s="79">
        <v>220900</v>
      </c>
    </row>
    <row r="302" spans="1:7" x14ac:dyDescent="0.25">
      <c r="A302" s="1" t="s">
        <v>425</v>
      </c>
      <c r="B302" s="76">
        <v>27.588964000000001</v>
      </c>
      <c r="C302" s="76">
        <v>27.618228999999999</v>
      </c>
      <c r="D302" s="76">
        <v>27.215845000000002</v>
      </c>
      <c r="E302" s="76">
        <v>27.369482000000001</v>
      </c>
      <c r="F302" s="76">
        <v>13.102980000000001</v>
      </c>
      <c r="G302" s="79">
        <v>175500</v>
      </c>
    </row>
    <row r="303" spans="1:7" x14ac:dyDescent="0.25">
      <c r="A303" s="1" t="s">
        <v>426</v>
      </c>
      <c r="B303" s="76">
        <v>27.362166999999999</v>
      </c>
      <c r="C303" s="76">
        <v>27.662127000000002</v>
      </c>
      <c r="D303" s="76">
        <v>27.362166999999999</v>
      </c>
      <c r="E303" s="76">
        <v>27.58165</v>
      </c>
      <c r="F303" s="76">
        <v>13.204554999999999</v>
      </c>
      <c r="G303" s="79">
        <v>132900</v>
      </c>
    </row>
    <row r="304" spans="1:7" x14ac:dyDescent="0.25">
      <c r="A304" s="1" t="s">
        <v>427</v>
      </c>
      <c r="B304" s="76">
        <v>27.406063</v>
      </c>
      <c r="C304" s="76">
        <v>27.435327999999998</v>
      </c>
      <c r="D304" s="76">
        <v>27.054891999999999</v>
      </c>
      <c r="E304" s="76">
        <v>27.069522999999901</v>
      </c>
      <c r="F304" s="76">
        <v>12.959379999999999</v>
      </c>
      <c r="G304" s="79">
        <v>284800</v>
      </c>
    </row>
    <row r="305" spans="1:7" x14ac:dyDescent="0.25">
      <c r="A305" s="1" t="s">
        <v>428</v>
      </c>
      <c r="B305" s="76">
        <v>26.740299</v>
      </c>
      <c r="C305" s="76">
        <v>27.054891999999999</v>
      </c>
      <c r="D305" s="76">
        <v>26.484235999999999</v>
      </c>
      <c r="E305" s="76">
        <v>26.740299</v>
      </c>
      <c r="F305" s="76">
        <v>12.801765</v>
      </c>
      <c r="G305" s="79">
        <v>164500</v>
      </c>
    </row>
    <row r="306" spans="1:7" x14ac:dyDescent="0.25">
      <c r="A306" s="1" t="s">
        <v>429</v>
      </c>
      <c r="B306" s="76">
        <v>26.337914000000001</v>
      </c>
      <c r="C306" s="76">
        <v>26.703717999999999</v>
      </c>
      <c r="D306" s="76">
        <v>26.337914000000001</v>
      </c>
      <c r="E306" s="76">
        <v>26.623240999999901</v>
      </c>
      <c r="F306" s="76">
        <v>12.74572</v>
      </c>
      <c r="G306" s="79">
        <v>2934300</v>
      </c>
    </row>
    <row r="307" spans="1:7" x14ac:dyDescent="0.25">
      <c r="A307" s="1" t="s">
        <v>430</v>
      </c>
      <c r="B307" s="76">
        <v>26.630558000000001</v>
      </c>
      <c r="C307" s="76">
        <v>27.208528999999999</v>
      </c>
      <c r="D307" s="76">
        <v>26.593976999999999</v>
      </c>
      <c r="E307" s="76">
        <v>27.106103999999998</v>
      </c>
      <c r="F307" s="76">
        <v>12.976888000000001</v>
      </c>
      <c r="G307" s="79">
        <v>2705900</v>
      </c>
    </row>
    <row r="308" spans="1:7" x14ac:dyDescent="0.25">
      <c r="A308" s="1" t="s">
        <v>431</v>
      </c>
      <c r="B308" s="76">
        <v>27.106103999999998</v>
      </c>
      <c r="C308" s="76">
        <v>27.6913909999999</v>
      </c>
      <c r="D308" s="76">
        <v>27.032941999999998</v>
      </c>
      <c r="E308" s="76">
        <v>27.047574999999998</v>
      </c>
      <c r="F308" s="76">
        <v>12.948871</v>
      </c>
      <c r="G308" s="79">
        <v>153400</v>
      </c>
    </row>
    <row r="309" spans="1:7" x14ac:dyDescent="0.25">
      <c r="A309" s="1" t="s">
        <v>432</v>
      </c>
      <c r="B309" s="76">
        <v>27.054891999999999</v>
      </c>
      <c r="C309" s="76">
        <v>27.215845000000002</v>
      </c>
      <c r="D309" s="76">
        <v>26.337914000000001</v>
      </c>
      <c r="E309" s="76">
        <v>26.389127999999999</v>
      </c>
      <c r="F309" s="76">
        <v>12.633639000000001</v>
      </c>
      <c r="G309" s="79">
        <v>300600</v>
      </c>
    </row>
    <row r="310" spans="1:7" x14ac:dyDescent="0.25">
      <c r="A310" s="1" t="s">
        <v>433</v>
      </c>
      <c r="B310" s="76">
        <v>26.411076000000001</v>
      </c>
      <c r="C310" s="76">
        <v>26.484235999999999</v>
      </c>
      <c r="D310" s="76">
        <v>25.533144</v>
      </c>
      <c r="E310" s="76">
        <v>25.972110999999899</v>
      </c>
      <c r="F310" s="76">
        <v>12.4339979999999</v>
      </c>
      <c r="G310" s="79">
        <v>207600</v>
      </c>
    </row>
    <row r="311" spans="1:7" x14ac:dyDescent="0.25">
      <c r="A311" s="1" t="s">
        <v>434</v>
      </c>
      <c r="B311" s="76">
        <v>25.972110999999899</v>
      </c>
      <c r="C311" s="76">
        <v>26.630558000000001</v>
      </c>
      <c r="D311" s="76">
        <v>25.789207000000001</v>
      </c>
      <c r="E311" s="76">
        <v>25.825787999999999</v>
      </c>
      <c r="F311" s="76">
        <v>12.363944999999999</v>
      </c>
      <c r="G311" s="79">
        <v>278000</v>
      </c>
    </row>
    <row r="312" spans="1:7" x14ac:dyDescent="0.25">
      <c r="A312" s="1" t="s">
        <v>435</v>
      </c>
      <c r="B312" s="76">
        <v>25.789207000000001</v>
      </c>
      <c r="C312" s="76">
        <v>26.557397999999999</v>
      </c>
      <c r="D312" s="76">
        <v>25.789207000000001</v>
      </c>
      <c r="E312" s="76">
        <v>26.557397999999999</v>
      </c>
      <c r="F312" s="76">
        <v>12.714202999999999</v>
      </c>
      <c r="G312" s="79">
        <v>331400</v>
      </c>
    </row>
    <row r="313" spans="1:7" x14ac:dyDescent="0.25">
      <c r="A313" s="1" t="s">
        <v>436</v>
      </c>
      <c r="B313" s="76">
        <v>26.411076000000001</v>
      </c>
      <c r="C313" s="76">
        <v>26.557397999999999</v>
      </c>
      <c r="D313" s="76">
        <v>25.972110999999899</v>
      </c>
      <c r="E313" s="76">
        <v>26.520816999999901</v>
      </c>
      <c r="F313" s="76">
        <v>12.696692000000001</v>
      </c>
      <c r="G313" s="79">
        <v>139900</v>
      </c>
    </row>
    <row r="314" spans="1:7" x14ac:dyDescent="0.25">
      <c r="A314" s="1" t="s">
        <v>437</v>
      </c>
      <c r="B314" s="76">
        <v>26.447654999999902</v>
      </c>
      <c r="C314" s="76">
        <v>26.447654999999902</v>
      </c>
      <c r="D314" s="76">
        <v>25.862369999999999</v>
      </c>
      <c r="E314" s="76">
        <v>25.913582000000002</v>
      </c>
      <c r="F314" s="76">
        <v>12.405977</v>
      </c>
      <c r="G314" s="79">
        <v>217100</v>
      </c>
    </row>
    <row r="315" spans="1:7" x14ac:dyDescent="0.25">
      <c r="A315" s="1" t="s">
        <v>438</v>
      </c>
      <c r="B315" s="76">
        <v>25.93553</v>
      </c>
      <c r="C315" s="76">
        <v>26.337914000000001</v>
      </c>
      <c r="D315" s="76">
        <v>25.869683999999999</v>
      </c>
      <c r="E315" s="76">
        <v>26.228171999999901</v>
      </c>
      <c r="F315" s="76">
        <v>12.556585</v>
      </c>
      <c r="G315" s="79">
        <v>229600</v>
      </c>
    </row>
    <row r="316" spans="1:7" x14ac:dyDescent="0.25">
      <c r="A316" s="1" t="s">
        <v>439</v>
      </c>
      <c r="B316" s="76">
        <v>26.228171999999901</v>
      </c>
      <c r="C316" s="76">
        <v>26.703717999999999</v>
      </c>
      <c r="D316" s="76">
        <v>26.206223999999999</v>
      </c>
      <c r="E316" s="76">
        <v>26.213540999999999</v>
      </c>
      <c r="F316" s="76">
        <v>12.549581999999999</v>
      </c>
      <c r="G316" s="79">
        <v>236400</v>
      </c>
    </row>
    <row r="317" spans="1:7" x14ac:dyDescent="0.25">
      <c r="A317" s="1" t="s">
        <v>440</v>
      </c>
      <c r="B317" s="76">
        <v>26.506184000000001</v>
      </c>
      <c r="C317" s="76">
        <v>26.886621000000002</v>
      </c>
      <c r="D317" s="76">
        <v>26.506184000000001</v>
      </c>
      <c r="E317" s="76">
        <v>26.85004</v>
      </c>
      <c r="F317" s="76">
        <v>12.854298999999999</v>
      </c>
      <c r="G317" s="79">
        <v>282900</v>
      </c>
    </row>
    <row r="318" spans="1:7" x14ac:dyDescent="0.25">
      <c r="A318" s="1" t="s">
        <v>441</v>
      </c>
      <c r="B318" s="76">
        <v>26.776879999999998</v>
      </c>
      <c r="C318" s="76">
        <v>26.798828</v>
      </c>
      <c r="D318" s="76">
        <v>26.074535000000001</v>
      </c>
      <c r="E318" s="76">
        <v>26.118431000000001</v>
      </c>
      <c r="F318" s="76">
        <v>12.504047999999999</v>
      </c>
      <c r="G318" s="79">
        <v>117000</v>
      </c>
    </row>
    <row r="319" spans="1:7" x14ac:dyDescent="0.25">
      <c r="A319" s="1" t="s">
        <v>442</v>
      </c>
      <c r="B319" s="76">
        <v>26.264752999999999</v>
      </c>
      <c r="C319" s="76">
        <v>26.513500000000001</v>
      </c>
      <c r="D319" s="76">
        <v>26.081851999999898</v>
      </c>
      <c r="E319" s="76">
        <v>26.213540999999999</v>
      </c>
      <c r="F319" s="76">
        <v>12.549581999999999</v>
      </c>
      <c r="G319" s="79">
        <v>133300</v>
      </c>
    </row>
    <row r="320" spans="1:7" x14ac:dyDescent="0.25">
      <c r="A320" s="1" t="s">
        <v>443</v>
      </c>
      <c r="B320" s="76">
        <v>26.191593000000001</v>
      </c>
      <c r="C320" s="76">
        <v>26.740299</v>
      </c>
      <c r="D320" s="76">
        <v>26.191593000000001</v>
      </c>
      <c r="E320" s="76">
        <v>26.623240999999901</v>
      </c>
      <c r="F320" s="76">
        <v>12.74572</v>
      </c>
      <c r="G320" s="79">
        <v>135500</v>
      </c>
    </row>
    <row r="321" spans="1:7" x14ac:dyDescent="0.25">
      <c r="A321" s="1" t="s">
        <v>444</v>
      </c>
      <c r="B321" s="76">
        <v>26.667138999999999</v>
      </c>
      <c r="C321" s="76">
        <v>26.667138999999999</v>
      </c>
      <c r="D321" s="76">
        <v>26.111115999999999</v>
      </c>
      <c r="E321" s="76">
        <v>26.155011999999999</v>
      </c>
      <c r="F321" s="76">
        <v>12.521563</v>
      </c>
      <c r="G321" s="79">
        <v>90700</v>
      </c>
    </row>
    <row r="322" spans="1:7" x14ac:dyDescent="0.25">
      <c r="A322" s="1" t="s">
        <v>445</v>
      </c>
      <c r="B322" s="76">
        <v>26.155011999999999</v>
      </c>
      <c r="C322" s="76">
        <v>26.484235999999999</v>
      </c>
      <c r="D322" s="76">
        <v>26.030638</v>
      </c>
      <c r="E322" s="76">
        <v>26.045271</v>
      </c>
      <c r="F322" s="76">
        <v>12.469018999999999</v>
      </c>
      <c r="G322" s="79">
        <v>88900</v>
      </c>
    </row>
    <row r="323" spans="1:7" x14ac:dyDescent="0.25">
      <c r="A323" s="1" t="s">
        <v>446</v>
      </c>
      <c r="B323" s="76">
        <v>26.045271</v>
      </c>
      <c r="C323" s="76">
        <v>26.191593000000001</v>
      </c>
      <c r="D323" s="76">
        <v>25.891632000000001</v>
      </c>
      <c r="E323" s="76">
        <v>25.913582000000002</v>
      </c>
      <c r="F323" s="76">
        <v>12.405977</v>
      </c>
      <c r="G323" s="79">
        <v>180700</v>
      </c>
    </row>
    <row r="324" spans="1:7" x14ac:dyDescent="0.25">
      <c r="A324" s="1" t="s">
        <v>447</v>
      </c>
      <c r="B324" s="76">
        <v>26.008689999999898</v>
      </c>
      <c r="C324" s="76">
        <v>26.030638</v>
      </c>
      <c r="D324" s="76">
        <v>25.511195999999899</v>
      </c>
      <c r="E324" s="76">
        <v>25.591673</v>
      </c>
      <c r="F324" s="76">
        <v>12.251868</v>
      </c>
      <c r="G324" s="79">
        <v>241700</v>
      </c>
    </row>
    <row r="325" spans="1:7" x14ac:dyDescent="0.25">
      <c r="A325" s="1" t="s">
        <v>448</v>
      </c>
      <c r="B325" s="76">
        <v>25.591673</v>
      </c>
      <c r="C325" s="76">
        <v>25.591673</v>
      </c>
      <c r="D325" s="76">
        <v>25.277082</v>
      </c>
      <c r="E325" s="76">
        <v>25.445353000000001</v>
      </c>
      <c r="F325" s="76">
        <v>12.181816</v>
      </c>
      <c r="G325" s="79">
        <v>252300</v>
      </c>
    </row>
    <row r="326" spans="1:7" x14ac:dyDescent="0.25">
      <c r="A326" s="1" t="s">
        <v>449</v>
      </c>
      <c r="B326" s="76">
        <v>25.445353000000001</v>
      </c>
      <c r="C326" s="76">
        <v>25.606306</v>
      </c>
      <c r="D326" s="76">
        <v>25.284396999999998</v>
      </c>
      <c r="E326" s="76">
        <v>25.284396999999998</v>
      </c>
      <c r="F326" s="76">
        <v>12.104754</v>
      </c>
      <c r="G326" s="79">
        <v>183800</v>
      </c>
    </row>
    <row r="327" spans="1:7" x14ac:dyDescent="0.25">
      <c r="A327" s="1" t="s">
        <v>450</v>
      </c>
      <c r="B327" s="76">
        <v>25.350242999999999</v>
      </c>
      <c r="C327" s="76">
        <v>25.679466000000001</v>
      </c>
      <c r="D327" s="76">
        <v>25.240500999999998</v>
      </c>
      <c r="E327" s="76">
        <v>25.606306</v>
      </c>
      <c r="F327" s="76">
        <v>12.258870999999999</v>
      </c>
      <c r="G327" s="79">
        <v>139700</v>
      </c>
    </row>
    <row r="328" spans="1:7" x14ac:dyDescent="0.25">
      <c r="A328" s="1" t="s">
        <v>451</v>
      </c>
      <c r="B328" s="76">
        <v>25.606306</v>
      </c>
      <c r="C328" s="76">
        <v>25.825787999999999</v>
      </c>
      <c r="D328" s="76">
        <v>25.313662000000001</v>
      </c>
      <c r="E328" s="76">
        <v>25.774576</v>
      </c>
      <c r="F328" s="76">
        <v>12.339428</v>
      </c>
      <c r="G328" s="79">
        <v>443600</v>
      </c>
    </row>
    <row r="329" spans="1:7" x14ac:dyDescent="0.25">
      <c r="A329" s="1" t="s">
        <v>452</v>
      </c>
      <c r="B329" s="76">
        <v>25.774576</v>
      </c>
      <c r="C329" s="76">
        <v>25.825787999999999</v>
      </c>
      <c r="D329" s="76">
        <v>25.606306</v>
      </c>
      <c r="E329" s="76">
        <v>25.789207000000001</v>
      </c>
      <c r="F329" s="76">
        <v>12.3464309999999</v>
      </c>
      <c r="G329" s="79">
        <v>120700</v>
      </c>
    </row>
    <row r="330" spans="1:7" x14ac:dyDescent="0.25">
      <c r="A330" s="1" t="s">
        <v>453</v>
      </c>
      <c r="B330" s="76">
        <v>25.825787999999999</v>
      </c>
      <c r="C330" s="76">
        <v>25.972110999999899</v>
      </c>
      <c r="D330" s="76">
        <v>25.620936999999898</v>
      </c>
      <c r="E330" s="76">
        <v>25.701414</v>
      </c>
      <c r="F330" s="76">
        <v>12.304404</v>
      </c>
      <c r="G330" s="79">
        <v>257200</v>
      </c>
    </row>
    <row r="331" spans="1:7" x14ac:dyDescent="0.25">
      <c r="A331" s="1" t="s">
        <v>454</v>
      </c>
      <c r="B331" s="76">
        <v>25.825787999999999</v>
      </c>
      <c r="C331" s="76">
        <v>25.884316999999999</v>
      </c>
      <c r="D331" s="76">
        <v>25.496565</v>
      </c>
      <c r="E331" s="76">
        <v>25.664835</v>
      </c>
      <c r="F331" s="76">
        <v>12.28689</v>
      </c>
      <c r="G331" s="79">
        <v>144400</v>
      </c>
    </row>
    <row r="332" spans="1:7" x14ac:dyDescent="0.25">
      <c r="A332" s="1" t="s">
        <v>455</v>
      </c>
      <c r="B332" s="76">
        <v>25.664835</v>
      </c>
      <c r="C332" s="76">
        <v>25.825787999999999</v>
      </c>
      <c r="D332" s="76">
        <v>25.489248</v>
      </c>
      <c r="E332" s="76">
        <v>25.679466000000001</v>
      </c>
      <c r="F332" s="76">
        <v>12.293901</v>
      </c>
      <c r="G332" s="79">
        <v>291400</v>
      </c>
    </row>
    <row r="333" spans="1:7" x14ac:dyDescent="0.25">
      <c r="A333" s="1" t="s">
        <v>456</v>
      </c>
      <c r="B333" s="76">
        <v>25.752625999999999</v>
      </c>
      <c r="C333" s="76">
        <v>25.877001</v>
      </c>
      <c r="D333" s="76">
        <v>25.620936999999898</v>
      </c>
      <c r="E333" s="76">
        <v>25.716047</v>
      </c>
      <c r="F333" s="76">
        <v>12.311413999999999</v>
      </c>
      <c r="G333" s="79">
        <v>72600</v>
      </c>
    </row>
    <row r="334" spans="1:7" x14ac:dyDescent="0.25">
      <c r="A334" s="1" t="s">
        <v>457</v>
      </c>
      <c r="B334" s="76">
        <v>25.723364</v>
      </c>
      <c r="C334" s="76">
        <v>26.169643000000001</v>
      </c>
      <c r="D334" s="76">
        <v>25.723364</v>
      </c>
      <c r="E334" s="76">
        <v>26.052588</v>
      </c>
      <c r="F334" s="76">
        <v>12.472528000000001</v>
      </c>
      <c r="G334" s="79">
        <v>248300</v>
      </c>
    </row>
    <row r="335" spans="1:7" x14ac:dyDescent="0.25">
      <c r="A335" s="1" t="s">
        <v>458</v>
      </c>
      <c r="B335" s="76">
        <v>26.374495</v>
      </c>
      <c r="C335" s="76">
        <v>26.85004</v>
      </c>
      <c r="D335" s="76">
        <v>26.250121999999902</v>
      </c>
      <c r="E335" s="76">
        <v>26.740299</v>
      </c>
      <c r="F335" s="76">
        <v>12.801765</v>
      </c>
      <c r="G335" s="79">
        <v>545900</v>
      </c>
    </row>
    <row r="336" spans="1:7" x14ac:dyDescent="0.25">
      <c r="A336" s="1" t="s">
        <v>459</v>
      </c>
      <c r="B336" s="76">
        <v>26.776879999999998</v>
      </c>
      <c r="C336" s="76">
        <v>26.923200999999999</v>
      </c>
      <c r="D336" s="76">
        <v>26.696403999999902</v>
      </c>
      <c r="E336" s="76">
        <v>26.864671999999999</v>
      </c>
      <c r="F336" s="76">
        <v>12.861303999999899</v>
      </c>
      <c r="G336" s="79">
        <v>81300</v>
      </c>
    </row>
    <row r="337" spans="1:7" x14ac:dyDescent="0.25">
      <c r="A337" s="1" t="s">
        <v>460</v>
      </c>
      <c r="B337" s="76">
        <v>26.871988000000002</v>
      </c>
      <c r="C337" s="76">
        <v>27.040258000000001</v>
      </c>
      <c r="D337" s="76">
        <v>26.740299</v>
      </c>
      <c r="E337" s="76">
        <v>27.018310999999901</v>
      </c>
      <c r="F337" s="76">
        <v>12.934858999999999</v>
      </c>
      <c r="G337" s="79">
        <v>169000</v>
      </c>
    </row>
    <row r="338" spans="1:7" x14ac:dyDescent="0.25">
      <c r="A338" s="1" t="s">
        <v>461</v>
      </c>
      <c r="B338" s="76">
        <v>27.032941999999998</v>
      </c>
      <c r="C338" s="76">
        <v>27.069522999999901</v>
      </c>
      <c r="D338" s="76">
        <v>26.886621000000002</v>
      </c>
      <c r="E338" s="76">
        <v>27.069522999999901</v>
      </c>
      <c r="F338" s="76">
        <v>12.959379999999999</v>
      </c>
      <c r="G338" s="79">
        <v>269700</v>
      </c>
    </row>
    <row r="339" spans="1:7" x14ac:dyDescent="0.25">
      <c r="A339" s="1" t="s">
        <v>462</v>
      </c>
      <c r="B339" s="76">
        <v>26.842724</v>
      </c>
      <c r="C339" s="76">
        <v>26.996362999999999</v>
      </c>
      <c r="D339" s="76">
        <v>26.667138999999999</v>
      </c>
      <c r="E339" s="76">
        <v>26.893936</v>
      </c>
      <c r="F339" s="76">
        <v>13.0624229999999</v>
      </c>
      <c r="G339" s="79">
        <v>517900</v>
      </c>
    </row>
    <row r="340" spans="1:7" x14ac:dyDescent="0.25">
      <c r="A340" s="1" t="s">
        <v>463</v>
      </c>
      <c r="B340" s="76">
        <v>26.703717999999999</v>
      </c>
      <c r="C340" s="76">
        <v>26.835408999999999</v>
      </c>
      <c r="D340" s="76">
        <v>26.396441999999901</v>
      </c>
      <c r="E340" s="76">
        <v>26.732983000000001</v>
      </c>
      <c r="F340" s="76">
        <v>12.984254</v>
      </c>
      <c r="G340" s="79">
        <v>217700</v>
      </c>
    </row>
    <row r="341" spans="1:7" x14ac:dyDescent="0.25">
      <c r="A341" s="1" t="s">
        <v>464</v>
      </c>
      <c r="B341" s="76">
        <v>26.630558000000001</v>
      </c>
      <c r="C341" s="76">
        <v>26.769563999999999</v>
      </c>
      <c r="D341" s="76">
        <v>26.542764999999999</v>
      </c>
      <c r="E341" s="76">
        <v>26.630558000000001</v>
      </c>
      <c r="F341" s="76">
        <v>12.934505</v>
      </c>
      <c r="G341" s="79">
        <v>246400</v>
      </c>
    </row>
    <row r="342" spans="1:7" x14ac:dyDescent="0.25">
      <c r="A342" s="1" t="s">
        <v>465</v>
      </c>
      <c r="B342" s="76">
        <v>26.667138999999999</v>
      </c>
      <c r="C342" s="76">
        <v>26.667138999999999</v>
      </c>
      <c r="D342" s="76">
        <v>26.264752999999999</v>
      </c>
      <c r="E342" s="76">
        <v>26.513500000000001</v>
      </c>
      <c r="F342" s="76">
        <v>12.877647999999899</v>
      </c>
      <c r="G342" s="79">
        <v>263600</v>
      </c>
    </row>
    <row r="343" spans="1:7" x14ac:dyDescent="0.25">
      <c r="A343" s="1" t="s">
        <v>466</v>
      </c>
      <c r="B343" s="76">
        <v>26.447654999999902</v>
      </c>
      <c r="C343" s="76">
        <v>26.447654999999902</v>
      </c>
      <c r="D343" s="76">
        <v>26.279387</v>
      </c>
      <c r="E343" s="76">
        <v>26.359863000000001</v>
      </c>
      <c r="F343" s="76">
        <v>12.803025</v>
      </c>
      <c r="G343" s="79">
        <v>105000</v>
      </c>
    </row>
    <row r="344" spans="1:7" x14ac:dyDescent="0.25">
      <c r="A344" s="1" t="s">
        <v>467</v>
      </c>
      <c r="B344" s="76">
        <v>26.374495</v>
      </c>
      <c r="C344" s="76">
        <v>26.447654999999902</v>
      </c>
      <c r="D344" s="76">
        <v>26.337914000000001</v>
      </c>
      <c r="E344" s="76">
        <v>26.381810999999999</v>
      </c>
      <c r="F344" s="76">
        <v>12.813687</v>
      </c>
      <c r="G344" s="79">
        <v>69300</v>
      </c>
    </row>
    <row r="345" spans="1:7" x14ac:dyDescent="0.25">
      <c r="A345" s="1" t="s">
        <v>468</v>
      </c>
      <c r="B345" s="76">
        <v>26.337914000000001</v>
      </c>
      <c r="C345" s="76">
        <v>26.374495</v>
      </c>
      <c r="D345" s="76">
        <v>26.228171999999901</v>
      </c>
      <c r="E345" s="76">
        <v>26.308648999999999</v>
      </c>
      <c r="F345" s="76">
        <v>12.778152</v>
      </c>
      <c r="G345" s="79">
        <v>57100</v>
      </c>
    </row>
    <row r="346" spans="1:7" x14ac:dyDescent="0.25">
      <c r="A346" s="1" t="s">
        <v>469</v>
      </c>
      <c r="B346" s="76">
        <v>26.323281999999999</v>
      </c>
      <c r="C346" s="76">
        <v>26.337914000000001</v>
      </c>
      <c r="D346" s="76">
        <v>26.162329</v>
      </c>
      <c r="E346" s="76">
        <v>26.337914000000001</v>
      </c>
      <c r="F346" s="76">
        <v>12.792367</v>
      </c>
      <c r="G346" s="79">
        <v>94900</v>
      </c>
    </row>
    <row r="347" spans="1:7" x14ac:dyDescent="0.25">
      <c r="A347" s="1" t="s">
        <v>470</v>
      </c>
      <c r="B347" s="76">
        <v>26.337914000000001</v>
      </c>
      <c r="C347" s="76">
        <v>26.513500000000001</v>
      </c>
      <c r="D347" s="76">
        <v>26.257436999999999</v>
      </c>
      <c r="E347" s="76">
        <v>26.411076000000001</v>
      </c>
      <c r="F347" s="76">
        <v>12.827897999999999</v>
      </c>
      <c r="G347" s="79">
        <v>102200</v>
      </c>
    </row>
    <row r="348" spans="1:7" x14ac:dyDescent="0.25">
      <c r="A348" s="1" t="s">
        <v>471</v>
      </c>
      <c r="B348" s="76">
        <v>26.411076000000001</v>
      </c>
      <c r="C348" s="76">
        <v>26.754929999999899</v>
      </c>
      <c r="D348" s="76">
        <v>26.411076000000001</v>
      </c>
      <c r="E348" s="76">
        <v>26.754929999999899</v>
      </c>
      <c r="F348" s="76">
        <v>12.994904999999999</v>
      </c>
      <c r="G348" s="79">
        <v>207200</v>
      </c>
    </row>
    <row r="349" spans="1:7" x14ac:dyDescent="0.25">
      <c r="A349" s="1" t="s">
        <v>472</v>
      </c>
      <c r="B349" s="76">
        <v>26.776879999999998</v>
      </c>
      <c r="C349" s="76">
        <v>26.85004</v>
      </c>
      <c r="D349" s="76">
        <v>26.608609999999999</v>
      </c>
      <c r="E349" s="76">
        <v>26.798828</v>
      </c>
      <c r="F349" s="76">
        <v>13.016237</v>
      </c>
      <c r="G349" s="79">
        <v>127300</v>
      </c>
    </row>
    <row r="350" spans="1:7" x14ac:dyDescent="0.25">
      <c r="A350" s="1" t="s">
        <v>473</v>
      </c>
      <c r="B350" s="76">
        <v>26.776879999999998</v>
      </c>
      <c r="C350" s="76">
        <v>26.776879999999998</v>
      </c>
      <c r="D350" s="76">
        <v>26.542764999999999</v>
      </c>
      <c r="E350" s="76">
        <v>26.652505999999999</v>
      </c>
      <c r="F350" s="76">
        <v>12.945159</v>
      </c>
      <c r="G350" s="79">
        <v>243900</v>
      </c>
    </row>
    <row r="351" spans="1:7" x14ac:dyDescent="0.25">
      <c r="A351" s="1" t="s">
        <v>474</v>
      </c>
      <c r="B351" s="76">
        <v>26.593976999999999</v>
      </c>
      <c r="C351" s="76">
        <v>26.630558000000001</v>
      </c>
      <c r="D351" s="76">
        <v>26.403759000000001</v>
      </c>
      <c r="E351" s="76">
        <v>26.513500000000001</v>
      </c>
      <c r="F351" s="76">
        <v>12.877647999999899</v>
      </c>
      <c r="G351" s="79">
        <v>251400</v>
      </c>
    </row>
    <row r="352" spans="1:7" x14ac:dyDescent="0.25">
      <c r="A352" s="1" t="s">
        <v>475</v>
      </c>
      <c r="B352" s="76">
        <v>26.586659999999998</v>
      </c>
      <c r="C352" s="76">
        <v>27.069522999999901</v>
      </c>
      <c r="D352" s="76">
        <v>26.550080999999999</v>
      </c>
      <c r="E352" s="76">
        <v>26.85004</v>
      </c>
      <c r="F352" s="76">
        <v>13.041111000000001</v>
      </c>
      <c r="G352" s="79">
        <v>334500</v>
      </c>
    </row>
    <row r="353" spans="1:7" x14ac:dyDescent="0.25">
      <c r="A353" s="1" t="s">
        <v>476</v>
      </c>
      <c r="B353" s="76">
        <v>26.879304999999999</v>
      </c>
      <c r="C353" s="76">
        <v>27.325585999999898</v>
      </c>
      <c r="D353" s="76">
        <v>26.747615999999901</v>
      </c>
      <c r="E353" s="76">
        <v>27.201211999999899</v>
      </c>
      <c r="F353" s="76">
        <v>13.211679</v>
      </c>
      <c r="G353" s="79">
        <v>226900</v>
      </c>
    </row>
    <row r="354" spans="1:7" x14ac:dyDescent="0.25">
      <c r="A354" s="1" t="s">
        <v>477</v>
      </c>
      <c r="B354" s="76">
        <v>27.201211999999899</v>
      </c>
      <c r="C354" s="76">
        <v>27.479222999999902</v>
      </c>
      <c r="D354" s="76">
        <v>27.142683000000002</v>
      </c>
      <c r="E354" s="76">
        <v>27.457274999999999</v>
      </c>
      <c r="F354" s="76">
        <v>13.336043</v>
      </c>
      <c r="G354" s="79">
        <v>319300</v>
      </c>
    </row>
    <row r="355" spans="1:7" x14ac:dyDescent="0.25">
      <c r="A355" s="1" t="s">
        <v>478</v>
      </c>
      <c r="B355" s="76">
        <v>27.435327999999998</v>
      </c>
      <c r="C355" s="76">
        <v>27.435327999999998</v>
      </c>
      <c r="D355" s="76">
        <v>27.069522999999901</v>
      </c>
      <c r="E355" s="76">
        <v>27.252426</v>
      </c>
      <c r="F355" s="76">
        <v>13.236545999999899</v>
      </c>
      <c r="G355" s="79">
        <v>294000</v>
      </c>
    </row>
    <row r="356" spans="1:7" x14ac:dyDescent="0.25">
      <c r="A356" s="1" t="s">
        <v>479</v>
      </c>
      <c r="B356" s="76">
        <v>27.325585999999898</v>
      </c>
      <c r="C356" s="76">
        <v>27.6913909999999</v>
      </c>
      <c r="D356" s="76">
        <v>27.252426</v>
      </c>
      <c r="E356" s="76">
        <v>27.552384999999902</v>
      </c>
      <c r="F356" s="76">
        <v>13.3822299999999</v>
      </c>
      <c r="G356" s="79">
        <v>181500</v>
      </c>
    </row>
    <row r="357" spans="1:7" x14ac:dyDescent="0.25">
      <c r="A357" s="1" t="s">
        <v>480</v>
      </c>
      <c r="B357" s="76">
        <v>27.552384999999902</v>
      </c>
      <c r="C357" s="76">
        <v>27.552384999999902</v>
      </c>
      <c r="D357" s="76">
        <v>27.362166999999999</v>
      </c>
      <c r="E357" s="76">
        <v>27.362166999999999</v>
      </c>
      <c r="F357" s="76">
        <v>13.289847</v>
      </c>
      <c r="G357" s="79">
        <v>111700</v>
      </c>
    </row>
    <row r="358" spans="1:7" x14ac:dyDescent="0.25">
      <c r="A358" s="1" t="s">
        <v>481</v>
      </c>
      <c r="B358" s="76">
        <v>27.362166999999999</v>
      </c>
      <c r="C358" s="76">
        <v>27.574332999999999</v>
      </c>
      <c r="D358" s="76">
        <v>27.354851</v>
      </c>
      <c r="E358" s="76">
        <v>27.435327999999998</v>
      </c>
      <c r="F358" s="76">
        <v>13.325378000000001</v>
      </c>
      <c r="G358" s="79">
        <v>259800</v>
      </c>
    </row>
    <row r="359" spans="1:7" x14ac:dyDescent="0.25">
      <c r="A359" s="1" t="s">
        <v>482</v>
      </c>
      <c r="B359" s="76">
        <v>27.435327999999998</v>
      </c>
      <c r="C359" s="76">
        <v>27.435327999999998</v>
      </c>
      <c r="D359" s="76">
        <v>27.398745999999999</v>
      </c>
      <c r="E359" s="76">
        <v>27.435327999999998</v>
      </c>
      <c r="F359" s="76">
        <v>13.325378000000001</v>
      </c>
      <c r="G359" s="79">
        <v>95600</v>
      </c>
    </row>
    <row r="360" spans="1:7" x14ac:dyDescent="0.25">
      <c r="A360" s="1" t="s">
        <v>483</v>
      </c>
      <c r="B360" s="76">
        <v>27.420694000000001</v>
      </c>
      <c r="C360" s="76">
        <v>27.801131999999999</v>
      </c>
      <c r="D360" s="76">
        <v>27.325585999999898</v>
      </c>
      <c r="E360" s="76">
        <v>27.801131999999999</v>
      </c>
      <c r="F360" s="76">
        <v>13.5030559999999</v>
      </c>
      <c r="G360" s="79">
        <v>418000</v>
      </c>
    </row>
    <row r="361" spans="1:7" x14ac:dyDescent="0.25">
      <c r="A361" s="1" t="s">
        <v>484</v>
      </c>
      <c r="B361" s="76">
        <v>27.7938159999999</v>
      </c>
      <c r="C361" s="76">
        <v>28.166937000000001</v>
      </c>
      <c r="D361" s="76">
        <v>27.7938159999999</v>
      </c>
      <c r="E361" s="76">
        <v>28.137671999999998</v>
      </c>
      <c r="F361" s="76">
        <v>13.666503000000001</v>
      </c>
      <c r="G361" s="79">
        <v>165000</v>
      </c>
    </row>
    <row r="362" spans="1:7" x14ac:dyDescent="0.25">
      <c r="A362" s="1" t="s">
        <v>485</v>
      </c>
      <c r="B362" s="76">
        <v>28.137671999999998</v>
      </c>
      <c r="C362" s="76">
        <v>28.269361</v>
      </c>
      <c r="D362" s="76">
        <v>28.137671999999998</v>
      </c>
      <c r="E362" s="76">
        <v>28.218149</v>
      </c>
      <c r="F362" s="76">
        <v>13.705598</v>
      </c>
      <c r="G362" s="79">
        <v>75600</v>
      </c>
    </row>
    <row r="363" spans="1:7" x14ac:dyDescent="0.25">
      <c r="A363" s="1" t="s">
        <v>486</v>
      </c>
      <c r="B363" s="76">
        <v>28.188884999999999</v>
      </c>
      <c r="C363" s="76">
        <v>28.240096999999999</v>
      </c>
      <c r="D363" s="76">
        <v>28.130355999999999</v>
      </c>
      <c r="E363" s="76">
        <v>28.240096999999999</v>
      </c>
      <c r="F363" s="76">
        <v>13.716260999999999</v>
      </c>
      <c r="G363" s="79">
        <v>143400</v>
      </c>
    </row>
    <row r="364" spans="1:7" x14ac:dyDescent="0.25">
      <c r="A364" s="1" t="s">
        <v>487</v>
      </c>
      <c r="B364" s="76">
        <v>28.203515999999901</v>
      </c>
      <c r="C364" s="76">
        <v>28.240096999999999</v>
      </c>
      <c r="D364" s="76">
        <v>28.020614999999999</v>
      </c>
      <c r="E364" s="76">
        <v>28.020614999999999</v>
      </c>
      <c r="F364" s="76">
        <v>13.609654999999901</v>
      </c>
      <c r="G364" s="79">
        <v>104800</v>
      </c>
    </row>
    <row r="365" spans="1:7" x14ac:dyDescent="0.25">
      <c r="A365" s="1" t="s">
        <v>488</v>
      </c>
      <c r="B365" s="76">
        <v>27.947453999999901</v>
      </c>
      <c r="C365" s="76">
        <v>28.071826999999999</v>
      </c>
      <c r="D365" s="76">
        <v>27.7938159999999</v>
      </c>
      <c r="E365" s="76">
        <v>28.035246000000001</v>
      </c>
      <c r="F365" s="76">
        <v>13.616759999999999</v>
      </c>
      <c r="G365" s="79">
        <v>243700</v>
      </c>
    </row>
    <row r="366" spans="1:7" x14ac:dyDescent="0.25">
      <c r="A366" s="1" t="s">
        <v>489</v>
      </c>
      <c r="B366" s="76">
        <v>28.035246000000001</v>
      </c>
      <c r="C366" s="76">
        <v>28.386419</v>
      </c>
      <c r="D366" s="76">
        <v>27.984034000000001</v>
      </c>
      <c r="E366" s="76">
        <v>28.247413999999999</v>
      </c>
      <c r="F366" s="76">
        <v>13.719810999999901</v>
      </c>
      <c r="G366" s="79">
        <v>496500</v>
      </c>
    </row>
    <row r="367" spans="1:7" x14ac:dyDescent="0.25">
      <c r="A367" s="1" t="s">
        <v>490</v>
      </c>
      <c r="B367" s="76">
        <v>28.313257</v>
      </c>
      <c r="C367" s="76">
        <v>28.313257</v>
      </c>
      <c r="D367" s="76">
        <v>28.020614999999999</v>
      </c>
      <c r="E367" s="76">
        <v>28.144987</v>
      </c>
      <c r="F367" s="76">
        <v>13.670063000000001</v>
      </c>
      <c r="G367" s="79">
        <v>261400</v>
      </c>
    </row>
    <row r="368" spans="1:7" x14ac:dyDescent="0.25">
      <c r="A368" s="1" t="s">
        <v>491</v>
      </c>
      <c r="B368" s="76">
        <v>28.166937000000001</v>
      </c>
      <c r="C368" s="76">
        <v>28.166937000000001</v>
      </c>
      <c r="D368" s="76">
        <v>27.866976000000001</v>
      </c>
      <c r="E368" s="76">
        <v>28.049878999999901</v>
      </c>
      <c r="F368" s="76">
        <v>13.62387</v>
      </c>
      <c r="G368" s="79">
        <v>240000</v>
      </c>
    </row>
    <row r="369" spans="1:7" x14ac:dyDescent="0.25">
      <c r="A369" s="1" t="s">
        <v>492</v>
      </c>
      <c r="B369" s="76">
        <v>27.940138000000001</v>
      </c>
      <c r="C369" s="76">
        <v>28.152303999999901</v>
      </c>
      <c r="D369" s="76">
        <v>27.910872999999999</v>
      </c>
      <c r="E369" s="76">
        <v>28.013297999999999</v>
      </c>
      <c r="F369" s="76">
        <v>13.606102999999999</v>
      </c>
      <c r="G369" s="79">
        <v>2769400</v>
      </c>
    </row>
    <row r="370" spans="1:7" x14ac:dyDescent="0.25">
      <c r="A370" s="1" t="s">
        <v>493</v>
      </c>
      <c r="B370" s="76">
        <v>27.991350000000001</v>
      </c>
      <c r="C370" s="76">
        <v>28.898544000000001</v>
      </c>
      <c r="D370" s="76">
        <v>27.991350000000001</v>
      </c>
      <c r="E370" s="76">
        <v>28.766855</v>
      </c>
      <c r="F370" s="76">
        <v>13.972106</v>
      </c>
      <c r="G370" s="79">
        <v>2943800</v>
      </c>
    </row>
    <row r="371" spans="1:7" x14ac:dyDescent="0.25">
      <c r="A371" s="1" t="s">
        <v>494</v>
      </c>
      <c r="B371" s="76">
        <v>28.971706000000001</v>
      </c>
      <c r="C371" s="76">
        <v>28.971706000000001</v>
      </c>
      <c r="D371" s="76">
        <v>28.752223999999998</v>
      </c>
      <c r="E371" s="76">
        <v>28.847332000000002</v>
      </c>
      <c r="F371" s="76">
        <v>14.011192999999899</v>
      </c>
      <c r="G371" s="79">
        <v>226000</v>
      </c>
    </row>
    <row r="372" spans="1:7" x14ac:dyDescent="0.25">
      <c r="A372" s="1" t="s">
        <v>495</v>
      </c>
      <c r="B372" s="76">
        <v>28.898544000000001</v>
      </c>
      <c r="C372" s="76">
        <v>29.191189000000001</v>
      </c>
      <c r="D372" s="76">
        <v>28.825384</v>
      </c>
      <c r="E372" s="76">
        <v>29.008285999999998</v>
      </c>
      <c r="F372" s="76">
        <v>14.089367999999901</v>
      </c>
      <c r="G372" s="79">
        <v>237100</v>
      </c>
    </row>
    <row r="373" spans="1:7" x14ac:dyDescent="0.25">
      <c r="A373" s="1" t="s">
        <v>496</v>
      </c>
      <c r="B373" s="76">
        <v>29.044867</v>
      </c>
      <c r="C373" s="76">
        <v>29.227767999999902</v>
      </c>
      <c r="D373" s="76">
        <v>28.971706000000001</v>
      </c>
      <c r="E373" s="76">
        <v>29.081447999999899</v>
      </c>
      <c r="F373" s="76">
        <v>14.124904999999901</v>
      </c>
      <c r="G373" s="79">
        <v>195900</v>
      </c>
    </row>
    <row r="374" spans="1:7" x14ac:dyDescent="0.25">
      <c r="A374" s="1" t="s">
        <v>497</v>
      </c>
      <c r="B374" s="76">
        <v>29.081447999999899</v>
      </c>
      <c r="C374" s="76">
        <v>29.118027000000001</v>
      </c>
      <c r="D374" s="76">
        <v>28.861965000000001</v>
      </c>
      <c r="E374" s="76">
        <v>28.89123</v>
      </c>
      <c r="F374" s="76">
        <v>14.032513</v>
      </c>
      <c r="G374" s="79">
        <v>256600</v>
      </c>
    </row>
    <row r="375" spans="1:7" x14ac:dyDescent="0.25">
      <c r="A375" s="1" t="s">
        <v>498</v>
      </c>
      <c r="B375" s="76">
        <v>28.898544000000001</v>
      </c>
      <c r="C375" s="76">
        <v>29.008285999999998</v>
      </c>
      <c r="D375" s="76">
        <v>28.744907000000001</v>
      </c>
      <c r="E375" s="76">
        <v>28.774171999999901</v>
      </c>
      <c r="F375" s="76">
        <v>13.975657999999999</v>
      </c>
      <c r="G375" s="79">
        <v>86500</v>
      </c>
    </row>
    <row r="376" spans="1:7" x14ac:dyDescent="0.25">
      <c r="A376" s="1" t="s">
        <v>499</v>
      </c>
      <c r="B376" s="76">
        <v>28.898544000000001</v>
      </c>
      <c r="C376" s="76">
        <v>29.008285999999998</v>
      </c>
      <c r="D376" s="76">
        <v>28.774171999999901</v>
      </c>
      <c r="E376" s="76">
        <v>28.883913</v>
      </c>
      <c r="F376" s="76">
        <v>14.028962</v>
      </c>
      <c r="G376" s="79">
        <v>83600</v>
      </c>
    </row>
    <row r="377" spans="1:7" x14ac:dyDescent="0.25">
      <c r="A377" s="1" t="s">
        <v>500</v>
      </c>
      <c r="B377" s="76">
        <v>28.840015000000001</v>
      </c>
      <c r="C377" s="76">
        <v>28.89123</v>
      </c>
      <c r="D377" s="76">
        <v>28.53274</v>
      </c>
      <c r="E377" s="76">
        <v>28.722959999999901</v>
      </c>
      <c r="F377" s="76">
        <v>13.950784000000001</v>
      </c>
      <c r="G377" s="79">
        <v>196100</v>
      </c>
    </row>
    <row r="378" spans="1:7" x14ac:dyDescent="0.25">
      <c r="A378" s="1" t="s">
        <v>501</v>
      </c>
      <c r="B378" s="76">
        <v>28.715643</v>
      </c>
      <c r="C378" s="76">
        <v>29.132659999999898</v>
      </c>
      <c r="D378" s="76">
        <v>28.715643</v>
      </c>
      <c r="E378" s="76">
        <v>28.825384</v>
      </c>
      <c r="F378" s="76">
        <v>14.000529999999999</v>
      </c>
      <c r="G378" s="79">
        <v>294300</v>
      </c>
    </row>
    <row r="379" spans="1:7" x14ac:dyDescent="0.25">
      <c r="A379" s="1" t="s">
        <v>502</v>
      </c>
      <c r="B379" s="76">
        <v>28.825384</v>
      </c>
      <c r="C379" s="76">
        <v>29.213137</v>
      </c>
      <c r="D379" s="76">
        <v>28.459578999999898</v>
      </c>
      <c r="E379" s="76">
        <v>28.562003999999899</v>
      </c>
      <c r="F379" s="76">
        <v>13.872607</v>
      </c>
      <c r="G379" s="79">
        <v>435800</v>
      </c>
    </row>
    <row r="380" spans="1:7" x14ac:dyDescent="0.25">
      <c r="A380" s="1" t="s">
        <v>503</v>
      </c>
      <c r="B380" s="76">
        <v>28.459578999999898</v>
      </c>
      <c r="C380" s="76">
        <v>28.935124999999999</v>
      </c>
      <c r="D380" s="76">
        <v>28.313257</v>
      </c>
      <c r="E380" s="76">
        <v>28.935124999999999</v>
      </c>
      <c r="F380" s="76">
        <v>14.053835999999899</v>
      </c>
      <c r="G380" s="79">
        <v>228700</v>
      </c>
    </row>
    <row r="381" spans="1:7" x14ac:dyDescent="0.25">
      <c r="A381" s="1" t="s">
        <v>504</v>
      </c>
      <c r="B381" s="76">
        <v>29.008285999999998</v>
      </c>
      <c r="C381" s="76">
        <v>29.081447999999899</v>
      </c>
      <c r="D381" s="76">
        <v>28.986338</v>
      </c>
      <c r="E381" s="76">
        <v>29.0595</v>
      </c>
      <c r="F381" s="76">
        <v>14.114246</v>
      </c>
      <c r="G381" s="79">
        <v>100300</v>
      </c>
    </row>
    <row r="382" spans="1:7" x14ac:dyDescent="0.25">
      <c r="A382" s="1" t="s">
        <v>505</v>
      </c>
      <c r="B382" s="76">
        <v>29.044867</v>
      </c>
      <c r="C382" s="76">
        <v>29.191189000000001</v>
      </c>
      <c r="D382" s="76">
        <v>28.927809</v>
      </c>
      <c r="E382" s="76">
        <v>28.986338</v>
      </c>
      <c r="F382" s="76">
        <v>14.078709</v>
      </c>
      <c r="G382" s="79">
        <v>65800</v>
      </c>
    </row>
    <row r="383" spans="1:7" x14ac:dyDescent="0.25">
      <c r="A383" s="1" t="s">
        <v>506</v>
      </c>
      <c r="B383" s="76">
        <v>29.044867</v>
      </c>
      <c r="C383" s="76">
        <v>29.103394999999999</v>
      </c>
      <c r="D383" s="76">
        <v>28.715643</v>
      </c>
      <c r="E383" s="76">
        <v>28.89123</v>
      </c>
      <c r="F383" s="76">
        <v>14.032513</v>
      </c>
      <c r="G383" s="79">
        <v>91300</v>
      </c>
    </row>
    <row r="384" spans="1:7" x14ac:dyDescent="0.25">
      <c r="A384" s="1" t="s">
        <v>507</v>
      </c>
      <c r="B384" s="76">
        <v>28.971706000000001</v>
      </c>
      <c r="C384" s="76">
        <v>29.118027000000001</v>
      </c>
      <c r="D384" s="76">
        <v>28.496160999999901</v>
      </c>
      <c r="E384" s="76">
        <v>28.620532999999998</v>
      </c>
      <c r="F384" s="76">
        <v>13.901033999999999</v>
      </c>
      <c r="G384" s="79">
        <v>208100</v>
      </c>
    </row>
    <row r="385" spans="1:7" x14ac:dyDescent="0.25">
      <c r="A385" s="1" t="s">
        <v>508</v>
      </c>
      <c r="B385" s="76">
        <v>28.642482999999999</v>
      </c>
      <c r="C385" s="76">
        <v>28.701009999999901</v>
      </c>
      <c r="D385" s="76">
        <v>28.53274</v>
      </c>
      <c r="E385" s="76">
        <v>28.605902</v>
      </c>
      <c r="F385" s="76">
        <v>13.893929</v>
      </c>
      <c r="G385" s="79">
        <v>88600</v>
      </c>
    </row>
    <row r="386" spans="1:7" x14ac:dyDescent="0.25">
      <c r="A386" s="1" t="s">
        <v>509</v>
      </c>
      <c r="B386" s="76">
        <v>28.5985849999999</v>
      </c>
      <c r="C386" s="76">
        <v>28.642482999999999</v>
      </c>
      <c r="D386" s="76">
        <v>28.459578999999898</v>
      </c>
      <c r="E386" s="76">
        <v>28.525424999999998</v>
      </c>
      <c r="F386" s="76">
        <v>13.854846999999999</v>
      </c>
      <c r="G386" s="79">
        <v>150200</v>
      </c>
    </row>
    <row r="387" spans="1:7" x14ac:dyDescent="0.25">
      <c r="A387" s="1" t="s">
        <v>510</v>
      </c>
      <c r="B387" s="76">
        <v>28.554689</v>
      </c>
      <c r="C387" s="76">
        <v>28.554689</v>
      </c>
      <c r="D387" s="76">
        <v>28.422998</v>
      </c>
      <c r="E387" s="76">
        <v>28.518108000000002</v>
      </c>
      <c r="F387" s="76">
        <v>13.851289999999899</v>
      </c>
      <c r="G387" s="79">
        <v>92700</v>
      </c>
    </row>
    <row r="388" spans="1:7" x14ac:dyDescent="0.25">
      <c r="A388" s="1" t="s">
        <v>511</v>
      </c>
      <c r="B388" s="76">
        <v>28.53274</v>
      </c>
      <c r="C388" s="76">
        <v>28.53274</v>
      </c>
      <c r="D388" s="76">
        <v>28.430315</v>
      </c>
      <c r="E388" s="76">
        <v>28.444947999999901</v>
      </c>
      <c r="F388" s="76">
        <v>13.815754</v>
      </c>
      <c r="G388" s="79">
        <v>242700</v>
      </c>
    </row>
    <row r="389" spans="1:7" x14ac:dyDescent="0.25">
      <c r="A389" s="1" t="s">
        <v>512</v>
      </c>
      <c r="B389" s="76">
        <v>28.444947999999901</v>
      </c>
      <c r="C389" s="76">
        <v>28.496160999999901</v>
      </c>
      <c r="D389" s="76">
        <v>28.174251999999999</v>
      </c>
      <c r="E389" s="76">
        <v>28.247413999999999</v>
      </c>
      <c r="F389" s="76">
        <v>13.719810999999901</v>
      </c>
      <c r="G389" s="79">
        <v>123200</v>
      </c>
    </row>
    <row r="390" spans="1:7" x14ac:dyDescent="0.25">
      <c r="A390" s="1" t="s">
        <v>513</v>
      </c>
      <c r="B390" s="76">
        <v>28.166937000000001</v>
      </c>
      <c r="C390" s="76">
        <v>28.313257</v>
      </c>
      <c r="D390" s="76">
        <v>28.137671999999998</v>
      </c>
      <c r="E390" s="76">
        <v>28.203515999999901</v>
      </c>
      <c r="F390" s="76">
        <v>13.698492999999999</v>
      </c>
      <c r="G390" s="79">
        <v>123500</v>
      </c>
    </row>
    <row r="391" spans="1:7" x14ac:dyDescent="0.25">
      <c r="A391" s="1" t="s">
        <v>514</v>
      </c>
      <c r="B391" s="76">
        <v>27.910872999999999</v>
      </c>
      <c r="C391" s="76">
        <v>28.313257</v>
      </c>
      <c r="D391" s="76">
        <v>27.910872999999999</v>
      </c>
      <c r="E391" s="76">
        <v>28.247413999999999</v>
      </c>
      <c r="F391" s="76">
        <v>13.719810999999901</v>
      </c>
      <c r="G391" s="79">
        <v>189100</v>
      </c>
    </row>
    <row r="392" spans="1:7" x14ac:dyDescent="0.25">
      <c r="A392" s="1" t="s">
        <v>515</v>
      </c>
      <c r="B392" s="76">
        <v>28.313257</v>
      </c>
      <c r="C392" s="76">
        <v>28.437632000000001</v>
      </c>
      <c r="D392" s="76">
        <v>28.232779999999899</v>
      </c>
      <c r="E392" s="76">
        <v>28.430315</v>
      </c>
      <c r="F392" s="76">
        <v>13.808648</v>
      </c>
      <c r="G392" s="79">
        <v>135500</v>
      </c>
    </row>
    <row r="393" spans="1:7" x14ac:dyDescent="0.25">
      <c r="A393" s="1" t="s">
        <v>516</v>
      </c>
      <c r="B393" s="76">
        <v>28.459578999999898</v>
      </c>
      <c r="C393" s="76">
        <v>28.459578999999898</v>
      </c>
      <c r="D393" s="76">
        <v>28.276678</v>
      </c>
      <c r="E393" s="76">
        <v>28.386419</v>
      </c>
      <c r="F393" s="76">
        <v>13.787328</v>
      </c>
      <c r="G393" s="79">
        <v>107700</v>
      </c>
    </row>
    <row r="394" spans="1:7" x14ac:dyDescent="0.25">
      <c r="A394" s="1" t="s">
        <v>517</v>
      </c>
      <c r="B394" s="76">
        <v>28.386419</v>
      </c>
      <c r="C394" s="76">
        <v>28.496160999999901</v>
      </c>
      <c r="D394" s="76">
        <v>28.071826999999999</v>
      </c>
      <c r="E394" s="76">
        <v>28.240096999999999</v>
      </c>
      <c r="F394" s="76">
        <v>13.716260999999999</v>
      </c>
      <c r="G394" s="79">
        <v>107500</v>
      </c>
    </row>
    <row r="395" spans="1:7" x14ac:dyDescent="0.25">
      <c r="A395" s="1" t="s">
        <v>518</v>
      </c>
      <c r="B395" s="76">
        <v>28.276678</v>
      </c>
      <c r="C395" s="76">
        <v>28.401050999999999</v>
      </c>
      <c r="D395" s="76">
        <v>27.947453999999901</v>
      </c>
      <c r="E395" s="76">
        <v>27.954768999999999</v>
      </c>
      <c r="F395" s="76">
        <v>13.577674999999999</v>
      </c>
      <c r="G395" s="79">
        <v>211400</v>
      </c>
    </row>
    <row r="396" spans="1:7" x14ac:dyDescent="0.25">
      <c r="A396" s="1" t="s">
        <v>519</v>
      </c>
      <c r="B396" s="76">
        <v>27.954768999999999</v>
      </c>
      <c r="C396" s="76">
        <v>27.984034000000001</v>
      </c>
      <c r="D396" s="76">
        <v>27.727969999999999</v>
      </c>
      <c r="E396" s="76">
        <v>27.984034000000001</v>
      </c>
      <c r="F396" s="76">
        <v>13.591888000000001</v>
      </c>
      <c r="G396" s="79">
        <v>185100</v>
      </c>
    </row>
    <row r="397" spans="1:7" x14ac:dyDescent="0.25">
      <c r="A397" s="1" t="s">
        <v>520</v>
      </c>
      <c r="B397" s="76">
        <v>27.947453999999901</v>
      </c>
      <c r="C397" s="76">
        <v>28.349837999999998</v>
      </c>
      <c r="D397" s="76">
        <v>27.896239999999999</v>
      </c>
      <c r="E397" s="76">
        <v>28.181567999999999</v>
      </c>
      <c r="F397" s="76">
        <v>13.687830999999999</v>
      </c>
      <c r="G397" s="79">
        <v>282800</v>
      </c>
    </row>
    <row r="398" spans="1:7" x14ac:dyDescent="0.25">
      <c r="A398" s="1" t="s">
        <v>521</v>
      </c>
      <c r="B398" s="76">
        <v>28.357154999999999</v>
      </c>
      <c r="C398" s="76">
        <v>28.518108000000002</v>
      </c>
      <c r="D398" s="76">
        <v>28.130355999999999</v>
      </c>
      <c r="E398" s="76">
        <v>28.459578999999898</v>
      </c>
      <c r="F398" s="76">
        <v>13.82286</v>
      </c>
      <c r="G398" s="79">
        <v>177800</v>
      </c>
    </row>
    <row r="399" spans="1:7" x14ac:dyDescent="0.25">
      <c r="A399" s="1" t="s">
        <v>522</v>
      </c>
      <c r="B399" s="76">
        <v>28.503477</v>
      </c>
      <c r="C399" s="76">
        <v>28.562003999999899</v>
      </c>
      <c r="D399" s="76">
        <v>28.130355999999999</v>
      </c>
      <c r="E399" s="76">
        <v>28.166937000000001</v>
      </c>
      <c r="F399" s="76">
        <v>13.680723</v>
      </c>
      <c r="G399" s="79">
        <v>89600</v>
      </c>
    </row>
    <row r="400" spans="1:7" x14ac:dyDescent="0.25">
      <c r="A400" s="1" t="s">
        <v>523</v>
      </c>
      <c r="B400" s="76">
        <v>28.020614999999999</v>
      </c>
      <c r="C400" s="76">
        <v>28.371786</v>
      </c>
      <c r="D400" s="76">
        <v>28.020614999999999</v>
      </c>
      <c r="E400" s="76">
        <v>28.269361</v>
      </c>
      <c r="F400" s="76">
        <v>13.730472000000001</v>
      </c>
      <c r="G400" s="79">
        <v>174000</v>
      </c>
    </row>
    <row r="401" spans="1:7" x14ac:dyDescent="0.25">
      <c r="A401" s="1" t="s">
        <v>524</v>
      </c>
      <c r="B401" s="76">
        <v>28.349837999999998</v>
      </c>
      <c r="C401" s="76">
        <v>28.488844</v>
      </c>
      <c r="D401" s="76">
        <v>28.232779999999899</v>
      </c>
      <c r="E401" s="76">
        <v>28.364471000000002</v>
      </c>
      <c r="F401" s="76">
        <v>13.7766679999999</v>
      </c>
      <c r="G401" s="79">
        <v>180000</v>
      </c>
    </row>
    <row r="402" spans="1:7" x14ac:dyDescent="0.25">
      <c r="A402" s="1" t="s">
        <v>525</v>
      </c>
      <c r="B402" s="76">
        <v>28.093775000000001</v>
      </c>
      <c r="C402" s="76">
        <v>28.422998</v>
      </c>
      <c r="D402" s="76">
        <v>27.984034000000001</v>
      </c>
      <c r="E402" s="76">
        <v>28.393733999999998</v>
      </c>
      <c r="F402" s="76">
        <v>14.007294999999999</v>
      </c>
      <c r="G402" s="79">
        <v>210800</v>
      </c>
    </row>
    <row r="403" spans="1:7" x14ac:dyDescent="0.25">
      <c r="A403" s="1" t="s">
        <v>526</v>
      </c>
      <c r="B403" s="76">
        <v>28.393733999999998</v>
      </c>
      <c r="C403" s="76">
        <v>28.53274</v>
      </c>
      <c r="D403" s="76">
        <v>28.276678</v>
      </c>
      <c r="E403" s="76">
        <v>28.371786</v>
      </c>
      <c r="F403" s="76">
        <v>13.996466</v>
      </c>
      <c r="G403" s="79">
        <v>193500</v>
      </c>
    </row>
    <row r="404" spans="1:7" x14ac:dyDescent="0.25">
      <c r="A404" s="1" t="s">
        <v>527</v>
      </c>
      <c r="B404" s="76">
        <v>28.496160999999901</v>
      </c>
      <c r="C404" s="76">
        <v>28.613218</v>
      </c>
      <c r="D404" s="76">
        <v>28.488844</v>
      </c>
      <c r="E404" s="76">
        <v>28.591269</v>
      </c>
      <c r="F404" s="76">
        <v>14.104745999999899</v>
      </c>
      <c r="G404" s="79">
        <v>300200</v>
      </c>
    </row>
    <row r="405" spans="1:7" x14ac:dyDescent="0.25">
      <c r="A405" s="1" t="s">
        <v>528</v>
      </c>
      <c r="B405" s="76">
        <v>28.679061999999998</v>
      </c>
      <c r="C405" s="76">
        <v>28.752223999999998</v>
      </c>
      <c r="D405" s="76">
        <v>28.679061999999998</v>
      </c>
      <c r="E405" s="76">
        <v>28.752223999999998</v>
      </c>
      <c r="F405" s="76">
        <v>14.184142999999899</v>
      </c>
      <c r="G405" s="79">
        <v>191900</v>
      </c>
    </row>
    <row r="406" spans="1:7" x14ac:dyDescent="0.25">
      <c r="A406" s="1" t="s">
        <v>529</v>
      </c>
      <c r="B406" s="76">
        <v>28.752223999999998</v>
      </c>
      <c r="C406" s="76">
        <v>28.935124999999999</v>
      </c>
      <c r="D406" s="76">
        <v>28.642482999999999</v>
      </c>
      <c r="E406" s="76">
        <v>28.905860999999899</v>
      </c>
      <c r="F406" s="76">
        <v>14.259942000000001</v>
      </c>
      <c r="G406" s="79">
        <v>235000</v>
      </c>
    </row>
    <row r="407" spans="1:7" x14ac:dyDescent="0.25">
      <c r="A407" s="1" t="s">
        <v>530</v>
      </c>
      <c r="B407" s="76">
        <v>28.935124999999999</v>
      </c>
      <c r="C407" s="76">
        <v>29.008285999999998</v>
      </c>
      <c r="D407" s="76">
        <v>28.715643</v>
      </c>
      <c r="E407" s="76">
        <v>29.008285999999998</v>
      </c>
      <c r="F407" s="76">
        <v>14.310473</v>
      </c>
      <c r="G407" s="79">
        <v>150700</v>
      </c>
    </row>
    <row r="408" spans="1:7" x14ac:dyDescent="0.25">
      <c r="A408" s="1" t="s">
        <v>531</v>
      </c>
      <c r="B408" s="76">
        <v>29.008285999999998</v>
      </c>
      <c r="C408" s="76">
        <v>29.264348999999999</v>
      </c>
      <c r="D408" s="76">
        <v>28.971706000000001</v>
      </c>
      <c r="E408" s="76">
        <v>29.264348999999999</v>
      </c>
      <c r="F408" s="76">
        <v>14.436783999999999</v>
      </c>
      <c r="G408" s="79">
        <v>430600</v>
      </c>
    </row>
    <row r="409" spans="1:7" x14ac:dyDescent="0.25">
      <c r="A409" s="1" t="s">
        <v>532</v>
      </c>
      <c r="B409" s="76">
        <v>29.264348999999999</v>
      </c>
      <c r="C409" s="76">
        <v>29.264348999999999</v>
      </c>
      <c r="D409" s="76">
        <v>28.935124999999999</v>
      </c>
      <c r="E409" s="76">
        <v>29.264348999999999</v>
      </c>
      <c r="F409" s="76">
        <v>14.436783999999999</v>
      </c>
      <c r="G409" s="79">
        <v>585600</v>
      </c>
    </row>
    <row r="410" spans="1:7" x14ac:dyDescent="0.25">
      <c r="A410" s="1" t="s">
        <v>533</v>
      </c>
      <c r="B410" s="76">
        <v>29.264348999999999</v>
      </c>
      <c r="C410" s="76">
        <v>29.703313999999999</v>
      </c>
      <c r="D410" s="76">
        <v>29.227767999999902</v>
      </c>
      <c r="E410" s="76">
        <v>29.61552</v>
      </c>
      <c r="F410" s="76">
        <v>14.610033</v>
      </c>
      <c r="G410" s="79">
        <v>533900</v>
      </c>
    </row>
    <row r="411" spans="1:7" x14ac:dyDescent="0.25">
      <c r="A411" s="1" t="s">
        <v>534</v>
      </c>
      <c r="B411" s="76">
        <v>29.622837000000001</v>
      </c>
      <c r="C411" s="76">
        <v>29.739895000000001</v>
      </c>
      <c r="D411" s="76">
        <v>29.410671000000001</v>
      </c>
      <c r="E411" s="76">
        <v>29.666734999999999</v>
      </c>
      <c r="F411" s="76">
        <v>14.635298000000001</v>
      </c>
      <c r="G411" s="79">
        <v>336800</v>
      </c>
    </row>
    <row r="412" spans="1:7" x14ac:dyDescent="0.25">
      <c r="A412" s="1" t="s">
        <v>535</v>
      </c>
      <c r="B412" s="76">
        <v>29.644784999999999</v>
      </c>
      <c r="C412" s="76">
        <v>29.666734999999999</v>
      </c>
      <c r="D412" s="76">
        <v>29.337509000000001</v>
      </c>
      <c r="E412" s="76">
        <v>29.410671000000001</v>
      </c>
      <c r="F412" s="76">
        <v>14.508973999999901</v>
      </c>
      <c r="G412" s="79">
        <v>133200</v>
      </c>
    </row>
    <row r="413" spans="1:7" x14ac:dyDescent="0.25">
      <c r="A413" s="1" t="s">
        <v>536</v>
      </c>
      <c r="B413" s="76">
        <v>29.410671000000001</v>
      </c>
      <c r="C413" s="76">
        <v>29.813054999999999</v>
      </c>
      <c r="D413" s="76">
        <v>29.235084999999899</v>
      </c>
      <c r="E413" s="76">
        <v>29.761842999999999</v>
      </c>
      <c r="F413" s="76">
        <v>14.682214</v>
      </c>
      <c r="G413" s="79">
        <v>120100</v>
      </c>
    </row>
    <row r="414" spans="1:7" x14ac:dyDescent="0.25">
      <c r="A414" s="1" t="s">
        <v>537</v>
      </c>
      <c r="B414" s="76">
        <v>29.630153999999902</v>
      </c>
      <c r="C414" s="76">
        <v>29.776475999999999</v>
      </c>
      <c r="D414" s="76">
        <v>29.417988000000001</v>
      </c>
      <c r="E414" s="76">
        <v>29.776475999999999</v>
      </c>
      <c r="F414" s="76">
        <v>14.689432</v>
      </c>
      <c r="G414" s="79">
        <v>163500</v>
      </c>
    </row>
    <row r="415" spans="1:7" x14ac:dyDescent="0.25">
      <c r="A415" s="1" t="s">
        <v>538</v>
      </c>
      <c r="B415" s="76">
        <v>29.849636</v>
      </c>
      <c r="C415" s="76">
        <v>30.288601</v>
      </c>
      <c r="D415" s="76">
        <v>29.535043999999999</v>
      </c>
      <c r="E415" s="76">
        <v>29.952060999999901</v>
      </c>
      <c r="F415" s="76">
        <v>14.776056000000001</v>
      </c>
      <c r="G415" s="79">
        <v>277700</v>
      </c>
    </row>
    <row r="416" spans="1:7" x14ac:dyDescent="0.25">
      <c r="A416" s="1" t="s">
        <v>539</v>
      </c>
      <c r="B416" s="76">
        <v>29.995958000000002</v>
      </c>
      <c r="C416" s="76">
        <v>30.039853999999998</v>
      </c>
      <c r="D416" s="76">
        <v>29.871583999999999</v>
      </c>
      <c r="E416" s="76">
        <v>29.995958000000002</v>
      </c>
      <c r="F416" s="76">
        <v>14.797715</v>
      </c>
      <c r="G416" s="79">
        <v>323200</v>
      </c>
    </row>
    <row r="417" spans="1:7" x14ac:dyDescent="0.25">
      <c r="A417" s="1" t="s">
        <v>540</v>
      </c>
      <c r="B417" s="76">
        <v>29.995958000000002</v>
      </c>
      <c r="C417" s="76">
        <v>30.434922999999898</v>
      </c>
      <c r="D417" s="76">
        <v>29.966694</v>
      </c>
      <c r="E417" s="76">
        <v>30.434922999999898</v>
      </c>
      <c r="F417" s="76">
        <v>15.014264000000001</v>
      </c>
      <c r="G417" s="79">
        <v>528300</v>
      </c>
    </row>
    <row r="418" spans="1:7" x14ac:dyDescent="0.25">
      <c r="A418" s="1" t="s">
        <v>541</v>
      </c>
      <c r="B418" s="76">
        <v>30.434922999999898</v>
      </c>
      <c r="C418" s="76">
        <v>30.434922999999898</v>
      </c>
      <c r="D418" s="76">
        <v>29.922796000000002</v>
      </c>
      <c r="E418" s="76">
        <v>29.9740099999999</v>
      </c>
      <c r="F418" s="76">
        <v>14.786891000000001</v>
      </c>
      <c r="G418" s="79">
        <v>476700</v>
      </c>
    </row>
    <row r="419" spans="1:7" x14ac:dyDescent="0.25">
      <c r="A419" s="1" t="s">
        <v>542</v>
      </c>
      <c r="B419" s="76">
        <v>30.120331</v>
      </c>
      <c r="C419" s="76">
        <v>30.434922999999898</v>
      </c>
      <c r="D419" s="76">
        <v>29.995958000000002</v>
      </c>
      <c r="E419" s="76">
        <v>30.252021999999901</v>
      </c>
      <c r="F419" s="76">
        <v>14.924032</v>
      </c>
      <c r="G419" s="79">
        <v>226200</v>
      </c>
    </row>
    <row r="420" spans="1:7" x14ac:dyDescent="0.25">
      <c r="A420" s="1" t="s">
        <v>543</v>
      </c>
      <c r="B420" s="76">
        <v>30.273969999999998</v>
      </c>
      <c r="C420" s="76">
        <v>30.288601</v>
      </c>
      <c r="D420" s="76">
        <v>30.142281000000001</v>
      </c>
      <c r="E420" s="76">
        <v>30.215440999999998</v>
      </c>
      <c r="F420" s="76">
        <v>14.905994</v>
      </c>
      <c r="G420" s="79">
        <v>360800</v>
      </c>
    </row>
    <row r="421" spans="1:7" x14ac:dyDescent="0.25">
      <c r="A421" s="1" t="s">
        <v>544</v>
      </c>
      <c r="B421" s="76">
        <v>30.105699999999999</v>
      </c>
      <c r="C421" s="76">
        <v>30.149595000000001</v>
      </c>
      <c r="D421" s="76">
        <v>29.922796000000002</v>
      </c>
      <c r="E421" s="76">
        <v>30.069118</v>
      </c>
      <c r="F421" s="76">
        <v>14.8338049999999</v>
      </c>
      <c r="G421" s="79">
        <v>508700</v>
      </c>
    </row>
    <row r="422" spans="1:7" x14ac:dyDescent="0.25">
      <c r="A422" s="1" t="s">
        <v>545</v>
      </c>
      <c r="B422" s="76">
        <v>30.061802</v>
      </c>
      <c r="C422" s="76">
        <v>30.281285999999898</v>
      </c>
      <c r="D422" s="76">
        <v>29.300929999999902</v>
      </c>
      <c r="E422" s="76">
        <v>29.535043999999999</v>
      </c>
      <c r="F422" s="76">
        <v>14.5703329999999</v>
      </c>
      <c r="G422" s="79">
        <v>229800</v>
      </c>
    </row>
    <row r="423" spans="1:7" x14ac:dyDescent="0.25">
      <c r="A423" s="1" t="s">
        <v>546</v>
      </c>
      <c r="B423" s="76">
        <v>29.681365999999901</v>
      </c>
      <c r="C423" s="76">
        <v>29.783790999999901</v>
      </c>
      <c r="D423" s="76">
        <v>29.337509000000001</v>
      </c>
      <c r="E423" s="76">
        <v>29.344826000000001</v>
      </c>
      <c r="F423" s="76">
        <v>14.476490999999999</v>
      </c>
      <c r="G423" s="79">
        <v>114400</v>
      </c>
    </row>
    <row r="424" spans="1:7" x14ac:dyDescent="0.25">
      <c r="A424" s="1" t="s">
        <v>547</v>
      </c>
      <c r="B424" s="76">
        <v>29.176556000000001</v>
      </c>
      <c r="C424" s="76">
        <v>29.278981999999999</v>
      </c>
      <c r="D424" s="76">
        <v>29.044867</v>
      </c>
      <c r="E424" s="76">
        <v>29.264348999999999</v>
      </c>
      <c r="F424" s="76">
        <v>14.436783999999999</v>
      </c>
      <c r="G424" s="79">
        <v>159800</v>
      </c>
    </row>
    <row r="425" spans="1:7" x14ac:dyDescent="0.25">
      <c r="A425" s="1" t="s">
        <v>548</v>
      </c>
      <c r="B425" s="76">
        <v>29.410671000000001</v>
      </c>
      <c r="C425" s="76">
        <v>29.439935999999999</v>
      </c>
      <c r="D425" s="76">
        <v>29.074131000000001</v>
      </c>
      <c r="E425" s="76">
        <v>29.118027000000001</v>
      </c>
      <c r="F425" s="76">
        <v>14.364606</v>
      </c>
      <c r="G425" s="79">
        <v>219100</v>
      </c>
    </row>
    <row r="426" spans="1:7" x14ac:dyDescent="0.25">
      <c r="A426" s="1" t="s">
        <v>549</v>
      </c>
      <c r="B426" s="76">
        <v>29.132659999999898</v>
      </c>
      <c r="C426" s="76">
        <v>29.264348999999999</v>
      </c>
      <c r="D426" s="76">
        <v>28.883913</v>
      </c>
      <c r="E426" s="76">
        <v>28.883913</v>
      </c>
      <c r="F426" s="76">
        <v>14.249110999999999</v>
      </c>
      <c r="G426" s="79">
        <v>304400</v>
      </c>
    </row>
    <row r="427" spans="1:7" x14ac:dyDescent="0.25">
      <c r="A427" s="1" t="s">
        <v>550</v>
      </c>
      <c r="B427" s="76">
        <v>28.883913</v>
      </c>
      <c r="C427" s="76">
        <v>28.883913</v>
      </c>
      <c r="D427" s="76">
        <v>28.071826999999999</v>
      </c>
      <c r="E427" s="76">
        <v>28.071826999999999</v>
      </c>
      <c r="F427" s="76">
        <v>13.84849</v>
      </c>
      <c r="G427" s="79">
        <v>281500</v>
      </c>
    </row>
    <row r="428" spans="1:7" x14ac:dyDescent="0.25">
      <c r="A428" s="1" t="s">
        <v>551</v>
      </c>
      <c r="B428" s="76">
        <v>27.984034000000001</v>
      </c>
      <c r="C428" s="76">
        <v>27.984034000000001</v>
      </c>
      <c r="D428" s="76">
        <v>27.801131999999999</v>
      </c>
      <c r="E428" s="76">
        <v>27.801131999999999</v>
      </c>
      <c r="F428" s="76">
        <v>13.714948999999899</v>
      </c>
      <c r="G428" s="79">
        <v>461500</v>
      </c>
    </row>
    <row r="429" spans="1:7" x14ac:dyDescent="0.25">
      <c r="A429" s="1" t="s">
        <v>552</v>
      </c>
      <c r="B429" s="76">
        <v>29.813054999999999</v>
      </c>
      <c r="C429" s="76">
        <v>29.995958000000002</v>
      </c>
      <c r="D429" s="76">
        <v>28.459578999999898</v>
      </c>
      <c r="E429" s="76">
        <v>28.664431</v>
      </c>
      <c r="F429" s="76">
        <v>14.140838</v>
      </c>
      <c r="G429" s="79">
        <v>6141100</v>
      </c>
    </row>
    <row r="430" spans="1:7" x14ac:dyDescent="0.25">
      <c r="A430" s="1" t="s">
        <v>553</v>
      </c>
      <c r="B430" s="76">
        <v>29.154608</v>
      </c>
      <c r="C430" s="76">
        <v>29.300929999999902</v>
      </c>
      <c r="D430" s="76">
        <v>28.386419</v>
      </c>
      <c r="E430" s="76">
        <v>28.825384</v>
      </c>
      <c r="F430" s="76">
        <v>14.220235000000001</v>
      </c>
      <c r="G430" s="79">
        <v>4857000</v>
      </c>
    </row>
    <row r="431" spans="1:7" x14ac:dyDescent="0.25">
      <c r="A431" s="1" t="s">
        <v>554</v>
      </c>
      <c r="B431" s="76">
        <v>29.081447999999899</v>
      </c>
      <c r="C431" s="76">
        <v>29.410671000000001</v>
      </c>
      <c r="D431" s="76">
        <v>28.093775000000001</v>
      </c>
      <c r="E431" s="76">
        <v>28.583953999999999</v>
      </c>
      <c r="F431" s="76">
        <v>14.101138000000001</v>
      </c>
      <c r="G431" s="79">
        <v>768400</v>
      </c>
    </row>
    <row r="432" spans="1:7" x14ac:dyDescent="0.25">
      <c r="A432" s="1" t="s">
        <v>555</v>
      </c>
      <c r="B432" s="76">
        <v>28.583953999999999</v>
      </c>
      <c r="C432" s="76">
        <v>28.679061999999998</v>
      </c>
      <c r="D432" s="76">
        <v>27.727969999999999</v>
      </c>
      <c r="E432" s="76">
        <v>28.349837999999998</v>
      </c>
      <c r="F432" s="76">
        <v>13.98564</v>
      </c>
      <c r="G432" s="79">
        <v>855900</v>
      </c>
    </row>
    <row r="433" spans="1:7" x14ac:dyDescent="0.25">
      <c r="A433" s="1" t="s">
        <v>556</v>
      </c>
      <c r="B433" s="76">
        <v>28.020614999999999</v>
      </c>
      <c r="C433" s="76">
        <v>28.269361</v>
      </c>
      <c r="D433" s="76">
        <v>27.398745999999999</v>
      </c>
      <c r="E433" s="76">
        <v>27.764551000000001</v>
      </c>
      <c r="F433" s="76">
        <v>13.696906999999999</v>
      </c>
      <c r="G433" s="79">
        <v>1014600</v>
      </c>
    </row>
    <row r="434" spans="1:7" x14ac:dyDescent="0.25">
      <c r="A434" s="1" t="s">
        <v>557</v>
      </c>
      <c r="B434" s="76">
        <v>28.093775000000001</v>
      </c>
      <c r="C434" s="76">
        <v>28.642482999999999</v>
      </c>
      <c r="D434" s="76">
        <v>27.742602999999999</v>
      </c>
      <c r="E434" s="76">
        <v>27.874291999999901</v>
      </c>
      <c r="F434" s="76">
        <v>13.751035999999999</v>
      </c>
      <c r="G434" s="79">
        <v>515500</v>
      </c>
    </row>
    <row r="435" spans="1:7" x14ac:dyDescent="0.25">
      <c r="A435" s="1" t="s">
        <v>558</v>
      </c>
      <c r="B435" s="76">
        <v>28.042562</v>
      </c>
      <c r="C435" s="76">
        <v>28.313257</v>
      </c>
      <c r="D435" s="76">
        <v>27.764551000000001</v>
      </c>
      <c r="E435" s="76">
        <v>28.203515999999901</v>
      </c>
      <c r="F435" s="76">
        <v>13.9134619999999</v>
      </c>
      <c r="G435" s="79">
        <v>922900</v>
      </c>
    </row>
    <row r="436" spans="1:7" x14ac:dyDescent="0.25">
      <c r="A436" s="1" t="s">
        <v>559</v>
      </c>
      <c r="B436" s="76">
        <v>28.349837999999998</v>
      </c>
      <c r="C436" s="76">
        <v>28.971706000000001</v>
      </c>
      <c r="D436" s="76">
        <v>28.093775000000001</v>
      </c>
      <c r="E436" s="76">
        <v>28.459578999999898</v>
      </c>
      <c r="F436" s="76">
        <v>14.039778999999999</v>
      </c>
      <c r="G436" s="79">
        <v>472900</v>
      </c>
    </row>
    <row r="437" spans="1:7" x14ac:dyDescent="0.25">
      <c r="A437" s="1" t="s">
        <v>560</v>
      </c>
      <c r="B437" s="76">
        <v>28.679061999999998</v>
      </c>
      <c r="C437" s="76">
        <v>28.898544000000001</v>
      </c>
      <c r="D437" s="76">
        <v>28.510791999999999</v>
      </c>
      <c r="E437" s="76">
        <v>28.810751</v>
      </c>
      <c r="F437" s="76">
        <v>14.213020999999999</v>
      </c>
      <c r="G437" s="79">
        <v>545900</v>
      </c>
    </row>
    <row r="438" spans="1:7" x14ac:dyDescent="0.25">
      <c r="A438" s="1" t="s">
        <v>561</v>
      </c>
      <c r="B438" s="76">
        <v>28.971706000000001</v>
      </c>
      <c r="C438" s="76">
        <v>29.293613000000001</v>
      </c>
      <c r="D438" s="76">
        <v>28.861965000000001</v>
      </c>
      <c r="E438" s="76">
        <v>29.044867</v>
      </c>
      <c r="F438" s="76">
        <v>14.328520999999901</v>
      </c>
      <c r="G438" s="79">
        <v>443300</v>
      </c>
    </row>
    <row r="439" spans="1:7" x14ac:dyDescent="0.25">
      <c r="A439" s="1" t="s">
        <v>562</v>
      </c>
      <c r="B439" s="76">
        <v>29.227767999999902</v>
      </c>
      <c r="C439" s="76">
        <v>29.227767999999902</v>
      </c>
      <c r="D439" s="76">
        <v>28.459578999999898</v>
      </c>
      <c r="E439" s="76">
        <v>28.605902</v>
      </c>
      <c r="F439" s="76">
        <v>14.111967</v>
      </c>
      <c r="G439" s="79">
        <v>708900</v>
      </c>
    </row>
    <row r="440" spans="1:7" x14ac:dyDescent="0.25">
      <c r="A440" s="1" t="s">
        <v>563</v>
      </c>
      <c r="B440" s="76">
        <v>28.605902</v>
      </c>
      <c r="C440" s="76">
        <v>28.752223999999998</v>
      </c>
      <c r="D440" s="76">
        <v>27.976716999999901</v>
      </c>
      <c r="E440" s="76">
        <v>28.262045000000001</v>
      </c>
      <c r="F440" s="76">
        <v>13.942328</v>
      </c>
      <c r="G440" s="79">
        <v>379500</v>
      </c>
    </row>
    <row r="441" spans="1:7" x14ac:dyDescent="0.25">
      <c r="A441" s="1" t="s">
        <v>564</v>
      </c>
      <c r="B441" s="76">
        <v>28.166937000000001</v>
      </c>
      <c r="C441" s="76">
        <v>28.166937000000001</v>
      </c>
      <c r="D441" s="76">
        <v>27.41338</v>
      </c>
      <c r="E441" s="76">
        <v>27.508488</v>
      </c>
      <c r="F441" s="76">
        <v>13.570585999999899</v>
      </c>
      <c r="G441" s="79">
        <v>2085100</v>
      </c>
    </row>
    <row r="442" spans="1:7" x14ac:dyDescent="0.25">
      <c r="A442" s="1" t="s">
        <v>565</v>
      </c>
      <c r="B442" s="76">
        <v>27.58165</v>
      </c>
      <c r="C442" s="76">
        <v>28.861965000000001</v>
      </c>
      <c r="D442" s="76">
        <v>27.58165</v>
      </c>
      <c r="E442" s="76">
        <v>27.991350000000001</v>
      </c>
      <c r="F442" s="76">
        <v>13.808785</v>
      </c>
      <c r="G442" s="79">
        <v>544800</v>
      </c>
    </row>
    <row r="443" spans="1:7" x14ac:dyDescent="0.25">
      <c r="A443" s="1" t="s">
        <v>566</v>
      </c>
      <c r="B443" s="76">
        <v>27.845027999999999</v>
      </c>
      <c r="C443" s="76">
        <v>28.020614999999999</v>
      </c>
      <c r="D443" s="76">
        <v>27.215845000000002</v>
      </c>
      <c r="E443" s="76">
        <v>27.947453999999901</v>
      </c>
      <c r="F443" s="76">
        <v>13.787141999999999</v>
      </c>
      <c r="G443" s="79">
        <v>255900</v>
      </c>
    </row>
    <row r="444" spans="1:7" x14ac:dyDescent="0.25">
      <c r="A444" s="1" t="s">
        <v>567</v>
      </c>
      <c r="B444" s="76">
        <v>27.837710999999999</v>
      </c>
      <c r="C444" s="76">
        <v>27.998666999999902</v>
      </c>
      <c r="D444" s="76">
        <v>27.58165</v>
      </c>
      <c r="E444" s="76">
        <v>27.6913909999999</v>
      </c>
      <c r="F444" s="76">
        <v>13.660816000000001</v>
      </c>
      <c r="G444" s="79">
        <v>232800</v>
      </c>
    </row>
    <row r="445" spans="1:7" x14ac:dyDescent="0.25">
      <c r="A445" s="1" t="s">
        <v>568</v>
      </c>
      <c r="B445" s="76">
        <v>27.764551000000001</v>
      </c>
      <c r="C445" s="76">
        <v>28.152303999999901</v>
      </c>
      <c r="D445" s="76">
        <v>27.662127000000002</v>
      </c>
      <c r="E445" s="76">
        <v>28.115722999999999</v>
      </c>
      <c r="F445" s="76">
        <v>13.870146999999999</v>
      </c>
      <c r="G445" s="79">
        <v>337700</v>
      </c>
    </row>
    <row r="446" spans="1:7" x14ac:dyDescent="0.25">
      <c r="A446" s="1" t="s">
        <v>569</v>
      </c>
      <c r="B446" s="76">
        <v>28.057196000000001</v>
      </c>
      <c r="C446" s="76">
        <v>28.262045000000001</v>
      </c>
      <c r="D446" s="76">
        <v>27.325585999999898</v>
      </c>
      <c r="E446" s="76">
        <v>28.130355999999999</v>
      </c>
      <c r="F446" s="76">
        <v>13.877359999999999</v>
      </c>
      <c r="G446" s="79">
        <v>272900</v>
      </c>
    </row>
    <row r="447" spans="1:7" x14ac:dyDescent="0.25">
      <c r="A447" s="1" t="s">
        <v>570</v>
      </c>
      <c r="B447" s="76">
        <v>27.947453999999901</v>
      </c>
      <c r="C447" s="76">
        <v>28.825384</v>
      </c>
      <c r="D447" s="76">
        <v>27.947453999999901</v>
      </c>
      <c r="E447" s="76">
        <v>28.708326</v>
      </c>
      <c r="F447" s="76">
        <v>14.162495</v>
      </c>
      <c r="G447" s="79">
        <v>454100</v>
      </c>
    </row>
    <row r="448" spans="1:7" x14ac:dyDescent="0.25">
      <c r="A448" s="1" t="s">
        <v>571</v>
      </c>
      <c r="B448" s="76">
        <v>28.861965000000001</v>
      </c>
      <c r="C448" s="76">
        <v>28.861965000000001</v>
      </c>
      <c r="D448" s="76">
        <v>28.181567999999999</v>
      </c>
      <c r="E448" s="76">
        <v>28.32789</v>
      </c>
      <c r="F448" s="76">
        <v>13.974812</v>
      </c>
      <c r="G448" s="79">
        <v>325300</v>
      </c>
    </row>
    <row r="449" spans="1:7" x14ac:dyDescent="0.25">
      <c r="A449" s="1" t="s">
        <v>572</v>
      </c>
      <c r="B449" s="76">
        <v>28.488844</v>
      </c>
      <c r="C449" s="76">
        <v>28.788803000000001</v>
      </c>
      <c r="D449" s="76">
        <v>28.349837999999998</v>
      </c>
      <c r="E449" s="76">
        <v>28.730273999999898</v>
      </c>
      <c r="F449" s="76">
        <v>14.173318</v>
      </c>
      <c r="G449" s="79">
        <v>172100</v>
      </c>
    </row>
    <row r="450" spans="1:7" x14ac:dyDescent="0.25">
      <c r="A450" s="1" t="s">
        <v>573</v>
      </c>
      <c r="B450" s="76">
        <v>28.605902</v>
      </c>
      <c r="C450" s="76">
        <v>28.715643</v>
      </c>
      <c r="D450" s="76">
        <v>28.444947999999901</v>
      </c>
      <c r="E450" s="76">
        <v>28.569320999999999</v>
      </c>
      <c r="F450" s="76">
        <v>14.093921</v>
      </c>
      <c r="G450" s="79">
        <v>286600</v>
      </c>
    </row>
    <row r="451" spans="1:7" x14ac:dyDescent="0.25">
      <c r="A451" s="1" t="s">
        <v>574</v>
      </c>
      <c r="B451" s="76">
        <v>28.130355999999999</v>
      </c>
      <c r="C451" s="76">
        <v>28.276678</v>
      </c>
      <c r="D451" s="76">
        <v>27.984034000000001</v>
      </c>
      <c r="E451" s="76">
        <v>28.240096999999999</v>
      </c>
      <c r="F451" s="76">
        <v>13.931502999999999</v>
      </c>
      <c r="G451" s="79">
        <v>452700</v>
      </c>
    </row>
    <row r="452" spans="1:7" x14ac:dyDescent="0.25">
      <c r="A452" s="1" t="s">
        <v>575</v>
      </c>
      <c r="B452" s="76">
        <v>28.225465999999901</v>
      </c>
      <c r="C452" s="76">
        <v>28.232779999999899</v>
      </c>
      <c r="D452" s="76">
        <v>27.764551000000001</v>
      </c>
      <c r="E452" s="76">
        <v>27.903556999999999</v>
      </c>
      <c r="F452" s="76">
        <v>13.7654829999999</v>
      </c>
      <c r="G452" s="79">
        <v>548000</v>
      </c>
    </row>
    <row r="453" spans="1:7" x14ac:dyDescent="0.25">
      <c r="A453" s="1" t="s">
        <v>576</v>
      </c>
      <c r="B453" s="76">
        <v>28.020614999999999</v>
      </c>
      <c r="C453" s="76">
        <v>28.752223999999998</v>
      </c>
      <c r="D453" s="76">
        <v>28.020614999999999</v>
      </c>
      <c r="E453" s="76">
        <v>28.752223999999998</v>
      </c>
      <c r="F453" s="76">
        <v>14.184142999999899</v>
      </c>
      <c r="G453" s="79">
        <v>900300</v>
      </c>
    </row>
    <row r="454" spans="1:7" x14ac:dyDescent="0.25">
      <c r="A454" s="1" t="s">
        <v>577</v>
      </c>
      <c r="B454" s="76">
        <v>28.752223999999998</v>
      </c>
      <c r="C454" s="76">
        <v>28.752223999999998</v>
      </c>
      <c r="D454" s="76">
        <v>27.910872999999999</v>
      </c>
      <c r="E454" s="76">
        <v>28.349837999999998</v>
      </c>
      <c r="F454" s="76">
        <v>13.98564</v>
      </c>
      <c r="G454" s="79">
        <v>616800</v>
      </c>
    </row>
    <row r="455" spans="1:7" x14ac:dyDescent="0.25">
      <c r="A455" s="1" t="s">
        <v>578</v>
      </c>
      <c r="B455" s="76">
        <v>28.715643</v>
      </c>
      <c r="C455" s="76">
        <v>28.854648999999998</v>
      </c>
      <c r="D455" s="76">
        <v>28.605902</v>
      </c>
      <c r="E455" s="76">
        <v>28.715643</v>
      </c>
      <c r="F455" s="76">
        <v>14.166104000000001</v>
      </c>
      <c r="G455" s="79">
        <v>705000</v>
      </c>
    </row>
    <row r="456" spans="1:7" x14ac:dyDescent="0.25">
      <c r="A456" s="1" t="s">
        <v>579</v>
      </c>
      <c r="B456" s="76">
        <v>28.715643</v>
      </c>
      <c r="C456" s="76">
        <v>28.715643</v>
      </c>
      <c r="D456" s="76">
        <v>28.349837999999998</v>
      </c>
      <c r="E456" s="76">
        <v>28.386419</v>
      </c>
      <c r="F456" s="76">
        <v>14.003691</v>
      </c>
      <c r="G456" s="79">
        <v>947400</v>
      </c>
    </row>
    <row r="457" spans="1:7" x14ac:dyDescent="0.25">
      <c r="A457" s="1" t="s">
        <v>580</v>
      </c>
      <c r="B457" s="76">
        <v>28.569320999999999</v>
      </c>
      <c r="C457" s="76">
        <v>28.752223999999998</v>
      </c>
      <c r="D457" s="76">
        <v>28.459578999999898</v>
      </c>
      <c r="E457" s="76">
        <v>28.583953999999999</v>
      </c>
      <c r="F457" s="76">
        <v>14.101138000000001</v>
      </c>
      <c r="G457" s="79">
        <v>354400</v>
      </c>
    </row>
    <row r="458" spans="1:7" x14ac:dyDescent="0.25">
      <c r="A458" s="1" t="s">
        <v>581</v>
      </c>
      <c r="B458" s="76">
        <v>28.737590999999998</v>
      </c>
      <c r="C458" s="76">
        <v>28.752223999999998</v>
      </c>
      <c r="D458" s="76">
        <v>28.422998</v>
      </c>
      <c r="E458" s="76">
        <v>28.642482999999999</v>
      </c>
      <c r="F458" s="76">
        <v>14.130013</v>
      </c>
      <c r="G458" s="79">
        <v>630300</v>
      </c>
    </row>
    <row r="459" spans="1:7" x14ac:dyDescent="0.25">
      <c r="A459" s="1" t="s">
        <v>582</v>
      </c>
      <c r="B459" s="76">
        <v>28.752223999999998</v>
      </c>
      <c r="C459" s="76">
        <v>28.898544000000001</v>
      </c>
      <c r="D459" s="76">
        <v>28.562003999999899</v>
      </c>
      <c r="E459" s="76">
        <v>28.671745000000001</v>
      </c>
      <c r="F459" s="76">
        <v>14.1444429999999</v>
      </c>
      <c r="G459" s="79">
        <v>344300</v>
      </c>
    </row>
    <row r="460" spans="1:7" x14ac:dyDescent="0.25">
      <c r="A460" s="1" t="s">
        <v>583</v>
      </c>
      <c r="B460" s="76">
        <v>28.715643</v>
      </c>
      <c r="C460" s="76">
        <v>28.752223999999998</v>
      </c>
      <c r="D460" s="76">
        <v>28.386419</v>
      </c>
      <c r="E460" s="76">
        <v>28.525424999999998</v>
      </c>
      <c r="F460" s="76">
        <v>14.072260999999999</v>
      </c>
      <c r="G460" s="79">
        <v>378600</v>
      </c>
    </row>
    <row r="461" spans="1:7" x14ac:dyDescent="0.25">
      <c r="A461" s="1" t="s">
        <v>584</v>
      </c>
      <c r="B461" s="76">
        <v>28.605902</v>
      </c>
      <c r="C461" s="76">
        <v>28.781488</v>
      </c>
      <c r="D461" s="76">
        <v>28.459578999999898</v>
      </c>
      <c r="E461" s="76">
        <v>28.679061999999998</v>
      </c>
      <c r="F461" s="76">
        <v>14.148060999999901</v>
      </c>
      <c r="G461" s="79">
        <v>661500</v>
      </c>
    </row>
    <row r="462" spans="1:7" x14ac:dyDescent="0.25">
      <c r="A462" s="1" t="s">
        <v>585</v>
      </c>
      <c r="B462" s="76">
        <v>28.825384</v>
      </c>
      <c r="C462" s="76">
        <v>28.898544000000001</v>
      </c>
      <c r="D462" s="76">
        <v>28.569320999999999</v>
      </c>
      <c r="E462" s="76">
        <v>28.898544000000001</v>
      </c>
      <c r="F462" s="76">
        <v>14.50047</v>
      </c>
      <c r="G462" s="79">
        <v>829700</v>
      </c>
    </row>
    <row r="463" spans="1:7" x14ac:dyDescent="0.25">
      <c r="A463" s="1" t="s">
        <v>586</v>
      </c>
      <c r="B463" s="76">
        <v>28.861965000000001</v>
      </c>
      <c r="C463" s="76">
        <v>29.044867</v>
      </c>
      <c r="D463" s="76">
        <v>28.679061999999998</v>
      </c>
      <c r="E463" s="76">
        <v>28.898544000000001</v>
      </c>
      <c r="F463" s="76">
        <v>14.50047</v>
      </c>
      <c r="G463" s="79">
        <v>349600</v>
      </c>
    </row>
    <row r="464" spans="1:7" x14ac:dyDescent="0.25">
      <c r="A464" s="1" t="s">
        <v>587</v>
      </c>
      <c r="B464" s="76">
        <v>28.825384</v>
      </c>
      <c r="C464" s="76">
        <v>29.374089999999999</v>
      </c>
      <c r="D464" s="76">
        <v>28.562003999999899</v>
      </c>
      <c r="E464" s="76">
        <v>28.810751</v>
      </c>
      <c r="F464" s="76">
        <v>14.456419</v>
      </c>
      <c r="G464" s="79">
        <v>257300</v>
      </c>
    </row>
    <row r="465" spans="1:7" x14ac:dyDescent="0.25">
      <c r="A465" s="1" t="s">
        <v>588</v>
      </c>
      <c r="B465" s="76">
        <v>28.957072999999902</v>
      </c>
      <c r="C465" s="76">
        <v>29.410671000000001</v>
      </c>
      <c r="D465" s="76">
        <v>28.920494000000001</v>
      </c>
      <c r="E465" s="76">
        <v>29.410671000000001</v>
      </c>
      <c r="F465" s="76">
        <v>14.757439</v>
      </c>
      <c r="G465" s="79">
        <v>326200</v>
      </c>
    </row>
    <row r="466" spans="1:7" x14ac:dyDescent="0.25">
      <c r="A466" s="1" t="s">
        <v>589</v>
      </c>
      <c r="B466" s="76">
        <v>29.556992999999999</v>
      </c>
      <c r="C466" s="76">
        <v>29.600888999999999</v>
      </c>
      <c r="D466" s="76">
        <v>29.154608</v>
      </c>
      <c r="E466" s="76">
        <v>29.564308</v>
      </c>
      <c r="F466" s="76">
        <v>14.834531999999999</v>
      </c>
      <c r="G466" s="79">
        <v>323600</v>
      </c>
    </row>
    <row r="467" spans="1:7" x14ac:dyDescent="0.25">
      <c r="A467" s="1" t="s">
        <v>590</v>
      </c>
      <c r="B467" s="76">
        <v>29.739895000000001</v>
      </c>
      <c r="C467" s="76">
        <v>29.776475999999999</v>
      </c>
      <c r="D467" s="76">
        <v>29.410671000000001</v>
      </c>
      <c r="E467" s="76">
        <v>29.666734999999999</v>
      </c>
      <c r="F467" s="76">
        <v>14.885926999999899</v>
      </c>
      <c r="G467" s="79">
        <v>430700</v>
      </c>
    </row>
    <row r="468" spans="1:7" x14ac:dyDescent="0.25">
      <c r="A468" s="1" t="s">
        <v>591</v>
      </c>
      <c r="B468" s="76">
        <v>29.630153999999902</v>
      </c>
      <c r="C468" s="76">
        <v>29.63747</v>
      </c>
      <c r="D468" s="76">
        <v>29.227767999999902</v>
      </c>
      <c r="E468" s="76">
        <v>29.461884000000001</v>
      </c>
      <c r="F468" s="76">
        <v>14.7831429999999</v>
      </c>
      <c r="G468" s="79">
        <v>336300</v>
      </c>
    </row>
    <row r="469" spans="1:7" x14ac:dyDescent="0.25">
      <c r="A469" s="1" t="s">
        <v>592</v>
      </c>
      <c r="B469" s="76">
        <v>29.483830999999999</v>
      </c>
      <c r="C469" s="76">
        <v>29.483830999999999</v>
      </c>
      <c r="D469" s="76">
        <v>29.0595</v>
      </c>
      <c r="E469" s="76">
        <v>29.322877999999999</v>
      </c>
      <c r="F469" s="76">
        <v>14.713385000000001</v>
      </c>
      <c r="G469" s="79">
        <v>440600</v>
      </c>
    </row>
    <row r="470" spans="1:7" x14ac:dyDescent="0.25">
      <c r="A470" s="1" t="s">
        <v>593</v>
      </c>
      <c r="B470" s="76">
        <v>29.322877999999999</v>
      </c>
      <c r="C470" s="76">
        <v>29.593572999999999</v>
      </c>
      <c r="D470" s="76">
        <v>29.286296999999902</v>
      </c>
      <c r="E470" s="76">
        <v>29.505778999999901</v>
      </c>
      <c r="F470" s="76">
        <v>14.805160999999901</v>
      </c>
      <c r="G470" s="79">
        <v>222700</v>
      </c>
    </row>
    <row r="471" spans="1:7" x14ac:dyDescent="0.25">
      <c r="A471" s="1" t="s">
        <v>594</v>
      </c>
      <c r="B471" s="76">
        <v>29.61552</v>
      </c>
      <c r="C471" s="76">
        <v>29.61552</v>
      </c>
      <c r="D471" s="76">
        <v>29.154608</v>
      </c>
      <c r="E471" s="76">
        <v>29.2716659999999</v>
      </c>
      <c r="F471" s="76">
        <v>14.687697</v>
      </c>
      <c r="G471" s="79">
        <v>387600</v>
      </c>
    </row>
    <row r="472" spans="1:7" x14ac:dyDescent="0.25">
      <c r="A472" s="1" t="s">
        <v>595</v>
      </c>
      <c r="B472" s="76">
        <v>29.2716659999999</v>
      </c>
      <c r="C472" s="76">
        <v>29.688683000000001</v>
      </c>
      <c r="D472" s="76">
        <v>29.2716659999999</v>
      </c>
      <c r="E472" s="76">
        <v>29.688683000000001</v>
      </c>
      <c r="F472" s="76">
        <v>14.896939</v>
      </c>
      <c r="G472" s="79">
        <v>625600</v>
      </c>
    </row>
    <row r="473" spans="1:7" x14ac:dyDescent="0.25">
      <c r="A473" s="1" t="s">
        <v>596</v>
      </c>
      <c r="B473" s="76">
        <v>28.898544000000001</v>
      </c>
      <c r="C473" s="76">
        <v>29.191189000000001</v>
      </c>
      <c r="D473" s="76">
        <v>28.752223999999998</v>
      </c>
      <c r="E473" s="76">
        <v>28.913177000000001</v>
      </c>
      <c r="F473" s="76">
        <v>14.507807999999899</v>
      </c>
      <c r="G473" s="79">
        <v>2471600</v>
      </c>
    </row>
    <row r="474" spans="1:7" x14ac:dyDescent="0.25">
      <c r="A474" s="1" t="s">
        <v>597</v>
      </c>
      <c r="B474" s="76">
        <v>29.191189000000001</v>
      </c>
      <c r="C474" s="76">
        <v>29.191189000000001</v>
      </c>
      <c r="D474" s="76">
        <v>28.825384</v>
      </c>
      <c r="E474" s="76">
        <v>29.081447999999899</v>
      </c>
      <c r="F474" s="76">
        <v>14.592247</v>
      </c>
      <c r="G474" s="79">
        <v>563500</v>
      </c>
    </row>
    <row r="475" spans="1:7" x14ac:dyDescent="0.25">
      <c r="A475" s="1" t="s">
        <v>598</v>
      </c>
      <c r="B475" s="76">
        <v>29.110711999999999</v>
      </c>
      <c r="C475" s="76">
        <v>29.227767999999902</v>
      </c>
      <c r="D475" s="76">
        <v>28.905860999999899</v>
      </c>
      <c r="E475" s="76">
        <v>29.147290999999999</v>
      </c>
      <c r="F475" s="76">
        <v>14.625280999999999</v>
      </c>
      <c r="G475" s="79">
        <v>651200</v>
      </c>
    </row>
    <row r="476" spans="1:7" x14ac:dyDescent="0.25">
      <c r="A476" s="1" t="s">
        <v>599</v>
      </c>
      <c r="B476" s="76">
        <v>29.147290999999999</v>
      </c>
      <c r="C476" s="76">
        <v>29.205819999999999</v>
      </c>
      <c r="D476" s="76">
        <v>28.898544000000001</v>
      </c>
      <c r="E476" s="76">
        <v>29.205819999999999</v>
      </c>
      <c r="F476" s="76">
        <v>14.654654999999901</v>
      </c>
      <c r="G476" s="79">
        <v>293200</v>
      </c>
    </row>
    <row r="477" spans="1:7" x14ac:dyDescent="0.25">
      <c r="A477" s="1" t="s">
        <v>600</v>
      </c>
      <c r="B477" s="76">
        <v>29.227767999999902</v>
      </c>
      <c r="C477" s="76">
        <v>29.249717999999898</v>
      </c>
      <c r="D477" s="76">
        <v>29.118027000000001</v>
      </c>
      <c r="E477" s="76">
        <v>29.191189000000001</v>
      </c>
      <c r="F477" s="76">
        <v>14.647310999999901</v>
      </c>
      <c r="G477" s="79">
        <v>153000</v>
      </c>
    </row>
    <row r="478" spans="1:7" x14ac:dyDescent="0.25">
      <c r="A478" s="1" t="s">
        <v>601</v>
      </c>
      <c r="B478" s="76">
        <v>29.227767999999902</v>
      </c>
      <c r="C478" s="76">
        <v>29.2716659999999</v>
      </c>
      <c r="D478" s="76">
        <v>28.86928</v>
      </c>
      <c r="E478" s="76">
        <v>28.876595999999999</v>
      </c>
      <c r="F478" s="76">
        <v>14.489457</v>
      </c>
      <c r="G478" s="79">
        <v>407800</v>
      </c>
    </row>
    <row r="479" spans="1:7" x14ac:dyDescent="0.25">
      <c r="A479" s="1" t="s">
        <v>602</v>
      </c>
      <c r="B479" s="76">
        <v>29.008285999999998</v>
      </c>
      <c r="C479" s="76">
        <v>29.008285999999998</v>
      </c>
      <c r="D479" s="76">
        <v>28.744907000000001</v>
      </c>
      <c r="E479" s="76">
        <v>28.788803000000001</v>
      </c>
      <c r="F479" s="76">
        <v>14.445409</v>
      </c>
      <c r="G479" s="79">
        <v>269500</v>
      </c>
    </row>
    <row r="480" spans="1:7" x14ac:dyDescent="0.25">
      <c r="A480" s="1" t="s">
        <v>603</v>
      </c>
      <c r="B480" s="76">
        <v>28.605902</v>
      </c>
      <c r="C480" s="76">
        <v>29.008285999999998</v>
      </c>
      <c r="D480" s="76">
        <v>28.605902</v>
      </c>
      <c r="E480" s="76">
        <v>28.898544000000001</v>
      </c>
      <c r="F480" s="76">
        <v>14.50047</v>
      </c>
      <c r="G480" s="79">
        <v>504400</v>
      </c>
    </row>
    <row r="481" spans="1:7" x14ac:dyDescent="0.25">
      <c r="A481" s="1" t="s">
        <v>604</v>
      </c>
      <c r="B481" s="76">
        <v>28.898544000000001</v>
      </c>
      <c r="C481" s="76">
        <v>28.898544000000001</v>
      </c>
      <c r="D481" s="76">
        <v>28.459578999999898</v>
      </c>
      <c r="E481" s="76">
        <v>28.679061999999998</v>
      </c>
      <c r="F481" s="76">
        <v>14.390340999999999</v>
      </c>
      <c r="G481" s="79">
        <v>408600</v>
      </c>
    </row>
    <row r="482" spans="1:7" x14ac:dyDescent="0.25">
      <c r="A482" s="1" t="s">
        <v>605</v>
      </c>
      <c r="B482" s="76">
        <v>28.679061999999998</v>
      </c>
      <c r="C482" s="76">
        <v>28.825384</v>
      </c>
      <c r="D482" s="76">
        <v>28.569320999999999</v>
      </c>
      <c r="E482" s="76">
        <v>28.752223999999998</v>
      </c>
      <c r="F482" s="76">
        <v>14.427049999999999</v>
      </c>
      <c r="G482" s="79">
        <v>440400</v>
      </c>
    </row>
    <row r="483" spans="1:7" x14ac:dyDescent="0.25">
      <c r="A483" s="1" t="s">
        <v>606</v>
      </c>
      <c r="B483" s="76">
        <v>28.752223999999998</v>
      </c>
      <c r="C483" s="76">
        <v>28.752223999999998</v>
      </c>
      <c r="D483" s="76">
        <v>28.349837999999998</v>
      </c>
      <c r="E483" s="76">
        <v>28.53274</v>
      </c>
      <c r="F483" s="76">
        <v>14.316922999999999</v>
      </c>
      <c r="G483" s="79">
        <v>823500</v>
      </c>
    </row>
    <row r="484" spans="1:7" x14ac:dyDescent="0.25">
      <c r="A484" s="1" t="s">
        <v>607</v>
      </c>
      <c r="B484" s="76">
        <v>28.503477</v>
      </c>
      <c r="C484" s="76">
        <v>28.883913</v>
      </c>
      <c r="D484" s="76">
        <v>28.503477</v>
      </c>
      <c r="E484" s="76">
        <v>28.752223999999998</v>
      </c>
      <c r="F484" s="76">
        <v>14.427049999999999</v>
      </c>
      <c r="G484" s="79">
        <v>460000</v>
      </c>
    </row>
    <row r="485" spans="1:7" x14ac:dyDescent="0.25">
      <c r="A485" s="1" t="s">
        <v>608</v>
      </c>
      <c r="B485" s="76">
        <v>28.788803000000001</v>
      </c>
      <c r="C485" s="76">
        <v>29.410671000000001</v>
      </c>
      <c r="D485" s="76">
        <v>28.788803000000001</v>
      </c>
      <c r="E485" s="76">
        <v>29.183871999999901</v>
      </c>
      <c r="F485" s="76">
        <v>14.6436429999999</v>
      </c>
      <c r="G485" s="79">
        <v>1108200</v>
      </c>
    </row>
    <row r="486" spans="1:7" x14ac:dyDescent="0.25">
      <c r="A486" s="1" t="s">
        <v>609</v>
      </c>
      <c r="B486" s="76">
        <v>29.183871999999901</v>
      </c>
      <c r="C486" s="76">
        <v>29.791107</v>
      </c>
      <c r="D486" s="76">
        <v>29.125343000000001</v>
      </c>
      <c r="E486" s="76">
        <v>29.630153999999902</v>
      </c>
      <c r="F486" s="76">
        <v>14.867576999999899</v>
      </c>
      <c r="G486" s="79">
        <v>415800</v>
      </c>
    </row>
    <row r="487" spans="1:7" x14ac:dyDescent="0.25">
      <c r="A487" s="1" t="s">
        <v>610</v>
      </c>
      <c r="B487" s="76">
        <v>29.63747</v>
      </c>
      <c r="C487" s="76">
        <v>29.63747</v>
      </c>
      <c r="D487" s="76">
        <v>29.491147999999999</v>
      </c>
      <c r="E487" s="76">
        <v>29.578940999999901</v>
      </c>
      <c r="F487" s="76">
        <v>14.841872</v>
      </c>
      <c r="G487" s="79">
        <v>140800</v>
      </c>
    </row>
    <row r="488" spans="1:7" x14ac:dyDescent="0.25">
      <c r="A488" s="1" t="s">
        <v>611</v>
      </c>
      <c r="B488" s="76">
        <v>29.578940999999901</v>
      </c>
      <c r="C488" s="76">
        <v>29.578940999999901</v>
      </c>
      <c r="D488" s="76">
        <v>28.854648999999998</v>
      </c>
      <c r="E488" s="76">
        <v>29.257031999999999</v>
      </c>
      <c r="F488" s="76">
        <v>14.680350000000001</v>
      </c>
      <c r="G488" s="79">
        <v>389900</v>
      </c>
    </row>
    <row r="489" spans="1:7" x14ac:dyDescent="0.25">
      <c r="A489" s="1" t="s">
        <v>612</v>
      </c>
      <c r="B489" s="76">
        <v>29.118027000000001</v>
      </c>
      <c r="C489" s="76">
        <v>29.586258000000001</v>
      </c>
      <c r="D489" s="76">
        <v>29.118027000000001</v>
      </c>
      <c r="E489" s="76">
        <v>29.454566999999901</v>
      </c>
      <c r="F489" s="76">
        <v>14.779469000000001</v>
      </c>
      <c r="G489" s="79">
        <v>338600</v>
      </c>
    </row>
    <row r="490" spans="1:7" x14ac:dyDescent="0.25">
      <c r="A490" s="1" t="s">
        <v>613</v>
      </c>
      <c r="B490" s="76">
        <v>29.2716659999999</v>
      </c>
      <c r="C490" s="76">
        <v>29.556992999999999</v>
      </c>
      <c r="D490" s="76">
        <v>29.022919000000002</v>
      </c>
      <c r="E490" s="76">
        <v>29.352141999999901</v>
      </c>
      <c r="F490" s="76">
        <v>14.728073999999999</v>
      </c>
      <c r="G490" s="79">
        <v>504300</v>
      </c>
    </row>
    <row r="491" spans="1:7" x14ac:dyDescent="0.25">
      <c r="A491" s="1" t="s">
        <v>614</v>
      </c>
      <c r="B491" s="76">
        <v>29.352141999999901</v>
      </c>
      <c r="C491" s="76">
        <v>29.403354999999902</v>
      </c>
      <c r="D491" s="76">
        <v>29.191189000000001</v>
      </c>
      <c r="E491" s="76">
        <v>29.257031999999999</v>
      </c>
      <c r="F491" s="76">
        <v>14.680350000000001</v>
      </c>
      <c r="G491" s="79">
        <v>685900</v>
      </c>
    </row>
    <row r="492" spans="1:7" x14ac:dyDescent="0.25">
      <c r="A492" s="1" t="s">
        <v>615</v>
      </c>
      <c r="B492" s="76">
        <v>29.249717999999898</v>
      </c>
      <c r="C492" s="76">
        <v>29.593572999999999</v>
      </c>
      <c r="D492" s="76">
        <v>29.191189000000001</v>
      </c>
      <c r="E492" s="76">
        <v>29.593572999999999</v>
      </c>
      <c r="F492" s="76">
        <v>14.849216</v>
      </c>
      <c r="G492" s="79">
        <v>3544700</v>
      </c>
    </row>
    <row r="493" spans="1:7" x14ac:dyDescent="0.25">
      <c r="A493" s="1" t="s">
        <v>616</v>
      </c>
      <c r="B493" s="76">
        <v>29.593572999999999</v>
      </c>
      <c r="C493" s="76">
        <v>29.959377</v>
      </c>
      <c r="D493" s="76">
        <v>29.410671000000001</v>
      </c>
      <c r="E493" s="76">
        <v>29.527728999999901</v>
      </c>
      <c r="F493" s="76">
        <v>14.816174999999999</v>
      </c>
      <c r="G493" s="79">
        <v>3248100</v>
      </c>
    </row>
    <row r="494" spans="1:7" x14ac:dyDescent="0.25">
      <c r="A494" s="1" t="s">
        <v>617</v>
      </c>
      <c r="B494" s="76">
        <v>29.630153999999902</v>
      </c>
      <c r="C494" s="76">
        <v>30.069118</v>
      </c>
      <c r="D494" s="76">
        <v>29.630153999999902</v>
      </c>
      <c r="E494" s="76">
        <v>29.856953000000001</v>
      </c>
      <c r="F494" s="76">
        <v>14.981369000000001</v>
      </c>
      <c r="G494" s="79">
        <v>532200</v>
      </c>
    </row>
    <row r="495" spans="1:7" x14ac:dyDescent="0.25">
      <c r="A495" s="1" t="s">
        <v>618</v>
      </c>
      <c r="B495" s="76">
        <v>29.849636</v>
      </c>
      <c r="C495" s="76">
        <v>30.178859999999901</v>
      </c>
      <c r="D495" s="76">
        <v>29.776475999999999</v>
      </c>
      <c r="E495" s="76">
        <v>29.995958000000002</v>
      </c>
      <c r="F495" s="76">
        <v>15.051126</v>
      </c>
      <c r="G495" s="79">
        <v>672400</v>
      </c>
    </row>
    <row r="496" spans="1:7" x14ac:dyDescent="0.25">
      <c r="A496" s="1" t="s">
        <v>619</v>
      </c>
      <c r="B496" s="76">
        <v>30.1276469999999</v>
      </c>
      <c r="C496" s="76">
        <v>30.1276469999999</v>
      </c>
      <c r="D496" s="76">
        <v>29.981324999999998</v>
      </c>
      <c r="E496" s="76">
        <v>29.988641999999999</v>
      </c>
      <c r="F496" s="76">
        <v>15.047451000000001</v>
      </c>
      <c r="G496" s="79">
        <v>239900</v>
      </c>
    </row>
    <row r="497" spans="1:7" x14ac:dyDescent="0.25">
      <c r="A497" s="1" t="s">
        <v>620</v>
      </c>
      <c r="B497" s="76">
        <v>29.988641999999999</v>
      </c>
      <c r="C497" s="76">
        <v>30.061802</v>
      </c>
      <c r="D497" s="76">
        <v>29.886216999999998</v>
      </c>
      <c r="E497" s="76">
        <v>30.032536999999898</v>
      </c>
      <c r="F497" s="76">
        <v>15.069476999999999</v>
      </c>
      <c r="G497" s="79">
        <v>957900</v>
      </c>
    </row>
    <row r="498" spans="1:7" x14ac:dyDescent="0.25">
      <c r="A498" s="1" t="s">
        <v>621</v>
      </c>
      <c r="B498" s="76">
        <v>30.178859999999901</v>
      </c>
      <c r="C498" s="76">
        <v>30.178859999999901</v>
      </c>
      <c r="D498" s="76">
        <v>30.047170999999999</v>
      </c>
      <c r="E498" s="76">
        <v>30.047170999999999</v>
      </c>
      <c r="F498" s="76">
        <v>15.076822</v>
      </c>
      <c r="G498" s="79">
        <v>116200</v>
      </c>
    </row>
    <row r="499" spans="1:7" x14ac:dyDescent="0.25">
      <c r="A499" s="1" t="s">
        <v>622</v>
      </c>
      <c r="B499" s="76">
        <v>29.995958000000002</v>
      </c>
      <c r="C499" s="76">
        <v>30.105699999999999</v>
      </c>
      <c r="D499" s="76">
        <v>29.995958000000002</v>
      </c>
      <c r="E499" s="76">
        <v>30.017906</v>
      </c>
      <c r="F499" s="76">
        <v>15.176689999999899</v>
      </c>
      <c r="G499" s="79">
        <v>864900</v>
      </c>
    </row>
    <row r="500" spans="1:7" x14ac:dyDescent="0.25">
      <c r="A500" s="1" t="s">
        <v>623</v>
      </c>
      <c r="B500" s="76">
        <v>30.017906</v>
      </c>
      <c r="C500" s="76">
        <v>30.237389</v>
      </c>
      <c r="D500" s="76">
        <v>29.966694</v>
      </c>
      <c r="E500" s="76">
        <v>30.091065999999898</v>
      </c>
      <c r="F500" s="76">
        <v>15.2136829999999</v>
      </c>
      <c r="G500" s="79">
        <v>284300</v>
      </c>
    </row>
    <row r="501" spans="1:7" x14ac:dyDescent="0.25">
      <c r="A501" s="1" t="s">
        <v>624</v>
      </c>
      <c r="B501" s="76">
        <v>30.032536999999898</v>
      </c>
      <c r="C501" s="76">
        <v>30.581244999999999</v>
      </c>
      <c r="D501" s="76">
        <v>30.032536999999898</v>
      </c>
      <c r="E501" s="76">
        <v>30.471503999999999</v>
      </c>
      <c r="F501" s="76">
        <v>15.406023999999899</v>
      </c>
      <c r="G501" s="79">
        <v>356100</v>
      </c>
    </row>
    <row r="502" spans="1:7" x14ac:dyDescent="0.25">
      <c r="A502" s="1" t="s">
        <v>625</v>
      </c>
      <c r="B502" s="76">
        <v>30.508082999999999</v>
      </c>
      <c r="C502" s="76">
        <v>30.7495159999999</v>
      </c>
      <c r="D502" s="76">
        <v>30.244705</v>
      </c>
      <c r="E502" s="76">
        <v>30.434922999999898</v>
      </c>
      <c r="F502" s="76">
        <v>15.387532</v>
      </c>
      <c r="G502" s="79">
        <v>432700</v>
      </c>
    </row>
    <row r="503" spans="1:7" x14ac:dyDescent="0.25">
      <c r="A503" s="1" t="s">
        <v>626</v>
      </c>
      <c r="B503" s="76">
        <v>30.544664000000001</v>
      </c>
      <c r="C503" s="76">
        <v>30.7275659999999</v>
      </c>
      <c r="D503" s="76">
        <v>29.922796000000002</v>
      </c>
      <c r="E503" s="76">
        <v>30.690987</v>
      </c>
      <c r="F503" s="76">
        <v>15.516994</v>
      </c>
      <c r="G503" s="79">
        <v>587700</v>
      </c>
    </row>
    <row r="504" spans="1:7" x14ac:dyDescent="0.25">
      <c r="A504" s="1" t="s">
        <v>627</v>
      </c>
      <c r="B504" s="76">
        <v>30.544664000000001</v>
      </c>
      <c r="C504" s="76">
        <v>30.983628999999901</v>
      </c>
      <c r="D504" s="76">
        <v>30.544664000000001</v>
      </c>
      <c r="E504" s="76">
        <v>30.7275659999999</v>
      </c>
      <c r="F504" s="76">
        <v>15.535482</v>
      </c>
      <c r="G504" s="79">
        <v>607500</v>
      </c>
    </row>
    <row r="505" spans="1:7" x14ac:dyDescent="0.25">
      <c r="A505" s="1" t="s">
        <v>628</v>
      </c>
      <c r="B505" s="76">
        <v>31.020209999999999</v>
      </c>
      <c r="C505" s="76">
        <v>31.020209999999999</v>
      </c>
      <c r="D505" s="76">
        <v>30.544664000000001</v>
      </c>
      <c r="E505" s="76">
        <v>30.690987</v>
      </c>
      <c r="F505" s="76">
        <v>15.516994</v>
      </c>
      <c r="G505" s="79">
        <v>420800</v>
      </c>
    </row>
    <row r="506" spans="1:7" x14ac:dyDescent="0.25">
      <c r="A506" s="1" t="s">
        <v>629</v>
      </c>
      <c r="B506" s="76">
        <v>30.800727999999999</v>
      </c>
      <c r="C506" s="76">
        <v>31.027526999999999</v>
      </c>
      <c r="D506" s="76">
        <v>30.764146999999902</v>
      </c>
      <c r="E506" s="76">
        <v>30.947050000000001</v>
      </c>
      <c r="F506" s="76">
        <v>15.646451999999901</v>
      </c>
      <c r="G506" s="79">
        <v>260100</v>
      </c>
    </row>
    <row r="507" spans="1:7" x14ac:dyDescent="0.25">
      <c r="A507" s="1" t="s">
        <v>630</v>
      </c>
      <c r="B507" s="76">
        <v>30.947050000000001</v>
      </c>
      <c r="C507" s="76">
        <v>30.947050000000001</v>
      </c>
      <c r="D507" s="76">
        <v>30.654405999999899</v>
      </c>
      <c r="E507" s="76">
        <v>30.712934000000001</v>
      </c>
      <c r="F507" s="76">
        <v>15.528091</v>
      </c>
      <c r="G507" s="79">
        <v>445300</v>
      </c>
    </row>
    <row r="508" spans="1:7" x14ac:dyDescent="0.25">
      <c r="A508" s="1" t="s">
        <v>631</v>
      </c>
      <c r="B508" s="76">
        <v>31.020209999999999</v>
      </c>
      <c r="C508" s="76">
        <v>31.020209999999999</v>
      </c>
      <c r="D508" s="76">
        <v>30.661721999999902</v>
      </c>
      <c r="E508" s="76">
        <v>30.669039000000001</v>
      </c>
      <c r="F508" s="76">
        <v>15.505892999999899</v>
      </c>
      <c r="G508" s="79">
        <v>1041100</v>
      </c>
    </row>
    <row r="509" spans="1:7" x14ac:dyDescent="0.25">
      <c r="A509" s="1" t="s">
        <v>632</v>
      </c>
      <c r="B509" s="76">
        <v>30.844624</v>
      </c>
      <c r="C509" s="76">
        <v>30.947050000000001</v>
      </c>
      <c r="D509" s="76">
        <v>30.661721999999902</v>
      </c>
      <c r="E509" s="76">
        <v>30.7275659999999</v>
      </c>
      <c r="F509" s="76">
        <v>15.535482</v>
      </c>
      <c r="G509" s="79">
        <v>972000</v>
      </c>
    </row>
    <row r="510" spans="1:7" x14ac:dyDescent="0.25">
      <c r="A510" s="1" t="s">
        <v>633</v>
      </c>
      <c r="B510" s="76">
        <v>30.7275659999999</v>
      </c>
      <c r="C510" s="76">
        <v>30.7275659999999</v>
      </c>
      <c r="D510" s="76">
        <v>30.669039000000001</v>
      </c>
      <c r="E510" s="76">
        <v>30.7275659999999</v>
      </c>
      <c r="F510" s="76">
        <v>15.535482</v>
      </c>
      <c r="G510" s="79">
        <v>351200</v>
      </c>
    </row>
    <row r="511" spans="1:7" x14ac:dyDescent="0.25">
      <c r="A511" s="1" t="s">
        <v>634</v>
      </c>
      <c r="B511" s="76">
        <v>30.7275659999999</v>
      </c>
      <c r="C511" s="76">
        <v>31.020209999999999</v>
      </c>
      <c r="D511" s="76">
        <v>30.588559999999902</v>
      </c>
      <c r="E511" s="76">
        <v>31.020209999999999</v>
      </c>
      <c r="F511" s="76">
        <v>15.683438000000001</v>
      </c>
      <c r="G511" s="79">
        <v>622500</v>
      </c>
    </row>
    <row r="512" spans="1:7" x14ac:dyDescent="0.25">
      <c r="A512" s="1" t="s">
        <v>635</v>
      </c>
      <c r="B512" s="76">
        <v>31.09337</v>
      </c>
      <c r="C512" s="76">
        <v>31.166533000000001</v>
      </c>
      <c r="D512" s="76">
        <v>30.961680999999999</v>
      </c>
      <c r="E512" s="76">
        <v>31.020209999999999</v>
      </c>
      <c r="F512" s="76">
        <v>15.683438000000001</v>
      </c>
      <c r="G512" s="79">
        <v>307400</v>
      </c>
    </row>
    <row r="513" spans="1:7" x14ac:dyDescent="0.25">
      <c r="A513" s="1" t="s">
        <v>636</v>
      </c>
      <c r="B513" s="76">
        <v>31.020209999999999</v>
      </c>
      <c r="C513" s="76">
        <v>31.122634999999999</v>
      </c>
      <c r="D513" s="76">
        <v>30.734881999999999</v>
      </c>
      <c r="E513" s="76">
        <v>30.851939999999999</v>
      </c>
      <c r="F513" s="76">
        <v>15.598373</v>
      </c>
      <c r="G513" s="79">
        <v>392600</v>
      </c>
    </row>
    <row r="514" spans="1:7" x14ac:dyDescent="0.25">
      <c r="A514" s="1" t="s">
        <v>637</v>
      </c>
      <c r="B514" s="76">
        <v>30.873888000000001</v>
      </c>
      <c r="C514" s="76">
        <v>31.159215999999901</v>
      </c>
      <c r="D514" s="76">
        <v>30.873888000000001</v>
      </c>
      <c r="E514" s="76">
        <v>30.932416999999901</v>
      </c>
      <c r="F514" s="76">
        <v>15.639056</v>
      </c>
      <c r="G514" s="79">
        <v>414400</v>
      </c>
    </row>
    <row r="515" spans="1:7" x14ac:dyDescent="0.25">
      <c r="A515" s="1" t="s">
        <v>638</v>
      </c>
      <c r="B515" s="76">
        <v>30.990946000000001</v>
      </c>
      <c r="C515" s="76">
        <v>30.990946000000001</v>
      </c>
      <c r="D515" s="76">
        <v>30.778779999999902</v>
      </c>
      <c r="E515" s="76">
        <v>30.778779999999902</v>
      </c>
      <c r="F515" s="76">
        <v>15.561379000000001</v>
      </c>
      <c r="G515" s="79">
        <v>518600</v>
      </c>
    </row>
    <row r="516" spans="1:7" x14ac:dyDescent="0.25">
      <c r="A516" s="1" t="s">
        <v>639</v>
      </c>
      <c r="B516" s="76">
        <v>30.793410999999999</v>
      </c>
      <c r="C516" s="76">
        <v>30.873888000000001</v>
      </c>
      <c r="D516" s="76">
        <v>30.764146999999902</v>
      </c>
      <c r="E516" s="76">
        <v>30.859256999999999</v>
      </c>
      <c r="F516" s="76">
        <v>15.602066000000001</v>
      </c>
      <c r="G516" s="79">
        <v>535700</v>
      </c>
    </row>
    <row r="517" spans="1:7" x14ac:dyDescent="0.25">
      <c r="A517" s="1" t="s">
        <v>640</v>
      </c>
      <c r="B517" s="76">
        <v>30.866571</v>
      </c>
      <c r="C517" s="76">
        <v>30.873888000000001</v>
      </c>
      <c r="D517" s="76">
        <v>30.786095</v>
      </c>
      <c r="E517" s="76">
        <v>30.837309000000001</v>
      </c>
      <c r="F517" s="76">
        <v>15.590973</v>
      </c>
      <c r="G517" s="79">
        <v>601100</v>
      </c>
    </row>
    <row r="518" spans="1:7" x14ac:dyDescent="0.25">
      <c r="A518" s="1" t="s">
        <v>641</v>
      </c>
      <c r="B518" s="76">
        <v>30.837309000000001</v>
      </c>
      <c r="C518" s="76">
        <v>31.056790999999901</v>
      </c>
      <c r="D518" s="76">
        <v>30.7495159999999</v>
      </c>
      <c r="E518" s="76">
        <v>31.005576999999999</v>
      </c>
      <c r="F518" s="76">
        <v>15.676041</v>
      </c>
      <c r="G518" s="79">
        <v>547600</v>
      </c>
    </row>
    <row r="519" spans="1:7" x14ac:dyDescent="0.25">
      <c r="A519" s="1" t="s">
        <v>642</v>
      </c>
      <c r="B519" s="76">
        <v>31.09337</v>
      </c>
      <c r="C519" s="76">
        <v>31.129950999999998</v>
      </c>
      <c r="D519" s="76">
        <v>30.800727999999999</v>
      </c>
      <c r="E519" s="76">
        <v>30.844624</v>
      </c>
      <c r="F519" s="76">
        <v>15.594670000000001</v>
      </c>
      <c r="G519" s="79">
        <v>307600</v>
      </c>
    </row>
    <row r="520" spans="1:7" x14ac:dyDescent="0.25">
      <c r="A520" s="1" t="s">
        <v>643</v>
      </c>
      <c r="B520" s="76">
        <v>30.895835999999999</v>
      </c>
      <c r="C520" s="76">
        <v>30.895835999999999</v>
      </c>
      <c r="D520" s="76">
        <v>30.7495159999999</v>
      </c>
      <c r="E520" s="76">
        <v>30.851939999999999</v>
      </c>
      <c r="F520" s="76">
        <v>15.598373</v>
      </c>
      <c r="G520" s="79">
        <v>519300</v>
      </c>
    </row>
    <row r="521" spans="1:7" x14ac:dyDescent="0.25">
      <c r="A521" s="1" t="s">
        <v>644</v>
      </c>
      <c r="B521" s="76">
        <v>30.910468999999999</v>
      </c>
      <c r="C521" s="76">
        <v>31.042158000000001</v>
      </c>
      <c r="D521" s="76">
        <v>30.800727999999999</v>
      </c>
      <c r="E521" s="76">
        <v>30.800727999999999</v>
      </c>
      <c r="F521" s="76">
        <v>15.572478</v>
      </c>
      <c r="G521" s="79">
        <v>760800</v>
      </c>
    </row>
    <row r="522" spans="1:7" x14ac:dyDescent="0.25">
      <c r="A522" s="1" t="s">
        <v>645</v>
      </c>
      <c r="B522" s="76">
        <v>30.808043999999999</v>
      </c>
      <c r="C522" s="76">
        <v>31.09337</v>
      </c>
      <c r="D522" s="76">
        <v>30.793410999999999</v>
      </c>
      <c r="E522" s="76">
        <v>30.983628999999901</v>
      </c>
      <c r="F522" s="76">
        <v>15.664948000000001</v>
      </c>
      <c r="G522" s="79">
        <v>588100</v>
      </c>
    </row>
    <row r="523" spans="1:7" x14ac:dyDescent="0.25">
      <c r="A523" s="1" t="s">
        <v>646</v>
      </c>
      <c r="B523" s="76">
        <v>30.837309000000001</v>
      </c>
      <c r="C523" s="76">
        <v>31.327485999999901</v>
      </c>
      <c r="D523" s="76">
        <v>30.778779999999902</v>
      </c>
      <c r="E523" s="76">
        <v>31.210428</v>
      </c>
      <c r="F523" s="76">
        <v>16.029423000000001</v>
      </c>
      <c r="G523" s="79">
        <v>998400</v>
      </c>
    </row>
    <row r="524" spans="1:7" x14ac:dyDescent="0.25">
      <c r="A524" s="1" t="s">
        <v>647</v>
      </c>
      <c r="B524" s="76">
        <v>31.290904999999999</v>
      </c>
      <c r="C524" s="76">
        <v>31.356750000000002</v>
      </c>
      <c r="D524" s="76">
        <v>31.056790999999901</v>
      </c>
      <c r="E524" s="76">
        <v>31.086055999999999</v>
      </c>
      <c r="F524" s="76">
        <v>15.965546</v>
      </c>
      <c r="G524" s="79">
        <v>244100</v>
      </c>
    </row>
    <row r="525" spans="1:7" x14ac:dyDescent="0.25">
      <c r="A525" s="1" t="s">
        <v>648</v>
      </c>
      <c r="B525" s="76">
        <v>31.159215999999901</v>
      </c>
      <c r="C525" s="76">
        <v>31.2982219999999</v>
      </c>
      <c r="D525" s="76">
        <v>30.7275659999999</v>
      </c>
      <c r="E525" s="76">
        <v>30.873888000000001</v>
      </c>
      <c r="F525" s="76">
        <v>15.856574999999999</v>
      </c>
      <c r="G525" s="79">
        <v>537000</v>
      </c>
    </row>
    <row r="526" spans="1:7" x14ac:dyDescent="0.25">
      <c r="A526" s="1" t="s">
        <v>649</v>
      </c>
      <c r="B526" s="76">
        <v>30.764146999999902</v>
      </c>
      <c r="C526" s="76">
        <v>30.968997999999999</v>
      </c>
      <c r="D526" s="76">
        <v>30.617825</v>
      </c>
      <c r="E526" s="76">
        <v>30.7275659999999</v>
      </c>
      <c r="F526" s="76">
        <v>15.781428999999999</v>
      </c>
      <c r="G526" s="79">
        <v>292700</v>
      </c>
    </row>
    <row r="527" spans="1:7" x14ac:dyDescent="0.25">
      <c r="A527" s="1" t="s">
        <v>650</v>
      </c>
      <c r="B527" s="76">
        <v>30.844624</v>
      </c>
      <c r="C527" s="76">
        <v>31.129950999999998</v>
      </c>
      <c r="D527" s="76">
        <v>30.610509999999898</v>
      </c>
      <c r="E527" s="76">
        <v>30.954364999999999</v>
      </c>
      <c r="F527" s="76">
        <v>15.897907</v>
      </c>
      <c r="G527" s="79">
        <v>483400</v>
      </c>
    </row>
    <row r="528" spans="1:7" x14ac:dyDescent="0.25">
      <c r="A528" s="1" t="s">
        <v>651</v>
      </c>
      <c r="B528" s="76">
        <v>30.954364999999999</v>
      </c>
      <c r="C528" s="76">
        <v>31.064105999999999</v>
      </c>
      <c r="D528" s="76">
        <v>30.712934000000001</v>
      </c>
      <c r="E528" s="76">
        <v>30.712934000000001</v>
      </c>
      <c r="F528" s="76">
        <v>15.773913</v>
      </c>
      <c r="G528" s="79">
        <v>287800</v>
      </c>
    </row>
    <row r="529" spans="1:7" x14ac:dyDescent="0.25">
      <c r="A529" s="1" t="s">
        <v>652</v>
      </c>
      <c r="B529" s="76">
        <v>30.873888000000001</v>
      </c>
      <c r="C529" s="76">
        <v>30.895835999999999</v>
      </c>
      <c r="D529" s="76">
        <v>30.252021999999901</v>
      </c>
      <c r="E529" s="76">
        <v>30.647089000000001</v>
      </c>
      <c r="F529" s="76">
        <v>15.740095</v>
      </c>
      <c r="G529" s="79">
        <v>441500</v>
      </c>
    </row>
    <row r="530" spans="1:7" x14ac:dyDescent="0.25">
      <c r="A530" s="1" t="s">
        <v>653</v>
      </c>
      <c r="B530" s="76">
        <v>30.654405999999899</v>
      </c>
      <c r="C530" s="76">
        <v>30.888521000000001</v>
      </c>
      <c r="D530" s="76">
        <v>30.551981000000001</v>
      </c>
      <c r="E530" s="76">
        <v>30.851939999999999</v>
      </c>
      <c r="F530" s="76">
        <v>15.845300999999999</v>
      </c>
      <c r="G530" s="79">
        <v>480700</v>
      </c>
    </row>
    <row r="531" spans="1:7" x14ac:dyDescent="0.25">
      <c r="A531" s="1" t="s">
        <v>654</v>
      </c>
      <c r="B531" s="76">
        <v>30.873888000000001</v>
      </c>
      <c r="C531" s="76">
        <v>31.056790999999901</v>
      </c>
      <c r="D531" s="76">
        <v>30.808043999999999</v>
      </c>
      <c r="E531" s="76">
        <v>30.947050000000001</v>
      </c>
      <c r="F531" s="76">
        <v>15.894156000000001</v>
      </c>
      <c r="G531" s="79">
        <v>339600</v>
      </c>
    </row>
    <row r="532" spans="1:7" x14ac:dyDescent="0.25">
      <c r="A532" s="1" t="s">
        <v>655</v>
      </c>
      <c r="B532" s="76">
        <v>30.939734000000001</v>
      </c>
      <c r="C532" s="76">
        <v>31.027526999999999</v>
      </c>
      <c r="D532" s="76">
        <v>30.844624</v>
      </c>
      <c r="E532" s="76">
        <v>31.020209999999999</v>
      </c>
      <c r="F532" s="76">
        <v>15.931732</v>
      </c>
      <c r="G532" s="79">
        <v>513100</v>
      </c>
    </row>
    <row r="533" spans="1:7" x14ac:dyDescent="0.25">
      <c r="A533" s="1" t="s">
        <v>656</v>
      </c>
      <c r="B533" s="76">
        <v>31.020209999999999</v>
      </c>
      <c r="C533" s="76">
        <v>31.276274000000001</v>
      </c>
      <c r="D533" s="76">
        <v>30.910468999999999</v>
      </c>
      <c r="E533" s="76">
        <v>31.203112000000001</v>
      </c>
      <c r="F533" s="76">
        <v>16.025670999999999</v>
      </c>
      <c r="G533" s="79">
        <v>241000</v>
      </c>
    </row>
    <row r="534" spans="1:7" x14ac:dyDescent="0.25">
      <c r="A534" s="1" t="s">
        <v>657</v>
      </c>
      <c r="B534" s="76">
        <v>31.312853</v>
      </c>
      <c r="C534" s="76">
        <v>31.327485999999901</v>
      </c>
      <c r="D534" s="76">
        <v>31.005576999999999</v>
      </c>
      <c r="E534" s="76">
        <v>31.020209999999999</v>
      </c>
      <c r="F534" s="76">
        <v>15.931732</v>
      </c>
      <c r="G534" s="79">
        <v>410900</v>
      </c>
    </row>
    <row r="535" spans="1:7" x14ac:dyDescent="0.25">
      <c r="A535" s="1" t="s">
        <v>658</v>
      </c>
      <c r="B535" s="76">
        <v>31.166533000000001</v>
      </c>
      <c r="C535" s="76">
        <v>31.495756</v>
      </c>
      <c r="D535" s="76">
        <v>31.108003999999902</v>
      </c>
      <c r="E535" s="76">
        <v>31.415278999999899</v>
      </c>
      <c r="F535" s="76">
        <v>16.134635999999901</v>
      </c>
      <c r="G535" s="79">
        <v>527100</v>
      </c>
    </row>
    <row r="536" spans="1:7" x14ac:dyDescent="0.25">
      <c r="A536" s="1" t="s">
        <v>659</v>
      </c>
      <c r="B536" s="76">
        <v>31.451858999999999</v>
      </c>
      <c r="C536" s="76">
        <v>31.6054969999999</v>
      </c>
      <c r="D536" s="76">
        <v>31.400645999999998</v>
      </c>
      <c r="E536" s="76">
        <v>31.6054969999999</v>
      </c>
      <c r="F536" s="76">
        <v>16.232329999999902</v>
      </c>
      <c r="G536" s="79">
        <v>796100</v>
      </c>
    </row>
    <row r="537" spans="1:7" x14ac:dyDescent="0.25">
      <c r="A537" s="1" t="s">
        <v>660</v>
      </c>
      <c r="B537" s="76">
        <v>31.642078000000001</v>
      </c>
      <c r="C537" s="76">
        <v>31.729869999999998</v>
      </c>
      <c r="D537" s="76">
        <v>31.09337</v>
      </c>
      <c r="E537" s="76">
        <v>31.108003999999902</v>
      </c>
      <c r="F537" s="76">
        <v>15.97682</v>
      </c>
      <c r="G537" s="79">
        <v>522900</v>
      </c>
    </row>
    <row r="538" spans="1:7" x14ac:dyDescent="0.25">
      <c r="A538" s="1" t="s">
        <v>661</v>
      </c>
      <c r="B538" s="76">
        <v>31.181163999999999</v>
      </c>
      <c r="C538" s="76">
        <v>31.422594</v>
      </c>
      <c r="D538" s="76">
        <v>31.09337</v>
      </c>
      <c r="E538" s="76">
        <v>31.261640999999901</v>
      </c>
      <c r="F538" s="76">
        <v>16.055726999999901</v>
      </c>
      <c r="G538" s="79">
        <v>351100</v>
      </c>
    </row>
    <row r="539" spans="1:7" x14ac:dyDescent="0.25">
      <c r="A539" s="1" t="s">
        <v>662</v>
      </c>
      <c r="B539" s="76">
        <v>31.386015</v>
      </c>
      <c r="C539" s="76">
        <v>31.503072999999901</v>
      </c>
      <c r="D539" s="76">
        <v>31.349433999999999</v>
      </c>
      <c r="E539" s="76">
        <v>31.429910999999901</v>
      </c>
      <c r="F539" s="76">
        <v>16.142153</v>
      </c>
      <c r="G539" s="79">
        <v>281000</v>
      </c>
    </row>
    <row r="540" spans="1:7" x14ac:dyDescent="0.25">
      <c r="A540" s="1" t="s">
        <v>663</v>
      </c>
      <c r="B540" s="76">
        <v>31.422594</v>
      </c>
      <c r="C540" s="76">
        <v>31.459174999999998</v>
      </c>
      <c r="D540" s="76">
        <v>30.947050000000001</v>
      </c>
      <c r="E540" s="76">
        <v>31.020209999999999</v>
      </c>
      <c r="F540" s="76">
        <v>15.931732</v>
      </c>
      <c r="G540" s="79">
        <v>516100</v>
      </c>
    </row>
    <row r="541" spans="1:7" x14ac:dyDescent="0.25">
      <c r="A541" s="1" t="s">
        <v>664</v>
      </c>
      <c r="B541" s="76">
        <v>30.873888000000001</v>
      </c>
      <c r="C541" s="76">
        <v>30.903151999999999</v>
      </c>
      <c r="D541" s="76">
        <v>30.559297999999998</v>
      </c>
      <c r="E541" s="76">
        <v>30.566611999999999</v>
      </c>
      <c r="F541" s="76">
        <v>15.6987589999999</v>
      </c>
      <c r="G541" s="79">
        <v>1520300</v>
      </c>
    </row>
    <row r="542" spans="1:7" x14ac:dyDescent="0.25">
      <c r="A542" s="1" t="s">
        <v>665</v>
      </c>
      <c r="B542" s="76">
        <v>30.566611999999999</v>
      </c>
      <c r="C542" s="76">
        <v>30.654405999999899</v>
      </c>
      <c r="D542" s="76">
        <v>30.566611999999999</v>
      </c>
      <c r="E542" s="76">
        <v>30.581244999999999</v>
      </c>
      <c r="F542" s="76">
        <v>15.706282</v>
      </c>
      <c r="G542" s="79">
        <v>764700</v>
      </c>
    </row>
    <row r="543" spans="1:7" x14ac:dyDescent="0.25">
      <c r="A543" s="1" t="s">
        <v>666</v>
      </c>
      <c r="B543" s="76">
        <v>30.581244999999999</v>
      </c>
      <c r="C543" s="76">
        <v>30.7275659999999</v>
      </c>
      <c r="D543" s="76">
        <v>30.398342</v>
      </c>
      <c r="E543" s="76">
        <v>30.720251000000001</v>
      </c>
      <c r="F543" s="76">
        <v>15.777666999999999</v>
      </c>
      <c r="G543" s="79">
        <v>777900</v>
      </c>
    </row>
    <row r="544" spans="1:7" x14ac:dyDescent="0.25">
      <c r="A544" s="1" t="s">
        <v>667</v>
      </c>
      <c r="B544" s="76">
        <v>30.588559999999902</v>
      </c>
      <c r="C544" s="76">
        <v>30.895835999999999</v>
      </c>
      <c r="D544" s="76">
        <v>30.588559999999902</v>
      </c>
      <c r="E544" s="76">
        <v>30.873888000000001</v>
      </c>
      <c r="F544" s="76">
        <v>15.856574999999999</v>
      </c>
      <c r="G544" s="79">
        <v>821000</v>
      </c>
    </row>
    <row r="545" spans="1:7" x14ac:dyDescent="0.25">
      <c r="A545" s="1" t="s">
        <v>668</v>
      </c>
      <c r="B545" s="76">
        <v>30.910468999999999</v>
      </c>
      <c r="C545" s="76">
        <v>32.117621999999997</v>
      </c>
      <c r="D545" s="76">
        <v>30.910468999999999</v>
      </c>
      <c r="E545" s="76">
        <v>31.898140000000001</v>
      </c>
      <c r="F545" s="76">
        <v>16.382625999999998</v>
      </c>
      <c r="G545" s="79">
        <v>831000</v>
      </c>
    </row>
    <row r="546" spans="1:7" x14ac:dyDescent="0.25">
      <c r="A546" s="1" t="s">
        <v>669</v>
      </c>
      <c r="B546" s="76">
        <v>31.971302000000001</v>
      </c>
      <c r="C546" s="76">
        <v>32.307842000000001</v>
      </c>
      <c r="D546" s="76">
        <v>31.678657999999999</v>
      </c>
      <c r="E546" s="76">
        <v>32.278576000000001</v>
      </c>
      <c r="F546" s="76">
        <v>16.578018</v>
      </c>
      <c r="G546" s="79">
        <v>637300</v>
      </c>
    </row>
    <row r="547" spans="1:7" x14ac:dyDescent="0.25">
      <c r="A547" s="1" t="s">
        <v>670</v>
      </c>
      <c r="B547" s="76">
        <v>32.337105000000001</v>
      </c>
      <c r="C547" s="76">
        <v>32.395634000000001</v>
      </c>
      <c r="D547" s="76">
        <v>32.095675999999997</v>
      </c>
      <c r="E547" s="76">
        <v>32.249313000000001</v>
      </c>
      <c r="F547" s="76">
        <v>16.562985999999999</v>
      </c>
      <c r="G547" s="79">
        <v>351200</v>
      </c>
    </row>
    <row r="548" spans="1:7" x14ac:dyDescent="0.25">
      <c r="A548" s="1" t="s">
        <v>671</v>
      </c>
      <c r="B548" s="76">
        <v>32.322474999999997</v>
      </c>
      <c r="C548" s="76">
        <v>32.395634000000001</v>
      </c>
      <c r="D548" s="76">
        <v>32.102992999999998</v>
      </c>
      <c r="E548" s="76">
        <v>32.168834999999902</v>
      </c>
      <c r="F548" s="76">
        <v>16.521654000000002</v>
      </c>
      <c r="G548" s="79">
        <v>193000</v>
      </c>
    </row>
    <row r="549" spans="1:7" x14ac:dyDescent="0.25">
      <c r="A549" s="1" t="s">
        <v>672</v>
      </c>
      <c r="B549" s="76">
        <v>32.190784000000001</v>
      </c>
      <c r="C549" s="76">
        <v>32.241996999999998</v>
      </c>
      <c r="D549" s="76">
        <v>31.971302000000001</v>
      </c>
      <c r="E549" s="76">
        <v>32.051777000000001</v>
      </c>
      <c r="F549" s="76">
        <v>16.461532999999999</v>
      </c>
      <c r="G549" s="79">
        <v>400700</v>
      </c>
    </row>
    <row r="550" spans="1:7" x14ac:dyDescent="0.25">
      <c r="A550" s="1" t="s">
        <v>673</v>
      </c>
      <c r="B550" s="76">
        <v>32.081043000000001</v>
      </c>
      <c r="C550" s="76">
        <v>32.146889000000002</v>
      </c>
      <c r="D550" s="76">
        <v>32.037147999999902</v>
      </c>
      <c r="E550" s="76">
        <v>32.044463999999998</v>
      </c>
      <c r="F550" s="76">
        <v>16.457777</v>
      </c>
      <c r="G550" s="79">
        <v>342600</v>
      </c>
    </row>
    <row r="551" spans="1:7" x14ac:dyDescent="0.25">
      <c r="A551" s="1" t="s">
        <v>674</v>
      </c>
      <c r="B551" s="76">
        <v>32.007880999999998</v>
      </c>
      <c r="C551" s="76">
        <v>32.307842000000001</v>
      </c>
      <c r="D551" s="76">
        <v>32.007880999999998</v>
      </c>
      <c r="E551" s="76">
        <v>32.190784000000001</v>
      </c>
      <c r="F551" s="76">
        <v>16.532934000000001</v>
      </c>
      <c r="G551" s="79">
        <v>289600</v>
      </c>
    </row>
    <row r="552" spans="1:7" x14ac:dyDescent="0.25">
      <c r="A552" s="1" t="s">
        <v>675</v>
      </c>
      <c r="B552" s="76">
        <v>32.337105000000001</v>
      </c>
      <c r="C552" s="76">
        <v>32.622433000000001</v>
      </c>
      <c r="D552" s="76">
        <v>32.300525999999998</v>
      </c>
      <c r="E552" s="76">
        <v>32.571219999999997</v>
      </c>
      <c r="F552" s="76">
        <v>16.72831</v>
      </c>
      <c r="G552" s="79">
        <v>418200</v>
      </c>
    </row>
    <row r="553" spans="1:7" x14ac:dyDescent="0.25">
      <c r="A553" s="1" t="s">
        <v>676</v>
      </c>
      <c r="B553" s="76">
        <v>32.424900000000001</v>
      </c>
      <c r="C553" s="76">
        <v>33.068714</v>
      </c>
      <c r="D553" s="76">
        <v>32.424900000000001</v>
      </c>
      <c r="E553" s="76">
        <v>32.849232000000001</v>
      </c>
      <c r="F553" s="76">
        <v>16.871098999999901</v>
      </c>
      <c r="G553" s="79">
        <v>550800</v>
      </c>
    </row>
    <row r="554" spans="1:7" x14ac:dyDescent="0.25">
      <c r="A554" s="1" t="s">
        <v>677</v>
      </c>
      <c r="B554" s="76">
        <v>32.885810999999997</v>
      </c>
      <c r="C554" s="76">
        <v>32.885810999999997</v>
      </c>
      <c r="D554" s="76">
        <v>32.337105000000001</v>
      </c>
      <c r="E554" s="76">
        <v>32.695594999999997</v>
      </c>
      <c r="F554" s="76">
        <v>16.792192</v>
      </c>
      <c r="G554" s="79">
        <v>328400</v>
      </c>
    </row>
    <row r="555" spans="1:7" x14ac:dyDescent="0.25">
      <c r="A555" s="1" t="s">
        <v>678</v>
      </c>
      <c r="B555" s="76">
        <v>32.563904000000001</v>
      </c>
      <c r="C555" s="76">
        <v>32.915076999999997</v>
      </c>
      <c r="D555" s="76">
        <v>32.563904000000001</v>
      </c>
      <c r="E555" s="76">
        <v>32.746806999999997</v>
      </c>
      <c r="F555" s="76">
        <v>16.818494999999999</v>
      </c>
      <c r="G555" s="79">
        <v>223000</v>
      </c>
    </row>
    <row r="556" spans="1:7" x14ac:dyDescent="0.25">
      <c r="A556" s="1" t="s">
        <v>679</v>
      </c>
      <c r="B556" s="76">
        <v>32.629748999999997</v>
      </c>
      <c r="C556" s="76">
        <v>32.812652999999997</v>
      </c>
      <c r="D556" s="76">
        <v>32.527324999999998</v>
      </c>
      <c r="E556" s="76">
        <v>32.527324999999998</v>
      </c>
      <c r="F556" s="76">
        <v>16.705773999999899</v>
      </c>
      <c r="G556" s="79">
        <v>245700</v>
      </c>
    </row>
    <row r="557" spans="1:7" x14ac:dyDescent="0.25">
      <c r="A557" s="1" t="s">
        <v>680</v>
      </c>
      <c r="B557" s="76">
        <v>32.373688000000001</v>
      </c>
      <c r="C557" s="76">
        <v>32.659011999999997</v>
      </c>
      <c r="D557" s="76">
        <v>32.293208999999997</v>
      </c>
      <c r="E557" s="76">
        <v>32.629748999999997</v>
      </c>
      <c r="F557" s="76">
        <v>16.758375000000001</v>
      </c>
      <c r="G557" s="79">
        <v>563200</v>
      </c>
    </row>
    <row r="558" spans="1:7" x14ac:dyDescent="0.25">
      <c r="A558" s="1" t="s">
        <v>681</v>
      </c>
      <c r="B558" s="76">
        <v>32.622433000000001</v>
      </c>
      <c r="C558" s="76">
        <v>32.622433000000001</v>
      </c>
      <c r="D558" s="76">
        <v>32.461478999999997</v>
      </c>
      <c r="E558" s="76">
        <v>32.556587</v>
      </c>
      <c r="F558" s="76">
        <v>16.720807999999899</v>
      </c>
      <c r="G558" s="79">
        <v>318400</v>
      </c>
    </row>
    <row r="559" spans="1:7" x14ac:dyDescent="0.25">
      <c r="A559" s="1" t="s">
        <v>682</v>
      </c>
      <c r="B559" s="76">
        <v>32.556587</v>
      </c>
      <c r="C559" s="76">
        <v>32.556587</v>
      </c>
      <c r="D559" s="76">
        <v>32.220046999999902</v>
      </c>
      <c r="E559" s="76">
        <v>32.373688000000001</v>
      </c>
      <c r="F559" s="76">
        <v>16.626857999999999</v>
      </c>
      <c r="G559" s="79">
        <v>301600</v>
      </c>
    </row>
    <row r="560" spans="1:7" x14ac:dyDescent="0.25">
      <c r="A560" s="1" t="s">
        <v>683</v>
      </c>
      <c r="B560" s="76">
        <v>32.373688000000001</v>
      </c>
      <c r="C560" s="76">
        <v>32.549270999999997</v>
      </c>
      <c r="D560" s="76">
        <v>32.205418000000002</v>
      </c>
      <c r="E560" s="76">
        <v>32.373688000000001</v>
      </c>
      <c r="F560" s="76">
        <v>16.626857999999999</v>
      </c>
      <c r="G560" s="79">
        <v>299600</v>
      </c>
    </row>
    <row r="561" spans="1:7" x14ac:dyDescent="0.25">
      <c r="A561" s="1" t="s">
        <v>684</v>
      </c>
      <c r="B561" s="76">
        <v>32.541958000000001</v>
      </c>
      <c r="C561" s="76">
        <v>32.541958000000001</v>
      </c>
      <c r="D561" s="76">
        <v>32.190784000000001</v>
      </c>
      <c r="E561" s="76">
        <v>32.278576000000001</v>
      </c>
      <c r="F561" s="76">
        <v>16.578018</v>
      </c>
      <c r="G561" s="79">
        <v>660700</v>
      </c>
    </row>
    <row r="562" spans="1:7" x14ac:dyDescent="0.25">
      <c r="A562" s="1" t="s">
        <v>685</v>
      </c>
      <c r="B562" s="76">
        <v>32.446846000000001</v>
      </c>
      <c r="C562" s="76">
        <v>32.476112000000001</v>
      </c>
      <c r="D562" s="76">
        <v>32.263946999999902</v>
      </c>
      <c r="E562" s="76">
        <v>32.307842000000001</v>
      </c>
      <c r="F562" s="76">
        <v>16.593052</v>
      </c>
      <c r="G562" s="79">
        <v>634300</v>
      </c>
    </row>
    <row r="563" spans="1:7" x14ac:dyDescent="0.25">
      <c r="A563" s="1" t="s">
        <v>686</v>
      </c>
      <c r="B563" s="76">
        <v>32.373688000000001</v>
      </c>
      <c r="C563" s="76">
        <v>32.578536999999997</v>
      </c>
      <c r="D563" s="76">
        <v>32.234679999999997</v>
      </c>
      <c r="E563" s="76">
        <v>32.556587</v>
      </c>
      <c r="F563" s="76">
        <v>16.720807999999899</v>
      </c>
      <c r="G563" s="79">
        <v>369400</v>
      </c>
    </row>
    <row r="564" spans="1:7" x14ac:dyDescent="0.25">
      <c r="A564" s="1" t="s">
        <v>687</v>
      </c>
      <c r="B564" s="76">
        <v>32.629748999999997</v>
      </c>
      <c r="C564" s="76">
        <v>32.885810999999997</v>
      </c>
      <c r="D564" s="76">
        <v>32.446846000000001</v>
      </c>
      <c r="E564" s="76">
        <v>32.878498</v>
      </c>
      <c r="F564" s="76">
        <v>16.886130999999999</v>
      </c>
      <c r="G564" s="79">
        <v>277000</v>
      </c>
    </row>
    <row r="565" spans="1:7" x14ac:dyDescent="0.25">
      <c r="A565" s="1" t="s">
        <v>688</v>
      </c>
      <c r="B565" s="76">
        <v>32.878498</v>
      </c>
      <c r="C565" s="76">
        <v>32.878498</v>
      </c>
      <c r="D565" s="76">
        <v>32.600487000000001</v>
      </c>
      <c r="E565" s="76">
        <v>32.666328</v>
      </c>
      <c r="F565" s="76">
        <v>16.777159000000001</v>
      </c>
      <c r="G565" s="79">
        <v>218300</v>
      </c>
    </row>
    <row r="566" spans="1:7" x14ac:dyDescent="0.25">
      <c r="A566" s="1" t="s">
        <v>689</v>
      </c>
      <c r="B566" s="76">
        <v>32.673645</v>
      </c>
      <c r="C566" s="76">
        <v>32.673645</v>
      </c>
      <c r="D566" s="76">
        <v>32.263946999999902</v>
      </c>
      <c r="E566" s="76">
        <v>32.454163000000001</v>
      </c>
      <c r="F566" s="76">
        <v>16.668199999999999</v>
      </c>
      <c r="G566" s="79">
        <v>426800</v>
      </c>
    </row>
    <row r="567" spans="1:7" x14ac:dyDescent="0.25">
      <c r="A567" s="1" t="s">
        <v>690</v>
      </c>
      <c r="B567" s="76">
        <v>32.563904000000001</v>
      </c>
      <c r="C567" s="76">
        <v>32.563904000000001</v>
      </c>
      <c r="D567" s="76">
        <v>32.454163000000001</v>
      </c>
      <c r="E567" s="76">
        <v>32.541958000000001</v>
      </c>
      <c r="F567" s="76">
        <v>16.713284999999999</v>
      </c>
      <c r="G567" s="79">
        <v>314600</v>
      </c>
    </row>
    <row r="568" spans="1:7" x14ac:dyDescent="0.25">
      <c r="A568" s="1" t="s">
        <v>691</v>
      </c>
      <c r="B568" s="76">
        <v>32.300525999999998</v>
      </c>
      <c r="C568" s="76">
        <v>32.849232000000001</v>
      </c>
      <c r="D568" s="76">
        <v>32.117621999999997</v>
      </c>
      <c r="E568" s="76">
        <v>32.798018999999996</v>
      </c>
      <c r="F568" s="76">
        <v>16.844795000000001</v>
      </c>
      <c r="G568" s="79">
        <v>552300</v>
      </c>
    </row>
    <row r="569" spans="1:7" x14ac:dyDescent="0.25">
      <c r="A569" s="1" t="s">
        <v>692</v>
      </c>
      <c r="B569" s="76">
        <v>32.798018999999996</v>
      </c>
      <c r="C569" s="76">
        <v>33.222351000000003</v>
      </c>
      <c r="D569" s="76">
        <v>32.724857</v>
      </c>
      <c r="E569" s="76">
        <v>33.200404999999897</v>
      </c>
      <c r="F569" s="76">
        <v>17.051462000000001</v>
      </c>
      <c r="G569" s="79">
        <v>456000</v>
      </c>
    </row>
    <row r="570" spans="1:7" x14ac:dyDescent="0.25">
      <c r="A570" s="1" t="s">
        <v>693</v>
      </c>
      <c r="B570" s="76">
        <v>33.361359</v>
      </c>
      <c r="C570" s="76">
        <v>33.829585999999999</v>
      </c>
      <c r="D570" s="76">
        <v>33.288196999999997</v>
      </c>
      <c r="E570" s="76">
        <v>33.632052999999999</v>
      </c>
      <c r="F570" s="76">
        <v>17.273143999999998</v>
      </c>
      <c r="G570" s="79">
        <v>546400</v>
      </c>
    </row>
    <row r="571" spans="1:7" x14ac:dyDescent="0.25">
      <c r="A571" s="1" t="s">
        <v>694</v>
      </c>
      <c r="B571" s="76">
        <v>33.617420000000003</v>
      </c>
      <c r="C571" s="76">
        <v>33.617420000000003</v>
      </c>
      <c r="D571" s="76">
        <v>33.193089000000001</v>
      </c>
      <c r="E571" s="76">
        <v>33.397938000000003</v>
      </c>
      <c r="F571" s="76">
        <v>17.152913999999999</v>
      </c>
      <c r="G571" s="79">
        <v>395000</v>
      </c>
    </row>
    <row r="572" spans="1:7" x14ac:dyDescent="0.25">
      <c r="A572" s="1" t="s">
        <v>695</v>
      </c>
      <c r="B572" s="76">
        <v>33.632052999999999</v>
      </c>
      <c r="C572" s="76">
        <v>34.458770999999999</v>
      </c>
      <c r="D572" s="76">
        <v>33.580840999999999</v>
      </c>
      <c r="E572" s="76">
        <v>34.458770999999999</v>
      </c>
      <c r="F572" s="76">
        <v>17.697742000000002</v>
      </c>
      <c r="G572" s="79">
        <v>560600</v>
      </c>
    </row>
    <row r="573" spans="1:7" x14ac:dyDescent="0.25">
      <c r="A573" s="1" t="s">
        <v>696</v>
      </c>
      <c r="B573" s="76">
        <v>34.283183999999999</v>
      </c>
      <c r="C573" s="76">
        <v>34.531933000000002</v>
      </c>
      <c r="D573" s="76">
        <v>33.873486</v>
      </c>
      <c r="E573" s="76">
        <v>34.114913999999999</v>
      </c>
      <c r="F573" s="76">
        <v>17.521145000000001</v>
      </c>
      <c r="G573" s="79">
        <v>284500</v>
      </c>
    </row>
    <row r="574" spans="1:7" x14ac:dyDescent="0.25">
      <c r="A574" s="1" t="s">
        <v>697</v>
      </c>
      <c r="B574" s="76">
        <v>34.261237999999999</v>
      </c>
      <c r="C574" s="76">
        <v>34.261237999999999</v>
      </c>
      <c r="D574" s="76">
        <v>33.412571</v>
      </c>
      <c r="E574" s="76">
        <v>33.558890999999903</v>
      </c>
      <c r="F574" s="76">
        <v>17.235576999999999</v>
      </c>
      <c r="G574" s="79">
        <v>482700</v>
      </c>
    </row>
    <row r="575" spans="1:7" x14ac:dyDescent="0.25">
      <c r="A575" s="1" t="s">
        <v>698</v>
      </c>
      <c r="B575" s="76">
        <v>33.558890999999903</v>
      </c>
      <c r="C575" s="76">
        <v>33.668633</v>
      </c>
      <c r="D575" s="76">
        <v>32.556587</v>
      </c>
      <c r="E575" s="76">
        <v>33.127243</v>
      </c>
      <c r="F575" s="76">
        <v>17.013887</v>
      </c>
      <c r="G575" s="79">
        <v>339700</v>
      </c>
    </row>
    <row r="576" spans="1:7" x14ac:dyDescent="0.25">
      <c r="A576" s="1" t="s">
        <v>699</v>
      </c>
      <c r="B576" s="76">
        <v>33.215034000000003</v>
      </c>
      <c r="C576" s="76">
        <v>33.836903</v>
      </c>
      <c r="D576" s="76">
        <v>33.141876000000003</v>
      </c>
      <c r="E576" s="76">
        <v>33.434520999999997</v>
      </c>
      <c r="F576" s="76">
        <v>17.171696000000001</v>
      </c>
      <c r="G576" s="79">
        <v>299000</v>
      </c>
    </row>
    <row r="577" spans="1:7" x14ac:dyDescent="0.25">
      <c r="A577" s="1" t="s">
        <v>700</v>
      </c>
      <c r="B577" s="76">
        <v>33.602790999999897</v>
      </c>
      <c r="C577" s="76">
        <v>33.617420000000003</v>
      </c>
      <c r="D577" s="76">
        <v>33.046768</v>
      </c>
      <c r="E577" s="76">
        <v>33.178455</v>
      </c>
      <c r="F577" s="76">
        <v>17.040185999999999</v>
      </c>
      <c r="G577" s="79">
        <v>516200</v>
      </c>
    </row>
    <row r="578" spans="1:7" x14ac:dyDescent="0.25">
      <c r="A578" s="1" t="s">
        <v>701</v>
      </c>
      <c r="B578" s="76">
        <v>33.251616999999897</v>
      </c>
      <c r="C578" s="76">
        <v>33.288196999999997</v>
      </c>
      <c r="D578" s="76">
        <v>32.629748999999997</v>
      </c>
      <c r="E578" s="76">
        <v>32.629748999999997</v>
      </c>
      <c r="F578" s="76">
        <v>16.758375000000001</v>
      </c>
      <c r="G578" s="79">
        <v>282400</v>
      </c>
    </row>
    <row r="579" spans="1:7" x14ac:dyDescent="0.25">
      <c r="A579" s="1" t="s">
        <v>702</v>
      </c>
      <c r="B579" s="76">
        <v>32.739490999999902</v>
      </c>
      <c r="C579" s="76">
        <v>32.812652999999997</v>
      </c>
      <c r="D579" s="76">
        <v>31.729869999999998</v>
      </c>
      <c r="E579" s="76">
        <v>31.810348999999999</v>
      </c>
      <c r="F579" s="76">
        <v>16.337536</v>
      </c>
      <c r="G579" s="79">
        <v>557000</v>
      </c>
    </row>
    <row r="580" spans="1:7" x14ac:dyDescent="0.25">
      <c r="A580" s="1" t="s">
        <v>703</v>
      </c>
      <c r="B580" s="76">
        <v>32.102992999999998</v>
      </c>
      <c r="C580" s="76">
        <v>32.190784000000001</v>
      </c>
      <c r="D580" s="76">
        <v>31.898140000000001</v>
      </c>
      <c r="E580" s="76">
        <v>32.154204999999997</v>
      </c>
      <c r="F580" s="76">
        <v>16.514136999999899</v>
      </c>
      <c r="G580" s="79">
        <v>631400</v>
      </c>
    </row>
    <row r="581" spans="1:7" x14ac:dyDescent="0.25">
      <c r="A581" s="1" t="s">
        <v>704</v>
      </c>
      <c r="B581" s="76">
        <v>32.176150999999997</v>
      </c>
      <c r="C581" s="76">
        <v>32.190784000000001</v>
      </c>
      <c r="D581" s="76">
        <v>32.007880999999998</v>
      </c>
      <c r="E581" s="76">
        <v>32.154204999999997</v>
      </c>
      <c r="F581" s="76">
        <v>16.514136999999899</v>
      </c>
      <c r="G581" s="79">
        <v>215400</v>
      </c>
    </row>
    <row r="582" spans="1:7" x14ac:dyDescent="0.25">
      <c r="A582" s="1" t="s">
        <v>705</v>
      </c>
      <c r="B582" s="76">
        <v>32.168834999999902</v>
      </c>
      <c r="C582" s="76">
        <v>32.190784000000001</v>
      </c>
      <c r="D582" s="76">
        <v>31.949354</v>
      </c>
      <c r="E582" s="76">
        <v>32.029831000000001</v>
      </c>
      <c r="F582" s="76">
        <v>16.450264000000001</v>
      </c>
      <c r="G582" s="79">
        <v>129400</v>
      </c>
    </row>
    <row r="583" spans="1:7" x14ac:dyDescent="0.25">
      <c r="A583" s="1" t="s">
        <v>706</v>
      </c>
      <c r="B583" s="76">
        <v>32.154204999999997</v>
      </c>
      <c r="C583" s="76">
        <v>32.154204999999997</v>
      </c>
      <c r="D583" s="76">
        <v>31.546968</v>
      </c>
      <c r="E583" s="76">
        <v>31.82498</v>
      </c>
      <c r="F583" s="76">
        <v>16.345053</v>
      </c>
      <c r="G583" s="79">
        <v>388000</v>
      </c>
    </row>
    <row r="584" spans="1:7" x14ac:dyDescent="0.25">
      <c r="A584" s="1" t="s">
        <v>707</v>
      </c>
      <c r="B584" s="76">
        <v>31.934721</v>
      </c>
      <c r="C584" s="76">
        <v>32.300525999999998</v>
      </c>
      <c r="D584" s="76">
        <v>31.898140000000001</v>
      </c>
      <c r="E584" s="76">
        <v>32.263946999999902</v>
      </c>
      <c r="F584" s="76">
        <v>16.570495999999999</v>
      </c>
      <c r="G584" s="79">
        <v>454700</v>
      </c>
    </row>
    <row r="585" spans="1:7" x14ac:dyDescent="0.25">
      <c r="A585" s="1" t="s">
        <v>708</v>
      </c>
      <c r="B585" s="76">
        <v>32.278576000000001</v>
      </c>
      <c r="C585" s="76">
        <v>32.922393999999997</v>
      </c>
      <c r="D585" s="76">
        <v>32.278576000000001</v>
      </c>
      <c r="E585" s="76">
        <v>32.922393999999997</v>
      </c>
      <c r="F585" s="76">
        <v>16.908681999999999</v>
      </c>
      <c r="G585" s="79">
        <v>372500</v>
      </c>
    </row>
    <row r="586" spans="1:7" x14ac:dyDescent="0.25">
      <c r="A586" s="1" t="s">
        <v>709</v>
      </c>
      <c r="B586" s="76">
        <v>32.702911</v>
      </c>
      <c r="C586" s="76">
        <v>32.907761000000001</v>
      </c>
      <c r="D586" s="76">
        <v>32.607799999999997</v>
      </c>
      <c r="E586" s="76">
        <v>32.776069999999997</v>
      </c>
      <c r="F586" s="76">
        <v>17.084091000000001</v>
      </c>
      <c r="G586" s="79">
        <v>750600</v>
      </c>
    </row>
    <row r="587" spans="1:7" x14ac:dyDescent="0.25">
      <c r="A587" s="1" t="s">
        <v>710</v>
      </c>
      <c r="B587" s="76">
        <v>32.666328</v>
      </c>
      <c r="C587" s="76">
        <v>32.863864999999997</v>
      </c>
      <c r="D587" s="76">
        <v>32.556587</v>
      </c>
      <c r="E587" s="76">
        <v>32.834598999999997</v>
      </c>
      <c r="F587" s="76">
        <v>17.114594</v>
      </c>
      <c r="G587" s="79">
        <v>332500</v>
      </c>
    </row>
    <row r="588" spans="1:7" x14ac:dyDescent="0.25">
      <c r="A588" s="1" t="s">
        <v>711</v>
      </c>
      <c r="B588" s="76">
        <v>32.885810999999997</v>
      </c>
      <c r="C588" s="76">
        <v>32.907761000000001</v>
      </c>
      <c r="D588" s="76">
        <v>32.739490999999902</v>
      </c>
      <c r="E588" s="76">
        <v>32.739490999999902</v>
      </c>
      <c r="F588" s="76">
        <v>17.065033</v>
      </c>
      <c r="G588" s="79">
        <v>168100</v>
      </c>
    </row>
    <row r="589" spans="1:7" x14ac:dyDescent="0.25">
      <c r="A589" s="1" t="s">
        <v>712</v>
      </c>
      <c r="B589" s="76">
        <v>32.746806999999997</v>
      </c>
      <c r="C589" s="76">
        <v>32.827281999999997</v>
      </c>
      <c r="D589" s="76">
        <v>32.702911</v>
      </c>
      <c r="E589" s="76">
        <v>32.724857</v>
      </c>
      <c r="F589" s="76">
        <v>17.057400000000001</v>
      </c>
      <c r="G589" s="79">
        <v>414300</v>
      </c>
    </row>
    <row r="590" spans="1:7" x14ac:dyDescent="0.25">
      <c r="A590" s="1" t="s">
        <v>713</v>
      </c>
      <c r="B590" s="76">
        <v>32.776069999999997</v>
      </c>
      <c r="C590" s="76">
        <v>32.776069999999997</v>
      </c>
      <c r="D590" s="76">
        <v>31.481122999999901</v>
      </c>
      <c r="E590" s="76">
        <v>32.439529</v>
      </c>
      <c r="F590" s="76">
        <v>16.90868</v>
      </c>
      <c r="G590" s="79">
        <v>740600</v>
      </c>
    </row>
    <row r="591" spans="1:7" x14ac:dyDescent="0.25">
      <c r="A591" s="1" t="s">
        <v>714</v>
      </c>
      <c r="B591" s="76">
        <v>32.446846000000001</v>
      </c>
      <c r="C591" s="76">
        <v>32.556587</v>
      </c>
      <c r="D591" s="76">
        <v>32.263946999999902</v>
      </c>
      <c r="E591" s="76">
        <v>32.263946999999902</v>
      </c>
      <c r="F591" s="76">
        <v>16.817157999999999</v>
      </c>
      <c r="G591" s="79">
        <v>237100</v>
      </c>
    </row>
    <row r="592" spans="1:7" x14ac:dyDescent="0.25">
      <c r="A592" s="1" t="s">
        <v>715</v>
      </c>
      <c r="B592" s="76">
        <v>32.337105000000001</v>
      </c>
      <c r="C592" s="76">
        <v>32.337105000000001</v>
      </c>
      <c r="D592" s="76">
        <v>31.759134</v>
      </c>
      <c r="E592" s="76">
        <v>31.781084</v>
      </c>
      <c r="F592" s="76">
        <v>16.565463999999999</v>
      </c>
      <c r="G592" s="79">
        <v>529200</v>
      </c>
    </row>
    <row r="593" spans="1:7" x14ac:dyDescent="0.25">
      <c r="A593" s="1" t="s">
        <v>716</v>
      </c>
      <c r="B593" s="76">
        <v>31.927403999999999</v>
      </c>
      <c r="C593" s="76">
        <v>31.927403999999999</v>
      </c>
      <c r="D593" s="76">
        <v>31.781084</v>
      </c>
      <c r="E593" s="76">
        <v>31.82498</v>
      </c>
      <c r="F593" s="76">
        <v>16.588348</v>
      </c>
      <c r="G593" s="79">
        <v>416500</v>
      </c>
    </row>
    <row r="594" spans="1:7" x14ac:dyDescent="0.25">
      <c r="A594" s="1" t="s">
        <v>717</v>
      </c>
      <c r="B594" s="76">
        <v>31.861560999999998</v>
      </c>
      <c r="C594" s="76">
        <v>31.861560999999998</v>
      </c>
      <c r="D594" s="76">
        <v>31.568915999999899</v>
      </c>
      <c r="E594" s="76">
        <v>31.642078000000001</v>
      </c>
      <c r="F594" s="76">
        <v>16.493006000000001</v>
      </c>
      <c r="G594" s="79">
        <v>486100</v>
      </c>
    </row>
    <row r="595" spans="1:7" x14ac:dyDescent="0.25">
      <c r="A595" s="1" t="s">
        <v>718</v>
      </c>
      <c r="B595" s="76">
        <v>31.715239</v>
      </c>
      <c r="C595" s="76">
        <v>31.751819999999999</v>
      </c>
      <c r="D595" s="76">
        <v>31.554284999999901</v>
      </c>
      <c r="E595" s="76">
        <v>31.627445000000002</v>
      </c>
      <c r="F595" s="76">
        <v>16.485385999999998</v>
      </c>
      <c r="G595" s="79">
        <v>329000</v>
      </c>
    </row>
    <row r="596" spans="1:7" x14ac:dyDescent="0.25">
      <c r="A596" s="1" t="s">
        <v>719</v>
      </c>
      <c r="B596" s="76">
        <v>31.664026</v>
      </c>
      <c r="C596" s="76">
        <v>31.715239</v>
      </c>
      <c r="D596" s="76">
        <v>31.459174999999998</v>
      </c>
      <c r="E596" s="76">
        <v>31.656709999999901</v>
      </c>
      <c r="F596" s="76">
        <v>16.500634999999999</v>
      </c>
      <c r="G596" s="79">
        <v>225500</v>
      </c>
    </row>
    <row r="597" spans="1:7" x14ac:dyDescent="0.25">
      <c r="A597" s="1" t="s">
        <v>720</v>
      </c>
      <c r="B597" s="76">
        <v>31.729869999999998</v>
      </c>
      <c r="C597" s="76">
        <v>31.920089999999998</v>
      </c>
      <c r="D597" s="76">
        <v>31.634761999999998</v>
      </c>
      <c r="E597" s="76">
        <v>31.905456999999998</v>
      </c>
      <c r="F597" s="76">
        <v>16.630295</v>
      </c>
      <c r="G597" s="79">
        <v>166100</v>
      </c>
    </row>
    <row r="598" spans="1:7" x14ac:dyDescent="0.25">
      <c r="A598" s="1" t="s">
        <v>721</v>
      </c>
      <c r="B598" s="76">
        <v>31.912772999999898</v>
      </c>
      <c r="C598" s="76">
        <v>31.934721</v>
      </c>
      <c r="D598" s="76">
        <v>31.649393</v>
      </c>
      <c r="E598" s="76">
        <v>31.729869999999998</v>
      </c>
      <c r="F598" s="76">
        <v>16.538774</v>
      </c>
      <c r="G598" s="79">
        <v>120000</v>
      </c>
    </row>
    <row r="599" spans="1:7" x14ac:dyDescent="0.25">
      <c r="A599" s="1" t="s">
        <v>722</v>
      </c>
      <c r="B599" s="76">
        <v>31.729869999999998</v>
      </c>
      <c r="C599" s="76">
        <v>31.729869999999998</v>
      </c>
      <c r="D599" s="76">
        <v>31.459174999999998</v>
      </c>
      <c r="E599" s="76">
        <v>31.473807999999998</v>
      </c>
      <c r="F599" s="76">
        <v>16.4053</v>
      </c>
      <c r="G599" s="79">
        <v>247500</v>
      </c>
    </row>
    <row r="600" spans="1:7" x14ac:dyDescent="0.25">
      <c r="A600" s="1" t="s">
        <v>723</v>
      </c>
      <c r="B600" s="76">
        <v>31.473807999999998</v>
      </c>
      <c r="C600" s="76">
        <v>31.532336999999998</v>
      </c>
      <c r="D600" s="76">
        <v>31.386015</v>
      </c>
      <c r="E600" s="76">
        <v>31.481122999999901</v>
      </c>
      <c r="F600" s="76">
        <v>16.409116999999998</v>
      </c>
      <c r="G600" s="79">
        <v>385100</v>
      </c>
    </row>
    <row r="601" spans="1:7" x14ac:dyDescent="0.25">
      <c r="A601" s="1" t="s">
        <v>724</v>
      </c>
      <c r="B601" s="76">
        <v>31.481122999999901</v>
      </c>
      <c r="C601" s="76">
        <v>32.293208999999997</v>
      </c>
      <c r="D601" s="76">
        <v>31.481122999999901</v>
      </c>
      <c r="E601" s="76">
        <v>32.095675999999997</v>
      </c>
      <c r="F601" s="76">
        <v>16.729444999999998</v>
      </c>
      <c r="G601" s="79">
        <v>397900</v>
      </c>
    </row>
    <row r="602" spans="1:7" x14ac:dyDescent="0.25">
      <c r="A602" s="1" t="s">
        <v>725</v>
      </c>
      <c r="B602" s="76">
        <v>32.256630000000001</v>
      </c>
      <c r="C602" s="76">
        <v>32.432217000000001</v>
      </c>
      <c r="D602" s="76">
        <v>32.190784000000001</v>
      </c>
      <c r="E602" s="76">
        <v>32.220046999999902</v>
      </c>
      <c r="F602" s="76">
        <v>16.794266</v>
      </c>
      <c r="G602" s="79">
        <v>141800</v>
      </c>
    </row>
    <row r="603" spans="1:7" x14ac:dyDescent="0.25">
      <c r="A603" s="1" t="s">
        <v>726</v>
      </c>
      <c r="B603" s="76">
        <v>32.300525999999998</v>
      </c>
      <c r="C603" s="76">
        <v>32.402949999999997</v>
      </c>
      <c r="D603" s="76">
        <v>31.82498</v>
      </c>
      <c r="E603" s="76">
        <v>32.263946999999902</v>
      </c>
      <c r="F603" s="76">
        <v>16.817157999999999</v>
      </c>
      <c r="G603" s="79">
        <v>260500</v>
      </c>
    </row>
    <row r="604" spans="1:7" x14ac:dyDescent="0.25">
      <c r="A604" s="1" t="s">
        <v>727</v>
      </c>
      <c r="B604" s="76">
        <v>32.337105000000001</v>
      </c>
      <c r="C604" s="76">
        <v>33.090663999999997</v>
      </c>
      <c r="D604" s="76">
        <v>32.263946999999902</v>
      </c>
      <c r="E604" s="76">
        <v>33.090663999999997</v>
      </c>
      <c r="F604" s="76">
        <v>17.248068</v>
      </c>
      <c r="G604" s="79">
        <v>2138900</v>
      </c>
    </row>
    <row r="605" spans="1:7" x14ac:dyDescent="0.25">
      <c r="A605" s="1" t="s">
        <v>728</v>
      </c>
      <c r="B605" s="76">
        <v>32.373688000000001</v>
      </c>
      <c r="C605" s="76">
        <v>32.446846000000001</v>
      </c>
      <c r="D605" s="76">
        <v>31.898140000000001</v>
      </c>
      <c r="E605" s="76">
        <v>32.293208999999997</v>
      </c>
      <c r="F605" s="76">
        <v>16.832408999999998</v>
      </c>
      <c r="G605" s="79">
        <v>818800</v>
      </c>
    </row>
    <row r="606" spans="1:7" x14ac:dyDescent="0.25">
      <c r="A606" s="1" t="s">
        <v>729</v>
      </c>
      <c r="B606" s="76">
        <v>32.556587</v>
      </c>
      <c r="C606" s="76">
        <v>33.4711</v>
      </c>
      <c r="D606" s="76">
        <v>32.388317000000001</v>
      </c>
      <c r="E606" s="76">
        <v>32.520007999999997</v>
      </c>
      <c r="F606" s="76">
        <v>16.950619</v>
      </c>
      <c r="G606" s="79">
        <v>450800</v>
      </c>
    </row>
    <row r="607" spans="1:7" x14ac:dyDescent="0.25">
      <c r="A607" s="1" t="s">
        <v>730</v>
      </c>
      <c r="B607" s="76">
        <v>32.885810999999997</v>
      </c>
      <c r="C607" s="76">
        <v>32.958973</v>
      </c>
      <c r="D607" s="76">
        <v>32.688277999999997</v>
      </c>
      <c r="E607" s="76">
        <v>32.922393999999997</v>
      </c>
      <c r="F607" s="76">
        <v>17.160364000000001</v>
      </c>
      <c r="G607" s="79">
        <v>409800</v>
      </c>
    </row>
    <row r="608" spans="1:7" x14ac:dyDescent="0.25">
      <c r="A608" s="1" t="s">
        <v>731</v>
      </c>
      <c r="B608" s="76">
        <v>32.922393999999997</v>
      </c>
      <c r="C608" s="76">
        <v>32.958973</v>
      </c>
      <c r="D608" s="76">
        <v>32.812652999999997</v>
      </c>
      <c r="E608" s="76">
        <v>32.958973</v>
      </c>
      <c r="F608" s="76">
        <v>17.179425999999999</v>
      </c>
      <c r="G608" s="79">
        <v>323700</v>
      </c>
    </row>
    <row r="609" spans="1:7" x14ac:dyDescent="0.25">
      <c r="A609" s="1" t="s">
        <v>732</v>
      </c>
      <c r="B609" s="76">
        <v>32.958973</v>
      </c>
      <c r="C609" s="76">
        <v>32.958973</v>
      </c>
      <c r="D609" s="76">
        <v>32.688277999999997</v>
      </c>
      <c r="E609" s="76">
        <v>32.768757000000001</v>
      </c>
      <c r="F609" s="76">
        <v>17.080282</v>
      </c>
      <c r="G609" s="79">
        <v>477400</v>
      </c>
    </row>
    <row r="610" spans="1:7" x14ac:dyDescent="0.25">
      <c r="A610" s="1" t="s">
        <v>733</v>
      </c>
      <c r="B610" s="76">
        <v>32.812652999999997</v>
      </c>
      <c r="C610" s="76">
        <v>32.849232000000001</v>
      </c>
      <c r="D610" s="76">
        <v>32.629748999999997</v>
      </c>
      <c r="E610" s="76">
        <v>32.76144</v>
      </c>
      <c r="F610" s="76">
        <v>17.076464000000001</v>
      </c>
      <c r="G610" s="79">
        <v>369500</v>
      </c>
    </row>
    <row r="611" spans="1:7" x14ac:dyDescent="0.25">
      <c r="A611" s="1" t="s">
        <v>734</v>
      </c>
      <c r="B611" s="76">
        <v>32.688277999999997</v>
      </c>
      <c r="C611" s="76">
        <v>32.746806999999997</v>
      </c>
      <c r="D611" s="76">
        <v>32.483429000000001</v>
      </c>
      <c r="E611" s="76">
        <v>32.629748999999997</v>
      </c>
      <c r="F611" s="76">
        <v>17.007823999999999</v>
      </c>
      <c r="G611" s="79">
        <v>551000</v>
      </c>
    </row>
    <row r="612" spans="1:7" x14ac:dyDescent="0.25">
      <c r="A612" s="1" t="s">
        <v>735</v>
      </c>
      <c r="B612" s="76">
        <v>32.702911</v>
      </c>
      <c r="C612" s="76">
        <v>32.849232000000001</v>
      </c>
      <c r="D612" s="76">
        <v>32.556587</v>
      </c>
      <c r="E612" s="76">
        <v>32.849232000000001</v>
      </c>
      <c r="F612" s="76">
        <v>17.122223000000002</v>
      </c>
      <c r="G612" s="79">
        <v>183900</v>
      </c>
    </row>
    <row r="613" spans="1:7" x14ac:dyDescent="0.25">
      <c r="A613" s="1" t="s">
        <v>736</v>
      </c>
      <c r="B613" s="76">
        <v>32.907761000000001</v>
      </c>
      <c r="C613" s="76">
        <v>33.032134999999997</v>
      </c>
      <c r="D613" s="76">
        <v>32.768757000000001</v>
      </c>
      <c r="E613" s="76">
        <v>32.915076999999997</v>
      </c>
      <c r="F613" s="76">
        <v>17.156544</v>
      </c>
      <c r="G613" s="79">
        <v>376000</v>
      </c>
    </row>
    <row r="614" spans="1:7" x14ac:dyDescent="0.25">
      <c r="A614" s="1" t="s">
        <v>737</v>
      </c>
      <c r="B614" s="76">
        <v>33.068714</v>
      </c>
      <c r="C614" s="76">
        <v>33.068714</v>
      </c>
      <c r="D614" s="76">
        <v>32.483429000000001</v>
      </c>
      <c r="E614" s="76">
        <v>32.783386</v>
      </c>
      <c r="F614" s="76">
        <v>17.087902</v>
      </c>
      <c r="G614" s="79">
        <v>302900</v>
      </c>
    </row>
    <row r="615" spans="1:7" x14ac:dyDescent="0.25">
      <c r="A615" s="1" t="s">
        <v>738</v>
      </c>
      <c r="B615" s="76">
        <v>32.783386</v>
      </c>
      <c r="C615" s="76">
        <v>32.849232000000001</v>
      </c>
      <c r="D615" s="76">
        <v>32.505375000000001</v>
      </c>
      <c r="E615" s="76">
        <v>32.739490999999902</v>
      </c>
      <c r="F615" s="76">
        <v>17.065033</v>
      </c>
      <c r="G615" s="79">
        <v>205800</v>
      </c>
    </row>
    <row r="616" spans="1:7" x14ac:dyDescent="0.25">
      <c r="A616" s="1" t="s">
        <v>739</v>
      </c>
      <c r="B616" s="76">
        <v>32.739490999999902</v>
      </c>
      <c r="C616" s="76">
        <v>32.739490999999902</v>
      </c>
      <c r="D616" s="76">
        <v>32.520007999999997</v>
      </c>
      <c r="E616" s="76">
        <v>32.651699000000001</v>
      </c>
      <c r="F616" s="76">
        <v>17.019264</v>
      </c>
      <c r="G616" s="79">
        <v>291300</v>
      </c>
    </row>
    <row r="617" spans="1:7" x14ac:dyDescent="0.25">
      <c r="A617" s="1" t="s">
        <v>740</v>
      </c>
      <c r="B617" s="76">
        <v>32.702911</v>
      </c>
      <c r="C617" s="76">
        <v>32.798018999999996</v>
      </c>
      <c r="D617" s="76">
        <v>32.563904000000001</v>
      </c>
      <c r="E617" s="76">
        <v>32.666328</v>
      </c>
      <c r="F617" s="76">
        <v>17.026888</v>
      </c>
      <c r="G617" s="79">
        <v>405900</v>
      </c>
    </row>
    <row r="618" spans="1:7" x14ac:dyDescent="0.25">
      <c r="A618" s="1" t="s">
        <v>741</v>
      </c>
      <c r="B618" s="76">
        <v>32.739490999999902</v>
      </c>
      <c r="C618" s="76">
        <v>32.76144</v>
      </c>
      <c r="D618" s="76">
        <v>32.541958000000001</v>
      </c>
      <c r="E618" s="76">
        <v>32.702911</v>
      </c>
      <c r="F618" s="76">
        <v>17.045952</v>
      </c>
      <c r="G618" s="79">
        <v>317500</v>
      </c>
    </row>
    <row r="619" spans="1:7" x14ac:dyDescent="0.25">
      <c r="A619" s="1" t="s">
        <v>742</v>
      </c>
      <c r="B619" s="76">
        <v>32.783386</v>
      </c>
      <c r="C619" s="76">
        <v>32.995552000000004</v>
      </c>
      <c r="D619" s="76">
        <v>32.571219999999997</v>
      </c>
      <c r="E619" s="76">
        <v>32.922393999999997</v>
      </c>
      <c r="F619" s="76">
        <v>17.160364000000001</v>
      </c>
      <c r="G619" s="79">
        <v>247500</v>
      </c>
    </row>
    <row r="620" spans="1:7" x14ac:dyDescent="0.25">
      <c r="A620" s="1" t="s">
        <v>743</v>
      </c>
      <c r="B620" s="76">
        <v>32.849232000000001</v>
      </c>
      <c r="C620" s="76">
        <v>32.885810999999997</v>
      </c>
      <c r="D620" s="76">
        <v>32.746806999999997</v>
      </c>
      <c r="E620" s="76">
        <v>32.885810999999997</v>
      </c>
      <c r="F620" s="76">
        <v>17.141296000000001</v>
      </c>
      <c r="G620" s="79">
        <v>233400</v>
      </c>
    </row>
    <row r="621" spans="1:7" x14ac:dyDescent="0.25">
      <c r="A621" s="1" t="s">
        <v>744</v>
      </c>
      <c r="B621" s="76">
        <v>33.178455</v>
      </c>
      <c r="C621" s="76">
        <v>33.361359</v>
      </c>
      <c r="D621" s="76">
        <v>32.995552000000004</v>
      </c>
      <c r="E621" s="76">
        <v>33.30283</v>
      </c>
      <c r="F621" s="76">
        <v>17.358657999999998</v>
      </c>
      <c r="G621" s="79">
        <v>382100</v>
      </c>
    </row>
    <row r="622" spans="1:7" x14ac:dyDescent="0.25">
      <c r="A622" s="1" t="s">
        <v>745</v>
      </c>
      <c r="B622" s="76">
        <v>33.288196999999997</v>
      </c>
      <c r="C622" s="76">
        <v>33.4711</v>
      </c>
      <c r="D622" s="76">
        <v>32.958973</v>
      </c>
      <c r="E622" s="76">
        <v>33.141876000000003</v>
      </c>
      <c r="F622" s="76">
        <v>17.274767000000001</v>
      </c>
      <c r="G622" s="79">
        <v>324700</v>
      </c>
    </row>
    <row r="623" spans="1:7" x14ac:dyDescent="0.25">
      <c r="A623" s="1" t="s">
        <v>746</v>
      </c>
      <c r="B623" s="76">
        <v>33.324779999999997</v>
      </c>
      <c r="C623" s="76">
        <v>33.719844999999999</v>
      </c>
      <c r="D623" s="76">
        <v>33.324779999999997</v>
      </c>
      <c r="E623" s="76">
        <v>33.654003000000003</v>
      </c>
      <c r="F623" s="76">
        <v>17.541699999999999</v>
      </c>
      <c r="G623" s="79">
        <v>370400</v>
      </c>
    </row>
    <row r="624" spans="1:7" x14ac:dyDescent="0.25">
      <c r="A624" s="1" t="s">
        <v>747</v>
      </c>
      <c r="B624" s="76">
        <v>33.654003000000003</v>
      </c>
      <c r="C624" s="76">
        <v>33.654003000000003</v>
      </c>
      <c r="D624" s="76">
        <v>32.92971</v>
      </c>
      <c r="E624" s="76">
        <v>33.346724999999999</v>
      </c>
      <c r="F624" s="76">
        <v>17.381535</v>
      </c>
      <c r="G624" s="79">
        <v>438600</v>
      </c>
    </row>
    <row r="625" spans="1:7" x14ac:dyDescent="0.25">
      <c r="A625" s="1" t="s">
        <v>748</v>
      </c>
      <c r="B625" s="76">
        <v>33.712532000000003</v>
      </c>
      <c r="C625" s="76">
        <v>33.712532000000003</v>
      </c>
      <c r="D625" s="76">
        <v>33.251616999999897</v>
      </c>
      <c r="E625" s="76">
        <v>33.397938000000003</v>
      </c>
      <c r="F625" s="76">
        <v>17.408238999999998</v>
      </c>
      <c r="G625" s="79">
        <v>355000</v>
      </c>
    </row>
    <row r="626" spans="1:7" x14ac:dyDescent="0.25">
      <c r="A626" s="1" t="s">
        <v>749</v>
      </c>
      <c r="B626" s="76">
        <v>33.397938000000003</v>
      </c>
      <c r="C626" s="76">
        <v>33.800322999999999</v>
      </c>
      <c r="D626" s="76">
        <v>33.397938000000003</v>
      </c>
      <c r="E626" s="76">
        <v>33.800322999999999</v>
      </c>
      <c r="F626" s="76">
        <v>17.617971000000001</v>
      </c>
      <c r="G626" s="79">
        <v>433300</v>
      </c>
    </row>
    <row r="627" spans="1:7" x14ac:dyDescent="0.25">
      <c r="A627" s="1" t="s">
        <v>750</v>
      </c>
      <c r="B627" s="76">
        <v>33.800322999999999</v>
      </c>
      <c r="C627" s="76">
        <v>33.800322999999999</v>
      </c>
      <c r="D627" s="76">
        <v>32.812652999999997</v>
      </c>
      <c r="E627" s="76">
        <v>33.193089000000001</v>
      </c>
      <c r="F627" s="76">
        <v>17.301455999999899</v>
      </c>
      <c r="G627" s="79">
        <v>469200</v>
      </c>
    </row>
    <row r="628" spans="1:7" x14ac:dyDescent="0.25">
      <c r="A628" s="1" t="s">
        <v>751</v>
      </c>
      <c r="B628" s="76">
        <v>33.339409000000003</v>
      </c>
      <c r="C628" s="76">
        <v>33.346724999999999</v>
      </c>
      <c r="D628" s="76">
        <v>32.827281999999997</v>
      </c>
      <c r="E628" s="76">
        <v>33.024817999999897</v>
      </c>
      <c r="F628" s="76">
        <v>17.213747000000001</v>
      </c>
      <c r="G628" s="79">
        <v>340200</v>
      </c>
    </row>
    <row r="629" spans="1:7" x14ac:dyDescent="0.25">
      <c r="A629" s="1" t="s">
        <v>752</v>
      </c>
      <c r="B629" s="76">
        <v>33.185772</v>
      </c>
      <c r="C629" s="76">
        <v>33.185772</v>
      </c>
      <c r="D629" s="76">
        <v>32.446846000000001</v>
      </c>
      <c r="E629" s="76">
        <v>32.776069999999997</v>
      </c>
      <c r="F629" s="76">
        <v>17.084091000000001</v>
      </c>
      <c r="G629" s="79">
        <v>346900</v>
      </c>
    </row>
    <row r="630" spans="1:7" x14ac:dyDescent="0.25">
      <c r="A630" s="1" t="s">
        <v>753</v>
      </c>
      <c r="B630" s="76">
        <v>32.849232000000001</v>
      </c>
      <c r="C630" s="76">
        <v>33.697899</v>
      </c>
      <c r="D630" s="76">
        <v>32.834598999999997</v>
      </c>
      <c r="E630" s="76">
        <v>33.200404999999897</v>
      </c>
      <c r="F630" s="76">
        <v>17.305275000000002</v>
      </c>
      <c r="G630" s="79">
        <v>175900</v>
      </c>
    </row>
    <row r="631" spans="1:7" x14ac:dyDescent="0.25">
      <c r="A631" s="1" t="s">
        <v>754</v>
      </c>
      <c r="B631" s="76">
        <v>33.346724999999999</v>
      </c>
      <c r="C631" s="76">
        <v>33.346724999999999</v>
      </c>
      <c r="D631" s="76">
        <v>32.922393999999997</v>
      </c>
      <c r="E631" s="76">
        <v>33.017502</v>
      </c>
      <c r="F631" s="76">
        <v>17.209935999999999</v>
      </c>
      <c r="G631" s="79">
        <v>322100</v>
      </c>
    </row>
    <row r="632" spans="1:7" x14ac:dyDescent="0.25">
      <c r="A632" s="1" t="s">
        <v>755</v>
      </c>
      <c r="B632" s="76">
        <v>33.310146000000003</v>
      </c>
      <c r="C632" s="76">
        <v>33.310146000000003</v>
      </c>
      <c r="D632" s="76">
        <v>32.958973</v>
      </c>
      <c r="E632" s="76">
        <v>33.002868999999997</v>
      </c>
      <c r="F632" s="76">
        <v>17.202307000000001</v>
      </c>
      <c r="G632" s="79">
        <v>362200</v>
      </c>
    </row>
    <row r="633" spans="1:7" x14ac:dyDescent="0.25">
      <c r="A633" s="1" t="s">
        <v>756</v>
      </c>
      <c r="B633" s="76">
        <v>33.163821999999897</v>
      </c>
      <c r="C633" s="76">
        <v>33.215034000000003</v>
      </c>
      <c r="D633" s="76">
        <v>32.190784000000001</v>
      </c>
      <c r="E633" s="76">
        <v>32.227364000000001</v>
      </c>
      <c r="F633" s="76">
        <v>16.798083999999999</v>
      </c>
      <c r="G633" s="79">
        <v>748100</v>
      </c>
    </row>
    <row r="634" spans="1:7" x14ac:dyDescent="0.25">
      <c r="A634" s="1" t="s">
        <v>757</v>
      </c>
      <c r="B634" s="76">
        <v>32.263946999999902</v>
      </c>
      <c r="C634" s="76">
        <v>32.263946999999902</v>
      </c>
      <c r="D634" s="76">
        <v>31.020209999999999</v>
      </c>
      <c r="E634" s="76">
        <v>31.459174999999998</v>
      </c>
      <c r="F634" s="76">
        <v>16.397682</v>
      </c>
      <c r="G634" s="79">
        <v>1218600</v>
      </c>
    </row>
    <row r="635" spans="1:7" x14ac:dyDescent="0.25">
      <c r="A635" s="1" t="s">
        <v>758</v>
      </c>
      <c r="B635" s="76">
        <v>31.82498</v>
      </c>
      <c r="C635" s="76">
        <v>31.898140000000001</v>
      </c>
      <c r="D635" s="76">
        <v>31.159215999999901</v>
      </c>
      <c r="E635" s="76">
        <v>31.181163999999999</v>
      </c>
      <c r="F635" s="76">
        <v>16.252763999999999</v>
      </c>
      <c r="G635" s="79">
        <v>649800</v>
      </c>
    </row>
    <row r="636" spans="1:7" x14ac:dyDescent="0.25">
      <c r="A636" s="1" t="s">
        <v>759</v>
      </c>
      <c r="B636" s="76">
        <v>31.349433999999999</v>
      </c>
      <c r="C636" s="76">
        <v>31.364066999999999</v>
      </c>
      <c r="D636" s="76">
        <v>30.361763</v>
      </c>
      <c r="E636" s="76">
        <v>31.056790999999901</v>
      </c>
      <c r="F636" s="76">
        <v>16.187940999999999</v>
      </c>
      <c r="G636" s="79">
        <v>632600</v>
      </c>
    </row>
    <row r="637" spans="1:7" x14ac:dyDescent="0.25">
      <c r="A637" s="1" t="s">
        <v>760</v>
      </c>
      <c r="B637" s="76">
        <v>30.7275659999999</v>
      </c>
      <c r="C637" s="76">
        <v>32.139571999999902</v>
      </c>
      <c r="D637" s="76">
        <v>30.698302999999999</v>
      </c>
      <c r="E637" s="76">
        <v>31.568915999999899</v>
      </c>
      <c r="F637" s="76">
        <v>16.454879999999999</v>
      </c>
      <c r="G637" s="79">
        <v>726400</v>
      </c>
    </row>
    <row r="638" spans="1:7" x14ac:dyDescent="0.25">
      <c r="A638" s="1" t="s">
        <v>761</v>
      </c>
      <c r="B638" s="76">
        <v>31.634761999999998</v>
      </c>
      <c r="C638" s="76">
        <v>31.803032000000002</v>
      </c>
      <c r="D638" s="76">
        <v>31.159215999999901</v>
      </c>
      <c r="E638" s="76">
        <v>31.276274000000001</v>
      </c>
      <c r="F638" s="76">
        <v>16.302340000000001</v>
      </c>
      <c r="G638" s="79">
        <v>446300</v>
      </c>
    </row>
    <row r="639" spans="1:7" x14ac:dyDescent="0.25">
      <c r="A639" s="1" t="s">
        <v>762</v>
      </c>
      <c r="B639" s="76">
        <v>31.349433999999999</v>
      </c>
      <c r="C639" s="76">
        <v>31.371382000000001</v>
      </c>
      <c r="D639" s="76">
        <v>30.581244999999999</v>
      </c>
      <c r="E639" s="76">
        <v>30.581244999999999</v>
      </c>
      <c r="F639" s="76">
        <v>15.940071</v>
      </c>
      <c r="G639" s="79">
        <v>1164500</v>
      </c>
    </row>
    <row r="640" spans="1:7" x14ac:dyDescent="0.25">
      <c r="A640" s="1" t="s">
        <v>763</v>
      </c>
      <c r="B640" s="76">
        <v>30.588559999999902</v>
      </c>
      <c r="C640" s="76">
        <v>30.588559999999902</v>
      </c>
      <c r="D640" s="76">
        <v>29.703313999999999</v>
      </c>
      <c r="E640" s="76">
        <v>29.995958000000002</v>
      </c>
      <c r="F640" s="76">
        <v>15.634998999999899</v>
      </c>
      <c r="G640" s="79">
        <v>719800</v>
      </c>
    </row>
    <row r="641" spans="1:7" x14ac:dyDescent="0.25">
      <c r="A641" s="1" t="s">
        <v>764</v>
      </c>
      <c r="B641" s="76">
        <v>30.508082999999999</v>
      </c>
      <c r="C641" s="76">
        <v>30.7275659999999</v>
      </c>
      <c r="D641" s="76">
        <v>28.927809</v>
      </c>
      <c r="E641" s="76">
        <v>29.191189000000001</v>
      </c>
      <c r="F641" s="76">
        <v>15.215520999999899</v>
      </c>
      <c r="G641" s="79">
        <v>706100</v>
      </c>
    </row>
    <row r="642" spans="1:7" x14ac:dyDescent="0.25">
      <c r="A642" s="1" t="s">
        <v>765</v>
      </c>
      <c r="B642" s="76">
        <v>29.198502999999999</v>
      </c>
      <c r="C642" s="76">
        <v>29.476514999999999</v>
      </c>
      <c r="D642" s="76">
        <v>28.086459999999999</v>
      </c>
      <c r="E642" s="76">
        <v>28.166937000000001</v>
      </c>
      <c r="F642" s="76">
        <v>14.681637</v>
      </c>
      <c r="G642" s="79">
        <v>571000</v>
      </c>
    </row>
    <row r="643" spans="1:7" x14ac:dyDescent="0.25">
      <c r="A643" s="1" t="s">
        <v>766</v>
      </c>
      <c r="B643" s="76">
        <v>24.325990999999998</v>
      </c>
      <c r="C643" s="76">
        <v>27.866976000000001</v>
      </c>
      <c r="D643" s="76">
        <v>24.28941</v>
      </c>
      <c r="E643" s="76">
        <v>27.545069000000002</v>
      </c>
      <c r="F643" s="76">
        <v>14.3575059999999</v>
      </c>
      <c r="G643" s="79">
        <v>1976800</v>
      </c>
    </row>
    <row r="644" spans="1:7" x14ac:dyDescent="0.25">
      <c r="A644" s="1" t="s">
        <v>767</v>
      </c>
      <c r="B644" s="76">
        <v>27.545069000000002</v>
      </c>
      <c r="C644" s="76">
        <v>28.701009999999901</v>
      </c>
      <c r="D644" s="76">
        <v>27.032941999999998</v>
      </c>
      <c r="E644" s="76">
        <v>28.357154999999999</v>
      </c>
      <c r="F644" s="76">
        <v>14.780787</v>
      </c>
      <c r="G644" s="79">
        <v>876000</v>
      </c>
    </row>
    <row r="645" spans="1:7" x14ac:dyDescent="0.25">
      <c r="A645" s="1" t="s">
        <v>768</v>
      </c>
      <c r="B645" s="76">
        <v>28.971706000000001</v>
      </c>
      <c r="C645" s="76">
        <v>29.556992999999999</v>
      </c>
      <c r="D645" s="76">
        <v>28.679061999999998</v>
      </c>
      <c r="E645" s="76">
        <v>29.410671000000001</v>
      </c>
      <c r="F645" s="76">
        <v>15.329919</v>
      </c>
      <c r="G645" s="79">
        <v>761200</v>
      </c>
    </row>
    <row r="646" spans="1:7" x14ac:dyDescent="0.25">
      <c r="A646" s="1" t="s">
        <v>769</v>
      </c>
      <c r="B646" s="76">
        <v>29.593572999999999</v>
      </c>
      <c r="C646" s="76">
        <v>30.420292</v>
      </c>
      <c r="D646" s="76">
        <v>29.593572999999999</v>
      </c>
      <c r="E646" s="76">
        <v>30.383710999999899</v>
      </c>
      <c r="F646" s="76">
        <v>15.837104</v>
      </c>
      <c r="G646" s="79">
        <v>897800</v>
      </c>
    </row>
    <row r="647" spans="1:7" x14ac:dyDescent="0.25">
      <c r="A647" s="1" t="s">
        <v>770</v>
      </c>
      <c r="B647" s="76">
        <v>30.434922999999898</v>
      </c>
      <c r="C647" s="76">
        <v>31.671343</v>
      </c>
      <c r="D647" s="76">
        <v>30.069118</v>
      </c>
      <c r="E647" s="76">
        <v>31.312853</v>
      </c>
      <c r="F647" s="76">
        <v>16.321408999999999</v>
      </c>
      <c r="G647" s="79">
        <v>735500</v>
      </c>
    </row>
    <row r="648" spans="1:7" x14ac:dyDescent="0.25">
      <c r="A648" s="1" t="s">
        <v>771</v>
      </c>
      <c r="B648" s="76">
        <v>31.312853</v>
      </c>
      <c r="C648" s="76">
        <v>32.059092999999997</v>
      </c>
      <c r="D648" s="76">
        <v>30.647089000000001</v>
      </c>
      <c r="E648" s="76">
        <v>31.861560999999998</v>
      </c>
      <c r="F648" s="76">
        <v>16.607413999999999</v>
      </c>
      <c r="G648" s="79">
        <v>1430600</v>
      </c>
    </row>
    <row r="649" spans="1:7" x14ac:dyDescent="0.25">
      <c r="A649" s="1" t="s">
        <v>772</v>
      </c>
      <c r="B649" s="76">
        <v>31.378697999999901</v>
      </c>
      <c r="C649" s="76">
        <v>31.378697999999901</v>
      </c>
      <c r="D649" s="76">
        <v>29.9740099999999</v>
      </c>
      <c r="E649" s="76">
        <v>30.061802</v>
      </c>
      <c r="F649" s="76">
        <v>15.910439</v>
      </c>
      <c r="G649" s="79">
        <v>1311300</v>
      </c>
    </row>
    <row r="650" spans="1:7" x14ac:dyDescent="0.25">
      <c r="A650" s="1" t="s">
        <v>773</v>
      </c>
      <c r="B650" s="76">
        <v>30.003274999999999</v>
      </c>
      <c r="C650" s="76">
        <v>30.193493</v>
      </c>
      <c r="D650" s="76">
        <v>28.240096999999999</v>
      </c>
      <c r="E650" s="76">
        <v>29.03755</v>
      </c>
      <c r="F650" s="76">
        <v>15.368342999999999</v>
      </c>
      <c r="G650" s="79">
        <v>1282400</v>
      </c>
    </row>
    <row r="651" spans="1:7" x14ac:dyDescent="0.25">
      <c r="A651" s="1" t="s">
        <v>774</v>
      </c>
      <c r="B651" s="76">
        <v>29.110711999999999</v>
      </c>
      <c r="C651" s="76">
        <v>29.1692409999999</v>
      </c>
      <c r="D651" s="76">
        <v>27.910872999999999</v>
      </c>
      <c r="E651" s="76">
        <v>28.057196000000001</v>
      </c>
      <c r="F651" s="76">
        <v>14.8494799999999</v>
      </c>
      <c r="G651" s="79">
        <v>638700</v>
      </c>
    </row>
    <row r="652" spans="1:7" x14ac:dyDescent="0.25">
      <c r="A652" s="1" t="s">
        <v>775</v>
      </c>
      <c r="B652" s="76">
        <v>28.218149</v>
      </c>
      <c r="C652" s="76">
        <v>28.861965000000001</v>
      </c>
      <c r="D652" s="76">
        <v>27.720654999999901</v>
      </c>
      <c r="E652" s="76">
        <v>28.861965000000001</v>
      </c>
      <c r="F652" s="76">
        <v>15.275414</v>
      </c>
      <c r="G652" s="79">
        <v>648700</v>
      </c>
    </row>
    <row r="653" spans="1:7" x14ac:dyDescent="0.25">
      <c r="A653" s="1" t="s">
        <v>776</v>
      </c>
      <c r="B653" s="76">
        <v>28.971706000000001</v>
      </c>
      <c r="C653" s="76">
        <v>29.154608</v>
      </c>
      <c r="D653" s="76">
        <v>28.430315</v>
      </c>
      <c r="E653" s="76">
        <v>29.118027000000001</v>
      </c>
      <c r="F653" s="76">
        <v>15.410939000000001</v>
      </c>
      <c r="G653" s="79">
        <v>437300</v>
      </c>
    </row>
    <row r="654" spans="1:7" x14ac:dyDescent="0.25">
      <c r="A654" s="1" t="s">
        <v>777</v>
      </c>
      <c r="B654" s="76">
        <v>29.008285999999998</v>
      </c>
      <c r="C654" s="76">
        <v>29.008285999999998</v>
      </c>
      <c r="D654" s="76">
        <v>28.152303999999901</v>
      </c>
      <c r="E654" s="76">
        <v>28.313257</v>
      </c>
      <c r="F654" s="76">
        <v>14.985003000000001</v>
      </c>
      <c r="G654" s="79">
        <v>1432000</v>
      </c>
    </row>
    <row r="655" spans="1:7" x14ac:dyDescent="0.25">
      <c r="A655" s="1" t="s">
        <v>778</v>
      </c>
      <c r="B655" s="76">
        <v>28.313257</v>
      </c>
      <c r="C655" s="76">
        <v>28.313257</v>
      </c>
      <c r="D655" s="76">
        <v>27.398745999999999</v>
      </c>
      <c r="E655" s="76">
        <v>28.020614999999999</v>
      </c>
      <c r="F655" s="76">
        <v>14.830119</v>
      </c>
      <c r="G655" s="79">
        <v>646300</v>
      </c>
    </row>
    <row r="656" spans="1:7" x14ac:dyDescent="0.25">
      <c r="A656" s="1" t="s">
        <v>779</v>
      </c>
      <c r="B656" s="76">
        <v>28.020614999999999</v>
      </c>
      <c r="C656" s="76">
        <v>28.093775000000001</v>
      </c>
      <c r="D656" s="76">
        <v>27.6401789999999</v>
      </c>
      <c r="E656" s="76">
        <v>27.998666999999902</v>
      </c>
      <c r="F656" s="76">
        <v>14.818504000000001</v>
      </c>
      <c r="G656" s="79">
        <v>750100</v>
      </c>
    </row>
    <row r="657" spans="1:7" x14ac:dyDescent="0.25">
      <c r="A657" s="1" t="s">
        <v>780</v>
      </c>
      <c r="B657" s="76">
        <v>28.130355999999999</v>
      </c>
      <c r="C657" s="76">
        <v>28.569320999999999</v>
      </c>
      <c r="D657" s="76">
        <v>28.020614999999999</v>
      </c>
      <c r="E657" s="76">
        <v>28.166937000000001</v>
      </c>
      <c r="F657" s="76">
        <v>14.9075579999999</v>
      </c>
      <c r="G657" s="79">
        <v>483300</v>
      </c>
    </row>
    <row r="658" spans="1:7" x14ac:dyDescent="0.25">
      <c r="A658" s="1" t="s">
        <v>781</v>
      </c>
      <c r="B658" s="76">
        <v>28.349837999999998</v>
      </c>
      <c r="C658" s="76">
        <v>28.459578999999898</v>
      </c>
      <c r="D658" s="76">
        <v>27.984034000000001</v>
      </c>
      <c r="E658" s="76">
        <v>28.386419</v>
      </c>
      <c r="F658" s="76">
        <v>15.023728</v>
      </c>
      <c r="G658" s="79">
        <v>454100</v>
      </c>
    </row>
    <row r="659" spans="1:7" x14ac:dyDescent="0.25">
      <c r="A659" s="1" t="s">
        <v>782</v>
      </c>
      <c r="B659" s="76">
        <v>28.53274</v>
      </c>
      <c r="C659" s="76">
        <v>28.679061999999998</v>
      </c>
      <c r="D659" s="76">
        <v>28.240096999999999</v>
      </c>
      <c r="E659" s="76">
        <v>28.679061999999998</v>
      </c>
      <c r="F659" s="76">
        <v>15.178609</v>
      </c>
      <c r="G659" s="79">
        <v>315700</v>
      </c>
    </row>
    <row r="660" spans="1:7" x14ac:dyDescent="0.25">
      <c r="A660" s="1" t="s">
        <v>783</v>
      </c>
      <c r="B660" s="76">
        <v>28.788803000000001</v>
      </c>
      <c r="C660" s="76">
        <v>29.461884000000001</v>
      </c>
      <c r="D660" s="76">
        <v>28.686378000000001</v>
      </c>
      <c r="E660" s="76">
        <v>29.461884000000001</v>
      </c>
      <c r="F660" s="76">
        <v>15.592923000000001</v>
      </c>
      <c r="G660" s="79">
        <v>368700</v>
      </c>
    </row>
    <row r="661" spans="1:7" x14ac:dyDescent="0.25">
      <c r="A661" s="1" t="s">
        <v>784</v>
      </c>
      <c r="B661" s="76">
        <v>29.630153999999902</v>
      </c>
      <c r="C661" s="76">
        <v>29.630153999999902</v>
      </c>
      <c r="D661" s="76">
        <v>28.935124999999999</v>
      </c>
      <c r="E661" s="76">
        <v>29.191189000000001</v>
      </c>
      <c r="F661" s="76">
        <v>15.449664</v>
      </c>
      <c r="G661" s="79">
        <v>470800</v>
      </c>
    </row>
    <row r="662" spans="1:7" x14ac:dyDescent="0.25">
      <c r="A662" s="1" t="s">
        <v>785</v>
      </c>
      <c r="B662" s="76">
        <v>29.183871999999901</v>
      </c>
      <c r="C662" s="76">
        <v>29.227767999999902</v>
      </c>
      <c r="D662" s="76">
        <v>28.949757000000002</v>
      </c>
      <c r="E662" s="76">
        <v>29.074131000000001</v>
      </c>
      <c r="F662" s="76">
        <v>15.387707000000001</v>
      </c>
      <c r="G662" s="79">
        <v>345700</v>
      </c>
    </row>
    <row r="663" spans="1:7" x14ac:dyDescent="0.25">
      <c r="A663" s="1" t="s">
        <v>786</v>
      </c>
      <c r="B663" s="76">
        <v>29.074131000000001</v>
      </c>
      <c r="C663" s="76">
        <v>29.205819999999999</v>
      </c>
      <c r="D663" s="76">
        <v>28.971706000000001</v>
      </c>
      <c r="E663" s="76">
        <v>29.118027000000001</v>
      </c>
      <c r="F663" s="76">
        <v>15.410939000000001</v>
      </c>
      <c r="G663" s="79">
        <v>186300</v>
      </c>
    </row>
    <row r="664" spans="1:7" x14ac:dyDescent="0.25">
      <c r="A664" s="1" t="s">
        <v>787</v>
      </c>
      <c r="B664" s="76">
        <v>29.154608</v>
      </c>
      <c r="C664" s="76">
        <v>29.300929999999902</v>
      </c>
      <c r="D664" s="76">
        <v>28.605902</v>
      </c>
      <c r="E664" s="76">
        <v>28.759539</v>
      </c>
      <c r="F664" s="76">
        <v>15.221204</v>
      </c>
      <c r="G664" s="79">
        <v>223000</v>
      </c>
    </row>
    <row r="665" spans="1:7" x14ac:dyDescent="0.25">
      <c r="A665" s="1" t="s">
        <v>788</v>
      </c>
      <c r="B665" s="76">
        <v>28.642482999999999</v>
      </c>
      <c r="C665" s="76">
        <v>29.118027000000001</v>
      </c>
      <c r="D665" s="76">
        <v>28.605902</v>
      </c>
      <c r="E665" s="76">
        <v>29.081447999999899</v>
      </c>
      <c r="F665" s="76">
        <v>15.3915769999999</v>
      </c>
      <c r="G665" s="79">
        <v>215500</v>
      </c>
    </row>
    <row r="666" spans="1:7" x14ac:dyDescent="0.25">
      <c r="A666" s="1" t="s">
        <v>789</v>
      </c>
      <c r="B666" s="76">
        <v>29.264348999999999</v>
      </c>
      <c r="C666" s="76">
        <v>29.498464999999999</v>
      </c>
      <c r="D666" s="76">
        <v>28.935124999999999</v>
      </c>
      <c r="E666" s="76">
        <v>29.491147999999999</v>
      </c>
      <c r="F666" s="76">
        <v>15.608414</v>
      </c>
      <c r="G666" s="79">
        <v>122000</v>
      </c>
    </row>
    <row r="667" spans="1:7" x14ac:dyDescent="0.25">
      <c r="A667" s="1" t="s">
        <v>790</v>
      </c>
      <c r="B667" s="76">
        <v>29.61552</v>
      </c>
      <c r="C667" s="76">
        <v>29.61552</v>
      </c>
      <c r="D667" s="76">
        <v>29.417988000000001</v>
      </c>
      <c r="E667" s="76">
        <v>29.491147999999999</v>
      </c>
      <c r="F667" s="76">
        <v>15.608414</v>
      </c>
      <c r="G667" s="79">
        <v>238400</v>
      </c>
    </row>
    <row r="668" spans="1:7" x14ac:dyDescent="0.25">
      <c r="A668" s="1" t="s">
        <v>791</v>
      </c>
      <c r="B668" s="76">
        <v>29.410671000000001</v>
      </c>
      <c r="C668" s="76">
        <v>29.813054999999999</v>
      </c>
      <c r="D668" s="76">
        <v>29.264348999999999</v>
      </c>
      <c r="E668" s="76">
        <v>29.791107</v>
      </c>
      <c r="F668" s="76">
        <v>15.767172</v>
      </c>
      <c r="G668" s="79">
        <v>555400</v>
      </c>
    </row>
    <row r="669" spans="1:7" x14ac:dyDescent="0.25">
      <c r="A669" s="1" t="s">
        <v>792</v>
      </c>
      <c r="B669" s="76">
        <v>29.666734999999999</v>
      </c>
      <c r="C669" s="76">
        <v>29.922796000000002</v>
      </c>
      <c r="D669" s="76">
        <v>29.513096000000001</v>
      </c>
      <c r="E669" s="76">
        <v>29.630153999999902</v>
      </c>
      <c r="F669" s="76">
        <v>15.681982999999899</v>
      </c>
      <c r="G669" s="79">
        <v>413200</v>
      </c>
    </row>
    <row r="670" spans="1:7" x14ac:dyDescent="0.25">
      <c r="A670" s="1" t="s">
        <v>793</v>
      </c>
      <c r="B670" s="76">
        <v>29.739895000000001</v>
      </c>
      <c r="C670" s="76">
        <v>30.361763</v>
      </c>
      <c r="D670" s="76">
        <v>29.695999</v>
      </c>
      <c r="E670" s="76">
        <v>30.2300719999999</v>
      </c>
      <c r="F670" s="76">
        <v>15.999494</v>
      </c>
      <c r="G670" s="79">
        <v>363900</v>
      </c>
    </row>
    <row r="671" spans="1:7" x14ac:dyDescent="0.25">
      <c r="A671" s="1" t="s">
        <v>794</v>
      </c>
      <c r="B671" s="76">
        <v>30.142281000000001</v>
      </c>
      <c r="C671" s="76">
        <v>30.149595000000001</v>
      </c>
      <c r="D671" s="76">
        <v>29.703313999999999</v>
      </c>
      <c r="E671" s="76">
        <v>29.849636</v>
      </c>
      <c r="F671" s="76">
        <v>15.798142</v>
      </c>
      <c r="G671" s="79">
        <v>474600</v>
      </c>
    </row>
    <row r="672" spans="1:7" x14ac:dyDescent="0.25">
      <c r="A672" s="1" t="s">
        <v>795</v>
      </c>
      <c r="B672" s="76">
        <v>29.981324999999998</v>
      </c>
      <c r="C672" s="76">
        <v>30.178859999999901</v>
      </c>
      <c r="D672" s="76">
        <v>29.695999</v>
      </c>
      <c r="E672" s="76">
        <v>29.944745999999999</v>
      </c>
      <c r="F672" s="76">
        <v>15.848481</v>
      </c>
      <c r="G672" s="79">
        <v>205500</v>
      </c>
    </row>
    <row r="673" spans="1:7" x14ac:dyDescent="0.25">
      <c r="A673" s="1" t="s">
        <v>796</v>
      </c>
      <c r="B673" s="76">
        <v>29.944745999999999</v>
      </c>
      <c r="C673" s="76">
        <v>29.959377</v>
      </c>
      <c r="D673" s="76">
        <v>29.703313999999999</v>
      </c>
      <c r="E673" s="76">
        <v>29.776475999999999</v>
      </c>
      <c r="F673" s="76">
        <v>15.759435</v>
      </c>
      <c r="G673" s="79">
        <v>171200</v>
      </c>
    </row>
    <row r="674" spans="1:7" x14ac:dyDescent="0.25">
      <c r="A674" s="1" t="s">
        <v>797</v>
      </c>
      <c r="B674" s="76">
        <v>29.886216999999998</v>
      </c>
      <c r="C674" s="76">
        <v>30.069118</v>
      </c>
      <c r="D674" s="76">
        <v>29.666734999999999</v>
      </c>
      <c r="E674" s="76">
        <v>29.915482000000001</v>
      </c>
      <c r="F674" s="76">
        <v>15.833</v>
      </c>
      <c r="G674" s="79">
        <v>198400</v>
      </c>
    </row>
    <row r="675" spans="1:7" x14ac:dyDescent="0.25">
      <c r="A675" s="1" t="s">
        <v>798</v>
      </c>
      <c r="B675" s="76">
        <v>29.776475999999999</v>
      </c>
      <c r="C675" s="76">
        <v>30.069118</v>
      </c>
      <c r="D675" s="76">
        <v>29.739895000000001</v>
      </c>
      <c r="E675" s="76">
        <v>30.069118</v>
      </c>
      <c r="F675" s="76">
        <v>15.91431</v>
      </c>
      <c r="G675" s="79">
        <v>325200</v>
      </c>
    </row>
    <row r="676" spans="1:7" x14ac:dyDescent="0.25">
      <c r="A676" s="1" t="s">
        <v>799</v>
      </c>
      <c r="B676" s="76">
        <v>30.252021999999901</v>
      </c>
      <c r="C676" s="76">
        <v>30.295918</v>
      </c>
      <c r="D676" s="76">
        <v>29.922796000000002</v>
      </c>
      <c r="E676" s="76">
        <v>29.966694</v>
      </c>
      <c r="F676" s="76">
        <v>15.860104</v>
      </c>
      <c r="G676" s="79">
        <v>1004400</v>
      </c>
    </row>
    <row r="677" spans="1:7" x14ac:dyDescent="0.25">
      <c r="A677" s="1" t="s">
        <v>800</v>
      </c>
      <c r="B677" s="76">
        <v>29.995958000000002</v>
      </c>
      <c r="C677" s="76">
        <v>30.039853999999998</v>
      </c>
      <c r="D677" s="76">
        <v>29.893532</v>
      </c>
      <c r="E677" s="76">
        <v>29.900848</v>
      </c>
      <c r="F677" s="76">
        <v>15.825253</v>
      </c>
      <c r="G677" s="79">
        <v>497800</v>
      </c>
    </row>
    <row r="678" spans="1:7" x14ac:dyDescent="0.25">
      <c r="A678" s="1" t="s">
        <v>801</v>
      </c>
      <c r="B678" s="76">
        <v>29.922796000000002</v>
      </c>
      <c r="C678" s="76">
        <v>29.930112999999999</v>
      </c>
      <c r="D678" s="76">
        <v>29.622837000000001</v>
      </c>
      <c r="E678" s="76">
        <v>29.769158999999998</v>
      </c>
      <c r="F678" s="76">
        <v>15.7555529999999</v>
      </c>
      <c r="G678" s="79">
        <v>334100</v>
      </c>
    </row>
    <row r="679" spans="1:7" x14ac:dyDescent="0.25">
      <c r="A679" s="1" t="s">
        <v>802</v>
      </c>
      <c r="B679" s="76">
        <v>29.776475999999999</v>
      </c>
      <c r="C679" s="76">
        <v>29.995958000000002</v>
      </c>
      <c r="D679" s="76">
        <v>29.666734999999999</v>
      </c>
      <c r="E679" s="76">
        <v>29.995958000000002</v>
      </c>
      <c r="F679" s="76">
        <v>15.875591999999999</v>
      </c>
      <c r="G679" s="79">
        <v>537500</v>
      </c>
    </row>
    <row r="680" spans="1:7" x14ac:dyDescent="0.25">
      <c r="A680" s="1" t="s">
        <v>803</v>
      </c>
      <c r="B680" s="76">
        <v>29.995958000000002</v>
      </c>
      <c r="C680" s="76">
        <v>30.047170999999999</v>
      </c>
      <c r="D680" s="76">
        <v>29.813054999999999</v>
      </c>
      <c r="E680" s="76">
        <v>30.032536999999898</v>
      </c>
      <c r="F680" s="76">
        <v>15.894947999999999</v>
      </c>
      <c r="G680" s="79">
        <v>678000</v>
      </c>
    </row>
    <row r="681" spans="1:7" x14ac:dyDescent="0.25">
      <c r="A681" s="1" t="s">
        <v>804</v>
      </c>
      <c r="B681" s="76">
        <v>30.069118</v>
      </c>
      <c r="C681" s="76">
        <v>30.142281000000001</v>
      </c>
      <c r="D681" s="76">
        <v>29.922796000000002</v>
      </c>
      <c r="E681" s="76">
        <v>29.995958000000002</v>
      </c>
      <c r="F681" s="76">
        <v>15.875591999999999</v>
      </c>
      <c r="G681" s="79">
        <v>358900</v>
      </c>
    </row>
    <row r="682" spans="1:7" x14ac:dyDescent="0.25">
      <c r="A682" s="1" t="s">
        <v>805</v>
      </c>
      <c r="B682" s="76">
        <v>30.142281000000001</v>
      </c>
      <c r="C682" s="76">
        <v>30.186176</v>
      </c>
      <c r="D682" s="76">
        <v>29.937428999999899</v>
      </c>
      <c r="E682" s="76">
        <v>29.9740099999999</v>
      </c>
      <c r="F682" s="76">
        <v>15.863973999999899</v>
      </c>
      <c r="G682" s="79">
        <v>1101200</v>
      </c>
    </row>
    <row r="683" spans="1:7" x14ac:dyDescent="0.25">
      <c r="A683" s="1" t="s">
        <v>806</v>
      </c>
      <c r="B683" s="76">
        <v>29.966694</v>
      </c>
      <c r="C683" s="76">
        <v>29.966694</v>
      </c>
      <c r="D683" s="76">
        <v>29.520412</v>
      </c>
      <c r="E683" s="76">
        <v>29.593572999999999</v>
      </c>
      <c r="F683" s="76">
        <v>15.662621</v>
      </c>
      <c r="G683" s="79">
        <v>371300</v>
      </c>
    </row>
    <row r="684" spans="1:7" x14ac:dyDescent="0.25">
      <c r="A684" s="1" t="s">
        <v>807</v>
      </c>
      <c r="B684" s="76">
        <v>29.593572999999999</v>
      </c>
      <c r="C684" s="76">
        <v>30.003274999999999</v>
      </c>
      <c r="D684" s="76">
        <v>29.498464999999999</v>
      </c>
      <c r="E684" s="76">
        <v>29.959377</v>
      </c>
      <c r="F684" s="76">
        <v>15.856223999999999</v>
      </c>
      <c r="G684" s="79">
        <v>270400</v>
      </c>
    </row>
    <row r="685" spans="1:7" x14ac:dyDescent="0.25">
      <c r="A685" s="1" t="s">
        <v>808</v>
      </c>
      <c r="B685" s="76">
        <v>29.922796000000002</v>
      </c>
      <c r="C685" s="76">
        <v>30.149595000000001</v>
      </c>
      <c r="D685" s="76">
        <v>29.630153999999902</v>
      </c>
      <c r="E685" s="76">
        <v>29.710629999999998</v>
      </c>
      <c r="F685" s="76">
        <v>15.724576999999901</v>
      </c>
      <c r="G685" s="79">
        <v>175200</v>
      </c>
    </row>
    <row r="686" spans="1:7" x14ac:dyDescent="0.25">
      <c r="A686" s="1" t="s">
        <v>809</v>
      </c>
      <c r="B686" s="76">
        <v>29.710629999999998</v>
      </c>
      <c r="C686" s="76">
        <v>29.717946999999999</v>
      </c>
      <c r="D686" s="76">
        <v>29.469200000000001</v>
      </c>
      <c r="E686" s="76">
        <v>29.535043999999999</v>
      </c>
      <c r="F686" s="76">
        <v>15.63165</v>
      </c>
      <c r="G686" s="79">
        <v>436900</v>
      </c>
    </row>
    <row r="687" spans="1:7" x14ac:dyDescent="0.25">
      <c r="A687" s="1" t="s">
        <v>810</v>
      </c>
      <c r="B687" s="76">
        <v>29.703313999999999</v>
      </c>
      <c r="C687" s="76">
        <v>29.739895000000001</v>
      </c>
      <c r="D687" s="76">
        <v>29.110711999999999</v>
      </c>
      <c r="E687" s="76">
        <v>29.359459000000001</v>
      </c>
      <c r="F687" s="76">
        <v>15.53872</v>
      </c>
      <c r="G687" s="79">
        <v>241600</v>
      </c>
    </row>
    <row r="688" spans="1:7" x14ac:dyDescent="0.25">
      <c r="A688" s="1" t="s">
        <v>811</v>
      </c>
      <c r="B688" s="76">
        <v>29.542359999999999</v>
      </c>
      <c r="C688" s="76">
        <v>29.666734999999999</v>
      </c>
      <c r="D688" s="76">
        <v>29.2716659999999</v>
      </c>
      <c r="E688" s="76">
        <v>29.63747</v>
      </c>
      <c r="F688" s="76">
        <v>15.685854000000001</v>
      </c>
      <c r="G688" s="79">
        <v>218900</v>
      </c>
    </row>
    <row r="689" spans="1:7" x14ac:dyDescent="0.25">
      <c r="A689" s="1" t="s">
        <v>812</v>
      </c>
      <c r="B689" s="76">
        <v>29.776475999999999</v>
      </c>
      <c r="C689" s="76">
        <v>29.813054999999999</v>
      </c>
      <c r="D689" s="76">
        <v>29.264348999999999</v>
      </c>
      <c r="E689" s="76">
        <v>29.264348999999999</v>
      </c>
      <c r="F689" s="76">
        <v>15.4883779999999</v>
      </c>
      <c r="G689" s="79">
        <v>322600</v>
      </c>
    </row>
    <row r="690" spans="1:7" x14ac:dyDescent="0.25">
      <c r="A690" s="1" t="s">
        <v>813</v>
      </c>
      <c r="B690" s="76">
        <v>29.264348999999999</v>
      </c>
      <c r="C690" s="76">
        <v>29.264348999999999</v>
      </c>
      <c r="D690" s="76">
        <v>28.715643</v>
      </c>
      <c r="E690" s="76">
        <v>28.861965000000001</v>
      </c>
      <c r="F690" s="76">
        <v>15.275414</v>
      </c>
      <c r="G690" s="79">
        <v>566500</v>
      </c>
    </row>
    <row r="691" spans="1:7" x14ac:dyDescent="0.25">
      <c r="A691" s="1" t="s">
        <v>814</v>
      </c>
      <c r="B691" s="76">
        <v>28.905860999999899</v>
      </c>
      <c r="C691" s="76">
        <v>29.008285999999998</v>
      </c>
      <c r="D691" s="76">
        <v>28.15962</v>
      </c>
      <c r="E691" s="76">
        <v>28.686378000000001</v>
      </c>
      <c r="F691" s="76">
        <v>15.182485</v>
      </c>
      <c r="G691" s="79">
        <v>420100</v>
      </c>
    </row>
    <row r="692" spans="1:7" x14ac:dyDescent="0.25">
      <c r="A692" s="1" t="s">
        <v>815</v>
      </c>
      <c r="B692" s="76">
        <v>28.832701</v>
      </c>
      <c r="C692" s="76">
        <v>28.832701</v>
      </c>
      <c r="D692" s="76">
        <v>28.027930999999999</v>
      </c>
      <c r="E692" s="76">
        <v>28.166937000000001</v>
      </c>
      <c r="F692" s="76">
        <v>14.9075579999999</v>
      </c>
      <c r="G692" s="79">
        <v>353200</v>
      </c>
    </row>
    <row r="693" spans="1:7" x14ac:dyDescent="0.25">
      <c r="A693" s="1" t="s">
        <v>816</v>
      </c>
      <c r="B693" s="76">
        <v>28.093775000000001</v>
      </c>
      <c r="C693" s="76">
        <v>28.093775000000001</v>
      </c>
      <c r="D693" s="76">
        <v>27.727969999999999</v>
      </c>
      <c r="E693" s="76">
        <v>27.815763</v>
      </c>
      <c r="F693" s="76">
        <v>14.721700999999999</v>
      </c>
      <c r="G693" s="79">
        <v>378000</v>
      </c>
    </row>
    <row r="694" spans="1:7" x14ac:dyDescent="0.25">
      <c r="A694" s="1" t="s">
        <v>817</v>
      </c>
      <c r="B694" s="76">
        <v>27.837710999999999</v>
      </c>
      <c r="C694" s="76">
        <v>27.888926000000001</v>
      </c>
      <c r="D694" s="76">
        <v>27.069522999999901</v>
      </c>
      <c r="E694" s="76">
        <v>27.069522999999901</v>
      </c>
      <c r="F694" s="76">
        <v>14.3267519999999</v>
      </c>
      <c r="G694" s="79">
        <v>897900</v>
      </c>
    </row>
    <row r="695" spans="1:7" x14ac:dyDescent="0.25">
      <c r="A695" s="1" t="s">
        <v>818</v>
      </c>
      <c r="B695" s="76">
        <v>27.069522999999901</v>
      </c>
      <c r="C695" s="76">
        <v>27.164632999999998</v>
      </c>
      <c r="D695" s="76">
        <v>26.286701000000001</v>
      </c>
      <c r="E695" s="76">
        <v>26.367177999999999</v>
      </c>
      <c r="F695" s="76">
        <v>13.955026</v>
      </c>
      <c r="G695" s="79">
        <v>554100</v>
      </c>
    </row>
    <row r="696" spans="1:7" x14ac:dyDescent="0.25">
      <c r="A696" s="1" t="s">
        <v>819</v>
      </c>
      <c r="B696" s="76">
        <v>26.703717999999999</v>
      </c>
      <c r="C696" s="76">
        <v>26.842724</v>
      </c>
      <c r="D696" s="76">
        <v>25.745311999999998</v>
      </c>
      <c r="E696" s="76">
        <v>26.345229999999901</v>
      </c>
      <c r="F696" s="76">
        <v>13.943412</v>
      </c>
      <c r="G696" s="79">
        <v>855000</v>
      </c>
    </row>
    <row r="697" spans="1:7" x14ac:dyDescent="0.25">
      <c r="A697" s="1" t="s">
        <v>820</v>
      </c>
      <c r="B697" s="76">
        <v>26.235489000000001</v>
      </c>
      <c r="C697" s="76">
        <v>26.352546999999898</v>
      </c>
      <c r="D697" s="76">
        <v>25.716047</v>
      </c>
      <c r="E697" s="76">
        <v>26.016006000000001</v>
      </c>
      <c r="F697" s="76">
        <v>13.769167999999899</v>
      </c>
      <c r="G697" s="79">
        <v>841900</v>
      </c>
    </row>
    <row r="698" spans="1:7" x14ac:dyDescent="0.25">
      <c r="A698" s="1" t="s">
        <v>821</v>
      </c>
      <c r="B698" s="76">
        <v>25.825787999999999</v>
      </c>
      <c r="C698" s="76">
        <v>26.813459000000002</v>
      </c>
      <c r="D698" s="76">
        <v>25.533144</v>
      </c>
      <c r="E698" s="76">
        <v>26.813459000000002</v>
      </c>
      <c r="F698" s="76">
        <v>14.191229</v>
      </c>
      <c r="G698" s="79">
        <v>506300</v>
      </c>
    </row>
    <row r="699" spans="1:7" x14ac:dyDescent="0.25">
      <c r="A699" s="1" t="s">
        <v>822</v>
      </c>
      <c r="B699" s="76">
        <v>26.996362999999999</v>
      </c>
      <c r="C699" s="76">
        <v>27.662127000000002</v>
      </c>
      <c r="D699" s="76">
        <v>26.974415</v>
      </c>
      <c r="E699" s="76">
        <v>27.032941999999998</v>
      </c>
      <c r="F699" s="76">
        <v>14.307389000000001</v>
      </c>
      <c r="G699" s="79">
        <v>785600</v>
      </c>
    </row>
    <row r="700" spans="1:7" x14ac:dyDescent="0.25">
      <c r="A700" s="1" t="s">
        <v>823</v>
      </c>
      <c r="B700" s="76">
        <v>27.003677</v>
      </c>
      <c r="C700" s="76">
        <v>27.010994</v>
      </c>
      <c r="D700" s="76">
        <v>26.155011999999999</v>
      </c>
      <c r="E700" s="76">
        <v>26.228171999999901</v>
      </c>
      <c r="F700" s="76">
        <v>13.8814549999999</v>
      </c>
      <c r="G700" s="79">
        <v>427300</v>
      </c>
    </row>
    <row r="701" spans="1:7" x14ac:dyDescent="0.25">
      <c r="A701" s="1" t="s">
        <v>824</v>
      </c>
      <c r="B701" s="76">
        <v>26.593976999999999</v>
      </c>
      <c r="C701" s="76">
        <v>27.289005</v>
      </c>
      <c r="D701" s="76">
        <v>26.593976999999999</v>
      </c>
      <c r="E701" s="76">
        <v>26.923200999999999</v>
      </c>
      <c r="F701" s="76">
        <v>14.249314</v>
      </c>
      <c r="G701" s="79">
        <v>436000</v>
      </c>
    </row>
    <row r="702" spans="1:7" x14ac:dyDescent="0.25">
      <c r="A702" s="1" t="s">
        <v>825</v>
      </c>
      <c r="B702" s="76">
        <v>27.069522999999901</v>
      </c>
      <c r="C702" s="76">
        <v>27.106103999999998</v>
      </c>
      <c r="D702" s="76">
        <v>26.630558000000001</v>
      </c>
      <c r="E702" s="76">
        <v>26.820775999999999</v>
      </c>
      <c r="F702" s="76">
        <v>14.1951</v>
      </c>
      <c r="G702" s="79">
        <v>252200</v>
      </c>
    </row>
    <row r="703" spans="1:7" x14ac:dyDescent="0.25">
      <c r="A703" s="1" t="s">
        <v>826</v>
      </c>
      <c r="B703" s="76">
        <v>27.069522999999901</v>
      </c>
      <c r="C703" s="76">
        <v>27.369482000000001</v>
      </c>
      <c r="D703" s="76">
        <v>27.025627</v>
      </c>
      <c r="E703" s="76">
        <v>27.15</v>
      </c>
      <c r="F703" s="76">
        <v>14.369342</v>
      </c>
      <c r="G703" s="79">
        <v>310700</v>
      </c>
    </row>
    <row r="704" spans="1:7" x14ac:dyDescent="0.25">
      <c r="A704" s="1" t="s">
        <v>827</v>
      </c>
      <c r="B704" s="76">
        <v>27.362166999999999</v>
      </c>
      <c r="C704" s="76">
        <v>27.508488</v>
      </c>
      <c r="D704" s="76">
        <v>26.996362999999999</v>
      </c>
      <c r="E704" s="76">
        <v>27.069522999999901</v>
      </c>
      <c r="F704" s="76">
        <v>14.3267519999999</v>
      </c>
      <c r="G704" s="79">
        <v>289500</v>
      </c>
    </row>
    <row r="705" spans="1:7" x14ac:dyDescent="0.25">
      <c r="A705" s="1" t="s">
        <v>828</v>
      </c>
      <c r="B705" s="76">
        <v>27.603597999999899</v>
      </c>
      <c r="C705" s="76">
        <v>27.603597999999899</v>
      </c>
      <c r="D705" s="76">
        <v>26.915885999999901</v>
      </c>
      <c r="E705" s="76">
        <v>27.091470999999999</v>
      </c>
      <c r="F705" s="76">
        <v>14.338362999999999</v>
      </c>
      <c r="G705" s="79">
        <v>289100</v>
      </c>
    </row>
    <row r="706" spans="1:7" x14ac:dyDescent="0.25">
      <c r="A706" s="1" t="s">
        <v>829</v>
      </c>
      <c r="B706" s="76">
        <v>27.091470999999999</v>
      </c>
      <c r="C706" s="76">
        <v>27.091470999999999</v>
      </c>
      <c r="D706" s="76">
        <v>26.411076000000001</v>
      </c>
      <c r="E706" s="76">
        <v>26.484235999999999</v>
      </c>
      <c r="F706" s="76">
        <v>14.016980999999999</v>
      </c>
      <c r="G706" s="79">
        <v>240500</v>
      </c>
    </row>
    <row r="707" spans="1:7" x14ac:dyDescent="0.25">
      <c r="A707" s="1" t="s">
        <v>830</v>
      </c>
      <c r="B707" s="76">
        <v>26.557397999999999</v>
      </c>
      <c r="C707" s="76">
        <v>26.557397999999999</v>
      </c>
      <c r="D707" s="76">
        <v>25.657518</v>
      </c>
      <c r="E707" s="76">
        <v>26.184276999999899</v>
      </c>
      <c r="F707" s="76">
        <v>13.858224999999999</v>
      </c>
      <c r="G707" s="79">
        <v>266900</v>
      </c>
    </row>
    <row r="708" spans="1:7" x14ac:dyDescent="0.25">
      <c r="A708" s="1" t="s">
        <v>831</v>
      </c>
      <c r="B708" s="76">
        <v>26.155011999999999</v>
      </c>
      <c r="C708" s="76">
        <v>27.032941999999998</v>
      </c>
      <c r="D708" s="76">
        <v>26.155011999999999</v>
      </c>
      <c r="E708" s="76">
        <v>26.967097999999901</v>
      </c>
      <c r="F708" s="76">
        <v>14.272539999999999</v>
      </c>
      <c r="G708" s="79">
        <v>251900</v>
      </c>
    </row>
    <row r="709" spans="1:7" x14ac:dyDescent="0.25">
      <c r="A709" s="1" t="s">
        <v>832</v>
      </c>
      <c r="B709" s="76">
        <v>27.032941999999998</v>
      </c>
      <c r="C709" s="76">
        <v>27.610914000000001</v>
      </c>
      <c r="D709" s="76">
        <v>26.959782000000001</v>
      </c>
      <c r="E709" s="76">
        <v>27.545069000000002</v>
      </c>
      <c r="F709" s="76">
        <v>14.578438</v>
      </c>
      <c r="G709" s="79">
        <v>328400</v>
      </c>
    </row>
    <row r="710" spans="1:7" x14ac:dyDescent="0.25">
      <c r="A710" s="1" t="s">
        <v>833</v>
      </c>
      <c r="B710" s="76">
        <v>27.801131999999999</v>
      </c>
      <c r="C710" s="76">
        <v>27.888926000000001</v>
      </c>
      <c r="D710" s="76">
        <v>27.289005</v>
      </c>
      <c r="E710" s="76">
        <v>27.369482000000001</v>
      </c>
      <c r="F710" s="76">
        <v>14.4855059999999</v>
      </c>
      <c r="G710" s="79">
        <v>290000</v>
      </c>
    </row>
    <row r="711" spans="1:7" x14ac:dyDescent="0.25">
      <c r="A711" s="1" t="s">
        <v>834</v>
      </c>
      <c r="B711" s="76">
        <v>27.186581</v>
      </c>
      <c r="C711" s="76">
        <v>27.186581</v>
      </c>
      <c r="D711" s="76">
        <v>26.645188999999998</v>
      </c>
      <c r="E711" s="76">
        <v>26.813459000000002</v>
      </c>
      <c r="F711" s="76">
        <v>14.191229</v>
      </c>
      <c r="G711" s="79">
        <v>333100</v>
      </c>
    </row>
    <row r="712" spans="1:7" x14ac:dyDescent="0.25">
      <c r="A712" s="1" t="s">
        <v>835</v>
      </c>
      <c r="B712" s="76">
        <v>26.923200999999999</v>
      </c>
      <c r="C712" s="76">
        <v>27.1207349999999</v>
      </c>
      <c r="D712" s="76">
        <v>26.725665999999901</v>
      </c>
      <c r="E712" s="76">
        <v>26.996362999999999</v>
      </c>
      <c r="F712" s="76">
        <v>14.288029</v>
      </c>
      <c r="G712" s="79">
        <v>203200</v>
      </c>
    </row>
    <row r="713" spans="1:7" x14ac:dyDescent="0.25">
      <c r="A713" s="1" t="s">
        <v>836</v>
      </c>
      <c r="B713" s="76">
        <v>26.996362999999999</v>
      </c>
      <c r="C713" s="76">
        <v>27.289005</v>
      </c>
      <c r="D713" s="76">
        <v>26.871988000000002</v>
      </c>
      <c r="E713" s="76">
        <v>26.886621000000002</v>
      </c>
      <c r="F713" s="76">
        <v>14.229951</v>
      </c>
      <c r="G713" s="79">
        <v>484500</v>
      </c>
    </row>
    <row r="714" spans="1:7" x14ac:dyDescent="0.25">
      <c r="A714" s="1" t="s">
        <v>837</v>
      </c>
      <c r="B714" s="76">
        <v>26.155011999999999</v>
      </c>
      <c r="C714" s="76">
        <v>26.506184000000001</v>
      </c>
      <c r="D714" s="76">
        <v>25.679466000000001</v>
      </c>
      <c r="E714" s="76">
        <v>26.418391999999901</v>
      </c>
      <c r="F714" s="76">
        <v>13.982139999999999</v>
      </c>
      <c r="G714" s="79">
        <v>1251500</v>
      </c>
    </row>
    <row r="715" spans="1:7" x14ac:dyDescent="0.25">
      <c r="A715" s="1" t="s">
        <v>838</v>
      </c>
      <c r="B715" s="76">
        <v>26.418391999999901</v>
      </c>
      <c r="C715" s="76">
        <v>27.223161999999999</v>
      </c>
      <c r="D715" s="76">
        <v>26.389127999999999</v>
      </c>
      <c r="E715" s="76">
        <v>27.047574999999998</v>
      </c>
      <c r="F715" s="76">
        <v>14.315130999999999</v>
      </c>
      <c r="G715" s="79">
        <v>637500</v>
      </c>
    </row>
    <row r="716" spans="1:7" x14ac:dyDescent="0.25">
      <c r="A716" s="1" t="s">
        <v>839</v>
      </c>
      <c r="B716" s="76">
        <v>27.047574999999998</v>
      </c>
      <c r="C716" s="76">
        <v>27.325585999999898</v>
      </c>
      <c r="D716" s="76">
        <v>26.989045999999998</v>
      </c>
      <c r="E716" s="76">
        <v>27.179264</v>
      </c>
      <c r="F716" s="76">
        <v>14.384831999999999</v>
      </c>
      <c r="G716" s="79">
        <v>489700</v>
      </c>
    </row>
    <row r="717" spans="1:7" x14ac:dyDescent="0.25">
      <c r="A717" s="1" t="s">
        <v>840</v>
      </c>
      <c r="B717" s="76">
        <v>27.289005</v>
      </c>
      <c r="C717" s="76">
        <v>27.391431999999998</v>
      </c>
      <c r="D717" s="76">
        <v>27.128052</v>
      </c>
      <c r="E717" s="76">
        <v>27.391431999999998</v>
      </c>
      <c r="F717" s="76">
        <v>14.497123</v>
      </c>
      <c r="G717" s="79">
        <v>314100</v>
      </c>
    </row>
    <row r="718" spans="1:7" x14ac:dyDescent="0.25">
      <c r="A718" s="1" t="s">
        <v>841</v>
      </c>
      <c r="B718" s="76">
        <v>26.923200999999999</v>
      </c>
      <c r="C718" s="76">
        <v>26.959782000000001</v>
      </c>
      <c r="D718" s="76">
        <v>26.579346000000001</v>
      </c>
      <c r="E718" s="76">
        <v>26.579346000000001</v>
      </c>
      <c r="F718" s="76">
        <v>14.327542999999901</v>
      </c>
      <c r="G718" s="79">
        <v>782900</v>
      </c>
    </row>
    <row r="719" spans="1:7" x14ac:dyDescent="0.25">
      <c r="A719" s="1" t="s">
        <v>842</v>
      </c>
      <c r="B719" s="76">
        <v>26.776879999999998</v>
      </c>
      <c r="C719" s="76">
        <v>26.776879999999998</v>
      </c>
      <c r="D719" s="76">
        <v>26.045271</v>
      </c>
      <c r="E719" s="76">
        <v>26.111115999999999</v>
      </c>
      <c r="F719" s="76">
        <v>14.075142</v>
      </c>
      <c r="G719" s="79">
        <v>404000</v>
      </c>
    </row>
    <row r="720" spans="1:7" x14ac:dyDescent="0.25">
      <c r="A720" s="1" t="s">
        <v>843</v>
      </c>
      <c r="B720" s="76">
        <v>26.220858</v>
      </c>
      <c r="C720" s="76">
        <v>26.220858</v>
      </c>
      <c r="D720" s="76">
        <v>25.606306</v>
      </c>
      <c r="E720" s="76">
        <v>25.752625999999999</v>
      </c>
      <c r="F720" s="76">
        <v>13.881898</v>
      </c>
      <c r="G720" s="79">
        <v>507700</v>
      </c>
    </row>
    <row r="721" spans="1:7" x14ac:dyDescent="0.25">
      <c r="A721" s="1" t="s">
        <v>844</v>
      </c>
      <c r="B721" s="76">
        <v>25.862369999999999</v>
      </c>
      <c r="C721" s="76">
        <v>25.862369999999999</v>
      </c>
      <c r="D721" s="76">
        <v>25.533144</v>
      </c>
      <c r="E721" s="76">
        <v>25.730678999999999</v>
      </c>
      <c r="F721" s="76">
        <v>13.870067000000001</v>
      </c>
      <c r="G721" s="79">
        <v>616900</v>
      </c>
    </row>
    <row r="722" spans="1:7" x14ac:dyDescent="0.25">
      <c r="A722" s="1" t="s">
        <v>845</v>
      </c>
      <c r="B722" s="76">
        <v>25.716047</v>
      </c>
      <c r="C722" s="76">
        <v>25.789207000000001</v>
      </c>
      <c r="D722" s="76">
        <v>24.947856999999999</v>
      </c>
      <c r="E722" s="76">
        <v>25.174655999999999</v>
      </c>
      <c r="F722" s="76">
        <v>13.570345</v>
      </c>
      <c r="G722" s="79">
        <v>621300</v>
      </c>
    </row>
    <row r="723" spans="1:7" x14ac:dyDescent="0.25">
      <c r="A723" s="1" t="s">
        <v>846</v>
      </c>
      <c r="B723" s="76">
        <v>25.021018999999999</v>
      </c>
      <c r="C723" s="76">
        <v>25.730678999999999</v>
      </c>
      <c r="D723" s="76">
        <v>25.021018999999999</v>
      </c>
      <c r="E723" s="76">
        <v>25.584357999999899</v>
      </c>
      <c r="F723" s="76">
        <v>13.791191</v>
      </c>
      <c r="G723" s="79">
        <v>824700</v>
      </c>
    </row>
    <row r="724" spans="1:7" x14ac:dyDescent="0.25">
      <c r="A724" s="1" t="s">
        <v>847</v>
      </c>
      <c r="B724" s="76">
        <v>25.606306</v>
      </c>
      <c r="C724" s="76">
        <v>25.781891000000002</v>
      </c>
      <c r="D724" s="76">
        <v>25.591673</v>
      </c>
      <c r="E724" s="76">
        <v>25.752625999999999</v>
      </c>
      <c r="F724" s="76">
        <v>13.881898</v>
      </c>
      <c r="G724" s="79">
        <v>333400</v>
      </c>
    </row>
    <row r="725" spans="1:7" x14ac:dyDescent="0.25">
      <c r="A725" s="1" t="s">
        <v>848</v>
      </c>
      <c r="B725" s="76">
        <v>25.803840999999998</v>
      </c>
      <c r="C725" s="76">
        <v>25.840420000000002</v>
      </c>
      <c r="D725" s="76">
        <v>25.613620999999998</v>
      </c>
      <c r="E725" s="76">
        <v>25.833105</v>
      </c>
      <c r="F725" s="76">
        <v>13.9252799999999</v>
      </c>
      <c r="G725" s="79">
        <v>413300</v>
      </c>
    </row>
    <row r="726" spans="1:7" x14ac:dyDescent="0.25">
      <c r="A726" s="1" t="s">
        <v>849</v>
      </c>
      <c r="B726" s="76">
        <v>25.825787999999999</v>
      </c>
      <c r="C726" s="76">
        <v>26.001374999999999</v>
      </c>
      <c r="D726" s="76">
        <v>25.686782999999998</v>
      </c>
      <c r="E726" s="76">
        <v>25.957477999999998</v>
      </c>
      <c r="F726" s="76">
        <v>13.992320999999899</v>
      </c>
      <c r="G726" s="79">
        <v>522500</v>
      </c>
    </row>
    <row r="727" spans="1:7" x14ac:dyDescent="0.25">
      <c r="A727" s="1" t="s">
        <v>850</v>
      </c>
      <c r="B727" s="76">
        <v>26.140381000000001</v>
      </c>
      <c r="C727" s="76">
        <v>26.294017999999902</v>
      </c>
      <c r="D727" s="76">
        <v>25.928213</v>
      </c>
      <c r="E727" s="76">
        <v>26.294017999999902</v>
      </c>
      <c r="F727" s="76">
        <v>14.173732999999901</v>
      </c>
      <c r="G727" s="79">
        <v>189600</v>
      </c>
    </row>
    <row r="728" spans="1:7" x14ac:dyDescent="0.25">
      <c r="A728" s="1" t="s">
        <v>851</v>
      </c>
      <c r="B728" s="76">
        <v>26.630558000000001</v>
      </c>
      <c r="C728" s="76">
        <v>26.630558000000001</v>
      </c>
      <c r="D728" s="76">
        <v>26.213540999999999</v>
      </c>
      <c r="E728" s="76">
        <v>26.374495</v>
      </c>
      <c r="F728" s="76">
        <v>14.217114</v>
      </c>
      <c r="G728" s="79">
        <v>401500</v>
      </c>
    </row>
    <row r="729" spans="1:7" x14ac:dyDescent="0.25">
      <c r="A729" s="1" t="s">
        <v>852</v>
      </c>
      <c r="B729" s="76">
        <v>26.191593000000001</v>
      </c>
      <c r="C729" s="76">
        <v>27.076839</v>
      </c>
      <c r="D729" s="76">
        <v>26.089167</v>
      </c>
      <c r="E729" s="76">
        <v>27.076839</v>
      </c>
      <c r="F729" s="76">
        <v>14.595715</v>
      </c>
      <c r="G729" s="79">
        <v>685500</v>
      </c>
    </row>
    <row r="730" spans="1:7" x14ac:dyDescent="0.25">
      <c r="A730" s="1" t="s">
        <v>853</v>
      </c>
      <c r="B730" s="76">
        <v>27.076839</v>
      </c>
      <c r="C730" s="76">
        <v>27.113420000000001</v>
      </c>
      <c r="D730" s="76">
        <v>26.440339999999999</v>
      </c>
      <c r="E730" s="76">
        <v>26.996362999999999</v>
      </c>
      <c r="F730" s="76">
        <v>14.552335999999899</v>
      </c>
      <c r="G730" s="79">
        <v>398600</v>
      </c>
    </row>
    <row r="731" spans="1:7" x14ac:dyDescent="0.25">
      <c r="A731" s="1" t="s">
        <v>854</v>
      </c>
      <c r="B731" s="76">
        <v>26.996362999999999</v>
      </c>
      <c r="C731" s="76">
        <v>27.398745999999999</v>
      </c>
      <c r="D731" s="76">
        <v>26.893936</v>
      </c>
      <c r="E731" s="76">
        <v>27.047574999999998</v>
      </c>
      <c r="F731" s="76">
        <v>14.579941</v>
      </c>
      <c r="G731" s="79">
        <v>707200</v>
      </c>
    </row>
    <row r="732" spans="1:7" x14ac:dyDescent="0.25">
      <c r="A732" s="1" t="s">
        <v>855</v>
      </c>
      <c r="B732" s="76">
        <v>27.047574999999998</v>
      </c>
      <c r="C732" s="76">
        <v>27.223161999999999</v>
      </c>
      <c r="D732" s="76">
        <v>26.776879999999998</v>
      </c>
      <c r="E732" s="76">
        <v>27.106103999999998</v>
      </c>
      <c r="F732" s="76">
        <v>14.611490999999999</v>
      </c>
      <c r="G732" s="79">
        <v>319400</v>
      </c>
    </row>
    <row r="733" spans="1:7" x14ac:dyDescent="0.25">
      <c r="A733" s="1" t="s">
        <v>856</v>
      </c>
      <c r="B733" s="76">
        <v>27.201211999999899</v>
      </c>
      <c r="C733" s="76">
        <v>27.362166999999999</v>
      </c>
      <c r="D733" s="76">
        <v>27.15</v>
      </c>
      <c r="E733" s="76">
        <v>27.332903000000002</v>
      </c>
      <c r="F733" s="76">
        <v>14.733741</v>
      </c>
      <c r="G733" s="79">
        <v>134800</v>
      </c>
    </row>
    <row r="734" spans="1:7" x14ac:dyDescent="0.25">
      <c r="A734" s="1" t="s">
        <v>857</v>
      </c>
      <c r="B734" s="76">
        <v>27.471909</v>
      </c>
      <c r="C734" s="76">
        <v>27.654809999999902</v>
      </c>
      <c r="D734" s="76">
        <v>27.237793</v>
      </c>
      <c r="E734" s="76">
        <v>27.647493000000001</v>
      </c>
      <c r="F734" s="76">
        <v>14.903323</v>
      </c>
      <c r="G734" s="79">
        <v>349900</v>
      </c>
    </row>
    <row r="735" spans="1:7" x14ac:dyDescent="0.25">
      <c r="A735" s="1" t="s">
        <v>858</v>
      </c>
      <c r="B735" s="76">
        <v>27.618228999999999</v>
      </c>
      <c r="C735" s="76">
        <v>27.764551000000001</v>
      </c>
      <c r="D735" s="76">
        <v>27.508488</v>
      </c>
      <c r="E735" s="76">
        <v>27.596281000000001</v>
      </c>
      <c r="F735" s="76">
        <v>14.875717</v>
      </c>
      <c r="G735" s="79">
        <v>328500</v>
      </c>
    </row>
    <row r="736" spans="1:7" x14ac:dyDescent="0.25">
      <c r="A736" s="1" t="s">
        <v>859</v>
      </c>
      <c r="B736" s="76">
        <v>27.545069000000002</v>
      </c>
      <c r="C736" s="76">
        <v>27.654809999999902</v>
      </c>
      <c r="D736" s="76">
        <v>27.325585999999898</v>
      </c>
      <c r="E736" s="76">
        <v>27.471909</v>
      </c>
      <c r="F736" s="76">
        <v>14.808669</v>
      </c>
      <c r="G736" s="79">
        <v>260600</v>
      </c>
    </row>
    <row r="737" spans="1:7" x14ac:dyDescent="0.25">
      <c r="A737" s="1" t="s">
        <v>860</v>
      </c>
      <c r="B737" s="76">
        <v>27.391431999999998</v>
      </c>
      <c r="C737" s="76">
        <v>27.508488</v>
      </c>
      <c r="D737" s="76">
        <v>27.303637999999999</v>
      </c>
      <c r="E737" s="76">
        <v>27.435327999999998</v>
      </c>
      <c r="F737" s="76">
        <v>14.788952999999999</v>
      </c>
      <c r="G737" s="79">
        <v>210000</v>
      </c>
    </row>
    <row r="738" spans="1:7" x14ac:dyDescent="0.25">
      <c r="A738" s="1" t="s">
        <v>861</v>
      </c>
      <c r="B738" s="76">
        <v>27.362166999999999</v>
      </c>
      <c r="C738" s="76">
        <v>27.464592</v>
      </c>
      <c r="D738" s="76">
        <v>27.274373999999899</v>
      </c>
      <c r="E738" s="76">
        <v>27.310953000000001</v>
      </c>
      <c r="F738" s="76">
        <v>14.721912</v>
      </c>
      <c r="G738" s="79">
        <v>169000</v>
      </c>
    </row>
    <row r="739" spans="1:7" x14ac:dyDescent="0.25">
      <c r="A739" s="1" t="s">
        <v>862</v>
      </c>
      <c r="B739" s="76">
        <v>27.318269999999998</v>
      </c>
      <c r="C739" s="76">
        <v>27.596281000000001</v>
      </c>
      <c r="D739" s="76">
        <v>27.318269999999998</v>
      </c>
      <c r="E739" s="76">
        <v>27.545069000000002</v>
      </c>
      <c r="F739" s="76">
        <v>14.848110999999999</v>
      </c>
      <c r="G739" s="79">
        <v>237800</v>
      </c>
    </row>
    <row r="740" spans="1:7" x14ac:dyDescent="0.25">
      <c r="A740" s="1" t="s">
        <v>863</v>
      </c>
      <c r="B740" s="76">
        <v>27.6913909999999</v>
      </c>
      <c r="C740" s="76">
        <v>27.801131999999999</v>
      </c>
      <c r="D740" s="76">
        <v>27.449959</v>
      </c>
      <c r="E740" s="76">
        <v>27.632861999999999</v>
      </c>
      <c r="F740" s="76">
        <v>14.895435999999901</v>
      </c>
      <c r="G740" s="79">
        <v>200300</v>
      </c>
    </row>
    <row r="741" spans="1:7" x14ac:dyDescent="0.25">
      <c r="A741" s="1" t="s">
        <v>864</v>
      </c>
      <c r="B741" s="76">
        <v>27.58165</v>
      </c>
      <c r="C741" s="76">
        <v>27.713339000000001</v>
      </c>
      <c r="D741" s="76">
        <v>27.303637999999999</v>
      </c>
      <c r="E741" s="76">
        <v>27.369482000000001</v>
      </c>
      <c r="F741" s="76">
        <v>14.753466</v>
      </c>
      <c r="G741" s="79">
        <v>305800</v>
      </c>
    </row>
    <row r="742" spans="1:7" x14ac:dyDescent="0.25">
      <c r="A742" s="1" t="s">
        <v>865</v>
      </c>
      <c r="B742" s="76">
        <v>27.479222999999902</v>
      </c>
      <c r="C742" s="76">
        <v>27.508488</v>
      </c>
      <c r="D742" s="76">
        <v>27.289005</v>
      </c>
      <c r="E742" s="76">
        <v>27.332903000000002</v>
      </c>
      <c r="F742" s="76">
        <v>14.733741</v>
      </c>
      <c r="G742" s="79">
        <v>541900</v>
      </c>
    </row>
    <row r="743" spans="1:7" x14ac:dyDescent="0.25">
      <c r="A743" s="1" t="s">
        <v>866</v>
      </c>
      <c r="B743" s="76">
        <v>27.354851</v>
      </c>
      <c r="C743" s="76">
        <v>27.354851</v>
      </c>
      <c r="D743" s="76">
        <v>27.069522999999901</v>
      </c>
      <c r="E743" s="76">
        <v>27.091470999999999</v>
      </c>
      <c r="F743" s="76">
        <v>14.6035989999999</v>
      </c>
      <c r="G743" s="79">
        <v>321700</v>
      </c>
    </row>
    <row r="744" spans="1:7" x14ac:dyDescent="0.25">
      <c r="A744" s="1" t="s">
        <v>867</v>
      </c>
      <c r="B744" s="76">
        <v>27.1207349999999</v>
      </c>
      <c r="C744" s="76">
        <v>27.435327999999998</v>
      </c>
      <c r="D744" s="76">
        <v>26.989045999999998</v>
      </c>
      <c r="E744" s="76">
        <v>27.41338</v>
      </c>
      <c r="F744" s="76">
        <v>14.777123</v>
      </c>
      <c r="G744" s="79">
        <v>353500</v>
      </c>
    </row>
    <row r="745" spans="1:7" x14ac:dyDescent="0.25">
      <c r="A745" s="1" t="s">
        <v>868</v>
      </c>
      <c r="B745" s="76">
        <v>27.41338</v>
      </c>
      <c r="C745" s="76">
        <v>27.41338</v>
      </c>
      <c r="D745" s="76">
        <v>26.974415</v>
      </c>
      <c r="E745" s="76">
        <v>26.981729999999999</v>
      </c>
      <c r="F745" s="76">
        <v>14.544444</v>
      </c>
      <c r="G745" s="79">
        <v>552300</v>
      </c>
    </row>
    <row r="746" spans="1:7" x14ac:dyDescent="0.25">
      <c r="A746" s="1" t="s">
        <v>869</v>
      </c>
      <c r="B746" s="76">
        <v>26.996362999999999</v>
      </c>
      <c r="C746" s="76">
        <v>27.054891999999999</v>
      </c>
      <c r="D746" s="76">
        <v>26.579346000000001</v>
      </c>
      <c r="E746" s="76">
        <v>26.579346000000001</v>
      </c>
      <c r="F746" s="76">
        <v>14.327542999999901</v>
      </c>
      <c r="G746" s="79">
        <v>336200</v>
      </c>
    </row>
    <row r="747" spans="1:7" x14ac:dyDescent="0.25">
      <c r="A747" s="1" t="s">
        <v>870</v>
      </c>
      <c r="B747" s="76">
        <v>26.667138999999999</v>
      </c>
      <c r="C747" s="76">
        <v>26.959782000000001</v>
      </c>
      <c r="D747" s="76">
        <v>26.593976999999999</v>
      </c>
      <c r="E747" s="76">
        <v>26.835408999999999</v>
      </c>
      <c r="F747" s="76">
        <v>14.465569</v>
      </c>
      <c r="G747" s="79">
        <v>430000</v>
      </c>
    </row>
    <row r="748" spans="1:7" x14ac:dyDescent="0.25">
      <c r="A748" s="1" t="s">
        <v>871</v>
      </c>
      <c r="B748" s="76">
        <v>26.886621000000002</v>
      </c>
      <c r="C748" s="76">
        <v>27.41338</v>
      </c>
      <c r="D748" s="76">
        <v>26.857357</v>
      </c>
      <c r="E748" s="76">
        <v>27.41338</v>
      </c>
      <c r="F748" s="76">
        <v>14.777123</v>
      </c>
      <c r="G748" s="79">
        <v>427800</v>
      </c>
    </row>
    <row r="749" spans="1:7" x14ac:dyDescent="0.25">
      <c r="A749" s="1" t="s">
        <v>872</v>
      </c>
      <c r="B749" s="76">
        <v>27.58165</v>
      </c>
      <c r="C749" s="76">
        <v>27.618228999999999</v>
      </c>
      <c r="D749" s="76">
        <v>26.886621000000002</v>
      </c>
      <c r="E749" s="76">
        <v>27.054891999999999</v>
      </c>
      <c r="F749" s="76">
        <v>14.5838859999999</v>
      </c>
      <c r="G749" s="79">
        <v>935500</v>
      </c>
    </row>
    <row r="750" spans="1:7" x14ac:dyDescent="0.25">
      <c r="A750" s="1" t="s">
        <v>873</v>
      </c>
      <c r="B750" s="76">
        <v>27.054891999999999</v>
      </c>
      <c r="C750" s="76">
        <v>27.435327999999998</v>
      </c>
      <c r="D750" s="76">
        <v>26.967097999999901</v>
      </c>
      <c r="E750" s="76">
        <v>27.41338</v>
      </c>
      <c r="F750" s="76">
        <v>14.777123</v>
      </c>
      <c r="G750" s="79">
        <v>146700</v>
      </c>
    </row>
    <row r="751" spans="1:7" x14ac:dyDescent="0.25">
      <c r="A751" s="1" t="s">
        <v>874</v>
      </c>
      <c r="B751" s="76">
        <v>27.420694000000001</v>
      </c>
      <c r="C751" s="76">
        <v>27.471909</v>
      </c>
      <c r="D751" s="76">
        <v>26.886621000000002</v>
      </c>
      <c r="E751" s="76">
        <v>27.010994</v>
      </c>
      <c r="F751" s="76">
        <v>14.560225000000001</v>
      </c>
      <c r="G751" s="79">
        <v>296000</v>
      </c>
    </row>
    <row r="752" spans="1:7" x14ac:dyDescent="0.25">
      <c r="A752" s="1" t="s">
        <v>875</v>
      </c>
      <c r="B752" s="76">
        <v>27.142683000000002</v>
      </c>
      <c r="C752" s="76">
        <v>27.142683000000002</v>
      </c>
      <c r="D752" s="76">
        <v>26.791512000000001</v>
      </c>
      <c r="E752" s="76">
        <v>27.047574999999998</v>
      </c>
      <c r="F752" s="76">
        <v>14.579941</v>
      </c>
      <c r="G752" s="79">
        <v>374400</v>
      </c>
    </row>
    <row r="753" spans="1:7" x14ac:dyDescent="0.25">
      <c r="A753" s="1" t="s">
        <v>876</v>
      </c>
      <c r="B753" s="76">
        <v>27.076839</v>
      </c>
      <c r="C753" s="76">
        <v>27.106103999999998</v>
      </c>
      <c r="D753" s="76">
        <v>26.542764999999999</v>
      </c>
      <c r="E753" s="76">
        <v>27.032941999999998</v>
      </c>
      <c r="F753" s="76">
        <v>14.572050000000001</v>
      </c>
      <c r="G753" s="79">
        <v>452600</v>
      </c>
    </row>
    <row r="754" spans="1:7" x14ac:dyDescent="0.25">
      <c r="A754" s="1" t="s">
        <v>877</v>
      </c>
      <c r="B754" s="76">
        <v>27.062206</v>
      </c>
      <c r="C754" s="76">
        <v>27.325585999999898</v>
      </c>
      <c r="D754" s="76">
        <v>26.937833999999999</v>
      </c>
      <c r="E754" s="76">
        <v>27.215845000000002</v>
      </c>
      <c r="F754" s="76">
        <v>14.670641</v>
      </c>
      <c r="G754" s="79">
        <v>451400</v>
      </c>
    </row>
    <row r="755" spans="1:7" x14ac:dyDescent="0.25">
      <c r="A755" s="1" t="s">
        <v>878</v>
      </c>
      <c r="B755" s="76">
        <v>27.179264</v>
      </c>
      <c r="C755" s="76">
        <v>27.252426</v>
      </c>
      <c r="D755" s="76">
        <v>27.032941999999998</v>
      </c>
      <c r="E755" s="76">
        <v>27.252426</v>
      </c>
      <c r="F755" s="76">
        <v>14.690365999999999</v>
      </c>
      <c r="G755" s="79">
        <v>290900</v>
      </c>
    </row>
    <row r="756" spans="1:7" x14ac:dyDescent="0.25">
      <c r="A756" s="1" t="s">
        <v>879</v>
      </c>
      <c r="B756" s="76">
        <v>27.252426</v>
      </c>
      <c r="C756" s="76">
        <v>27.720654999999901</v>
      </c>
      <c r="D756" s="76">
        <v>27.179264</v>
      </c>
      <c r="E756" s="76">
        <v>27.6913909999999</v>
      </c>
      <c r="F756" s="76">
        <v>14.926988</v>
      </c>
      <c r="G756" s="79">
        <v>346100</v>
      </c>
    </row>
    <row r="757" spans="1:7" x14ac:dyDescent="0.25">
      <c r="A757" s="1" t="s">
        <v>880</v>
      </c>
      <c r="B757" s="76">
        <v>27.58165</v>
      </c>
      <c r="C757" s="76">
        <v>28.057196000000001</v>
      </c>
      <c r="D757" s="76">
        <v>27.58165</v>
      </c>
      <c r="E757" s="76">
        <v>28.057196000000001</v>
      </c>
      <c r="F757" s="76">
        <v>15.124173000000001</v>
      </c>
      <c r="G757" s="79">
        <v>395600</v>
      </c>
    </row>
    <row r="758" spans="1:7" x14ac:dyDescent="0.25">
      <c r="A758" s="1" t="s">
        <v>881</v>
      </c>
      <c r="B758" s="76">
        <v>27.874291999999901</v>
      </c>
      <c r="C758" s="76">
        <v>27.874291999999901</v>
      </c>
      <c r="D758" s="76">
        <v>27.435327999999998</v>
      </c>
      <c r="E758" s="76">
        <v>27.435327999999998</v>
      </c>
      <c r="F758" s="76">
        <v>14.788952999999999</v>
      </c>
      <c r="G758" s="79">
        <v>342200</v>
      </c>
    </row>
    <row r="759" spans="1:7" x14ac:dyDescent="0.25">
      <c r="A759" s="1" t="s">
        <v>882</v>
      </c>
      <c r="B759" s="76">
        <v>27.435327999999998</v>
      </c>
      <c r="C759" s="76">
        <v>27.435327999999998</v>
      </c>
      <c r="D759" s="76">
        <v>26.893936</v>
      </c>
      <c r="E759" s="76">
        <v>26.923200999999999</v>
      </c>
      <c r="F759" s="76">
        <v>14.512891</v>
      </c>
      <c r="G759" s="79">
        <v>379000</v>
      </c>
    </row>
    <row r="760" spans="1:7" x14ac:dyDescent="0.25">
      <c r="A760" s="1" t="s">
        <v>883</v>
      </c>
      <c r="B760" s="76">
        <v>26.923200999999999</v>
      </c>
      <c r="C760" s="76">
        <v>27.062206</v>
      </c>
      <c r="D760" s="76">
        <v>26.711034999999999</v>
      </c>
      <c r="E760" s="76">
        <v>26.959782000000001</v>
      </c>
      <c r="F760" s="76">
        <v>14.532617</v>
      </c>
      <c r="G760" s="79">
        <v>380700</v>
      </c>
    </row>
    <row r="761" spans="1:7" x14ac:dyDescent="0.25">
      <c r="A761" s="1" t="s">
        <v>884</v>
      </c>
      <c r="B761" s="76">
        <v>26.959782000000001</v>
      </c>
      <c r="C761" s="76">
        <v>26.959782000000001</v>
      </c>
      <c r="D761" s="76">
        <v>26.542764999999999</v>
      </c>
      <c r="E761" s="76">
        <v>26.615925000000001</v>
      </c>
      <c r="F761" s="76">
        <v>14.3472609999999</v>
      </c>
      <c r="G761" s="79">
        <v>327200</v>
      </c>
    </row>
    <row r="762" spans="1:7" x14ac:dyDescent="0.25">
      <c r="A762" s="1" t="s">
        <v>885</v>
      </c>
      <c r="B762" s="76">
        <v>26.608609999999999</v>
      </c>
      <c r="C762" s="76">
        <v>26.696403999999902</v>
      </c>
      <c r="D762" s="76">
        <v>26.572028999999901</v>
      </c>
      <c r="E762" s="76">
        <v>26.630558000000001</v>
      </c>
      <c r="F762" s="76">
        <v>14.355145</v>
      </c>
      <c r="G762" s="79">
        <v>656100</v>
      </c>
    </row>
    <row r="763" spans="1:7" x14ac:dyDescent="0.25">
      <c r="A763" s="1" t="s">
        <v>886</v>
      </c>
      <c r="B763" s="76">
        <v>26.520816999999901</v>
      </c>
      <c r="C763" s="76">
        <v>26.557397999999999</v>
      </c>
      <c r="D763" s="76">
        <v>26.396441999999901</v>
      </c>
      <c r="E763" s="76">
        <v>26.476918999999999</v>
      </c>
      <c r="F763" s="76">
        <v>14.272330999999999</v>
      </c>
      <c r="G763" s="79">
        <v>344800</v>
      </c>
    </row>
    <row r="764" spans="1:7" x14ac:dyDescent="0.25">
      <c r="A764" s="1" t="s">
        <v>887</v>
      </c>
      <c r="B764" s="76">
        <v>26.476918999999999</v>
      </c>
      <c r="C764" s="76">
        <v>26.542764999999999</v>
      </c>
      <c r="D764" s="76">
        <v>26.184276999999899</v>
      </c>
      <c r="E764" s="76">
        <v>26.476918999999999</v>
      </c>
      <c r="F764" s="76">
        <v>14.272330999999999</v>
      </c>
      <c r="G764" s="79">
        <v>449900</v>
      </c>
    </row>
    <row r="765" spans="1:7" x14ac:dyDescent="0.25">
      <c r="A765" s="1" t="s">
        <v>888</v>
      </c>
      <c r="B765" s="76">
        <v>26.403759000000001</v>
      </c>
      <c r="C765" s="76">
        <v>26.403759000000001</v>
      </c>
      <c r="D765" s="76">
        <v>25.716047</v>
      </c>
      <c r="E765" s="76">
        <v>25.898948999999899</v>
      </c>
      <c r="F765" s="76">
        <v>13.960772</v>
      </c>
      <c r="G765" s="79">
        <v>412500</v>
      </c>
    </row>
    <row r="766" spans="1:7" x14ac:dyDescent="0.25">
      <c r="A766" s="1" t="s">
        <v>889</v>
      </c>
      <c r="B766" s="76">
        <v>25.825787999999999</v>
      </c>
      <c r="C766" s="76">
        <v>25.825787999999999</v>
      </c>
      <c r="D766" s="76">
        <v>25.525829000000002</v>
      </c>
      <c r="E766" s="76">
        <v>25.650202</v>
      </c>
      <c r="F766" s="76">
        <v>13.826691</v>
      </c>
      <c r="G766" s="79">
        <v>266200</v>
      </c>
    </row>
    <row r="767" spans="1:7" x14ac:dyDescent="0.25">
      <c r="A767" s="1" t="s">
        <v>890</v>
      </c>
      <c r="B767" s="76">
        <v>25.825787999999999</v>
      </c>
      <c r="C767" s="76">
        <v>25.862369999999999</v>
      </c>
      <c r="D767" s="76">
        <v>25.518512999999999</v>
      </c>
      <c r="E767" s="76">
        <v>25.533144</v>
      </c>
      <c r="F767" s="76">
        <v>13.763585000000001</v>
      </c>
      <c r="G767" s="79">
        <v>211000</v>
      </c>
    </row>
    <row r="768" spans="1:7" x14ac:dyDescent="0.25">
      <c r="A768" s="1" t="s">
        <v>891</v>
      </c>
      <c r="B768" s="76">
        <v>25.350242999999999</v>
      </c>
      <c r="C768" s="76">
        <v>25.679466000000001</v>
      </c>
      <c r="D768" s="76">
        <v>25.328295000000001</v>
      </c>
      <c r="E768" s="76">
        <v>25.481932</v>
      </c>
      <c r="F768" s="76">
        <v>13.73598</v>
      </c>
      <c r="G768" s="79">
        <v>370900</v>
      </c>
    </row>
    <row r="769" spans="1:7" x14ac:dyDescent="0.25">
      <c r="A769" s="1" t="s">
        <v>892</v>
      </c>
      <c r="B769" s="76">
        <v>25.481932</v>
      </c>
      <c r="C769" s="76">
        <v>25.496565</v>
      </c>
      <c r="D769" s="76">
        <v>25.313662000000001</v>
      </c>
      <c r="E769" s="76">
        <v>25.379507</v>
      </c>
      <c r="F769" s="76">
        <v>13.680774</v>
      </c>
      <c r="G769" s="79">
        <v>599600</v>
      </c>
    </row>
    <row r="770" spans="1:7" x14ac:dyDescent="0.25">
      <c r="A770" s="1" t="s">
        <v>893</v>
      </c>
      <c r="B770" s="76">
        <v>25.350242999999999</v>
      </c>
      <c r="C770" s="76">
        <v>25.357558999999998</v>
      </c>
      <c r="D770" s="76">
        <v>25.072230999999999</v>
      </c>
      <c r="E770" s="76">
        <v>25.130759999999999</v>
      </c>
      <c r="F770" s="76">
        <v>13.546679999999901</v>
      </c>
      <c r="G770" s="79">
        <v>374100</v>
      </c>
    </row>
    <row r="771" spans="1:7" x14ac:dyDescent="0.25">
      <c r="A771" s="1" t="s">
        <v>894</v>
      </c>
      <c r="B771" s="76">
        <v>25.130759999999999</v>
      </c>
      <c r="C771" s="76">
        <v>25.20392</v>
      </c>
      <c r="D771" s="76">
        <v>24.874697000000001</v>
      </c>
      <c r="E771" s="76">
        <v>25.20392</v>
      </c>
      <c r="F771" s="76">
        <v>13.586123000000001</v>
      </c>
      <c r="G771" s="79">
        <v>476200</v>
      </c>
    </row>
    <row r="772" spans="1:7" x14ac:dyDescent="0.25">
      <c r="A772" s="1" t="s">
        <v>895</v>
      </c>
      <c r="B772" s="76">
        <v>25.240500999999998</v>
      </c>
      <c r="C772" s="76">
        <v>25.313662000000001</v>
      </c>
      <c r="D772" s="76">
        <v>25.086863000000001</v>
      </c>
      <c r="E772" s="76">
        <v>25.240500999999998</v>
      </c>
      <c r="F772" s="76">
        <v>13.605838</v>
      </c>
      <c r="G772" s="79">
        <v>335500</v>
      </c>
    </row>
    <row r="773" spans="1:7" x14ac:dyDescent="0.25">
      <c r="A773" s="1" t="s">
        <v>896</v>
      </c>
      <c r="B773" s="76">
        <v>25.167341</v>
      </c>
      <c r="C773" s="76">
        <v>25.503879999999999</v>
      </c>
      <c r="D773" s="76">
        <v>25.167341</v>
      </c>
      <c r="E773" s="76">
        <v>25.306346999999999</v>
      </c>
      <c r="F773" s="76">
        <v>13.641332999999999</v>
      </c>
      <c r="G773" s="79">
        <v>486000</v>
      </c>
    </row>
    <row r="774" spans="1:7" x14ac:dyDescent="0.25">
      <c r="A774" s="1" t="s">
        <v>897</v>
      </c>
      <c r="B774" s="76">
        <v>24.874697000000001</v>
      </c>
      <c r="C774" s="76">
        <v>24.911277999999999</v>
      </c>
      <c r="D774" s="76">
        <v>24.699110000000001</v>
      </c>
      <c r="E774" s="76">
        <v>24.852748999999999</v>
      </c>
      <c r="F774" s="76">
        <v>13.665467999999899</v>
      </c>
      <c r="G774" s="79">
        <v>1183100</v>
      </c>
    </row>
    <row r="775" spans="1:7" x14ac:dyDescent="0.25">
      <c r="A775" s="1" t="s">
        <v>898</v>
      </c>
      <c r="B775" s="76">
        <v>24.882013000000001</v>
      </c>
      <c r="C775" s="76">
        <v>25.240500999999998</v>
      </c>
      <c r="D775" s="76">
        <v>24.874697000000001</v>
      </c>
      <c r="E775" s="76">
        <v>25.240500999999998</v>
      </c>
      <c r="F775" s="76">
        <v>13.878674999999999</v>
      </c>
      <c r="G775" s="79">
        <v>422200</v>
      </c>
    </row>
    <row r="776" spans="1:7" x14ac:dyDescent="0.25">
      <c r="A776" s="1" t="s">
        <v>899</v>
      </c>
      <c r="B776" s="76">
        <v>25.306346999999999</v>
      </c>
      <c r="C776" s="76">
        <v>25.386824000000001</v>
      </c>
      <c r="D776" s="76">
        <v>24.874697000000001</v>
      </c>
      <c r="E776" s="76">
        <v>24.977121</v>
      </c>
      <c r="F776" s="76">
        <v>13.733855999999999</v>
      </c>
      <c r="G776" s="79">
        <v>324600</v>
      </c>
    </row>
    <row r="777" spans="1:7" x14ac:dyDescent="0.25">
      <c r="A777" s="1" t="s">
        <v>900</v>
      </c>
      <c r="B777" s="76">
        <v>24.830801000000001</v>
      </c>
      <c r="C777" s="76">
        <v>24.955172999999998</v>
      </c>
      <c r="D777" s="76">
        <v>24.801537</v>
      </c>
      <c r="E777" s="76">
        <v>24.852748999999999</v>
      </c>
      <c r="F777" s="76">
        <v>13.665467999999899</v>
      </c>
      <c r="G777" s="79">
        <v>998100</v>
      </c>
    </row>
    <row r="778" spans="1:7" x14ac:dyDescent="0.25">
      <c r="A778" s="1" t="s">
        <v>901</v>
      </c>
      <c r="B778" s="76">
        <v>24.874697000000001</v>
      </c>
      <c r="C778" s="76">
        <v>25.086863000000001</v>
      </c>
      <c r="D778" s="76">
        <v>24.860064999999999</v>
      </c>
      <c r="E778" s="76">
        <v>24.977121</v>
      </c>
      <c r="F778" s="76">
        <v>13.733855999999999</v>
      </c>
      <c r="G778" s="79">
        <v>1087600</v>
      </c>
    </row>
    <row r="779" spans="1:7" x14ac:dyDescent="0.25">
      <c r="A779" s="1" t="s">
        <v>902</v>
      </c>
      <c r="B779" s="76">
        <v>24.977121</v>
      </c>
      <c r="C779" s="76">
        <v>25.167341</v>
      </c>
      <c r="D779" s="76">
        <v>24.933226000000001</v>
      </c>
      <c r="E779" s="76">
        <v>25.079547999999999</v>
      </c>
      <c r="F779" s="76">
        <v>13.790177999999999</v>
      </c>
      <c r="G779" s="79">
        <v>802700</v>
      </c>
    </row>
    <row r="780" spans="1:7" x14ac:dyDescent="0.25">
      <c r="A780" s="1" t="s">
        <v>903</v>
      </c>
      <c r="B780" s="76">
        <v>25.057597999999999</v>
      </c>
      <c r="C780" s="76">
        <v>25.167341</v>
      </c>
      <c r="D780" s="76">
        <v>25.013701999999999</v>
      </c>
      <c r="E780" s="76">
        <v>25.03565</v>
      </c>
      <c r="F780" s="76">
        <v>13.7660359999999</v>
      </c>
      <c r="G780" s="79">
        <v>492300</v>
      </c>
    </row>
    <row r="781" spans="1:7" x14ac:dyDescent="0.25">
      <c r="A781" s="1" t="s">
        <v>904</v>
      </c>
      <c r="B781" s="76">
        <v>25.072230999999999</v>
      </c>
      <c r="C781" s="76">
        <v>25.152707999999901</v>
      </c>
      <c r="D781" s="76">
        <v>24.889329999999902</v>
      </c>
      <c r="E781" s="76">
        <v>25.152707999999901</v>
      </c>
      <c r="F781" s="76">
        <v>13.830404</v>
      </c>
      <c r="G781" s="79">
        <v>329200</v>
      </c>
    </row>
    <row r="782" spans="1:7" x14ac:dyDescent="0.25">
      <c r="A782" s="1" t="s">
        <v>905</v>
      </c>
      <c r="B782" s="76">
        <v>25.240500999999998</v>
      </c>
      <c r="C782" s="76">
        <v>25.299029999999998</v>
      </c>
      <c r="D782" s="76">
        <v>24.874697000000001</v>
      </c>
      <c r="E782" s="76">
        <v>24.947856999999999</v>
      </c>
      <c r="F782" s="76">
        <v>13.7177579999999</v>
      </c>
      <c r="G782" s="79">
        <v>277000</v>
      </c>
    </row>
    <row r="783" spans="1:7" x14ac:dyDescent="0.25">
      <c r="A783" s="1" t="s">
        <v>906</v>
      </c>
      <c r="B783" s="76">
        <v>25.013701999999999</v>
      </c>
      <c r="C783" s="76">
        <v>25.057597999999999</v>
      </c>
      <c r="D783" s="76">
        <v>24.655214000000001</v>
      </c>
      <c r="E783" s="76">
        <v>24.662531000000001</v>
      </c>
      <c r="F783" s="76">
        <v>13.560873000000001</v>
      </c>
      <c r="G783" s="79">
        <v>282000</v>
      </c>
    </row>
    <row r="784" spans="1:7" x14ac:dyDescent="0.25">
      <c r="A784" s="1" t="s">
        <v>907</v>
      </c>
      <c r="B784" s="76">
        <v>24.662531000000001</v>
      </c>
      <c r="C784" s="76">
        <v>24.699110000000001</v>
      </c>
      <c r="D784" s="76">
        <v>24.472313</v>
      </c>
      <c r="E784" s="76">
        <v>24.691794999999999</v>
      </c>
      <c r="F784" s="76">
        <v>13.576966000000001</v>
      </c>
      <c r="G784" s="79">
        <v>418400</v>
      </c>
    </row>
    <row r="785" spans="1:7" x14ac:dyDescent="0.25">
      <c r="A785" s="1" t="s">
        <v>908</v>
      </c>
      <c r="B785" s="76">
        <v>24.728373999999999</v>
      </c>
      <c r="C785" s="76">
        <v>24.728373999999999</v>
      </c>
      <c r="D785" s="76">
        <v>24.464995999999999</v>
      </c>
      <c r="E785" s="76">
        <v>24.501574999999999</v>
      </c>
      <c r="F785" s="76">
        <v>13.472372999999999</v>
      </c>
      <c r="G785" s="79">
        <v>185400</v>
      </c>
    </row>
    <row r="786" spans="1:7" x14ac:dyDescent="0.25">
      <c r="A786" s="1" t="s">
        <v>909</v>
      </c>
      <c r="B786" s="76">
        <v>24.582053999999999</v>
      </c>
      <c r="C786" s="76">
        <v>25.072230999999999</v>
      </c>
      <c r="D786" s="76">
        <v>24.582053999999999</v>
      </c>
      <c r="E786" s="76">
        <v>25.072230999999999</v>
      </c>
      <c r="F786" s="76">
        <v>13.786153000000001</v>
      </c>
      <c r="G786" s="79">
        <v>320600</v>
      </c>
    </row>
    <row r="787" spans="1:7" x14ac:dyDescent="0.25">
      <c r="A787" s="1" t="s">
        <v>910</v>
      </c>
      <c r="B787" s="76">
        <v>25.072230999999999</v>
      </c>
      <c r="C787" s="76">
        <v>25.313662000000001</v>
      </c>
      <c r="D787" s="76">
        <v>24.991754999999898</v>
      </c>
      <c r="E787" s="76">
        <v>25.240500999999998</v>
      </c>
      <c r="F787" s="76">
        <v>13.878674999999999</v>
      </c>
      <c r="G787" s="79">
        <v>224300</v>
      </c>
    </row>
    <row r="788" spans="1:7" x14ac:dyDescent="0.25">
      <c r="A788" s="1" t="s">
        <v>911</v>
      </c>
      <c r="B788" s="76">
        <v>25.181972999999999</v>
      </c>
      <c r="C788" s="76">
        <v>25.313662000000001</v>
      </c>
      <c r="D788" s="76">
        <v>25.108812</v>
      </c>
      <c r="E788" s="76">
        <v>25.306346999999999</v>
      </c>
      <c r="F788" s="76">
        <v>13.914883999999899</v>
      </c>
      <c r="G788" s="79">
        <v>276500</v>
      </c>
    </row>
    <row r="789" spans="1:7" x14ac:dyDescent="0.25">
      <c r="A789" s="1" t="s">
        <v>912</v>
      </c>
      <c r="B789" s="76">
        <v>25.350242999999999</v>
      </c>
      <c r="C789" s="76">
        <v>25.752625999999999</v>
      </c>
      <c r="D789" s="76">
        <v>25.196604000000001</v>
      </c>
      <c r="E789" s="76">
        <v>25.657518</v>
      </c>
      <c r="F789" s="76">
        <v>14.107982</v>
      </c>
      <c r="G789" s="79">
        <v>324800</v>
      </c>
    </row>
    <row r="790" spans="1:7" x14ac:dyDescent="0.25">
      <c r="A790" s="1" t="s">
        <v>913</v>
      </c>
      <c r="B790" s="76">
        <v>25.93553</v>
      </c>
      <c r="C790" s="76">
        <v>25.93553</v>
      </c>
      <c r="D790" s="76">
        <v>25.350242999999999</v>
      </c>
      <c r="E790" s="76">
        <v>25.364874</v>
      </c>
      <c r="F790" s="76">
        <v>13.947061999999899</v>
      </c>
      <c r="G790" s="79">
        <v>293200</v>
      </c>
    </row>
    <row r="791" spans="1:7" x14ac:dyDescent="0.25">
      <c r="A791" s="1" t="s">
        <v>914</v>
      </c>
      <c r="B791" s="76">
        <v>25.364874</v>
      </c>
      <c r="C791" s="76">
        <v>25.606306</v>
      </c>
      <c r="D791" s="76">
        <v>25.108812</v>
      </c>
      <c r="E791" s="76">
        <v>25.606306</v>
      </c>
      <c r="F791" s="76">
        <v>14.079819000000001</v>
      </c>
      <c r="G791" s="79">
        <v>330400</v>
      </c>
    </row>
    <row r="792" spans="1:7" x14ac:dyDescent="0.25">
      <c r="A792" s="1" t="s">
        <v>915</v>
      </c>
      <c r="B792" s="76">
        <v>25.496565</v>
      </c>
      <c r="C792" s="76">
        <v>25.562407999999898</v>
      </c>
      <c r="D792" s="76">
        <v>25.357558999999998</v>
      </c>
      <c r="E792" s="76">
        <v>25.357558999999998</v>
      </c>
      <c r="F792" s="76">
        <v>13.943038</v>
      </c>
      <c r="G792" s="79">
        <v>344100</v>
      </c>
    </row>
    <row r="793" spans="1:7" x14ac:dyDescent="0.25">
      <c r="A793" s="1" t="s">
        <v>916</v>
      </c>
      <c r="B793" s="76">
        <v>25.357558999999998</v>
      </c>
      <c r="C793" s="76">
        <v>25.781891000000002</v>
      </c>
      <c r="D793" s="76">
        <v>25.357558999999998</v>
      </c>
      <c r="E793" s="76">
        <v>25.606306</v>
      </c>
      <c r="F793" s="76">
        <v>14.079819000000001</v>
      </c>
      <c r="G793" s="79">
        <v>408100</v>
      </c>
    </row>
    <row r="794" spans="1:7" x14ac:dyDescent="0.25">
      <c r="A794" s="1" t="s">
        <v>917</v>
      </c>
      <c r="B794" s="76">
        <v>25.679466000000001</v>
      </c>
      <c r="C794" s="76">
        <v>25.76726</v>
      </c>
      <c r="D794" s="76">
        <v>25.533144</v>
      </c>
      <c r="E794" s="76">
        <v>25.606306</v>
      </c>
      <c r="F794" s="76">
        <v>14.079819000000001</v>
      </c>
      <c r="G794" s="79">
        <v>301600</v>
      </c>
    </row>
    <row r="795" spans="1:7" x14ac:dyDescent="0.25">
      <c r="A795" s="1" t="s">
        <v>918</v>
      </c>
      <c r="B795" s="76">
        <v>25.606306</v>
      </c>
      <c r="C795" s="76">
        <v>25.708731</v>
      </c>
      <c r="D795" s="76">
        <v>25.511195999999899</v>
      </c>
      <c r="E795" s="76">
        <v>25.569724999999998</v>
      </c>
      <c r="F795" s="76">
        <v>14.059698999999901</v>
      </c>
      <c r="G795" s="79">
        <v>493800</v>
      </c>
    </row>
    <row r="796" spans="1:7" x14ac:dyDescent="0.25">
      <c r="A796" s="1" t="s">
        <v>919</v>
      </c>
      <c r="B796" s="76">
        <v>25.606306</v>
      </c>
      <c r="C796" s="76">
        <v>25.642885</v>
      </c>
      <c r="D796" s="76">
        <v>25.181972999999999</v>
      </c>
      <c r="E796" s="76">
        <v>25.181972999999999</v>
      </c>
      <c r="F796" s="76">
        <v>13.846495000000001</v>
      </c>
      <c r="G796" s="79">
        <v>324100</v>
      </c>
    </row>
    <row r="797" spans="1:7" x14ac:dyDescent="0.25">
      <c r="A797" s="1" t="s">
        <v>920</v>
      </c>
      <c r="B797" s="76">
        <v>25.021018999999999</v>
      </c>
      <c r="C797" s="76">
        <v>25.167341</v>
      </c>
      <c r="D797" s="76">
        <v>24.808851000000001</v>
      </c>
      <c r="E797" s="76">
        <v>24.903960999999999</v>
      </c>
      <c r="F797" s="76">
        <v>13.693628</v>
      </c>
      <c r="G797" s="79">
        <v>780700</v>
      </c>
    </row>
    <row r="798" spans="1:7" x14ac:dyDescent="0.25">
      <c r="A798" s="1" t="s">
        <v>921</v>
      </c>
      <c r="B798" s="76">
        <v>24.874697000000001</v>
      </c>
      <c r="C798" s="76">
        <v>24.874697000000001</v>
      </c>
      <c r="D798" s="76">
        <v>24.735690999999999</v>
      </c>
      <c r="E798" s="76">
        <v>24.808851000000001</v>
      </c>
      <c r="F798" s="76">
        <v>13.641329000000001</v>
      </c>
      <c r="G798" s="79">
        <v>569300</v>
      </c>
    </row>
    <row r="799" spans="1:7" x14ac:dyDescent="0.25">
      <c r="A799" s="1" t="s">
        <v>922</v>
      </c>
      <c r="B799" s="76">
        <v>24.728373999999999</v>
      </c>
      <c r="C799" s="76">
        <v>24.801537</v>
      </c>
      <c r="D799" s="76">
        <v>24.640581000000001</v>
      </c>
      <c r="E799" s="76">
        <v>24.743008</v>
      </c>
      <c r="F799" s="76">
        <v>13.605127</v>
      </c>
      <c r="G799" s="79">
        <v>424500</v>
      </c>
    </row>
    <row r="800" spans="1:7" x14ac:dyDescent="0.25">
      <c r="A800" s="1" t="s">
        <v>923</v>
      </c>
      <c r="B800" s="76">
        <v>24.779586999999999</v>
      </c>
      <c r="C800" s="76">
        <v>24.794219999999999</v>
      </c>
      <c r="D800" s="76">
        <v>24.340622</v>
      </c>
      <c r="E800" s="76">
        <v>24.421098999999899</v>
      </c>
      <c r="F800" s="76">
        <v>13.428127999999999</v>
      </c>
      <c r="G800" s="79">
        <v>574300</v>
      </c>
    </row>
    <row r="801" spans="1:7" x14ac:dyDescent="0.25">
      <c r="A801" s="1" t="s">
        <v>924</v>
      </c>
      <c r="B801" s="76">
        <v>24.399151</v>
      </c>
      <c r="C801" s="76">
        <v>24.582053999999999</v>
      </c>
      <c r="D801" s="76">
        <v>24.325990999999998</v>
      </c>
      <c r="E801" s="76">
        <v>24.582053999999999</v>
      </c>
      <c r="F801" s="76">
        <v>13.516623999999901</v>
      </c>
      <c r="G801" s="79">
        <v>570800</v>
      </c>
    </row>
    <row r="802" spans="1:7" x14ac:dyDescent="0.25">
      <c r="A802" s="1" t="s">
        <v>925</v>
      </c>
      <c r="B802" s="76">
        <v>24.655214000000001</v>
      </c>
      <c r="C802" s="76">
        <v>24.655214000000001</v>
      </c>
      <c r="D802" s="76">
        <v>24.377203000000002</v>
      </c>
      <c r="E802" s="76">
        <v>24.399151</v>
      </c>
      <c r="F802" s="76">
        <v>13.416051999999899</v>
      </c>
      <c r="G802" s="79">
        <v>535000</v>
      </c>
    </row>
    <row r="803" spans="1:7" x14ac:dyDescent="0.25">
      <c r="A803" s="1" t="s">
        <v>926</v>
      </c>
      <c r="B803" s="76">
        <v>24.435732000000002</v>
      </c>
      <c r="C803" s="76">
        <v>24.494260999999899</v>
      </c>
      <c r="D803" s="76">
        <v>24.362570000000002</v>
      </c>
      <c r="E803" s="76">
        <v>24.362570000000002</v>
      </c>
      <c r="F803" s="76">
        <v>13.395935</v>
      </c>
      <c r="G803" s="79">
        <v>861200</v>
      </c>
    </row>
    <row r="804" spans="1:7" x14ac:dyDescent="0.25">
      <c r="A804" s="1" t="s">
        <v>927</v>
      </c>
      <c r="B804" s="76">
        <v>24.362570000000002</v>
      </c>
      <c r="C804" s="76">
        <v>24.472313</v>
      </c>
      <c r="D804" s="76">
        <v>24.333307000000001</v>
      </c>
      <c r="E804" s="76">
        <v>24.472313</v>
      </c>
      <c r="F804" s="76">
        <v>13.4562829999999</v>
      </c>
      <c r="G804" s="79">
        <v>262400</v>
      </c>
    </row>
    <row r="805" spans="1:7" x14ac:dyDescent="0.25">
      <c r="A805" s="1" t="s">
        <v>928</v>
      </c>
      <c r="B805" s="76">
        <v>24.582053999999999</v>
      </c>
      <c r="C805" s="76">
        <v>24.860064999999999</v>
      </c>
      <c r="D805" s="76">
        <v>24.399151</v>
      </c>
      <c r="E805" s="76">
        <v>24.860064999999999</v>
      </c>
      <c r="F805" s="76">
        <v>13.669489</v>
      </c>
      <c r="G805" s="79">
        <v>861000</v>
      </c>
    </row>
    <row r="806" spans="1:7" x14ac:dyDescent="0.25">
      <c r="A806" s="1" t="s">
        <v>929</v>
      </c>
      <c r="B806" s="76">
        <v>25.094179</v>
      </c>
      <c r="C806" s="76">
        <v>25.130759999999999</v>
      </c>
      <c r="D806" s="76">
        <v>24.860064999999999</v>
      </c>
      <c r="E806" s="76">
        <v>25.094179</v>
      </c>
      <c r="F806" s="76">
        <v>13.798214</v>
      </c>
      <c r="G806" s="79">
        <v>319900</v>
      </c>
    </row>
    <row r="807" spans="1:7" x14ac:dyDescent="0.25">
      <c r="A807" s="1" t="s">
        <v>930</v>
      </c>
      <c r="B807" s="76">
        <v>25.160025000000001</v>
      </c>
      <c r="C807" s="76">
        <v>25.694098999999898</v>
      </c>
      <c r="D807" s="76">
        <v>25.145391</v>
      </c>
      <c r="E807" s="76">
        <v>25.694098999999898</v>
      </c>
      <c r="F807" s="76">
        <v>14.128092000000001</v>
      </c>
      <c r="G807" s="79">
        <v>539100</v>
      </c>
    </row>
    <row r="808" spans="1:7" x14ac:dyDescent="0.25">
      <c r="A808" s="1" t="s">
        <v>931</v>
      </c>
      <c r="B808" s="76">
        <v>25.716047</v>
      </c>
      <c r="C808" s="76">
        <v>26.403759000000001</v>
      </c>
      <c r="D808" s="76">
        <v>25.496565</v>
      </c>
      <c r="E808" s="76">
        <v>26.279387</v>
      </c>
      <c r="F808" s="76">
        <v>14.449914999999899</v>
      </c>
      <c r="G808" s="79">
        <v>702900</v>
      </c>
    </row>
    <row r="809" spans="1:7" x14ac:dyDescent="0.25">
      <c r="A809" s="1" t="s">
        <v>932</v>
      </c>
      <c r="B809" s="76">
        <v>26.374495</v>
      </c>
      <c r="C809" s="76">
        <v>27.069522999999901</v>
      </c>
      <c r="D809" s="76">
        <v>26.294017999999902</v>
      </c>
      <c r="E809" s="76">
        <v>26.886621000000002</v>
      </c>
      <c r="F809" s="76">
        <v>14.783801</v>
      </c>
      <c r="G809" s="79">
        <v>667100</v>
      </c>
    </row>
    <row r="810" spans="1:7" x14ac:dyDescent="0.25">
      <c r="A810" s="1" t="s">
        <v>933</v>
      </c>
      <c r="B810" s="76">
        <v>27.032941999999998</v>
      </c>
      <c r="C810" s="76">
        <v>27.032941999999998</v>
      </c>
      <c r="D810" s="76">
        <v>26.140381000000001</v>
      </c>
      <c r="E810" s="76">
        <v>26.3159659999999</v>
      </c>
      <c r="F810" s="76">
        <v>14.470029</v>
      </c>
      <c r="G810" s="79">
        <v>586000</v>
      </c>
    </row>
    <row r="811" spans="1:7" x14ac:dyDescent="0.25">
      <c r="A811" s="1" t="s">
        <v>934</v>
      </c>
      <c r="B811" s="76">
        <v>26.008689999999898</v>
      </c>
      <c r="C811" s="76">
        <v>26.520816999999901</v>
      </c>
      <c r="D811" s="76">
        <v>26.008689999999898</v>
      </c>
      <c r="E811" s="76">
        <v>26.520816999999901</v>
      </c>
      <c r="F811" s="76">
        <v>14.582663999999999</v>
      </c>
      <c r="G811" s="79">
        <v>427500</v>
      </c>
    </row>
    <row r="812" spans="1:7" x14ac:dyDescent="0.25">
      <c r="A812" s="1" t="s">
        <v>935</v>
      </c>
      <c r="B812" s="76">
        <v>26.484235999999999</v>
      </c>
      <c r="C812" s="76">
        <v>26.689087000000001</v>
      </c>
      <c r="D812" s="76">
        <v>26.323281999999999</v>
      </c>
      <c r="E812" s="76">
        <v>26.689087000000001</v>
      </c>
      <c r="F812" s="76">
        <v>14.675186999999999</v>
      </c>
      <c r="G812" s="79">
        <v>615500</v>
      </c>
    </row>
    <row r="813" spans="1:7" x14ac:dyDescent="0.25">
      <c r="A813" s="1" t="s">
        <v>936</v>
      </c>
      <c r="B813" s="76">
        <v>26.689087000000001</v>
      </c>
      <c r="C813" s="76">
        <v>26.689087000000001</v>
      </c>
      <c r="D813" s="76">
        <v>26.411076000000001</v>
      </c>
      <c r="E813" s="76">
        <v>26.630558000000001</v>
      </c>
      <c r="F813" s="76">
        <v>14.6430109999999</v>
      </c>
      <c r="G813" s="79">
        <v>395000</v>
      </c>
    </row>
    <row r="814" spans="1:7" x14ac:dyDescent="0.25">
      <c r="A814" s="1" t="s">
        <v>937</v>
      </c>
      <c r="B814" s="76">
        <v>26.630558000000001</v>
      </c>
      <c r="C814" s="76">
        <v>26.667138999999999</v>
      </c>
      <c r="D814" s="76">
        <v>26.411076000000001</v>
      </c>
      <c r="E814" s="76">
        <v>26.513500000000001</v>
      </c>
      <c r="F814" s="76">
        <v>14.578643</v>
      </c>
      <c r="G814" s="79">
        <v>388000</v>
      </c>
    </row>
    <row r="815" spans="1:7" x14ac:dyDescent="0.25">
      <c r="A815" s="1" t="s">
        <v>938</v>
      </c>
      <c r="B815" s="76">
        <v>26.440339999999999</v>
      </c>
      <c r="C815" s="76">
        <v>26.593976999999999</v>
      </c>
      <c r="D815" s="76">
        <v>26.191593000000001</v>
      </c>
      <c r="E815" s="76">
        <v>26.191593000000001</v>
      </c>
      <c r="F815" s="76">
        <v>14.401643</v>
      </c>
      <c r="G815" s="79">
        <v>665000</v>
      </c>
    </row>
    <row r="816" spans="1:7" x14ac:dyDescent="0.25">
      <c r="A816" s="1" t="s">
        <v>939</v>
      </c>
      <c r="B816" s="76">
        <v>26.469603999999901</v>
      </c>
      <c r="C816" s="76">
        <v>26.740299</v>
      </c>
      <c r="D816" s="76">
        <v>26.462288000000001</v>
      </c>
      <c r="E816" s="76">
        <v>26.593976999999999</v>
      </c>
      <c r="F816" s="76">
        <v>14.622890999999999</v>
      </c>
      <c r="G816" s="79">
        <v>736800</v>
      </c>
    </row>
    <row r="817" spans="1:7" x14ac:dyDescent="0.25">
      <c r="A817" s="1" t="s">
        <v>940</v>
      </c>
      <c r="B817" s="76">
        <v>26.667138999999999</v>
      </c>
      <c r="C817" s="76">
        <v>27.186581</v>
      </c>
      <c r="D817" s="76">
        <v>26.593976999999999</v>
      </c>
      <c r="E817" s="76">
        <v>26.996362999999999</v>
      </c>
      <c r="F817" s="76">
        <v>14.844151</v>
      </c>
      <c r="G817" s="79">
        <v>725400</v>
      </c>
    </row>
    <row r="818" spans="1:7" x14ac:dyDescent="0.25">
      <c r="A818" s="1" t="s">
        <v>941</v>
      </c>
      <c r="B818" s="76">
        <v>27.040258000000001</v>
      </c>
      <c r="C818" s="76">
        <v>27.040258000000001</v>
      </c>
      <c r="D818" s="76">
        <v>26.711034999999999</v>
      </c>
      <c r="E818" s="76">
        <v>26.996362999999999</v>
      </c>
      <c r="F818" s="76">
        <v>14.844151</v>
      </c>
      <c r="G818" s="79">
        <v>395000</v>
      </c>
    </row>
    <row r="819" spans="1:7" x14ac:dyDescent="0.25">
      <c r="A819" s="1" t="s">
        <v>942</v>
      </c>
      <c r="B819" s="76">
        <v>26.996362999999999</v>
      </c>
      <c r="C819" s="76">
        <v>27.032941999999998</v>
      </c>
      <c r="D819" s="76">
        <v>26.630558000000001</v>
      </c>
      <c r="E819" s="76">
        <v>26.630558000000001</v>
      </c>
      <c r="F819" s="76">
        <v>14.6430109999999</v>
      </c>
      <c r="G819" s="79">
        <v>384000</v>
      </c>
    </row>
    <row r="820" spans="1:7" x14ac:dyDescent="0.25">
      <c r="A820" s="1" t="s">
        <v>943</v>
      </c>
      <c r="B820" s="76">
        <v>26.85004</v>
      </c>
      <c r="C820" s="76">
        <v>26.996362999999999</v>
      </c>
      <c r="D820" s="76">
        <v>26.762246999999999</v>
      </c>
      <c r="E820" s="76">
        <v>26.769563999999999</v>
      </c>
      <c r="F820" s="76">
        <v>14.719443</v>
      </c>
      <c r="G820" s="79">
        <v>449400</v>
      </c>
    </row>
    <row r="821" spans="1:7" x14ac:dyDescent="0.25">
      <c r="A821" s="1" t="s">
        <v>944</v>
      </c>
      <c r="B821" s="76">
        <v>26.85004</v>
      </c>
      <c r="C821" s="76">
        <v>26.930516999999998</v>
      </c>
      <c r="D821" s="76">
        <v>26.637875000000001</v>
      </c>
      <c r="E821" s="76">
        <v>26.674453999999901</v>
      </c>
      <c r="F821" s="76">
        <v>14.667142</v>
      </c>
      <c r="G821" s="79">
        <v>312800</v>
      </c>
    </row>
    <row r="822" spans="1:7" x14ac:dyDescent="0.25">
      <c r="A822" s="1" t="s">
        <v>945</v>
      </c>
      <c r="B822" s="76">
        <v>26.689087000000001</v>
      </c>
      <c r="C822" s="76">
        <v>26.85004</v>
      </c>
      <c r="D822" s="76">
        <v>26.550080999999999</v>
      </c>
      <c r="E822" s="76">
        <v>26.776879999999998</v>
      </c>
      <c r="F822" s="76">
        <v>14.723464999999999</v>
      </c>
      <c r="G822" s="79">
        <v>468900</v>
      </c>
    </row>
    <row r="823" spans="1:7" x14ac:dyDescent="0.25">
      <c r="A823" s="1" t="s">
        <v>946</v>
      </c>
      <c r="B823" s="76">
        <v>26.915885999999901</v>
      </c>
      <c r="C823" s="76">
        <v>26.959782000000001</v>
      </c>
      <c r="D823" s="76">
        <v>26.740299</v>
      </c>
      <c r="E823" s="76">
        <v>26.85004</v>
      </c>
      <c r="F823" s="76">
        <v>14.763688999999999</v>
      </c>
      <c r="G823" s="79">
        <v>389900</v>
      </c>
    </row>
    <row r="824" spans="1:7" x14ac:dyDescent="0.25">
      <c r="A824" s="1" t="s">
        <v>947</v>
      </c>
      <c r="B824" s="76">
        <v>26.908569</v>
      </c>
      <c r="C824" s="76">
        <v>26.923200999999999</v>
      </c>
      <c r="D824" s="76">
        <v>26.711034999999999</v>
      </c>
      <c r="E824" s="76">
        <v>26.784195</v>
      </c>
      <c r="F824" s="76">
        <v>14.727487999999999</v>
      </c>
      <c r="G824" s="79">
        <v>292700</v>
      </c>
    </row>
    <row r="825" spans="1:7" x14ac:dyDescent="0.25">
      <c r="A825" s="1" t="s">
        <v>948</v>
      </c>
      <c r="B825" s="76">
        <v>26.908569</v>
      </c>
      <c r="C825" s="76">
        <v>27.135368</v>
      </c>
      <c r="D825" s="76">
        <v>26.820775999999999</v>
      </c>
      <c r="E825" s="76">
        <v>27.135368</v>
      </c>
      <c r="F825" s="76">
        <v>14.920588</v>
      </c>
      <c r="G825" s="79">
        <v>1249200</v>
      </c>
    </row>
    <row r="826" spans="1:7" x14ac:dyDescent="0.25">
      <c r="A826" s="1" t="s">
        <v>949</v>
      </c>
      <c r="B826" s="76">
        <v>27.252426</v>
      </c>
      <c r="C826" s="76">
        <v>27.325585999999898</v>
      </c>
      <c r="D826" s="76">
        <v>27.040258000000001</v>
      </c>
      <c r="E826" s="76">
        <v>27.252426</v>
      </c>
      <c r="F826" s="76">
        <v>14.984951000000001</v>
      </c>
      <c r="G826" s="79">
        <v>618700</v>
      </c>
    </row>
    <row r="827" spans="1:7" x14ac:dyDescent="0.25">
      <c r="A827" s="1" t="s">
        <v>950</v>
      </c>
      <c r="B827" s="76">
        <v>27.252426</v>
      </c>
      <c r="C827" s="76">
        <v>27.6913909999999</v>
      </c>
      <c r="D827" s="76">
        <v>27.252426</v>
      </c>
      <c r="E827" s="76">
        <v>27.6913909999999</v>
      </c>
      <c r="F827" s="76">
        <v>15.226312</v>
      </c>
      <c r="G827" s="79">
        <v>475500</v>
      </c>
    </row>
    <row r="828" spans="1:7" x14ac:dyDescent="0.25">
      <c r="A828" s="1" t="s">
        <v>951</v>
      </c>
      <c r="B828" s="76">
        <v>27.786498999999999</v>
      </c>
      <c r="C828" s="76">
        <v>28.218149</v>
      </c>
      <c r="D828" s="76">
        <v>27.6913909999999</v>
      </c>
      <c r="E828" s="76">
        <v>28.188884999999999</v>
      </c>
      <c r="F828" s="76">
        <v>15.499873999999901</v>
      </c>
      <c r="G828" s="79">
        <v>634700</v>
      </c>
    </row>
    <row r="829" spans="1:7" x14ac:dyDescent="0.25">
      <c r="A829" s="1" t="s">
        <v>952</v>
      </c>
      <c r="B829" s="76">
        <v>28.569320999999999</v>
      </c>
      <c r="C829" s="76">
        <v>28.569320999999999</v>
      </c>
      <c r="D829" s="76">
        <v>28.276678</v>
      </c>
      <c r="E829" s="76">
        <v>28.518108000000002</v>
      </c>
      <c r="F829" s="76">
        <v>15.680892999999999</v>
      </c>
      <c r="G829" s="79">
        <v>652100</v>
      </c>
    </row>
    <row r="830" spans="1:7" x14ac:dyDescent="0.25">
      <c r="A830" s="1" t="s">
        <v>953</v>
      </c>
      <c r="B830" s="76">
        <v>28.518108000000002</v>
      </c>
      <c r="C830" s="76">
        <v>29.103394999999999</v>
      </c>
      <c r="D830" s="76">
        <v>28.466895999999998</v>
      </c>
      <c r="E830" s="76">
        <v>28.935124999999999</v>
      </c>
      <c r="F830" s="76">
        <v>15.910194000000001</v>
      </c>
      <c r="G830" s="79">
        <v>623300</v>
      </c>
    </row>
    <row r="831" spans="1:7" x14ac:dyDescent="0.25">
      <c r="A831" s="1" t="s">
        <v>954</v>
      </c>
      <c r="B831" s="76">
        <v>28.949757000000002</v>
      </c>
      <c r="C831" s="76">
        <v>29.118027000000001</v>
      </c>
      <c r="D831" s="76">
        <v>28.701009999999901</v>
      </c>
      <c r="E831" s="76">
        <v>28.913177000000001</v>
      </c>
      <c r="F831" s="76">
        <v>15.898125</v>
      </c>
      <c r="G831" s="79">
        <v>1675600</v>
      </c>
    </row>
    <row r="832" spans="1:7" x14ac:dyDescent="0.25">
      <c r="A832" s="1" t="s">
        <v>955</v>
      </c>
      <c r="B832" s="76">
        <v>28.913177000000001</v>
      </c>
      <c r="C832" s="76">
        <v>28.920494000000001</v>
      </c>
      <c r="D832" s="76">
        <v>28.276678</v>
      </c>
      <c r="E832" s="76">
        <v>28.276678</v>
      </c>
      <c r="F832" s="76">
        <v>15.548138</v>
      </c>
      <c r="G832" s="79">
        <v>825700</v>
      </c>
    </row>
    <row r="833" spans="1:7" x14ac:dyDescent="0.25">
      <c r="A833" s="1" t="s">
        <v>956</v>
      </c>
      <c r="B833" s="76">
        <v>28.379103000000001</v>
      </c>
      <c r="C833" s="76">
        <v>28.525424999999998</v>
      </c>
      <c r="D833" s="76">
        <v>27.881609000000001</v>
      </c>
      <c r="E833" s="76">
        <v>28.071826999999999</v>
      </c>
      <c r="F833" s="76">
        <v>15.435504999999999</v>
      </c>
      <c r="G833" s="79">
        <v>598000</v>
      </c>
    </row>
    <row r="834" spans="1:7" x14ac:dyDescent="0.25">
      <c r="A834" s="1" t="s">
        <v>957</v>
      </c>
      <c r="B834" s="76">
        <v>28.218149</v>
      </c>
      <c r="C834" s="76">
        <v>28.218149</v>
      </c>
      <c r="D834" s="76">
        <v>27.910872999999999</v>
      </c>
      <c r="E834" s="76">
        <v>27.984034000000001</v>
      </c>
      <c r="F834" s="76">
        <v>15.387228</v>
      </c>
      <c r="G834" s="79">
        <v>616300</v>
      </c>
    </row>
    <row r="835" spans="1:7" x14ac:dyDescent="0.25">
      <c r="A835" s="1" t="s">
        <v>958</v>
      </c>
      <c r="B835" s="76">
        <v>28.166937000000001</v>
      </c>
      <c r="C835" s="76">
        <v>28.401050999999999</v>
      </c>
      <c r="D835" s="76">
        <v>28.137671999999998</v>
      </c>
      <c r="E835" s="76">
        <v>28.166937000000001</v>
      </c>
      <c r="F835" s="76">
        <v>15.487795999999999</v>
      </c>
      <c r="G835" s="79">
        <v>501000</v>
      </c>
    </row>
    <row r="836" spans="1:7" x14ac:dyDescent="0.25">
      <c r="A836" s="1" t="s">
        <v>959</v>
      </c>
      <c r="B836" s="76">
        <v>28.203515999999901</v>
      </c>
      <c r="C836" s="76">
        <v>28.313257</v>
      </c>
      <c r="D836" s="76">
        <v>27.749919999999999</v>
      </c>
      <c r="E836" s="76">
        <v>27.801131999999999</v>
      </c>
      <c r="F836" s="76">
        <v>15.286663000000001</v>
      </c>
      <c r="G836" s="79">
        <v>1131900</v>
      </c>
    </row>
    <row r="837" spans="1:7" x14ac:dyDescent="0.25">
      <c r="A837" s="1" t="s">
        <v>960</v>
      </c>
      <c r="B837" s="76">
        <v>27.449959</v>
      </c>
      <c r="C837" s="76">
        <v>27.742602999999999</v>
      </c>
      <c r="D837" s="76">
        <v>27.310953000000001</v>
      </c>
      <c r="E837" s="76">
        <v>27.530436999999999</v>
      </c>
      <c r="F837" s="76">
        <v>15.413629999999999</v>
      </c>
      <c r="G837" s="79">
        <v>775700</v>
      </c>
    </row>
    <row r="838" spans="1:7" x14ac:dyDescent="0.25">
      <c r="A838" s="1" t="s">
        <v>961</v>
      </c>
      <c r="B838" s="76">
        <v>27.618228999999999</v>
      </c>
      <c r="C838" s="76">
        <v>28.166937000000001</v>
      </c>
      <c r="D838" s="76">
        <v>27.618228999999999</v>
      </c>
      <c r="E838" s="76">
        <v>27.947453999999901</v>
      </c>
      <c r="F838" s="76">
        <v>15.647112</v>
      </c>
      <c r="G838" s="79">
        <v>568500</v>
      </c>
    </row>
    <row r="839" spans="1:7" x14ac:dyDescent="0.25">
      <c r="A839" s="1" t="s">
        <v>962</v>
      </c>
      <c r="B839" s="76">
        <v>28.152303999999901</v>
      </c>
      <c r="C839" s="76">
        <v>28.349837999999998</v>
      </c>
      <c r="D839" s="76">
        <v>28.020614999999999</v>
      </c>
      <c r="E839" s="76">
        <v>28.32789</v>
      </c>
      <c r="F839" s="76">
        <v>15.860116</v>
      </c>
      <c r="G839" s="79">
        <v>263600</v>
      </c>
    </row>
    <row r="840" spans="1:7" x14ac:dyDescent="0.25">
      <c r="A840" s="1" t="s">
        <v>963</v>
      </c>
      <c r="B840" s="76">
        <v>28.335207</v>
      </c>
      <c r="C840" s="76">
        <v>28.583953999999999</v>
      </c>
      <c r="D840" s="76">
        <v>28.313257</v>
      </c>
      <c r="E840" s="76">
        <v>28.53274</v>
      </c>
      <c r="F840" s="76">
        <v>15.974800999999999</v>
      </c>
      <c r="G840" s="79">
        <v>1034600</v>
      </c>
    </row>
    <row r="841" spans="1:7" x14ac:dyDescent="0.25">
      <c r="A841" s="1" t="s">
        <v>964</v>
      </c>
      <c r="B841" s="76">
        <v>28.53274</v>
      </c>
      <c r="C841" s="76">
        <v>28.766855</v>
      </c>
      <c r="D841" s="76">
        <v>28.364471000000002</v>
      </c>
      <c r="E841" s="76">
        <v>28.722959999999901</v>
      </c>
      <c r="F841" s="76">
        <v>16.081301</v>
      </c>
      <c r="G841" s="79">
        <v>559500</v>
      </c>
    </row>
    <row r="842" spans="1:7" x14ac:dyDescent="0.25">
      <c r="A842" s="1" t="s">
        <v>965</v>
      </c>
      <c r="B842" s="76">
        <v>28.854648999999998</v>
      </c>
      <c r="C842" s="76">
        <v>29.081447999999899</v>
      </c>
      <c r="D842" s="76">
        <v>28.788803000000001</v>
      </c>
      <c r="E842" s="76">
        <v>29.066814000000001</v>
      </c>
      <c r="F842" s="76">
        <v>16.273807999999999</v>
      </c>
      <c r="G842" s="79">
        <v>835100</v>
      </c>
    </row>
    <row r="843" spans="1:7" x14ac:dyDescent="0.25">
      <c r="A843" s="1" t="s">
        <v>966</v>
      </c>
      <c r="B843" s="76">
        <v>29.096079</v>
      </c>
      <c r="C843" s="76">
        <v>29.505778999999901</v>
      </c>
      <c r="D843" s="76">
        <v>28.905860999999899</v>
      </c>
      <c r="E843" s="76">
        <v>29.044867</v>
      </c>
      <c r="F843" s="76">
        <v>16.26153</v>
      </c>
      <c r="G843" s="79">
        <v>570600</v>
      </c>
    </row>
    <row r="844" spans="1:7" x14ac:dyDescent="0.25">
      <c r="A844" s="1" t="s">
        <v>967</v>
      </c>
      <c r="B844" s="76">
        <v>29.044867</v>
      </c>
      <c r="C844" s="76">
        <v>29.483830999999999</v>
      </c>
      <c r="D844" s="76">
        <v>28.986338</v>
      </c>
      <c r="E844" s="76">
        <v>29.257031999999999</v>
      </c>
      <c r="F844" s="76">
        <v>16.380303999999999</v>
      </c>
      <c r="G844" s="79">
        <v>493900</v>
      </c>
    </row>
    <row r="845" spans="1:7" x14ac:dyDescent="0.25">
      <c r="A845" s="1" t="s">
        <v>968</v>
      </c>
      <c r="B845" s="76">
        <v>29.264348999999999</v>
      </c>
      <c r="C845" s="76">
        <v>29.513096000000001</v>
      </c>
      <c r="D845" s="76">
        <v>29.191189000000001</v>
      </c>
      <c r="E845" s="76">
        <v>29.264348999999999</v>
      </c>
      <c r="F845" s="76">
        <v>16.384411</v>
      </c>
      <c r="G845" s="79">
        <v>1091500</v>
      </c>
    </row>
    <row r="846" spans="1:7" x14ac:dyDescent="0.25">
      <c r="A846" s="1" t="s">
        <v>969</v>
      </c>
      <c r="B846" s="76">
        <v>29.593572999999999</v>
      </c>
      <c r="C846" s="76">
        <v>29.630153999999902</v>
      </c>
      <c r="D846" s="76">
        <v>29.183871999999901</v>
      </c>
      <c r="E846" s="76">
        <v>29.264348999999999</v>
      </c>
      <c r="F846" s="76">
        <v>16.384411</v>
      </c>
      <c r="G846" s="79">
        <v>776100</v>
      </c>
    </row>
    <row r="847" spans="1:7" x14ac:dyDescent="0.25">
      <c r="A847" s="1" t="s">
        <v>970</v>
      </c>
      <c r="B847" s="76">
        <v>29.410671000000001</v>
      </c>
      <c r="C847" s="76">
        <v>29.988641999999999</v>
      </c>
      <c r="D847" s="76">
        <v>29.403354999999902</v>
      </c>
      <c r="E847" s="76">
        <v>29.9740099999999</v>
      </c>
      <c r="F847" s="76">
        <v>16.781732999999999</v>
      </c>
      <c r="G847" s="79">
        <v>504800</v>
      </c>
    </row>
    <row r="848" spans="1:7" x14ac:dyDescent="0.25">
      <c r="A848" s="1" t="s">
        <v>971</v>
      </c>
      <c r="B848" s="76">
        <v>29.9740099999999</v>
      </c>
      <c r="C848" s="76">
        <v>30.156911999999998</v>
      </c>
      <c r="D848" s="76">
        <v>29.747211</v>
      </c>
      <c r="E848" s="76">
        <v>29.995958000000002</v>
      </c>
      <c r="F848" s="76">
        <v>16.794024</v>
      </c>
      <c r="G848" s="79">
        <v>1015700</v>
      </c>
    </row>
    <row r="849" spans="1:7" x14ac:dyDescent="0.25">
      <c r="A849" s="1" t="s">
        <v>972</v>
      </c>
      <c r="B849" s="76">
        <v>30.032536999999898</v>
      </c>
      <c r="C849" s="76">
        <v>30.142281000000001</v>
      </c>
      <c r="D849" s="76">
        <v>29.886216999999998</v>
      </c>
      <c r="E849" s="76">
        <v>29.995958000000002</v>
      </c>
      <c r="F849" s="76">
        <v>16.794024</v>
      </c>
      <c r="G849" s="79">
        <v>606900</v>
      </c>
    </row>
    <row r="850" spans="1:7" x14ac:dyDescent="0.25">
      <c r="A850" s="1" t="s">
        <v>973</v>
      </c>
      <c r="B850" s="76">
        <v>30.069118</v>
      </c>
      <c r="C850" s="76">
        <v>30.273969999999998</v>
      </c>
      <c r="D850" s="76">
        <v>29.9740099999999</v>
      </c>
      <c r="E850" s="76">
        <v>30.083752</v>
      </c>
      <c r="F850" s="76">
        <v>16.843173999999902</v>
      </c>
      <c r="G850" s="79">
        <v>586100</v>
      </c>
    </row>
    <row r="851" spans="1:7" x14ac:dyDescent="0.25">
      <c r="A851" s="1" t="s">
        <v>974</v>
      </c>
      <c r="B851" s="76">
        <v>30.083752</v>
      </c>
      <c r="C851" s="76">
        <v>30.215440999999998</v>
      </c>
      <c r="D851" s="76">
        <v>29.988641999999999</v>
      </c>
      <c r="E851" s="76">
        <v>30.208123999999899</v>
      </c>
      <c r="F851" s="76">
        <v>16.912800000000001</v>
      </c>
      <c r="G851" s="79">
        <v>369200</v>
      </c>
    </row>
    <row r="852" spans="1:7" x14ac:dyDescent="0.25">
      <c r="A852" s="1" t="s">
        <v>975</v>
      </c>
      <c r="B852" s="76">
        <v>30.325182000000002</v>
      </c>
      <c r="C852" s="76">
        <v>30.947050000000001</v>
      </c>
      <c r="D852" s="76">
        <v>30.259335999999902</v>
      </c>
      <c r="E852" s="76">
        <v>30.881204999999898</v>
      </c>
      <c r="F852" s="76">
        <v>17.289650000000002</v>
      </c>
      <c r="G852" s="79">
        <v>600900</v>
      </c>
    </row>
    <row r="853" spans="1:7" x14ac:dyDescent="0.25">
      <c r="A853" s="1" t="s">
        <v>976</v>
      </c>
      <c r="B853" s="76">
        <v>30.800727999999999</v>
      </c>
      <c r="C853" s="76">
        <v>31.239692999999999</v>
      </c>
      <c r="D853" s="76">
        <v>30.7275659999999</v>
      </c>
      <c r="E853" s="76">
        <v>31.225061</v>
      </c>
      <c r="F853" s="76">
        <v>17.482165999999999</v>
      </c>
      <c r="G853" s="79">
        <v>365400</v>
      </c>
    </row>
    <row r="854" spans="1:7" x14ac:dyDescent="0.25">
      <c r="A854" s="1" t="s">
        <v>977</v>
      </c>
      <c r="B854" s="76">
        <v>31.225061</v>
      </c>
      <c r="C854" s="76">
        <v>31.225061</v>
      </c>
      <c r="D854" s="76">
        <v>30.844624</v>
      </c>
      <c r="E854" s="76">
        <v>31.203112000000001</v>
      </c>
      <c r="F854" s="76">
        <v>17.469877</v>
      </c>
      <c r="G854" s="79">
        <v>541800</v>
      </c>
    </row>
    <row r="855" spans="1:7" x14ac:dyDescent="0.25">
      <c r="A855" s="1" t="s">
        <v>978</v>
      </c>
      <c r="B855" s="76">
        <v>31.203112000000001</v>
      </c>
      <c r="C855" s="76">
        <v>31.217745000000001</v>
      </c>
      <c r="D855" s="76">
        <v>30.449553999999999</v>
      </c>
      <c r="E855" s="76">
        <v>30.617825</v>
      </c>
      <c r="F855" s="76">
        <v>17.142185000000001</v>
      </c>
      <c r="G855" s="79">
        <v>543500</v>
      </c>
    </row>
    <row r="856" spans="1:7" x14ac:dyDescent="0.25">
      <c r="A856" s="1" t="s">
        <v>979</v>
      </c>
      <c r="B856" s="76">
        <v>30.603193000000001</v>
      </c>
      <c r="C856" s="76">
        <v>30.654405999999899</v>
      </c>
      <c r="D856" s="76">
        <v>29.593572999999999</v>
      </c>
      <c r="E856" s="76">
        <v>29.922796000000002</v>
      </c>
      <c r="F856" s="76">
        <v>16.753060999999999</v>
      </c>
      <c r="G856" s="79">
        <v>776300</v>
      </c>
    </row>
    <row r="857" spans="1:7" x14ac:dyDescent="0.25">
      <c r="A857" s="1" t="s">
        <v>980</v>
      </c>
      <c r="B857" s="76">
        <v>30.288601</v>
      </c>
      <c r="C857" s="76">
        <v>30.895835999999999</v>
      </c>
      <c r="D857" s="76">
        <v>30.288601</v>
      </c>
      <c r="E857" s="76">
        <v>30.873888000000001</v>
      </c>
      <c r="F857" s="76">
        <v>17.285551000000002</v>
      </c>
      <c r="G857" s="79">
        <v>1448500</v>
      </c>
    </row>
    <row r="858" spans="1:7" x14ac:dyDescent="0.25">
      <c r="A858" s="1" t="s">
        <v>981</v>
      </c>
      <c r="B858" s="76">
        <v>30.895835999999999</v>
      </c>
      <c r="C858" s="76">
        <v>31.122634999999999</v>
      </c>
      <c r="D858" s="76">
        <v>30.837309000000001</v>
      </c>
      <c r="E858" s="76">
        <v>30.859256999999999</v>
      </c>
      <c r="F858" s="76">
        <v>17.277355</v>
      </c>
      <c r="G858" s="79">
        <v>783600</v>
      </c>
    </row>
    <row r="859" spans="1:7" x14ac:dyDescent="0.25">
      <c r="A859" s="1" t="s">
        <v>982</v>
      </c>
      <c r="B859" s="76">
        <v>30.837309000000001</v>
      </c>
      <c r="C859" s="76">
        <v>31.071422999999999</v>
      </c>
      <c r="D859" s="76">
        <v>30.522717</v>
      </c>
      <c r="E859" s="76">
        <v>31.071422999999999</v>
      </c>
      <c r="F859" s="76">
        <v>17.396145000000001</v>
      </c>
      <c r="G859" s="79">
        <v>379300</v>
      </c>
    </row>
    <row r="860" spans="1:7" x14ac:dyDescent="0.25">
      <c r="A860" s="1" t="s">
        <v>983</v>
      </c>
      <c r="B860" s="76">
        <v>31.071422999999999</v>
      </c>
      <c r="C860" s="76">
        <v>31.364066999999999</v>
      </c>
      <c r="D860" s="76">
        <v>30.983628999999901</v>
      </c>
      <c r="E860" s="76">
        <v>31.166533000000001</v>
      </c>
      <c r="F860" s="76">
        <v>17.449400000000001</v>
      </c>
      <c r="G860" s="79">
        <v>293200</v>
      </c>
    </row>
    <row r="861" spans="1:7" x14ac:dyDescent="0.25">
      <c r="A861" s="1" t="s">
        <v>984</v>
      </c>
      <c r="B861" s="76">
        <v>31.349433999999999</v>
      </c>
      <c r="C861" s="76">
        <v>31.349433999999999</v>
      </c>
      <c r="D861" s="76">
        <v>31.086055999999999</v>
      </c>
      <c r="E861" s="76">
        <v>31.239692999999999</v>
      </c>
      <c r="F861" s="76">
        <v>17.490357999999901</v>
      </c>
      <c r="G861" s="79">
        <v>415600</v>
      </c>
    </row>
    <row r="862" spans="1:7" x14ac:dyDescent="0.25">
      <c r="A862" s="1" t="s">
        <v>985</v>
      </c>
      <c r="B862" s="76">
        <v>31.459174999999998</v>
      </c>
      <c r="C862" s="76">
        <v>32.066409999999998</v>
      </c>
      <c r="D862" s="76">
        <v>31.459174999999998</v>
      </c>
      <c r="E862" s="76">
        <v>31.956669000000002</v>
      </c>
      <c r="F862" s="76">
        <v>17.891773000000001</v>
      </c>
      <c r="G862" s="79">
        <v>515700</v>
      </c>
    </row>
    <row r="863" spans="1:7" x14ac:dyDescent="0.25">
      <c r="A863" s="1" t="s">
        <v>986</v>
      </c>
      <c r="B863" s="76">
        <v>31.971302000000001</v>
      </c>
      <c r="C863" s="76">
        <v>32.117621999999997</v>
      </c>
      <c r="D863" s="76">
        <v>31.642078000000001</v>
      </c>
      <c r="E863" s="76">
        <v>31.664026</v>
      </c>
      <c r="F863" s="76">
        <v>17.727934000000001</v>
      </c>
      <c r="G863" s="79">
        <v>507200</v>
      </c>
    </row>
    <row r="864" spans="1:7" x14ac:dyDescent="0.25">
      <c r="A864" s="1" t="s">
        <v>987</v>
      </c>
      <c r="B864" s="76">
        <v>31.82498</v>
      </c>
      <c r="C864" s="76">
        <v>32.373688000000001</v>
      </c>
      <c r="D864" s="76">
        <v>31.649393</v>
      </c>
      <c r="E864" s="76">
        <v>32.293208999999997</v>
      </c>
      <c r="F864" s="76">
        <v>18.080192999999898</v>
      </c>
      <c r="G864" s="79">
        <v>764800</v>
      </c>
    </row>
    <row r="865" spans="1:7" x14ac:dyDescent="0.25">
      <c r="A865" s="1" t="s">
        <v>988</v>
      </c>
      <c r="B865" s="76">
        <v>32.454163000000001</v>
      </c>
      <c r="C865" s="76">
        <v>32.944339999999997</v>
      </c>
      <c r="D865" s="76">
        <v>32.095675999999997</v>
      </c>
      <c r="E865" s="76">
        <v>32.944339999999997</v>
      </c>
      <c r="F865" s="76">
        <v>18.444751999999902</v>
      </c>
      <c r="G865" s="79">
        <v>549000</v>
      </c>
    </row>
    <row r="866" spans="1:7" x14ac:dyDescent="0.25">
      <c r="A866" s="1" t="s">
        <v>989</v>
      </c>
      <c r="B866" s="76">
        <v>33.032134999999997</v>
      </c>
      <c r="C866" s="76">
        <v>33.032134999999997</v>
      </c>
      <c r="D866" s="76">
        <v>32.029831000000001</v>
      </c>
      <c r="E866" s="76">
        <v>32.154204999999997</v>
      </c>
      <c r="F866" s="76">
        <v>18.002375000000001</v>
      </c>
      <c r="G866" s="79">
        <v>545400</v>
      </c>
    </row>
    <row r="867" spans="1:7" x14ac:dyDescent="0.25">
      <c r="A867" s="1" t="s">
        <v>990</v>
      </c>
      <c r="B867" s="76">
        <v>32.183467999999998</v>
      </c>
      <c r="C867" s="76">
        <v>32.183467999999998</v>
      </c>
      <c r="D867" s="76">
        <v>31.868876</v>
      </c>
      <c r="E867" s="76">
        <v>31.920089999999998</v>
      </c>
      <c r="F867" s="76">
        <v>17.871297999999999</v>
      </c>
      <c r="G867" s="79">
        <v>693700</v>
      </c>
    </row>
    <row r="868" spans="1:7" x14ac:dyDescent="0.25">
      <c r="A868" s="1" t="s">
        <v>991</v>
      </c>
      <c r="B868" s="76">
        <v>32.081043000000001</v>
      </c>
      <c r="C868" s="76">
        <v>32.227364000000001</v>
      </c>
      <c r="D868" s="76">
        <v>32.007880999999998</v>
      </c>
      <c r="E868" s="76">
        <v>32.212733999999998</v>
      </c>
      <c r="F868" s="76">
        <v>18.035136999999999</v>
      </c>
      <c r="G868" s="79">
        <v>525000</v>
      </c>
    </row>
    <row r="869" spans="1:7" x14ac:dyDescent="0.25">
      <c r="A869" s="1" t="s">
        <v>992</v>
      </c>
      <c r="B869" s="76">
        <v>32.373688000000001</v>
      </c>
      <c r="C869" s="76">
        <v>32.476112000000001</v>
      </c>
      <c r="D869" s="76">
        <v>31.715239</v>
      </c>
      <c r="E869" s="76">
        <v>31.715239</v>
      </c>
      <c r="F869" s="76">
        <v>17.756601</v>
      </c>
      <c r="G869" s="79">
        <v>737400</v>
      </c>
    </row>
    <row r="870" spans="1:7" x14ac:dyDescent="0.25">
      <c r="A870" s="1" t="s">
        <v>993</v>
      </c>
      <c r="B870" s="76">
        <v>31.722555</v>
      </c>
      <c r="C870" s="76">
        <v>31.82498</v>
      </c>
      <c r="D870" s="76">
        <v>31.312853</v>
      </c>
      <c r="E870" s="76">
        <v>31.422594</v>
      </c>
      <c r="F870" s="76">
        <v>17.592756000000001</v>
      </c>
      <c r="G870" s="79">
        <v>660400</v>
      </c>
    </row>
    <row r="871" spans="1:7" x14ac:dyDescent="0.25">
      <c r="A871" s="1" t="s">
        <v>994</v>
      </c>
      <c r="B871" s="76">
        <v>31.532336999999998</v>
      </c>
      <c r="C871" s="76">
        <v>31.642078000000001</v>
      </c>
      <c r="D871" s="76">
        <v>31.386015</v>
      </c>
      <c r="E871" s="76">
        <v>31.532336999999998</v>
      </c>
      <c r="F871" s="76">
        <v>17.654204999999902</v>
      </c>
      <c r="G871" s="79">
        <v>488500</v>
      </c>
    </row>
    <row r="872" spans="1:7" x14ac:dyDescent="0.25">
      <c r="A872" s="1" t="s">
        <v>995</v>
      </c>
      <c r="B872" s="76">
        <v>31.532336999999998</v>
      </c>
      <c r="C872" s="76">
        <v>31.82498</v>
      </c>
      <c r="D872" s="76">
        <v>31.451858999999999</v>
      </c>
      <c r="E872" s="76">
        <v>31.459174999999998</v>
      </c>
      <c r="F872" s="76">
        <v>17.613236999999899</v>
      </c>
      <c r="G872" s="79">
        <v>373900</v>
      </c>
    </row>
    <row r="873" spans="1:7" x14ac:dyDescent="0.25">
      <c r="A873" s="1" t="s">
        <v>996</v>
      </c>
      <c r="B873" s="76">
        <v>31.568915999999899</v>
      </c>
      <c r="C873" s="76">
        <v>31.583548999999898</v>
      </c>
      <c r="D873" s="76">
        <v>31.312853</v>
      </c>
      <c r="E873" s="76">
        <v>31.422594</v>
      </c>
      <c r="F873" s="76">
        <v>17.592756000000001</v>
      </c>
      <c r="G873" s="79">
        <v>332900</v>
      </c>
    </row>
    <row r="874" spans="1:7" x14ac:dyDescent="0.25">
      <c r="A874" s="1" t="s">
        <v>997</v>
      </c>
      <c r="B874" s="76">
        <v>31.459174999999998</v>
      </c>
      <c r="C874" s="76">
        <v>31.612814</v>
      </c>
      <c r="D874" s="76">
        <v>30.932416999999901</v>
      </c>
      <c r="E874" s="76">
        <v>31.481122999999901</v>
      </c>
      <c r="F874" s="76">
        <v>17.625527999999999</v>
      </c>
      <c r="G874" s="79">
        <v>484200</v>
      </c>
    </row>
    <row r="875" spans="1:7" x14ac:dyDescent="0.25">
      <c r="A875" s="1" t="s">
        <v>998</v>
      </c>
      <c r="B875" s="76">
        <v>31.481122999999901</v>
      </c>
      <c r="C875" s="76">
        <v>31.744503000000002</v>
      </c>
      <c r="D875" s="76">
        <v>31.415278999999899</v>
      </c>
      <c r="E875" s="76">
        <v>31.583548999999898</v>
      </c>
      <c r="F875" s="76">
        <v>17.682874999999999</v>
      </c>
      <c r="G875" s="79">
        <v>418200</v>
      </c>
    </row>
    <row r="876" spans="1:7" x14ac:dyDescent="0.25">
      <c r="A876" s="1" t="s">
        <v>999</v>
      </c>
      <c r="B876" s="76">
        <v>31.678657999999999</v>
      </c>
      <c r="C876" s="76">
        <v>32.044463999999998</v>
      </c>
      <c r="D876" s="76">
        <v>31.517703999999998</v>
      </c>
      <c r="E876" s="76">
        <v>31.788398999999998</v>
      </c>
      <c r="F876" s="76">
        <v>17.797561999999999</v>
      </c>
      <c r="G876" s="79">
        <v>605500</v>
      </c>
    </row>
    <row r="877" spans="1:7" x14ac:dyDescent="0.25">
      <c r="A877" s="1" t="s">
        <v>1000</v>
      </c>
      <c r="B877" s="76">
        <v>31.788398999999998</v>
      </c>
      <c r="C877" s="76">
        <v>32.293208999999997</v>
      </c>
      <c r="D877" s="76">
        <v>31.715239</v>
      </c>
      <c r="E877" s="76">
        <v>32.110306000000001</v>
      </c>
      <c r="F877" s="76">
        <v>17.977792999999998</v>
      </c>
      <c r="G877" s="79">
        <v>585500</v>
      </c>
    </row>
    <row r="878" spans="1:7" x14ac:dyDescent="0.25">
      <c r="A878" s="1" t="s">
        <v>1001</v>
      </c>
      <c r="B878" s="76">
        <v>32.154204999999997</v>
      </c>
      <c r="C878" s="76">
        <v>32.190784000000001</v>
      </c>
      <c r="D878" s="76">
        <v>31.729869999999998</v>
      </c>
      <c r="E878" s="76">
        <v>31.898140000000001</v>
      </c>
      <c r="F878" s="76">
        <v>17.859010999999999</v>
      </c>
      <c r="G878" s="79">
        <v>795400</v>
      </c>
    </row>
    <row r="879" spans="1:7" x14ac:dyDescent="0.25">
      <c r="A879" s="1" t="s">
        <v>1002</v>
      </c>
      <c r="B879" s="76">
        <v>31.898140000000001</v>
      </c>
      <c r="C879" s="76">
        <v>32.007880999999998</v>
      </c>
      <c r="D879" s="76">
        <v>31.810348999999999</v>
      </c>
      <c r="E879" s="76">
        <v>31.934721</v>
      </c>
      <c r="F879" s="76">
        <v>17.879487999999998</v>
      </c>
      <c r="G879" s="79">
        <v>1180000</v>
      </c>
    </row>
    <row r="880" spans="1:7" x14ac:dyDescent="0.25">
      <c r="A880" s="1" t="s">
        <v>1003</v>
      </c>
      <c r="B880" s="76">
        <v>32.007880999999998</v>
      </c>
      <c r="C880" s="76">
        <v>32.476112000000001</v>
      </c>
      <c r="D880" s="76">
        <v>31.82498</v>
      </c>
      <c r="E880" s="76">
        <v>32.388317000000001</v>
      </c>
      <c r="F880" s="76">
        <v>18.133441999999999</v>
      </c>
      <c r="G880" s="79">
        <v>654400</v>
      </c>
    </row>
    <row r="881" spans="1:7" x14ac:dyDescent="0.25">
      <c r="A881" s="1" t="s">
        <v>1004</v>
      </c>
      <c r="B881" s="76">
        <v>32.102992999999998</v>
      </c>
      <c r="C881" s="76">
        <v>32.622433000000001</v>
      </c>
      <c r="D881" s="76">
        <v>32.081043000000001</v>
      </c>
      <c r="E881" s="76">
        <v>32.549270999999997</v>
      </c>
      <c r="F881" s="76">
        <v>18.223562000000001</v>
      </c>
      <c r="G881" s="79">
        <v>245400</v>
      </c>
    </row>
    <row r="882" spans="1:7" x14ac:dyDescent="0.25">
      <c r="A882" s="1" t="s">
        <v>1005</v>
      </c>
      <c r="B882" s="76">
        <v>32.549270999999997</v>
      </c>
      <c r="C882" s="76">
        <v>32.922393999999997</v>
      </c>
      <c r="D882" s="76">
        <v>32.520007999999997</v>
      </c>
      <c r="E882" s="76">
        <v>32.885810999999997</v>
      </c>
      <c r="F882" s="76">
        <v>18.411978000000001</v>
      </c>
      <c r="G882" s="79">
        <v>419100</v>
      </c>
    </row>
    <row r="883" spans="1:7" x14ac:dyDescent="0.25">
      <c r="A883" s="1" t="s">
        <v>1006</v>
      </c>
      <c r="B883" s="76">
        <v>32.922393999999997</v>
      </c>
      <c r="C883" s="76">
        <v>32.988239</v>
      </c>
      <c r="D883" s="76">
        <v>32.776069999999997</v>
      </c>
      <c r="E883" s="76">
        <v>32.885810999999997</v>
      </c>
      <c r="F883" s="76">
        <v>18.411978000000001</v>
      </c>
      <c r="G883" s="79">
        <v>424500</v>
      </c>
    </row>
    <row r="884" spans="1:7" x14ac:dyDescent="0.25">
      <c r="A884" s="1" t="s">
        <v>1007</v>
      </c>
      <c r="B884" s="76">
        <v>32.893127</v>
      </c>
      <c r="C884" s="76">
        <v>32.907761000000001</v>
      </c>
      <c r="D884" s="76">
        <v>32.454163000000001</v>
      </c>
      <c r="E884" s="76">
        <v>32.571219999999997</v>
      </c>
      <c r="F884" s="76">
        <v>18.235842000000002</v>
      </c>
      <c r="G884" s="79">
        <v>480800</v>
      </c>
    </row>
    <row r="885" spans="1:7" x14ac:dyDescent="0.25">
      <c r="A885" s="1" t="s">
        <v>1008</v>
      </c>
      <c r="B885" s="76">
        <v>32.556587</v>
      </c>
      <c r="C885" s="76">
        <v>32.556587</v>
      </c>
      <c r="D885" s="76">
        <v>32.110306000000001</v>
      </c>
      <c r="E885" s="76">
        <v>32.168834999999902</v>
      </c>
      <c r="F885" s="76">
        <v>18.010560999999999</v>
      </c>
      <c r="G885" s="79">
        <v>359100</v>
      </c>
    </row>
    <row r="886" spans="1:7" x14ac:dyDescent="0.25">
      <c r="A886" s="1" t="s">
        <v>1009</v>
      </c>
      <c r="B886" s="76">
        <v>32.263946999999902</v>
      </c>
      <c r="C886" s="76">
        <v>32.454163000000001</v>
      </c>
      <c r="D886" s="76">
        <v>32.263946999999902</v>
      </c>
      <c r="E886" s="76">
        <v>32.446846000000001</v>
      </c>
      <c r="F886" s="76">
        <v>18.166214</v>
      </c>
      <c r="G886" s="79">
        <v>318300</v>
      </c>
    </row>
    <row r="887" spans="1:7" x14ac:dyDescent="0.25">
      <c r="A887" s="1" t="s">
        <v>1010</v>
      </c>
      <c r="B887" s="76">
        <v>32.446846000000001</v>
      </c>
      <c r="C887" s="76">
        <v>32.768757000000001</v>
      </c>
      <c r="D887" s="76">
        <v>32.395634000000001</v>
      </c>
      <c r="E887" s="76">
        <v>32.717540999999997</v>
      </c>
      <c r="F887" s="76">
        <v>18.317768000000001</v>
      </c>
      <c r="G887" s="79">
        <v>395200</v>
      </c>
    </row>
    <row r="888" spans="1:7" x14ac:dyDescent="0.25">
      <c r="A888" s="1" t="s">
        <v>1011</v>
      </c>
      <c r="B888" s="76">
        <v>32.776069999999997</v>
      </c>
      <c r="C888" s="76">
        <v>32.805335999999997</v>
      </c>
      <c r="D888" s="76">
        <v>32.666328</v>
      </c>
      <c r="E888" s="76">
        <v>32.776069999999997</v>
      </c>
      <c r="F888" s="76">
        <v>18.350535999999899</v>
      </c>
      <c r="G888" s="79">
        <v>324500</v>
      </c>
    </row>
    <row r="889" spans="1:7" x14ac:dyDescent="0.25">
      <c r="A889" s="1" t="s">
        <v>1012</v>
      </c>
      <c r="B889" s="76">
        <v>32.885810999999997</v>
      </c>
      <c r="C889" s="76">
        <v>32.885810999999997</v>
      </c>
      <c r="D889" s="76">
        <v>32.556587</v>
      </c>
      <c r="E889" s="76">
        <v>32.732174000000001</v>
      </c>
      <c r="F889" s="76">
        <v>18.325956000000001</v>
      </c>
      <c r="G889" s="79">
        <v>466200</v>
      </c>
    </row>
    <row r="890" spans="1:7" x14ac:dyDescent="0.25">
      <c r="A890" s="1" t="s">
        <v>1013</v>
      </c>
      <c r="B890" s="76">
        <v>32.739490999999902</v>
      </c>
      <c r="C890" s="76">
        <v>32.739490999999902</v>
      </c>
      <c r="D890" s="76">
        <v>32.285891999999997</v>
      </c>
      <c r="E890" s="76">
        <v>32.520007999999997</v>
      </c>
      <c r="F890" s="76">
        <v>18.207179999999902</v>
      </c>
      <c r="G890" s="79">
        <v>520700</v>
      </c>
    </row>
    <row r="891" spans="1:7" x14ac:dyDescent="0.25">
      <c r="A891" s="1" t="s">
        <v>1014</v>
      </c>
      <c r="B891" s="76">
        <v>32.483429000000001</v>
      </c>
      <c r="C891" s="76">
        <v>32.900444</v>
      </c>
      <c r="D891" s="76">
        <v>32.483429000000001</v>
      </c>
      <c r="E891" s="76">
        <v>32.849232000000001</v>
      </c>
      <c r="F891" s="76">
        <v>18.391500000000001</v>
      </c>
      <c r="G891" s="79">
        <v>387600</v>
      </c>
    </row>
    <row r="892" spans="1:7" x14ac:dyDescent="0.25">
      <c r="A892" s="1" t="s">
        <v>1015</v>
      </c>
      <c r="B892" s="76">
        <v>32.885810999999997</v>
      </c>
      <c r="C892" s="76">
        <v>32.922393999999997</v>
      </c>
      <c r="D892" s="76">
        <v>32.351737999999997</v>
      </c>
      <c r="E892" s="76">
        <v>32.490746000000001</v>
      </c>
      <c r="F892" s="76">
        <v>18.190795999999999</v>
      </c>
      <c r="G892" s="79">
        <v>313200</v>
      </c>
    </row>
    <row r="893" spans="1:7" x14ac:dyDescent="0.25">
      <c r="A893" s="1" t="s">
        <v>1016</v>
      </c>
      <c r="B893" s="76">
        <v>32.629748999999997</v>
      </c>
      <c r="C893" s="76">
        <v>32.885810999999997</v>
      </c>
      <c r="D893" s="76">
        <v>32.629748999999997</v>
      </c>
      <c r="E893" s="76">
        <v>32.849232000000001</v>
      </c>
      <c r="F893" s="76">
        <v>18.391500000000001</v>
      </c>
      <c r="G893" s="79">
        <v>306400</v>
      </c>
    </row>
    <row r="894" spans="1:7" x14ac:dyDescent="0.25">
      <c r="A894" s="1" t="s">
        <v>1017</v>
      </c>
      <c r="B894" s="76">
        <v>32.907761000000001</v>
      </c>
      <c r="C894" s="76">
        <v>32.907761000000001</v>
      </c>
      <c r="D894" s="76">
        <v>32.702911</v>
      </c>
      <c r="E894" s="76">
        <v>32.841915</v>
      </c>
      <c r="F894" s="76">
        <v>18.387404999999902</v>
      </c>
      <c r="G894" s="79">
        <v>210400</v>
      </c>
    </row>
    <row r="895" spans="1:7" x14ac:dyDescent="0.25">
      <c r="A895" s="1" t="s">
        <v>1018</v>
      </c>
      <c r="B895" s="76">
        <v>32.885810999999997</v>
      </c>
      <c r="C895" s="76">
        <v>33.017502</v>
      </c>
      <c r="D895" s="76">
        <v>32.834598999999997</v>
      </c>
      <c r="E895" s="76">
        <v>32.849232000000001</v>
      </c>
      <c r="F895" s="76">
        <v>18.391500000000001</v>
      </c>
      <c r="G895" s="79">
        <v>298900</v>
      </c>
    </row>
    <row r="896" spans="1:7" x14ac:dyDescent="0.25">
      <c r="A896" s="1" t="s">
        <v>1019</v>
      </c>
      <c r="B896" s="76">
        <v>32.922393999999997</v>
      </c>
      <c r="C896" s="76">
        <v>33.346724999999999</v>
      </c>
      <c r="D896" s="76">
        <v>32.922393999999997</v>
      </c>
      <c r="E896" s="76">
        <v>33.288196999999997</v>
      </c>
      <c r="F896" s="76">
        <v>18.637267999999999</v>
      </c>
      <c r="G896" s="79">
        <v>309700</v>
      </c>
    </row>
    <row r="897" spans="1:7" x14ac:dyDescent="0.25">
      <c r="A897" s="1" t="s">
        <v>1020</v>
      </c>
      <c r="B897" s="76">
        <v>33.397938000000003</v>
      </c>
      <c r="C897" s="76">
        <v>33.507678999999897</v>
      </c>
      <c r="D897" s="76">
        <v>33.266250999999997</v>
      </c>
      <c r="E897" s="76">
        <v>33.30283</v>
      </c>
      <c r="F897" s="76">
        <v>18.645455999999999</v>
      </c>
      <c r="G897" s="79">
        <v>320500</v>
      </c>
    </row>
    <row r="898" spans="1:7" x14ac:dyDescent="0.25">
      <c r="A898" s="1" t="s">
        <v>1021</v>
      </c>
      <c r="B898" s="76">
        <v>33.397938000000003</v>
      </c>
      <c r="C898" s="76">
        <v>33.536945000000003</v>
      </c>
      <c r="D898" s="76">
        <v>33.288196999999997</v>
      </c>
      <c r="E898" s="76">
        <v>33.514995999999996</v>
      </c>
      <c r="F898" s="76">
        <v>18.764244000000001</v>
      </c>
      <c r="G898" s="79">
        <v>559700</v>
      </c>
    </row>
    <row r="899" spans="1:7" x14ac:dyDescent="0.25">
      <c r="A899" s="1" t="s">
        <v>1022</v>
      </c>
      <c r="B899" s="76">
        <v>33.514995999999996</v>
      </c>
      <c r="C899" s="76">
        <v>34.019806000000003</v>
      </c>
      <c r="D899" s="76">
        <v>33.514995999999996</v>
      </c>
      <c r="E899" s="76">
        <v>34.019806000000003</v>
      </c>
      <c r="F899" s="76">
        <v>19.046870999999999</v>
      </c>
      <c r="G899" s="79">
        <v>403800</v>
      </c>
    </row>
    <row r="900" spans="1:7" x14ac:dyDescent="0.25">
      <c r="A900" s="1" t="s">
        <v>1023</v>
      </c>
      <c r="B900" s="76">
        <v>33.617420000000003</v>
      </c>
      <c r="C900" s="76">
        <v>33.785690000000002</v>
      </c>
      <c r="D900" s="76">
        <v>33.251616999999897</v>
      </c>
      <c r="E900" s="76">
        <v>33.536945000000003</v>
      </c>
      <c r="F900" s="76">
        <v>19.055192999999999</v>
      </c>
      <c r="G900" s="79">
        <v>446800</v>
      </c>
    </row>
    <row r="901" spans="1:7" x14ac:dyDescent="0.25">
      <c r="A901" s="1" t="s">
        <v>1024</v>
      </c>
      <c r="B901" s="76">
        <v>33.529629</v>
      </c>
      <c r="C901" s="76">
        <v>33.529629</v>
      </c>
      <c r="D901" s="76">
        <v>33.207721999999997</v>
      </c>
      <c r="E901" s="76">
        <v>33.434520999999997</v>
      </c>
      <c r="F901" s="76">
        <v>18.996991999999999</v>
      </c>
      <c r="G901" s="79">
        <v>292300</v>
      </c>
    </row>
    <row r="902" spans="1:7" x14ac:dyDescent="0.25">
      <c r="A902" s="1" t="s">
        <v>1025</v>
      </c>
      <c r="B902" s="76">
        <v>33.434520999999997</v>
      </c>
      <c r="C902" s="76">
        <v>33.441833000000003</v>
      </c>
      <c r="D902" s="76">
        <v>33.178455</v>
      </c>
      <c r="E902" s="76">
        <v>33.434520999999997</v>
      </c>
      <c r="F902" s="76">
        <v>18.996991999999999</v>
      </c>
      <c r="G902" s="79">
        <v>434100</v>
      </c>
    </row>
    <row r="903" spans="1:7" x14ac:dyDescent="0.25">
      <c r="A903" s="1" t="s">
        <v>1026</v>
      </c>
      <c r="B903" s="76">
        <v>33.434520999999997</v>
      </c>
      <c r="C903" s="76">
        <v>33.434520999999997</v>
      </c>
      <c r="D903" s="76">
        <v>33.295513</v>
      </c>
      <c r="E903" s="76">
        <v>33.30283</v>
      </c>
      <c r="F903" s="76">
        <v>18.922163000000001</v>
      </c>
      <c r="G903" s="79">
        <v>325100</v>
      </c>
    </row>
    <row r="904" spans="1:7" x14ac:dyDescent="0.25">
      <c r="A904" s="1" t="s">
        <v>1027</v>
      </c>
      <c r="B904" s="76">
        <v>33.397938000000003</v>
      </c>
      <c r="C904" s="76">
        <v>33.397938000000003</v>
      </c>
      <c r="D904" s="76">
        <v>33.105292999999897</v>
      </c>
      <c r="E904" s="76">
        <v>33.178455</v>
      </c>
      <c r="F904" s="76">
        <v>18.851493999999999</v>
      </c>
      <c r="G904" s="79">
        <v>534900</v>
      </c>
    </row>
    <row r="905" spans="1:7" x14ac:dyDescent="0.25">
      <c r="A905" s="1" t="s">
        <v>1028</v>
      </c>
      <c r="B905" s="76">
        <v>33.324779999999997</v>
      </c>
      <c r="C905" s="76">
        <v>33.405253999999999</v>
      </c>
      <c r="D905" s="76">
        <v>33.215034000000003</v>
      </c>
      <c r="E905" s="76">
        <v>33.397938000000003</v>
      </c>
      <c r="F905" s="76">
        <v>18.976213000000001</v>
      </c>
      <c r="G905" s="79">
        <v>290800</v>
      </c>
    </row>
    <row r="906" spans="1:7" x14ac:dyDescent="0.25">
      <c r="A906" s="1" t="s">
        <v>1029</v>
      </c>
      <c r="B906" s="76">
        <v>33.485733000000003</v>
      </c>
      <c r="C906" s="76">
        <v>33.646687</v>
      </c>
      <c r="D906" s="76">
        <v>33.324779999999997</v>
      </c>
      <c r="E906" s="76">
        <v>33.573523999999999</v>
      </c>
      <c r="F906" s="76">
        <v>19.075966000000001</v>
      </c>
      <c r="G906" s="79">
        <v>465000</v>
      </c>
    </row>
    <row r="907" spans="1:7" x14ac:dyDescent="0.25">
      <c r="A907" s="1" t="s">
        <v>1030</v>
      </c>
      <c r="B907" s="76">
        <v>33.580840999999999</v>
      </c>
      <c r="C907" s="76">
        <v>33.836903</v>
      </c>
      <c r="D907" s="76">
        <v>33.580840999999999</v>
      </c>
      <c r="E907" s="76">
        <v>33.727160999999903</v>
      </c>
      <c r="F907" s="76">
        <v>19.163267000000001</v>
      </c>
      <c r="G907" s="79">
        <v>335200</v>
      </c>
    </row>
    <row r="908" spans="1:7" x14ac:dyDescent="0.25">
      <c r="A908" s="1" t="s">
        <v>1031</v>
      </c>
      <c r="B908" s="76">
        <v>33.851535999999903</v>
      </c>
      <c r="C908" s="76">
        <v>34.019806000000003</v>
      </c>
      <c r="D908" s="76">
        <v>33.654003000000003</v>
      </c>
      <c r="E908" s="76">
        <v>33.939326999999999</v>
      </c>
      <c r="F908" s="76">
        <v>19.283819000000001</v>
      </c>
      <c r="G908" s="79">
        <v>315700</v>
      </c>
    </row>
    <row r="909" spans="1:7" x14ac:dyDescent="0.25">
      <c r="A909" s="1" t="s">
        <v>1032</v>
      </c>
      <c r="B909" s="76">
        <v>34.166125999999998</v>
      </c>
      <c r="C909" s="76">
        <v>34.166125999999998</v>
      </c>
      <c r="D909" s="76">
        <v>33.507678999999897</v>
      </c>
      <c r="E909" s="76">
        <v>33.602790999999897</v>
      </c>
      <c r="F909" s="76">
        <v>19.092604000000001</v>
      </c>
      <c r="G909" s="79">
        <v>253700</v>
      </c>
    </row>
    <row r="910" spans="1:7" x14ac:dyDescent="0.25">
      <c r="A910" s="1" t="s">
        <v>1033</v>
      </c>
      <c r="B910" s="76">
        <v>33.749110999999999</v>
      </c>
      <c r="C910" s="76">
        <v>34.049067999999998</v>
      </c>
      <c r="D910" s="76">
        <v>33.544261999999897</v>
      </c>
      <c r="E910" s="76">
        <v>33.910065000000003</v>
      </c>
      <c r="F910" s="76">
        <v>19.267191</v>
      </c>
      <c r="G910" s="79">
        <v>289100</v>
      </c>
    </row>
    <row r="911" spans="1:7" x14ac:dyDescent="0.25">
      <c r="A911" s="1" t="s">
        <v>1034</v>
      </c>
      <c r="B911" s="76">
        <v>34.019806000000003</v>
      </c>
      <c r="C911" s="76">
        <v>34.224654999999998</v>
      </c>
      <c r="D911" s="76">
        <v>33.800322999999999</v>
      </c>
      <c r="E911" s="76">
        <v>34.114913999999999</v>
      </c>
      <c r="F911" s="76">
        <v>19.383585</v>
      </c>
      <c r="G911" s="79">
        <v>176600</v>
      </c>
    </row>
    <row r="912" spans="1:7" x14ac:dyDescent="0.25">
      <c r="A912" s="1" t="s">
        <v>1035</v>
      </c>
      <c r="B912" s="76">
        <v>34.114913999999999</v>
      </c>
      <c r="C912" s="76">
        <v>34.385609000000002</v>
      </c>
      <c r="D912" s="76">
        <v>34.114913999999999</v>
      </c>
      <c r="E912" s="76">
        <v>34.283183999999999</v>
      </c>
      <c r="F912" s="76">
        <v>19.479189000000002</v>
      </c>
      <c r="G912" s="79">
        <v>189300</v>
      </c>
    </row>
    <row r="913" spans="1:7" x14ac:dyDescent="0.25">
      <c r="A913" s="1" t="s">
        <v>1036</v>
      </c>
      <c r="B913" s="76">
        <v>34.422191999999903</v>
      </c>
      <c r="C913" s="76">
        <v>34.422191999999903</v>
      </c>
      <c r="D913" s="76">
        <v>34.136864000000003</v>
      </c>
      <c r="E913" s="76">
        <v>34.173442999999999</v>
      </c>
      <c r="F913" s="76">
        <v>19.416843</v>
      </c>
      <c r="G913" s="79">
        <v>344900</v>
      </c>
    </row>
    <row r="914" spans="1:7" x14ac:dyDescent="0.25">
      <c r="A914" s="1" t="s">
        <v>1037</v>
      </c>
      <c r="B914" s="76">
        <v>34.188076000000002</v>
      </c>
      <c r="C914" s="76">
        <v>34.188076000000002</v>
      </c>
      <c r="D914" s="76">
        <v>33.990543000000002</v>
      </c>
      <c r="E914" s="76">
        <v>33.997855999999999</v>
      </c>
      <c r="F914" s="76">
        <v>19.317072</v>
      </c>
      <c r="G914" s="79">
        <v>688600</v>
      </c>
    </row>
    <row r="915" spans="1:7" x14ac:dyDescent="0.25">
      <c r="A915" s="1" t="s">
        <v>1038</v>
      </c>
      <c r="B915" s="76">
        <v>34.056384999999999</v>
      </c>
      <c r="C915" s="76">
        <v>34.261237999999999</v>
      </c>
      <c r="D915" s="76">
        <v>33.997855999999999</v>
      </c>
      <c r="E915" s="76">
        <v>34.129546999999903</v>
      </c>
      <c r="F915" s="76">
        <v>19.391893</v>
      </c>
      <c r="G915" s="79">
        <v>395200</v>
      </c>
    </row>
    <row r="916" spans="1:7" x14ac:dyDescent="0.25">
      <c r="A916" s="1" t="s">
        <v>1039</v>
      </c>
      <c r="B916" s="76">
        <v>34.136864000000003</v>
      </c>
      <c r="C916" s="76">
        <v>34.231971999999999</v>
      </c>
      <c r="D916" s="76">
        <v>33.617420000000003</v>
      </c>
      <c r="E916" s="76">
        <v>33.654003000000003</v>
      </c>
      <c r="F916" s="76">
        <v>19.121697999999999</v>
      </c>
      <c r="G916" s="79">
        <v>318200</v>
      </c>
    </row>
    <row r="917" spans="1:7" x14ac:dyDescent="0.25">
      <c r="A917" s="1" t="s">
        <v>1040</v>
      </c>
      <c r="B917" s="76">
        <v>33.712532000000003</v>
      </c>
      <c r="C917" s="76">
        <v>33.712532000000003</v>
      </c>
      <c r="D917" s="76">
        <v>33.361359</v>
      </c>
      <c r="E917" s="76">
        <v>33.419888</v>
      </c>
      <c r="F917" s="76">
        <v>18.988678</v>
      </c>
      <c r="G917" s="79">
        <v>296000</v>
      </c>
    </row>
    <row r="918" spans="1:7" x14ac:dyDescent="0.25">
      <c r="A918" s="1" t="s">
        <v>1041</v>
      </c>
      <c r="B918" s="76">
        <v>33.4711</v>
      </c>
      <c r="C918" s="76">
        <v>33.961277000000003</v>
      </c>
      <c r="D918" s="76">
        <v>33.310146000000003</v>
      </c>
      <c r="E918" s="76">
        <v>33.961277000000003</v>
      </c>
      <c r="F918" s="76">
        <v>19.296291</v>
      </c>
      <c r="G918" s="79">
        <v>205000</v>
      </c>
    </row>
    <row r="919" spans="1:7" x14ac:dyDescent="0.25">
      <c r="A919" s="1" t="s">
        <v>1042</v>
      </c>
      <c r="B919" s="76">
        <v>33.983226999999999</v>
      </c>
      <c r="C919" s="76">
        <v>34.363663000000003</v>
      </c>
      <c r="D919" s="76">
        <v>33.800322999999999</v>
      </c>
      <c r="E919" s="76">
        <v>34.305134000000002</v>
      </c>
      <c r="F919" s="76">
        <v>19.491657</v>
      </c>
      <c r="G919" s="79">
        <v>333700</v>
      </c>
    </row>
    <row r="920" spans="1:7" x14ac:dyDescent="0.25">
      <c r="A920" s="1" t="s">
        <v>1043</v>
      </c>
      <c r="B920" s="76">
        <v>34.349029999999999</v>
      </c>
      <c r="C920" s="76">
        <v>34.524615999999902</v>
      </c>
      <c r="D920" s="76">
        <v>34.049067999999998</v>
      </c>
      <c r="E920" s="76">
        <v>34.239288000000002</v>
      </c>
      <c r="F920" s="76">
        <v>19.454249999999998</v>
      </c>
      <c r="G920" s="79">
        <v>205600</v>
      </c>
    </row>
    <row r="921" spans="1:7" x14ac:dyDescent="0.25">
      <c r="A921" s="1" t="s">
        <v>1044</v>
      </c>
      <c r="B921" s="76">
        <v>34.239288000000002</v>
      </c>
      <c r="C921" s="76">
        <v>34.502665999999998</v>
      </c>
      <c r="D921" s="76">
        <v>34.188076000000002</v>
      </c>
      <c r="E921" s="76">
        <v>34.495350000000002</v>
      </c>
      <c r="F921" s="76">
        <v>19.599734999999999</v>
      </c>
      <c r="G921" s="79">
        <v>239600</v>
      </c>
    </row>
    <row r="922" spans="1:7" x14ac:dyDescent="0.25">
      <c r="A922" s="1" t="s">
        <v>1045</v>
      </c>
      <c r="B922" s="76">
        <v>34.641674000000002</v>
      </c>
      <c r="C922" s="76">
        <v>34.692886000000001</v>
      </c>
      <c r="D922" s="76">
        <v>34.422191999999903</v>
      </c>
      <c r="E922" s="76">
        <v>34.531933000000002</v>
      </c>
      <c r="F922" s="76">
        <v>19.620526999999999</v>
      </c>
      <c r="G922" s="79">
        <v>371200</v>
      </c>
    </row>
    <row r="923" spans="1:7" x14ac:dyDescent="0.25">
      <c r="A923" s="1" t="s">
        <v>1046</v>
      </c>
      <c r="B923" s="76">
        <v>34.539248999999998</v>
      </c>
      <c r="C923" s="76">
        <v>35.000160000000001</v>
      </c>
      <c r="D923" s="76">
        <v>34.539248999999998</v>
      </c>
      <c r="E923" s="76">
        <v>34.861156000000001</v>
      </c>
      <c r="F923" s="76">
        <v>19.807594000000002</v>
      </c>
      <c r="G923" s="79">
        <v>550300</v>
      </c>
    </row>
    <row r="924" spans="1:7" x14ac:dyDescent="0.25">
      <c r="A924" s="1" t="s">
        <v>1047</v>
      </c>
      <c r="B924" s="76">
        <v>34.934319000000002</v>
      </c>
      <c r="C924" s="76">
        <v>35.117218000000001</v>
      </c>
      <c r="D924" s="76">
        <v>34.802627999999999</v>
      </c>
      <c r="E924" s="76">
        <v>35.022109999999998</v>
      </c>
      <c r="F924" s="76">
        <v>19.899035000000001</v>
      </c>
      <c r="G924" s="79">
        <v>348100</v>
      </c>
    </row>
    <row r="925" spans="1:7" x14ac:dyDescent="0.25">
      <c r="A925" s="1" t="s">
        <v>1048</v>
      </c>
      <c r="B925" s="76">
        <v>35.044059999999902</v>
      </c>
      <c r="C925" s="76">
        <v>35.205013000000001</v>
      </c>
      <c r="D925" s="76">
        <v>34.897736000000002</v>
      </c>
      <c r="E925" s="76">
        <v>35.205013000000001</v>
      </c>
      <c r="F925" s="76">
        <v>20.002956000000001</v>
      </c>
      <c r="G925" s="79">
        <v>549000</v>
      </c>
    </row>
    <row r="926" spans="1:7" x14ac:dyDescent="0.25">
      <c r="A926" s="1" t="s">
        <v>1049</v>
      </c>
      <c r="B926" s="76">
        <v>35.080638999999998</v>
      </c>
      <c r="C926" s="76">
        <v>35.292805000000001</v>
      </c>
      <c r="D926" s="76">
        <v>34.868473000000002</v>
      </c>
      <c r="E926" s="76">
        <v>35.285488000000001</v>
      </c>
      <c r="F926" s="76">
        <v>20.048689</v>
      </c>
      <c r="G926" s="79">
        <v>458200</v>
      </c>
    </row>
    <row r="927" spans="1:7" x14ac:dyDescent="0.25">
      <c r="A927" s="1" t="s">
        <v>1050</v>
      </c>
      <c r="B927" s="76">
        <v>35.285488000000001</v>
      </c>
      <c r="C927" s="76">
        <v>35.285488000000001</v>
      </c>
      <c r="D927" s="76">
        <v>34.831890000000001</v>
      </c>
      <c r="E927" s="76">
        <v>34.970897999999998</v>
      </c>
      <c r="F927" s="76">
        <v>19.869935999999999</v>
      </c>
      <c r="G927" s="79">
        <v>326600</v>
      </c>
    </row>
    <row r="928" spans="1:7" x14ac:dyDescent="0.25">
      <c r="A928" s="1" t="s">
        <v>1051</v>
      </c>
      <c r="B928" s="76">
        <v>34.970897999999998</v>
      </c>
      <c r="C928" s="76">
        <v>34.970897999999998</v>
      </c>
      <c r="D928" s="76">
        <v>34.180759000000002</v>
      </c>
      <c r="E928" s="76">
        <v>34.188076000000002</v>
      </c>
      <c r="F928" s="76">
        <v>19.425149999999999</v>
      </c>
      <c r="G928" s="79">
        <v>556700</v>
      </c>
    </row>
    <row r="929" spans="1:7" x14ac:dyDescent="0.25">
      <c r="A929" s="1" t="s">
        <v>1052</v>
      </c>
      <c r="B929" s="76">
        <v>34.239288000000002</v>
      </c>
      <c r="C929" s="76">
        <v>34.480721000000003</v>
      </c>
      <c r="D929" s="76">
        <v>34.224654999999998</v>
      </c>
      <c r="E929" s="76">
        <v>34.458770999999999</v>
      </c>
      <c r="F929" s="76">
        <v>19.578951</v>
      </c>
      <c r="G929" s="79">
        <v>856500</v>
      </c>
    </row>
    <row r="930" spans="1:7" x14ac:dyDescent="0.25">
      <c r="A930" s="1" t="s">
        <v>1053</v>
      </c>
      <c r="B930" s="76">
        <v>34.531933000000002</v>
      </c>
      <c r="C930" s="76">
        <v>34.817261000000002</v>
      </c>
      <c r="D930" s="76">
        <v>34.422191999999903</v>
      </c>
      <c r="E930" s="76">
        <v>34.787993999999998</v>
      </c>
      <c r="F930" s="76">
        <v>19.766013999999998</v>
      </c>
      <c r="G930" s="79">
        <v>417400</v>
      </c>
    </row>
    <row r="931" spans="1:7" x14ac:dyDescent="0.25">
      <c r="A931" s="1" t="s">
        <v>1054</v>
      </c>
      <c r="B931" s="76">
        <v>34.787993999999998</v>
      </c>
      <c r="C931" s="76">
        <v>34.934319000000002</v>
      </c>
      <c r="D931" s="76">
        <v>34.619723999999998</v>
      </c>
      <c r="E931" s="76">
        <v>34.875790000000002</v>
      </c>
      <c r="F931" s="76">
        <v>19.815892999999999</v>
      </c>
      <c r="G931" s="79">
        <v>218500</v>
      </c>
    </row>
    <row r="932" spans="1:7" x14ac:dyDescent="0.25">
      <c r="A932" s="1" t="s">
        <v>1055</v>
      </c>
      <c r="B932" s="76">
        <v>34.824576999999998</v>
      </c>
      <c r="C932" s="76">
        <v>34.948948000000001</v>
      </c>
      <c r="D932" s="76">
        <v>34.663620000000002</v>
      </c>
      <c r="E932" s="76">
        <v>34.846522999999998</v>
      </c>
      <c r="F932" s="76">
        <v>19.799271000000001</v>
      </c>
      <c r="G932" s="79">
        <v>239000</v>
      </c>
    </row>
    <row r="933" spans="1:7" x14ac:dyDescent="0.25">
      <c r="A933" s="1" t="s">
        <v>1056</v>
      </c>
      <c r="B933" s="76">
        <v>34.934319000000002</v>
      </c>
      <c r="C933" s="76">
        <v>34.934319000000002</v>
      </c>
      <c r="D933" s="76">
        <v>34.531933000000002</v>
      </c>
      <c r="E933" s="76">
        <v>34.553878999999903</v>
      </c>
      <c r="F933" s="76">
        <v>19.632995999999999</v>
      </c>
      <c r="G933" s="79">
        <v>332900</v>
      </c>
    </row>
    <row r="934" spans="1:7" x14ac:dyDescent="0.25">
      <c r="A934" s="1" t="s">
        <v>1057</v>
      </c>
      <c r="B934" s="76">
        <v>34.546565999999999</v>
      </c>
      <c r="C934" s="76">
        <v>34.553878999999903</v>
      </c>
      <c r="D934" s="76">
        <v>34.334395999999998</v>
      </c>
      <c r="E934" s="76">
        <v>34.385609000000002</v>
      </c>
      <c r="F934" s="76">
        <v>19.537385999999898</v>
      </c>
      <c r="G934" s="79">
        <v>678900</v>
      </c>
    </row>
    <row r="935" spans="1:7" x14ac:dyDescent="0.25">
      <c r="A935" s="1" t="s">
        <v>1058</v>
      </c>
      <c r="B935" s="76">
        <v>34.458770999999999</v>
      </c>
      <c r="C935" s="76">
        <v>34.590462000000002</v>
      </c>
      <c r="D935" s="76">
        <v>34.422191999999903</v>
      </c>
      <c r="E935" s="76">
        <v>34.495350000000002</v>
      </c>
      <c r="F935" s="76">
        <v>19.599734999999999</v>
      </c>
      <c r="G935" s="79">
        <v>642000</v>
      </c>
    </row>
    <row r="936" spans="1:7" x14ac:dyDescent="0.25">
      <c r="A936" s="1" t="s">
        <v>1059</v>
      </c>
      <c r="B936" s="76">
        <v>34.495350000000002</v>
      </c>
      <c r="C936" s="76">
        <v>34.495350000000002</v>
      </c>
      <c r="D936" s="76">
        <v>34.319766999999999</v>
      </c>
      <c r="E936" s="76">
        <v>34.327080000000002</v>
      </c>
      <c r="F936" s="76">
        <v>19.504137</v>
      </c>
      <c r="G936" s="79">
        <v>340400</v>
      </c>
    </row>
    <row r="937" spans="1:7" x14ac:dyDescent="0.25">
      <c r="A937" s="1" t="s">
        <v>1060</v>
      </c>
      <c r="B937" s="76">
        <v>34.349029999999999</v>
      </c>
      <c r="C937" s="76">
        <v>34.495350000000002</v>
      </c>
      <c r="D937" s="76">
        <v>34.312449999999998</v>
      </c>
      <c r="E937" s="76">
        <v>34.392924999999998</v>
      </c>
      <c r="F937" s="76">
        <v>19.541539999999902</v>
      </c>
      <c r="G937" s="79">
        <v>496900</v>
      </c>
    </row>
    <row r="938" spans="1:7" x14ac:dyDescent="0.25">
      <c r="A938" s="1" t="s">
        <v>1061</v>
      </c>
      <c r="B938" s="76">
        <v>34.392924999999998</v>
      </c>
      <c r="C938" s="76">
        <v>34.488036999999998</v>
      </c>
      <c r="D938" s="76">
        <v>34.217339000000003</v>
      </c>
      <c r="E938" s="76">
        <v>34.224654999999998</v>
      </c>
      <c r="F938" s="76">
        <v>19.445931999999999</v>
      </c>
      <c r="G938" s="79">
        <v>326200</v>
      </c>
    </row>
    <row r="939" spans="1:7" x14ac:dyDescent="0.25">
      <c r="A939" s="1" t="s">
        <v>1062</v>
      </c>
      <c r="B939" s="76">
        <v>34.349029999999999</v>
      </c>
      <c r="C939" s="76">
        <v>34.473403999999903</v>
      </c>
      <c r="D939" s="76">
        <v>34.100285</v>
      </c>
      <c r="E939" s="76">
        <v>34.473403999999903</v>
      </c>
      <c r="F939" s="76">
        <v>19.587275999999999</v>
      </c>
      <c r="G939" s="79">
        <v>321200</v>
      </c>
    </row>
    <row r="940" spans="1:7" x14ac:dyDescent="0.25">
      <c r="A940" s="1" t="s">
        <v>1063</v>
      </c>
      <c r="B940" s="76">
        <v>34.473403999999903</v>
      </c>
      <c r="C940" s="76">
        <v>34.802627999999999</v>
      </c>
      <c r="D940" s="76">
        <v>34.341712999999999</v>
      </c>
      <c r="E940" s="76">
        <v>34.751415000000001</v>
      </c>
      <c r="F940" s="76">
        <v>19.745242999999999</v>
      </c>
      <c r="G940" s="79">
        <v>581000</v>
      </c>
    </row>
    <row r="941" spans="1:7" x14ac:dyDescent="0.25">
      <c r="A941" s="1" t="s">
        <v>1064</v>
      </c>
      <c r="B941" s="76">
        <v>34.751415000000001</v>
      </c>
      <c r="C941" s="76">
        <v>35.080638999999998</v>
      </c>
      <c r="D941" s="76">
        <v>34.744098999999999</v>
      </c>
      <c r="E941" s="76">
        <v>35.080638999999998</v>
      </c>
      <c r="F941" s="76">
        <v>19.932292999999898</v>
      </c>
      <c r="G941" s="79">
        <v>448700</v>
      </c>
    </row>
    <row r="942" spans="1:7" x14ac:dyDescent="0.25">
      <c r="A942" s="1" t="s">
        <v>1065</v>
      </c>
      <c r="B942" s="76">
        <v>35.117218000000001</v>
      </c>
      <c r="C942" s="76">
        <v>35.300120999999997</v>
      </c>
      <c r="D942" s="76">
        <v>34.751415000000001</v>
      </c>
      <c r="E942" s="76">
        <v>35.146484000000001</v>
      </c>
      <c r="F942" s="76">
        <v>19.969704</v>
      </c>
      <c r="G942" s="79">
        <v>662400</v>
      </c>
    </row>
    <row r="943" spans="1:7" x14ac:dyDescent="0.25">
      <c r="A943" s="1" t="s">
        <v>1066</v>
      </c>
      <c r="B943" s="76">
        <v>35.190379999999998</v>
      </c>
      <c r="C943" s="76">
        <v>35.687874000000001</v>
      </c>
      <c r="D943" s="76">
        <v>35.153801000000001</v>
      </c>
      <c r="E943" s="76">
        <v>35.468390999999997</v>
      </c>
      <c r="F943" s="76">
        <v>20.152604999999902</v>
      </c>
      <c r="G943" s="79">
        <v>824800</v>
      </c>
    </row>
    <row r="944" spans="1:7" x14ac:dyDescent="0.25">
      <c r="A944" s="1" t="s">
        <v>1067</v>
      </c>
      <c r="B944" s="76">
        <v>35.629345000000001</v>
      </c>
      <c r="C944" s="76">
        <v>35.812247999999997</v>
      </c>
      <c r="D944" s="76">
        <v>35.526919999999997</v>
      </c>
      <c r="E944" s="76">
        <v>35.812247999999997</v>
      </c>
      <c r="F944" s="76">
        <v>20.347985999999999</v>
      </c>
      <c r="G944" s="79">
        <v>448200</v>
      </c>
    </row>
    <row r="945" spans="1:7" x14ac:dyDescent="0.25">
      <c r="A945" s="1" t="s">
        <v>1068</v>
      </c>
      <c r="B945" s="76">
        <v>35.958568999999997</v>
      </c>
      <c r="C945" s="76">
        <v>36.485329</v>
      </c>
      <c r="D945" s="76">
        <v>35.958568999999997</v>
      </c>
      <c r="E945" s="76">
        <v>36.346321000000003</v>
      </c>
      <c r="F945" s="76">
        <v>20.651440000000001</v>
      </c>
      <c r="G945" s="79">
        <v>450300</v>
      </c>
    </row>
    <row r="946" spans="1:7" x14ac:dyDescent="0.25">
      <c r="A946" s="1" t="s">
        <v>1069</v>
      </c>
      <c r="B946" s="76">
        <v>36.434115999999896</v>
      </c>
      <c r="C946" s="76">
        <v>36.873080999999999</v>
      </c>
      <c r="D946" s="76">
        <v>36.382903999999897</v>
      </c>
      <c r="E946" s="76">
        <v>36.873080999999999</v>
      </c>
      <c r="F946" s="76">
        <v>20.950727000000001</v>
      </c>
      <c r="G946" s="79">
        <v>470700</v>
      </c>
    </row>
    <row r="947" spans="1:7" x14ac:dyDescent="0.25">
      <c r="A947" s="1" t="s">
        <v>1070</v>
      </c>
      <c r="B947" s="76">
        <v>36.763339999999999</v>
      </c>
      <c r="C947" s="76">
        <v>36.799919000000003</v>
      </c>
      <c r="D947" s="76">
        <v>36.360954</v>
      </c>
      <c r="E947" s="76">
        <v>36.726756999999999</v>
      </c>
      <c r="F947" s="76">
        <v>20.86759</v>
      </c>
      <c r="G947" s="79">
        <v>457300</v>
      </c>
    </row>
    <row r="948" spans="1:7" x14ac:dyDescent="0.25">
      <c r="A948" s="1" t="s">
        <v>1071</v>
      </c>
      <c r="B948" s="76">
        <v>36.726756999999999</v>
      </c>
      <c r="C948" s="76">
        <v>36.982821999999999</v>
      </c>
      <c r="D948" s="76">
        <v>36.507275</v>
      </c>
      <c r="E948" s="76">
        <v>36.946238999999998</v>
      </c>
      <c r="F948" s="76">
        <v>20.9923</v>
      </c>
      <c r="G948" s="79">
        <v>543500</v>
      </c>
    </row>
    <row r="949" spans="1:7" x14ac:dyDescent="0.25">
      <c r="A949" s="1" t="s">
        <v>1072</v>
      </c>
      <c r="B949" s="76">
        <v>36.851131000000002</v>
      </c>
      <c r="C949" s="76">
        <v>37.202304999999903</v>
      </c>
      <c r="D949" s="76">
        <v>36.851131000000002</v>
      </c>
      <c r="E949" s="76">
        <v>37.202304999999903</v>
      </c>
      <c r="F949" s="76">
        <v>21.137792999999999</v>
      </c>
      <c r="G949" s="79">
        <v>338300</v>
      </c>
    </row>
    <row r="950" spans="1:7" x14ac:dyDescent="0.25">
      <c r="A950" s="1" t="s">
        <v>1073</v>
      </c>
      <c r="B950" s="76">
        <v>37.238883999999999</v>
      </c>
      <c r="C950" s="76">
        <v>37.268149999999999</v>
      </c>
      <c r="D950" s="76">
        <v>36.931609999999999</v>
      </c>
      <c r="E950" s="76">
        <v>36.968189000000002</v>
      </c>
      <c r="F950" s="76">
        <v>21.004770000000001</v>
      </c>
      <c r="G950" s="79">
        <v>201600</v>
      </c>
    </row>
    <row r="951" spans="1:7" x14ac:dyDescent="0.25">
      <c r="A951" s="1" t="s">
        <v>1074</v>
      </c>
      <c r="B951" s="76">
        <v>37.034034999999903</v>
      </c>
      <c r="C951" s="76">
        <v>37.092564000000003</v>
      </c>
      <c r="D951" s="76">
        <v>36.887710999999904</v>
      </c>
      <c r="E951" s="76">
        <v>36.960872999999999</v>
      </c>
      <c r="F951" s="76">
        <v>21.000612</v>
      </c>
      <c r="G951" s="79">
        <v>239100</v>
      </c>
    </row>
    <row r="952" spans="1:7" x14ac:dyDescent="0.25">
      <c r="A952" s="1" t="s">
        <v>1075</v>
      </c>
      <c r="B952" s="76">
        <v>36.982821999999999</v>
      </c>
      <c r="C952" s="76">
        <v>36.990138999999999</v>
      </c>
      <c r="D952" s="76">
        <v>36.726756999999999</v>
      </c>
      <c r="E952" s="76">
        <v>36.982821999999999</v>
      </c>
      <c r="F952" s="76">
        <v>21.013081</v>
      </c>
      <c r="G952" s="79">
        <v>379400</v>
      </c>
    </row>
    <row r="953" spans="1:7" x14ac:dyDescent="0.25">
      <c r="A953" s="1" t="s">
        <v>1076</v>
      </c>
      <c r="B953" s="76">
        <v>37.129142999999999</v>
      </c>
      <c r="C953" s="76">
        <v>37.129142999999999</v>
      </c>
      <c r="D953" s="76">
        <v>36.777968999999999</v>
      </c>
      <c r="E953" s="76">
        <v>37.019401999999999</v>
      </c>
      <c r="F953" s="76">
        <v>21.033873</v>
      </c>
      <c r="G953" s="79">
        <v>300000</v>
      </c>
    </row>
    <row r="954" spans="1:7" x14ac:dyDescent="0.25">
      <c r="A954" s="1" t="s">
        <v>1077</v>
      </c>
      <c r="B954" s="76">
        <v>37.019401999999999</v>
      </c>
      <c r="C954" s="76">
        <v>37.055981000000003</v>
      </c>
      <c r="D954" s="76">
        <v>36.909659999999903</v>
      </c>
      <c r="E954" s="76">
        <v>37.019401999999999</v>
      </c>
      <c r="F954" s="76">
        <v>21.033873</v>
      </c>
      <c r="G954" s="79">
        <v>294000</v>
      </c>
    </row>
    <row r="955" spans="1:7" x14ac:dyDescent="0.25">
      <c r="A955" s="1" t="s">
        <v>1078</v>
      </c>
      <c r="B955" s="76">
        <v>37.019401999999999</v>
      </c>
      <c r="C955" s="76">
        <v>37.019401999999999</v>
      </c>
      <c r="D955" s="76">
        <v>36.726756999999999</v>
      </c>
      <c r="E955" s="76">
        <v>36.909659999999903</v>
      </c>
      <c r="F955" s="76">
        <v>20.971516000000001</v>
      </c>
      <c r="G955" s="79">
        <v>289700</v>
      </c>
    </row>
    <row r="956" spans="1:7" x14ac:dyDescent="0.25">
      <c r="A956" s="1" t="s">
        <v>1079</v>
      </c>
      <c r="B956" s="76">
        <v>36.938927</v>
      </c>
      <c r="C956" s="76">
        <v>37.019401999999999</v>
      </c>
      <c r="D956" s="76">
        <v>36.843814999999999</v>
      </c>
      <c r="E956" s="76">
        <v>36.865765000000003</v>
      </c>
      <c r="F956" s="76">
        <v>20.946570999999999</v>
      </c>
      <c r="G956" s="79">
        <v>217000</v>
      </c>
    </row>
    <row r="957" spans="1:7" x14ac:dyDescent="0.25">
      <c r="A957" s="1" t="s">
        <v>1080</v>
      </c>
      <c r="B957" s="76">
        <v>36.938927</v>
      </c>
      <c r="C957" s="76">
        <v>36.946238999999998</v>
      </c>
      <c r="D957" s="76">
        <v>36.675545</v>
      </c>
      <c r="E957" s="76">
        <v>36.851131000000002</v>
      </c>
      <c r="F957" s="76">
        <v>20.938254999999899</v>
      </c>
      <c r="G957" s="79">
        <v>296000</v>
      </c>
    </row>
    <row r="958" spans="1:7" x14ac:dyDescent="0.25">
      <c r="A958" s="1" t="s">
        <v>1081</v>
      </c>
      <c r="B958" s="76">
        <v>36.865765000000003</v>
      </c>
      <c r="C958" s="76">
        <v>36.909659999999903</v>
      </c>
      <c r="D958" s="76">
        <v>36.573120000000003</v>
      </c>
      <c r="E958" s="76">
        <v>36.573120000000003</v>
      </c>
      <c r="F958" s="76">
        <v>20.780296</v>
      </c>
      <c r="G958" s="79">
        <v>223000</v>
      </c>
    </row>
    <row r="959" spans="1:7" x14ac:dyDescent="0.25">
      <c r="A959" s="1" t="s">
        <v>1082</v>
      </c>
      <c r="B959" s="76">
        <v>36.470694999999999</v>
      </c>
      <c r="C959" s="76">
        <v>36.690178000000003</v>
      </c>
      <c r="D959" s="76">
        <v>36.287791999999897</v>
      </c>
      <c r="E959" s="76">
        <v>36.587752999999999</v>
      </c>
      <c r="F959" s="76">
        <v>20.788612000000001</v>
      </c>
      <c r="G959" s="79">
        <v>234800</v>
      </c>
    </row>
    <row r="960" spans="1:7" x14ac:dyDescent="0.25">
      <c r="A960" s="1" t="s">
        <v>1083</v>
      </c>
      <c r="B960" s="76">
        <v>36.653599</v>
      </c>
      <c r="C960" s="76">
        <v>36.675545</v>
      </c>
      <c r="D960" s="76">
        <v>36.214633999999997</v>
      </c>
      <c r="E960" s="76">
        <v>36.434115999999896</v>
      </c>
      <c r="F960" s="76">
        <v>20.701315000000001</v>
      </c>
      <c r="G960" s="79">
        <v>253700</v>
      </c>
    </row>
    <row r="961" spans="1:7" x14ac:dyDescent="0.25">
      <c r="A961" s="1" t="s">
        <v>1084</v>
      </c>
      <c r="B961" s="76">
        <v>36.580436999999897</v>
      </c>
      <c r="C961" s="76">
        <v>37.092564000000003</v>
      </c>
      <c r="D961" s="76">
        <v>36.551169999999999</v>
      </c>
      <c r="E961" s="76">
        <v>36.792603</v>
      </c>
      <c r="F961" s="76">
        <v>20.905004999999999</v>
      </c>
      <c r="G961" s="79">
        <v>372800</v>
      </c>
    </row>
    <row r="962" spans="1:7" x14ac:dyDescent="0.25">
      <c r="A962" s="1" t="s">
        <v>1085</v>
      </c>
      <c r="B962" s="76">
        <v>36.792603</v>
      </c>
      <c r="C962" s="76">
        <v>36.792603</v>
      </c>
      <c r="D962" s="76">
        <v>36.214633999999997</v>
      </c>
      <c r="E962" s="76">
        <v>36.434115999999896</v>
      </c>
      <c r="F962" s="76">
        <v>20.701315000000001</v>
      </c>
      <c r="G962" s="79">
        <v>363900</v>
      </c>
    </row>
    <row r="963" spans="1:7" x14ac:dyDescent="0.25">
      <c r="A963" s="1" t="s">
        <v>1086</v>
      </c>
      <c r="B963" s="76">
        <v>36.543858</v>
      </c>
      <c r="C963" s="76">
        <v>36.690178000000003</v>
      </c>
      <c r="D963" s="76">
        <v>36.521908000000003</v>
      </c>
      <c r="E963" s="76">
        <v>36.690178000000003</v>
      </c>
      <c r="F963" s="76">
        <v>20.846800000000002</v>
      </c>
      <c r="G963" s="79">
        <v>233300</v>
      </c>
    </row>
    <row r="964" spans="1:7" x14ac:dyDescent="0.25">
      <c r="A964" s="1" t="s">
        <v>1087</v>
      </c>
      <c r="B964" s="76">
        <v>36.726756999999999</v>
      </c>
      <c r="C964" s="76">
        <v>36.960872999999999</v>
      </c>
      <c r="D964" s="76">
        <v>36.690178000000003</v>
      </c>
      <c r="E964" s="76">
        <v>36.924294000000003</v>
      </c>
      <c r="F964" s="76">
        <v>20.979831999999998</v>
      </c>
      <c r="G964" s="79">
        <v>364300</v>
      </c>
    </row>
    <row r="965" spans="1:7" x14ac:dyDescent="0.25">
      <c r="A965" s="1" t="s">
        <v>1088</v>
      </c>
      <c r="B965" s="76">
        <v>36.938927</v>
      </c>
      <c r="C965" s="76">
        <v>37.304728999999902</v>
      </c>
      <c r="D965" s="76">
        <v>36.799919000000003</v>
      </c>
      <c r="E965" s="76">
        <v>36.982821999999999</v>
      </c>
      <c r="F965" s="76">
        <v>21.013081</v>
      </c>
      <c r="G965" s="79">
        <v>318500</v>
      </c>
    </row>
    <row r="966" spans="1:7" x14ac:dyDescent="0.25">
      <c r="A966" s="1" t="s">
        <v>1089</v>
      </c>
      <c r="B966" s="76">
        <v>36.982821999999999</v>
      </c>
      <c r="C966" s="76">
        <v>37.824172999999902</v>
      </c>
      <c r="D966" s="76">
        <v>36.982821999999999</v>
      </c>
      <c r="E966" s="76">
        <v>37.677849000000002</v>
      </c>
      <c r="F966" s="76">
        <v>21.407989999999899</v>
      </c>
      <c r="G966" s="79">
        <v>402800</v>
      </c>
    </row>
    <row r="967" spans="1:7" x14ac:dyDescent="0.25">
      <c r="A967" s="1" t="s">
        <v>1090</v>
      </c>
      <c r="B967" s="76">
        <v>37.677849000000002</v>
      </c>
      <c r="C967" s="76">
        <v>38.299717000000001</v>
      </c>
      <c r="D967" s="76">
        <v>37.582740999999999</v>
      </c>
      <c r="E967" s="76">
        <v>38.065601000000001</v>
      </c>
      <c r="F967" s="76">
        <v>21.628298000000001</v>
      </c>
      <c r="G967" s="79">
        <v>733700</v>
      </c>
    </row>
    <row r="968" spans="1:7" x14ac:dyDescent="0.25">
      <c r="A968" s="1" t="s">
        <v>1091</v>
      </c>
      <c r="B968" s="76">
        <v>38.211925999999998</v>
      </c>
      <c r="C968" s="76">
        <v>38.211925999999998</v>
      </c>
      <c r="D968" s="76">
        <v>38.007071999999901</v>
      </c>
      <c r="E968" s="76">
        <v>38.043655000000001</v>
      </c>
      <c r="F968" s="76">
        <v>21.615836999999999</v>
      </c>
      <c r="G968" s="79">
        <v>521600</v>
      </c>
    </row>
    <row r="969" spans="1:7" x14ac:dyDescent="0.25">
      <c r="A969" s="1" t="s">
        <v>1092</v>
      </c>
      <c r="B969" s="76">
        <v>37.560790999999902</v>
      </c>
      <c r="C969" s="76">
        <v>37.816856000000001</v>
      </c>
      <c r="D969" s="76">
        <v>37.407153999999998</v>
      </c>
      <c r="E969" s="76">
        <v>37.692481999999998</v>
      </c>
      <c r="F969" s="76">
        <v>21.712765000000001</v>
      </c>
      <c r="G969" s="79">
        <v>366200</v>
      </c>
    </row>
    <row r="970" spans="1:7" x14ac:dyDescent="0.25">
      <c r="A970" s="1" t="s">
        <v>1093</v>
      </c>
      <c r="B970" s="76">
        <v>37.787590000000002</v>
      </c>
      <c r="C970" s="76">
        <v>38.146079999999998</v>
      </c>
      <c r="D970" s="76">
        <v>37.751010999999998</v>
      </c>
      <c r="E970" s="76">
        <v>38.094867999999998</v>
      </c>
      <c r="F970" s="76">
        <v>21.944557</v>
      </c>
      <c r="G970" s="79">
        <v>365400</v>
      </c>
    </row>
    <row r="971" spans="1:7" x14ac:dyDescent="0.25">
      <c r="A971" s="1" t="s">
        <v>1094</v>
      </c>
      <c r="B971" s="76">
        <v>38.189976000000001</v>
      </c>
      <c r="C971" s="76">
        <v>38.409458000000001</v>
      </c>
      <c r="D971" s="76">
        <v>38.189976000000001</v>
      </c>
      <c r="E971" s="76">
        <v>38.321666999999998</v>
      </c>
      <c r="F971" s="76">
        <v>22.075202999999998</v>
      </c>
      <c r="G971" s="79">
        <v>331500</v>
      </c>
    </row>
    <row r="972" spans="1:7" x14ac:dyDescent="0.25">
      <c r="A972" s="1" t="s">
        <v>1095</v>
      </c>
      <c r="B972" s="76">
        <v>38.328983000000001</v>
      </c>
      <c r="C972" s="76">
        <v>38.402141999999998</v>
      </c>
      <c r="D972" s="76">
        <v>38.007071999999901</v>
      </c>
      <c r="E972" s="76">
        <v>38.124130000000001</v>
      </c>
      <c r="F972" s="76">
        <v>21.961416</v>
      </c>
      <c r="G972" s="79">
        <v>383800</v>
      </c>
    </row>
    <row r="973" spans="1:7" x14ac:dyDescent="0.25">
      <c r="A973" s="1" t="s">
        <v>1096</v>
      </c>
      <c r="B973" s="76">
        <v>38.175342999999998</v>
      </c>
      <c r="C973" s="76">
        <v>38.797210999999997</v>
      </c>
      <c r="D973" s="76">
        <v>38.065601000000001</v>
      </c>
      <c r="E973" s="76">
        <v>38.724049000000001</v>
      </c>
      <c r="F973" s="76">
        <v>22.306992000000001</v>
      </c>
      <c r="G973" s="79">
        <v>389700</v>
      </c>
    </row>
    <row r="974" spans="1:7" x14ac:dyDescent="0.25">
      <c r="A974" s="1" t="s">
        <v>1097</v>
      </c>
      <c r="B974" s="76">
        <v>38.724049000000001</v>
      </c>
      <c r="C974" s="76">
        <v>38.724049000000001</v>
      </c>
      <c r="D974" s="76">
        <v>38.372878999999998</v>
      </c>
      <c r="E974" s="76">
        <v>38.504565999999997</v>
      </c>
      <c r="F974" s="76">
        <v>22.180562999999999</v>
      </c>
      <c r="G974" s="79">
        <v>321700</v>
      </c>
    </row>
    <row r="975" spans="1:7" x14ac:dyDescent="0.25">
      <c r="A975" s="1" t="s">
        <v>1098</v>
      </c>
      <c r="B975" s="76">
        <v>38.504565999999997</v>
      </c>
      <c r="C975" s="76">
        <v>39.060589</v>
      </c>
      <c r="D975" s="76">
        <v>38.504565999999997</v>
      </c>
      <c r="E975" s="76">
        <v>38.950848000000001</v>
      </c>
      <c r="F975" s="76">
        <v>22.437650999999999</v>
      </c>
      <c r="G975" s="79">
        <v>568000</v>
      </c>
    </row>
    <row r="976" spans="1:7" x14ac:dyDescent="0.25">
      <c r="A976" s="1" t="s">
        <v>1099</v>
      </c>
      <c r="B976" s="76">
        <v>38.950848000000001</v>
      </c>
      <c r="C976" s="76">
        <v>39.141067999999997</v>
      </c>
      <c r="D976" s="76">
        <v>38.592360999999997</v>
      </c>
      <c r="E976" s="76">
        <v>38.950848000000001</v>
      </c>
      <c r="F976" s="76">
        <v>22.437650999999999</v>
      </c>
      <c r="G976" s="79">
        <v>519800</v>
      </c>
    </row>
    <row r="977" spans="1:7" x14ac:dyDescent="0.25">
      <c r="A977" s="1" t="s">
        <v>1100</v>
      </c>
      <c r="B977" s="76">
        <v>39.097172</v>
      </c>
      <c r="C977" s="76">
        <v>39.528820000000003</v>
      </c>
      <c r="D977" s="76">
        <v>38.980114</v>
      </c>
      <c r="E977" s="76">
        <v>39.104488000000003</v>
      </c>
      <c r="F977" s="76">
        <v>22.526157000000001</v>
      </c>
      <c r="G977" s="79">
        <v>596700</v>
      </c>
    </row>
    <row r="978" spans="1:7" x14ac:dyDescent="0.25">
      <c r="A978" s="1" t="s">
        <v>1101</v>
      </c>
      <c r="B978" s="76">
        <v>39.214230000000001</v>
      </c>
      <c r="C978" s="76">
        <v>39.426394999999999</v>
      </c>
      <c r="D978" s="76">
        <v>39.031326</v>
      </c>
      <c r="E978" s="76">
        <v>39.075221999999997</v>
      </c>
      <c r="F978" s="76">
        <v>22.509295000000002</v>
      </c>
      <c r="G978" s="79">
        <v>499500</v>
      </c>
    </row>
    <row r="979" spans="1:7" x14ac:dyDescent="0.25">
      <c r="A979" s="1" t="s">
        <v>1102</v>
      </c>
      <c r="B979" s="76">
        <v>39.221541999999999</v>
      </c>
      <c r="C979" s="76">
        <v>39.221541999999999</v>
      </c>
      <c r="D979" s="76">
        <v>38.702103000000001</v>
      </c>
      <c r="E979" s="76">
        <v>38.936217999999997</v>
      </c>
      <c r="F979" s="76">
        <v>22.429217999999999</v>
      </c>
      <c r="G979" s="79">
        <v>435300</v>
      </c>
    </row>
    <row r="980" spans="1:7" x14ac:dyDescent="0.25">
      <c r="A980" s="1" t="s">
        <v>1103</v>
      </c>
      <c r="B980" s="76">
        <v>38.994746999999997</v>
      </c>
      <c r="C980" s="76">
        <v>39.067904999999897</v>
      </c>
      <c r="D980" s="76">
        <v>38.372878999999998</v>
      </c>
      <c r="E980" s="76">
        <v>38.83379</v>
      </c>
      <c r="F980" s="76">
        <v>22.37022</v>
      </c>
      <c r="G980" s="79">
        <v>495400</v>
      </c>
    </row>
    <row r="981" spans="1:7" x14ac:dyDescent="0.25">
      <c r="A981" s="1" t="s">
        <v>1104</v>
      </c>
      <c r="B981" s="76">
        <v>38.811844000000001</v>
      </c>
      <c r="C981" s="76">
        <v>39.097172</v>
      </c>
      <c r="D981" s="76">
        <v>38.658206999999997</v>
      </c>
      <c r="E981" s="76">
        <v>38.694786000000001</v>
      </c>
      <c r="F981" s="76">
        <v>22.290144000000002</v>
      </c>
      <c r="G981" s="79">
        <v>397900</v>
      </c>
    </row>
    <row r="982" spans="1:7" x14ac:dyDescent="0.25">
      <c r="A982" s="1" t="s">
        <v>1105</v>
      </c>
      <c r="B982" s="76">
        <v>38.775261</v>
      </c>
      <c r="C982" s="76">
        <v>39.360550000000003</v>
      </c>
      <c r="D982" s="76">
        <v>38.775261</v>
      </c>
      <c r="E982" s="76">
        <v>39.353233000000003</v>
      </c>
      <c r="F982" s="76">
        <v>22.669453000000001</v>
      </c>
      <c r="G982" s="79">
        <v>391800</v>
      </c>
    </row>
    <row r="983" spans="1:7" x14ac:dyDescent="0.25">
      <c r="A983" s="1" t="s">
        <v>1106</v>
      </c>
      <c r="B983" s="76">
        <v>39.470290999999897</v>
      </c>
      <c r="C983" s="76">
        <v>39.543453</v>
      </c>
      <c r="D983" s="76">
        <v>39.192279999999997</v>
      </c>
      <c r="E983" s="76">
        <v>39.543453</v>
      </c>
      <c r="F983" s="76">
        <v>22.779019999999999</v>
      </c>
      <c r="G983" s="79">
        <v>345700</v>
      </c>
    </row>
    <row r="984" spans="1:7" x14ac:dyDescent="0.25">
      <c r="A984" s="1" t="s">
        <v>1107</v>
      </c>
      <c r="B984" s="76">
        <v>39.653193999999999</v>
      </c>
      <c r="C984" s="76">
        <v>40.055576000000002</v>
      </c>
      <c r="D984" s="76">
        <v>39.653193999999999</v>
      </c>
      <c r="E984" s="76">
        <v>40.026313999999999</v>
      </c>
      <c r="F984" s="76">
        <v>23.057171</v>
      </c>
      <c r="G984" s="79">
        <v>190900</v>
      </c>
    </row>
    <row r="985" spans="1:7" x14ac:dyDescent="0.25">
      <c r="A985" s="1" t="s">
        <v>1108</v>
      </c>
      <c r="B985" s="76">
        <v>39.872677000000003</v>
      </c>
      <c r="C985" s="76">
        <v>40.231163000000002</v>
      </c>
      <c r="D985" s="76">
        <v>39.806831000000003</v>
      </c>
      <c r="E985" s="76">
        <v>40.055576000000002</v>
      </c>
      <c r="F985" s="76">
        <v>23.074026</v>
      </c>
      <c r="G985" s="79">
        <v>451600</v>
      </c>
    </row>
    <row r="986" spans="1:7" x14ac:dyDescent="0.25">
      <c r="A986" s="1" t="s">
        <v>1109</v>
      </c>
      <c r="B986" s="76">
        <v>40.055576000000002</v>
      </c>
      <c r="C986" s="76">
        <v>40.143371999999999</v>
      </c>
      <c r="D986" s="76">
        <v>39.836094000000003</v>
      </c>
      <c r="E986" s="76">
        <v>39.923889000000003</v>
      </c>
      <c r="F986" s="76">
        <v>22.998169000000001</v>
      </c>
      <c r="G986" s="79">
        <v>421400</v>
      </c>
    </row>
    <row r="987" spans="1:7" x14ac:dyDescent="0.25">
      <c r="A987" s="1" t="s">
        <v>1110</v>
      </c>
      <c r="B987" s="76">
        <v>39.872677000000003</v>
      </c>
      <c r="C987" s="76">
        <v>40.092159000000002</v>
      </c>
      <c r="D987" s="76">
        <v>39.872677000000003</v>
      </c>
      <c r="E987" s="76">
        <v>40.011681000000003</v>
      </c>
      <c r="F987" s="76">
        <v>23.048735000000001</v>
      </c>
      <c r="G987" s="79">
        <v>180000</v>
      </c>
    </row>
    <row r="988" spans="1:7" x14ac:dyDescent="0.25">
      <c r="A988" s="1" t="s">
        <v>1111</v>
      </c>
      <c r="B988" s="76">
        <v>40.048264000000003</v>
      </c>
      <c r="C988" s="76">
        <v>40.048264000000003</v>
      </c>
      <c r="D988" s="76">
        <v>39.250808999999997</v>
      </c>
      <c r="E988" s="76">
        <v>39.477607999999996</v>
      </c>
      <c r="F988" s="76">
        <v>22.741092999999999</v>
      </c>
      <c r="G988" s="79">
        <v>417400</v>
      </c>
    </row>
    <row r="989" spans="1:7" x14ac:dyDescent="0.25">
      <c r="A989" s="1" t="s">
        <v>1112</v>
      </c>
      <c r="B989" s="76">
        <v>39.484923999999999</v>
      </c>
      <c r="C989" s="76">
        <v>39.506869999999999</v>
      </c>
      <c r="D989" s="76">
        <v>39.331283999999997</v>
      </c>
      <c r="E989" s="76">
        <v>39.411762000000003</v>
      </c>
      <c r="F989" s="76">
        <v>22.703147999999999</v>
      </c>
      <c r="G989" s="79">
        <v>295800</v>
      </c>
    </row>
    <row r="990" spans="1:7" x14ac:dyDescent="0.25">
      <c r="A990" s="1" t="s">
        <v>1113</v>
      </c>
      <c r="B990" s="76">
        <v>39.360550000000003</v>
      </c>
      <c r="C990" s="76">
        <v>39.711722999999999</v>
      </c>
      <c r="D990" s="76">
        <v>39.214230000000001</v>
      </c>
      <c r="E990" s="76">
        <v>39.638560999999903</v>
      </c>
      <c r="F990" s="76">
        <v>22.833798999999999</v>
      </c>
      <c r="G990" s="79">
        <v>350300</v>
      </c>
    </row>
    <row r="991" spans="1:7" x14ac:dyDescent="0.25">
      <c r="A991" s="1" t="s">
        <v>1114</v>
      </c>
      <c r="B991" s="76">
        <v>39.638560999999903</v>
      </c>
      <c r="C991" s="76">
        <v>39.916573</v>
      </c>
      <c r="D991" s="76">
        <v>39.506869999999999</v>
      </c>
      <c r="E991" s="76">
        <v>39.704407000000003</v>
      </c>
      <c r="F991" s="76">
        <v>22.871728999999998</v>
      </c>
      <c r="G991" s="79">
        <v>296600</v>
      </c>
    </row>
    <row r="992" spans="1:7" x14ac:dyDescent="0.25">
      <c r="A992" s="1" t="s">
        <v>1115</v>
      </c>
      <c r="B992" s="76">
        <v>39.726353000000003</v>
      </c>
      <c r="C992" s="76">
        <v>39.726353000000003</v>
      </c>
      <c r="D992" s="76">
        <v>39.104488000000003</v>
      </c>
      <c r="E992" s="76">
        <v>39.3386</v>
      </c>
      <c r="F992" s="76">
        <v>22.661007000000001</v>
      </c>
      <c r="G992" s="79">
        <v>419800</v>
      </c>
    </row>
    <row r="993" spans="1:7" x14ac:dyDescent="0.25">
      <c r="A993" s="1" t="s">
        <v>1116</v>
      </c>
      <c r="B993" s="76">
        <v>39.287388</v>
      </c>
      <c r="C993" s="76">
        <v>39.726353000000003</v>
      </c>
      <c r="D993" s="76">
        <v>39.163012999999999</v>
      </c>
      <c r="E993" s="76">
        <v>39.726353000000003</v>
      </c>
      <c r="F993" s="76">
        <v>22.884373</v>
      </c>
      <c r="G993" s="79">
        <v>380700</v>
      </c>
    </row>
    <row r="994" spans="1:7" x14ac:dyDescent="0.25">
      <c r="A994" s="1" t="s">
        <v>1117</v>
      </c>
      <c r="B994" s="76">
        <v>39.726353000000003</v>
      </c>
      <c r="C994" s="76">
        <v>40.304324999999999</v>
      </c>
      <c r="D994" s="76">
        <v>39.653193999999999</v>
      </c>
      <c r="E994" s="76">
        <v>40.267746000000002</v>
      </c>
      <c r="F994" s="76">
        <v>23.196247</v>
      </c>
      <c r="G994" s="79">
        <v>407200</v>
      </c>
    </row>
    <row r="995" spans="1:7" x14ac:dyDescent="0.25">
      <c r="A995" s="1" t="s">
        <v>1118</v>
      </c>
      <c r="B995" s="76">
        <v>40.311641999999999</v>
      </c>
      <c r="C995" s="76">
        <v>40.553069999999998</v>
      </c>
      <c r="D995" s="76">
        <v>40.311641999999999</v>
      </c>
      <c r="E995" s="76">
        <v>40.501857999999999</v>
      </c>
      <c r="F995" s="76">
        <v>23.331101999999898</v>
      </c>
      <c r="G995" s="79">
        <v>325100</v>
      </c>
    </row>
    <row r="996" spans="1:7" x14ac:dyDescent="0.25">
      <c r="A996" s="1" t="s">
        <v>1119</v>
      </c>
      <c r="B996" s="76">
        <v>40.567703000000002</v>
      </c>
      <c r="C996" s="76">
        <v>40.662815000000002</v>
      </c>
      <c r="D996" s="76">
        <v>40.362853999999999</v>
      </c>
      <c r="E996" s="76">
        <v>40.640864999999998</v>
      </c>
      <c r="F996" s="76">
        <v>23.479035999999901</v>
      </c>
      <c r="G996" s="79">
        <v>400200</v>
      </c>
    </row>
    <row r="997" spans="1:7" x14ac:dyDescent="0.25">
      <c r="A997" s="1" t="s">
        <v>1120</v>
      </c>
      <c r="B997" s="76">
        <v>40.648181999999998</v>
      </c>
      <c r="C997" s="76">
        <v>40.853031000000001</v>
      </c>
      <c r="D997" s="76">
        <v>40.604286000000002</v>
      </c>
      <c r="E997" s="76">
        <v>40.721339999999998</v>
      </c>
      <c r="F997" s="76">
        <v>23.525535999999999</v>
      </c>
      <c r="G997" s="79">
        <v>378200</v>
      </c>
    </row>
    <row r="998" spans="1:7" x14ac:dyDescent="0.25">
      <c r="A998" s="1" t="s">
        <v>1121</v>
      </c>
      <c r="B998" s="76">
        <v>40.750607000000002</v>
      </c>
      <c r="C998" s="76">
        <v>40.750607000000002</v>
      </c>
      <c r="D998" s="76">
        <v>39.250808999999997</v>
      </c>
      <c r="E998" s="76">
        <v>39.506869999999999</v>
      </c>
      <c r="F998" s="76">
        <v>22.823915</v>
      </c>
      <c r="G998" s="79">
        <v>6125100</v>
      </c>
    </row>
    <row r="999" spans="1:7" x14ac:dyDescent="0.25">
      <c r="A999" s="1" t="s">
        <v>1122</v>
      </c>
      <c r="B999" s="76">
        <v>39.506869999999999</v>
      </c>
      <c r="C999" s="76">
        <v>39.638560999999903</v>
      </c>
      <c r="D999" s="76">
        <v>39.404446</v>
      </c>
      <c r="E999" s="76">
        <v>39.433712</v>
      </c>
      <c r="F999" s="76">
        <v>22.781642999999999</v>
      </c>
      <c r="G999" s="79">
        <v>778900</v>
      </c>
    </row>
    <row r="1000" spans="1:7" x14ac:dyDescent="0.25">
      <c r="A1000" s="1" t="s">
        <v>1123</v>
      </c>
      <c r="B1000" s="76">
        <v>39.470290999999897</v>
      </c>
      <c r="C1000" s="76">
        <v>39.645878000000003</v>
      </c>
      <c r="D1000" s="76">
        <v>39.250808999999997</v>
      </c>
      <c r="E1000" s="76">
        <v>39.580032000000003</v>
      </c>
      <c r="F1000" s="76">
        <v>22.866178999999999</v>
      </c>
      <c r="G1000" s="79">
        <v>344000</v>
      </c>
    </row>
    <row r="1001" spans="1:7" x14ac:dyDescent="0.25">
      <c r="A1001" s="1" t="s">
        <v>1124</v>
      </c>
      <c r="B1001" s="76">
        <v>39.433712</v>
      </c>
      <c r="C1001" s="76">
        <v>39.653193999999999</v>
      </c>
      <c r="D1001" s="76">
        <v>39.433712</v>
      </c>
      <c r="E1001" s="76">
        <v>39.543453</v>
      </c>
      <c r="F1001" s="76">
        <v>22.845048999999999</v>
      </c>
      <c r="G1001" s="79">
        <v>319000</v>
      </c>
    </row>
    <row r="1002" spans="1:7" x14ac:dyDescent="0.25">
      <c r="A1002" s="1" t="s">
        <v>1125</v>
      </c>
      <c r="B1002" s="76">
        <v>39.616610999999999</v>
      </c>
      <c r="C1002" s="76">
        <v>39.740985999999999</v>
      </c>
      <c r="D1002" s="76">
        <v>39.55077</v>
      </c>
      <c r="E1002" s="76">
        <v>39.645878000000003</v>
      </c>
      <c r="F1002" s="76">
        <v>22.904216999999999</v>
      </c>
      <c r="G1002" s="79">
        <v>144400</v>
      </c>
    </row>
    <row r="1003" spans="1:7" x14ac:dyDescent="0.25">
      <c r="A1003" s="1" t="s">
        <v>1126</v>
      </c>
      <c r="B1003" s="76">
        <v>39.616610999999999</v>
      </c>
      <c r="C1003" s="76">
        <v>39.828780999999999</v>
      </c>
      <c r="D1003" s="76">
        <v>39.470290999999897</v>
      </c>
      <c r="E1003" s="76">
        <v>39.653193999999999</v>
      </c>
      <c r="F1003" s="76">
        <v>22.908442000000001</v>
      </c>
      <c r="G1003" s="79">
        <v>117500</v>
      </c>
    </row>
    <row r="1004" spans="1:7" x14ac:dyDescent="0.25">
      <c r="A1004" s="1" t="s">
        <v>1127</v>
      </c>
      <c r="B1004" s="76">
        <v>39.726353000000003</v>
      </c>
      <c r="C1004" s="76">
        <v>40.048264000000003</v>
      </c>
      <c r="D1004" s="76">
        <v>39.433712</v>
      </c>
      <c r="E1004" s="76">
        <v>39.872677000000003</v>
      </c>
      <c r="F1004" s="76">
        <v>23.035242</v>
      </c>
      <c r="G1004" s="79">
        <v>294400</v>
      </c>
    </row>
    <row r="1005" spans="1:7" x14ac:dyDescent="0.25">
      <c r="A1005" s="1" t="s">
        <v>1128</v>
      </c>
      <c r="B1005" s="76">
        <v>40.018996999999999</v>
      </c>
      <c r="C1005" s="76">
        <v>40.333587999999999</v>
      </c>
      <c r="D1005" s="76">
        <v>39.887306000000002</v>
      </c>
      <c r="E1005" s="76">
        <v>40.231163000000002</v>
      </c>
      <c r="F1005" s="76">
        <v>23.242349999999998</v>
      </c>
      <c r="G1005" s="79">
        <v>405400</v>
      </c>
    </row>
    <row r="1006" spans="1:7" x14ac:dyDescent="0.25">
      <c r="A1006" s="1" t="s">
        <v>1129</v>
      </c>
      <c r="B1006" s="76">
        <v>40.253112999999999</v>
      </c>
      <c r="C1006" s="76">
        <v>40.282375000000002</v>
      </c>
      <c r="D1006" s="76">
        <v>39.828780999999999</v>
      </c>
      <c r="E1006" s="76">
        <v>40.055576000000002</v>
      </c>
      <c r="F1006" s="76">
        <v>23.140909000000001</v>
      </c>
      <c r="G1006" s="79">
        <v>319800</v>
      </c>
    </row>
    <row r="1007" spans="1:7" x14ac:dyDescent="0.25">
      <c r="A1007" s="1" t="s">
        <v>1130</v>
      </c>
      <c r="B1007" s="76">
        <v>40.055576000000002</v>
      </c>
      <c r="C1007" s="76">
        <v>40.201900000000002</v>
      </c>
      <c r="D1007" s="76">
        <v>39.441025000000003</v>
      </c>
      <c r="E1007" s="76">
        <v>39.799515</v>
      </c>
      <c r="F1007" s="76">
        <v>22.992975000000001</v>
      </c>
      <c r="G1007" s="79">
        <v>546400</v>
      </c>
    </row>
    <row r="1008" spans="1:7" x14ac:dyDescent="0.25">
      <c r="A1008" s="1" t="s">
        <v>1131</v>
      </c>
      <c r="B1008" s="76">
        <v>39.872677000000003</v>
      </c>
      <c r="C1008" s="76">
        <v>40.018996999999999</v>
      </c>
      <c r="D1008" s="76">
        <v>39.075221999999997</v>
      </c>
      <c r="E1008" s="76">
        <v>39.353233000000003</v>
      </c>
      <c r="F1008" s="76">
        <v>22.735147000000001</v>
      </c>
      <c r="G1008" s="79">
        <v>680000</v>
      </c>
    </row>
    <row r="1009" spans="1:7" x14ac:dyDescent="0.25">
      <c r="A1009" s="1" t="s">
        <v>1132</v>
      </c>
      <c r="B1009" s="76">
        <v>39.397129</v>
      </c>
      <c r="C1009" s="76">
        <v>40.055576000000002</v>
      </c>
      <c r="D1009" s="76">
        <v>39.265442</v>
      </c>
      <c r="E1009" s="76">
        <v>40.055576000000002</v>
      </c>
      <c r="F1009" s="76">
        <v>23.140909000000001</v>
      </c>
      <c r="G1009" s="79">
        <v>602000</v>
      </c>
    </row>
    <row r="1010" spans="1:7" x14ac:dyDescent="0.25">
      <c r="A1010" s="1" t="s">
        <v>1133</v>
      </c>
      <c r="B1010" s="76">
        <v>40.092159000000002</v>
      </c>
      <c r="C1010" s="76">
        <v>40.136054999999999</v>
      </c>
      <c r="D1010" s="76">
        <v>39.009377000000001</v>
      </c>
      <c r="E1010" s="76">
        <v>39.258125</v>
      </c>
      <c r="F1010" s="76">
        <v>22.680212000000001</v>
      </c>
      <c r="G1010" s="79">
        <v>521600</v>
      </c>
    </row>
    <row r="1011" spans="1:7" x14ac:dyDescent="0.25">
      <c r="A1011" s="1" t="s">
        <v>1134</v>
      </c>
      <c r="B1011" s="76">
        <v>39.506869999999999</v>
      </c>
      <c r="C1011" s="76">
        <v>39.506869999999999</v>
      </c>
      <c r="D1011" s="76">
        <v>39.053272</v>
      </c>
      <c r="E1011" s="76">
        <v>39.17033</v>
      </c>
      <c r="F1011" s="76">
        <v>22.629490000000001</v>
      </c>
      <c r="G1011" s="79">
        <v>543400</v>
      </c>
    </row>
    <row r="1012" spans="1:7" x14ac:dyDescent="0.25">
      <c r="A1012" s="1" t="s">
        <v>1135</v>
      </c>
      <c r="B1012" s="76">
        <v>39.104488000000003</v>
      </c>
      <c r="C1012" s="76">
        <v>39.3825</v>
      </c>
      <c r="D1012" s="76">
        <v>38.994746999999997</v>
      </c>
      <c r="E1012" s="76">
        <v>39.141067999999997</v>
      </c>
      <c r="F1012" s="76">
        <v>22.612576999999899</v>
      </c>
      <c r="G1012" s="79">
        <v>359500</v>
      </c>
    </row>
    <row r="1013" spans="1:7" x14ac:dyDescent="0.25">
      <c r="A1013" s="1" t="s">
        <v>1136</v>
      </c>
      <c r="B1013" s="76">
        <v>39.141067999999997</v>
      </c>
      <c r="C1013" s="76">
        <v>39.316654</v>
      </c>
      <c r="D1013" s="76">
        <v>39.067904999999897</v>
      </c>
      <c r="E1013" s="76">
        <v>39.287388</v>
      </c>
      <c r="F1013" s="76">
        <v>22.697113000000002</v>
      </c>
      <c r="G1013" s="79">
        <v>364300</v>
      </c>
    </row>
    <row r="1014" spans="1:7" x14ac:dyDescent="0.25">
      <c r="A1014" s="1" t="s">
        <v>1137</v>
      </c>
      <c r="B1014" s="76">
        <v>39.287388</v>
      </c>
      <c r="C1014" s="76">
        <v>39.287388</v>
      </c>
      <c r="D1014" s="76">
        <v>38.628940999999998</v>
      </c>
      <c r="E1014" s="76">
        <v>38.892319000000001</v>
      </c>
      <c r="F1014" s="76">
        <v>22.468864</v>
      </c>
      <c r="G1014" s="79">
        <v>524400</v>
      </c>
    </row>
    <row r="1015" spans="1:7" x14ac:dyDescent="0.25">
      <c r="A1015" s="1" t="s">
        <v>1138</v>
      </c>
      <c r="B1015" s="76">
        <v>38.665520000000001</v>
      </c>
      <c r="C1015" s="76">
        <v>39.265442</v>
      </c>
      <c r="D1015" s="76">
        <v>38.665520000000001</v>
      </c>
      <c r="E1015" s="76">
        <v>39.148384</v>
      </c>
      <c r="F1015" s="76">
        <v>22.616803999999998</v>
      </c>
      <c r="G1015" s="79">
        <v>634000</v>
      </c>
    </row>
    <row r="1016" spans="1:7" x14ac:dyDescent="0.25">
      <c r="A1016" s="1" t="s">
        <v>1139</v>
      </c>
      <c r="B1016" s="76">
        <v>39.104488000000003</v>
      </c>
      <c r="C1016" s="76">
        <v>39.345917</v>
      </c>
      <c r="D1016" s="76">
        <v>38.906951999999997</v>
      </c>
      <c r="E1016" s="76">
        <v>39.345917</v>
      </c>
      <c r="F1016" s="76">
        <v>22.730920999999999</v>
      </c>
      <c r="G1016" s="79">
        <v>382400</v>
      </c>
    </row>
    <row r="1017" spans="1:7" x14ac:dyDescent="0.25">
      <c r="A1017" s="1" t="s">
        <v>1140</v>
      </c>
      <c r="B1017" s="76">
        <v>39.580032000000003</v>
      </c>
      <c r="C1017" s="76">
        <v>39.711722999999999</v>
      </c>
      <c r="D1017" s="76">
        <v>39.360550000000003</v>
      </c>
      <c r="E1017" s="76">
        <v>39.360550000000003</v>
      </c>
      <c r="F1017" s="76">
        <v>22.739376</v>
      </c>
      <c r="G1017" s="79">
        <v>429200</v>
      </c>
    </row>
    <row r="1018" spans="1:7" x14ac:dyDescent="0.25">
      <c r="A1018" s="1" t="s">
        <v>1141</v>
      </c>
      <c r="B1018" s="76">
        <v>39.360550000000003</v>
      </c>
      <c r="C1018" s="76">
        <v>39.719035999999903</v>
      </c>
      <c r="D1018" s="76">
        <v>39.360550000000003</v>
      </c>
      <c r="E1018" s="76">
        <v>39.411762000000003</v>
      </c>
      <c r="F1018" s="76">
        <v>22.768960999999901</v>
      </c>
      <c r="G1018" s="79">
        <v>263500</v>
      </c>
    </row>
    <row r="1019" spans="1:7" x14ac:dyDescent="0.25">
      <c r="A1019" s="1" t="s">
        <v>1142</v>
      </c>
      <c r="B1019" s="76">
        <v>39.470290999999897</v>
      </c>
      <c r="C1019" s="76">
        <v>39.499553999999897</v>
      </c>
      <c r="D1019" s="76">
        <v>39.184963000000003</v>
      </c>
      <c r="E1019" s="76">
        <v>39.389811999999999</v>
      </c>
      <c r="F1019" s="76">
        <v>22.756283</v>
      </c>
      <c r="G1019" s="79">
        <v>405500</v>
      </c>
    </row>
    <row r="1020" spans="1:7" x14ac:dyDescent="0.25">
      <c r="A1020" s="1" t="s">
        <v>1143</v>
      </c>
      <c r="B1020" s="76">
        <v>39.492241</v>
      </c>
      <c r="C1020" s="76">
        <v>40.143371999999999</v>
      </c>
      <c r="D1020" s="76">
        <v>39.323971</v>
      </c>
      <c r="E1020" s="76">
        <v>39.484923999999999</v>
      </c>
      <c r="F1020" s="76">
        <v>22.811235</v>
      </c>
      <c r="G1020" s="79">
        <v>646000</v>
      </c>
    </row>
    <row r="1021" spans="1:7" x14ac:dyDescent="0.25">
      <c r="A1021" s="1" t="s">
        <v>1144</v>
      </c>
      <c r="B1021" s="76">
        <v>39.543453</v>
      </c>
      <c r="C1021" s="76">
        <v>40.092159000000002</v>
      </c>
      <c r="D1021" s="76">
        <v>39.484923999999999</v>
      </c>
      <c r="E1021" s="76">
        <v>39.982418000000003</v>
      </c>
      <c r="F1021" s="76">
        <v>23.098648000000001</v>
      </c>
      <c r="G1021" s="79">
        <v>535500</v>
      </c>
    </row>
    <row r="1022" spans="1:7" x14ac:dyDescent="0.25">
      <c r="A1022" s="1" t="s">
        <v>1145</v>
      </c>
      <c r="B1022" s="76">
        <v>39.982418000000003</v>
      </c>
      <c r="C1022" s="76">
        <v>40.201900000000002</v>
      </c>
      <c r="D1022" s="76">
        <v>39.836094000000003</v>
      </c>
      <c r="E1022" s="76">
        <v>40.201900000000002</v>
      </c>
      <c r="F1022" s="76">
        <v>23.225445000000001</v>
      </c>
      <c r="G1022" s="79">
        <v>603700</v>
      </c>
    </row>
    <row r="1023" spans="1:7" x14ac:dyDescent="0.25">
      <c r="A1023" s="1" t="s">
        <v>1146</v>
      </c>
      <c r="B1023" s="76">
        <v>40.238479999999903</v>
      </c>
      <c r="C1023" s="76">
        <v>40.450645000000002</v>
      </c>
      <c r="D1023" s="76">
        <v>40.187266999999999</v>
      </c>
      <c r="E1023" s="76">
        <v>40.348221000000002</v>
      </c>
      <c r="F1023" s="76">
        <v>23.309964999999998</v>
      </c>
      <c r="G1023" s="79">
        <v>488000</v>
      </c>
    </row>
    <row r="1024" spans="1:7" x14ac:dyDescent="0.25">
      <c r="A1024" s="1" t="s">
        <v>1147</v>
      </c>
      <c r="B1024" s="76">
        <v>40.531123999999998</v>
      </c>
      <c r="C1024" s="76">
        <v>41.145676000000002</v>
      </c>
      <c r="D1024" s="76">
        <v>40.370170999999999</v>
      </c>
      <c r="E1024" s="76">
        <v>41.094462999999998</v>
      </c>
      <c r="F1024" s="76">
        <v>23.741098000000001</v>
      </c>
      <c r="G1024" s="79">
        <v>716800</v>
      </c>
    </row>
    <row r="1025" spans="1:7" x14ac:dyDescent="0.25">
      <c r="A1025" s="1" t="s">
        <v>1148</v>
      </c>
      <c r="B1025" s="76">
        <v>40.457962000000002</v>
      </c>
      <c r="C1025" s="76">
        <v>40.582335999999998</v>
      </c>
      <c r="D1025" s="76">
        <v>39.872677000000003</v>
      </c>
      <c r="E1025" s="76">
        <v>40.582335999999998</v>
      </c>
      <c r="F1025" s="76">
        <v>23.814080999999899</v>
      </c>
      <c r="G1025" s="79">
        <v>489900</v>
      </c>
    </row>
    <row r="1026" spans="1:7" x14ac:dyDescent="0.25">
      <c r="A1026" s="1" t="s">
        <v>1149</v>
      </c>
      <c r="B1026" s="76">
        <v>40.640864999999998</v>
      </c>
      <c r="C1026" s="76">
        <v>41.123725999999998</v>
      </c>
      <c r="D1026" s="76">
        <v>40.640864999999998</v>
      </c>
      <c r="E1026" s="76">
        <v>40.933509999999998</v>
      </c>
      <c r="F1026" s="76">
        <v>24.020153000000001</v>
      </c>
      <c r="G1026" s="79">
        <v>659300</v>
      </c>
    </row>
    <row r="1027" spans="1:7" x14ac:dyDescent="0.25">
      <c r="A1027" s="1" t="s">
        <v>1150</v>
      </c>
      <c r="B1027" s="76">
        <v>40.933509999999998</v>
      </c>
      <c r="C1027" s="76">
        <v>41.701698</v>
      </c>
      <c r="D1027" s="76">
        <v>40.809134999999998</v>
      </c>
      <c r="E1027" s="76">
        <v>41.701698</v>
      </c>
      <c r="F1027" s="76">
        <v>24.470922000000002</v>
      </c>
      <c r="G1027" s="79">
        <v>680700</v>
      </c>
    </row>
    <row r="1028" spans="1:7" x14ac:dyDescent="0.25">
      <c r="A1028" s="1" t="s">
        <v>1151</v>
      </c>
      <c r="B1028" s="76">
        <v>41.701698</v>
      </c>
      <c r="C1028" s="76">
        <v>42.177242</v>
      </c>
      <c r="D1028" s="76">
        <v>41.628535999999997</v>
      </c>
      <c r="E1028" s="76">
        <v>42.016289</v>
      </c>
      <c r="F1028" s="76">
        <v>24.655526999999999</v>
      </c>
      <c r="G1028" s="79">
        <v>513100</v>
      </c>
    </row>
    <row r="1029" spans="1:7" x14ac:dyDescent="0.25">
      <c r="A1029" s="1" t="s">
        <v>1152</v>
      </c>
      <c r="B1029" s="76">
        <v>42.016289</v>
      </c>
      <c r="C1029" s="76">
        <v>42.016289</v>
      </c>
      <c r="D1029" s="76">
        <v>41.409053999999998</v>
      </c>
      <c r="E1029" s="76">
        <v>41.562691000000001</v>
      </c>
      <c r="F1029" s="76">
        <v>24.389365999999999</v>
      </c>
      <c r="G1029" s="79">
        <v>444700</v>
      </c>
    </row>
    <row r="1030" spans="1:7" x14ac:dyDescent="0.25">
      <c r="A1030" s="1" t="s">
        <v>1153</v>
      </c>
      <c r="B1030" s="76">
        <v>41.562691000000001</v>
      </c>
      <c r="C1030" s="76">
        <v>42.067501</v>
      </c>
      <c r="D1030" s="76">
        <v>41.482215999999902</v>
      </c>
      <c r="E1030" s="76">
        <v>41.987026</v>
      </c>
      <c r="F1030" s="76">
        <v>24.638369000000001</v>
      </c>
      <c r="G1030" s="79">
        <v>313100</v>
      </c>
    </row>
    <row r="1031" spans="1:7" x14ac:dyDescent="0.25">
      <c r="A1031" s="1" t="s">
        <v>1154</v>
      </c>
      <c r="B1031" s="76">
        <v>42.030921999999997</v>
      </c>
      <c r="C1031" s="76">
        <v>42.908852000000003</v>
      </c>
      <c r="D1031" s="76">
        <v>41.935814000000001</v>
      </c>
      <c r="E1031" s="76">
        <v>42.908852000000003</v>
      </c>
      <c r="F1031" s="76">
        <v>25.179302</v>
      </c>
      <c r="G1031" s="79">
        <v>440700</v>
      </c>
    </row>
    <row r="1032" spans="1:7" x14ac:dyDescent="0.25">
      <c r="A1032" s="1" t="s">
        <v>1155</v>
      </c>
      <c r="B1032" s="76">
        <v>42.908852000000003</v>
      </c>
      <c r="C1032" s="76">
        <v>43.194179999999903</v>
      </c>
      <c r="D1032" s="76">
        <v>42.543048999999897</v>
      </c>
      <c r="E1032" s="76">
        <v>42.982013999999999</v>
      </c>
      <c r="F1032" s="76">
        <v>25.222232999999999</v>
      </c>
      <c r="G1032" s="79">
        <v>666100</v>
      </c>
    </row>
    <row r="1033" spans="1:7" x14ac:dyDescent="0.25">
      <c r="A1033" s="1" t="s">
        <v>1156</v>
      </c>
      <c r="B1033" s="76">
        <v>43.091754999999999</v>
      </c>
      <c r="C1033" s="76">
        <v>43.238075000000002</v>
      </c>
      <c r="D1033" s="76">
        <v>43.018593000000003</v>
      </c>
      <c r="E1033" s="76">
        <v>43.238075000000002</v>
      </c>
      <c r="F1033" s="76">
        <v>25.372485999999999</v>
      </c>
      <c r="G1033" s="79">
        <v>391300</v>
      </c>
    </row>
    <row r="1034" spans="1:7" x14ac:dyDescent="0.25">
      <c r="A1034" s="1" t="s">
        <v>1157</v>
      </c>
      <c r="B1034" s="76">
        <v>43.384399000000002</v>
      </c>
      <c r="C1034" s="76">
        <v>43.457557999999999</v>
      </c>
      <c r="D1034" s="76">
        <v>42.960064000000003</v>
      </c>
      <c r="E1034" s="76">
        <v>43.457557999999999</v>
      </c>
      <c r="F1034" s="76">
        <v>25.501277999999999</v>
      </c>
      <c r="G1034" s="79">
        <v>515000</v>
      </c>
    </row>
    <row r="1035" spans="1:7" x14ac:dyDescent="0.25">
      <c r="A1035" s="1" t="s">
        <v>1158</v>
      </c>
      <c r="B1035" s="76">
        <v>43.355133000000002</v>
      </c>
      <c r="C1035" s="76">
        <v>43.677039999999998</v>
      </c>
      <c r="D1035" s="76">
        <v>42.616207000000003</v>
      </c>
      <c r="E1035" s="76">
        <v>42.718635999999996</v>
      </c>
      <c r="F1035" s="76">
        <v>25.067677</v>
      </c>
      <c r="G1035" s="79">
        <v>450300</v>
      </c>
    </row>
    <row r="1036" spans="1:7" x14ac:dyDescent="0.25">
      <c r="A1036" s="1" t="s">
        <v>1159</v>
      </c>
      <c r="B1036" s="76">
        <v>42.301617</v>
      </c>
      <c r="C1036" s="76">
        <v>42.308933000000003</v>
      </c>
      <c r="D1036" s="76">
        <v>41.767544000000001</v>
      </c>
      <c r="E1036" s="76">
        <v>42.001655999999997</v>
      </c>
      <c r="F1036" s="76">
        <v>24.646951999999999</v>
      </c>
      <c r="G1036" s="79">
        <v>723800</v>
      </c>
    </row>
    <row r="1037" spans="1:7" x14ac:dyDescent="0.25">
      <c r="A1037" s="1" t="s">
        <v>1160</v>
      </c>
      <c r="B1037" s="76">
        <v>42.140663000000004</v>
      </c>
      <c r="C1037" s="76">
        <v>42.177242</v>
      </c>
      <c r="D1037" s="76">
        <v>42.001655999999997</v>
      </c>
      <c r="E1037" s="76">
        <v>42.140663000000004</v>
      </c>
      <c r="F1037" s="76">
        <v>24.728525000000001</v>
      </c>
      <c r="G1037" s="79">
        <v>366900</v>
      </c>
    </row>
    <row r="1038" spans="1:7" x14ac:dyDescent="0.25">
      <c r="A1038" s="1" t="s">
        <v>1161</v>
      </c>
      <c r="B1038" s="76">
        <v>42.286982999999999</v>
      </c>
      <c r="C1038" s="76">
        <v>42.286982999999999</v>
      </c>
      <c r="D1038" s="76">
        <v>41.848019000000001</v>
      </c>
      <c r="E1038" s="76">
        <v>42.118713</v>
      </c>
      <c r="F1038" s="76">
        <v>24.715630999999998</v>
      </c>
      <c r="G1038" s="79">
        <v>339700</v>
      </c>
    </row>
    <row r="1039" spans="1:7" x14ac:dyDescent="0.25">
      <c r="A1039" s="1" t="s">
        <v>1162</v>
      </c>
      <c r="B1039" s="76">
        <v>42.030921999999997</v>
      </c>
      <c r="C1039" s="76">
        <v>42.140663000000004</v>
      </c>
      <c r="D1039" s="76">
        <v>41.701698</v>
      </c>
      <c r="E1039" s="76">
        <v>42.067501</v>
      </c>
      <c r="F1039" s="76">
        <v>24.685580999999999</v>
      </c>
      <c r="G1039" s="79">
        <v>537800</v>
      </c>
    </row>
    <row r="1040" spans="1:7" x14ac:dyDescent="0.25">
      <c r="A1040" s="1" t="s">
        <v>1163</v>
      </c>
      <c r="B1040" s="76">
        <v>42.213825</v>
      </c>
      <c r="C1040" s="76">
        <v>42.345511999999999</v>
      </c>
      <c r="D1040" s="76">
        <v>41.928497</v>
      </c>
      <c r="E1040" s="76">
        <v>42.104084</v>
      </c>
      <c r="F1040" s="76">
        <v>24.707048</v>
      </c>
      <c r="G1040" s="79">
        <v>315600</v>
      </c>
    </row>
    <row r="1041" spans="1:7" x14ac:dyDescent="0.25">
      <c r="A1041" s="1" t="s">
        <v>1164</v>
      </c>
      <c r="B1041" s="76">
        <v>42.286982999999999</v>
      </c>
      <c r="C1041" s="76">
        <v>42.638157</v>
      </c>
      <c r="D1041" s="76">
        <v>41.95776</v>
      </c>
      <c r="E1041" s="76">
        <v>42.082134000000003</v>
      </c>
      <c r="F1041" s="76">
        <v>24.694174</v>
      </c>
      <c r="G1041" s="79">
        <v>306800</v>
      </c>
    </row>
    <row r="1042" spans="1:7" x14ac:dyDescent="0.25">
      <c r="A1042" s="1" t="s">
        <v>1165</v>
      </c>
      <c r="B1042" s="76">
        <v>42.177242</v>
      </c>
      <c r="C1042" s="76">
        <v>42.433307999999997</v>
      </c>
      <c r="D1042" s="76">
        <v>41.767544000000001</v>
      </c>
      <c r="E1042" s="76">
        <v>42.433307999999997</v>
      </c>
      <c r="F1042" s="76">
        <v>24.900236</v>
      </c>
      <c r="G1042" s="79">
        <v>462800</v>
      </c>
    </row>
    <row r="1043" spans="1:7" x14ac:dyDescent="0.25">
      <c r="A1043" s="1" t="s">
        <v>1166</v>
      </c>
      <c r="B1043" s="76">
        <v>42.506465999999897</v>
      </c>
      <c r="C1043" s="76">
        <v>42.762531000000003</v>
      </c>
      <c r="D1043" s="76">
        <v>42.338196000000003</v>
      </c>
      <c r="E1043" s="76">
        <v>42.762531000000003</v>
      </c>
      <c r="F1043" s="76">
        <v>25.093427999999999</v>
      </c>
      <c r="G1043" s="79">
        <v>8134000</v>
      </c>
    </row>
    <row r="1044" spans="1:7" x14ac:dyDescent="0.25">
      <c r="A1044" s="1" t="s">
        <v>1167</v>
      </c>
      <c r="B1044" s="76">
        <v>41.555374</v>
      </c>
      <c r="C1044" s="76">
        <v>41.943126999999997</v>
      </c>
      <c r="D1044" s="76">
        <v>41.328578999999998</v>
      </c>
      <c r="E1044" s="76">
        <v>41.613903000000001</v>
      </c>
      <c r="F1044" s="76">
        <v>24.419401000000001</v>
      </c>
      <c r="G1044" s="79">
        <v>2042200</v>
      </c>
    </row>
    <row r="1045" spans="1:7" x14ac:dyDescent="0.25">
      <c r="A1045" s="1" t="s">
        <v>1168</v>
      </c>
      <c r="B1045" s="76">
        <v>41.687064999999997</v>
      </c>
      <c r="C1045" s="76">
        <v>41.738276999999997</v>
      </c>
      <c r="D1045" s="76">
        <v>41.518794999999997</v>
      </c>
      <c r="E1045" s="76">
        <v>41.628535999999997</v>
      </c>
      <c r="F1045" s="76">
        <v>24.427994000000002</v>
      </c>
      <c r="G1045" s="79">
        <v>597700</v>
      </c>
    </row>
    <row r="1046" spans="1:7" x14ac:dyDescent="0.25">
      <c r="A1046" s="1" t="s">
        <v>1169</v>
      </c>
      <c r="B1046" s="76">
        <v>41.679749000000001</v>
      </c>
      <c r="C1046" s="76">
        <v>41.913863999999997</v>
      </c>
      <c r="D1046" s="76">
        <v>41.672432000000001</v>
      </c>
      <c r="E1046" s="76">
        <v>41.884602000000001</v>
      </c>
      <c r="F1046" s="76">
        <v>24.578254999999999</v>
      </c>
      <c r="G1046" s="79">
        <v>733700</v>
      </c>
    </row>
    <row r="1047" spans="1:7" x14ac:dyDescent="0.25">
      <c r="A1047" s="1" t="s">
        <v>1170</v>
      </c>
      <c r="B1047" s="76">
        <v>41.884602000000001</v>
      </c>
      <c r="C1047" s="76">
        <v>42.418673999999903</v>
      </c>
      <c r="D1047" s="76">
        <v>41.752910999999997</v>
      </c>
      <c r="E1047" s="76">
        <v>42.213825</v>
      </c>
      <c r="F1047" s="76">
        <v>24.771442</v>
      </c>
      <c r="G1047" s="79">
        <v>532000</v>
      </c>
    </row>
    <row r="1048" spans="1:7" x14ac:dyDescent="0.25">
      <c r="A1048" s="1" t="s">
        <v>1171</v>
      </c>
      <c r="B1048" s="76">
        <v>42.221138000000003</v>
      </c>
      <c r="C1048" s="76">
        <v>42.506465999999897</v>
      </c>
      <c r="D1048" s="76">
        <v>42.089450999999997</v>
      </c>
      <c r="E1048" s="76">
        <v>42.250403999999897</v>
      </c>
      <c r="F1048" s="76">
        <v>24.792909999999999</v>
      </c>
      <c r="G1048" s="79">
        <v>509600</v>
      </c>
    </row>
    <row r="1049" spans="1:7" x14ac:dyDescent="0.25">
      <c r="A1049" s="1" t="s">
        <v>1172</v>
      </c>
      <c r="B1049" s="76">
        <v>42.360146</v>
      </c>
      <c r="C1049" s="76">
        <v>42.382095</v>
      </c>
      <c r="D1049" s="76">
        <v>41.913863999999997</v>
      </c>
      <c r="E1049" s="76">
        <v>42.030921999999997</v>
      </c>
      <c r="F1049" s="76">
        <v>24.664117999999998</v>
      </c>
      <c r="G1049" s="79">
        <v>509600</v>
      </c>
    </row>
    <row r="1050" spans="1:7" x14ac:dyDescent="0.25">
      <c r="A1050" s="1" t="s">
        <v>1173</v>
      </c>
      <c r="B1050" s="76">
        <v>42.045555</v>
      </c>
      <c r="C1050" s="76">
        <v>42.455253999999996</v>
      </c>
      <c r="D1050" s="76">
        <v>41.921180999999997</v>
      </c>
      <c r="E1050" s="76">
        <v>42.360146</v>
      </c>
      <c r="F1050" s="76">
        <v>24.857315</v>
      </c>
      <c r="G1050" s="79">
        <v>559600</v>
      </c>
    </row>
    <row r="1051" spans="1:7" x14ac:dyDescent="0.25">
      <c r="A1051" s="1" t="s">
        <v>1174</v>
      </c>
      <c r="B1051" s="76">
        <v>42.433307999999997</v>
      </c>
      <c r="C1051" s="76">
        <v>42.696686</v>
      </c>
      <c r="D1051" s="76">
        <v>42.286982999999999</v>
      </c>
      <c r="E1051" s="76">
        <v>42.630839999999999</v>
      </c>
      <c r="F1051" s="76">
        <v>25.01615</v>
      </c>
      <c r="G1051" s="79">
        <v>363400</v>
      </c>
    </row>
    <row r="1052" spans="1:7" x14ac:dyDescent="0.25">
      <c r="A1052" s="1" t="s">
        <v>1175</v>
      </c>
      <c r="B1052" s="76">
        <v>42.762531000000003</v>
      </c>
      <c r="C1052" s="76">
        <v>42.799109999999999</v>
      </c>
      <c r="D1052" s="76">
        <v>42.440624</v>
      </c>
      <c r="E1052" s="76">
        <v>42.791794000000003</v>
      </c>
      <c r="F1052" s="76">
        <v>25.110607000000002</v>
      </c>
      <c r="G1052" s="79">
        <v>274100</v>
      </c>
    </row>
    <row r="1053" spans="1:7" x14ac:dyDescent="0.25">
      <c r="A1053" s="1" t="s">
        <v>1176</v>
      </c>
      <c r="B1053" s="76">
        <v>43.018593000000003</v>
      </c>
      <c r="C1053" s="76">
        <v>43.033225999999999</v>
      </c>
      <c r="D1053" s="76">
        <v>42.323566</v>
      </c>
      <c r="E1053" s="76">
        <v>42.323566</v>
      </c>
      <c r="F1053" s="76">
        <v>24.835842</v>
      </c>
      <c r="G1053" s="79">
        <v>517100</v>
      </c>
    </row>
    <row r="1054" spans="1:7" x14ac:dyDescent="0.25">
      <c r="A1054" s="1" t="s">
        <v>1177</v>
      </c>
      <c r="B1054" s="76">
        <v>42.330883</v>
      </c>
      <c r="C1054" s="76">
        <v>42.330883</v>
      </c>
      <c r="D1054" s="76">
        <v>41.994343000000001</v>
      </c>
      <c r="E1054" s="76">
        <v>41.994343000000001</v>
      </c>
      <c r="F1054" s="76">
        <v>24.642652999999999</v>
      </c>
      <c r="G1054" s="79">
        <v>530500</v>
      </c>
    </row>
    <row r="1055" spans="1:7" x14ac:dyDescent="0.25">
      <c r="A1055" s="1" t="s">
        <v>1178</v>
      </c>
      <c r="B1055" s="76">
        <v>42.030921999999997</v>
      </c>
      <c r="C1055" s="76">
        <v>42.213825</v>
      </c>
      <c r="D1055" s="76">
        <v>42.001655999999997</v>
      </c>
      <c r="E1055" s="76">
        <v>42.104084</v>
      </c>
      <c r="F1055" s="76">
        <v>24.707048</v>
      </c>
      <c r="G1055" s="79">
        <v>450100</v>
      </c>
    </row>
    <row r="1056" spans="1:7" x14ac:dyDescent="0.25">
      <c r="A1056" s="1" t="s">
        <v>1179</v>
      </c>
      <c r="B1056" s="76">
        <v>42.104084</v>
      </c>
      <c r="C1056" s="76">
        <v>42.104084</v>
      </c>
      <c r="D1056" s="76">
        <v>41.884602000000001</v>
      </c>
      <c r="E1056" s="76">
        <v>41.891914</v>
      </c>
      <c r="F1056" s="76">
        <v>24.582547999999999</v>
      </c>
      <c r="G1056" s="79">
        <v>398700</v>
      </c>
    </row>
    <row r="1057" spans="1:7" x14ac:dyDescent="0.25">
      <c r="A1057" s="1" t="s">
        <v>1180</v>
      </c>
      <c r="B1057" s="76">
        <v>42.030921999999997</v>
      </c>
      <c r="C1057" s="76">
        <v>42.484520000000003</v>
      </c>
      <c r="D1057" s="76">
        <v>41.994343000000001</v>
      </c>
      <c r="E1057" s="76">
        <v>42.104084</v>
      </c>
      <c r="F1057" s="76">
        <v>24.707048</v>
      </c>
      <c r="G1057" s="79">
        <v>569400</v>
      </c>
    </row>
    <row r="1058" spans="1:7" x14ac:dyDescent="0.25">
      <c r="A1058" s="1" t="s">
        <v>1181</v>
      </c>
      <c r="B1058" s="76">
        <v>42.272354</v>
      </c>
      <c r="C1058" s="76">
        <v>42.872271999999903</v>
      </c>
      <c r="D1058" s="76">
        <v>42.228454999999997</v>
      </c>
      <c r="E1058" s="76">
        <v>42.872271999999903</v>
      </c>
      <c r="F1058" s="76">
        <v>25.157829</v>
      </c>
      <c r="G1058" s="79">
        <v>610000</v>
      </c>
    </row>
    <row r="1059" spans="1:7" x14ac:dyDescent="0.25">
      <c r="A1059" s="1" t="s">
        <v>1182</v>
      </c>
      <c r="B1059" s="76">
        <v>42.872271999999903</v>
      </c>
      <c r="C1059" s="76">
        <v>43.238075000000002</v>
      </c>
      <c r="D1059" s="76">
        <v>42.762531000000003</v>
      </c>
      <c r="E1059" s="76">
        <v>43.238075000000002</v>
      </c>
      <c r="F1059" s="76">
        <v>25.372485999999999</v>
      </c>
      <c r="G1059" s="79">
        <v>505700</v>
      </c>
    </row>
    <row r="1060" spans="1:7" x14ac:dyDescent="0.25">
      <c r="A1060" s="1" t="s">
        <v>1183</v>
      </c>
      <c r="B1060" s="76">
        <v>43.238075000000002</v>
      </c>
      <c r="C1060" s="76">
        <v>43.640461000000002</v>
      </c>
      <c r="D1060" s="76">
        <v>43.164916999999903</v>
      </c>
      <c r="E1060" s="76">
        <v>43.530720000000002</v>
      </c>
      <c r="F1060" s="76">
        <v>25.544218000000001</v>
      </c>
      <c r="G1060" s="79">
        <v>650300</v>
      </c>
    </row>
    <row r="1061" spans="1:7" x14ac:dyDescent="0.25">
      <c r="A1061" s="1" t="s">
        <v>1184</v>
      </c>
      <c r="B1061" s="76">
        <v>43.530720000000002</v>
      </c>
      <c r="C1061" s="76">
        <v>43.896522999999902</v>
      </c>
      <c r="D1061" s="76">
        <v>43.399028999999999</v>
      </c>
      <c r="E1061" s="76">
        <v>43.538035999999998</v>
      </c>
      <c r="F1061" s="76">
        <v>25.548525000000001</v>
      </c>
      <c r="G1061" s="79">
        <v>464100</v>
      </c>
    </row>
    <row r="1062" spans="1:7" x14ac:dyDescent="0.25">
      <c r="A1062" s="1" t="s">
        <v>1185</v>
      </c>
      <c r="B1062" s="76">
        <v>43.494140999999999</v>
      </c>
      <c r="C1062" s="76">
        <v>43.750202000000002</v>
      </c>
      <c r="D1062" s="76">
        <v>43.494140999999999</v>
      </c>
      <c r="E1062" s="76">
        <v>43.742885999999999</v>
      </c>
      <c r="F1062" s="76">
        <v>25.668714999999999</v>
      </c>
      <c r="G1062" s="79">
        <v>439300</v>
      </c>
    </row>
    <row r="1063" spans="1:7" x14ac:dyDescent="0.25">
      <c r="A1063" s="1" t="s">
        <v>1186</v>
      </c>
      <c r="B1063" s="76">
        <v>43.399028999999999</v>
      </c>
      <c r="C1063" s="76">
        <v>43.677039999999998</v>
      </c>
      <c r="D1063" s="76">
        <v>43.238075000000002</v>
      </c>
      <c r="E1063" s="76">
        <v>43.274658000000002</v>
      </c>
      <c r="F1063" s="76">
        <v>25.393957</v>
      </c>
      <c r="G1063" s="79">
        <v>376800</v>
      </c>
    </row>
    <row r="1064" spans="1:7" x14ac:dyDescent="0.25">
      <c r="A1064" s="1" t="s">
        <v>1187</v>
      </c>
      <c r="B1064" s="76">
        <v>43.303921000000003</v>
      </c>
      <c r="C1064" s="76">
        <v>43.896522999999902</v>
      </c>
      <c r="D1064" s="76">
        <v>43.281970999999999</v>
      </c>
      <c r="E1064" s="76">
        <v>43.896522999999902</v>
      </c>
      <c r="F1064" s="76">
        <v>25.758876999999998</v>
      </c>
      <c r="G1064" s="79">
        <v>495000</v>
      </c>
    </row>
    <row r="1065" spans="1:7" x14ac:dyDescent="0.25">
      <c r="A1065" s="1" t="s">
        <v>1188</v>
      </c>
      <c r="B1065" s="76">
        <v>43.896522999999902</v>
      </c>
      <c r="C1065" s="76">
        <v>43.896522999999902</v>
      </c>
      <c r="D1065" s="76">
        <v>43.223441999999999</v>
      </c>
      <c r="E1065" s="76">
        <v>43.230758999999999</v>
      </c>
      <c r="F1065" s="76">
        <v>25.368195</v>
      </c>
      <c r="G1065" s="79">
        <v>566400</v>
      </c>
    </row>
    <row r="1066" spans="1:7" x14ac:dyDescent="0.25">
      <c r="A1066" s="1" t="s">
        <v>1189</v>
      </c>
      <c r="B1066" s="76">
        <v>43.596564999999998</v>
      </c>
      <c r="C1066" s="76">
        <v>43.845309999999998</v>
      </c>
      <c r="D1066" s="76">
        <v>43.559981999999998</v>
      </c>
      <c r="E1066" s="76">
        <v>43.713622999999998</v>
      </c>
      <c r="F1066" s="76">
        <v>25.651539</v>
      </c>
      <c r="G1066" s="79">
        <v>670000</v>
      </c>
    </row>
    <row r="1067" spans="1:7" x14ac:dyDescent="0.25">
      <c r="A1067" s="1" t="s">
        <v>1190</v>
      </c>
      <c r="B1067" s="76">
        <v>43.859943000000001</v>
      </c>
      <c r="C1067" s="76">
        <v>44.262329000000001</v>
      </c>
      <c r="D1067" s="76">
        <v>43.764834999999998</v>
      </c>
      <c r="E1067" s="76">
        <v>44.167217000000001</v>
      </c>
      <c r="F1067" s="76">
        <v>25.917708999999999</v>
      </c>
      <c r="G1067" s="79">
        <v>862200</v>
      </c>
    </row>
    <row r="1068" spans="1:7" x14ac:dyDescent="0.25">
      <c r="A1068" s="1" t="s">
        <v>1191</v>
      </c>
      <c r="B1068" s="76">
        <v>44.225746000000001</v>
      </c>
      <c r="C1068" s="76">
        <v>44.372070000000001</v>
      </c>
      <c r="D1068" s="76">
        <v>44.152588000000002</v>
      </c>
      <c r="E1068" s="76">
        <v>44.247695999999998</v>
      </c>
      <c r="F1068" s="76">
        <v>25.964942999999899</v>
      </c>
      <c r="G1068" s="79">
        <v>931200</v>
      </c>
    </row>
    <row r="1069" spans="1:7" x14ac:dyDescent="0.25">
      <c r="A1069" s="1" t="s">
        <v>1192</v>
      </c>
      <c r="B1069" s="76">
        <v>44.269646000000002</v>
      </c>
      <c r="C1069" s="76">
        <v>44.533023999999997</v>
      </c>
      <c r="D1069" s="76">
        <v>44.181849999999997</v>
      </c>
      <c r="E1069" s="76">
        <v>44.533023999999997</v>
      </c>
      <c r="F1069" s="76">
        <v>26.132384999999999</v>
      </c>
      <c r="G1069" s="79">
        <v>569500</v>
      </c>
    </row>
    <row r="1070" spans="1:7" x14ac:dyDescent="0.25">
      <c r="A1070" s="1" t="s">
        <v>1193</v>
      </c>
      <c r="B1070" s="76">
        <v>44.518390999999902</v>
      </c>
      <c r="C1070" s="76">
        <v>44.518390999999902</v>
      </c>
      <c r="D1070" s="76">
        <v>43.435611999999999</v>
      </c>
      <c r="E1070" s="76">
        <v>43.450240999999998</v>
      </c>
      <c r="F1070" s="76">
        <v>25.496988000000002</v>
      </c>
      <c r="G1070" s="79">
        <v>1138700</v>
      </c>
    </row>
    <row r="1071" spans="1:7" x14ac:dyDescent="0.25">
      <c r="A1071" s="1" t="s">
        <v>1194</v>
      </c>
      <c r="B1071" s="76">
        <v>43.450240999999998</v>
      </c>
      <c r="C1071" s="76">
        <v>43.603881999999999</v>
      </c>
      <c r="D1071" s="76">
        <v>41.921180999999997</v>
      </c>
      <c r="E1071" s="76">
        <v>42.052872000000001</v>
      </c>
      <c r="F1071" s="76">
        <v>24.676995999999999</v>
      </c>
      <c r="G1071" s="79">
        <v>1539400</v>
      </c>
    </row>
    <row r="1072" spans="1:7" x14ac:dyDescent="0.25">
      <c r="A1072" s="1" t="s">
        <v>1195</v>
      </c>
      <c r="B1072" s="76">
        <v>42.052872000000001</v>
      </c>
      <c r="C1072" s="76">
        <v>42.052872000000001</v>
      </c>
      <c r="D1072" s="76">
        <v>39.616610999999999</v>
      </c>
      <c r="E1072" s="76">
        <v>40.970089000000002</v>
      </c>
      <c r="F1072" s="76">
        <v>24.041618</v>
      </c>
      <c r="G1072" s="79">
        <v>2036600</v>
      </c>
    </row>
    <row r="1073" spans="1:7" x14ac:dyDescent="0.25">
      <c r="A1073" s="1" t="s">
        <v>1196</v>
      </c>
      <c r="B1073" s="76">
        <v>40.970089000000002</v>
      </c>
      <c r="C1073" s="76">
        <v>41.811439999999997</v>
      </c>
      <c r="D1073" s="76">
        <v>40.421382999999999</v>
      </c>
      <c r="E1073" s="76">
        <v>41.474899000000001</v>
      </c>
      <c r="F1073" s="76">
        <v>24.337838999999999</v>
      </c>
      <c r="G1073" s="79">
        <v>1769200</v>
      </c>
    </row>
    <row r="1074" spans="1:7" x14ac:dyDescent="0.25">
      <c r="A1074" s="1" t="s">
        <v>1197</v>
      </c>
      <c r="B1074" s="76">
        <v>41.394421000000001</v>
      </c>
      <c r="C1074" s="76">
        <v>41.591957000000001</v>
      </c>
      <c r="D1074" s="76">
        <v>40.355536999999998</v>
      </c>
      <c r="E1074" s="76">
        <v>40.501857999999999</v>
      </c>
      <c r="F1074" s="76">
        <v>23.766853000000001</v>
      </c>
      <c r="G1074" s="79">
        <v>899200</v>
      </c>
    </row>
    <row r="1075" spans="1:7" x14ac:dyDescent="0.25">
      <c r="A1075" s="1" t="s">
        <v>1198</v>
      </c>
      <c r="B1075" s="76">
        <v>40.501857999999999</v>
      </c>
      <c r="C1075" s="76">
        <v>40.501857999999999</v>
      </c>
      <c r="D1075" s="76">
        <v>37.077930000000002</v>
      </c>
      <c r="E1075" s="76">
        <v>38.380195999999998</v>
      </c>
      <c r="F1075" s="76">
        <v>22.521834999999999</v>
      </c>
      <c r="G1075" s="79">
        <v>2118700</v>
      </c>
    </row>
    <row r="1076" spans="1:7" x14ac:dyDescent="0.25">
      <c r="A1076" s="1" t="s">
        <v>1199</v>
      </c>
      <c r="B1076" s="76">
        <v>38.043655000000001</v>
      </c>
      <c r="C1076" s="76">
        <v>39.272758000000003</v>
      </c>
      <c r="D1076" s="76">
        <v>37.494948999999998</v>
      </c>
      <c r="E1076" s="76">
        <v>38.080234999999902</v>
      </c>
      <c r="F1076" s="76">
        <v>22.345822999999999</v>
      </c>
      <c r="G1076" s="79">
        <v>1438400</v>
      </c>
    </row>
    <row r="1077" spans="1:7" x14ac:dyDescent="0.25">
      <c r="A1077" s="1" t="s">
        <v>1200</v>
      </c>
      <c r="B1077" s="76">
        <v>37.751010999999998</v>
      </c>
      <c r="C1077" s="76">
        <v>38.402141999999998</v>
      </c>
      <c r="D1077" s="76">
        <v>37.494948999999998</v>
      </c>
      <c r="E1077" s="76">
        <v>37.633952999999998</v>
      </c>
      <c r="F1077" s="76">
        <v>22.083931</v>
      </c>
      <c r="G1077" s="79">
        <v>1408300</v>
      </c>
    </row>
    <row r="1078" spans="1:7" x14ac:dyDescent="0.25">
      <c r="A1078" s="1" t="s">
        <v>1201</v>
      </c>
      <c r="B1078" s="76">
        <v>37.677849000000002</v>
      </c>
      <c r="C1078" s="76">
        <v>38.760632000000001</v>
      </c>
      <c r="D1078" s="76">
        <v>37.421787000000002</v>
      </c>
      <c r="E1078" s="76">
        <v>38.760632000000001</v>
      </c>
      <c r="F1078" s="76">
        <v>22.745086999999899</v>
      </c>
      <c r="G1078" s="79">
        <v>993100</v>
      </c>
    </row>
    <row r="1079" spans="1:7" x14ac:dyDescent="0.25">
      <c r="A1079" s="1" t="s">
        <v>1202</v>
      </c>
      <c r="B1079" s="76">
        <v>38.921585</v>
      </c>
      <c r="C1079" s="76">
        <v>40.055576000000002</v>
      </c>
      <c r="D1079" s="76">
        <v>38.921585</v>
      </c>
      <c r="E1079" s="76">
        <v>39.199596</v>
      </c>
      <c r="F1079" s="76">
        <v>23.002669999999998</v>
      </c>
      <c r="G1079" s="79">
        <v>824300</v>
      </c>
    </row>
    <row r="1080" spans="1:7" x14ac:dyDescent="0.25">
      <c r="A1080" s="1" t="s">
        <v>1203</v>
      </c>
      <c r="B1080" s="76">
        <v>39.258125</v>
      </c>
      <c r="C1080" s="76">
        <v>39.616610999999999</v>
      </c>
      <c r="D1080" s="76">
        <v>38.358246000000001</v>
      </c>
      <c r="E1080" s="76">
        <v>39.580032000000003</v>
      </c>
      <c r="F1080" s="76">
        <v>23.225909999999999</v>
      </c>
      <c r="G1080" s="79">
        <v>663500</v>
      </c>
    </row>
    <row r="1081" spans="1:7" x14ac:dyDescent="0.25">
      <c r="A1081" s="1" t="s">
        <v>1204</v>
      </c>
      <c r="B1081" s="76">
        <v>39.580032000000003</v>
      </c>
      <c r="C1081" s="76">
        <v>39.580032000000003</v>
      </c>
      <c r="D1081" s="76">
        <v>37.948543999999998</v>
      </c>
      <c r="E1081" s="76">
        <v>38.058284999999998</v>
      </c>
      <c r="F1081" s="76">
        <v>22.332943</v>
      </c>
      <c r="G1081" s="79">
        <v>908600</v>
      </c>
    </row>
    <row r="1082" spans="1:7" x14ac:dyDescent="0.25">
      <c r="A1082" s="1" t="s">
        <v>1205</v>
      </c>
      <c r="B1082" s="76">
        <v>38.043655000000001</v>
      </c>
      <c r="C1082" s="76">
        <v>38.372878999999998</v>
      </c>
      <c r="D1082" s="76">
        <v>37.560790999999902</v>
      </c>
      <c r="E1082" s="76">
        <v>37.765644000000002</v>
      </c>
      <c r="F1082" s="76">
        <v>22.161217000000001</v>
      </c>
      <c r="G1082" s="79">
        <v>771800</v>
      </c>
    </row>
    <row r="1083" spans="1:7" x14ac:dyDescent="0.25">
      <c r="A1083" s="1" t="s">
        <v>1206</v>
      </c>
      <c r="B1083" s="76">
        <v>37.890014999999998</v>
      </c>
      <c r="C1083" s="76">
        <v>38.987431000000001</v>
      </c>
      <c r="D1083" s="76">
        <v>37.860751999999998</v>
      </c>
      <c r="E1083" s="76">
        <v>38.526516000000001</v>
      </c>
      <c r="F1083" s="76">
        <v>22.607700000000001</v>
      </c>
      <c r="G1083" s="79">
        <v>408300</v>
      </c>
    </row>
    <row r="1084" spans="1:7" x14ac:dyDescent="0.25">
      <c r="A1084" s="1" t="s">
        <v>1207</v>
      </c>
      <c r="B1084" s="76">
        <v>38.811844000000001</v>
      </c>
      <c r="C1084" s="76">
        <v>38.811844000000001</v>
      </c>
      <c r="D1084" s="76">
        <v>37.970492999999998</v>
      </c>
      <c r="E1084" s="76">
        <v>38.109496999999998</v>
      </c>
      <c r="F1084" s="76">
        <v>22.362991000000001</v>
      </c>
      <c r="G1084" s="79">
        <v>415800</v>
      </c>
    </row>
    <row r="1085" spans="1:7" x14ac:dyDescent="0.25">
      <c r="A1085" s="1" t="s">
        <v>1208</v>
      </c>
      <c r="B1085" s="76">
        <v>38.116813999999998</v>
      </c>
      <c r="C1085" s="76">
        <v>38.767947999999997</v>
      </c>
      <c r="D1085" s="76">
        <v>38.080234999999902</v>
      </c>
      <c r="E1085" s="76">
        <v>38.336295999999997</v>
      </c>
      <c r="F1085" s="76">
        <v>22.496077</v>
      </c>
      <c r="G1085" s="79">
        <v>424200</v>
      </c>
    </row>
    <row r="1086" spans="1:7" x14ac:dyDescent="0.25">
      <c r="A1086" s="1" t="s">
        <v>1209</v>
      </c>
      <c r="B1086" s="76">
        <v>38.482619999999997</v>
      </c>
      <c r="C1086" s="76">
        <v>38.789893999999997</v>
      </c>
      <c r="D1086" s="76">
        <v>38.343612999999998</v>
      </c>
      <c r="E1086" s="76">
        <v>38.709418999999997</v>
      </c>
      <c r="F1086" s="76">
        <v>22.715033999999999</v>
      </c>
      <c r="G1086" s="79">
        <v>452400</v>
      </c>
    </row>
    <row r="1087" spans="1:7" x14ac:dyDescent="0.25">
      <c r="A1087" s="1" t="s">
        <v>1210</v>
      </c>
      <c r="B1087" s="76">
        <v>39.133750999999997</v>
      </c>
      <c r="C1087" s="76">
        <v>39.133750999999997</v>
      </c>
      <c r="D1087" s="76">
        <v>38.409458000000001</v>
      </c>
      <c r="E1087" s="76">
        <v>38.745998</v>
      </c>
      <c r="F1087" s="76">
        <v>22.736498000000001</v>
      </c>
      <c r="G1087" s="79">
        <v>456600</v>
      </c>
    </row>
    <row r="1088" spans="1:7" x14ac:dyDescent="0.25">
      <c r="A1088" s="1" t="s">
        <v>1211</v>
      </c>
      <c r="B1088" s="76">
        <v>38.409458000000001</v>
      </c>
      <c r="C1088" s="76">
        <v>38.46067</v>
      </c>
      <c r="D1088" s="76">
        <v>37.173037999999998</v>
      </c>
      <c r="E1088" s="76">
        <v>37.407153999999998</v>
      </c>
      <c r="F1088" s="76">
        <v>22.249133999999898</v>
      </c>
      <c r="G1088" s="79">
        <v>972800</v>
      </c>
    </row>
    <row r="1089" spans="1:7" x14ac:dyDescent="0.25">
      <c r="A1089" s="1" t="s">
        <v>1212</v>
      </c>
      <c r="B1089" s="76">
        <v>37.370575000000002</v>
      </c>
      <c r="C1089" s="76">
        <v>37.509578999999903</v>
      </c>
      <c r="D1089" s="76">
        <v>36.690178000000003</v>
      </c>
      <c r="E1089" s="76">
        <v>36.909659999999903</v>
      </c>
      <c r="F1089" s="76">
        <v>21.953227999999999</v>
      </c>
      <c r="G1089" s="79">
        <v>776300</v>
      </c>
    </row>
    <row r="1090" spans="1:7" x14ac:dyDescent="0.25">
      <c r="A1090" s="1" t="s">
        <v>1213</v>
      </c>
      <c r="B1090" s="76">
        <v>36.580436999999897</v>
      </c>
      <c r="C1090" s="76">
        <v>37.290095999999998</v>
      </c>
      <c r="D1090" s="76">
        <v>36.404850000000003</v>
      </c>
      <c r="E1090" s="76">
        <v>37.231566999999998</v>
      </c>
      <c r="F1090" s="76">
        <v>22.144691000000002</v>
      </c>
      <c r="G1090" s="79">
        <v>898800</v>
      </c>
    </row>
    <row r="1091" spans="1:7" x14ac:dyDescent="0.25">
      <c r="A1091" s="1" t="s">
        <v>1214</v>
      </c>
      <c r="B1091" s="76">
        <v>37.275463000000002</v>
      </c>
      <c r="C1091" s="76">
        <v>37.897331000000001</v>
      </c>
      <c r="D1091" s="76">
        <v>37.092564000000003</v>
      </c>
      <c r="E1091" s="76">
        <v>37.304728999999902</v>
      </c>
      <c r="F1091" s="76">
        <v>22.188206000000001</v>
      </c>
      <c r="G1091" s="79">
        <v>1116300</v>
      </c>
    </row>
    <row r="1092" spans="1:7" x14ac:dyDescent="0.25">
      <c r="A1092" s="1" t="s">
        <v>1215</v>
      </c>
      <c r="B1092" s="76">
        <v>37.304728999999902</v>
      </c>
      <c r="C1092" s="76">
        <v>37.633952999999998</v>
      </c>
      <c r="D1092" s="76">
        <v>36.960872999999999</v>
      </c>
      <c r="E1092" s="76">
        <v>36.960872999999999</v>
      </c>
      <c r="F1092" s="76">
        <v>21.983692000000001</v>
      </c>
      <c r="G1092" s="79">
        <v>418000</v>
      </c>
    </row>
    <row r="1093" spans="1:7" x14ac:dyDescent="0.25">
      <c r="A1093" s="1" t="s">
        <v>1216</v>
      </c>
      <c r="B1093" s="76">
        <v>37.019401999999999</v>
      </c>
      <c r="C1093" s="76">
        <v>37.312046000000002</v>
      </c>
      <c r="D1093" s="76">
        <v>36.624332000000003</v>
      </c>
      <c r="E1093" s="76">
        <v>37.246200999999999</v>
      </c>
      <c r="F1093" s="76">
        <v>22.153399</v>
      </c>
      <c r="G1093" s="79">
        <v>445800</v>
      </c>
    </row>
    <row r="1094" spans="1:7" x14ac:dyDescent="0.25">
      <c r="A1094" s="1" t="s">
        <v>1217</v>
      </c>
      <c r="B1094" s="76">
        <v>37.092564000000003</v>
      </c>
      <c r="C1094" s="76">
        <v>37.092564000000003</v>
      </c>
      <c r="D1094" s="76">
        <v>35.446441999999998</v>
      </c>
      <c r="E1094" s="76">
        <v>35.556182999999997</v>
      </c>
      <c r="F1094" s="76">
        <v>21.148201</v>
      </c>
      <c r="G1094" s="79">
        <v>887700</v>
      </c>
    </row>
    <row r="1095" spans="1:7" x14ac:dyDescent="0.25">
      <c r="A1095" s="1" t="s">
        <v>1218</v>
      </c>
      <c r="B1095" s="76">
        <v>35.226959000000001</v>
      </c>
      <c r="C1095" s="76">
        <v>35.622028</v>
      </c>
      <c r="D1095" s="76">
        <v>34.385609000000002</v>
      </c>
      <c r="E1095" s="76">
        <v>35.183064000000002</v>
      </c>
      <c r="F1095" s="76">
        <v>20.926280999999999</v>
      </c>
      <c r="G1095" s="79">
        <v>1203700</v>
      </c>
    </row>
    <row r="1096" spans="1:7" x14ac:dyDescent="0.25">
      <c r="A1096" s="1" t="s">
        <v>1219</v>
      </c>
      <c r="B1096" s="76">
        <v>35.278171999999998</v>
      </c>
      <c r="C1096" s="76">
        <v>35.834193999999997</v>
      </c>
      <c r="D1096" s="76">
        <v>35.161113999999998</v>
      </c>
      <c r="E1096" s="76">
        <v>35.600082</v>
      </c>
      <c r="F1096" s="76">
        <v>21.174313000000001</v>
      </c>
      <c r="G1096" s="79">
        <v>520400</v>
      </c>
    </row>
    <row r="1097" spans="1:7" x14ac:dyDescent="0.25">
      <c r="A1097" s="1" t="s">
        <v>1220</v>
      </c>
      <c r="B1097" s="76">
        <v>35.446441999999998</v>
      </c>
      <c r="C1097" s="76">
        <v>36.060992999999897</v>
      </c>
      <c r="D1097" s="76">
        <v>35.278171999999998</v>
      </c>
      <c r="E1097" s="76">
        <v>35.878093999999997</v>
      </c>
      <c r="F1097" s="76">
        <v>21.339672</v>
      </c>
      <c r="G1097" s="79">
        <v>610300</v>
      </c>
    </row>
    <row r="1098" spans="1:7" x14ac:dyDescent="0.25">
      <c r="A1098" s="1" t="s">
        <v>1221</v>
      </c>
      <c r="B1098" s="76">
        <v>35.958568999999997</v>
      </c>
      <c r="C1098" s="76">
        <v>36.543858</v>
      </c>
      <c r="D1098" s="76">
        <v>35.885406000000003</v>
      </c>
      <c r="E1098" s="76">
        <v>35.965885</v>
      </c>
      <c r="F1098" s="76">
        <v>21.391893</v>
      </c>
      <c r="G1098" s="79">
        <v>662500</v>
      </c>
    </row>
    <row r="1099" spans="1:7" x14ac:dyDescent="0.25">
      <c r="A1099" s="1" t="s">
        <v>1222</v>
      </c>
      <c r="B1099" s="76">
        <v>36.082943</v>
      </c>
      <c r="C1099" s="76">
        <v>37.092564000000003</v>
      </c>
      <c r="D1099" s="76">
        <v>36.024414</v>
      </c>
      <c r="E1099" s="76">
        <v>36.734074</v>
      </c>
      <c r="F1099" s="76">
        <v>21.848786999999898</v>
      </c>
      <c r="G1099" s="79">
        <v>436900</v>
      </c>
    </row>
    <row r="1100" spans="1:7" x14ac:dyDescent="0.25">
      <c r="A1100" s="1" t="s">
        <v>1223</v>
      </c>
      <c r="B1100" s="76">
        <v>36.617016</v>
      </c>
      <c r="C1100" s="76">
        <v>37.575423999999998</v>
      </c>
      <c r="D1100" s="76">
        <v>36.207316999999897</v>
      </c>
      <c r="E1100" s="76">
        <v>36.982821999999999</v>
      </c>
      <c r="F1100" s="76">
        <v>21.996749999999999</v>
      </c>
      <c r="G1100" s="79">
        <v>555400</v>
      </c>
    </row>
    <row r="1101" spans="1:7" x14ac:dyDescent="0.25">
      <c r="A1101" s="1" t="s">
        <v>1224</v>
      </c>
      <c r="B1101" s="76">
        <v>36.990138999999999</v>
      </c>
      <c r="C1101" s="76">
        <v>37.897331000000001</v>
      </c>
      <c r="D1101" s="76">
        <v>36.909659999999903</v>
      </c>
      <c r="E1101" s="76">
        <v>37.897331000000001</v>
      </c>
      <c r="F1101" s="76">
        <v>22.540678</v>
      </c>
      <c r="G1101" s="79">
        <v>548500</v>
      </c>
    </row>
    <row r="1102" spans="1:7" x14ac:dyDescent="0.25">
      <c r="A1102" s="1" t="s">
        <v>1225</v>
      </c>
      <c r="B1102" s="76">
        <v>37.911963999999998</v>
      </c>
      <c r="C1102" s="76">
        <v>38.372878999999998</v>
      </c>
      <c r="D1102" s="76">
        <v>36.587752999999999</v>
      </c>
      <c r="E1102" s="76">
        <v>36.609698999999999</v>
      </c>
      <c r="F1102" s="76">
        <v>21.774815</v>
      </c>
      <c r="G1102" s="79">
        <v>979500</v>
      </c>
    </row>
    <row r="1103" spans="1:7" x14ac:dyDescent="0.25">
      <c r="A1103" s="1" t="s">
        <v>1226</v>
      </c>
      <c r="B1103" s="76">
        <v>36.704810999999999</v>
      </c>
      <c r="C1103" s="76">
        <v>37.421787000000002</v>
      </c>
      <c r="D1103" s="76">
        <v>36.580436999999897</v>
      </c>
      <c r="E1103" s="76">
        <v>37.216937999999999</v>
      </c>
      <c r="F1103" s="76">
        <v>22.135994</v>
      </c>
      <c r="G1103" s="79">
        <v>608400</v>
      </c>
    </row>
    <row r="1104" spans="1:7" x14ac:dyDescent="0.25">
      <c r="A1104" s="1" t="s">
        <v>1227</v>
      </c>
      <c r="B1104" s="76">
        <v>37.246200999999999</v>
      </c>
      <c r="C1104" s="76">
        <v>37.758327000000001</v>
      </c>
      <c r="D1104" s="76">
        <v>37.224251000000002</v>
      </c>
      <c r="E1104" s="76">
        <v>37.363258000000002</v>
      </c>
      <c r="F1104" s="76">
        <v>22.223022</v>
      </c>
      <c r="G1104" s="79">
        <v>510500</v>
      </c>
    </row>
    <row r="1105" spans="1:7" x14ac:dyDescent="0.25">
      <c r="A1105" s="1" t="s">
        <v>1228</v>
      </c>
      <c r="B1105" s="76">
        <v>37.546162000000002</v>
      </c>
      <c r="C1105" s="76">
        <v>37.999755999999998</v>
      </c>
      <c r="D1105" s="76">
        <v>37.502262000000002</v>
      </c>
      <c r="E1105" s="76">
        <v>37.999755999999998</v>
      </c>
      <c r="F1105" s="76">
        <v>22.601606</v>
      </c>
      <c r="G1105" s="79">
        <v>345900</v>
      </c>
    </row>
    <row r="1106" spans="1:7" x14ac:dyDescent="0.25">
      <c r="A1106" s="1" t="s">
        <v>1229</v>
      </c>
      <c r="B1106" s="76">
        <v>37.999755999999998</v>
      </c>
      <c r="C1106" s="76">
        <v>38.738681999999997</v>
      </c>
      <c r="D1106" s="76">
        <v>37.970492999999998</v>
      </c>
      <c r="E1106" s="76">
        <v>38.724049000000001</v>
      </c>
      <c r="F1106" s="76">
        <v>23.032395999999999</v>
      </c>
      <c r="G1106" s="79">
        <v>444600</v>
      </c>
    </row>
    <row r="1107" spans="1:7" x14ac:dyDescent="0.25">
      <c r="A1107" s="1" t="s">
        <v>1230</v>
      </c>
      <c r="B1107" s="76">
        <v>38.724049000000001</v>
      </c>
      <c r="C1107" s="76">
        <v>39.397129</v>
      </c>
      <c r="D1107" s="76">
        <v>38.482619999999997</v>
      </c>
      <c r="E1107" s="76">
        <v>39.360550000000003</v>
      </c>
      <c r="F1107" s="76">
        <v>23.410972999999998</v>
      </c>
      <c r="G1107" s="79">
        <v>495400</v>
      </c>
    </row>
    <row r="1108" spans="1:7" x14ac:dyDescent="0.25">
      <c r="A1108" s="1" t="s">
        <v>1231</v>
      </c>
      <c r="B1108" s="76">
        <v>39.514187</v>
      </c>
      <c r="C1108" s="76">
        <v>39.645878000000003</v>
      </c>
      <c r="D1108" s="76">
        <v>39.272758000000003</v>
      </c>
      <c r="E1108" s="76">
        <v>39.499553999999897</v>
      </c>
      <c r="F1108" s="76">
        <v>23.493648999999898</v>
      </c>
      <c r="G1108" s="79">
        <v>539100</v>
      </c>
    </row>
    <row r="1109" spans="1:7" x14ac:dyDescent="0.25">
      <c r="A1109" s="1" t="s">
        <v>1232</v>
      </c>
      <c r="B1109" s="76">
        <v>39.506869999999999</v>
      </c>
      <c r="C1109" s="76">
        <v>40.070209999999904</v>
      </c>
      <c r="D1109" s="76">
        <v>39.506869999999999</v>
      </c>
      <c r="E1109" s="76">
        <v>39.982418000000003</v>
      </c>
      <c r="F1109" s="76">
        <v>23.780857000000001</v>
      </c>
      <c r="G1109" s="79">
        <v>504700</v>
      </c>
    </row>
    <row r="1110" spans="1:7" x14ac:dyDescent="0.25">
      <c r="A1110" s="1" t="s">
        <v>1233</v>
      </c>
      <c r="B1110" s="76">
        <v>39.975101000000002</v>
      </c>
      <c r="C1110" s="76">
        <v>39.975101000000002</v>
      </c>
      <c r="D1110" s="76">
        <v>39.250808999999997</v>
      </c>
      <c r="E1110" s="76">
        <v>39.506869999999999</v>
      </c>
      <c r="F1110" s="76">
        <v>23.498009</v>
      </c>
      <c r="G1110" s="79">
        <v>709300</v>
      </c>
    </row>
    <row r="1111" spans="1:7" x14ac:dyDescent="0.25">
      <c r="A1111" s="1" t="s">
        <v>1234</v>
      </c>
      <c r="B1111" s="76">
        <v>39.631245</v>
      </c>
      <c r="C1111" s="76">
        <v>40.055576000000002</v>
      </c>
      <c r="D1111" s="76">
        <v>39.375183</v>
      </c>
      <c r="E1111" s="76">
        <v>40.011681000000003</v>
      </c>
      <c r="F1111" s="76">
        <v>23.798254</v>
      </c>
      <c r="G1111" s="79">
        <v>859800</v>
      </c>
    </row>
    <row r="1112" spans="1:7" x14ac:dyDescent="0.25">
      <c r="A1112" s="1" t="s">
        <v>1235</v>
      </c>
      <c r="B1112" s="76">
        <v>40.194583999999999</v>
      </c>
      <c r="C1112" s="76">
        <v>40.194583999999999</v>
      </c>
      <c r="D1112" s="76">
        <v>39.616610999999999</v>
      </c>
      <c r="E1112" s="76">
        <v>40.158004999999903</v>
      </c>
      <c r="F1112" s="76">
        <v>23.885287999999999</v>
      </c>
      <c r="G1112" s="79">
        <v>762200</v>
      </c>
    </row>
    <row r="1113" spans="1:7" x14ac:dyDescent="0.25">
      <c r="A1113" s="1" t="s">
        <v>1236</v>
      </c>
      <c r="B1113" s="76">
        <v>40.201900000000002</v>
      </c>
      <c r="C1113" s="76">
        <v>40.516490999999903</v>
      </c>
      <c r="D1113" s="76">
        <v>40.106791999999999</v>
      </c>
      <c r="E1113" s="76">
        <v>40.479911999999999</v>
      </c>
      <c r="F1113" s="76">
        <v>24.076750000000001</v>
      </c>
      <c r="G1113" s="79">
        <v>618000</v>
      </c>
    </row>
    <row r="1114" spans="1:7" x14ac:dyDescent="0.25">
      <c r="A1114" s="1" t="s">
        <v>1237</v>
      </c>
      <c r="B1114" s="76">
        <v>40.494545000000002</v>
      </c>
      <c r="C1114" s="76">
        <v>40.750607000000002</v>
      </c>
      <c r="D1114" s="76">
        <v>40.421382999999999</v>
      </c>
      <c r="E1114" s="76">
        <v>40.604286000000002</v>
      </c>
      <c r="F1114" s="76">
        <v>24.150728000000001</v>
      </c>
      <c r="G1114" s="79">
        <v>304300</v>
      </c>
    </row>
    <row r="1115" spans="1:7" x14ac:dyDescent="0.25">
      <c r="A1115" s="1" t="s">
        <v>1238</v>
      </c>
      <c r="B1115" s="76">
        <v>40.611598999999998</v>
      </c>
      <c r="C1115" s="76">
        <v>40.743290000000002</v>
      </c>
      <c r="D1115" s="76">
        <v>40.428699000000002</v>
      </c>
      <c r="E1115" s="76">
        <v>40.618915999999999</v>
      </c>
      <c r="F1115" s="76">
        <v>24.159434999999998</v>
      </c>
      <c r="G1115" s="79">
        <v>302200</v>
      </c>
    </row>
    <row r="1116" spans="1:7" x14ac:dyDescent="0.25">
      <c r="A1116" s="1" t="s">
        <v>1239</v>
      </c>
      <c r="B1116" s="76">
        <v>40.677444000000001</v>
      </c>
      <c r="C1116" s="76">
        <v>40.801819000000002</v>
      </c>
      <c r="D1116" s="76">
        <v>40.465278999999903</v>
      </c>
      <c r="E1116" s="76">
        <v>40.545757000000002</v>
      </c>
      <c r="F1116" s="76">
        <v>24.115910999999901</v>
      </c>
      <c r="G1116" s="79">
        <v>398100</v>
      </c>
    </row>
    <row r="1117" spans="1:7" x14ac:dyDescent="0.25">
      <c r="A1117" s="1" t="s">
        <v>1240</v>
      </c>
      <c r="B1117" s="76">
        <v>40.560386999999999</v>
      </c>
      <c r="C1117" s="76">
        <v>40.684761000000002</v>
      </c>
      <c r="D1117" s="76">
        <v>40.201900000000002</v>
      </c>
      <c r="E1117" s="76">
        <v>40.618915999999999</v>
      </c>
      <c r="F1117" s="76">
        <v>24.159434999999998</v>
      </c>
      <c r="G1117" s="79">
        <v>603900</v>
      </c>
    </row>
    <row r="1118" spans="1:7" x14ac:dyDescent="0.25">
      <c r="A1118" s="1" t="s">
        <v>1241</v>
      </c>
      <c r="B1118" s="76">
        <v>40.238479999999903</v>
      </c>
      <c r="C1118" s="76">
        <v>40.238479999999903</v>
      </c>
      <c r="D1118" s="76">
        <v>39.653193999999999</v>
      </c>
      <c r="E1118" s="76">
        <v>39.916573</v>
      </c>
      <c r="F1118" s="76">
        <v>23.741689999999998</v>
      </c>
      <c r="G1118" s="79">
        <v>826400</v>
      </c>
    </row>
    <row r="1119" spans="1:7" x14ac:dyDescent="0.25">
      <c r="A1119" s="1" t="s">
        <v>1242</v>
      </c>
      <c r="B1119" s="76">
        <v>40.165317999999999</v>
      </c>
      <c r="C1119" s="76">
        <v>40.457962000000002</v>
      </c>
      <c r="D1119" s="76">
        <v>40.121421999999903</v>
      </c>
      <c r="E1119" s="76">
        <v>40.406750000000002</v>
      </c>
      <c r="F1119" s="76">
        <v>24.033235999999999</v>
      </c>
      <c r="G1119" s="79">
        <v>485400</v>
      </c>
    </row>
    <row r="1120" spans="1:7" x14ac:dyDescent="0.25">
      <c r="A1120" s="1" t="s">
        <v>1243</v>
      </c>
      <c r="B1120" s="76">
        <v>40.384803999999903</v>
      </c>
      <c r="C1120" s="76">
        <v>40.735973000000001</v>
      </c>
      <c r="D1120" s="76">
        <v>40.267746000000002</v>
      </c>
      <c r="E1120" s="76">
        <v>40.465278999999903</v>
      </c>
      <c r="F1120" s="76">
        <v>24.068049999999999</v>
      </c>
      <c r="G1120" s="79">
        <v>476900</v>
      </c>
    </row>
    <row r="1121" spans="1:7" x14ac:dyDescent="0.25">
      <c r="A1121" s="1" t="s">
        <v>1244</v>
      </c>
      <c r="B1121" s="76">
        <v>40.633549000000002</v>
      </c>
      <c r="C1121" s="76">
        <v>41.101779999999998</v>
      </c>
      <c r="D1121" s="76">
        <v>40.472594999999998</v>
      </c>
      <c r="E1121" s="76">
        <v>40.992038999999998</v>
      </c>
      <c r="F1121" s="76">
        <v>24.381359</v>
      </c>
      <c r="G1121" s="79">
        <v>789600</v>
      </c>
    </row>
    <row r="1122" spans="1:7" x14ac:dyDescent="0.25">
      <c r="A1122" s="1" t="s">
        <v>1245</v>
      </c>
      <c r="B1122" s="76">
        <v>40.970089000000002</v>
      </c>
      <c r="C1122" s="76">
        <v>41.284678999999997</v>
      </c>
      <c r="D1122" s="76">
        <v>40.853031000000001</v>
      </c>
      <c r="E1122" s="76">
        <v>41.277363000000001</v>
      </c>
      <c r="F1122" s="76">
        <v>24.55106</v>
      </c>
      <c r="G1122" s="79">
        <v>507900</v>
      </c>
    </row>
    <row r="1123" spans="1:7" x14ac:dyDescent="0.25">
      <c r="A1123" s="1" t="s">
        <v>1246</v>
      </c>
      <c r="B1123" s="76">
        <v>41.299312999999998</v>
      </c>
      <c r="C1123" s="76">
        <v>41.474899000000001</v>
      </c>
      <c r="D1123" s="76">
        <v>41.189571000000001</v>
      </c>
      <c r="E1123" s="76">
        <v>41.409053999999998</v>
      </c>
      <c r="F1123" s="76">
        <v>24.629396</v>
      </c>
      <c r="G1123" s="79">
        <v>351300</v>
      </c>
    </row>
    <row r="1124" spans="1:7" x14ac:dyDescent="0.25">
      <c r="A1124" s="1" t="s">
        <v>1247</v>
      </c>
      <c r="B1124" s="76">
        <v>41.350524999999998</v>
      </c>
      <c r="C1124" s="76">
        <v>41.445633000000001</v>
      </c>
      <c r="D1124" s="76">
        <v>41.116408999999997</v>
      </c>
      <c r="E1124" s="76">
        <v>41.350524999999998</v>
      </c>
      <c r="F1124" s="76">
        <v>24.594584000000001</v>
      </c>
      <c r="G1124" s="79">
        <v>598000</v>
      </c>
    </row>
    <row r="1125" spans="1:7" x14ac:dyDescent="0.25">
      <c r="A1125" s="1" t="s">
        <v>1248</v>
      </c>
      <c r="B1125" s="76">
        <v>41.335892000000001</v>
      </c>
      <c r="C1125" s="76">
        <v>41.95776</v>
      </c>
      <c r="D1125" s="76">
        <v>41.262732999999997</v>
      </c>
      <c r="E1125" s="76">
        <v>41.95776</v>
      </c>
      <c r="F1125" s="76">
        <v>24.955750999999999</v>
      </c>
      <c r="G1125" s="79">
        <v>465100</v>
      </c>
    </row>
    <row r="1126" spans="1:7" x14ac:dyDescent="0.25">
      <c r="A1126" s="1" t="s">
        <v>1249</v>
      </c>
      <c r="B1126" s="76">
        <v>41.950443</v>
      </c>
      <c r="C1126" s="76">
        <v>42.104084</v>
      </c>
      <c r="D1126" s="76">
        <v>41.840702</v>
      </c>
      <c r="E1126" s="76">
        <v>42.067501</v>
      </c>
      <c r="F1126" s="76">
        <v>25.021027</v>
      </c>
      <c r="G1126" s="79">
        <v>492600</v>
      </c>
    </row>
    <row r="1127" spans="1:7" x14ac:dyDescent="0.25">
      <c r="A1127" s="1" t="s">
        <v>1250</v>
      </c>
      <c r="B1127" s="76">
        <v>41.994343000000001</v>
      </c>
      <c r="C1127" s="76">
        <v>42.221138000000003</v>
      </c>
      <c r="D1127" s="76">
        <v>41.606589999999997</v>
      </c>
      <c r="E1127" s="76">
        <v>41.95776</v>
      </c>
      <c r="F1127" s="76">
        <v>24.955750999999999</v>
      </c>
      <c r="G1127" s="79">
        <v>524200</v>
      </c>
    </row>
    <row r="1128" spans="1:7" x14ac:dyDescent="0.25">
      <c r="A1128" s="1" t="s">
        <v>1251</v>
      </c>
      <c r="B1128" s="76">
        <v>41.95776</v>
      </c>
      <c r="C1128" s="76">
        <v>42.279666999999897</v>
      </c>
      <c r="D1128" s="76">
        <v>41.884602000000001</v>
      </c>
      <c r="E1128" s="76">
        <v>42.162613</v>
      </c>
      <c r="F1128" s="76">
        <v>25.077598999999999</v>
      </c>
      <c r="G1128" s="79">
        <v>454200</v>
      </c>
    </row>
    <row r="1129" spans="1:7" x14ac:dyDescent="0.25">
      <c r="A1129" s="1" t="s">
        <v>1252</v>
      </c>
      <c r="B1129" s="76">
        <v>42.067501</v>
      </c>
      <c r="C1129" s="76">
        <v>42.067501</v>
      </c>
      <c r="D1129" s="76">
        <v>41.094462999999998</v>
      </c>
      <c r="E1129" s="76">
        <v>41.094462999999998</v>
      </c>
      <c r="F1129" s="76">
        <v>24.442277999999899</v>
      </c>
      <c r="G1129" s="79">
        <v>735500</v>
      </c>
    </row>
    <row r="1130" spans="1:7" x14ac:dyDescent="0.25">
      <c r="A1130" s="1" t="s">
        <v>1253</v>
      </c>
      <c r="B1130" s="76">
        <v>41.094462999999998</v>
      </c>
      <c r="C1130" s="76">
        <v>41.994343000000001</v>
      </c>
      <c r="D1130" s="76">
        <v>40.831080999999998</v>
      </c>
      <c r="E1130" s="76">
        <v>41.782173</v>
      </c>
      <c r="F1130" s="76">
        <v>24.851320000000001</v>
      </c>
      <c r="G1130" s="79">
        <v>762900</v>
      </c>
    </row>
    <row r="1131" spans="1:7" x14ac:dyDescent="0.25">
      <c r="A1131" s="1" t="s">
        <v>1254</v>
      </c>
      <c r="B1131" s="76">
        <v>41.701698</v>
      </c>
      <c r="C1131" s="76">
        <v>41.972392999999997</v>
      </c>
      <c r="D1131" s="76">
        <v>41.233466999999997</v>
      </c>
      <c r="E1131" s="76">
        <v>41.745593999999997</v>
      </c>
      <c r="F1131" s="76">
        <v>24.829560999999899</v>
      </c>
      <c r="G1131" s="79">
        <v>452200</v>
      </c>
    </row>
    <row r="1132" spans="1:7" x14ac:dyDescent="0.25">
      <c r="A1132" s="1" t="s">
        <v>1255</v>
      </c>
      <c r="B1132" s="76">
        <v>42.067501</v>
      </c>
      <c r="C1132" s="76">
        <v>42.952746999999903</v>
      </c>
      <c r="D1132" s="76">
        <v>41.884602000000001</v>
      </c>
      <c r="E1132" s="76">
        <v>42.952746999999903</v>
      </c>
      <c r="F1132" s="76">
        <v>25.547552</v>
      </c>
      <c r="G1132" s="79">
        <v>524200</v>
      </c>
    </row>
    <row r="1133" spans="1:7" x14ac:dyDescent="0.25">
      <c r="A1133" s="1" t="s">
        <v>1256</v>
      </c>
      <c r="B1133" s="76">
        <v>42.938117999999903</v>
      </c>
      <c r="C1133" s="76">
        <v>42.938117999999903</v>
      </c>
      <c r="D1133" s="76">
        <v>42.2943</v>
      </c>
      <c r="E1133" s="76">
        <v>42.689368999999999</v>
      </c>
      <c r="F1133" s="76">
        <v>25.390899999999998</v>
      </c>
      <c r="G1133" s="79">
        <v>364400</v>
      </c>
    </row>
    <row r="1134" spans="1:7" x14ac:dyDescent="0.25">
      <c r="A1134" s="1" t="s">
        <v>1257</v>
      </c>
      <c r="B1134" s="76">
        <v>42.689368999999999</v>
      </c>
      <c r="C1134" s="76">
        <v>43.164916999999903</v>
      </c>
      <c r="D1134" s="76">
        <v>42.579628</v>
      </c>
      <c r="E1134" s="76">
        <v>43.157600000000002</v>
      </c>
      <c r="F1134" s="76">
        <v>25.66939</v>
      </c>
      <c r="G1134" s="79">
        <v>537100</v>
      </c>
    </row>
    <row r="1135" spans="1:7" x14ac:dyDescent="0.25">
      <c r="A1135" s="1" t="s">
        <v>1258</v>
      </c>
      <c r="B1135" s="76">
        <v>43.333182999999998</v>
      </c>
      <c r="C1135" s="76">
        <v>43.420978999999903</v>
      </c>
      <c r="D1135" s="76">
        <v>42.982013999999999</v>
      </c>
      <c r="E1135" s="76">
        <v>42.982013999999999</v>
      </c>
      <c r="F1135" s="76">
        <v>25.564954999999902</v>
      </c>
      <c r="G1135" s="79">
        <v>956800</v>
      </c>
    </row>
    <row r="1136" spans="1:7" x14ac:dyDescent="0.25">
      <c r="A1136" s="1" t="s">
        <v>1259</v>
      </c>
      <c r="B1136" s="76">
        <v>43.091754999999999</v>
      </c>
      <c r="C1136" s="76">
        <v>43.106388000000003</v>
      </c>
      <c r="D1136" s="76">
        <v>42.652790000000003</v>
      </c>
      <c r="E1136" s="76">
        <v>42.784477000000003</v>
      </c>
      <c r="F1136" s="76">
        <v>25.447472000000001</v>
      </c>
      <c r="G1136" s="79">
        <v>728300</v>
      </c>
    </row>
    <row r="1137" spans="1:7" x14ac:dyDescent="0.25">
      <c r="A1137" s="1" t="s">
        <v>1260</v>
      </c>
      <c r="B1137" s="76">
        <v>42.799109999999999</v>
      </c>
      <c r="C1137" s="76">
        <v>43.303921000000003</v>
      </c>
      <c r="D1137" s="76">
        <v>42.601578000000003</v>
      </c>
      <c r="E1137" s="76">
        <v>43.260024999999999</v>
      </c>
      <c r="F1137" s="76">
        <v>25.730314</v>
      </c>
      <c r="G1137" s="79">
        <v>330900</v>
      </c>
    </row>
    <row r="1138" spans="1:7" x14ac:dyDescent="0.25">
      <c r="A1138" s="1" t="s">
        <v>1261</v>
      </c>
      <c r="B1138" s="76">
        <v>43.260024999999999</v>
      </c>
      <c r="C1138" s="76">
        <v>43.399028999999999</v>
      </c>
      <c r="D1138" s="76">
        <v>42.982013999999999</v>
      </c>
      <c r="E1138" s="76">
        <v>43.069805000000002</v>
      </c>
      <c r="F1138" s="76">
        <v>25.617170000000002</v>
      </c>
      <c r="G1138" s="79">
        <v>480700</v>
      </c>
    </row>
    <row r="1139" spans="1:7" x14ac:dyDescent="0.25">
      <c r="A1139" s="1" t="s">
        <v>1262</v>
      </c>
      <c r="B1139" s="76">
        <v>42.982013999999999</v>
      </c>
      <c r="C1139" s="76">
        <v>43.208812999999999</v>
      </c>
      <c r="D1139" s="76">
        <v>42.83569</v>
      </c>
      <c r="E1139" s="76">
        <v>43.201495999999999</v>
      </c>
      <c r="F1139" s="76">
        <v>25.695498999999899</v>
      </c>
      <c r="G1139" s="79">
        <v>398700</v>
      </c>
    </row>
    <row r="1140" spans="1:7" x14ac:dyDescent="0.25">
      <c r="A1140" s="1" t="s">
        <v>1263</v>
      </c>
      <c r="B1140" s="76">
        <v>43.384399000000002</v>
      </c>
      <c r="C1140" s="76">
        <v>43.640461000000002</v>
      </c>
      <c r="D1140" s="76">
        <v>43.238075000000002</v>
      </c>
      <c r="E1140" s="76">
        <v>43.384399000000002</v>
      </c>
      <c r="F1140" s="76">
        <v>25.804290999999999</v>
      </c>
      <c r="G1140" s="79">
        <v>617900</v>
      </c>
    </row>
    <row r="1141" spans="1:7" x14ac:dyDescent="0.25">
      <c r="A1141" s="1" t="s">
        <v>1264</v>
      </c>
      <c r="B1141" s="76">
        <v>43.567298999999998</v>
      </c>
      <c r="C1141" s="76">
        <v>43.677039999999998</v>
      </c>
      <c r="D1141" s="76">
        <v>43.494140999999999</v>
      </c>
      <c r="E1141" s="76">
        <v>43.603881999999999</v>
      </c>
      <c r="F1141" s="76">
        <v>25.934843000000001</v>
      </c>
      <c r="G1141" s="79">
        <v>638900</v>
      </c>
    </row>
    <row r="1142" spans="1:7" x14ac:dyDescent="0.25">
      <c r="A1142" s="1" t="s">
        <v>1265</v>
      </c>
      <c r="B1142" s="76">
        <v>43.684356999999999</v>
      </c>
      <c r="C1142" s="76">
        <v>43.984318000000002</v>
      </c>
      <c r="D1142" s="76">
        <v>43.677039999999998</v>
      </c>
      <c r="E1142" s="76">
        <v>43.750202000000002</v>
      </c>
      <c r="F1142" s="76">
        <v>26.021864000000001</v>
      </c>
      <c r="G1142" s="79">
        <v>814400</v>
      </c>
    </row>
    <row r="1143" spans="1:7" x14ac:dyDescent="0.25">
      <c r="A1143" s="1" t="s">
        <v>1266</v>
      </c>
      <c r="B1143" s="76">
        <v>43.808731000000002</v>
      </c>
      <c r="C1143" s="76">
        <v>43.984318000000002</v>
      </c>
      <c r="D1143" s="76">
        <v>43.713622999999998</v>
      </c>
      <c r="E1143" s="76">
        <v>43.794097999999998</v>
      </c>
      <c r="F1143" s="76">
        <v>26.047974</v>
      </c>
      <c r="G1143" s="79">
        <v>542400</v>
      </c>
    </row>
    <row r="1144" spans="1:7" x14ac:dyDescent="0.25">
      <c r="A1144" s="1" t="s">
        <v>1267</v>
      </c>
      <c r="B1144" s="76">
        <v>43.801414000000001</v>
      </c>
      <c r="C1144" s="76">
        <v>43.823363999999998</v>
      </c>
      <c r="D1144" s="76">
        <v>43.384399000000002</v>
      </c>
      <c r="E1144" s="76">
        <v>43.552669999999999</v>
      </c>
      <c r="F1144" s="76">
        <v>25.904367000000001</v>
      </c>
      <c r="G1144" s="79">
        <v>615200</v>
      </c>
    </row>
    <row r="1145" spans="1:7" x14ac:dyDescent="0.25">
      <c r="A1145" s="1" t="s">
        <v>1268</v>
      </c>
      <c r="B1145" s="76">
        <v>43.494140999999999</v>
      </c>
      <c r="C1145" s="76">
        <v>43.494140999999999</v>
      </c>
      <c r="D1145" s="76">
        <v>42.389408000000003</v>
      </c>
      <c r="E1145" s="76">
        <v>42.506465999999897</v>
      </c>
      <c r="F1145" s="76">
        <v>25.282111999999898</v>
      </c>
      <c r="G1145" s="79">
        <v>783500</v>
      </c>
    </row>
    <row r="1146" spans="1:7" x14ac:dyDescent="0.25">
      <c r="A1146" s="1" t="s">
        <v>1269</v>
      </c>
      <c r="B1146" s="76">
        <v>42.594260999999896</v>
      </c>
      <c r="C1146" s="76">
        <v>42.616207000000003</v>
      </c>
      <c r="D1146" s="76">
        <v>42.191875000000003</v>
      </c>
      <c r="E1146" s="76">
        <v>42.191875000000003</v>
      </c>
      <c r="F1146" s="76">
        <v>25.095006999999999</v>
      </c>
      <c r="G1146" s="79">
        <v>486000</v>
      </c>
    </row>
    <row r="1147" spans="1:7" x14ac:dyDescent="0.25">
      <c r="A1147" s="1" t="s">
        <v>1270</v>
      </c>
      <c r="B1147" s="76">
        <v>42.199191999999996</v>
      </c>
      <c r="C1147" s="76">
        <v>42.199191999999996</v>
      </c>
      <c r="D1147" s="76">
        <v>41.482215999999902</v>
      </c>
      <c r="E1147" s="76">
        <v>41.745593999999997</v>
      </c>
      <c r="F1147" s="76">
        <v>24.829560999999899</v>
      </c>
      <c r="G1147" s="79">
        <v>457400</v>
      </c>
    </row>
    <row r="1148" spans="1:7" x14ac:dyDescent="0.25">
      <c r="A1148" s="1" t="s">
        <v>1271</v>
      </c>
      <c r="B1148" s="76">
        <v>41.906548000000001</v>
      </c>
      <c r="C1148" s="76">
        <v>42.286982999999999</v>
      </c>
      <c r="D1148" s="76">
        <v>41.862651999999997</v>
      </c>
      <c r="E1148" s="76">
        <v>42.111396999999997</v>
      </c>
      <c r="F1148" s="76">
        <v>25.047132000000001</v>
      </c>
      <c r="G1148" s="79">
        <v>322000</v>
      </c>
    </row>
    <row r="1149" spans="1:7" x14ac:dyDescent="0.25">
      <c r="A1149" s="1" t="s">
        <v>1272</v>
      </c>
      <c r="B1149" s="76">
        <v>42.111396999999997</v>
      </c>
      <c r="C1149" s="76">
        <v>42.645472999999903</v>
      </c>
      <c r="D1149" s="76">
        <v>41.752910999999997</v>
      </c>
      <c r="E1149" s="76">
        <v>42.535732000000003</v>
      </c>
      <c r="F1149" s="76">
        <v>25.299522</v>
      </c>
      <c r="G1149" s="79">
        <v>428700</v>
      </c>
    </row>
    <row r="1150" spans="1:7" x14ac:dyDescent="0.25">
      <c r="A1150" s="1" t="s">
        <v>1273</v>
      </c>
      <c r="B1150" s="76">
        <v>42.140663000000004</v>
      </c>
      <c r="C1150" s="76">
        <v>42.769847999999897</v>
      </c>
      <c r="D1150" s="76">
        <v>42.030921999999997</v>
      </c>
      <c r="E1150" s="76">
        <v>42.250403999999897</v>
      </c>
      <c r="F1150" s="76">
        <v>25.440476999999898</v>
      </c>
      <c r="G1150" s="79">
        <v>354300</v>
      </c>
    </row>
    <row r="1151" spans="1:7" x14ac:dyDescent="0.25">
      <c r="A1151" s="1" t="s">
        <v>1274</v>
      </c>
      <c r="B1151" s="76">
        <v>42.250403999999897</v>
      </c>
      <c r="C1151" s="76">
        <v>42.543048999999897</v>
      </c>
      <c r="D1151" s="76">
        <v>42.169925999999997</v>
      </c>
      <c r="E1151" s="76">
        <v>42.499148999999903</v>
      </c>
      <c r="F1151" s="76">
        <v>25.590260000000001</v>
      </c>
      <c r="G1151" s="79">
        <v>242300</v>
      </c>
    </row>
    <row r="1152" spans="1:7" x14ac:dyDescent="0.25">
      <c r="A1152" s="1" t="s">
        <v>1275</v>
      </c>
      <c r="B1152" s="76">
        <v>42.433307999999997</v>
      </c>
      <c r="C1152" s="76">
        <v>43.164916999999903</v>
      </c>
      <c r="D1152" s="76">
        <v>42.052872000000001</v>
      </c>
      <c r="E1152" s="76">
        <v>43.164916999999903</v>
      </c>
      <c r="F1152" s="76">
        <v>25.991147999999999</v>
      </c>
      <c r="G1152" s="79">
        <v>390900</v>
      </c>
    </row>
    <row r="1153" spans="1:7" x14ac:dyDescent="0.25">
      <c r="A1153" s="1" t="s">
        <v>1276</v>
      </c>
      <c r="B1153" s="76">
        <v>43.164916999999903</v>
      </c>
      <c r="C1153" s="76">
        <v>43.457557999999999</v>
      </c>
      <c r="D1153" s="76">
        <v>42.982013999999999</v>
      </c>
      <c r="E1153" s="76">
        <v>43.384399000000002</v>
      </c>
      <c r="F1153" s="76">
        <v>26.123314000000001</v>
      </c>
      <c r="G1153" s="79">
        <v>295600</v>
      </c>
    </row>
    <row r="1154" spans="1:7" x14ac:dyDescent="0.25">
      <c r="A1154" s="1" t="s">
        <v>1277</v>
      </c>
      <c r="B1154" s="76">
        <v>43.442928000000002</v>
      </c>
      <c r="C1154" s="76">
        <v>43.903838999999998</v>
      </c>
      <c r="D1154" s="76">
        <v>43.281970999999999</v>
      </c>
      <c r="E1154" s="76">
        <v>43.896522999999902</v>
      </c>
      <c r="F1154" s="76">
        <v>26.431668999999999</v>
      </c>
      <c r="G1154" s="79">
        <v>334500</v>
      </c>
    </row>
    <row r="1155" spans="1:7" x14ac:dyDescent="0.25">
      <c r="A1155" s="1" t="s">
        <v>1278</v>
      </c>
      <c r="B1155" s="76">
        <v>43.750202000000002</v>
      </c>
      <c r="C1155" s="76">
        <v>43.823363999999998</v>
      </c>
      <c r="D1155" s="76">
        <v>43.011276000000002</v>
      </c>
      <c r="E1155" s="76">
        <v>43.011276000000002</v>
      </c>
      <c r="F1155" s="76">
        <v>25.898627999999999</v>
      </c>
      <c r="G1155" s="79">
        <v>463600</v>
      </c>
    </row>
    <row r="1156" spans="1:7" x14ac:dyDescent="0.25">
      <c r="A1156" s="1" t="s">
        <v>1279</v>
      </c>
      <c r="B1156" s="76">
        <v>43.018593000000003</v>
      </c>
      <c r="C1156" s="76">
        <v>43.808731000000002</v>
      </c>
      <c r="D1156" s="76">
        <v>43.018593000000003</v>
      </c>
      <c r="E1156" s="76">
        <v>43.442928000000002</v>
      </c>
      <c r="F1156" s="76">
        <v>26.158545</v>
      </c>
      <c r="G1156" s="79">
        <v>522600</v>
      </c>
    </row>
    <row r="1157" spans="1:7" x14ac:dyDescent="0.25">
      <c r="A1157" s="1" t="s">
        <v>1280</v>
      </c>
      <c r="B1157" s="76">
        <v>43.589249000000002</v>
      </c>
      <c r="C1157" s="76">
        <v>43.713622999999998</v>
      </c>
      <c r="D1157" s="76">
        <v>43.311236999999998</v>
      </c>
      <c r="E1157" s="76">
        <v>43.311236999999998</v>
      </c>
      <c r="F1157" s="76">
        <v>26.079249999999998</v>
      </c>
      <c r="G1157" s="79">
        <v>226100</v>
      </c>
    </row>
    <row r="1158" spans="1:7" x14ac:dyDescent="0.25">
      <c r="A1158" s="1" t="s">
        <v>1281</v>
      </c>
      <c r="B1158" s="76">
        <v>43.530720000000002</v>
      </c>
      <c r="C1158" s="76">
        <v>44.028213999999998</v>
      </c>
      <c r="D1158" s="76">
        <v>43.516086999999999</v>
      </c>
      <c r="E1158" s="76">
        <v>43.823363999999998</v>
      </c>
      <c r="F1158" s="76">
        <v>26.387616999999999</v>
      </c>
      <c r="G1158" s="79">
        <v>635400</v>
      </c>
    </row>
    <row r="1159" spans="1:7" x14ac:dyDescent="0.25">
      <c r="A1159" s="1" t="s">
        <v>1282</v>
      </c>
      <c r="B1159" s="76">
        <v>43.384399000000002</v>
      </c>
      <c r="C1159" s="76">
        <v>43.896522999999902</v>
      </c>
      <c r="D1159" s="76">
        <v>43.347815999999902</v>
      </c>
      <c r="E1159" s="76">
        <v>43.830680999999998</v>
      </c>
      <c r="F1159" s="76">
        <v>26.392016999999999</v>
      </c>
      <c r="G1159" s="79">
        <v>288600</v>
      </c>
    </row>
    <row r="1160" spans="1:7" x14ac:dyDescent="0.25">
      <c r="A1160" s="1" t="s">
        <v>1283</v>
      </c>
      <c r="B1160" s="76">
        <v>43.823363999999998</v>
      </c>
      <c r="C1160" s="76">
        <v>43.874577000000002</v>
      </c>
      <c r="D1160" s="76">
        <v>43.420978999999903</v>
      </c>
      <c r="E1160" s="76">
        <v>43.472190999999903</v>
      </c>
      <c r="F1160" s="76">
        <v>26.176169999999999</v>
      </c>
      <c r="G1160" s="79">
        <v>372700</v>
      </c>
    </row>
    <row r="1161" spans="1:7" x14ac:dyDescent="0.25">
      <c r="A1161" s="1" t="s">
        <v>1284</v>
      </c>
      <c r="B1161" s="76">
        <v>43.472190999999903</v>
      </c>
      <c r="C1161" s="76">
        <v>43.494140999999999</v>
      </c>
      <c r="D1161" s="76">
        <v>43.238075000000002</v>
      </c>
      <c r="E1161" s="76">
        <v>43.464874000000002</v>
      </c>
      <c r="F1161" s="76">
        <v>26.171764</v>
      </c>
      <c r="G1161" s="79">
        <v>344500</v>
      </c>
    </row>
    <row r="1162" spans="1:7" x14ac:dyDescent="0.25">
      <c r="A1162" s="1" t="s">
        <v>1285</v>
      </c>
      <c r="B1162" s="76">
        <v>43.311236999999998</v>
      </c>
      <c r="C1162" s="76">
        <v>43.998950999999998</v>
      </c>
      <c r="D1162" s="76">
        <v>43.311236999999998</v>
      </c>
      <c r="E1162" s="76">
        <v>43.998950999999998</v>
      </c>
      <c r="F1162" s="76">
        <v>26.493357</v>
      </c>
      <c r="G1162" s="79">
        <v>404400</v>
      </c>
    </row>
    <row r="1163" spans="1:7" x14ac:dyDescent="0.25">
      <c r="A1163" s="1" t="s">
        <v>1286</v>
      </c>
      <c r="B1163" s="76">
        <v>44.152588000000002</v>
      </c>
      <c r="C1163" s="76">
        <v>44.481811999999998</v>
      </c>
      <c r="D1163" s="76">
        <v>44.079425999999998</v>
      </c>
      <c r="E1163" s="76">
        <v>44.481811999999998</v>
      </c>
      <c r="F1163" s="76">
        <v>26.784099999999999</v>
      </c>
      <c r="G1163" s="79">
        <v>281800</v>
      </c>
    </row>
    <row r="1164" spans="1:7" x14ac:dyDescent="0.25">
      <c r="A1164" s="1" t="s">
        <v>1287</v>
      </c>
      <c r="B1164" s="76">
        <v>44.335487000000001</v>
      </c>
      <c r="C1164" s="76">
        <v>44.796402</v>
      </c>
      <c r="D1164" s="76">
        <v>44.335487000000001</v>
      </c>
      <c r="E1164" s="76">
        <v>44.796402</v>
      </c>
      <c r="F1164" s="76">
        <v>26.97353</v>
      </c>
      <c r="G1164" s="79">
        <v>619000</v>
      </c>
    </row>
    <row r="1165" spans="1:7" x14ac:dyDescent="0.25">
      <c r="A1165" s="1" t="s">
        <v>1288</v>
      </c>
      <c r="B1165" s="76">
        <v>44.518390999999902</v>
      </c>
      <c r="C1165" s="76">
        <v>44.628132000000001</v>
      </c>
      <c r="D1165" s="76">
        <v>43.969684999999998</v>
      </c>
      <c r="E1165" s="76">
        <v>43.991633999999998</v>
      </c>
      <c r="F1165" s="76">
        <v>26.488945000000001</v>
      </c>
      <c r="G1165" s="79">
        <v>239600</v>
      </c>
    </row>
    <row r="1166" spans="1:7" x14ac:dyDescent="0.25">
      <c r="A1166" s="1" t="s">
        <v>1289</v>
      </c>
      <c r="B1166" s="76">
        <v>44.262329000000001</v>
      </c>
      <c r="C1166" s="76">
        <v>45.469481999999999</v>
      </c>
      <c r="D1166" s="76">
        <v>44.262329000000001</v>
      </c>
      <c r="E1166" s="76">
        <v>45.469481999999999</v>
      </c>
      <c r="F1166" s="76">
        <v>27.378806999999998</v>
      </c>
      <c r="G1166" s="79">
        <v>795300</v>
      </c>
    </row>
    <row r="1167" spans="1:7" x14ac:dyDescent="0.25">
      <c r="A1167" s="1" t="s">
        <v>1290</v>
      </c>
      <c r="B1167" s="76">
        <v>45.469481999999999</v>
      </c>
      <c r="C1167" s="76">
        <v>45.491432000000003</v>
      </c>
      <c r="D1167" s="76">
        <v>45.176837999999996</v>
      </c>
      <c r="E1167" s="76">
        <v>45.264633000000003</v>
      </c>
      <c r="F1167" s="76">
        <v>27.255457</v>
      </c>
      <c r="G1167" s="79">
        <v>267700</v>
      </c>
    </row>
    <row r="1168" spans="1:7" x14ac:dyDescent="0.25">
      <c r="A1168" s="1" t="s">
        <v>1291</v>
      </c>
      <c r="B1168" s="76">
        <v>45.286578999999897</v>
      </c>
      <c r="C1168" s="76">
        <v>45.784072999999999</v>
      </c>
      <c r="D1168" s="76">
        <v>45.286578999999897</v>
      </c>
      <c r="E1168" s="76">
        <v>45.681647999999903</v>
      </c>
      <c r="F1168" s="76">
        <v>27.506563</v>
      </c>
      <c r="G1168" s="79">
        <v>714200</v>
      </c>
    </row>
    <row r="1169" spans="1:7" x14ac:dyDescent="0.25">
      <c r="A1169" s="1" t="s">
        <v>1292</v>
      </c>
      <c r="B1169" s="76">
        <v>45.681647999999903</v>
      </c>
      <c r="C1169" s="76">
        <v>45.871867999999999</v>
      </c>
      <c r="D1169" s="76">
        <v>45.103679999999997</v>
      </c>
      <c r="E1169" s="76">
        <v>45.25</v>
      </c>
      <c r="F1169" s="76">
        <v>27.246652999999998</v>
      </c>
      <c r="G1169" s="79">
        <v>361800</v>
      </c>
    </row>
    <row r="1170" spans="1:7" x14ac:dyDescent="0.25">
      <c r="A1170" s="1" t="s">
        <v>1293</v>
      </c>
      <c r="B1170" s="76">
        <v>45.25</v>
      </c>
      <c r="C1170" s="76">
        <v>45.652386</v>
      </c>
      <c r="D1170" s="76">
        <v>45.25</v>
      </c>
      <c r="E1170" s="76">
        <v>45.630435999999897</v>
      </c>
      <c r="F1170" s="76">
        <v>27.475725000000001</v>
      </c>
      <c r="G1170" s="79">
        <v>382500</v>
      </c>
    </row>
    <row r="1171" spans="1:7" x14ac:dyDescent="0.25">
      <c r="A1171" s="1" t="s">
        <v>1294</v>
      </c>
      <c r="B1171" s="76">
        <v>45.630435999999897</v>
      </c>
      <c r="C1171" s="76">
        <v>45.740177000000003</v>
      </c>
      <c r="D1171" s="76">
        <v>45.352424999999997</v>
      </c>
      <c r="E1171" s="76">
        <v>45.403636999999897</v>
      </c>
      <c r="F1171" s="76">
        <v>27.339162999999999</v>
      </c>
      <c r="G1171" s="79">
        <v>227400</v>
      </c>
    </row>
    <row r="1172" spans="1:7" x14ac:dyDescent="0.25">
      <c r="A1172" s="1" t="s">
        <v>1295</v>
      </c>
      <c r="B1172" s="76">
        <v>45.513378000000003</v>
      </c>
      <c r="C1172" s="76">
        <v>45.952342999999999</v>
      </c>
      <c r="D1172" s="76">
        <v>45.220737</v>
      </c>
      <c r="E1172" s="76">
        <v>45.506062</v>
      </c>
      <c r="F1172" s="76">
        <v>27.4008409999999</v>
      </c>
      <c r="G1172" s="79">
        <v>361100</v>
      </c>
    </row>
    <row r="1173" spans="1:7" x14ac:dyDescent="0.25">
      <c r="A1173" s="1" t="s">
        <v>1296</v>
      </c>
      <c r="B1173" s="76">
        <v>45.579223999999897</v>
      </c>
      <c r="C1173" s="76">
        <v>46.025504999999903</v>
      </c>
      <c r="D1173" s="76">
        <v>45.579223999999897</v>
      </c>
      <c r="E1173" s="76">
        <v>45.915764000000003</v>
      </c>
      <c r="F1173" s="76">
        <v>27.647525999999999</v>
      </c>
      <c r="G1173" s="79">
        <v>560600</v>
      </c>
    </row>
    <row r="1174" spans="1:7" x14ac:dyDescent="0.25">
      <c r="A1174" s="1" t="s">
        <v>1297</v>
      </c>
      <c r="B1174" s="76">
        <v>45.871867999999999</v>
      </c>
      <c r="C1174" s="76">
        <v>46.040137999999999</v>
      </c>
      <c r="D1174" s="76">
        <v>45.674332</v>
      </c>
      <c r="E1174" s="76">
        <v>46.010871999999999</v>
      </c>
      <c r="F1174" s="76">
        <v>27.704805</v>
      </c>
      <c r="G1174" s="79">
        <v>527000</v>
      </c>
    </row>
    <row r="1175" spans="1:7" x14ac:dyDescent="0.25">
      <c r="A1175" s="1" t="s">
        <v>1298</v>
      </c>
      <c r="B1175" s="76">
        <v>45.762127</v>
      </c>
      <c r="C1175" s="76">
        <v>46.815643000000001</v>
      </c>
      <c r="D1175" s="76">
        <v>45.762127</v>
      </c>
      <c r="E1175" s="76">
        <v>46.676636000000002</v>
      </c>
      <c r="F1175" s="76">
        <v>28.105668999999999</v>
      </c>
      <c r="G1175" s="79">
        <v>893000</v>
      </c>
    </row>
    <row r="1176" spans="1:7" x14ac:dyDescent="0.25">
      <c r="A1176" s="1" t="s">
        <v>1299</v>
      </c>
      <c r="B1176" s="76">
        <v>46.676636000000002</v>
      </c>
      <c r="C1176" s="76">
        <v>47.371665999999998</v>
      </c>
      <c r="D1176" s="76">
        <v>46.676636000000002</v>
      </c>
      <c r="E1176" s="76">
        <v>47.261924999999998</v>
      </c>
      <c r="F1176" s="76">
        <v>28.458109</v>
      </c>
      <c r="G1176" s="79">
        <v>732300</v>
      </c>
    </row>
    <row r="1177" spans="1:7" x14ac:dyDescent="0.25">
      <c r="A1177" s="1" t="s">
        <v>1300</v>
      </c>
      <c r="B1177" s="76">
        <v>47.261924999999998</v>
      </c>
      <c r="C1177" s="76">
        <v>47.876475999999997</v>
      </c>
      <c r="D1177" s="76">
        <v>47.188763000000002</v>
      </c>
      <c r="E1177" s="76">
        <v>47.774051999999998</v>
      </c>
      <c r="F1177" s="76">
        <v>28.766478999999901</v>
      </c>
      <c r="G1177" s="79">
        <v>499100</v>
      </c>
    </row>
    <row r="1178" spans="1:7" x14ac:dyDescent="0.25">
      <c r="A1178" s="1" t="s">
        <v>1301</v>
      </c>
      <c r="B1178" s="76">
        <v>47.700890000000001</v>
      </c>
      <c r="C1178" s="76">
        <v>47.854526999999997</v>
      </c>
      <c r="D1178" s="76">
        <v>47.166817000000002</v>
      </c>
      <c r="E1178" s="76">
        <v>47.371665999999998</v>
      </c>
      <c r="F1178" s="76">
        <v>28.524176000000001</v>
      </c>
      <c r="G1178" s="79">
        <v>492200</v>
      </c>
    </row>
    <row r="1179" spans="1:7" x14ac:dyDescent="0.25">
      <c r="A1179" s="1" t="s">
        <v>1302</v>
      </c>
      <c r="B1179" s="76">
        <v>47.005859000000001</v>
      </c>
      <c r="C1179" s="76">
        <v>47.005859000000001</v>
      </c>
      <c r="D1179" s="76">
        <v>46.230353999999998</v>
      </c>
      <c r="E1179" s="76">
        <v>46.230353999999998</v>
      </c>
      <c r="F1179" s="76">
        <v>27.836957999999999</v>
      </c>
      <c r="G1179" s="79">
        <v>532000</v>
      </c>
    </row>
    <row r="1180" spans="1:7" x14ac:dyDescent="0.25">
      <c r="A1180" s="1" t="s">
        <v>1303</v>
      </c>
      <c r="B1180" s="76">
        <v>46.230353999999998</v>
      </c>
      <c r="C1180" s="76">
        <v>46.654690000000002</v>
      </c>
      <c r="D1180" s="76">
        <v>45.886501000000003</v>
      </c>
      <c r="E1180" s="76">
        <v>46.654690000000002</v>
      </c>
      <c r="F1180" s="76">
        <v>28.092469999999999</v>
      </c>
      <c r="G1180" s="79">
        <v>419100</v>
      </c>
    </row>
    <row r="1181" spans="1:7" x14ac:dyDescent="0.25">
      <c r="A1181" s="1" t="s">
        <v>1304</v>
      </c>
      <c r="B1181" s="76">
        <v>46.654690000000002</v>
      </c>
      <c r="C1181" s="76">
        <v>46.654690000000002</v>
      </c>
      <c r="D1181" s="76">
        <v>45.615803</v>
      </c>
      <c r="E1181" s="76">
        <v>45.740177000000003</v>
      </c>
      <c r="F1181" s="76">
        <v>27.541809000000001</v>
      </c>
      <c r="G1181" s="79">
        <v>598200</v>
      </c>
    </row>
    <row r="1182" spans="1:7" x14ac:dyDescent="0.25">
      <c r="A1182" s="1" t="s">
        <v>1305</v>
      </c>
      <c r="B1182" s="76">
        <v>45.462165999999897</v>
      </c>
      <c r="C1182" s="76">
        <v>45.579223999999897</v>
      </c>
      <c r="D1182" s="76">
        <v>45.037833999999997</v>
      </c>
      <c r="E1182" s="76">
        <v>45.286578999999897</v>
      </c>
      <c r="F1182" s="76">
        <v>27.268684</v>
      </c>
      <c r="G1182" s="79">
        <v>494800</v>
      </c>
    </row>
    <row r="1183" spans="1:7" x14ac:dyDescent="0.25">
      <c r="A1183" s="1" t="s">
        <v>1306</v>
      </c>
      <c r="B1183" s="76">
        <v>44.920775999999996</v>
      </c>
      <c r="C1183" s="76">
        <v>46.252303999999903</v>
      </c>
      <c r="D1183" s="76">
        <v>44.920775999999996</v>
      </c>
      <c r="E1183" s="76">
        <v>45.981608999999999</v>
      </c>
      <c r="F1183" s="76">
        <v>27.6871849999999</v>
      </c>
      <c r="G1183" s="79">
        <v>347500</v>
      </c>
    </row>
    <row r="1184" spans="1:7" x14ac:dyDescent="0.25">
      <c r="A1184" s="1" t="s">
        <v>1307</v>
      </c>
      <c r="B1184" s="76">
        <v>46.164512999999999</v>
      </c>
      <c r="C1184" s="76">
        <v>47.313136999999998</v>
      </c>
      <c r="D1184" s="76">
        <v>46.157195999999999</v>
      </c>
      <c r="E1184" s="76">
        <v>47.122917000000001</v>
      </c>
      <c r="F1184" s="76">
        <v>28.374400999999999</v>
      </c>
      <c r="G1184" s="79">
        <v>685900</v>
      </c>
    </row>
    <row r="1185" spans="1:7" x14ac:dyDescent="0.25">
      <c r="A1185" s="1" t="s">
        <v>1308</v>
      </c>
      <c r="B1185" s="76">
        <v>47.122917000000001</v>
      </c>
      <c r="C1185" s="76">
        <v>47.839893000000004</v>
      </c>
      <c r="D1185" s="76">
        <v>46.881489000000002</v>
      </c>
      <c r="E1185" s="76">
        <v>47.737468999999997</v>
      </c>
      <c r="F1185" s="76">
        <v>28.744451999999999</v>
      </c>
      <c r="G1185" s="79">
        <v>583400</v>
      </c>
    </row>
    <row r="1186" spans="1:7" x14ac:dyDescent="0.25">
      <c r="A1186" s="1" t="s">
        <v>1309</v>
      </c>
      <c r="B1186" s="76">
        <v>47.203395999999998</v>
      </c>
      <c r="C1186" s="76">
        <v>47.408245000000001</v>
      </c>
      <c r="D1186" s="76">
        <v>46.632739999999998</v>
      </c>
      <c r="E1186" s="76">
        <v>46.632739999999998</v>
      </c>
      <c r="F1186" s="76">
        <v>28.079242999999899</v>
      </c>
      <c r="G1186" s="79">
        <v>469200</v>
      </c>
    </row>
    <row r="1187" spans="1:7" x14ac:dyDescent="0.25">
      <c r="A1187" s="1" t="s">
        <v>1310</v>
      </c>
      <c r="B1187" s="76">
        <v>46.552264999999998</v>
      </c>
      <c r="C1187" s="76">
        <v>46.566895000000002</v>
      </c>
      <c r="D1187" s="76">
        <v>46.018188000000002</v>
      </c>
      <c r="E1187" s="76">
        <v>46.471786000000002</v>
      </c>
      <c r="F1187" s="76">
        <v>27.982334000000002</v>
      </c>
      <c r="G1187" s="79">
        <v>522400</v>
      </c>
    </row>
    <row r="1188" spans="1:7" x14ac:dyDescent="0.25">
      <c r="A1188" s="1" t="s">
        <v>1311</v>
      </c>
      <c r="B1188" s="76">
        <v>46.479103000000002</v>
      </c>
      <c r="C1188" s="76">
        <v>46.479103000000002</v>
      </c>
      <c r="D1188" s="76">
        <v>46.003554999999999</v>
      </c>
      <c r="E1188" s="76">
        <v>46.201091999999903</v>
      </c>
      <c r="F1188" s="76">
        <v>27.819337999999998</v>
      </c>
      <c r="G1188" s="79">
        <v>229800</v>
      </c>
    </row>
    <row r="1189" spans="1:7" x14ac:dyDescent="0.25">
      <c r="A1189" s="1" t="s">
        <v>1312</v>
      </c>
      <c r="B1189" s="76">
        <v>45.908446999999903</v>
      </c>
      <c r="C1189" s="76">
        <v>46.047454999999999</v>
      </c>
      <c r="D1189" s="76">
        <v>45.608490000000003</v>
      </c>
      <c r="E1189" s="76">
        <v>45.725543999999999</v>
      </c>
      <c r="F1189" s="76">
        <v>27.532992999999902</v>
      </c>
      <c r="G1189" s="79">
        <v>391600</v>
      </c>
    </row>
    <row r="1190" spans="1:7" x14ac:dyDescent="0.25">
      <c r="A1190" s="1" t="s">
        <v>1313</v>
      </c>
      <c r="B1190" s="76">
        <v>45.688965000000003</v>
      </c>
      <c r="C1190" s="76">
        <v>45.95966</v>
      </c>
      <c r="D1190" s="76">
        <v>45.681647999999903</v>
      </c>
      <c r="E1190" s="76">
        <v>45.798706000000003</v>
      </c>
      <c r="F1190" s="76">
        <v>27.577044000000001</v>
      </c>
      <c r="G1190" s="79">
        <v>362700</v>
      </c>
    </row>
    <row r="1191" spans="1:7" x14ac:dyDescent="0.25">
      <c r="A1191" s="1" t="s">
        <v>1314</v>
      </c>
      <c r="B1191" s="76">
        <v>45.806022999999897</v>
      </c>
      <c r="C1191" s="76">
        <v>46.018188000000002</v>
      </c>
      <c r="D1191" s="76">
        <v>45.454848999999903</v>
      </c>
      <c r="E1191" s="76">
        <v>45.762127</v>
      </c>
      <c r="F1191" s="76">
        <v>27.555026999999999</v>
      </c>
      <c r="G1191" s="79">
        <v>168200</v>
      </c>
    </row>
    <row r="1192" spans="1:7" x14ac:dyDescent="0.25">
      <c r="A1192" s="1" t="s">
        <v>1315</v>
      </c>
      <c r="B1192" s="76">
        <v>45.762127</v>
      </c>
      <c r="C1192" s="76">
        <v>45.835284999999999</v>
      </c>
      <c r="D1192" s="76">
        <v>45.542645</v>
      </c>
      <c r="E1192" s="76">
        <v>45.762127</v>
      </c>
      <c r="F1192" s="76">
        <v>27.555026999999999</v>
      </c>
      <c r="G1192" s="79">
        <v>320100</v>
      </c>
    </row>
    <row r="1193" spans="1:7" x14ac:dyDescent="0.25">
      <c r="A1193" s="1" t="s">
        <v>1316</v>
      </c>
      <c r="B1193" s="76">
        <v>45.762127</v>
      </c>
      <c r="C1193" s="76">
        <v>46.091351000000003</v>
      </c>
      <c r="D1193" s="76">
        <v>45.696280999999999</v>
      </c>
      <c r="E1193" s="76">
        <v>45.725543999999999</v>
      </c>
      <c r="F1193" s="76">
        <v>27.532992999999902</v>
      </c>
      <c r="G1193" s="79">
        <v>437700</v>
      </c>
    </row>
    <row r="1194" spans="1:7" x14ac:dyDescent="0.25">
      <c r="A1194" s="1" t="s">
        <v>1317</v>
      </c>
      <c r="B1194" s="76">
        <v>45.579223999999897</v>
      </c>
      <c r="C1194" s="76">
        <v>46.062083999999999</v>
      </c>
      <c r="D1194" s="76">
        <v>45.513378000000003</v>
      </c>
      <c r="E1194" s="76">
        <v>45.857234999999903</v>
      </c>
      <c r="F1194" s="76">
        <v>27.612287999999999</v>
      </c>
      <c r="G1194" s="79">
        <v>941100</v>
      </c>
    </row>
    <row r="1195" spans="1:7" x14ac:dyDescent="0.25">
      <c r="A1195" s="1" t="s">
        <v>1318</v>
      </c>
      <c r="B1195" s="76">
        <v>45.857234999999903</v>
      </c>
      <c r="C1195" s="76">
        <v>47.261924999999998</v>
      </c>
      <c r="D1195" s="76">
        <v>45.623119000000003</v>
      </c>
      <c r="E1195" s="76">
        <v>46.961964000000002</v>
      </c>
      <c r="F1195" s="76">
        <v>28.277488999999999</v>
      </c>
      <c r="G1195" s="79">
        <v>547000</v>
      </c>
    </row>
    <row r="1196" spans="1:7" x14ac:dyDescent="0.25">
      <c r="A1196" s="1" t="s">
        <v>1319</v>
      </c>
      <c r="B1196" s="76">
        <v>47.079020999999997</v>
      </c>
      <c r="C1196" s="76">
        <v>47.517986000000001</v>
      </c>
      <c r="D1196" s="76">
        <v>47.013176000000001</v>
      </c>
      <c r="E1196" s="76">
        <v>47.188763000000002</v>
      </c>
      <c r="F1196" s="76">
        <v>28.414051000000001</v>
      </c>
      <c r="G1196" s="79">
        <v>499000</v>
      </c>
    </row>
    <row r="1197" spans="1:7" x14ac:dyDescent="0.25">
      <c r="A1197" s="1" t="s">
        <v>1320</v>
      </c>
      <c r="B1197" s="76">
        <v>46.786377000000002</v>
      </c>
      <c r="C1197" s="76">
        <v>47.079020999999997</v>
      </c>
      <c r="D1197" s="76">
        <v>46.493735999999998</v>
      </c>
      <c r="E1197" s="76">
        <v>46.961964000000002</v>
      </c>
      <c r="F1197" s="76">
        <v>28.277488999999999</v>
      </c>
      <c r="G1197" s="79">
        <v>583100</v>
      </c>
    </row>
    <row r="1198" spans="1:7" x14ac:dyDescent="0.25">
      <c r="A1198" s="1" t="s">
        <v>1321</v>
      </c>
      <c r="B1198" s="76">
        <v>46.903434999999902</v>
      </c>
      <c r="C1198" s="76">
        <v>47.444828000000001</v>
      </c>
      <c r="D1198" s="76">
        <v>46.903434999999902</v>
      </c>
      <c r="E1198" s="76">
        <v>47.444828000000001</v>
      </c>
      <c r="F1198" s="76">
        <v>28.568231999999998</v>
      </c>
      <c r="G1198" s="79">
        <v>452500</v>
      </c>
    </row>
    <row r="1199" spans="1:7" x14ac:dyDescent="0.25">
      <c r="A1199" s="1" t="s">
        <v>1322</v>
      </c>
      <c r="B1199" s="76">
        <v>47.261924999999998</v>
      </c>
      <c r="C1199" s="76">
        <v>47.371665999999998</v>
      </c>
      <c r="D1199" s="76">
        <v>46.786377000000002</v>
      </c>
      <c r="E1199" s="76">
        <v>46.859538999999998</v>
      </c>
      <c r="F1199" s="76">
        <v>28.215809</v>
      </c>
      <c r="G1199" s="79">
        <v>735300</v>
      </c>
    </row>
    <row r="1200" spans="1:7" x14ac:dyDescent="0.25">
      <c r="A1200" s="1" t="s">
        <v>1323</v>
      </c>
      <c r="B1200" s="76">
        <v>46.961964000000002</v>
      </c>
      <c r="C1200" s="76">
        <v>47.598464999999997</v>
      </c>
      <c r="D1200" s="76">
        <v>46.961964000000002</v>
      </c>
      <c r="E1200" s="76">
        <v>47.357033000000001</v>
      </c>
      <c r="F1200" s="76">
        <v>28.515367999999999</v>
      </c>
      <c r="G1200" s="79">
        <v>334900</v>
      </c>
    </row>
    <row r="1201" spans="1:7" x14ac:dyDescent="0.25">
      <c r="A1201" s="1" t="s">
        <v>1324</v>
      </c>
      <c r="B1201" s="76">
        <v>47.510669999999998</v>
      </c>
      <c r="C1201" s="76">
        <v>47.678939999999997</v>
      </c>
      <c r="D1201" s="76">
        <v>46.954646999999902</v>
      </c>
      <c r="E1201" s="76">
        <v>47.064388000000001</v>
      </c>
      <c r="F1201" s="76">
        <v>28.339158999999999</v>
      </c>
      <c r="G1201" s="79">
        <v>325900</v>
      </c>
    </row>
    <row r="1202" spans="1:7" x14ac:dyDescent="0.25">
      <c r="A1202" s="1" t="s">
        <v>1325</v>
      </c>
      <c r="B1202" s="76">
        <v>46.603476999999998</v>
      </c>
      <c r="C1202" s="76">
        <v>47.554569000000001</v>
      </c>
      <c r="D1202" s="76">
        <v>46.574210999999998</v>
      </c>
      <c r="E1202" s="76">
        <v>47.554569000000001</v>
      </c>
      <c r="F1202" s="76">
        <v>28.634322999999998</v>
      </c>
      <c r="G1202" s="79">
        <v>482900</v>
      </c>
    </row>
    <row r="1203" spans="1:7" x14ac:dyDescent="0.25">
      <c r="A1203" s="1" t="s">
        <v>1326</v>
      </c>
      <c r="B1203" s="76">
        <v>47.737468999999997</v>
      </c>
      <c r="C1203" s="76">
        <v>47.847209999999997</v>
      </c>
      <c r="D1203" s="76">
        <v>46.896118000000001</v>
      </c>
      <c r="E1203" s="76">
        <v>47.188763000000002</v>
      </c>
      <c r="F1203" s="76">
        <v>28.414051000000001</v>
      </c>
      <c r="G1203" s="79">
        <v>384800</v>
      </c>
    </row>
    <row r="1204" spans="1:7" x14ac:dyDescent="0.25">
      <c r="A1204" s="1" t="s">
        <v>1327</v>
      </c>
      <c r="B1204" s="76">
        <v>47.335082999999997</v>
      </c>
      <c r="C1204" s="76">
        <v>47.920372</v>
      </c>
      <c r="D1204" s="76">
        <v>47.152183999999998</v>
      </c>
      <c r="E1204" s="76">
        <v>47.913055</v>
      </c>
      <c r="F1204" s="76">
        <v>28.850176000000001</v>
      </c>
      <c r="G1204" s="79">
        <v>521300</v>
      </c>
    </row>
    <row r="1205" spans="1:7" x14ac:dyDescent="0.25">
      <c r="A1205" s="1" t="s">
        <v>1328</v>
      </c>
      <c r="B1205" s="76">
        <v>47.964267999999997</v>
      </c>
      <c r="C1205" s="76">
        <v>48.213017000000001</v>
      </c>
      <c r="D1205" s="76">
        <v>47.891106000000001</v>
      </c>
      <c r="E1205" s="76">
        <v>47.971584</v>
      </c>
      <c r="F1205" s="76">
        <v>28.885411999999999</v>
      </c>
      <c r="G1205" s="79">
        <v>278800</v>
      </c>
    </row>
    <row r="1206" spans="1:7" x14ac:dyDescent="0.25">
      <c r="A1206" s="1" t="s">
        <v>1329</v>
      </c>
      <c r="B1206" s="76">
        <v>48.176434</v>
      </c>
      <c r="C1206" s="76">
        <v>48.608086</v>
      </c>
      <c r="D1206" s="76">
        <v>48.154488000000001</v>
      </c>
      <c r="E1206" s="76">
        <v>48.527607000000003</v>
      </c>
      <c r="F1206" s="76">
        <v>29.220220999999999</v>
      </c>
      <c r="G1206" s="79">
        <v>423800</v>
      </c>
    </row>
    <row r="1207" spans="1:7" x14ac:dyDescent="0.25">
      <c r="A1207" s="1" t="s">
        <v>1330</v>
      </c>
      <c r="B1207" s="76">
        <v>48.578819000000003</v>
      </c>
      <c r="C1207" s="76">
        <v>49.361640999999999</v>
      </c>
      <c r="D1207" s="76">
        <v>48.403233</v>
      </c>
      <c r="E1207" s="76">
        <v>48.505656999999999</v>
      </c>
      <c r="F1207" s="76">
        <v>29.206999</v>
      </c>
      <c r="G1207" s="79">
        <v>720800</v>
      </c>
    </row>
    <row r="1208" spans="1:7" x14ac:dyDescent="0.25">
      <c r="A1208" s="1" t="s">
        <v>1331</v>
      </c>
      <c r="B1208" s="76">
        <v>48.578819000000003</v>
      </c>
      <c r="C1208" s="76">
        <v>48.739773</v>
      </c>
      <c r="D1208" s="76">
        <v>47.554569000000001</v>
      </c>
      <c r="E1208" s="76">
        <v>47.730151999999997</v>
      </c>
      <c r="F1208" s="76">
        <v>28.740037999999998</v>
      </c>
      <c r="G1208" s="79">
        <v>756300</v>
      </c>
    </row>
    <row r="1209" spans="1:7" x14ac:dyDescent="0.25">
      <c r="A1209" s="1" t="s">
        <v>1332</v>
      </c>
      <c r="B1209" s="76">
        <v>47.700890000000001</v>
      </c>
      <c r="C1209" s="76">
        <v>48.54224</v>
      </c>
      <c r="D1209" s="76">
        <v>47.635044000000001</v>
      </c>
      <c r="E1209" s="76">
        <v>48.54224</v>
      </c>
      <c r="F1209" s="76">
        <v>29.229033999999999</v>
      </c>
      <c r="G1209" s="79">
        <v>490100</v>
      </c>
    </row>
    <row r="1210" spans="1:7" x14ac:dyDescent="0.25">
      <c r="A1210" s="1" t="s">
        <v>1333</v>
      </c>
      <c r="B1210" s="76">
        <v>48.322758</v>
      </c>
      <c r="C1210" s="76">
        <v>48.834885</v>
      </c>
      <c r="D1210" s="76">
        <v>48.052062999999997</v>
      </c>
      <c r="E1210" s="76">
        <v>48.154488000000001</v>
      </c>
      <c r="F1210" s="76">
        <v>28.995532999999998</v>
      </c>
      <c r="G1210" s="79">
        <v>409400</v>
      </c>
    </row>
    <row r="1211" spans="1:7" x14ac:dyDescent="0.25">
      <c r="A1211" s="1" t="s">
        <v>1334</v>
      </c>
      <c r="B1211" s="76">
        <v>48.154488000000001</v>
      </c>
      <c r="C1211" s="76">
        <v>48.183750000000003</v>
      </c>
      <c r="D1211" s="76">
        <v>47.693573000000001</v>
      </c>
      <c r="E1211" s="76">
        <v>48.030113</v>
      </c>
      <c r="F1211" s="76">
        <v>28.920665999999901</v>
      </c>
      <c r="G1211" s="79">
        <v>251700</v>
      </c>
    </row>
    <row r="1212" spans="1:7" x14ac:dyDescent="0.25">
      <c r="A1212" s="1" t="s">
        <v>1335</v>
      </c>
      <c r="B1212" s="76">
        <v>48.066691999999897</v>
      </c>
      <c r="C1212" s="76">
        <v>48.820250999999999</v>
      </c>
      <c r="D1212" s="76">
        <v>47.847209999999997</v>
      </c>
      <c r="E1212" s="76">
        <v>48.761722999999897</v>
      </c>
      <c r="F1212" s="76">
        <v>29.361183</v>
      </c>
      <c r="G1212" s="79">
        <v>361300</v>
      </c>
    </row>
    <row r="1213" spans="1:7" x14ac:dyDescent="0.25">
      <c r="A1213" s="1" t="s">
        <v>1336</v>
      </c>
      <c r="B1213" s="76">
        <v>48.834885</v>
      </c>
      <c r="C1213" s="76">
        <v>49.105578999999999</v>
      </c>
      <c r="D1213" s="76">
        <v>48.673926999999999</v>
      </c>
      <c r="E1213" s="76">
        <v>49.017783999999999</v>
      </c>
      <c r="F1213" s="76">
        <v>29.515362</v>
      </c>
      <c r="G1213" s="79">
        <v>279300</v>
      </c>
    </row>
    <row r="1214" spans="1:7" x14ac:dyDescent="0.25">
      <c r="A1214" s="1" t="s">
        <v>1337</v>
      </c>
      <c r="B1214" s="76">
        <v>49.054366999999999</v>
      </c>
      <c r="C1214" s="76">
        <v>49.178738000000003</v>
      </c>
      <c r="D1214" s="76">
        <v>48.688559999999903</v>
      </c>
      <c r="E1214" s="76">
        <v>49.120209000000003</v>
      </c>
      <c r="F1214" s="76">
        <v>29.57704</v>
      </c>
      <c r="G1214" s="79">
        <v>462800</v>
      </c>
    </row>
    <row r="1215" spans="1:7" x14ac:dyDescent="0.25">
      <c r="A1215" s="1" t="s">
        <v>1338</v>
      </c>
      <c r="B1215" s="76">
        <v>49.120209000000003</v>
      </c>
      <c r="C1215" s="76">
        <v>49.383590999999903</v>
      </c>
      <c r="D1215" s="76">
        <v>49.025100999999999</v>
      </c>
      <c r="E1215" s="76">
        <v>49.164107999999999</v>
      </c>
      <c r="F1215" s="76">
        <v>29.603477000000002</v>
      </c>
      <c r="G1215" s="79">
        <v>290800</v>
      </c>
    </row>
    <row r="1216" spans="1:7" x14ac:dyDescent="0.25">
      <c r="A1216" s="1" t="s">
        <v>1339</v>
      </c>
      <c r="B1216" s="76">
        <v>49.603072999999902</v>
      </c>
      <c r="C1216" s="76">
        <v>50.042037999999998</v>
      </c>
      <c r="D1216" s="76">
        <v>49.281162000000002</v>
      </c>
      <c r="E1216" s="76">
        <v>50.042037999999998</v>
      </c>
      <c r="F1216" s="76">
        <v>30.132096999999899</v>
      </c>
      <c r="G1216" s="79">
        <v>335400</v>
      </c>
    </row>
    <row r="1217" spans="1:7" x14ac:dyDescent="0.25">
      <c r="A1217" s="1" t="s">
        <v>1340</v>
      </c>
      <c r="B1217" s="76">
        <v>49.859134999999903</v>
      </c>
      <c r="C1217" s="76">
        <v>50.034720999999998</v>
      </c>
      <c r="D1217" s="76">
        <v>49.186053999999999</v>
      </c>
      <c r="E1217" s="76">
        <v>49.368957999999999</v>
      </c>
      <c r="F1217" s="76">
        <v>29.726817999999898</v>
      </c>
      <c r="G1217" s="79">
        <v>534800</v>
      </c>
    </row>
    <row r="1218" spans="1:7" x14ac:dyDescent="0.25">
      <c r="A1218" s="1" t="s">
        <v>1341</v>
      </c>
      <c r="B1218" s="76">
        <v>49.932296999999998</v>
      </c>
      <c r="C1218" s="76">
        <v>50.107883000000001</v>
      </c>
      <c r="D1218" s="76">
        <v>49.595756999999999</v>
      </c>
      <c r="E1218" s="76">
        <v>49.895713999999998</v>
      </c>
      <c r="F1218" s="76">
        <v>30.044003</v>
      </c>
      <c r="G1218" s="79">
        <v>305200</v>
      </c>
    </row>
    <row r="1219" spans="1:7" x14ac:dyDescent="0.25">
      <c r="A1219" s="1" t="s">
        <v>1342</v>
      </c>
      <c r="B1219" s="76">
        <v>49.895713999999998</v>
      </c>
      <c r="C1219" s="76">
        <v>50.663905999999997</v>
      </c>
      <c r="D1219" s="76">
        <v>49.895713999999998</v>
      </c>
      <c r="E1219" s="76">
        <v>50.663905999999997</v>
      </c>
      <c r="F1219" s="76">
        <v>30.506560999999898</v>
      </c>
      <c r="G1219" s="79">
        <v>323600</v>
      </c>
    </row>
    <row r="1220" spans="1:7" x14ac:dyDescent="0.25">
      <c r="A1220" s="1" t="s">
        <v>1343</v>
      </c>
      <c r="B1220" s="76">
        <v>50.663905999999997</v>
      </c>
      <c r="C1220" s="76">
        <v>50.663905999999997</v>
      </c>
      <c r="D1220" s="76">
        <v>49.208003999999903</v>
      </c>
      <c r="E1220" s="76">
        <v>49.749392999999998</v>
      </c>
      <c r="F1220" s="76">
        <v>29.955905999999999</v>
      </c>
      <c r="G1220" s="79">
        <v>1080400</v>
      </c>
    </row>
    <row r="1221" spans="1:7" x14ac:dyDescent="0.25">
      <c r="A1221" s="1" t="s">
        <v>1344</v>
      </c>
      <c r="B1221" s="76">
        <v>49.771343000000002</v>
      </c>
      <c r="C1221" s="76">
        <v>50.481003000000001</v>
      </c>
      <c r="D1221" s="76">
        <v>49.756709999999998</v>
      </c>
      <c r="E1221" s="76">
        <v>50.334682000000001</v>
      </c>
      <c r="F1221" s="76">
        <v>30.308308</v>
      </c>
      <c r="G1221" s="79">
        <v>788700</v>
      </c>
    </row>
    <row r="1222" spans="1:7" x14ac:dyDescent="0.25">
      <c r="A1222" s="1" t="s">
        <v>1345</v>
      </c>
      <c r="B1222" s="76">
        <v>50.371262000000002</v>
      </c>
      <c r="C1222" s="76">
        <v>51.315036999999997</v>
      </c>
      <c r="D1222" s="76">
        <v>50.232253999999998</v>
      </c>
      <c r="E1222" s="76">
        <v>51.249190999999897</v>
      </c>
      <c r="F1222" s="76">
        <v>30.858974</v>
      </c>
      <c r="G1222" s="79">
        <v>827200</v>
      </c>
    </row>
    <row r="1223" spans="1:7" x14ac:dyDescent="0.25">
      <c r="A1223" s="1" t="s">
        <v>1346</v>
      </c>
      <c r="B1223" s="76">
        <v>51.029708999999997</v>
      </c>
      <c r="C1223" s="76">
        <v>51.285769999999999</v>
      </c>
      <c r="D1223" s="76">
        <v>50.700485</v>
      </c>
      <c r="E1223" s="76">
        <v>51.146766999999997</v>
      </c>
      <c r="F1223" s="76">
        <v>31.135091999999901</v>
      </c>
      <c r="G1223" s="79">
        <v>794500</v>
      </c>
    </row>
    <row r="1224" spans="1:7" x14ac:dyDescent="0.25">
      <c r="A1224" s="1" t="s">
        <v>1347</v>
      </c>
      <c r="B1224" s="76">
        <v>51.146766999999997</v>
      </c>
      <c r="C1224" s="76">
        <v>51.293087</v>
      </c>
      <c r="D1224" s="76">
        <v>51.066288</v>
      </c>
      <c r="E1224" s="76">
        <v>51.212612</v>
      </c>
      <c r="F1224" s="76">
        <v>31.175172999999901</v>
      </c>
      <c r="G1224" s="79">
        <v>619200</v>
      </c>
    </row>
    <row r="1225" spans="1:7" x14ac:dyDescent="0.25">
      <c r="A1225" s="1" t="s">
        <v>1348</v>
      </c>
      <c r="B1225" s="76">
        <v>51.871059000000002</v>
      </c>
      <c r="C1225" s="76">
        <v>52.331974000000002</v>
      </c>
      <c r="D1225" s="76">
        <v>51.256507999999997</v>
      </c>
      <c r="E1225" s="76">
        <v>52.331974000000002</v>
      </c>
      <c r="F1225" s="76">
        <v>31.856587999999999</v>
      </c>
      <c r="G1225" s="79">
        <v>1019900</v>
      </c>
    </row>
    <row r="1226" spans="1:7" x14ac:dyDescent="0.25">
      <c r="A1226" s="1" t="s">
        <v>1349</v>
      </c>
      <c r="B1226" s="76">
        <v>52.331974000000002</v>
      </c>
      <c r="C1226" s="76">
        <v>53.378174000000001</v>
      </c>
      <c r="D1226" s="76">
        <v>52.310023999999999</v>
      </c>
      <c r="E1226" s="76">
        <v>53.378174000000001</v>
      </c>
      <c r="F1226" s="76">
        <v>32.493450000000003</v>
      </c>
      <c r="G1226" s="79">
        <v>829800</v>
      </c>
    </row>
    <row r="1227" spans="1:7" x14ac:dyDescent="0.25">
      <c r="A1227" s="1" t="s">
        <v>1350</v>
      </c>
      <c r="B1227" s="76">
        <v>53.378174000000001</v>
      </c>
      <c r="C1227" s="76">
        <v>53.502547999999997</v>
      </c>
      <c r="D1227" s="76">
        <v>52.931891999999998</v>
      </c>
      <c r="E1227" s="76">
        <v>52.975788000000001</v>
      </c>
      <c r="F1227" s="76">
        <v>32.248500999999997</v>
      </c>
      <c r="G1227" s="79">
        <v>540000</v>
      </c>
    </row>
    <row r="1228" spans="1:7" x14ac:dyDescent="0.25">
      <c r="A1228" s="1" t="s">
        <v>1351</v>
      </c>
      <c r="B1228" s="76">
        <v>53.173320999999902</v>
      </c>
      <c r="C1228" s="76">
        <v>54.504852</v>
      </c>
      <c r="D1228" s="76">
        <v>51.578415</v>
      </c>
      <c r="E1228" s="76">
        <v>51.593047999999897</v>
      </c>
      <c r="F1228" s="76">
        <v>31.406776000000001</v>
      </c>
      <c r="G1228" s="79">
        <v>1253900</v>
      </c>
    </row>
    <row r="1229" spans="1:7" x14ac:dyDescent="0.25">
      <c r="A1229" s="1" t="s">
        <v>1352</v>
      </c>
      <c r="B1229" s="76">
        <v>51.768634999999897</v>
      </c>
      <c r="C1229" s="76">
        <v>52.295390999999903</v>
      </c>
      <c r="D1229" s="76">
        <v>51.285769999999999</v>
      </c>
      <c r="E1229" s="76">
        <v>52.127121000000002</v>
      </c>
      <c r="F1229" s="76">
        <v>31.731891999999998</v>
      </c>
      <c r="G1229" s="79">
        <v>658700</v>
      </c>
    </row>
    <row r="1230" spans="1:7" x14ac:dyDescent="0.25">
      <c r="A1230" s="1" t="s">
        <v>1353</v>
      </c>
      <c r="B1230" s="76">
        <v>52.310023999999999</v>
      </c>
      <c r="C1230" s="76">
        <v>52.492927999999999</v>
      </c>
      <c r="D1230" s="76">
        <v>51.373565999999997</v>
      </c>
      <c r="E1230" s="76">
        <v>51.395511999999997</v>
      </c>
      <c r="F1230" s="76">
        <v>31.286511999999998</v>
      </c>
      <c r="G1230" s="79">
        <v>720800</v>
      </c>
    </row>
    <row r="1231" spans="1:7" x14ac:dyDescent="0.25">
      <c r="A1231" s="1" t="s">
        <v>1354</v>
      </c>
      <c r="B1231" s="76">
        <v>50.993130000000001</v>
      </c>
      <c r="C1231" s="76">
        <v>51.900321999999903</v>
      </c>
      <c r="D1231" s="76">
        <v>50.854121999999997</v>
      </c>
      <c r="E1231" s="76">
        <v>51.768634999999897</v>
      </c>
      <c r="F1231" s="76">
        <v>31.513648999999901</v>
      </c>
      <c r="G1231" s="79">
        <v>421000</v>
      </c>
    </row>
    <row r="1232" spans="1:7" x14ac:dyDescent="0.25">
      <c r="A1232" s="1" t="s">
        <v>1355</v>
      </c>
      <c r="B1232" s="76">
        <v>51.914954999999999</v>
      </c>
      <c r="C1232" s="76">
        <v>52.807518000000002</v>
      </c>
      <c r="D1232" s="76">
        <v>51.746684999999999</v>
      </c>
      <c r="E1232" s="76">
        <v>52.770938999999998</v>
      </c>
      <c r="F1232" s="76">
        <v>32.123798000000001</v>
      </c>
      <c r="G1232" s="79">
        <v>405500</v>
      </c>
    </row>
    <row r="1233" spans="1:7" x14ac:dyDescent="0.25">
      <c r="A1233" s="1" t="s">
        <v>1356</v>
      </c>
      <c r="B1233" s="76">
        <v>52.770938999999998</v>
      </c>
      <c r="C1233" s="76">
        <v>53.773243000000001</v>
      </c>
      <c r="D1233" s="76">
        <v>52.770938999999998</v>
      </c>
      <c r="E1233" s="76">
        <v>53.773243000000001</v>
      </c>
      <c r="F1233" s="76">
        <v>32.733936</v>
      </c>
      <c r="G1233" s="79">
        <v>383000</v>
      </c>
    </row>
    <row r="1234" spans="1:7" x14ac:dyDescent="0.25">
      <c r="A1234" s="1" t="s">
        <v>1357</v>
      </c>
      <c r="B1234" s="76">
        <v>53.809821999999997</v>
      </c>
      <c r="C1234" s="76">
        <v>54.095149999999997</v>
      </c>
      <c r="D1234" s="76">
        <v>53.202587000000001</v>
      </c>
      <c r="E1234" s="76">
        <v>53.370856999999901</v>
      </c>
      <c r="F1234" s="76">
        <v>32.488995000000003</v>
      </c>
      <c r="G1234" s="79">
        <v>210700</v>
      </c>
    </row>
    <row r="1235" spans="1:7" x14ac:dyDescent="0.25">
      <c r="A1235" s="1" t="s">
        <v>1358</v>
      </c>
      <c r="B1235" s="76">
        <v>53.370856999999901</v>
      </c>
      <c r="C1235" s="76">
        <v>54.102466999999997</v>
      </c>
      <c r="D1235" s="76">
        <v>53.107478999999998</v>
      </c>
      <c r="E1235" s="76">
        <v>53.590339999999998</v>
      </c>
      <c r="F1235" s="76">
        <v>32.622601000000003</v>
      </c>
      <c r="G1235" s="79">
        <v>547900</v>
      </c>
    </row>
    <row r="1236" spans="1:7" x14ac:dyDescent="0.25">
      <c r="A1236" s="1" t="s">
        <v>1359</v>
      </c>
      <c r="B1236" s="76">
        <v>53.334277999999998</v>
      </c>
      <c r="C1236" s="76">
        <v>53.773243000000001</v>
      </c>
      <c r="D1236" s="76">
        <v>53.078212999999998</v>
      </c>
      <c r="E1236" s="76">
        <v>53.773243000000001</v>
      </c>
      <c r="F1236" s="76">
        <v>32.733936</v>
      </c>
      <c r="G1236" s="79">
        <v>372500</v>
      </c>
    </row>
    <row r="1237" spans="1:7" x14ac:dyDescent="0.25">
      <c r="A1237" s="1" t="s">
        <v>1360</v>
      </c>
      <c r="B1237" s="76">
        <v>53.773243000000001</v>
      </c>
      <c r="C1237" s="76">
        <v>54.651173</v>
      </c>
      <c r="D1237" s="76">
        <v>53.604973000000001</v>
      </c>
      <c r="E1237" s="76">
        <v>54.578010999999996</v>
      </c>
      <c r="F1237" s="76">
        <v>33.223846000000002</v>
      </c>
      <c r="G1237" s="79">
        <v>502800</v>
      </c>
    </row>
    <row r="1238" spans="1:7" x14ac:dyDescent="0.25">
      <c r="A1238" s="1" t="s">
        <v>1361</v>
      </c>
      <c r="B1238" s="76">
        <v>54.212207999999997</v>
      </c>
      <c r="C1238" s="76">
        <v>54.475586</v>
      </c>
      <c r="D1238" s="76">
        <v>53.283062000000001</v>
      </c>
      <c r="E1238" s="76">
        <v>53.473281999999998</v>
      </c>
      <c r="F1238" s="76">
        <v>32.551357000000003</v>
      </c>
      <c r="G1238" s="79">
        <v>730600</v>
      </c>
    </row>
    <row r="1239" spans="1:7" x14ac:dyDescent="0.25">
      <c r="A1239" s="1" t="s">
        <v>1362</v>
      </c>
      <c r="B1239" s="76">
        <v>53.480598000000001</v>
      </c>
      <c r="C1239" s="76">
        <v>54.299999</v>
      </c>
      <c r="D1239" s="76">
        <v>53.253799000000001</v>
      </c>
      <c r="E1239" s="76">
        <v>54.139045999999901</v>
      </c>
      <c r="F1239" s="76">
        <v>32.956619000000003</v>
      </c>
      <c r="G1239" s="79">
        <v>844600</v>
      </c>
    </row>
    <row r="1240" spans="1:7" x14ac:dyDescent="0.25">
      <c r="A1240" s="1" t="s">
        <v>1363</v>
      </c>
      <c r="B1240" s="76">
        <v>53.414752999999997</v>
      </c>
      <c r="C1240" s="76">
        <v>54.717018000000003</v>
      </c>
      <c r="D1240" s="76">
        <v>53.407435999999997</v>
      </c>
      <c r="E1240" s="76">
        <v>54.651173</v>
      </c>
      <c r="F1240" s="76">
        <v>33.268378999999896</v>
      </c>
      <c r="G1240" s="79">
        <v>500900</v>
      </c>
    </row>
    <row r="1241" spans="1:7" x14ac:dyDescent="0.25">
      <c r="A1241" s="1" t="s">
        <v>1364</v>
      </c>
      <c r="B1241" s="76">
        <v>54.570693999999897</v>
      </c>
      <c r="C1241" s="76">
        <v>54.570693999999897</v>
      </c>
      <c r="D1241" s="76">
        <v>53.012366999999998</v>
      </c>
      <c r="E1241" s="76">
        <v>53.012366999999998</v>
      </c>
      <c r="F1241" s="76">
        <v>32.270771000000003</v>
      </c>
      <c r="G1241" s="79">
        <v>637500</v>
      </c>
    </row>
    <row r="1242" spans="1:7" x14ac:dyDescent="0.25">
      <c r="A1242" s="1" t="s">
        <v>1365</v>
      </c>
      <c r="B1242" s="76">
        <v>53.041633999999902</v>
      </c>
      <c r="C1242" s="76">
        <v>53.561073</v>
      </c>
      <c r="D1242" s="76">
        <v>53.041633999999902</v>
      </c>
      <c r="E1242" s="76">
        <v>53.458649000000001</v>
      </c>
      <c r="F1242" s="76">
        <v>32.542431000000001</v>
      </c>
      <c r="G1242" s="79">
        <v>399100</v>
      </c>
    </row>
    <row r="1243" spans="1:7" x14ac:dyDescent="0.25">
      <c r="A1243" s="1" t="s">
        <v>1366</v>
      </c>
      <c r="B1243" s="76">
        <v>53.261116000000001</v>
      </c>
      <c r="C1243" s="76">
        <v>53.773243000000001</v>
      </c>
      <c r="D1243" s="76">
        <v>52.924576000000002</v>
      </c>
      <c r="E1243" s="76">
        <v>53.729343</v>
      </c>
      <c r="F1243" s="76">
        <v>32.707221999999902</v>
      </c>
      <c r="G1243" s="79">
        <v>353000</v>
      </c>
    </row>
    <row r="1244" spans="1:7" x14ac:dyDescent="0.25">
      <c r="A1244" s="1" t="s">
        <v>1367</v>
      </c>
      <c r="B1244" s="76">
        <v>53.992725</v>
      </c>
      <c r="C1244" s="76">
        <v>54.343894999999897</v>
      </c>
      <c r="D1244" s="76">
        <v>53.246482999999998</v>
      </c>
      <c r="E1244" s="76">
        <v>54.146361999999897</v>
      </c>
      <c r="F1244" s="76">
        <v>32.961078999999998</v>
      </c>
      <c r="G1244" s="79">
        <v>378400</v>
      </c>
    </row>
    <row r="1245" spans="1:7" x14ac:dyDescent="0.25">
      <c r="A1245" s="1" t="s">
        <v>1368</v>
      </c>
      <c r="B1245" s="76">
        <v>54.146361999999897</v>
      </c>
      <c r="C1245" s="76">
        <v>54.1609949999999</v>
      </c>
      <c r="D1245" s="76">
        <v>53.583022999999997</v>
      </c>
      <c r="E1245" s="76">
        <v>53.765926</v>
      </c>
      <c r="F1245" s="76">
        <v>32.729488000000003</v>
      </c>
      <c r="G1245" s="79">
        <v>415100</v>
      </c>
    </row>
    <row r="1246" spans="1:7" x14ac:dyDescent="0.25">
      <c r="A1246" s="1" t="s">
        <v>1369</v>
      </c>
      <c r="B1246" s="76">
        <v>53.224536999999998</v>
      </c>
      <c r="C1246" s="76">
        <v>53.517178000000001</v>
      </c>
      <c r="D1246" s="76">
        <v>53.019683999999998</v>
      </c>
      <c r="E1246" s="76">
        <v>53.261116000000001</v>
      </c>
      <c r="F1246" s="76">
        <v>32.422198999999999</v>
      </c>
      <c r="G1246" s="79">
        <v>812700</v>
      </c>
    </row>
    <row r="1247" spans="1:7" x14ac:dyDescent="0.25">
      <c r="A1247" s="1" t="s">
        <v>1370</v>
      </c>
      <c r="B1247" s="76">
        <v>53.444018999999997</v>
      </c>
      <c r="C1247" s="76">
        <v>53.765926</v>
      </c>
      <c r="D1247" s="76">
        <v>52.895308999999997</v>
      </c>
      <c r="E1247" s="76">
        <v>53.590339999999998</v>
      </c>
      <c r="F1247" s="76">
        <v>32.622601000000003</v>
      </c>
      <c r="G1247" s="79">
        <v>592000</v>
      </c>
    </row>
    <row r="1248" spans="1:7" x14ac:dyDescent="0.25">
      <c r="A1248" s="1" t="s">
        <v>1371</v>
      </c>
      <c r="B1248" s="76">
        <v>53.597656000000001</v>
      </c>
      <c r="C1248" s="76">
        <v>53.919562999999997</v>
      </c>
      <c r="D1248" s="76">
        <v>53.070895999999998</v>
      </c>
      <c r="E1248" s="76">
        <v>53.129424999999998</v>
      </c>
      <c r="F1248" s="76">
        <v>32.342030000000001</v>
      </c>
      <c r="G1248" s="79">
        <v>492400</v>
      </c>
    </row>
    <row r="1249" spans="1:7" x14ac:dyDescent="0.25">
      <c r="A1249" s="1" t="s">
        <v>1372</v>
      </c>
      <c r="B1249" s="76">
        <v>53.136741999999998</v>
      </c>
      <c r="C1249" s="76">
        <v>54.248787</v>
      </c>
      <c r="D1249" s="76">
        <v>52.800201000000001</v>
      </c>
      <c r="E1249" s="76">
        <v>53.970776000000001</v>
      </c>
      <c r="F1249" s="76">
        <v>32.854182999999999</v>
      </c>
      <c r="G1249" s="79">
        <v>558800</v>
      </c>
    </row>
    <row r="1250" spans="1:7" x14ac:dyDescent="0.25">
      <c r="A1250" s="1" t="s">
        <v>1373</v>
      </c>
      <c r="B1250" s="76">
        <v>53.956142</v>
      </c>
      <c r="C1250" s="76">
        <v>54.175624999999997</v>
      </c>
      <c r="D1250" s="76">
        <v>53.517178000000001</v>
      </c>
      <c r="E1250" s="76">
        <v>54.139045999999901</v>
      </c>
      <c r="F1250" s="76">
        <v>32.956619000000003</v>
      </c>
      <c r="G1250" s="79">
        <v>313200</v>
      </c>
    </row>
    <row r="1251" spans="1:7" x14ac:dyDescent="0.25">
      <c r="A1251" s="1" t="s">
        <v>1374</v>
      </c>
      <c r="B1251" s="76">
        <v>53.956142</v>
      </c>
      <c r="C1251" s="76">
        <v>54.819443</v>
      </c>
      <c r="D1251" s="76">
        <v>53.956142</v>
      </c>
      <c r="E1251" s="76">
        <v>54.680434999999903</v>
      </c>
      <c r="F1251" s="76">
        <v>33.286189999999998</v>
      </c>
      <c r="G1251" s="79">
        <v>392600</v>
      </c>
    </row>
    <row r="1252" spans="1:7" x14ac:dyDescent="0.25">
      <c r="A1252" s="1" t="s">
        <v>1375</v>
      </c>
      <c r="B1252" s="76">
        <v>54.717018000000003</v>
      </c>
      <c r="C1252" s="76">
        <v>55.068187999999999</v>
      </c>
      <c r="D1252" s="76">
        <v>54.702385</v>
      </c>
      <c r="E1252" s="76">
        <v>55.038924999999999</v>
      </c>
      <c r="F1252" s="76">
        <v>33.504413999999997</v>
      </c>
      <c r="G1252" s="79">
        <v>404300</v>
      </c>
    </row>
    <row r="1253" spans="1:7" x14ac:dyDescent="0.25">
      <c r="A1253" s="1" t="s">
        <v>1376</v>
      </c>
      <c r="B1253" s="76">
        <v>55.038924999999999</v>
      </c>
      <c r="C1253" s="76">
        <v>55.126716999999999</v>
      </c>
      <c r="D1253" s="76">
        <v>54.782863999999996</v>
      </c>
      <c r="E1253" s="76">
        <v>54.870654999999999</v>
      </c>
      <c r="F1253" s="76">
        <v>33.401984999999897</v>
      </c>
      <c r="G1253" s="79">
        <v>547500</v>
      </c>
    </row>
    <row r="1254" spans="1:7" x14ac:dyDescent="0.25">
      <c r="A1254" s="1" t="s">
        <v>1377</v>
      </c>
      <c r="B1254" s="76">
        <v>54.870654999999999</v>
      </c>
      <c r="C1254" s="76">
        <v>55.016975000000002</v>
      </c>
      <c r="D1254" s="76">
        <v>54.504852</v>
      </c>
      <c r="E1254" s="76">
        <v>54.914551000000003</v>
      </c>
      <c r="F1254" s="76">
        <v>33.428711</v>
      </c>
      <c r="G1254" s="79">
        <v>377200</v>
      </c>
    </row>
    <row r="1255" spans="1:7" x14ac:dyDescent="0.25">
      <c r="A1255" s="1" t="s">
        <v>1378</v>
      </c>
      <c r="B1255" s="76">
        <v>55.009658999999999</v>
      </c>
      <c r="C1255" s="76">
        <v>55.294986999999999</v>
      </c>
      <c r="D1255" s="76">
        <v>54.834076000000003</v>
      </c>
      <c r="E1255" s="76">
        <v>55.053557999999903</v>
      </c>
      <c r="F1255" s="76">
        <v>33.513320999999998</v>
      </c>
      <c r="G1255" s="79">
        <v>401500</v>
      </c>
    </row>
    <row r="1256" spans="1:7" x14ac:dyDescent="0.25">
      <c r="A1256" s="1" t="s">
        <v>1379</v>
      </c>
      <c r="B1256" s="76">
        <v>55.236457999999999</v>
      </c>
      <c r="C1256" s="76">
        <v>55.529102000000002</v>
      </c>
      <c r="D1256" s="76">
        <v>54.914551000000003</v>
      </c>
      <c r="E1256" s="76">
        <v>55.382781999999899</v>
      </c>
      <c r="F1256" s="76">
        <v>33.713721999999997</v>
      </c>
      <c r="G1256" s="79">
        <v>201900</v>
      </c>
    </row>
    <row r="1257" spans="1:7" x14ac:dyDescent="0.25">
      <c r="A1257" s="1" t="s">
        <v>1380</v>
      </c>
      <c r="B1257" s="76">
        <v>55.236457999999999</v>
      </c>
      <c r="C1257" s="76">
        <v>56.246077999999997</v>
      </c>
      <c r="D1257" s="76">
        <v>55.1633</v>
      </c>
      <c r="E1257" s="76">
        <v>55.894908999999998</v>
      </c>
      <c r="F1257" s="76">
        <v>34.025478</v>
      </c>
      <c r="G1257" s="79">
        <v>395000</v>
      </c>
    </row>
    <row r="1258" spans="1:7" x14ac:dyDescent="0.25">
      <c r="A1258" s="1" t="s">
        <v>1381</v>
      </c>
      <c r="B1258" s="76">
        <v>55.602263999999998</v>
      </c>
      <c r="C1258" s="76">
        <v>56.326556999999902</v>
      </c>
      <c r="D1258" s="76">
        <v>55.529102000000002</v>
      </c>
      <c r="E1258" s="76">
        <v>55.697371999999902</v>
      </c>
      <c r="F1258" s="76">
        <v>33.905231000000001</v>
      </c>
      <c r="G1258" s="79">
        <v>706100</v>
      </c>
    </row>
    <row r="1259" spans="1:7" x14ac:dyDescent="0.25">
      <c r="A1259" s="1" t="s">
        <v>1382</v>
      </c>
      <c r="B1259" s="76">
        <v>55.880276000000002</v>
      </c>
      <c r="C1259" s="76">
        <v>56.370452999999998</v>
      </c>
      <c r="D1259" s="76">
        <v>55.104771</v>
      </c>
      <c r="E1259" s="76">
        <v>55.602263999999998</v>
      </c>
      <c r="F1259" s="76">
        <v>33.847346999999999</v>
      </c>
      <c r="G1259" s="79">
        <v>1200600</v>
      </c>
    </row>
    <row r="1260" spans="1:7" x14ac:dyDescent="0.25">
      <c r="A1260" s="1" t="s">
        <v>1383</v>
      </c>
      <c r="B1260" s="76">
        <v>55.602263999999998</v>
      </c>
      <c r="C1260" s="76">
        <v>56.136336999999997</v>
      </c>
      <c r="D1260" s="76">
        <v>54.702385</v>
      </c>
      <c r="E1260" s="76">
        <v>54.768230000000003</v>
      </c>
      <c r="F1260" s="76">
        <v>33.339638000000001</v>
      </c>
      <c r="G1260" s="79">
        <v>1301300</v>
      </c>
    </row>
    <row r="1261" spans="1:7" x14ac:dyDescent="0.25">
      <c r="A1261" s="1" t="s">
        <v>1384</v>
      </c>
      <c r="B1261" s="76">
        <v>54.760914</v>
      </c>
      <c r="C1261" s="76">
        <v>54.768230000000003</v>
      </c>
      <c r="D1261" s="76">
        <v>51.922272</v>
      </c>
      <c r="E1261" s="76">
        <v>52.500243999999903</v>
      </c>
      <c r="F1261" s="76">
        <v>31.959019000000001</v>
      </c>
      <c r="G1261" s="79">
        <v>1697000</v>
      </c>
    </row>
    <row r="1262" spans="1:7" x14ac:dyDescent="0.25">
      <c r="A1262" s="1" t="s">
        <v>1385</v>
      </c>
      <c r="B1262" s="76">
        <v>52.500243999999903</v>
      </c>
      <c r="C1262" s="76">
        <v>53.583022999999997</v>
      </c>
      <c r="D1262" s="76">
        <v>52.500243999999903</v>
      </c>
      <c r="E1262" s="76">
        <v>53.027000000000001</v>
      </c>
      <c r="F1262" s="76">
        <v>32.279677999999997</v>
      </c>
      <c r="G1262" s="79">
        <v>743100</v>
      </c>
    </row>
    <row r="1263" spans="1:7" x14ac:dyDescent="0.25">
      <c r="A1263" s="1" t="s">
        <v>1386</v>
      </c>
      <c r="B1263" s="76">
        <v>53.334277999999998</v>
      </c>
      <c r="C1263" s="76">
        <v>53.561073</v>
      </c>
      <c r="D1263" s="76">
        <v>52.953837999999998</v>
      </c>
      <c r="E1263" s="76">
        <v>53.151375000000002</v>
      </c>
      <c r="F1263" s="76">
        <v>32.355389000000002</v>
      </c>
      <c r="G1263" s="79">
        <v>497500</v>
      </c>
    </row>
    <row r="1264" spans="1:7" x14ac:dyDescent="0.25">
      <c r="A1264" s="1" t="s">
        <v>1387</v>
      </c>
      <c r="B1264" s="76">
        <v>52.683143999999899</v>
      </c>
      <c r="C1264" s="76">
        <v>52.983105000000002</v>
      </c>
      <c r="D1264" s="76">
        <v>52.602668999999899</v>
      </c>
      <c r="E1264" s="76">
        <v>52.851413999999998</v>
      </c>
      <c r="F1264" s="76">
        <v>32.172806000000001</v>
      </c>
      <c r="G1264" s="79">
        <v>739100</v>
      </c>
    </row>
    <row r="1265" spans="1:7" x14ac:dyDescent="0.25">
      <c r="A1265" s="1" t="s">
        <v>1388</v>
      </c>
      <c r="B1265" s="76">
        <v>52.822150999999998</v>
      </c>
      <c r="C1265" s="76">
        <v>53.034317000000001</v>
      </c>
      <c r="D1265" s="76">
        <v>52.112491999999897</v>
      </c>
      <c r="E1265" s="76">
        <v>52.427081999999999</v>
      </c>
      <c r="F1265" s="76">
        <v>31.914479999999902</v>
      </c>
      <c r="G1265" s="79">
        <v>578800</v>
      </c>
    </row>
    <row r="1266" spans="1:7" x14ac:dyDescent="0.25">
      <c r="A1266" s="1" t="s">
        <v>1389</v>
      </c>
      <c r="B1266" s="76">
        <v>52.383186000000002</v>
      </c>
      <c r="C1266" s="76">
        <v>52.427081999999999</v>
      </c>
      <c r="D1266" s="76">
        <v>51.285769999999999</v>
      </c>
      <c r="E1266" s="76">
        <v>52.017379999999903</v>
      </c>
      <c r="F1266" s="76">
        <v>31.665073</v>
      </c>
      <c r="G1266" s="79">
        <v>1083100</v>
      </c>
    </row>
    <row r="1267" spans="1:7" x14ac:dyDescent="0.25">
      <c r="A1267" s="1" t="s">
        <v>1390</v>
      </c>
      <c r="B1267" s="76">
        <v>51.739367999999999</v>
      </c>
      <c r="C1267" s="76">
        <v>52.975788000000001</v>
      </c>
      <c r="D1267" s="76">
        <v>51.739367999999999</v>
      </c>
      <c r="E1267" s="76">
        <v>52.127121000000002</v>
      </c>
      <c r="F1267" s="76">
        <v>31.731891999999998</v>
      </c>
      <c r="G1267" s="79">
        <v>869100</v>
      </c>
    </row>
    <row r="1268" spans="1:7" x14ac:dyDescent="0.25">
      <c r="A1268" s="1" t="s">
        <v>1391</v>
      </c>
      <c r="B1268" s="76">
        <v>52.310023999999999</v>
      </c>
      <c r="C1268" s="76">
        <v>52.975788000000001</v>
      </c>
      <c r="D1268" s="76">
        <v>52.310023999999999</v>
      </c>
      <c r="E1268" s="76">
        <v>52.895308999999997</v>
      </c>
      <c r="F1268" s="76">
        <v>32.199511999999999</v>
      </c>
      <c r="G1268" s="79">
        <v>498400</v>
      </c>
    </row>
    <row r="1269" spans="1:7" x14ac:dyDescent="0.25">
      <c r="A1269" s="1" t="s">
        <v>1392</v>
      </c>
      <c r="B1269" s="76">
        <v>52.748989000000002</v>
      </c>
      <c r="C1269" s="76">
        <v>53.444018999999997</v>
      </c>
      <c r="D1269" s="76">
        <v>52.353920000000002</v>
      </c>
      <c r="E1269" s="76">
        <v>53.444018999999997</v>
      </c>
      <c r="F1269" s="76">
        <v>32.533538999999998</v>
      </c>
      <c r="G1269" s="79">
        <v>619000</v>
      </c>
    </row>
    <row r="1270" spans="1:7" x14ac:dyDescent="0.25">
      <c r="A1270" s="1" t="s">
        <v>1393</v>
      </c>
      <c r="B1270" s="76">
        <v>53.590339999999998</v>
      </c>
      <c r="C1270" s="76">
        <v>54.146361999999897</v>
      </c>
      <c r="D1270" s="76">
        <v>53.195270999999998</v>
      </c>
      <c r="E1270" s="76">
        <v>53.612288999999997</v>
      </c>
      <c r="F1270" s="76">
        <v>32.635970999999998</v>
      </c>
      <c r="G1270" s="79">
        <v>642100</v>
      </c>
    </row>
    <row r="1271" spans="1:7" x14ac:dyDescent="0.25">
      <c r="A1271" s="1" t="s">
        <v>1394</v>
      </c>
      <c r="B1271" s="76">
        <v>53.539127000000001</v>
      </c>
      <c r="C1271" s="76">
        <v>53.700080999999997</v>
      </c>
      <c r="D1271" s="76">
        <v>53.224536999999998</v>
      </c>
      <c r="E1271" s="76">
        <v>53.400119999999902</v>
      </c>
      <c r="F1271" s="76">
        <v>32.506808999999997</v>
      </c>
      <c r="G1271" s="79">
        <v>767300</v>
      </c>
    </row>
    <row r="1272" spans="1:7" x14ac:dyDescent="0.25">
      <c r="A1272" s="1" t="s">
        <v>1395</v>
      </c>
      <c r="B1272" s="76">
        <v>53.400119999999902</v>
      </c>
      <c r="C1272" s="76">
        <v>53.634234999999997</v>
      </c>
      <c r="D1272" s="76">
        <v>52.895308999999997</v>
      </c>
      <c r="E1272" s="76">
        <v>53.297694999999997</v>
      </c>
      <c r="F1272" s="76">
        <v>32.444454</v>
      </c>
      <c r="G1272" s="79">
        <v>653900</v>
      </c>
    </row>
    <row r="1273" spans="1:7" x14ac:dyDescent="0.25">
      <c r="A1273" s="1" t="s">
        <v>1396</v>
      </c>
      <c r="B1273" s="76">
        <v>53.297694999999997</v>
      </c>
      <c r="C1273" s="76">
        <v>53.707397</v>
      </c>
      <c r="D1273" s="76">
        <v>53.151375000000002</v>
      </c>
      <c r="E1273" s="76">
        <v>53.341591000000001</v>
      </c>
      <c r="F1273" s="76">
        <v>32.471171999999903</v>
      </c>
      <c r="G1273" s="79">
        <v>595900</v>
      </c>
    </row>
    <row r="1274" spans="1:7" x14ac:dyDescent="0.25">
      <c r="A1274" s="1" t="s">
        <v>1397</v>
      </c>
      <c r="B1274" s="76">
        <v>52.858730000000001</v>
      </c>
      <c r="C1274" s="76">
        <v>53.626918999999901</v>
      </c>
      <c r="D1274" s="76">
        <v>51.856425999999999</v>
      </c>
      <c r="E1274" s="76">
        <v>52.200282999999999</v>
      </c>
      <c r="F1274" s="76">
        <v>31.776411</v>
      </c>
      <c r="G1274" s="79">
        <v>1051600</v>
      </c>
    </row>
    <row r="1275" spans="1:7" x14ac:dyDescent="0.25">
      <c r="A1275" s="1" t="s">
        <v>1398</v>
      </c>
      <c r="B1275" s="76">
        <v>52.127121000000002</v>
      </c>
      <c r="C1275" s="76">
        <v>52.661197999999999</v>
      </c>
      <c r="D1275" s="76">
        <v>50.890704999999997</v>
      </c>
      <c r="E1275" s="76">
        <v>51.32967</v>
      </c>
      <c r="F1275" s="76">
        <v>31.246442999999999</v>
      </c>
      <c r="G1275" s="79">
        <v>1083900</v>
      </c>
    </row>
    <row r="1276" spans="1:7" x14ac:dyDescent="0.25">
      <c r="A1276" s="1" t="s">
        <v>1399</v>
      </c>
      <c r="B1276" s="76">
        <v>51.395511999999997</v>
      </c>
      <c r="C1276" s="76">
        <v>51.402828</v>
      </c>
      <c r="D1276" s="76">
        <v>50.341994999999997</v>
      </c>
      <c r="E1276" s="76">
        <v>50.649273000000001</v>
      </c>
      <c r="F1276" s="76">
        <v>30.832267999999999</v>
      </c>
      <c r="G1276" s="79">
        <v>989400</v>
      </c>
    </row>
    <row r="1277" spans="1:7" x14ac:dyDescent="0.25">
      <c r="A1277" s="1" t="s">
        <v>1400</v>
      </c>
      <c r="B1277" s="76">
        <v>50.846806000000001</v>
      </c>
      <c r="C1277" s="76">
        <v>50.956547</v>
      </c>
      <c r="D1277" s="76">
        <v>49.932296999999998</v>
      </c>
      <c r="E1277" s="76">
        <v>50.517581999999997</v>
      </c>
      <c r="F1277" s="76">
        <v>30.752096000000002</v>
      </c>
      <c r="G1277" s="79">
        <v>761400</v>
      </c>
    </row>
    <row r="1278" spans="1:7" x14ac:dyDescent="0.25">
      <c r="A1278" s="1" t="s">
        <v>1401</v>
      </c>
      <c r="B1278" s="76">
        <v>50.481003000000001</v>
      </c>
      <c r="C1278" s="76">
        <v>50.802909999999997</v>
      </c>
      <c r="D1278" s="76">
        <v>50.115195999999997</v>
      </c>
      <c r="E1278" s="76">
        <v>50.583427</v>
      </c>
      <c r="F1278" s="76">
        <v>30.792162000000001</v>
      </c>
      <c r="G1278" s="79">
        <v>1208400</v>
      </c>
    </row>
    <row r="1279" spans="1:7" x14ac:dyDescent="0.25">
      <c r="A1279" s="1" t="s">
        <v>1402</v>
      </c>
      <c r="B1279" s="76">
        <v>50.554164999999998</v>
      </c>
      <c r="C1279" s="76">
        <v>51.644259999999903</v>
      </c>
      <c r="D1279" s="76">
        <v>50.554164999999998</v>
      </c>
      <c r="E1279" s="76">
        <v>51.395511999999997</v>
      </c>
      <c r="F1279" s="76">
        <v>31.286511999999998</v>
      </c>
      <c r="G1279" s="79">
        <v>985800</v>
      </c>
    </row>
    <row r="1280" spans="1:7" x14ac:dyDescent="0.25">
      <c r="A1280" s="1" t="s">
        <v>1403</v>
      </c>
      <c r="B1280" s="76">
        <v>51.212612</v>
      </c>
      <c r="C1280" s="76">
        <v>52.566085999999999</v>
      </c>
      <c r="D1280" s="76">
        <v>51.212612</v>
      </c>
      <c r="E1280" s="76">
        <v>52.566085999999999</v>
      </c>
      <c r="F1280" s="76">
        <v>31.999089999999999</v>
      </c>
      <c r="G1280" s="79">
        <v>867400</v>
      </c>
    </row>
    <row r="1281" spans="1:7" x14ac:dyDescent="0.25">
      <c r="A1281" s="1" t="s">
        <v>1404</v>
      </c>
      <c r="B1281" s="76">
        <v>51.973483999999999</v>
      </c>
      <c r="C1281" s="76">
        <v>52.390503000000002</v>
      </c>
      <c r="D1281" s="76">
        <v>51.527203</v>
      </c>
      <c r="E1281" s="76">
        <v>51.541835999999897</v>
      </c>
      <c r="F1281" s="76">
        <v>31.856777000000001</v>
      </c>
      <c r="G1281" s="79">
        <v>640300</v>
      </c>
    </row>
    <row r="1282" spans="1:7" x14ac:dyDescent="0.25">
      <c r="A1282" s="1" t="s">
        <v>1405</v>
      </c>
      <c r="B1282" s="76">
        <v>51.944220999999999</v>
      </c>
      <c r="C1282" s="76">
        <v>52.383186000000002</v>
      </c>
      <c r="D1282" s="76">
        <v>51.797896999999999</v>
      </c>
      <c r="E1282" s="76">
        <v>52.258811999999999</v>
      </c>
      <c r="F1282" s="76">
        <v>32.299950000000003</v>
      </c>
      <c r="G1282" s="79">
        <v>1081300</v>
      </c>
    </row>
    <row r="1283" spans="1:7" x14ac:dyDescent="0.25">
      <c r="A1283" s="1" t="s">
        <v>1406</v>
      </c>
      <c r="B1283" s="76">
        <v>52.127121000000002</v>
      </c>
      <c r="C1283" s="76">
        <v>52.434398999999999</v>
      </c>
      <c r="D1283" s="76">
        <v>51.944220999999999</v>
      </c>
      <c r="E1283" s="76">
        <v>52.046646000000003</v>
      </c>
      <c r="F1283" s="76">
        <v>32.168803999999902</v>
      </c>
      <c r="G1283" s="79">
        <v>488000</v>
      </c>
    </row>
    <row r="1284" spans="1:7" x14ac:dyDescent="0.25">
      <c r="A1284" s="1" t="s">
        <v>1407</v>
      </c>
      <c r="B1284" s="76">
        <v>51.951534000000002</v>
      </c>
      <c r="C1284" s="76">
        <v>52.353920000000002</v>
      </c>
      <c r="D1284" s="76">
        <v>51.936904999999904</v>
      </c>
      <c r="E1284" s="76">
        <v>52.156387000000002</v>
      </c>
      <c r="F1284" s="76">
        <v>32.236621999999997</v>
      </c>
      <c r="G1284" s="79">
        <v>585600</v>
      </c>
    </row>
    <row r="1285" spans="1:7" x14ac:dyDescent="0.25">
      <c r="A1285" s="1" t="s">
        <v>1408</v>
      </c>
      <c r="B1285" s="76">
        <v>52.090541999999999</v>
      </c>
      <c r="C1285" s="76">
        <v>52.236862000000002</v>
      </c>
      <c r="D1285" s="76">
        <v>51.907639000000003</v>
      </c>
      <c r="E1285" s="76">
        <v>52.163703999999903</v>
      </c>
      <c r="F1285" s="76">
        <v>32.241153999999902</v>
      </c>
      <c r="G1285" s="79">
        <v>551300</v>
      </c>
    </row>
    <row r="1286" spans="1:7" x14ac:dyDescent="0.25">
      <c r="A1286" s="1" t="s">
        <v>1409</v>
      </c>
      <c r="B1286" s="76">
        <v>52.163703999999903</v>
      </c>
      <c r="C1286" s="76">
        <v>52.668514000000002</v>
      </c>
      <c r="D1286" s="76">
        <v>51.951534000000002</v>
      </c>
      <c r="E1286" s="76">
        <v>52.653880999999998</v>
      </c>
      <c r="F1286" s="76">
        <v>32.544113000000003</v>
      </c>
      <c r="G1286" s="79">
        <v>437700</v>
      </c>
    </row>
    <row r="1287" spans="1:7" x14ac:dyDescent="0.25">
      <c r="A1287" s="1" t="s">
        <v>1410</v>
      </c>
      <c r="B1287" s="76">
        <v>52.602668999999899</v>
      </c>
      <c r="C1287" s="76">
        <v>52.770938999999998</v>
      </c>
      <c r="D1287" s="76">
        <v>52.097858000000002</v>
      </c>
      <c r="E1287" s="76">
        <v>52.383186000000002</v>
      </c>
      <c r="F1287" s="76">
        <v>32.376804</v>
      </c>
      <c r="G1287" s="79">
        <v>456700</v>
      </c>
    </row>
    <row r="1288" spans="1:7" x14ac:dyDescent="0.25">
      <c r="A1288" s="1" t="s">
        <v>1411</v>
      </c>
      <c r="B1288" s="76">
        <v>52.375869999999999</v>
      </c>
      <c r="C1288" s="76">
        <v>52.639247999999903</v>
      </c>
      <c r="D1288" s="76">
        <v>52.258811999999999</v>
      </c>
      <c r="E1288" s="76">
        <v>52.595351999999998</v>
      </c>
      <c r="F1288" s="76">
        <v>32.507938000000003</v>
      </c>
      <c r="G1288" s="79">
        <v>298000</v>
      </c>
    </row>
    <row r="1289" spans="1:7" x14ac:dyDescent="0.25">
      <c r="A1289" s="1" t="s">
        <v>1412</v>
      </c>
      <c r="B1289" s="76">
        <v>52.595351999999998</v>
      </c>
      <c r="C1289" s="76">
        <v>53.078212999999998</v>
      </c>
      <c r="D1289" s="76">
        <v>52.500243999999903</v>
      </c>
      <c r="E1289" s="76">
        <v>52.895308999999997</v>
      </c>
      <c r="F1289" s="76">
        <v>32.693325000000002</v>
      </c>
      <c r="G1289" s="79">
        <v>437300</v>
      </c>
    </row>
    <row r="1290" spans="1:7" x14ac:dyDescent="0.25">
      <c r="A1290" s="1" t="s">
        <v>1413</v>
      </c>
      <c r="B1290" s="76">
        <v>52.895308999999997</v>
      </c>
      <c r="C1290" s="76">
        <v>53.400119999999902</v>
      </c>
      <c r="D1290" s="76">
        <v>52.675826999999998</v>
      </c>
      <c r="E1290" s="76">
        <v>53.114795999999998</v>
      </c>
      <c r="F1290" s="76">
        <v>32.828994999999999</v>
      </c>
      <c r="G1290" s="79">
        <v>721700</v>
      </c>
    </row>
    <row r="1291" spans="1:7" x14ac:dyDescent="0.25">
      <c r="A1291" s="1" t="s">
        <v>1414</v>
      </c>
      <c r="B1291" s="76">
        <v>52.931891999999998</v>
      </c>
      <c r="C1291" s="76">
        <v>52.939208999999998</v>
      </c>
      <c r="D1291" s="76">
        <v>52.639247999999903</v>
      </c>
      <c r="E1291" s="76">
        <v>52.712409999999998</v>
      </c>
      <c r="F1291" s="76">
        <v>32.580283999999999</v>
      </c>
      <c r="G1291" s="79">
        <v>534500</v>
      </c>
    </row>
    <row r="1292" spans="1:7" x14ac:dyDescent="0.25">
      <c r="A1292" s="1" t="s">
        <v>1415</v>
      </c>
      <c r="B1292" s="76">
        <v>52.310023999999999</v>
      </c>
      <c r="C1292" s="76">
        <v>52.566085999999999</v>
      </c>
      <c r="D1292" s="76">
        <v>51.966166999999999</v>
      </c>
      <c r="E1292" s="76">
        <v>52.463661000000002</v>
      </c>
      <c r="F1292" s="76">
        <v>32.426547999999997</v>
      </c>
      <c r="G1292" s="79">
        <v>543900</v>
      </c>
    </row>
    <row r="1293" spans="1:7" x14ac:dyDescent="0.25">
      <c r="A1293" s="1" t="s">
        <v>1416</v>
      </c>
      <c r="B1293" s="76">
        <v>51.907639000000003</v>
      </c>
      <c r="C1293" s="76">
        <v>52.061275000000002</v>
      </c>
      <c r="D1293" s="76">
        <v>50.846806000000001</v>
      </c>
      <c r="E1293" s="76">
        <v>51.015076000000001</v>
      </c>
      <c r="F1293" s="76">
        <v>31.531196999999999</v>
      </c>
      <c r="G1293" s="79">
        <v>900700</v>
      </c>
    </row>
    <row r="1294" spans="1:7" x14ac:dyDescent="0.25">
      <c r="A1294" s="1" t="s">
        <v>1417</v>
      </c>
      <c r="B1294" s="76">
        <v>50.883389000000001</v>
      </c>
      <c r="C1294" s="76">
        <v>51.483307000000003</v>
      </c>
      <c r="D1294" s="76">
        <v>50.195675000000001</v>
      </c>
      <c r="E1294" s="76">
        <v>50.349311999999998</v>
      </c>
      <c r="F1294" s="76">
        <v>31.119709</v>
      </c>
      <c r="G1294" s="79">
        <v>943500</v>
      </c>
    </row>
    <row r="1295" spans="1:7" x14ac:dyDescent="0.25">
      <c r="A1295" s="1" t="s">
        <v>1418</v>
      </c>
      <c r="B1295" s="76">
        <v>50.298099999999998</v>
      </c>
      <c r="C1295" s="76">
        <v>50.459052999999997</v>
      </c>
      <c r="D1295" s="76">
        <v>50.188358000000001</v>
      </c>
      <c r="E1295" s="76">
        <v>50.459052999999997</v>
      </c>
      <c r="F1295" s="76">
        <v>31.187546000000001</v>
      </c>
      <c r="G1295" s="79">
        <v>607700</v>
      </c>
    </row>
    <row r="1296" spans="1:7" x14ac:dyDescent="0.25">
      <c r="A1296" s="1" t="s">
        <v>1419</v>
      </c>
      <c r="B1296" s="76">
        <v>50.334682000000001</v>
      </c>
      <c r="C1296" s="76">
        <v>51.395511999999997</v>
      </c>
      <c r="D1296" s="76">
        <v>50.334682000000001</v>
      </c>
      <c r="E1296" s="76">
        <v>51.395511999999997</v>
      </c>
      <c r="F1296" s="76">
        <v>31.766338000000001</v>
      </c>
      <c r="G1296" s="79">
        <v>615500</v>
      </c>
    </row>
    <row r="1297" spans="1:7" x14ac:dyDescent="0.25">
      <c r="A1297" s="1" t="s">
        <v>1420</v>
      </c>
      <c r="B1297" s="76">
        <v>51.285769999999999</v>
      </c>
      <c r="C1297" s="76">
        <v>51.614998</v>
      </c>
      <c r="D1297" s="76">
        <v>50.195675000000001</v>
      </c>
      <c r="E1297" s="76">
        <v>50.261519999999997</v>
      </c>
      <c r="F1297" s="76">
        <v>31.065453999999999</v>
      </c>
      <c r="G1297" s="79">
        <v>1134900</v>
      </c>
    </row>
    <row r="1298" spans="1:7" x14ac:dyDescent="0.25">
      <c r="A1298" s="1" t="s">
        <v>1421</v>
      </c>
      <c r="B1298" s="76">
        <v>50.298099999999998</v>
      </c>
      <c r="C1298" s="76">
        <v>51.263824</v>
      </c>
      <c r="D1298" s="76">
        <v>50.298099999999998</v>
      </c>
      <c r="E1298" s="76">
        <v>51.066288</v>
      </c>
      <c r="F1298" s="76">
        <v>31.562859</v>
      </c>
      <c r="G1298" s="79">
        <v>607500</v>
      </c>
    </row>
    <row r="1299" spans="1:7" x14ac:dyDescent="0.25">
      <c r="A1299" s="1" t="s">
        <v>1422</v>
      </c>
      <c r="B1299" s="76">
        <v>50.934601000000001</v>
      </c>
      <c r="C1299" s="76">
        <v>51.183346</v>
      </c>
      <c r="D1299" s="76">
        <v>50.707802000000001</v>
      </c>
      <c r="E1299" s="76">
        <v>50.963863000000003</v>
      </c>
      <c r="F1299" s="76">
        <v>31.499549999999999</v>
      </c>
      <c r="G1299" s="79">
        <v>513600</v>
      </c>
    </row>
    <row r="1300" spans="1:7" x14ac:dyDescent="0.25">
      <c r="A1300" s="1" t="s">
        <v>1423</v>
      </c>
      <c r="B1300" s="76">
        <v>51.102871</v>
      </c>
      <c r="C1300" s="76">
        <v>51.66621</v>
      </c>
      <c r="D1300" s="76">
        <v>51.102871</v>
      </c>
      <c r="E1300" s="76">
        <v>51.636944</v>
      </c>
      <c r="F1300" s="76">
        <v>31.915583000000002</v>
      </c>
      <c r="G1300" s="79">
        <v>479800</v>
      </c>
    </row>
    <row r="1301" spans="1:7" x14ac:dyDescent="0.25">
      <c r="A1301" s="1" t="s">
        <v>1424</v>
      </c>
      <c r="B1301" s="76">
        <v>52.090541999999999</v>
      </c>
      <c r="C1301" s="76">
        <v>52.968471999999998</v>
      </c>
      <c r="D1301" s="76">
        <v>51.944220999999999</v>
      </c>
      <c r="E1301" s="76">
        <v>52.968471999999998</v>
      </c>
      <c r="F1301" s="76">
        <v>32.738548000000002</v>
      </c>
      <c r="G1301" s="79">
        <v>499300</v>
      </c>
    </row>
    <row r="1302" spans="1:7" x14ac:dyDescent="0.25">
      <c r="A1302" s="1" t="s">
        <v>1425</v>
      </c>
      <c r="B1302" s="76">
        <v>52.748989000000002</v>
      </c>
      <c r="C1302" s="76">
        <v>53.809821999999997</v>
      </c>
      <c r="D1302" s="76">
        <v>52.690459999999902</v>
      </c>
      <c r="E1302" s="76">
        <v>53.700080999999997</v>
      </c>
      <c r="F1302" s="76">
        <v>33.190734999999997</v>
      </c>
      <c r="G1302" s="79">
        <v>513500</v>
      </c>
    </row>
    <row r="1303" spans="1:7" x14ac:dyDescent="0.25">
      <c r="A1303" s="1" t="s">
        <v>1426</v>
      </c>
      <c r="B1303" s="76">
        <v>53.553761000000002</v>
      </c>
      <c r="C1303" s="76">
        <v>53.692763999999997</v>
      </c>
      <c r="D1303" s="76">
        <v>53.136741999999998</v>
      </c>
      <c r="E1303" s="76">
        <v>53.407435999999997</v>
      </c>
      <c r="F1303" s="76">
        <v>33.009869000000002</v>
      </c>
      <c r="G1303" s="79">
        <v>392300</v>
      </c>
    </row>
    <row r="1304" spans="1:7" x14ac:dyDescent="0.25">
      <c r="A1304" s="1" t="s">
        <v>1427</v>
      </c>
      <c r="B1304" s="76">
        <v>53.370856999999901</v>
      </c>
      <c r="C1304" s="76">
        <v>53.370856999999901</v>
      </c>
      <c r="D1304" s="76">
        <v>51.995434000000003</v>
      </c>
      <c r="E1304" s="76">
        <v>52.105175000000003</v>
      </c>
      <c r="F1304" s="76">
        <v>32.204966999999897</v>
      </c>
      <c r="G1304" s="79">
        <v>1107500</v>
      </c>
    </row>
    <row r="1305" spans="1:7" x14ac:dyDescent="0.25">
      <c r="A1305" s="1" t="s">
        <v>1428</v>
      </c>
      <c r="B1305" s="76">
        <v>52.171016999999999</v>
      </c>
      <c r="C1305" s="76">
        <v>52.997737999999998</v>
      </c>
      <c r="D1305" s="76">
        <v>52.046646000000003</v>
      </c>
      <c r="E1305" s="76">
        <v>52.902625999999998</v>
      </c>
      <c r="F1305" s="76">
        <v>32.697865</v>
      </c>
      <c r="G1305" s="79">
        <v>538600</v>
      </c>
    </row>
    <row r="1306" spans="1:7" x14ac:dyDescent="0.25">
      <c r="A1306" s="1" t="s">
        <v>1429</v>
      </c>
      <c r="B1306" s="76">
        <v>52.375869999999999</v>
      </c>
      <c r="C1306" s="76">
        <v>52.566085999999999</v>
      </c>
      <c r="D1306" s="76">
        <v>51.593047999999897</v>
      </c>
      <c r="E1306" s="76">
        <v>51.651577000000003</v>
      </c>
      <c r="F1306" s="76">
        <v>31.924606000000001</v>
      </c>
      <c r="G1306" s="79">
        <v>500400</v>
      </c>
    </row>
    <row r="1307" spans="1:7" x14ac:dyDescent="0.25">
      <c r="A1307" s="1" t="s">
        <v>1430</v>
      </c>
      <c r="B1307" s="76">
        <v>51.395511999999997</v>
      </c>
      <c r="C1307" s="76">
        <v>52.588035999999903</v>
      </c>
      <c r="D1307" s="76">
        <v>51.293087</v>
      </c>
      <c r="E1307" s="76">
        <v>52.529506999999903</v>
      </c>
      <c r="F1307" s="76">
        <v>32.467236</v>
      </c>
      <c r="G1307" s="79">
        <v>580200</v>
      </c>
    </row>
    <row r="1308" spans="1:7" x14ac:dyDescent="0.25">
      <c r="A1308" s="1" t="s">
        <v>1431</v>
      </c>
      <c r="B1308" s="76">
        <v>52.639247999999903</v>
      </c>
      <c r="C1308" s="76">
        <v>53.158690999999997</v>
      </c>
      <c r="D1308" s="76">
        <v>52.185650000000003</v>
      </c>
      <c r="E1308" s="76">
        <v>52.456344999999999</v>
      </c>
      <c r="F1308" s="76">
        <v>32.422020000000003</v>
      </c>
      <c r="G1308" s="79">
        <v>507700</v>
      </c>
    </row>
    <row r="1309" spans="1:7" x14ac:dyDescent="0.25">
      <c r="A1309" s="1" t="s">
        <v>1432</v>
      </c>
      <c r="B1309" s="76">
        <v>52.463661000000002</v>
      </c>
      <c r="C1309" s="76">
        <v>52.946525999999999</v>
      </c>
      <c r="D1309" s="76">
        <v>51.827164000000003</v>
      </c>
      <c r="E1309" s="76">
        <v>51.944220999999999</v>
      </c>
      <c r="F1309" s="76">
        <v>32.105491999999998</v>
      </c>
      <c r="G1309" s="79">
        <v>438600</v>
      </c>
    </row>
    <row r="1310" spans="1:7" x14ac:dyDescent="0.25">
      <c r="A1310" s="1" t="s">
        <v>1433</v>
      </c>
      <c r="B1310" s="76">
        <v>52.675826999999998</v>
      </c>
      <c r="C1310" s="76">
        <v>53.348906999999997</v>
      </c>
      <c r="D1310" s="76">
        <v>52.470978000000002</v>
      </c>
      <c r="E1310" s="76">
        <v>53.195270999999998</v>
      </c>
      <c r="F1310" s="76">
        <v>32.878737999999998</v>
      </c>
      <c r="G1310" s="79">
        <v>853200</v>
      </c>
    </row>
    <row r="1311" spans="1:7" x14ac:dyDescent="0.25">
      <c r="A1311" s="1" t="s">
        <v>1434</v>
      </c>
      <c r="B1311" s="76">
        <v>53.041633999999902</v>
      </c>
      <c r="C1311" s="76">
        <v>53.048949999999998</v>
      </c>
      <c r="D1311" s="76">
        <v>52.339286999999999</v>
      </c>
      <c r="E1311" s="76">
        <v>52.712409999999998</v>
      </c>
      <c r="F1311" s="76">
        <v>32.580283999999999</v>
      </c>
      <c r="G1311" s="79">
        <v>864800</v>
      </c>
    </row>
    <row r="1312" spans="1:7" x14ac:dyDescent="0.25">
      <c r="A1312" s="1" t="s">
        <v>1435</v>
      </c>
      <c r="B1312" s="76">
        <v>52.675826999999998</v>
      </c>
      <c r="C1312" s="76">
        <v>52.675826999999998</v>
      </c>
      <c r="D1312" s="76">
        <v>52.046646000000003</v>
      </c>
      <c r="E1312" s="76">
        <v>52.310023999999999</v>
      </c>
      <c r="F1312" s="76">
        <v>32.331592999999998</v>
      </c>
      <c r="G1312" s="79">
        <v>563100</v>
      </c>
    </row>
    <row r="1313" spans="1:7" x14ac:dyDescent="0.25">
      <c r="A1313" s="1" t="s">
        <v>1436</v>
      </c>
      <c r="B1313" s="76">
        <v>52.346603000000002</v>
      </c>
      <c r="C1313" s="76">
        <v>52.792884999999998</v>
      </c>
      <c r="D1313" s="76">
        <v>51.395511999999997</v>
      </c>
      <c r="E1313" s="76">
        <v>51.395511999999997</v>
      </c>
      <c r="F1313" s="76">
        <v>31.766338000000001</v>
      </c>
      <c r="G1313" s="79">
        <v>670200</v>
      </c>
    </row>
    <row r="1314" spans="1:7" x14ac:dyDescent="0.25">
      <c r="A1314" s="1" t="s">
        <v>1437</v>
      </c>
      <c r="B1314" s="76">
        <v>51.358932000000003</v>
      </c>
      <c r="C1314" s="76">
        <v>51.358932000000003</v>
      </c>
      <c r="D1314" s="76">
        <v>50.312733000000001</v>
      </c>
      <c r="E1314" s="76">
        <v>50.481003000000001</v>
      </c>
      <c r="F1314" s="76">
        <v>31.201104999999998</v>
      </c>
      <c r="G1314" s="79">
        <v>2449000</v>
      </c>
    </row>
    <row r="1315" spans="1:7" x14ac:dyDescent="0.25">
      <c r="A1315" s="1" t="s">
        <v>1438</v>
      </c>
      <c r="B1315" s="76">
        <v>50.737063999999997</v>
      </c>
      <c r="C1315" s="76">
        <v>51.205295999999997</v>
      </c>
      <c r="D1315" s="76">
        <v>50.737063999999997</v>
      </c>
      <c r="E1315" s="76">
        <v>50.927284</v>
      </c>
      <c r="F1315" s="76">
        <v>31.476947999999901</v>
      </c>
      <c r="G1315" s="79">
        <v>1205600</v>
      </c>
    </row>
    <row r="1316" spans="1:7" x14ac:dyDescent="0.25">
      <c r="A1316" s="1" t="s">
        <v>1439</v>
      </c>
      <c r="B1316" s="76">
        <v>51.029708999999997</v>
      </c>
      <c r="C1316" s="76">
        <v>51.102871</v>
      </c>
      <c r="D1316" s="76">
        <v>50.400523999999997</v>
      </c>
      <c r="E1316" s="76">
        <v>50.488318999999997</v>
      </c>
      <c r="F1316" s="76">
        <v>31.205636999999999</v>
      </c>
      <c r="G1316" s="79">
        <v>1038700</v>
      </c>
    </row>
    <row r="1317" spans="1:7" x14ac:dyDescent="0.25">
      <c r="A1317" s="1" t="s">
        <v>1440</v>
      </c>
      <c r="B1317" s="76">
        <v>50.349311999999998</v>
      </c>
      <c r="C1317" s="76">
        <v>50.846806000000001</v>
      </c>
      <c r="D1317" s="76">
        <v>50.349311999999998</v>
      </c>
      <c r="E1317" s="76">
        <v>50.400523999999997</v>
      </c>
      <c r="F1317" s="76">
        <v>31.151366999999901</v>
      </c>
      <c r="G1317" s="79">
        <v>1068500</v>
      </c>
    </row>
    <row r="1318" spans="1:7" x14ac:dyDescent="0.25">
      <c r="A1318" s="1" t="s">
        <v>1441</v>
      </c>
      <c r="B1318" s="76">
        <v>50.334682000000001</v>
      </c>
      <c r="C1318" s="76">
        <v>50.927284</v>
      </c>
      <c r="D1318" s="76">
        <v>50.334682000000001</v>
      </c>
      <c r="E1318" s="76">
        <v>50.751697999999998</v>
      </c>
      <c r="F1318" s="76">
        <v>31.3684229999999</v>
      </c>
      <c r="G1318" s="79">
        <v>635400</v>
      </c>
    </row>
    <row r="1319" spans="1:7" x14ac:dyDescent="0.25">
      <c r="A1319" s="1" t="s">
        <v>1442</v>
      </c>
      <c r="B1319" s="76">
        <v>50.919967999999997</v>
      </c>
      <c r="C1319" s="76">
        <v>51.622310999999897</v>
      </c>
      <c r="D1319" s="76">
        <v>50.678534999999997</v>
      </c>
      <c r="E1319" s="76">
        <v>50.678534999999997</v>
      </c>
      <c r="F1319" s="76">
        <v>31.323193</v>
      </c>
      <c r="G1319" s="79">
        <v>873200</v>
      </c>
    </row>
    <row r="1320" spans="1:7" x14ac:dyDescent="0.25">
      <c r="A1320" s="1" t="s">
        <v>1443</v>
      </c>
      <c r="B1320" s="76">
        <v>51.139449999999997</v>
      </c>
      <c r="C1320" s="76">
        <v>51.351616</v>
      </c>
      <c r="D1320" s="76">
        <v>50.239570999999998</v>
      </c>
      <c r="E1320" s="76">
        <v>50.795592999999997</v>
      </c>
      <c r="F1320" s="76">
        <v>31.395544000000001</v>
      </c>
      <c r="G1320" s="79">
        <v>841900</v>
      </c>
    </row>
    <row r="1321" spans="1:7" x14ac:dyDescent="0.25">
      <c r="A1321" s="1" t="s">
        <v>1444</v>
      </c>
      <c r="B1321" s="76">
        <v>50.919967999999997</v>
      </c>
      <c r="C1321" s="76">
        <v>50.956547</v>
      </c>
      <c r="D1321" s="76">
        <v>50.078617000000001</v>
      </c>
      <c r="E1321" s="76">
        <v>50.795592999999997</v>
      </c>
      <c r="F1321" s="76">
        <v>31.395544000000001</v>
      </c>
      <c r="G1321" s="79">
        <v>792300</v>
      </c>
    </row>
    <row r="1322" spans="1:7" x14ac:dyDescent="0.25">
      <c r="A1322" s="1" t="s">
        <v>1445</v>
      </c>
      <c r="B1322" s="76">
        <v>50.919967999999997</v>
      </c>
      <c r="C1322" s="76">
        <v>51.168715999999897</v>
      </c>
      <c r="D1322" s="76">
        <v>50.568793999999997</v>
      </c>
      <c r="E1322" s="76">
        <v>51.015076000000001</v>
      </c>
      <c r="F1322" s="76">
        <v>31.531196999999999</v>
      </c>
      <c r="G1322" s="79">
        <v>1031500</v>
      </c>
    </row>
    <row r="1323" spans="1:7" x14ac:dyDescent="0.25">
      <c r="A1323" s="1" t="s">
        <v>1446</v>
      </c>
      <c r="B1323" s="76">
        <v>51.139449999999997</v>
      </c>
      <c r="C1323" s="76">
        <v>51.505253000000003</v>
      </c>
      <c r="D1323" s="76">
        <v>50.905334000000003</v>
      </c>
      <c r="E1323" s="76">
        <v>51.395511999999997</v>
      </c>
      <c r="F1323" s="76">
        <v>31.766338000000001</v>
      </c>
      <c r="G1323" s="79">
        <v>698800</v>
      </c>
    </row>
    <row r="1324" spans="1:7" x14ac:dyDescent="0.25">
      <c r="A1324" s="1" t="s">
        <v>1447</v>
      </c>
      <c r="B1324" s="76">
        <v>51.541835999999897</v>
      </c>
      <c r="C1324" s="76">
        <v>52.105175000000003</v>
      </c>
      <c r="D1324" s="76">
        <v>51.49794</v>
      </c>
      <c r="E1324" s="76">
        <v>51.907639000000003</v>
      </c>
      <c r="F1324" s="76">
        <v>32.082886000000002</v>
      </c>
      <c r="G1324" s="79">
        <v>1086700</v>
      </c>
    </row>
    <row r="1325" spans="1:7" x14ac:dyDescent="0.25">
      <c r="A1325" s="1" t="s">
        <v>1448</v>
      </c>
      <c r="B1325" s="76">
        <v>51.907639000000003</v>
      </c>
      <c r="C1325" s="76">
        <v>52.207599999999999</v>
      </c>
      <c r="D1325" s="76">
        <v>51.680840000000003</v>
      </c>
      <c r="E1325" s="76">
        <v>51.797896999999999</v>
      </c>
      <c r="F1325" s="76">
        <v>32.015064000000002</v>
      </c>
      <c r="G1325" s="79">
        <v>611300</v>
      </c>
    </row>
    <row r="1326" spans="1:7" x14ac:dyDescent="0.25">
      <c r="A1326" s="1" t="s">
        <v>1449</v>
      </c>
      <c r="B1326" s="76">
        <v>52.017379999999903</v>
      </c>
      <c r="C1326" s="76">
        <v>52.112491999999897</v>
      </c>
      <c r="D1326" s="76">
        <v>51.790581000000003</v>
      </c>
      <c r="E1326" s="76">
        <v>52.03933</v>
      </c>
      <c r="F1326" s="76">
        <v>32.164287999999999</v>
      </c>
      <c r="G1326" s="79">
        <v>474500</v>
      </c>
    </row>
    <row r="1327" spans="1:7" x14ac:dyDescent="0.25">
      <c r="A1327" s="1" t="s">
        <v>1450</v>
      </c>
      <c r="B1327" s="76">
        <v>52.105175000000003</v>
      </c>
      <c r="C1327" s="76">
        <v>53.626918999999901</v>
      </c>
      <c r="D1327" s="76">
        <v>51.929588000000003</v>
      </c>
      <c r="E1327" s="76">
        <v>53.041633999999902</v>
      </c>
      <c r="F1327" s="76">
        <v>32.783786999999997</v>
      </c>
      <c r="G1327" s="79">
        <v>980300</v>
      </c>
    </row>
    <row r="1328" spans="1:7" x14ac:dyDescent="0.25">
      <c r="A1328" s="1" t="s">
        <v>1451</v>
      </c>
      <c r="B1328" s="76">
        <v>53.005051000000002</v>
      </c>
      <c r="C1328" s="76">
        <v>53.246482999999998</v>
      </c>
      <c r="D1328" s="76">
        <v>52.873362999999998</v>
      </c>
      <c r="E1328" s="76">
        <v>53.078212999999998</v>
      </c>
      <c r="F1328" s="76">
        <v>32.806370000000001</v>
      </c>
      <c r="G1328" s="79">
        <v>714900</v>
      </c>
    </row>
    <row r="1329" spans="1:7" x14ac:dyDescent="0.25">
      <c r="A1329" s="1" t="s">
        <v>1452</v>
      </c>
      <c r="B1329" s="76">
        <v>53.078212999999998</v>
      </c>
      <c r="C1329" s="76">
        <v>53.590339999999998</v>
      </c>
      <c r="D1329" s="76">
        <v>52.983105000000002</v>
      </c>
      <c r="E1329" s="76">
        <v>53.297694999999997</v>
      </c>
      <c r="F1329" s="76">
        <v>32.942031999999998</v>
      </c>
      <c r="G1329" s="79">
        <v>734000</v>
      </c>
    </row>
    <row r="1330" spans="1:7" x14ac:dyDescent="0.25">
      <c r="A1330" s="1" t="s">
        <v>1453</v>
      </c>
      <c r="B1330" s="76">
        <v>53.334277999999998</v>
      </c>
      <c r="C1330" s="76">
        <v>53.553761000000002</v>
      </c>
      <c r="D1330" s="76">
        <v>53.217219999999998</v>
      </c>
      <c r="E1330" s="76">
        <v>53.378174000000001</v>
      </c>
      <c r="F1330" s="76">
        <v>32.991782999999998</v>
      </c>
      <c r="G1330" s="79">
        <v>720200</v>
      </c>
    </row>
    <row r="1331" spans="1:7" x14ac:dyDescent="0.25">
      <c r="A1331" s="1" t="s">
        <v>1454</v>
      </c>
      <c r="B1331" s="76">
        <v>53.539127000000001</v>
      </c>
      <c r="C1331" s="76">
        <v>53.626918999999901</v>
      </c>
      <c r="D1331" s="76">
        <v>52.953837999999998</v>
      </c>
      <c r="E1331" s="76">
        <v>53.385489999999997</v>
      </c>
      <c r="F1331" s="76">
        <v>32.996303999999903</v>
      </c>
      <c r="G1331" s="79">
        <v>587500</v>
      </c>
    </row>
    <row r="1332" spans="1:7" x14ac:dyDescent="0.25">
      <c r="A1332" s="1" t="s">
        <v>1455</v>
      </c>
      <c r="B1332" s="76">
        <v>53.334277999999998</v>
      </c>
      <c r="C1332" s="76">
        <v>53.641551999999997</v>
      </c>
      <c r="D1332" s="76">
        <v>53.239165999999997</v>
      </c>
      <c r="E1332" s="76">
        <v>53.641551999999997</v>
      </c>
      <c r="F1332" s="76">
        <v>33.154567999999998</v>
      </c>
      <c r="G1332" s="79">
        <v>634700</v>
      </c>
    </row>
    <row r="1333" spans="1:7" x14ac:dyDescent="0.25">
      <c r="A1333" s="1" t="s">
        <v>1456</v>
      </c>
      <c r="B1333" s="76">
        <v>53.495231999999902</v>
      </c>
      <c r="C1333" s="76">
        <v>53.736660000000001</v>
      </c>
      <c r="D1333" s="76">
        <v>53.297694999999997</v>
      </c>
      <c r="E1333" s="76">
        <v>53.670817999999997</v>
      </c>
      <c r="F1333" s="76">
        <v>33.172657000000001</v>
      </c>
      <c r="G1333" s="79">
        <v>668100</v>
      </c>
    </row>
    <row r="1334" spans="1:7" x14ac:dyDescent="0.25">
      <c r="A1334" s="1" t="s">
        <v>1457</v>
      </c>
      <c r="B1334" s="76">
        <v>53.736660000000001</v>
      </c>
      <c r="C1334" s="76">
        <v>53.809821999999997</v>
      </c>
      <c r="D1334" s="76">
        <v>53.517178000000001</v>
      </c>
      <c r="E1334" s="76">
        <v>53.648868999999998</v>
      </c>
      <c r="F1334" s="76">
        <v>33.159100000000002</v>
      </c>
      <c r="G1334" s="79">
        <v>456200</v>
      </c>
    </row>
    <row r="1335" spans="1:7" x14ac:dyDescent="0.25">
      <c r="A1335" s="1" t="s">
        <v>1458</v>
      </c>
      <c r="B1335" s="76">
        <v>53.722031000000001</v>
      </c>
      <c r="C1335" s="76">
        <v>53.846401</v>
      </c>
      <c r="D1335" s="76">
        <v>53.546443999999902</v>
      </c>
      <c r="E1335" s="76">
        <v>53.795189000000001</v>
      </c>
      <c r="F1335" s="76">
        <v>33.249530999999998</v>
      </c>
      <c r="G1335" s="79">
        <v>569500</v>
      </c>
    </row>
    <row r="1336" spans="1:7" x14ac:dyDescent="0.25">
      <c r="A1336" s="1" t="s">
        <v>1459</v>
      </c>
      <c r="B1336" s="76">
        <v>53.795189000000001</v>
      </c>
      <c r="C1336" s="76">
        <v>54.431690000000003</v>
      </c>
      <c r="D1336" s="76">
        <v>53.597656000000001</v>
      </c>
      <c r="E1336" s="76">
        <v>54.431690000000003</v>
      </c>
      <c r="F1336" s="76">
        <v>33.642936999999897</v>
      </c>
      <c r="G1336" s="79">
        <v>653000</v>
      </c>
    </row>
    <row r="1337" spans="1:7" x14ac:dyDescent="0.25">
      <c r="A1337" s="1" t="s">
        <v>1460</v>
      </c>
      <c r="B1337" s="76">
        <v>54.431690000000003</v>
      </c>
      <c r="C1337" s="76">
        <v>55.053557999999903</v>
      </c>
      <c r="D1337" s="76">
        <v>54.307316</v>
      </c>
      <c r="E1337" s="76">
        <v>54.980395999999999</v>
      </c>
      <c r="F1337" s="76">
        <v>33.982070999999998</v>
      </c>
      <c r="G1337" s="79">
        <v>635200</v>
      </c>
    </row>
    <row r="1338" spans="1:7" x14ac:dyDescent="0.25">
      <c r="A1338" s="1" t="s">
        <v>1461</v>
      </c>
      <c r="B1338" s="76">
        <v>54.885288000000003</v>
      </c>
      <c r="C1338" s="76">
        <v>55.346198999999999</v>
      </c>
      <c r="D1338" s="76">
        <v>54.651173</v>
      </c>
      <c r="E1338" s="76">
        <v>55.236457999999999</v>
      </c>
      <c r="F1338" s="76">
        <v>34.140343000000001</v>
      </c>
      <c r="G1338" s="79">
        <v>680100</v>
      </c>
    </row>
    <row r="1339" spans="1:7" x14ac:dyDescent="0.25">
      <c r="A1339" s="1" t="s">
        <v>1462</v>
      </c>
      <c r="B1339" s="76">
        <v>55.382781999999899</v>
      </c>
      <c r="C1339" s="76">
        <v>56.143653999999998</v>
      </c>
      <c r="D1339" s="76">
        <v>55.338885999999903</v>
      </c>
      <c r="E1339" s="76">
        <v>55.997333999999903</v>
      </c>
      <c r="F1339" s="76">
        <v>34.610619</v>
      </c>
      <c r="G1339" s="79">
        <v>960500</v>
      </c>
    </row>
    <row r="1340" spans="1:7" x14ac:dyDescent="0.25">
      <c r="A1340" s="1" t="s">
        <v>1463</v>
      </c>
      <c r="B1340" s="76">
        <v>56.114390999999998</v>
      </c>
      <c r="C1340" s="76">
        <v>56.150969999999901</v>
      </c>
      <c r="D1340" s="76">
        <v>55.4120449999999</v>
      </c>
      <c r="E1340" s="76">
        <v>55.931488000000002</v>
      </c>
      <c r="F1340" s="76">
        <v>34.569915999999999</v>
      </c>
      <c r="G1340" s="79">
        <v>1282300</v>
      </c>
    </row>
    <row r="1341" spans="1:7" x14ac:dyDescent="0.25">
      <c r="A1341" s="1" t="s">
        <v>1464</v>
      </c>
      <c r="B1341" s="76">
        <v>56.004649999999998</v>
      </c>
      <c r="C1341" s="76">
        <v>56.333874000000002</v>
      </c>
      <c r="D1341" s="76">
        <v>55.931488000000002</v>
      </c>
      <c r="E1341" s="76">
        <v>56.311923999999998</v>
      </c>
      <c r="F1341" s="76">
        <v>34.805064999999999</v>
      </c>
      <c r="G1341" s="79">
        <v>882600</v>
      </c>
    </row>
    <row r="1342" spans="1:7" x14ac:dyDescent="0.25">
      <c r="A1342" s="1" t="s">
        <v>1465</v>
      </c>
      <c r="B1342" s="76">
        <v>55.902221999999902</v>
      </c>
      <c r="C1342" s="76">
        <v>56.289974000000001</v>
      </c>
      <c r="D1342" s="76">
        <v>55.872958999999902</v>
      </c>
      <c r="E1342" s="76">
        <v>56.289974000000001</v>
      </c>
      <c r="F1342" s="76">
        <v>35.138451000000003</v>
      </c>
      <c r="G1342" s="79">
        <v>982900</v>
      </c>
    </row>
    <row r="1343" spans="1:7" x14ac:dyDescent="0.25">
      <c r="A1343" s="1" t="s">
        <v>1466</v>
      </c>
      <c r="B1343" s="76">
        <v>56.260711999999998</v>
      </c>
      <c r="C1343" s="76">
        <v>56.845996999999997</v>
      </c>
      <c r="D1343" s="76">
        <v>55.982700000000001</v>
      </c>
      <c r="E1343" s="76">
        <v>56.582618999999902</v>
      </c>
      <c r="F1343" s="76">
        <v>35.321133000000003</v>
      </c>
      <c r="G1343" s="79">
        <v>825700</v>
      </c>
    </row>
    <row r="1344" spans="1:7" x14ac:dyDescent="0.25">
      <c r="A1344" s="1" t="s">
        <v>1467</v>
      </c>
      <c r="B1344" s="76">
        <v>56.604568</v>
      </c>
      <c r="C1344" s="76">
        <v>57.292278000000003</v>
      </c>
      <c r="D1344" s="76">
        <v>56.450931999999902</v>
      </c>
      <c r="E1344" s="76">
        <v>57.065479000000003</v>
      </c>
      <c r="F1344" s="76">
        <v>35.622559000000003</v>
      </c>
      <c r="G1344" s="79">
        <v>961100</v>
      </c>
    </row>
    <row r="1345" spans="1:7" x14ac:dyDescent="0.25">
      <c r="A1345" s="1" t="s">
        <v>1468</v>
      </c>
      <c r="B1345" s="76">
        <v>57.065479000000003</v>
      </c>
      <c r="C1345" s="76">
        <v>57.072795999999997</v>
      </c>
      <c r="D1345" s="76">
        <v>56.099757999999902</v>
      </c>
      <c r="E1345" s="76">
        <v>56.150969999999901</v>
      </c>
      <c r="F1345" s="76">
        <v>35.051682</v>
      </c>
      <c r="G1345" s="79">
        <v>939000</v>
      </c>
    </row>
    <row r="1346" spans="1:7" x14ac:dyDescent="0.25">
      <c r="A1346" s="1" t="s">
        <v>1469</v>
      </c>
      <c r="B1346" s="76">
        <v>56.150969999999901</v>
      </c>
      <c r="C1346" s="76">
        <v>57.175219999999896</v>
      </c>
      <c r="D1346" s="76">
        <v>56.150969999999901</v>
      </c>
      <c r="E1346" s="76">
        <v>57.175219999999896</v>
      </c>
      <c r="F1346" s="76">
        <v>35.691051000000002</v>
      </c>
      <c r="G1346" s="79">
        <v>932800</v>
      </c>
    </row>
    <row r="1347" spans="1:7" x14ac:dyDescent="0.25">
      <c r="A1347" s="1" t="s">
        <v>1470</v>
      </c>
      <c r="B1347" s="76">
        <v>56.845996999999997</v>
      </c>
      <c r="C1347" s="76">
        <v>57.124007999999897</v>
      </c>
      <c r="D1347" s="76">
        <v>56.619197999999997</v>
      </c>
      <c r="E1347" s="76">
        <v>57.043532999999996</v>
      </c>
      <c r="F1347" s="76">
        <v>35.608848999999999</v>
      </c>
      <c r="G1347" s="79">
        <v>607200</v>
      </c>
    </row>
    <row r="1348" spans="1:7" x14ac:dyDescent="0.25">
      <c r="A1348" s="1" t="s">
        <v>1471</v>
      </c>
      <c r="B1348" s="76">
        <v>57.102061999999997</v>
      </c>
      <c r="C1348" s="76">
        <v>57.131324999999997</v>
      </c>
      <c r="D1348" s="76">
        <v>56.385086000000001</v>
      </c>
      <c r="E1348" s="76">
        <v>57.087429</v>
      </c>
      <c r="F1348" s="76">
        <v>35.636241999999903</v>
      </c>
      <c r="G1348" s="79">
        <v>806200</v>
      </c>
    </row>
    <row r="1349" spans="1:7" x14ac:dyDescent="0.25">
      <c r="A1349" s="1" t="s">
        <v>1472</v>
      </c>
      <c r="B1349" s="76">
        <v>57.087429</v>
      </c>
      <c r="C1349" s="76">
        <v>57.182536999999897</v>
      </c>
      <c r="D1349" s="76">
        <v>56.955737999999997</v>
      </c>
      <c r="E1349" s="76">
        <v>57.065479000000003</v>
      </c>
      <c r="F1349" s="76">
        <v>35.622559000000003</v>
      </c>
      <c r="G1349" s="79">
        <v>756900</v>
      </c>
    </row>
    <row r="1350" spans="1:7" x14ac:dyDescent="0.25">
      <c r="A1350" s="1" t="s">
        <v>1473</v>
      </c>
      <c r="B1350" s="76">
        <v>57.065479000000003</v>
      </c>
      <c r="C1350" s="76">
        <v>57.145957999999901</v>
      </c>
      <c r="D1350" s="76">
        <v>56.553356000000001</v>
      </c>
      <c r="E1350" s="76">
        <v>56.670414000000001</v>
      </c>
      <c r="F1350" s="76">
        <v>35.375941999999903</v>
      </c>
      <c r="G1350" s="79">
        <v>519800</v>
      </c>
    </row>
    <row r="1351" spans="1:7" x14ac:dyDescent="0.25">
      <c r="A1351" s="1" t="s">
        <v>1474</v>
      </c>
      <c r="B1351" s="76">
        <v>56.670414000000001</v>
      </c>
      <c r="C1351" s="76">
        <v>57.006954</v>
      </c>
      <c r="D1351" s="76">
        <v>56.502143999999902</v>
      </c>
      <c r="E1351" s="76">
        <v>56.809418000000001</v>
      </c>
      <c r="F1351" s="76">
        <v>35.462699999999998</v>
      </c>
      <c r="G1351" s="79">
        <v>876400</v>
      </c>
    </row>
    <row r="1352" spans="1:7" x14ac:dyDescent="0.25">
      <c r="A1352" s="1" t="s">
        <v>1475</v>
      </c>
      <c r="B1352" s="76">
        <v>56.809418000000001</v>
      </c>
      <c r="C1352" s="76">
        <v>56.845996999999997</v>
      </c>
      <c r="D1352" s="76">
        <v>56.516773000000001</v>
      </c>
      <c r="E1352" s="76">
        <v>56.794784999999997</v>
      </c>
      <c r="F1352" s="76">
        <v>35.453575000000001</v>
      </c>
      <c r="G1352" s="79">
        <v>636900</v>
      </c>
    </row>
    <row r="1353" spans="1:7" x14ac:dyDescent="0.25">
      <c r="A1353" s="1" t="s">
        <v>1476</v>
      </c>
      <c r="B1353" s="76">
        <v>56.955737999999997</v>
      </c>
      <c r="C1353" s="76">
        <v>57.467865000000003</v>
      </c>
      <c r="D1353" s="76">
        <v>56.882579999999997</v>
      </c>
      <c r="E1353" s="76">
        <v>57.467865000000003</v>
      </c>
      <c r="F1353" s="76">
        <v>35.873736999999998</v>
      </c>
      <c r="G1353" s="79">
        <v>980000</v>
      </c>
    </row>
    <row r="1354" spans="1:7" x14ac:dyDescent="0.25">
      <c r="A1354" s="1" t="s">
        <v>1477</v>
      </c>
      <c r="B1354" s="76">
        <v>57.467865000000003</v>
      </c>
      <c r="C1354" s="76">
        <v>59.531002000000001</v>
      </c>
      <c r="D1354" s="76">
        <v>57.431286</v>
      </c>
      <c r="E1354" s="76">
        <v>59.399310999999997</v>
      </c>
      <c r="F1354" s="76">
        <v>37.079421999999902</v>
      </c>
      <c r="G1354" s="79">
        <v>2192100</v>
      </c>
    </row>
    <row r="1355" spans="1:7" x14ac:dyDescent="0.25">
      <c r="A1355" s="1" t="s">
        <v>1478</v>
      </c>
      <c r="B1355" s="76">
        <v>59.552951999999998</v>
      </c>
      <c r="C1355" s="76">
        <v>59.552951999999998</v>
      </c>
      <c r="D1355" s="76">
        <v>58.945717000000002</v>
      </c>
      <c r="E1355" s="76">
        <v>59.113987000000002</v>
      </c>
      <c r="F1355" s="76">
        <v>36.901313999999999</v>
      </c>
      <c r="G1355" s="79">
        <v>810000</v>
      </c>
    </row>
    <row r="1356" spans="1:7" x14ac:dyDescent="0.25">
      <c r="A1356" s="1" t="s">
        <v>1479</v>
      </c>
      <c r="B1356" s="76">
        <v>59.113987000000002</v>
      </c>
      <c r="C1356" s="76">
        <v>59.611480999999998</v>
      </c>
      <c r="D1356" s="76">
        <v>59.011558999999998</v>
      </c>
      <c r="E1356" s="76">
        <v>59.443210999999998</v>
      </c>
      <c r="F1356" s="76">
        <v>37.106827000000003</v>
      </c>
      <c r="G1356" s="79">
        <v>1060200</v>
      </c>
    </row>
    <row r="1357" spans="1:7" x14ac:dyDescent="0.25">
      <c r="A1357" s="1" t="s">
        <v>1480</v>
      </c>
      <c r="B1357" s="76">
        <v>59.333468999999901</v>
      </c>
      <c r="C1357" s="76">
        <v>59.340786000000001</v>
      </c>
      <c r="D1357" s="76">
        <v>58.470168999999899</v>
      </c>
      <c r="E1357" s="76">
        <v>58.638438999999998</v>
      </c>
      <c r="F1357" s="76">
        <v>36.604458000000001</v>
      </c>
      <c r="G1357" s="79">
        <v>747100</v>
      </c>
    </row>
    <row r="1358" spans="1:7" x14ac:dyDescent="0.25">
      <c r="A1358" s="1" t="s">
        <v>1481</v>
      </c>
      <c r="B1358" s="76">
        <v>58.528697999999999</v>
      </c>
      <c r="C1358" s="76">
        <v>58.601859999999903</v>
      </c>
      <c r="D1358" s="76">
        <v>57.145957999999901</v>
      </c>
      <c r="E1358" s="76">
        <v>57.555659999999897</v>
      </c>
      <c r="F1358" s="76">
        <v>35.928546999999902</v>
      </c>
      <c r="G1358" s="79">
        <v>1863000</v>
      </c>
    </row>
    <row r="1359" spans="1:7" x14ac:dyDescent="0.25">
      <c r="A1359" s="1" t="s">
        <v>1482</v>
      </c>
      <c r="B1359" s="76">
        <v>57.431286</v>
      </c>
      <c r="C1359" s="76">
        <v>58.082417</v>
      </c>
      <c r="D1359" s="76">
        <v>56.999637999999997</v>
      </c>
      <c r="E1359" s="76">
        <v>57.204487</v>
      </c>
      <c r="F1359" s="76">
        <v>35.709327999999999</v>
      </c>
      <c r="G1359" s="79">
        <v>711900</v>
      </c>
    </row>
    <row r="1360" spans="1:7" x14ac:dyDescent="0.25">
      <c r="A1360" s="1" t="s">
        <v>1483</v>
      </c>
      <c r="B1360" s="76">
        <v>57.402019999999901</v>
      </c>
      <c r="C1360" s="76">
        <v>57.482498</v>
      </c>
      <c r="D1360" s="76">
        <v>57.065479000000003</v>
      </c>
      <c r="E1360" s="76">
        <v>57.482498</v>
      </c>
      <c r="F1360" s="76">
        <v>35.882874000000001</v>
      </c>
      <c r="G1360" s="79">
        <v>356400</v>
      </c>
    </row>
    <row r="1361" spans="1:7" x14ac:dyDescent="0.25">
      <c r="A1361" s="1" t="s">
        <v>1484</v>
      </c>
      <c r="B1361" s="76">
        <v>57.4532319999999</v>
      </c>
      <c r="C1361" s="76">
        <v>57.921463000000003</v>
      </c>
      <c r="D1361" s="76">
        <v>57.4532319999999</v>
      </c>
      <c r="E1361" s="76">
        <v>57.577606000000003</v>
      </c>
      <c r="F1361" s="76">
        <v>35.942248999999997</v>
      </c>
      <c r="G1361" s="79">
        <v>631100</v>
      </c>
    </row>
    <row r="1362" spans="1:7" x14ac:dyDescent="0.25">
      <c r="A1362" s="1" t="s">
        <v>1485</v>
      </c>
      <c r="B1362" s="76">
        <v>57.716614</v>
      </c>
      <c r="C1362" s="76">
        <v>58.287266000000002</v>
      </c>
      <c r="D1362" s="76">
        <v>57.650767999999999</v>
      </c>
      <c r="E1362" s="76">
        <v>58.155579000000003</v>
      </c>
      <c r="F1362" s="76">
        <v>36.303027999999998</v>
      </c>
      <c r="G1362" s="79">
        <v>585600</v>
      </c>
    </row>
    <row r="1363" spans="1:7" x14ac:dyDescent="0.25">
      <c r="A1363" s="1" t="s">
        <v>1486</v>
      </c>
      <c r="B1363" s="76">
        <v>58.236052999999998</v>
      </c>
      <c r="C1363" s="76">
        <v>58.455535999999903</v>
      </c>
      <c r="D1363" s="76">
        <v>57.489815</v>
      </c>
      <c r="E1363" s="76">
        <v>57.541027</v>
      </c>
      <c r="F1363" s="76">
        <v>35.919410999999997</v>
      </c>
      <c r="G1363" s="79">
        <v>528200</v>
      </c>
    </row>
    <row r="1364" spans="1:7" x14ac:dyDescent="0.25">
      <c r="A1364" s="1" t="s">
        <v>1487</v>
      </c>
      <c r="B1364" s="76">
        <v>57.687346999999903</v>
      </c>
      <c r="C1364" s="76">
        <v>58.309215999999999</v>
      </c>
      <c r="D1364" s="76">
        <v>57.043532999999996</v>
      </c>
      <c r="E1364" s="76">
        <v>57.065479000000003</v>
      </c>
      <c r="F1364" s="76">
        <v>35.622559000000003</v>
      </c>
      <c r="G1364" s="79">
        <v>849800</v>
      </c>
    </row>
    <row r="1365" spans="1:7" x14ac:dyDescent="0.25">
      <c r="A1365" s="1" t="s">
        <v>1488</v>
      </c>
      <c r="B1365" s="76">
        <v>57.321544999999901</v>
      </c>
      <c r="C1365" s="76">
        <v>57.797089</v>
      </c>
      <c r="D1365" s="76">
        <v>57.072795999999997</v>
      </c>
      <c r="E1365" s="76">
        <v>57.102061999999997</v>
      </c>
      <c r="F1365" s="76">
        <v>35.645373999999997</v>
      </c>
      <c r="G1365" s="79">
        <v>996400</v>
      </c>
    </row>
    <row r="1366" spans="1:7" x14ac:dyDescent="0.25">
      <c r="A1366" s="1" t="s">
        <v>1489</v>
      </c>
      <c r="B1366" s="76">
        <v>57.270331999999897</v>
      </c>
      <c r="C1366" s="76">
        <v>58.704284999999999</v>
      </c>
      <c r="D1366" s="76">
        <v>57.153275000000001</v>
      </c>
      <c r="E1366" s="76">
        <v>58.279952999999999</v>
      </c>
      <c r="F1366" s="76">
        <v>36.380676000000001</v>
      </c>
      <c r="G1366" s="79">
        <v>835200</v>
      </c>
    </row>
    <row r="1367" spans="1:7" x14ac:dyDescent="0.25">
      <c r="A1367" s="1" t="s">
        <v>1490</v>
      </c>
      <c r="B1367" s="76">
        <v>58.279952999999999</v>
      </c>
      <c r="C1367" s="76">
        <v>58.938400000000001</v>
      </c>
      <c r="D1367" s="76">
        <v>58.162894999999899</v>
      </c>
      <c r="E1367" s="76">
        <v>58.272635999999999</v>
      </c>
      <c r="F1367" s="76">
        <v>36.376102000000003</v>
      </c>
      <c r="G1367" s="79">
        <v>694100</v>
      </c>
    </row>
    <row r="1368" spans="1:7" x14ac:dyDescent="0.25">
      <c r="A1368" s="1" t="s">
        <v>1491</v>
      </c>
      <c r="B1368" s="76">
        <v>58.272635999999999</v>
      </c>
      <c r="C1368" s="76">
        <v>58.857921999999903</v>
      </c>
      <c r="D1368" s="76">
        <v>57.928780000000003</v>
      </c>
      <c r="E1368" s="76">
        <v>58.792076000000002</v>
      </c>
      <c r="F1368" s="76">
        <v>36.700375000000001</v>
      </c>
      <c r="G1368" s="79">
        <v>476600</v>
      </c>
    </row>
    <row r="1369" spans="1:7" x14ac:dyDescent="0.25">
      <c r="A1369" s="1" t="s">
        <v>1492</v>
      </c>
      <c r="B1369" s="76">
        <v>58.792076000000002</v>
      </c>
      <c r="C1369" s="76">
        <v>58.938400000000001</v>
      </c>
      <c r="D1369" s="76">
        <v>58.345794999999903</v>
      </c>
      <c r="E1369" s="76">
        <v>58.653071999999902</v>
      </c>
      <c r="F1369" s="76">
        <v>36.613590000000002</v>
      </c>
      <c r="G1369" s="79">
        <v>424900</v>
      </c>
    </row>
    <row r="1370" spans="1:7" x14ac:dyDescent="0.25">
      <c r="A1370" s="1" t="s">
        <v>1493</v>
      </c>
      <c r="B1370" s="76">
        <v>58.528697999999999</v>
      </c>
      <c r="C1370" s="76">
        <v>58.638438999999998</v>
      </c>
      <c r="D1370" s="76">
        <v>58.206791000000003</v>
      </c>
      <c r="E1370" s="76">
        <v>58.565277000000002</v>
      </c>
      <c r="F1370" s="76">
        <v>36.558788</v>
      </c>
      <c r="G1370" s="79">
        <v>513200</v>
      </c>
    </row>
    <row r="1371" spans="1:7" x14ac:dyDescent="0.25">
      <c r="A1371" s="1" t="s">
        <v>1494</v>
      </c>
      <c r="B1371" s="76">
        <v>58.565277000000002</v>
      </c>
      <c r="C1371" s="76">
        <v>58.601859999999903</v>
      </c>
      <c r="D1371" s="76">
        <v>58.111682999999999</v>
      </c>
      <c r="E1371" s="76">
        <v>58.367743999999902</v>
      </c>
      <c r="F1371" s="76">
        <v>36.435482</v>
      </c>
      <c r="G1371" s="79">
        <v>569100</v>
      </c>
    </row>
    <row r="1372" spans="1:7" x14ac:dyDescent="0.25">
      <c r="A1372" s="1" t="s">
        <v>1495</v>
      </c>
      <c r="B1372" s="76">
        <v>58.309215999999999</v>
      </c>
      <c r="C1372" s="76">
        <v>58.360427999999999</v>
      </c>
      <c r="D1372" s="76">
        <v>57.57029</v>
      </c>
      <c r="E1372" s="76">
        <v>57.709296999999999</v>
      </c>
      <c r="F1372" s="76">
        <v>36.024440999999896</v>
      </c>
      <c r="G1372" s="79">
        <v>882100</v>
      </c>
    </row>
    <row r="1373" spans="1:7" x14ac:dyDescent="0.25">
      <c r="A1373" s="1" t="s">
        <v>1496</v>
      </c>
      <c r="B1373" s="76">
        <v>57.467865000000003</v>
      </c>
      <c r="C1373" s="76">
        <v>57.541027</v>
      </c>
      <c r="D1373" s="76">
        <v>57.270331999999897</v>
      </c>
      <c r="E1373" s="76">
        <v>57.504447999999996</v>
      </c>
      <c r="F1373" s="76">
        <v>35.896576000000003</v>
      </c>
      <c r="G1373" s="79">
        <v>1084100</v>
      </c>
    </row>
    <row r="1374" spans="1:7" x14ac:dyDescent="0.25">
      <c r="A1374" s="1" t="s">
        <v>1497</v>
      </c>
      <c r="B1374" s="76">
        <v>57.650767999999999</v>
      </c>
      <c r="C1374" s="76">
        <v>58.521380999999998</v>
      </c>
      <c r="D1374" s="76">
        <v>57.577606000000003</v>
      </c>
      <c r="E1374" s="76">
        <v>58.177525000000003</v>
      </c>
      <c r="F1374" s="76">
        <v>36.316738000000001</v>
      </c>
      <c r="G1374" s="79">
        <v>986800</v>
      </c>
    </row>
    <row r="1375" spans="1:7" x14ac:dyDescent="0.25">
      <c r="A1375" s="1" t="s">
        <v>1498</v>
      </c>
      <c r="B1375" s="76">
        <v>58.184840999999999</v>
      </c>
      <c r="C1375" s="76">
        <v>58.704284999999999</v>
      </c>
      <c r="D1375" s="76">
        <v>58.001942</v>
      </c>
      <c r="E1375" s="76">
        <v>58.418956999999899</v>
      </c>
      <c r="F1375" s="76">
        <v>36.467441999999998</v>
      </c>
      <c r="G1375" s="79">
        <v>609100</v>
      </c>
    </row>
    <row r="1376" spans="1:7" x14ac:dyDescent="0.25">
      <c r="A1376" s="1" t="s">
        <v>1499</v>
      </c>
      <c r="B1376" s="76">
        <v>58.528697999999999</v>
      </c>
      <c r="C1376" s="76">
        <v>58.572593999999903</v>
      </c>
      <c r="D1376" s="76">
        <v>57.950729000000003</v>
      </c>
      <c r="E1376" s="76">
        <v>57.979992000000003</v>
      </c>
      <c r="F1376" s="76">
        <v>36.193432000000001</v>
      </c>
      <c r="G1376" s="79">
        <v>831600</v>
      </c>
    </row>
    <row r="1377" spans="1:7" x14ac:dyDescent="0.25">
      <c r="A1377" s="1" t="s">
        <v>1500</v>
      </c>
      <c r="B1377" s="76">
        <v>58.162894999999899</v>
      </c>
      <c r="C1377" s="76">
        <v>58.258003000000002</v>
      </c>
      <c r="D1377" s="76">
        <v>57.394706999999997</v>
      </c>
      <c r="E1377" s="76">
        <v>57.541027</v>
      </c>
      <c r="F1377" s="76">
        <v>35.919410999999997</v>
      </c>
      <c r="G1377" s="79">
        <v>634200</v>
      </c>
    </row>
    <row r="1378" spans="1:7" x14ac:dyDescent="0.25">
      <c r="A1378" s="1" t="s">
        <v>1501</v>
      </c>
      <c r="B1378" s="76">
        <v>57.614189000000003</v>
      </c>
      <c r="C1378" s="76">
        <v>58.272635999999999</v>
      </c>
      <c r="D1378" s="76">
        <v>57.577606000000003</v>
      </c>
      <c r="E1378" s="76">
        <v>58.031204000000002</v>
      </c>
      <c r="F1378" s="76">
        <v>36.225394999999999</v>
      </c>
      <c r="G1378" s="79">
        <v>888500</v>
      </c>
    </row>
    <row r="1379" spans="1:7" x14ac:dyDescent="0.25">
      <c r="A1379" s="1" t="s">
        <v>1502</v>
      </c>
      <c r="B1379" s="76">
        <v>58.162894999999899</v>
      </c>
      <c r="C1379" s="76">
        <v>58.579909999999998</v>
      </c>
      <c r="D1379" s="76">
        <v>57.614189000000003</v>
      </c>
      <c r="E1379" s="76">
        <v>57.775143</v>
      </c>
      <c r="F1379" s="76">
        <v>36.065551999999997</v>
      </c>
      <c r="G1379" s="79">
        <v>877200</v>
      </c>
    </row>
    <row r="1380" spans="1:7" x14ac:dyDescent="0.25">
      <c r="A1380" s="1" t="s">
        <v>1503</v>
      </c>
      <c r="B1380" s="76">
        <v>57.614189000000003</v>
      </c>
      <c r="C1380" s="76">
        <v>57.936095999999999</v>
      </c>
      <c r="D1380" s="76">
        <v>57.445918999999897</v>
      </c>
      <c r="E1380" s="76">
        <v>57.833672</v>
      </c>
      <c r="F1380" s="76">
        <v>36.102092999999897</v>
      </c>
      <c r="G1380" s="79">
        <v>341500</v>
      </c>
    </row>
    <row r="1381" spans="1:7" x14ac:dyDescent="0.25">
      <c r="A1381" s="1" t="s">
        <v>1504</v>
      </c>
      <c r="B1381" s="76">
        <v>57.723930000000003</v>
      </c>
      <c r="C1381" s="76">
        <v>58.455535999999903</v>
      </c>
      <c r="D1381" s="76">
        <v>57.614189000000003</v>
      </c>
      <c r="E1381" s="76">
        <v>58.455535999999903</v>
      </c>
      <c r="F1381" s="76">
        <v>36.490276000000001</v>
      </c>
      <c r="G1381" s="79">
        <v>428100</v>
      </c>
    </row>
    <row r="1382" spans="1:7" x14ac:dyDescent="0.25">
      <c r="A1382" s="1" t="s">
        <v>1505</v>
      </c>
      <c r="B1382" s="76">
        <v>58.455535999999903</v>
      </c>
      <c r="C1382" s="76">
        <v>58.748179999999998</v>
      </c>
      <c r="D1382" s="76">
        <v>58.258003000000002</v>
      </c>
      <c r="E1382" s="76">
        <v>58.579909999999998</v>
      </c>
      <c r="F1382" s="76">
        <v>36.567920999999998</v>
      </c>
      <c r="G1382" s="79">
        <v>640400</v>
      </c>
    </row>
    <row r="1383" spans="1:7" x14ac:dyDescent="0.25">
      <c r="A1383" s="1" t="s">
        <v>1506</v>
      </c>
      <c r="B1383" s="76">
        <v>58.587226999999999</v>
      </c>
      <c r="C1383" s="76">
        <v>58.821342000000001</v>
      </c>
      <c r="D1383" s="76">
        <v>58.089732999999903</v>
      </c>
      <c r="E1383" s="76">
        <v>58.821342000000001</v>
      </c>
      <c r="F1383" s="76">
        <v>36.718628000000002</v>
      </c>
      <c r="G1383" s="79">
        <v>783300</v>
      </c>
    </row>
    <row r="1384" spans="1:7" x14ac:dyDescent="0.25">
      <c r="A1384" s="1" t="s">
        <v>1507</v>
      </c>
      <c r="B1384" s="76">
        <v>58.814025999999998</v>
      </c>
      <c r="C1384" s="76">
        <v>59.618797000000001</v>
      </c>
      <c r="D1384" s="76">
        <v>58.718918000000002</v>
      </c>
      <c r="E1384" s="76">
        <v>59.611480999999998</v>
      </c>
      <c r="F1384" s="76">
        <v>37.211863999999998</v>
      </c>
      <c r="G1384" s="79">
        <v>731600</v>
      </c>
    </row>
    <row r="1385" spans="1:7" x14ac:dyDescent="0.25">
      <c r="A1385" s="1" t="s">
        <v>1508</v>
      </c>
      <c r="B1385" s="76">
        <v>59.465156999999998</v>
      </c>
      <c r="C1385" s="76">
        <v>60.101657999999901</v>
      </c>
      <c r="D1385" s="76">
        <v>59.216411999999998</v>
      </c>
      <c r="E1385" s="76">
        <v>59.809013</v>
      </c>
      <c r="F1385" s="76">
        <v>37.335171000000003</v>
      </c>
      <c r="G1385" s="79">
        <v>922400</v>
      </c>
    </row>
    <row r="1386" spans="1:7" x14ac:dyDescent="0.25">
      <c r="A1386" s="1" t="s">
        <v>1509</v>
      </c>
      <c r="B1386" s="76">
        <v>59.845592000000003</v>
      </c>
      <c r="C1386" s="76">
        <v>60.101657999999901</v>
      </c>
      <c r="D1386" s="76">
        <v>59.552951999999998</v>
      </c>
      <c r="E1386" s="76">
        <v>59.684638999999997</v>
      </c>
      <c r="F1386" s="76">
        <v>37.257542000000001</v>
      </c>
      <c r="G1386" s="79">
        <v>543700</v>
      </c>
    </row>
    <row r="1387" spans="1:7" x14ac:dyDescent="0.25">
      <c r="A1387" s="1" t="s">
        <v>1510</v>
      </c>
      <c r="B1387" s="76">
        <v>59.552951999999998</v>
      </c>
      <c r="C1387" s="76">
        <v>60.386986</v>
      </c>
      <c r="D1387" s="76">
        <v>59.245674000000001</v>
      </c>
      <c r="E1387" s="76">
        <v>60.3796689999999</v>
      </c>
      <c r="F1387" s="76">
        <v>37.691417999999999</v>
      </c>
      <c r="G1387" s="79">
        <v>693800</v>
      </c>
    </row>
    <row r="1388" spans="1:7" x14ac:dyDescent="0.25">
      <c r="A1388" s="1" t="s">
        <v>1511</v>
      </c>
      <c r="B1388" s="76">
        <v>60.504043999999901</v>
      </c>
      <c r="C1388" s="76">
        <v>61.345390000000002</v>
      </c>
      <c r="D1388" s="76">
        <v>60.32114</v>
      </c>
      <c r="E1388" s="76">
        <v>61.096644999999903</v>
      </c>
      <c r="F1388" s="76">
        <v>38.138973</v>
      </c>
      <c r="G1388" s="79">
        <v>603000</v>
      </c>
    </row>
    <row r="1389" spans="1:7" x14ac:dyDescent="0.25">
      <c r="A1389" s="1" t="s">
        <v>1512</v>
      </c>
      <c r="B1389" s="76">
        <v>61.125907999999903</v>
      </c>
      <c r="C1389" s="76">
        <v>62.325747999999997</v>
      </c>
      <c r="D1389" s="76">
        <v>61.089328999999999</v>
      </c>
      <c r="E1389" s="76">
        <v>62.135528999999998</v>
      </c>
      <c r="F1389" s="76">
        <v>38.787486999999999</v>
      </c>
      <c r="G1389" s="79">
        <v>762500</v>
      </c>
    </row>
    <row r="1390" spans="1:7" x14ac:dyDescent="0.25">
      <c r="A1390" s="1" t="s">
        <v>1513</v>
      </c>
      <c r="B1390" s="76">
        <v>62.135528999999998</v>
      </c>
      <c r="C1390" s="76">
        <v>62.208691000000002</v>
      </c>
      <c r="D1390" s="76">
        <v>61.564877000000003</v>
      </c>
      <c r="E1390" s="76">
        <v>62.003841000000001</v>
      </c>
      <c r="F1390" s="76">
        <v>38.705272999999998</v>
      </c>
      <c r="G1390" s="79">
        <v>644100</v>
      </c>
    </row>
    <row r="1391" spans="1:7" x14ac:dyDescent="0.25">
      <c r="A1391" s="1" t="s">
        <v>1514</v>
      </c>
      <c r="B1391" s="76">
        <v>62.003841000000001</v>
      </c>
      <c r="C1391" s="76">
        <v>62.011153999999998</v>
      </c>
      <c r="D1391" s="76">
        <v>61.425868999999899</v>
      </c>
      <c r="E1391" s="76">
        <v>61.586822999999903</v>
      </c>
      <c r="F1391" s="76">
        <v>38.444949999999999</v>
      </c>
      <c r="G1391" s="79">
        <v>539200</v>
      </c>
    </row>
    <row r="1392" spans="1:7" x14ac:dyDescent="0.25">
      <c r="A1392" s="1" t="s">
        <v>1515</v>
      </c>
      <c r="B1392" s="76">
        <v>61.579506000000002</v>
      </c>
      <c r="C1392" s="76">
        <v>61.674618000000002</v>
      </c>
      <c r="D1392" s="76">
        <v>60.4601439999999</v>
      </c>
      <c r="E1392" s="76">
        <v>60.474777000000003</v>
      </c>
      <c r="F1392" s="76">
        <v>37.750771</v>
      </c>
      <c r="G1392" s="79">
        <v>503300</v>
      </c>
    </row>
    <row r="1393" spans="1:7" x14ac:dyDescent="0.25">
      <c r="A1393" s="1" t="s">
        <v>1516</v>
      </c>
      <c r="B1393" s="76">
        <v>60.760105000000003</v>
      </c>
      <c r="C1393" s="76">
        <v>61.308810999999999</v>
      </c>
      <c r="D1393" s="76">
        <v>60.584518000000003</v>
      </c>
      <c r="E1393" s="76">
        <v>61.213703000000002</v>
      </c>
      <c r="F1393" s="76">
        <v>38.212035999999998</v>
      </c>
      <c r="G1393" s="79">
        <v>874100</v>
      </c>
    </row>
    <row r="1394" spans="1:7" x14ac:dyDescent="0.25">
      <c r="A1394" s="1" t="s">
        <v>1517</v>
      </c>
      <c r="B1394" s="76">
        <v>61.345390000000002</v>
      </c>
      <c r="C1394" s="76">
        <v>61.747776000000002</v>
      </c>
      <c r="D1394" s="76">
        <v>60.950324999999999</v>
      </c>
      <c r="E1394" s="76">
        <v>61.638034999999903</v>
      </c>
      <c r="F1394" s="76">
        <v>38.476920999999997</v>
      </c>
      <c r="G1394" s="79">
        <v>473300</v>
      </c>
    </row>
    <row r="1395" spans="1:7" x14ac:dyDescent="0.25">
      <c r="A1395" s="1" t="s">
        <v>1518</v>
      </c>
      <c r="B1395" s="76">
        <v>61.674618000000002</v>
      </c>
      <c r="C1395" s="76">
        <v>62.011153999999998</v>
      </c>
      <c r="D1395" s="76">
        <v>61.4551319999999</v>
      </c>
      <c r="E1395" s="76">
        <v>62.003841000000001</v>
      </c>
      <c r="F1395" s="76">
        <v>38.705272999999998</v>
      </c>
      <c r="G1395" s="79">
        <v>498000</v>
      </c>
    </row>
    <row r="1396" spans="1:7" x14ac:dyDescent="0.25">
      <c r="A1396" s="1" t="s">
        <v>1519</v>
      </c>
      <c r="B1396" s="76">
        <v>62.003841000000001</v>
      </c>
      <c r="C1396" s="76">
        <v>62.442805999999997</v>
      </c>
      <c r="D1396" s="76">
        <v>61.857517000000001</v>
      </c>
      <c r="E1396" s="76">
        <v>62.318431999999902</v>
      </c>
      <c r="F1396" s="76">
        <v>38.901648999999999</v>
      </c>
      <c r="G1396" s="79">
        <v>518600</v>
      </c>
    </row>
    <row r="1397" spans="1:7" x14ac:dyDescent="0.25">
      <c r="A1397" s="1" t="s">
        <v>1520</v>
      </c>
      <c r="B1397" s="76">
        <v>62.318431999999902</v>
      </c>
      <c r="C1397" s="76">
        <v>62.369643999999901</v>
      </c>
      <c r="D1397" s="76">
        <v>61.140540999999999</v>
      </c>
      <c r="E1397" s="76">
        <v>61.608771999999902</v>
      </c>
      <c r="F1397" s="76">
        <v>38.458667999999903</v>
      </c>
      <c r="G1397" s="79">
        <v>659400</v>
      </c>
    </row>
    <row r="1398" spans="1:7" x14ac:dyDescent="0.25">
      <c r="A1398" s="1" t="s">
        <v>1521</v>
      </c>
      <c r="B1398" s="76">
        <v>61.674618000000002</v>
      </c>
      <c r="C1398" s="76">
        <v>61.894100000000002</v>
      </c>
      <c r="D1398" s="76">
        <v>61.381972999999903</v>
      </c>
      <c r="E1398" s="76">
        <v>61.784358999999903</v>
      </c>
      <c r="F1398" s="76">
        <v>38.568259999999903</v>
      </c>
      <c r="G1398" s="79">
        <v>380700</v>
      </c>
    </row>
    <row r="1399" spans="1:7" x14ac:dyDescent="0.25">
      <c r="A1399" s="1" t="s">
        <v>1522</v>
      </c>
      <c r="B1399" s="76">
        <v>62.157477999999998</v>
      </c>
      <c r="C1399" s="76">
        <v>62.611075999999997</v>
      </c>
      <c r="D1399" s="76">
        <v>61.864833999999902</v>
      </c>
      <c r="E1399" s="76">
        <v>62.581809999999997</v>
      </c>
      <c r="F1399" s="76">
        <v>39.066071000000001</v>
      </c>
      <c r="G1399" s="79">
        <v>616300</v>
      </c>
    </row>
    <row r="1400" spans="1:7" x14ac:dyDescent="0.25">
      <c r="A1400" s="1" t="s">
        <v>1523</v>
      </c>
      <c r="B1400" s="76">
        <v>62.581809999999997</v>
      </c>
      <c r="C1400" s="76">
        <v>62.991512</v>
      </c>
      <c r="D1400" s="76">
        <v>62.369643999999901</v>
      </c>
      <c r="E1400" s="76">
        <v>62.918349999999997</v>
      </c>
      <c r="F1400" s="76">
        <v>39.276150000000001</v>
      </c>
      <c r="G1400" s="79">
        <v>534000</v>
      </c>
    </row>
    <row r="1401" spans="1:7" x14ac:dyDescent="0.25">
      <c r="A1401" s="1" t="s">
        <v>1524</v>
      </c>
      <c r="B1401" s="76">
        <v>64.469359999999995</v>
      </c>
      <c r="C1401" s="76">
        <v>64.813216999999995</v>
      </c>
      <c r="D1401" s="76">
        <v>63.759701</v>
      </c>
      <c r="E1401" s="76">
        <v>64.381568999999999</v>
      </c>
      <c r="F1401" s="76">
        <v>40.189540999999998</v>
      </c>
      <c r="G1401" s="79">
        <v>3694900</v>
      </c>
    </row>
    <row r="1402" spans="1:7" x14ac:dyDescent="0.25">
      <c r="A1402" s="1" t="s">
        <v>1525</v>
      </c>
      <c r="B1402" s="76">
        <v>64.381568999999999</v>
      </c>
      <c r="C1402" s="76">
        <v>65.069282999999999</v>
      </c>
      <c r="D1402" s="76">
        <v>64.308410999999893</v>
      </c>
      <c r="E1402" s="76">
        <v>64.813216999999995</v>
      </c>
      <c r="F1402" s="76">
        <v>40.459007</v>
      </c>
      <c r="G1402" s="79">
        <v>1686800</v>
      </c>
    </row>
    <row r="1403" spans="1:7" x14ac:dyDescent="0.25">
      <c r="A1403" s="1" t="s">
        <v>1526</v>
      </c>
      <c r="B1403" s="76">
        <v>64.805901000000006</v>
      </c>
      <c r="C1403" s="76">
        <v>65.625304999999997</v>
      </c>
      <c r="D1403" s="76">
        <v>64.601050999999998</v>
      </c>
      <c r="E1403" s="76">
        <v>64.849800000000002</v>
      </c>
      <c r="F1403" s="76">
        <v>40.481833999999999</v>
      </c>
      <c r="G1403" s="79">
        <v>867500</v>
      </c>
    </row>
    <row r="1404" spans="1:7" x14ac:dyDescent="0.25">
      <c r="A1404" s="1" t="s">
        <v>1527</v>
      </c>
      <c r="B1404" s="76">
        <v>64.849800000000002</v>
      </c>
      <c r="C1404" s="76">
        <v>65.098540999999997</v>
      </c>
      <c r="D1404" s="76">
        <v>64.264510999999999</v>
      </c>
      <c r="E1404" s="76">
        <v>64.681526000000005</v>
      </c>
      <c r="F1404" s="76">
        <v>40.376792999999999</v>
      </c>
      <c r="G1404" s="79">
        <v>925300</v>
      </c>
    </row>
    <row r="1405" spans="1:7" x14ac:dyDescent="0.25">
      <c r="A1405" s="1" t="s">
        <v>1528</v>
      </c>
      <c r="B1405" s="76">
        <v>64.381568999999999</v>
      </c>
      <c r="C1405" s="76">
        <v>64.447411000000002</v>
      </c>
      <c r="D1405" s="76">
        <v>64.125504000000006</v>
      </c>
      <c r="E1405" s="76">
        <v>64.440093999999903</v>
      </c>
      <c r="F1405" s="76">
        <v>40.574871000000002</v>
      </c>
      <c r="G1405" s="79">
        <v>775500</v>
      </c>
    </row>
    <row r="1406" spans="1:7" x14ac:dyDescent="0.25">
      <c r="A1406" s="1" t="s">
        <v>1529</v>
      </c>
      <c r="B1406" s="76">
        <v>64.381568999999999</v>
      </c>
      <c r="C1406" s="76">
        <v>64.396202000000002</v>
      </c>
      <c r="D1406" s="76">
        <v>63.686539000000003</v>
      </c>
      <c r="E1406" s="76">
        <v>63.942604000000003</v>
      </c>
      <c r="F1406" s="76">
        <v>40.261634999999998</v>
      </c>
      <c r="G1406" s="79">
        <v>776300</v>
      </c>
    </row>
    <row r="1407" spans="1:7" x14ac:dyDescent="0.25">
      <c r="A1407" s="1" t="s">
        <v>1530</v>
      </c>
      <c r="B1407" s="76">
        <v>63.796280000000003</v>
      </c>
      <c r="C1407" s="76">
        <v>63.869441999999999</v>
      </c>
      <c r="D1407" s="76">
        <v>63.284156999999901</v>
      </c>
      <c r="E1407" s="76">
        <v>63.64996</v>
      </c>
      <c r="F1407" s="76">
        <v>40.077370000000002</v>
      </c>
      <c r="G1407" s="79">
        <v>6608900</v>
      </c>
    </row>
    <row r="1408" spans="1:7" x14ac:dyDescent="0.25">
      <c r="A1408" s="1" t="s">
        <v>1531</v>
      </c>
      <c r="B1408" s="76">
        <v>62.918349999999997</v>
      </c>
      <c r="C1408" s="76">
        <v>62.925666999999997</v>
      </c>
      <c r="D1408" s="76">
        <v>62.186740999999998</v>
      </c>
      <c r="E1408" s="76">
        <v>62.472068999999998</v>
      </c>
      <c r="F1408" s="76">
        <v>39.335712000000001</v>
      </c>
      <c r="G1408" s="79">
        <v>5806500</v>
      </c>
    </row>
    <row r="1409" spans="1:7" x14ac:dyDescent="0.25">
      <c r="A1409" s="1" t="s">
        <v>1532</v>
      </c>
      <c r="B1409" s="76">
        <v>62.186740999999998</v>
      </c>
      <c r="C1409" s="76">
        <v>62.194056999999901</v>
      </c>
      <c r="D1409" s="76">
        <v>60.335772999999897</v>
      </c>
      <c r="E1409" s="76">
        <v>60.628413999999999</v>
      </c>
      <c r="F1409" s="76">
        <v>38.174847</v>
      </c>
      <c r="G1409" s="79">
        <v>3585400</v>
      </c>
    </row>
    <row r="1410" spans="1:7" x14ac:dyDescent="0.25">
      <c r="A1410" s="1" t="s">
        <v>1533</v>
      </c>
      <c r="B1410" s="76">
        <v>60.643046999999903</v>
      </c>
      <c r="C1410" s="76">
        <v>61.638034999999903</v>
      </c>
      <c r="D1410" s="76">
        <v>60.065075</v>
      </c>
      <c r="E1410" s="76">
        <v>60.796683999999999</v>
      </c>
      <c r="F1410" s="76">
        <v>38.280796000000002</v>
      </c>
      <c r="G1410" s="79">
        <v>2003900</v>
      </c>
    </row>
    <row r="1411" spans="1:7" x14ac:dyDescent="0.25">
      <c r="A1411" s="1" t="s">
        <v>1534</v>
      </c>
      <c r="B1411" s="76">
        <v>62.186740999999998</v>
      </c>
      <c r="C1411" s="76">
        <v>62.369643999999901</v>
      </c>
      <c r="D1411" s="76">
        <v>61.418551999999998</v>
      </c>
      <c r="E1411" s="76">
        <v>61.557559999999903</v>
      </c>
      <c r="F1411" s="76">
        <v>38.759871999999902</v>
      </c>
      <c r="G1411" s="79">
        <v>2418200</v>
      </c>
    </row>
    <row r="1412" spans="1:7" x14ac:dyDescent="0.25">
      <c r="A1412" s="1" t="s">
        <v>1535</v>
      </c>
      <c r="B1412" s="76">
        <v>61.564877000000003</v>
      </c>
      <c r="C1412" s="76">
        <v>62.303798999999998</v>
      </c>
      <c r="D1412" s="76">
        <v>61.389290000000003</v>
      </c>
      <c r="E1412" s="76">
        <v>62.113582999999998</v>
      </c>
      <c r="F1412" s="76">
        <v>39.109974000000001</v>
      </c>
      <c r="G1412" s="79">
        <v>18745100</v>
      </c>
    </row>
    <row r="1413" spans="1:7" x14ac:dyDescent="0.25">
      <c r="A1413" s="1" t="s">
        <v>1536</v>
      </c>
      <c r="B1413" s="76">
        <v>62.113582999999998</v>
      </c>
      <c r="C1413" s="76">
        <v>62.172111999999998</v>
      </c>
      <c r="D1413" s="76">
        <v>61.806305000000002</v>
      </c>
      <c r="E1413" s="76">
        <v>62.113582999999998</v>
      </c>
      <c r="F1413" s="76">
        <v>39.109974000000001</v>
      </c>
      <c r="G1413" s="79">
        <v>2284900</v>
      </c>
    </row>
    <row r="1414" spans="1:7" x14ac:dyDescent="0.25">
      <c r="A1414" s="1" t="s">
        <v>1537</v>
      </c>
      <c r="B1414" s="76">
        <v>62.237952999999997</v>
      </c>
      <c r="C1414" s="76">
        <v>62.786662999999997</v>
      </c>
      <c r="D1414" s="76">
        <v>61.703879999999998</v>
      </c>
      <c r="E1414" s="76">
        <v>62.494018999999902</v>
      </c>
      <c r="F1414" s="76">
        <v>39.349522</v>
      </c>
      <c r="G1414" s="79">
        <v>1377300</v>
      </c>
    </row>
    <row r="1415" spans="1:7" x14ac:dyDescent="0.25">
      <c r="A1415" s="1" t="s">
        <v>1538</v>
      </c>
      <c r="B1415" s="76">
        <v>62.618392999999998</v>
      </c>
      <c r="C1415" s="76">
        <v>63.137832999999901</v>
      </c>
      <c r="D1415" s="76">
        <v>62.515965000000001</v>
      </c>
      <c r="E1415" s="76">
        <v>62.962245999999901</v>
      </c>
      <c r="F1415" s="76">
        <v>39.644343999999997</v>
      </c>
      <c r="G1415" s="79">
        <v>1313600</v>
      </c>
    </row>
    <row r="1416" spans="1:7" x14ac:dyDescent="0.25">
      <c r="A1416" s="1" t="s">
        <v>1539</v>
      </c>
      <c r="B1416" s="76">
        <v>62.552546999999997</v>
      </c>
      <c r="C1416" s="76">
        <v>62.925666999999997</v>
      </c>
      <c r="D1416" s="76">
        <v>62.237952999999997</v>
      </c>
      <c r="E1416" s="76">
        <v>62.369643999999901</v>
      </c>
      <c r="F1416" s="76">
        <v>39.271217</v>
      </c>
      <c r="G1416" s="79">
        <v>1203400</v>
      </c>
    </row>
    <row r="1417" spans="1:7" x14ac:dyDescent="0.25">
      <c r="A1417" s="1" t="s">
        <v>1540</v>
      </c>
      <c r="B1417" s="76">
        <v>62.552546999999997</v>
      </c>
      <c r="C1417" s="76">
        <v>62.625706000000001</v>
      </c>
      <c r="D1417" s="76">
        <v>61.967257999999902</v>
      </c>
      <c r="E1417" s="76">
        <v>62.128211999999998</v>
      </c>
      <c r="F1417" s="76">
        <v>39.119190000000003</v>
      </c>
      <c r="G1417" s="79">
        <v>1006200</v>
      </c>
    </row>
    <row r="1418" spans="1:7" x14ac:dyDescent="0.25">
      <c r="A1418" s="1" t="s">
        <v>1541</v>
      </c>
      <c r="B1418" s="76">
        <v>62.318431999999902</v>
      </c>
      <c r="C1418" s="76">
        <v>62.318431999999902</v>
      </c>
      <c r="D1418" s="76">
        <v>61.967257999999902</v>
      </c>
      <c r="E1418" s="76">
        <v>62.201374000000001</v>
      </c>
      <c r="F1418" s="76">
        <v>39.165253</v>
      </c>
      <c r="G1418" s="79">
        <v>821100</v>
      </c>
    </row>
    <row r="1419" spans="1:7" x14ac:dyDescent="0.25">
      <c r="A1419" s="1" t="s">
        <v>1542</v>
      </c>
      <c r="B1419" s="76">
        <v>62.201374000000001</v>
      </c>
      <c r="C1419" s="76">
        <v>62.464751999999997</v>
      </c>
      <c r="D1419" s="76">
        <v>62.003841000000001</v>
      </c>
      <c r="E1419" s="76">
        <v>62.259903000000001</v>
      </c>
      <c r="F1419" s="76">
        <v>39.202114000000002</v>
      </c>
      <c r="G1419" s="79">
        <v>1015200</v>
      </c>
    </row>
    <row r="1420" spans="1:7" x14ac:dyDescent="0.25">
      <c r="A1420" s="1" t="s">
        <v>1543</v>
      </c>
      <c r="B1420" s="76">
        <v>62.259903000000001</v>
      </c>
      <c r="C1420" s="76">
        <v>62.442805999999997</v>
      </c>
      <c r="D1420" s="76">
        <v>61.784358999999903</v>
      </c>
      <c r="E1420" s="76">
        <v>62.011153999999998</v>
      </c>
      <c r="F1420" s="76">
        <v>39.045482999999997</v>
      </c>
      <c r="G1420" s="79">
        <v>679200</v>
      </c>
    </row>
    <row r="1421" spans="1:7" x14ac:dyDescent="0.25">
      <c r="A1421" s="1" t="s">
        <v>1544</v>
      </c>
      <c r="B1421" s="76">
        <v>62.011153999999998</v>
      </c>
      <c r="C1421" s="76">
        <v>62.625706000000001</v>
      </c>
      <c r="D1421" s="76">
        <v>61.894100000000002</v>
      </c>
      <c r="E1421" s="76">
        <v>62.142844999999902</v>
      </c>
      <c r="F1421" s="76">
        <v>39.128402999999999</v>
      </c>
      <c r="G1421" s="79">
        <v>956600</v>
      </c>
    </row>
    <row r="1422" spans="1:7" x14ac:dyDescent="0.25">
      <c r="A1422" s="1" t="s">
        <v>1545</v>
      </c>
      <c r="B1422" s="76">
        <v>62.237952999999997</v>
      </c>
      <c r="C1422" s="76">
        <v>62.698867999999997</v>
      </c>
      <c r="D1422" s="76">
        <v>61.820937999999998</v>
      </c>
      <c r="E1422" s="76">
        <v>62.420856000000001</v>
      </c>
      <c r="F1422" s="76">
        <v>39.303455</v>
      </c>
      <c r="G1422" s="79">
        <v>800300</v>
      </c>
    </row>
    <row r="1423" spans="1:7" x14ac:dyDescent="0.25">
      <c r="A1423" s="1" t="s">
        <v>1546</v>
      </c>
      <c r="B1423" s="76">
        <v>62.296481999999997</v>
      </c>
      <c r="C1423" s="76">
        <v>62.662289000000001</v>
      </c>
      <c r="D1423" s="76">
        <v>61.864833999999902</v>
      </c>
      <c r="E1423" s="76">
        <v>61.879466999999998</v>
      </c>
      <c r="F1423" s="76">
        <v>38.962573999999996</v>
      </c>
      <c r="G1423" s="79">
        <v>816800</v>
      </c>
    </row>
    <row r="1424" spans="1:7" x14ac:dyDescent="0.25">
      <c r="A1424" s="1" t="s">
        <v>1547</v>
      </c>
      <c r="B1424" s="76">
        <v>61.4551319999999</v>
      </c>
      <c r="C1424" s="76">
        <v>61.894100000000002</v>
      </c>
      <c r="D1424" s="76">
        <v>61.1185949999999</v>
      </c>
      <c r="E1424" s="76">
        <v>61.879466999999998</v>
      </c>
      <c r="F1424" s="76">
        <v>38.962573999999996</v>
      </c>
      <c r="G1424" s="79">
        <v>1142500</v>
      </c>
    </row>
    <row r="1425" spans="1:7" x14ac:dyDescent="0.25">
      <c r="A1425" s="1" t="s">
        <v>1548</v>
      </c>
      <c r="B1425" s="76">
        <v>61.784358999999903</v>
      </c>
      <c r="C1425" s="76">
        <v>62.164794999999998</v>
      </c>
      <c r="D1425" s="76">
        <v>61.367339999999999</v>
      </c>
      <c r="E1425" s="76">
        <v>62.033104000000002</v>
      </c>
      <c r="F1425" s="76">
        <v>39.059314999999998</v>
      </c>
      <c r="G1425" s="79">
        <v>820600</v>
      </c>
    </row>
    <row r="1426" spans="1:7" x14ac:dyDescent="0.25">
      <c r="A1426" s="1" t="s">
        <v>1549</v>
      </c>
      <c r="B1426" s="76">
        <v>61.996524999999998</v>
      </c>
      <c r="C1426" s="76">
        <v>63.137832999999901</v>
      </c>
      <c r="D1426" s="76">
        <v>61.894100000000002</v>
      </c>
      <c r="E1426" s="76">
        <v>62.932982999999901</v>
      </c>
      <c r="F1426" s="76">
        <v>39.625919000000003</v>
      </c>
      <c r="G1426" s="79">
        <v>1459300</v>
      </c>
    </row>
    <row r="1427" spans="1:7" x14ac:dyDescent="0.25">
      <c r="A1427" s="1" t="s">
        <v>1550</v>
      </c>
      <c r="B1427" s="76">
        <v>63.0134579999999</v>
      </c>
      <c r="C1427" s="76">
        <v>63.832863000000003</v>
      </c>
      <c r="D1427" s="76">
        <v>62.669604999999997</v>
      </c>
      <c r="E1427" s="76">
        <v>63.028091000000003</v>
      </c>
      <c r="F1427" s="76">
        <v>39.685805999999999</v>
      </c>
      <c r="G1427" s="79">
        <v>1899800</v>
      </c>
    </row>
    <row r="1428" spans="1:7" x14ac:dyDescent="0.25">
      <c r="A1428" s="1" t="s">
        <v>1551</v>
      </c>
      <c r="B1428" s="76">
        <v>63.101253999999997</v>
      </c>
      <c r="C1428" s="76">
        <v>63.474373</v>
      </c>
      <c r="D1428" s="76">
        <v>62.742764000000001</v>
      </c>
      <c r="E1428" s="76">
        <v>62.918349999999997</v>
      </c>
      <c r="F1428" s="76">
        <v>39.616703000000001</v>
      </c>
      <c r="G1428" s="79">
        <v>928500</v>
      </c>
    </row>
    <row r="1429" spans="1:7" x14ac:dyDescent="0.25">
      <c r="A1429" s="1" t="s">
        <v>1552</v>
      </c>
      <c r="B1429" s="76">
        <v>62.918349999999997</v>
      </c>
      <c r="C1429" s="76">
        <v>64.191353000000007</v>
      </c>
      <c r="D1429" s="76">
        <v>62.845188</v>
      </c>
      <c r="E1429" s="76">
        <v>64.052344999999903</v>
      </c>
      <c r="F1429" s="76">
        <v>40.330737999999997</v>
      </c>
      <c r="G1429" s="79">
        <v>1254900</v>
      </c>
    </row>
    <row r="1430" spans="1:7" x14ac:dyDescent="0.25">
      <c r="A1430" s="1" t="s">
        <v>1553</v>
      </c>
      <c r="B1430" s="76">
        <v>64.059662000000003</v>
      </c>
      <c r="C1430" s="76">
        <v>64.059662000000003</v>
      </c>
      <c r="D1430" s="76">
        <v>63.467055999999999</v>
      </c>
      <c r="E1430" s="76">
        <v>63.510956</v>
      </c>
      <c r="F1430" s="76">
        <v>39.989837999999999</v>
      </c>
      <c r="G1430" s="79">
        <v>1056400</v>
      </c>
    </row>
    <row r="1431" spans="1:7" x14ac:dyDescent="0.25">
      <c r="A1431" s="1" t="s">
        <v>1554</v>
      </c>
      <c r="B1431" s="76">
        <v>63.101253999999997</v>
      </c>
      <c r="C1431" s="76">
        <v>63.613379999999999</v>
      </c>
      <c r="D1431" s="76">
        <v>63.0134579999999</v>
      </c>
      <c r="E1431" s="76">
        <v>63.101253999999997</v>
      </c>
      <c r="F1431" s="76">
        <v>39.731879999999997</v>
      </c>
      <c r="G1431" s="79">
        <v>1083000</v>
      </c>
    </row>
    <row r="1432" spans="1:7" x14ac:dyDescent="0.25">
      <c r="A1432" s="1" t="s">
        <v>1555</v>
      </c>
      <c r="B1432" s="76">
        <v>63.210994999999997</v>
      </c>
      <c r="C1432" s="76">
        <v>63.64996</v>
      </c>
      <c r="D1432" s="76">
        <v>63.020775</v>
      </c>
      <c r="E1432" s="76">
        <v>63.554851999999997</v>
      </c>
      <c r="F1432" s="76">
        <v>40.017478999999902</v>
      </c>
      <c r="G1432" s="79">
        <v>563300</v>
      </c>
    </row>
    <row r="1433" spans="1:7" x14ac:dyDescent="0.25">
      <c r="A1433" s="1" t="s">
        <v>1556</v>
      </c>
      <c r="B1433" s="76">
        <v>63.518268999999997</v>
      </c>
      <c r="C1433" s="76">
        <v>63.620697</v>
      </c>
      <c r="D1433" s="76">
        <v>63.115887000000001</v>
      </c>
      <c r="E1433" s="76">
        <v>63.232943999999897</v>
      </c>
      <c r="F1433" s="76">
        <v>39.814796000000001</v>
      </c>
      <c r="G1433" s="79">
        <v>992000</v>
      </c>
    </row>
    <row r="1434" spans="1:7" x14ac:dyDescent="0.25">
      <c r="A1434" s="1" t="s">
        <v>1557</v>
      </c>
      <c r="B1434" s="76">
        <v>63.050041</v>
      </c>
      <c r="C1434" s="76">
        <v>63.401210999999897</v>
      </c>
      <c r="D1434" s="76">
        <v>62.786662999999997</v>
      </c>
      <c r="E1434" s="76">
        <v>62.925666999999997</v>
      </c>
      <c r="F1434" s="76">
        <v>39.621315000000003</v>
      </c>
      <c r="G1434" s="79">
        <v>841700</v>
      </c>
    </row>
    <row r="1435" spans="1:7" x14ac:dyDescent="0.25">
      <c r="A1435" s="1" t="s">
        <v>1558</v>
      </c>
      <c r="B1435" s="76">
        <v>62.925666999999997</v>
      </c>
      <c r="C1435" s="76">
        <v>63.218311</v>
      </c>
      <c r="D1435" s="76">
        <v>62.793976000000001</v>
      </c>
      <c r="E1435" s="76">
        <v>62.954932999999997</v>
      </c>
      <c r="F1435" s="76">
        <v>39.639750999999997</v>
      </c>
      <c r="G1435" s="79">
        <v>762100</v>
      </c>
    </row>
    <row r="1436" spans="1:7" x14ac:dyDescent="0.25">
      <c r="A1436" s="1" t="s">
        <v>1559</v>
      </c>
      <c r="B1436" s="76">
        <v>63.028091000000003</v>
      </c>
      <c r="C1436" s="76">
        <v>63.576796999999999</v>
      </c>
      <c r="D1436" s="76">
        <v>62.918349999999997</v>
      </c>
      <c r="E1436" s="76">
        <v>63.576796999999999</v>
      </c>
      <c r="F1436" s="76">
        <v>40.031292000000001</v>
      </c>
      <c r="G1436" s="79">
        <v>878100</v>
      </c>
    </row>
    <row r="1437" spans="1:7" x14ac:dyDescent="0.25">
      <c r="A1437" s="1" t="s">
        <v>1560</v>
      </c>
      <c r="B1437" s="76">
        <v>63.584114</v>
      </c>
      <c r="C1437" s="76">
        <v>64.279143999999903</v>
      </c>
      <c r="D1437" s="76">
        <v>63.298786</v>
      </c>
      <c r="E1437" s="76">
        <v>64.191353000000007</v>
      </c>
      <c r="F1437" s="76">
        <v>40.41827</v>
      </c>
      <c r="G1437" s="79">
        <v>2503700</v>
      </c>
    </row>
    <row r="1438" spans="1:7" x14ac:dyDescent="0.25">
      <c r="A1438" s="1" t="s">
        <v>1561</v>
      </c>
      <c r="B1438" s="76">
        <v>64.140136999999996</v>
      </c>
      <c r="C1438" s="76">
        <v>64.330353000000002</v>
      </c>
      <c r="D1438" s="76">
        <v>63.408526999999999</v>
      </c>
      <c r="E1438" s="76">
        <v>63.489006000000003</v>
      </c>
      <c r="F1438" s="76">
        <v>39.976016999999999</v>
      </c>
      <c r="G1438" s="79">
        <v>740300</v>
      </c>
    </row>
    <row r="1439" spans="1:7" x14ac:dyDescent="0.25">
      <c r="A1439" s="1" t="s">
        <v>1562</v>
      </c>
      <c r="B1439" s="76">
        <v>63.671908999999999</v>
      </c>
      <c r="C1439" s="76">
        <v>64.169403000000003</v>
      </c>
      <c r="D1439" s="76">
        <v>63.481689000000003</v>
      </c>
      <c r="E1439" s="76">
        <v>63.510956</v>
      </c>
      <c r="F1439" s="76">
        <v>39.989837999999999</v>
      </c>
      <c r="G1439" s="79">
        <v>1527800</v>
      </c>
    </row>
    <row r="1440" spans="1:7" x14ac:dyDescent="0.25">
      <c r="A1440" s="1" t="s">
        <v>1563</v>
      </c>
      <c r="B1440" s="76">
        <v>63.613379999999999</v>
      </c>
      <c r="C1440" s="76">
        <v>63.613379999999999</v>
      </c>
      <c r="D1440" s="76">
        <v>62.545231000000001</v>
      </c>
      <c r="E1440" s="76">
        <v>62.574492999999997</v>
      </c>
      <c r="F1440" s="76">
        <v>39.400185</v>
      </c>
      <c r="G1440" s="79">
        <v>2090200</v>
      </c>
    </row>
    <row r="1441" spans="1:7" x14ac:dyDescent="0.25">
      <c r="A1441" s="1" t="s">
        <v>1564</v>
      </c>
      <c r="B1441" s="76">
        <v>62.384276999999997</v>
      </c>
      <c r="C1441" s="76">
        <v>62.772030000000001</v>
      </c>
      <c r="D1441" s="76">
        <v>61.711196999999999</v>
      </c>
      <c r="E1441" s="76">
        <v>62.296481999999997</v>
      </c>
      <c r="F1441" s="76">
        <v>39.225147</v>
      </c>
      <c r="G1441" s="79">
        <v>2038900</v>
      </c>
    </row>
    <row r="1442" spans="1:7" x14ac:dyDescent="0.25">
      <c r="A1442" s="1" t="s">
        <v>1565</v>
      </c>
      <c r="B1442" s="76">
        <v>62.296481999999997</v>
      </c>
      <c r="C1442" s="76">
        <v>62.530597999999998</v>
      </c>
      <c r="D1442" s="76">
        <v>61.813621999999903</v>
      </c>
      <c r="E1442" s="76">
        <v>62.237952999999997</v>
      </c>
      <c r="F1442" s="76">
        <v>39.188296999999999</v>
      </c>
      <c r="G1442" s="79">
        <v>1250100</v>
      </c>
    </row>
    <row r="1443" spans="1:7" x14ac:dyDescent="0.25">
      <c r="A1443" s="1" t="s">
        <v>1566</v>
      </c>
      <c r="B1443" s="76">
        <v>62.237952999999997</v>
      </c>
      <c r="C1443" s="76">
        <v>62.728133999999997</v>
      </c>
      <c r="D1443" s="76">
        <v>62.091632999999902</v>
      </c>
      <c r="E1443" s="76">
        <v>62.515965000000001</v>
      </c>
      <c r="F1443" s="76">
        <v>39.363341999999903</v>
      </c>
      <c r="G1443" s="79">
        <v>911300</v>
      </c>
    </row>
    <row r="1444" spans="1:7" x14ac:dyDescent="0.25">
      <c r="A1444" s="1" t="s">
        <v>1567</v>
      </c>
      <c r="B1444" s="76">
        <v>62.515965000000001</v>
      </c>
      <c r="C1444" s="76">
        <v>62.698867999999997</v>
      </c>
      <c r="D1444" s="76">
        <v>62.025787000000001</v>
      </c>
      <c r="E1444" s="76">
        <v>62.296481999999997</v>
      </c>
      <c r="F1444" s="76">
        <v>39.225147</v>
      </c>
      <c r="G1444" s="79">
        <v>1053400</v>
      </c>
    </row>
    <row r="1445" spans="1:7" x14ac:dyDescent="0.25">
      <c r="A1445" s="1" t="s">
        <v>1568</v>
      </c>
      <c r="B1445" s="76">
        <v>62.413539999999998</v>
      </c>
      <c r="C1445" s="76">
        <v>62.545231000000001</v>
      </c>
      <c r="D1445" s="76">
        <v>61.4551319999999</v>
      </c>
      <c r="E1445" s="76">
        <v>61.586822999999903</v>
      </c>
      <c r="F1445" s="76">
        <v>38.778304999999897</v>
      </c>
      <c r="G1445" s="79">
        <v>1101400</v>
      </c>
    </row>
    <row r="1446" spans="1:7" x14ac:dyDescent="0.25">
      <c r="A1446" s="1" t="s">
        <v>1569</v>
      </c>
      <c r="B1446" s="76">
        <v>61.4551319999999</v>
      </c>
      <c r="C1446" s="76">
        <v>62.911033999999901</v>
      </c>
      <c r="D1446" s="76">
        <v>61.089328999999999</v>
      </c>
      <c r="E1446" s="76">
        <v>62.706183999999901</v>
      </c>
      <c r="F1446" s="76">
        <v>39.483111999999998</v>
      </c>
      <c r="G1446" s="79">
        <v>1058000</v>
      </c>
    </row>
    <row r="1447" spans="1:7" x14ac:dyDescent="0.25">
      <c r="A1447" s="1" t="s">
        <v>1570</v>
      </c>
      <c r="B1447" s="76">
        <v>62.713501000000001</v>
      </c>
      <c r="C1447" s="76">
        <v>63.613379999999999</v>
      </c>
      <c r="D1447" s="76">
        <v>62.713501000000001</v>
      </c>
      <c r="E1447" s="76">
        <v>63.371947999999897</v>
      </c>
      <c r="F1447" s="76">
        <v>39.902312999999999</v>
      </c>
      <c r="G1447" s="79">
        <v>943100</v>
      </c>
    </row>
    <row r="1448" spans="1:7" x14ac:dyDescent="0.25">
      <c r="A1448" s="1" t="s">
        <v>1571</v>
      </c>
      <c r="B1448" s="76">
        <v>63.379264999999997</v>
      </c>
      <c r="C1448" s="76">
        <v>64.198668999999995</v>
      </c>
      <c r="D1448" s="76">
        <v>62.918349999999997</v>
      </c>
      <c r="E1448" s="76">
        <v>64.198668999999995</v>
      </c>
      <c r="F1448" s="76">
        <v>40.422863</v>
      </c>
      <c r="G1448" s="79">
        <v>1349800</v>
      </c>
    </row>
    <row r="1449" spans="1:7" x14ac:dyDescent="0.25">
      <c r="A1449" s="1" t="s">
        <v>1572</v>
      </c>
      <c r="B1449" s="76">
        <v>64.198668999999995</v>
      </c>
      <c r="C1449" s="76">
        <v>64.776634000000001</v>
      </c>
      <c r="D1449" s="76">
        <v>63.430477000000003</v>
      </c>
      <c r="E1449" s="76">
        <v>63.452427</v>
      </c>
      <c r="F1449" s="76">
        <v>39.952984000000001</v>
      </c>
      <c r="G1449" s="79">
        <v>1273100</v>
      </c>
    </row>
    <row r="1450" spans="1:7" x14ac:dyDescent="0.25">
      <c r="A1450" s="1" t="s">
        <v>1573</v>
      </c>
      <c r="B1450" s="76">
        <v>63.291469999999997</v>
      </c>
      <c r="C1450" s="76">
        <v>63.518268999999997</v>
      </c>
      <c r="D1450" s="76">
        <v>62.515965000000001</v>
      </c>
      <c r="E1450" s="76">
        <v>62.618392999999998</v>
      </c>
      <c r="F1450" s="76">
        <v>39.427844999999998</v>
      </c>
      <c r="G1450" s="79">
        <v>1809200</v>
      </c>
    </row>
    <row r="1451" spans="1:7" x14ac:dyDescent="0.25">
      <c r="A1451" s="1" t="s">
        <v>1574</v>
      </c>
      <c r="B1451" s="76">
        <v>62.611075999999997</v>
      </c>
      <c r="C1451" s="76">
        <v>62.867137999999997</v>
      </c>
      <c r="D1451" s="76">
        <v>61.520977000000002</v>
      </c>
      <c r="E1451" s="76">
        <v>61.850200999999998</v>
      </c>
      <c r="F1451" s="76">
        <v>38.944133999999998</v>
      </c>
      <c r="G1451" s="79">
        <v>1419100</v>
      </c>
    </row>
    <row r="1452" spans="1:7" x14ac:dyDescent="0.25">
      <c r="A1452" s="1" t="s">
        <v>1575</v>
      </c>
      <c r="B1452" s="76">
        <v>61.820937999999998</v>
      </c>
      <c r="C1452" s="76">
        <v>61.850200999999998</v>
      </c>
      <c r="D1452" s="76">
        <v>60.869845999999903</v>
      </c>
      <c r="E1452" s="76">
        <v>61.564877000000003</v>
      </c>
      <c r="F1452" s="76">
        <v>38.764476999999999</v>
      </c>
      <c r="G1452" s="79">
        <v>1006700</v>
      </c>
    </row>
    <row r="1453" spans="1:7" x14ac:dyDescent="0.25">
      <c r="A1453" s="1" t="s">
        <v>1576</v>
      </c>
      <c r="B1453" s="76">
        <v>61.345390000000002</v>
      </c>
      <c r="C1453" s="76">
        <v>61.4551319999999</v>
      </c>
      <c r="D1453" s="76">
        <v>60.584518000000003</v>
      </c>
      <c r="E1453" s="76">
        <v>60.69426</v>
      </c>
      <c r="F1453" s="76">
        <v>38.216293</v>
      </c>
      <c r="G1453" s="79">
        <v>783300</v>
      </c>
    </row>
    <row r="1454" spans="1:7" x14ac:dyDescent="0.25">
      <c r="A1454" s="1" t="s">
        <v>1577</v>
      </c>
      <c r="B1454" s="76">
        <v>60.621097999999897</v>
      </c>
      <c r="C1454" s="76">
        <v>61.162491000000003</v>
      </c>
      <c r="D1454" s="76">
        <v>59.867542</v>
      </c>
      <c r="E1454" s="76">
        <v>60.174819999999997</v>
      </c>
      <c r="F1454" s="76">
        <v>37.889235999999997</v>
      </c>
      <c r="G1454" s="79">
        <v>1048000</v>
      </c>
    </row>
    <row r="1455" spans="1:7" x14ac:dyDescent="0.25">
      <c r="A1455" s="1" t="s">
        <v>1578</v>
      </c>
      <c r="B1455" s="76">
        <v>59.845592000000003</v>
      </c>
      <c r="C1455" s="76">
        <v>60.116290999999997</v>
      </c>
      <c r="D1455" s="76">
        <v>58.660389000000002</v>
      </c>
      <c r="E1455" s="76">
        <v>59.077404000000001</v>
      </c>
      <c r="F1455" s="76">
        <v>37.198242</v>
      </c>
      <c r="G1455" s="79">
        <v>1566200</v>
      </c>
    </row>
    <row r="1456" spans="1:7" x14ac:dyDescent="0.25">
      <c r="A1456" s="1" t="s">
        <v>1579</v>
      </c>
      <c r="B1456" s="76">
        <v>58.726233999999998</v>
      </c>
      <c r="C1456" s="76">
        <v>59.157882999999998</v>
      </c>
      <c r="D1456" s="76">
        <v>58.067782999999999</v>
      </c>
      <c r="E1456" s="76">
        <v>58.506751999999999</v>
      </c>
      <c r="F1456" s="76">
        <v>36.838928000000003</v>
      </c>
      <c r="G1456" s="79">
        <v>1856000</v>
      </c>
    </row>
    <row r="1457" spans="1:7" x14ac:dyDescent="0.25">
      <c r="A1457" s="1" t="s">
        <v>1580</v>
      </c>
      <c r="B1457" s="76">
        <v>58.857921999999903</v>
      </c>
      <c r="C1457" s="76">
        <v>59.589531000000001</v>
      </c>
      <c r="D1457" s="76">
        <v>58.528697999999999</v>
      </c>
      <c r="E1457" s="76">
        <v>59.179828999999998</v>
      </c>
      <c r="F1457" s="76">
        <v>37.262732999999997</v>
      </c>
      <c r="G1457" s="79">
        <v>2067800</v>
      </c>
    </row>
    <row r="1458" spans="1:7" x14ac:dyDescent="0.25">
      <c r="A1458" s="1" t="s">
        <v>1581</v>
      </c>
      <c r="B1458" s="76">
        <v>59.201777999999997</v>
      </c>
      <c r="C1458" s="76">
        <v>59.670009999999998</v>
      </c>
      <c r="D1458" s="76">
        <v>59.040824999999998</v>
      </c>
      <c r="E1458" s="76">
        <v>59.574897999999997</v>
      </c>
      <c r="F1458" s="76">
        <v>37.511496999999999</v>
      </c>
      <c r="G1458" s="79">
        <v>1031500</v>
      </c>
    </row>
    <row r="1459" spans="1:7" x14ac:dyDescent="0.25">
      <c r="A1459" s="1" t="s">
        <v>1582</v>
      </c>
      <c r="B1459" s="76">
        <v>59.465156999999998</v>
      </c>
      <c r="C1459" s="76">
        <v>59.904120999999897</v>
      </c>
      <c r="D1459" s="76">
        <v>59.040824999999998</v>
      </c>
      <c r="E1459" s="76">
        <v>59.048141000000001</v>
      </c>
      <c r="F1459" s="76">
        <v>37.179809999999897</v>
      </c>
      <c r="G1459" s="79">
        <v>943500</v>
      </c>
    </row>
    <row r="1460" spans="1:7" x14ac:dyDescent="0.25">
      <c r="A1460" s="1" t="s">
        <v>1583</v>
      </c>
      <c r="B1460" s="76">
        <v>58.894505000000002</v>
      </c>
      <c r="C1460" s="76">
        <v>59.816330000000001</v>
      </c>
      <c r="D1460" s="76">
        <v>58.060471</v>
      </c>
      <c r="E1460" s="76">
        <v>59.809013</v>
      </c>
      <c r="F1460" s="76">
        <v>37.658904999999997</v>
      </c>
      <c r="G1460" s="79">
        <v>990100</v>
      </c>
    </row>
    <row r="1461" spans="1:7" x14ac:dyDescent="0.25">
      <c r="A1461" s="1" t="s">
        <v>1584</v>
      </c>
      <c r="B1461" s="76">
        <v>59.516368999999997</v>
      </c>
      <c r="C1461" s="76">
        <v>59.830962999999997</v>
      </c>
      <c r="D1461" s="76">
        <v>58.258003000000002</v>
      </c>
      <c r="E1461" s="76">
        <v>58.301898999999999</v>
      </c>
      <c r="F1461" s="76">
        <v>36.709952999999999</v>
      </c>
      <c r="G1461" s="79">
        <v>1543800</v>
      </c>
    </row>
    <row r="1462" spans="1:7" x14ac:dyDescent="0.25">
      <c r="A1462" s="1" t="s">
        <v>1585</v>
      </c>
      <c r="B1462" s="76">
        <v>58.155579000000003</v>
      </c>
      <c r="C1462" s="76">
        <v>58.682334999999902</v>
      </c>
      <c r="D1462" s="76">
        <v>57.709296999999999</v>
      </c>
      <c r="E1462" s="76">
        <v>58.140944999999903</v>
      </c>
      <c r="F1462" s="76">
        <v>36.608601</v>
      </c>
      <c r="G1462" s="79">
        <v>1666200</v>
      </c>
    </row>
    <row r="1463" spans="1:7" x14ac:dyDescent="0.25">
      <c r="A1463" s="1" t="s">
        <v>1586</v>
      </c>
      <c r="B1463" s="76">
        <v>58.323848999999903</v>
      </c>
      <c r="C1463" s="76">
        <v>59.304203000000001</v>
      </c>
      <c r="D1463" s="76">
        <v>58.184840999999999</v>
      </c>
      <c r="E1463" s="76">
        <v>59.113987000000002</v>
      </c>
      <c r="F1463" s="76">
        <v>37.221278999999903</v>
      </c>
      <c r="G1463" s="79">
        <v>1368100</v>
      </c>
    </row>
    <row r="1464" spans="1:7" x14ac:dyDescent="0.25">
      <c r="A1464" s="1" t="s">
        <v>1587</v>
      </c>
      <c r="B1464" s="76">
        <v>58.967663000000002</v>
      </c>
      <c r="C1464" s="76">
        <v>59.413943999999901</v>
      </c>
      <c r="D1464" s="76">
        <v>58.418956999999899</v>
      </c>
      <c r="E1464" s="76">
        <v>58.631122999999903</v>
      </c>
      <c r="F1464" s="76">
        <v>36.917248000000001</v>
      </c>
      <c r="G1464" s="79">
        <v>1884700</v>
      </c>
    </row>
    <row r="1465" spans="1:7" x14ac:dyDescent="0.25">
      <c r="A1465" s="1" t="s">
        <v>1588</v>
      </c>
      <c r="B1465" s="76">
        <v>58.382378000000003</v>
      </c>
      <c r="C1465" s="76">
        <v>58.675018000000001</v>
      </c>
      <c r="D1465" s="76">
        <v>57.892200000000003</v>
      </c>
      <c r="E1465" s="76">
        <v>57.943413</v>
      </c>
      <c r="F1465" s="76">
        <v>36.484226</v>
      </c>
      <c r="G1465" s="79">
        <v>1175500</v>
      </c>
    </row>
    <row r="1466" spans="1:7" x14ac:dyDescent="0.25">
      <c r="A1466" s="1" t="s">
        <v>1589</v>
      </c>
      <c r="B1466" s="76">
        <v>57.760508999999999</v>
      </c>
      <c r="C1466" s="76">
        <v>58.199474000000002</v>
      </c>
      <c r="D1466" s="76">
        <v>57.087429</v>
      </c>
      <c r="E1466" s="76">
        <v>57.189853999999997</v>
      </c>
      <c r="F1466" s="76">
        <v>36.009746999999997</v>
      </c>
      <c r="G1466" s="79">
        <v>1105900</v>
      </c>
    </row>
    <row r="1467" spans="1:7" x14ac:dyDescent="0.25">
      <c r="A1467" s="1" t="s">
        <v>1590</v>
      </c>
      <c r="B1467" s="76">
        <v>57.541027</v>
      </c>
      <c r="C1467" s="76">
        <v>58.806708999999998</v>
      </c>
      <c r="D1467" s="76">
        <v>57.4532319999999</v>
      </c>
      <c r="E1467" s="76">
        <v>58.733546999999902</v>
      </c>
      <c r="F1467" s="76">
        <v>36.981735</v>
      </c>
      <c r="G1467" s="79">
        <v>1862100</v>
      </c>
    </row>
    <row r="1468" spans="1:7" x14ac:dyDescent="0.25">
      <c r="A1468" s="1" t="s">
        <v>1591</v>
      </c>
      <c r="B1468" s="76">
        <v>58.748179999999998</v>
      </c>
      <c r="C1468" s="76">
        <v>59.596848000000001</v>
      </c>
      <c r="D1468" s="76">
        <v>58.740864000000002</v>
      </c>
      <c r="E1468" s="76">
        <v>59.260306999999997</v>
      </c>
      <c r="F1468" s="76">
        <v>37.313403999999998</v>
      </c>
      <c r="G1468" s="79">
        <v>1186500</v>
      </c>
    </row>
    <row r="1469" spans="1:7" x14ac:dyDescent="0.25">
      <c r="A1469" s="1" t="s">
        <v>1592</v>
      </c>
      <c r="B1469" s="76">
        <v>58.528697999999999</v>
      </c>
      <c r="C1469" s="76">
        <v>59.106669999999902</v>
      </c>
      <c r="D1469" s="76">
        <v>57.833672</v>
      </c>
      <c r="E1469" s="76">
        <v>58.301898999999999</v>
      </c>
      <c r="F1469" s="76">
        <v>36.709952999999999</v>
      </c>
      <c r="G1469" s="79">
        <v>1382100</v>
      </c>
    </row>
    <row r="1470" spans="1:7" x14ac:dyDescent="0.25">
      <c r="A1470" s="1" t="s">
        <v>1593</v>
      </c>
      <c r="B1470" s="76">
        <v>58.301898999999999</v>
      </c>
      <c r="C1470" s="76">
        <v>58.345794999999903</v>
      </c>
      <c r="D1470" s="76">
        <v>57.760508999999999</v>
      </c>
      <c r="E1470" s="76">
        <v>58.162894999999899</v>
      </c>
      <c r="F1470" s="76">
        <v>36.622416999999999</v>
      </c>
      <c r="G1470" s="79">
        <v>1039200</v>
      </c>
    </row>
    <row r="1471" spans="1:7" x14ac:dyDescent="0.25">
      <c r="A1471" s="1" t="s">
        <v>1594</v>
      </c>
      <c r="B1471" s="76">
        <v>58.162894999999899</v>
      </c>
      <c r="C1471" s="76">
        <v>58.872554999999998</v>
      </c>
      <c r="D1471" s="76">
        <v>57.753193000000003</v>
      </c>
      <c r="E1471" s="76">
        <v>58.001942</v>
      </c>
      <c r="F1471" s="76">
        <v>36.521071999999997</v>
      </c>
      <c r="G1471" s="79">
        <v>1281300</v>
      </c>
    </row>
    <row r="1472" spans="1:7" x14ac:dyDescent="0.25">
      <c r="A1472" s="1" t="s">
        <v>1595</v>
      </c>
      <c r="B1472" s="76">
        <v>58.111682999999999</v>
      </c>
      <c r="C1472" s="76">
        <v>58.397006999999903</v>
      </c>
      <c r="D1472" s="76">
        <v>57.848300999999999</v>
      </c>
      <c r="E1472" s="76">
        <v>58.009253999999999</v>
      </c>
      <c r="F1472" s="76">
        <v>36.525680999999999</v>
      </c>
      <c r="G1472" s="79">
        <v>1286900</v>
      </c>
    </row>
    <row r="1473" spans="1:7" x14ac:dyDescent="0.25">
      <c r="A1473" s="1" t="s">
        <v>1596</v>
      </c>
      <c r="B1473" s="76">
        <v>58.009253999999999</v>
      </c>
      <c r="C1473" s="76">
        <v>58.660389000000002</v>
      </c>
      <c r="D1473" s="76">
        <v>57.943413</v>
      </c>
      <c r="E1473" s="76">
        <v>58.433590000000002</v>
      </c>
      <c r="F1473" s="76">
        <v>36.792870000000001</v>
      </c>
      <c r="G1473" s="79">
        <v>955100</v>
      </c>
    </row>
    <row r="1474" spans="1:7" x14ac:dyDescent="0.25">
      <c r="A1474" s="1" t="s">
        <v>1597</v>
      </c>
      <c r="B1474" s="76">
        <v>57.614189000000003</v>
      </c>
      <c r="C1474" s="76">
        <v>57.899512999999999</v>
      </c>
      <c r="D1474" s="76">
        <v>57.321544999999901</v>
      </c>
      <c r="E1474" s="76">
        <v>57.716614</v>
      </c>
      <c r="F1474" s="76">
        <v>36.709114</v>
      </c>
      <c r="G1474" s="79">
        <v>1181500</v>
      </c>
    </row>
    <row r="1475" spans="1:7" x14ac:dyDescent="0.25">
      <c r="A1475" s="1" t="s">
        <v>1598</v>
      </c>
      <c r="B1475" s="76">
        <v>57.687346999999903</v>
      </c>
      <c r="C1475" s="76">
        <v>59.084720999999902</v>
      </c>
      <c r="D1475" s="76">
        <v>57.636134999999904</v>
      </c>
      <c r="E1475" s="76">
        <v>58.404324000000003</v>
      </c>
      <c r="F1475" s="76">
        <v>37.146515000000001</v>
      </c>
      <c r="G1475" s="79">
        <v>1212400</v>
      </c>
    </row>
    <row r="1476" spans="1:7" x14ac:dyDescent="0.25">
      <c r="A1476" s="1" t="s">
        <v>1599</v>
      </c>
      <c r="B1476" s="76">
        <v>58.492118999999903</v>
      </c>
      <c r="C1476" s="76">
        <v>59.991917000000001</v>
      </c>
      <c r="D1476" s="76">
        <v>58.228740999999999</v>
      </c>
      <c r="E1476" s="76">
        <v>59.670009999999998</v>
      </c>
      <c r="F1476" s="76">
        <v>37.951510999999897</v>
      </c>
      <c r="G1476" s="79">
        <v>1419600</v>
      </c>
    </row>
    <row r="1477" spans="1:7" x14ac:dyDescent="0.25">
      <c r="A1477" s="1" t="s">
        <v>1600</v>
      </c>
      <c r="B1477" s="76">
        <v>59.684638999999997</v>
      </c>
      <c r="C1477" s="76">
        <v>60.686942999999999</v>
      </c>
      <c r="D1477" s="76">
        <v>59.589531000000001</v>
      </c>
      <c r="E1477" s="76">
        <v>60.628413999999999</v>
      </c>
      <c r="F1477" s="76">
        <v>38.561076999999997</v>
      </c>
      <c r="G1477" s="79">
        <v>1241800</v>
      </c>
    </row>
    <row r="1478" spans="1:7" x14ac:dyDescent="0.25">
      <c r="A1478" s="1" t="s">
        <v>1601</v>
      </c>
      <c r="B1478" s="76">
        <v>60.723526</v>
      </c>
      <c r="C1478" s="76">
        <v>60.855212999999999</v>
      </c>
      <c r="D1478" s="76">
        <v>60.32114</v>
      </c>
      <c r="E1478" s="76">
        <v>60.474777000000003</v>
      </c>
      <c r="F1478" s="76">
        <v>38.463366999999998</v>
      </c>
      <c r="G1478" s="79">
        <v>781900</v>
      </c>
    </row>
    <row r="1479" spans="1:7" x14ac:dyDescent="0.25">
      <c r="A1479" s="1" t="s">
        <v>1602</v>
      </c>
      <c r="B1479" s="76">
        <v>60.467461</v>
      </c>
      <c r="C1479" s="76">
        <v>61.191752999999999</v>
      </c>
      <c r="D1479" s="76">
        <v>60.182132999999901</v>
      </c>
      <c r="E1479" s="76">
        <v>60.635731</v>
      </c>
      <c r="F1479" s="76">
        <v>38.565722999999998</v>
      </c>
      <c r="G1479" s="79">
        <v>765800</v>
      </c>
    </row>
    <row r="1480" spans="1:7" x14ac:dyDescent="0.25">
      <c r="A1480" s="1" t="s">
        <v>1603</v>
      </c>
      <c r="B1480" s="76">
        <v>60.760105000000003</v>
      </c>
      <c r="C1480" s="76">
        <v>60.760105000000003</v>
      </c>
      <c r="D1480" s="76">
        <v>60.262611</v>
      </c>
      <c r="E1480" s="76">
        <v>60.430881999999997</v>
      </c>
      <c r="F1480" s="76">
        <v>38.435443999999997</v>
      </c>
      <c r="G1480" s="79">
        <v>596700</v>
      </c>
    </row>
    <row r="1481" spans="1:7" x14ac:dyDescent="0.25">
      <c r="A1481" s="1" t="s">
        <v>1604</v>
      </c>
      <c r="B1481" s="76">
        <v>60.723526</v>
      </c>
      <c r="C1481" s="76">
        <v>61.711196999999999</v>
      </c>
      <c r="D1481" s="76">
        <v>60.664997</v>
      </c>
      <c r="E1481" s="76">
        <v>61.491714000000002</v>
      </c>
      <c r="F1481" s="76">
        <v>39.110157000000001</v>
      </c>
      <c r="G1481" s="79">
        <v>1147400</v>
      </c>
    </row>
    <row r="1482" spans="1:7" x14ac:dyDescent="0.25">
      <c r="A1482" s="1" t="s">
        <v>1605</v>
      </c>
      <c r="B1482" s="76">
        <v>61.894100000000002</v>
      </c>
      <c r="C1482" s="76">
        <v>62.172111999999998</v>
      </c>
      <c r="D1482" s="76">
        <v>61.396605999999998</v>
      </c>
      <c r="E1482" s="76">
        <v>62.055053999999998</v>
      </c>
      <c r="F1482" s="76">
        <v>39.468449</v>
      </c>
      <c r="G1482" s="79">
        <v>1015200</v>
      </c>
    </row>
    <row r="1483" spans="1:7" x14ac:dyDescent="0.25">
      <c r="A1483" s="1" t="s">
        <v>1606</v>
      </c>
      <c r="B1483" s="76">
        <v>62.098948999999998</v>
      </c>
      <c r="C1483" s="76">
        <v>62.845188</v>
      </c>
      <c r="D1483" s="76">
        <v>61.806305000000002</v>
      </c>
      <c r="E1483" s="76">
        <v>62.611075999999997</v>
      </c>
      <c r="F1483" s="76">
        <v>39.822113000000002</v>
      </c>
      <c r="G1483" s="79">
        <v>990600</v>
      </c>
    </row>
    <row r="1484" spans="1:7" x14ac:dyDescent="0.25">
      <c r="A1484" s="1" t="s">
        <v>1607</v>
      </c>
      <c r="B1484" s="76">
        <v>62.442805999999997</v>
      </c>
      <c r="C1484" s="76">
        <v>63.547534999999897</v>
      </c>
      <c r="D1484" s="76">
        <v>62.135528999999998</v>
      </c>
      <c r="E1484" s="76">
        <v>63.393898</v>
      </c>
      <c r="F1484" s="76">
        <v>40.32</v>
      </c>
      <c r="G1484" s="79">
        <v>702100</v>
      </c>
    </row>
    <row r="1485" spans="1:7" x14ac:dyDescent="0.25">
      <c r="A1485" s="1" t="s">
        <v>1608</v>
      </c>
      <c r="B1485" s="76">
        <v>63.247574</v>
      </c>
      <c r="C1485" s="76">
        <v>63.64996</v>
      </c>
      <c r="D1485" s="76">
        <v>63.145148999999897</v>
      </c>
      <c r="E1485" s="76">
        <v>63.642643</v>
      </c>
      <c r="F1485" s="76">
        <v>40.478214000000001</v>
      </c>
      <c r="G1485" s="79">
        <v>956400</v>
      </c>
    </row>
    <row r="1486" spans="1:7" x14ac:dyDescent="0.25">
      <c r="A1486" s="1" t="s">
        <v>1609</v>
      </c>
      <c r="B1486" s="76">
        <v>63.686539000000003</v>
      </c>
      <c r="C1486" s="76">
        <v>63.986499999999999</v>
      </c>
      <c r="D1486" s="76">
        <v>63.459739999999996</v>
      </c>
      <c r="E1486" s="76">
        <v>63.927970999999999</v>
      </c>
      <c r="F1486" s="76">
        <v>40.659678999999997</v>
      </c>
      <c r="G1486" s="79">
        <v>332800</v>
      </c>
    </row>
    <row r="1487" spans="1:7" x14ac:dyDescent="0.25">
      <c r="A1487" s="1" t="s">
        <v>1610</v>
      </c>
      <c r="B1487" s="76">
        <v>63.854808999999896</v>
      </c>
      <c r="C1487" s="76">
        <v>63.920653999999999</v>
      </c>
      <c r="D1487" s="76">
        <v>63.27684</v>
      </c>
      <c r="E1487" s="76">
        <v>63.298786</v>
      </c>
      <c r="F1487" s="76">
        <v>40.259501999999998</v>
      </c>
      <c r="G1487" s="79">
        <v>1011900</v>
      </c>
    </row>
    <row r="1488" spans="1:7" x14ac:dyDescent="0.25">
      <c r="A1488" s="1" t="s">
        <v>1611</v>
      </c>
      <c r="B1488" s="76">
        <v>63.306103</v>
      </c>
      <c r="C1488" s="76">
        <v>63.379264999999997</v>
      </c>
      <c r="D1488" s="76">
        <v>62.786662999999997</v>
      </c>
      <c r="E1488" s="76">
        <v>63.189044999999901</v>
      </c>
      <c r="F1488" s="76">
        <v>40.189709000000001</v>
      </c>
      <c r="G1488" s="79">
        <v>918800</v>
      </c>
    </row>
    <row r="1489" spans="1:7" x14ac:dyDescent="0.25">
      <c r="A1489" s="1" t="s">
        <v>1612</v>
      </c>
      <c r="B1489" s="76">
        <v>63.371947999999897</v>
      </c>
      <c r="C1489" s="76">
        <v>63.606064000000003</v>
      </c>
      <c r="D1489" s="76">
        <v>62.355010999999998</v>
      </c>
      <c r="E1489" s="76">
        <v>62.442805999999997</v>
      </c>
      <c r="F1489" s="76">
        <v>39.71508</v>
      </c>
      <c r="G1489" s="79">
        <v>935300</v>
      </c>
    </row>
    <row r="1490" spans="1:7" x14ac:dyDescent="0.25">
      <c r="A1490" s="1" t="s">
        <v>1613</v>
      </c>
      <c r="B1490" s="76">
        <v>62.625706000000001</v>
      </c>
      <c r="C1490" s="76">
        <v>63.532902</v>
      </c>
      <c r="D1490" s="76">
        <v>62.625706000000001</v>
      </c>
      <c r="E1490" s="76">
        <v>63.525585</v>
      </c>
      <c r="F1490" s="76">
        <v>40.403759000000001</v>
      </c>
      <c r="G1490" s="79">
        <v>726000</v>
      </c>
    </row>
    <row r="1491" spans="1:7" x14ac:dyDescent="0.25">
      <c r="A1491" s="1" t="s">
        <v>1614</v>
      </c>
      <c r="B1491" s="76">
        <v>63.335368999999901</v>
      </c>
      <c r="C1491" s="76">
        <v>63.342686</v>
      </c>
      <c r="D1491" s="76">
        <v>62.757396999999997</v>
      </c>
      <c r="E1491" s="76">
        <v>62.918349999999997</v>
      </c>
      <c r="F1491" s="76">
        <v>40.017539999999997</v>
      </c>
      <c r="G1491" s="79">
        <v>500700</v>
      </c>
    </row>
    <row r="1492" spans="1:7" x14ac:dyDescent="0.25">
      <c r="A1492" s="1" t="s">
        <v>1615</v>
      </c>
      <c r="B1492" s="76">
        <v>62.618392999999998</v>
      </c>
      <c r="C1492" s="76">
        <v>62.728133999999997</v>
      </c>
      <c r="D1492" s="76">
        <v>62.011153999999998</v>
      </c>
      <c r="E1492" s="76">
        <v>62.208691000000002</v>
      </c>
      <c r="F1492" s="76">
        <v>39.566173999999997</v>
      </c>
      <c r="G1492" s="79">
        <v>684400</v>
      </c>
    </row>
    <row r="1493" spans="1:7" x14ac:dyDescent="0.25">
      <c r="A1493" s="1" t="s">
        <v>1616</v>
      </c>
      <c r="B1493" s="76">
        <v>62.391593999999998</v>
      </c>
      <c r="C1493" s="76">
        <v>62.676921999999998</v>
      </c>
      <c r="D1493" s="76">
        <v>61.850200999999998</v>
      </c>
      <c r="E1493" s="76">
        <v>61.850200999999998</v>
      </c>
      <c r="F1493" s="76">
        <v>39.338164999999996</v>
      </c>
      <c r="G1493" s="79">
        <v>654600</v>
      </c>
    </row>
    <row r="1494" spans="1:7" x14ac:dyDescent="0.25">
      <c r="A1494" s="1" t="s">
        <v>1617</v>
      </c>
      <c r="B1494" s="76">
        <v>61.850200999999998</v>
      </c>
      <c r="C1494" s="76">
        <v>61.864833999999902</v>
      </c>
      <c r="D1494" s="76">
        <v>61.411235999999903</v>
      </c>
      <c r="E1494" s="76">
        <v>61.645350999999998</v>
      </c>
      <c r="F1494" s="76">
        <v>39.207881999999998</v>
      </c>
      <c r="G1494" s="79">
        <v>778200</v>
      </c>
    </row>
    <row r="1495" spans="1:7" x14ac:dyDescent="0.25">
      <c r="A1495" s="1" t="s">
        <v>1618</v>
      </c>
      <c r="B1495" s="76">
        <v>61.828254999999999</v>
      </c>
      <c r="C1495" s="76">
        <v>62.347693999999997</v>
      </c>
      <c r="D1495" s="76">
        <v>61.477080999999998</v>
      </c>
      <c r="E1495" s="76">
        <v>61.798988000000001</v>
      </c>
      <c r="F1495" s="76">
        <v>39.305591999999997</v>
      </c>
      <c r="G1495" s="79">
        <v>644200</v>
      </c>
    </row>
    <row r="1496" spans="1:7" x14ac:dyDescent="0.25">
      <c r="A1496" s="1" t="s">
        <v>1619</v>
      </c>
      <c r="B1496" s="76">
        <v>61.981892000000002</v>
      </c>
      <c r="C1496" s="76">
        <v>62.201374000000001</v>
      </c>
      <c r="D1496" s="76">
        <v>61.550243000000002</v>
      </c>
      <c r="E1496" s="76">
        <v>61.959941999999998</v>
      </c>
      <c r="F1496" s="76">
        <v>39.407963000000002</v>
      </c>
      <c r="G1496" s="79">
        <v>408300</v>
      </c>
    </row>
    <row r="1497" spans="1:7" x14ac:dyDescent="0.25">
      <c r="A1497" s="1" t="s">
        <v>1620</v>
      </c>
      <c r="B1497" s="76">
        <v>62.333064999999998</v>
      </c>
      <c r="C1497" s="76">
        <v>62.523280999999997</v>
      </c>
      <c r="D1497" s="76">
        <v>61.981892000000002</v>
      </c>
      <c r="E1497" s="76">
        <v>62.472068999999998</v>
      </c>
      <c r="F1497" s="76">
        <v>39.733696000000002</v>
      </c>
      <c r="G1497" s="79">
        <v>696200</v>
      </c>
    </row>
    <row r="1498" spans="1:7" x14ac:dyDescent="0.25">
      <c r="A1498" s="1" t="s">
        <v>1621</v>
      </c>
      <c r="B1498" s="76">
        <v>62.369643999999901</v>
      </c>
      <c r="C1498" s="76">
        <v>63.0134579999999</v>
      </c>
      <c r="D1498" s="76">
        <v>62.318431999999902</v>
      </c>
      <c r="E1498" s="76">
        <v>62.611075999999997</v>
      </c>
      <c r="F1498" s="76">
        <v>39.822113000000002</v>
      </c>
      <c r="G1498" s="79">
        <v>765200</v>
      </c>
    </row>
    <row r="1499" spans="1:7" x14ac:dyDescent="0.25">
      <c r="A1499" s="1" t="s">
        <v>1622</v>
      </c>
      <c r="B1499" s="76">
        <v>62.611075999999997</v>
      </c>
      <c r="C1499" s="76">
        <v>62.903717</v>
      </c>
      <c r="D1499" s="76">
        <v>62.369643999999901</v>
      </c>
      <c r="E1499" s="76">
        <v>62.742764000000001</v>
      </c>
      <c r="F1499" s="76">
        <v>39.905856999999997</v>
      </c>
      <c r="G1499" s="79">
        <v>728600</v>
      </c>
    </row>
    <row r="1500" spans="1:7" x14ac:dyDescent="0.25">
      <c r="A1500" s="1" t="s">
        <v>1623</v>
      </c>
      <c r="B1500" s="76">
        <v>62.713501000000001</v>
      </c>
      <c r="C1500" s="76">
        <v>62.881770999999901</v>
      </c>
      <c r="D1500" s="76">
        <v>61.755093000000002</v>
      </c>
      <c r="E1500" s="76">
        <v>61.886783999999999</v>
      </c>
      <c r="F1500" s="76">
        <v>39.361435</v>
      </c>
      <c r="G1500" s="79">
        <v>726900</v>
      </c>
    </row>
    <row r="1501" spans="1:7" x14ac:dyDescent="0.25">
      <c r="A1501" s="1" t="s">
        <v>1624</v>
      </c>
      <c r="B1501" s="76">
        <v>62.113582999999998</v>
      </c>
      <c r="C1501" s="76">
        <v>62.252586000000001</v>
      </c>
      <c r="D1501" s="76">
        <v>61.864833999999902</v>
      </c>
      <c r="E1501" s="76">
        <v>62.018470999999998</v>
      </c>
      <c r="F1501" s="76">
        <v>39.445186999999997</v>
      </c>
      <c r="G1501" s="79">
        <v>830400</v>
      </c>
    </row>
    <row r="1502" spans="1:7" x14ac:dyDescent="0.25">
      <c r="A1502" s="1" t="s">
        <v>1625</v>
      </c>
      <c r="B1502" s="76">
        <v>61.923363000000002</v>
      </c>
      <c r="C1502" s="76">
        <v>62.062369999999902</v>
      </c>
      <c r="D1502" s="76">
        <v>61.103962000000003</v>
      </c>
      <c r="E1502" s="76">
        <v>61.213703000000002</v>
      </c>
      <c r="F1502" s="76">
        <v>38.933334000000002</v>
      </c>
      <c r="G1502" s="79">
        <v>1000600</v>
      </c>
    </row>
    <row r="1503" spans="1:7" x14ac:dyDescent="0.25">
      <c r="A1503" s="1" t="s">
        <v>1626</v>
      </c>
      <c r="B1503" s="76">
        <v>61.367339999999999</v>
      </c>
      <c r="C1503" s="76">
        <v>61.623401999999999</v>
      </c>
      <c r="D1503" s="76">
        <v>60.906424999999999</v>
      </c>
      <c r="E1503" s="76">
        <v>61.286864999999999</v>
      </c>
      <c r="F1503" s="76">
        <v>38.979865999999902</v>
      </c>
      <c r="G1503" s="79">
        <v>577900</v>
      </c>
    </row>
    <row r="1504" spans="1:7" x14ac:dyDescent="0.25">
      <c r="A1504" s="1" t="s">
        <v>1627</v>
      </c>
      <c r="B1504" s="76">
        <v>61.418551999999998</v>
      </c>
      <c r="C1504" s="76">
        <v>61.798988000000001</v>
      </c>
      <c r="D1504" s="76">
        <v>61.389290000000003</v>
      </c>
      <c r="E1504" s="76">
        <v>61.4551319999999</v>
      </c>
      <c r="F1504" s="76">
        <v>39.086894999999998</v>
      </c>
      <c r="G1504" s="79">
        <v>616000</v>
      </c>
    </row>
    <row r="1505" spans="1:7" x14ac:dyDescent="0.25">
      <c r="A1505" s="1" t="s">
        <v>1628</v>
      </c>
      <c r="B1505" s="76">
        <v>60.979588</v>
      </c>
      <c r="C1505" s="76">
        <v>61.901412999999998</v>
      </c>
      <c r="D1505" s="76">
        <v>60.518673</v>
      </c>
      <c r="E1505" s="76">
        <v>61.711196999999999</v>
      </c>
      <c r="F1505" s="76">
        <v>39.612881000000002</v>
      </c>
      <c r="G1505" s="79">
        <v>1044800</v>
      </c>
    </row>
    <row r="1506" spans="1:7" x14ac:dyDescent="0.25">
      <c r="A1506" s="1" t="s">
        <v>1629</v>
      </c>
      <c r="B1506" s="76">
        <v>61.894100000000002</v>
      </c>
      <c r="C1506" s="76">
        <v>62.120899000000001</v>
      </c>
      <c r="D1506" s="76">
        <v>61.689246999999902</v>
      </c>
      <c r="E1506" s="76">
        <v>61.967257999999902</v>
      </c>
      <c r="F1506" s="76">
        <v>39.777245000000001</v>
      </c>
      <c r="G1506" s="79">
        <v>428500</v>
      </c>
    </row>
    <row r="1507" spans="1:7" x14ac:dyDescent="0.25">
      <c r="A1507" s="1" t="s">
        <v>1630</v>
      </c>
      <c r="B1507" s="76">
        <v>62.223323999999998</v>
      </c>
      <c r="C1507" s="76">
        <v>62.494018999999902</v>
      </c>
      <c r="D1507" s="76">
        <v>61.908729999999998</v>
      </c>
      <c r="E1507" s="76">
        <v>61.937995999999998</v>
      </c>
      <c r="F1507" s="76">
        <v>39.758457</v>
      </c>
      <c r="G1507" s="79">
        <v>537100</v>
      </c>
    </row>
    <row r="1508" spans="1:7" x14ac:dyDescent="0.25">
      <c r="A1508" s="1" t="s">
        <v>1631</v>
      </c>
      <c r="B1508" s="76">
        <v>62.296481999999997</v>
      </c>
      <c r="C1508" s="76">
        <v>62.333064999999998</v>
      </c>
      <c r="D1508" s="76">
        <v>61.630718000000002</v>
      </c>
      <c r="E1508" s="76">
        <v>61.901412999999998</v>
      </c>
      <c r="F1508" s="76">
        <v>39.734984999999902</v>
      </c>
      <c r="G1508" s="79">
        <v>496500</v>
      </c>
    </row>
    <row r="1509" spans="1:7" x14ac:dyDescent="0.25">
      <c r="A1509" s="1" t="s">
        <v>1632</v>
      </c>
      <c r="B1509" s="76">
        <v>62.076999999999998</v>
      </c>
      <c r="C1509" s="76">
        <v>62.237952999999997</v>
      </c>
      <c r="D1509" s="76">
        <v>61.352706999999903</v>
      </c>
      <c r="E1509" s="76">
        <v>61.608771999999902</v>
      </c>
      <c r="F1509" s="76">
        <v>39.547119000000002</v>
      </c>
      <c r="G1509" s="79">
        <v>639900</v>
      </c>
    </row>
    <row r="1510" spans="1:7" x14ac:dyDescent="0.25">
      <c r="A1510" s="1" t="s">
        <v>1633</v>
      </c>
      <c r="B1510" s="76">
        <v>61.491714000000002</v>
      </c>
      <c r="C1510" s="76">
        <v>61.689246999999902</v>
      </c>
      <c r="D1510" s="76">
        <v>61.067379000000003</v>
      </c>
      <c r="E1510" s="76">
        <v>61.067379000000003</v>
      </c>
      <c r="F1510" s="76">
        <v>39.199599999999997</v>
      </c>
      <c r="G1510" s="79">
        <v>555800</v>
      </c>
    </row>
    <row r="1511" spans="1:7" x14ac:dyDescent="0.25">
      <c r="A1511" s="1" t="s">
        <v>1634</v>
      </c>
      <c r="B1511" s="76">
        <v>61.418551999999998</v>
      </c>
      <c r="C1511" s="76">
        <v>63.0134579999999</v>
      </c>
      <c r="D1511" s="76">
        <v>60.928375000000003</v>
      </c>
      <c r="E1511" s="76">
        <v>62.947617000000001</v>
      </c>
      <c r="F1511" s="76">
        <v>40.406551</v>
      </c>
      <c r="G1511" s="79">
        <v>1024200</v>
      </c>
    </row>
    <row r="1512" spans="1:7" x14ac:dyDescent="0.25">
      <c r="A1512" s="1" t="s">
        <v>1635</v>
      </c>
      <c r="B1512" s="76">
        <v>62.947617000000001</v>
      </c>
      <c r="C1512" s="76">
        <v>63.364631999999901</v>
      </c>
      <c r="D1512" s="76">
        <v>62.823242</v>
      </c>
      <c r="E1512" s="76">
        <v>63.050041</v>
      </c>
      <c r="F1512" s="76">
        <v>40.472301000000002</v>
      </c>
      <c r="G1512" s="79">
        <v>748500</v>
      </c>
    </row>
    <row r="1513" spans="1:7" x14ac:dyDescent="0.25">
      <c r="A1513" s="1" t="s">
        <v>1636</v>
      </c>
      <c r="B1513" s="76">
        <v>63.057357999999901</v>
      </c>
      <c r="C1513" s="76">
        <v>63.949920999999897</v>
      </c>
      <c r="D1513" s="76">
        <v>62.976878999999997</v>
      </c>
      <c r="E1513" s="76">
        <v>63.459739999999996</v>
      </c>
      <c r="F1513" s="76">
        <v>40.735278999999998</v>
      </c>
      <c r="G1513" s="79">
        <v>1167700</v>
      </c>
    </row>
    <row r="1514" spans="1:7" x14ac:dyDescent="0.25">
      <c r="A1514" s="1" t="s">
        <v>1637</v>
      </c>
      <c r="B1514" s="76">
        <v>64.015761999999995</v>
      </c>
      <c r="C1514" s="76">
        <v>64.088927999999996</v>
      </c>
      <c r="D1514" s="76">
        <v>63.27684</v>
      </c>
      <c r="E1514" s="76">
        <v>64.081611999999893</v>
      </c>
      <c r="F1514" s="76">
        <v>41.134459999999997</v>
      </c>
      <c r="G1514" s="79">
        <v>822500</v>
      </c>
    </row>
    <row r="1515" spans="1:7" x14ac:dyDescent="0.25">
      <c r="A1515" s="1" t="s">
        <v>1638</v>
      </c>
      <c r="B1515" s="76">
        <v>64.301093999999907</v>
      </c>
      <c r="C1515" s="76">
        <v>64.857117000000002</v>
      </c>
      <c r="D1515" s="76">
        <v>64.176719999999904</v>
      </c>
      <c r="E1515" s="76">
        <v>64.805901000000006</v>
      </c>
      <c r="F1515" s="76">
        <v>41.599387999999998</v>
      </c>
      <c r="G1515" s="79">
        <v>1150000</v>
      </c>
    </row>
    <row r="1516" spans="1:7" x14ac:dyDescent="0.25">
      <c r="A1516" s="1" t="s">
        <v>1639</v>
      </c>
      <c r="B1516" s="76">
        <v>64.601050999999998</v>
      </c>
      <c r="C1516" s="76">
        <v>65.727729999999994</v>
      </c>
      <c r="D1516" s="76">
        <v>64.418152000000006</v>
      </c>
      <c r="E1516" s="76">
        <v>65.186340000000001</v>
      </c>
      <c r="F1516" s="76">
        <v>41.843604999999997</v>
      </c>
      <c r="G1516" s="79">
        <v>874700</v>
      </c>
    </row>
    <row r="1517" spans="1:7" x14ac:dyDescent="0.25">
      <c r="A1517" s="1" t="s">
        <v>1640</v>
      </c>
      <c r="B1517" s="76">
        <v>65.281447999999997</v>
      </c>
      <c r="C1517" s="76">
        <v>65.610671999999994</v>
      </c>
      <c r="D1517" s="76">
        <v>64.930274999999995</v>
      </c>
      <c r="E1517" s="76">
        <v>65.237549000000001</v>
      </c>
      <c r="F1517" s="76">
        <v>41.876460999999999</v>
      </c>
      <c r="G1517" s="79">
        <v>915100</v>
      </c>
    </row>
    <row r="1518" spans="1:7" x14ac:dyDescent="0.25">
      <c r="A1518" s="1" t="s">
        <v>1641</v>
      </c>
      <c r="B1518" s="76">
        <v>65.237549000000001</v>
      </c>
      <c r="C1518" s="76">
        <v>65.493613999999994</v>
      </c>
      <c r="D1518" s="76">
        <v>64.981491000000005</v>
      </c>
      <c r="E1518" s="76">
        <v>65.274131999999994</v>
      </c>
      <c r="F1518" s="76">
        <v>41.899956000000003</v>
      </c>
      <c r="G1518" s="79">
        <v>781700</v>
      </c>
    </row>
    <row r="1519" spans="1:7" x14ac:dyDescent="0.25">
      <c r="A1519" s="1" t="s">
        <v>1642</v>
      </c>
      <c r="B1519" s="76">
        <v>65.186340000000001</v>
      </c>
      <c r="C1519" s="76">
        <v>65.193657000000002</v>
      </c>
      <c r="D1519" s="76">
        <v>63.708488000000003</v>
      </c>
      <c r="E1519" s="76">
        <v>63.759701</v>
      </c>
      <c r="F1519" s="76">
        <v>40.92783</v>
      </c>
      <c r="G1519" s="79">
        <v>926600</v>
      </c>
    </row>
    <row r="1520" spans="1:7" x14ac:dyDescent="0.25">
      <c r="A1520" s="1" t="s">
        <v>1643</v>
      </c>
      <c r="B1520" s="76">
        <v>63.635325999999999</v>
      </c>
      <c r="C1520" s="76">
        <v>63.635325999999999</v>
      </c>
      <c r="D1520" s="76">
        <v>62.998829000000001</v>
      </c>
      <c r="E1520" s="76">
        <v>63.101253999999997</v>
      </c>
      <c r="F1520" s="76">
        <v>40.505164999999998</v>
      </c>
      <c r="G1520" s="79">
        <v>812300</v>
      </c>
    </row>
    <row r="1521" spans="1:7" x14ac:dyDescent="0.25">
      <c r="A1521" s="1" t="s">
        <v>1644</v>
      </c>
      <c r="B1521" s="76">
        <v>63.101253999999997</v>
      </c>
      <c r="C1521" s="76">
        <v>63.759701</v>
      </c>
      <c r="D1521" s="76">
        <v>62.464751999999997</v>
      </c>
      <c r="E1521" s="76">
        <v>62.728133999999997</v>
      </c>
      <c r="F1521" s="76">
        <v>40.265667000000001</v>
      </c>
      <c r="G1521" s="79">
        <v>830800</v>
      </c>
    </row>
    <row r="1522" spans="1:7" x14ac:dyDescent="0.25">
      <c r="A1522" s="1" t="s">
        <v>1645</v>
      </c>
      <c r="B1522" s="76">
        <v>62.757396999999997</v>
      </c>
      <c r="C1522" s="76">
        <v>63.635325999999999</v>
      </c>
      <c r="D1522" s="76">
        <v>62.735447000000001</v>
      </c>
      <c r="E1522" s="76">
        <v>63.430477000000003</v>
      </c>
      <c r="F1522" s="76">
        <v>40.716503000000003</v>
      </c>
      <c r="G1522" s="79">
        <v>705200</v>
      </c>
    </row>
    <row r="1523" spans="1:7" x14ac:dyDescent="0.25">
      <c r="A1523" s="1" t="s">
        <v>1646</v>
      </c>
      <c r="B1523" s="76">
        <v>62.991512</v>
      </c>
      <c r="C1523" s="76">
        <v>63.284156999999901</v>
      </c>
      <c r="D1523" s="76">
        <v>62.457436000000001</v>
      </c>
      <c r="E1523" s="76">
        <v>62.640338999999997</v>
      </c>
      <c r="F1523" s="76">
        <v>40.209305000000001</v>
      </c>
      <c r="G1523" s="79">
        <v>870000</v>
      </c>
    </row>
    <row r="1524" spans="1:7" x14ac:dyDescent="0.25">
      <c r="A1524" s="1" t="s">
        <v>1647</v>
      </c>
      <c r="B1524" s="76">
        <v>62.823242</v>
      </c>
      <c r="C1524" s="76">
        <v>63.423161</v>
      </c>
      <c r="D1524" s="76">
        <v>62.801291999999997</v>
      </c>
      <c r="E1524" s="76">
        <v>63.210994999999997</v>
      </c>
      <c r="F1524" s="76">
        <v>40.575614999999999</v>
      </c>
      <c r="G1524" s="79">
        <v>542100</v>
      </c>
    </row>
    <row r="1525" spans="1:7" x14ac:dyDescent="0.25">
      <c r="A1525" s="1" t="s">
        <v>1648</v>
      </c>
      <c r="B1525" s="76">
        <v>63.393898</v>
      </c>
      <c r="C1525" s="76">
        <v>63.81823</v>
      </c>
      <c r="D1525" s="76">
        <v>63.218311</v>
      </c>
      <c r="E1525" s="76">
        <v>63.774333999999897</v>
      </c>
      <c r="F1525" s="76">
        <v>40.937218000000001</v>
      </c>
      <c r="G1525" s="79">
        <v>1187900</v>
      </c>
    </row>
    <row r="1526" spans="1:7" x14ac:dyDescent="0.25">
      <c r="A1526" s="1" t="s">
        <v>1649</v>
      </c>
      <c r="B1526" s="76">
        <v>63.979182999999999</v>
      </c>
      <c r="C1526" s="76">
        <v>64.527893000000006</v>
      </c>
      <c r="D1526" s="76">
        <v>63.869441999999999</v>
      </c>
      <c r="E1526" s="76">
        <v>64.308410999999893</v>
      </c>
      <c r="F1526" s="76">
        <v>41.280037</v>
      </c>
      <c r="G1526" s="79">
        <v>1062100</v>
      </c>
    </row>
    <row r="1527" spans="1:7" x14ac:dyDescent="0.25">
      <c r="A1527" s="1" t="s">
        <v>1650</v>
      </c>
      <c r="B1527" s="76">
        <v>64.608367999999999</v>
      </c>
      <c r="C1527" s="76">
        <v>64.842483999999999</v>
      </c>
      <c r="D1527" s="76">
        <v>64.125504000000006</v>
      </c>
      <c r="E1527" s="76">
        <v>64.557152000000002</v>
      </c>
      <c r="F1527" s="76">
        <v>41.439723999999998</v>
      </c>
      <c r="G1527" s="79">
        <v>1103000</v>
      </c>
    </row>
    <row r="1528" spans="1:7" x14ac:dyDescent="0.25">
      <c r="A1528" s="1" t="s">
        <v>1651</v>
      </c>
      <c r="B1528" s="76">
        <v>64.198668999999995</v>
      </c>
      <c r="C1528" s="76">
        <v>65.069282999999999</v>
      </c>
      <c r="D1528" s="76">
        <v>64.125504000000006</v>
      </c>
      <c r="E1528" s="76">
        <v>64.798583999999906</v>
      </c>
      <c r="F1528" s="76">
        <v>41.975245999999999</v>
      </c>
      <c r="G1528" s="79">
        <v>958800</v>
      </c>
    </row>
    <row r="1529" spans="1:7" x14ac:dyDescent="0.25">
      <c r="A1529" s="1" t="s">
        <v>1652</v>
      </c>
      <c r="B1529" s="76">
        <v>64.857117000000002</v>
      </c>
      <c r="C1529" s="76">
        <v>64.857117000000002</v>
      </c>
      <c r="D1529" s="76">
        <v>64.418152000000006</v>
      </c>
      <c r="E1529" s="76">
        <v>64.564468000000005</v>
      </c>
      <c r="F1529" s="76">
        <v>41.823600999999996</v>
      </c>
      <c r="G1529" s="79">
        <v>588900</v>
      </c>
    </row>
    <row r="1530" spans="1:7" x14ac:dyDescent="0.25">
      <c r="A1530" s="1" t="s">
        <v>1653</v>
      </c>
      <c r="B1530" s="76">
        <v>64.527893000000006</v>
      </c>
      <c r="C1530" s="76">
        <v>65.098540999999997</v>
      </c>
      <c r="D1530" s="76">
        <v>64.235244999999907</v>
      </c>
      <c r="E1530" s="76">
        <v>64.630318000000003</v>
      </c>
      <c r="F1530" s="76">
        <v>41.866256999999997</v>
      </c>
      <c r="G1530" s="79">
        <v>740000</v>
      </c>
    </row>
    <row r="1531" spans="1:7" x14ac:dyDescent="0.25">
      <c r="A1531" s="1" t="s">
        <v>1654</v>
      </c>
      <c r="B1531" s="76">
        <v>64.491309999999999</v>
      </c>
      <c r="C1531" s="76">
        <v>64.791267000000005</v>
      </c>
      <c r="D1531" s="76">
        <v>64.286461000000003</v>
      </c>
      <c r="E1531" s="76">
        <v>64.623001000000002</v>
      </c>
      <c r="F1531" s="76">
        <v>41.861507000000003</v>
      </c>
      <c r="G1531" s="79">
        <v>885700</v>
      </c>
    </row>
    <row r="1532" spans="1:7" x14ac:dyDescent="0.25">
      <c r="A1532" s="1" t="s">
        <v>1655</v>
      </c>
      <c r="B1532" s="76">
        <v>64.440093999999903</v>
      </c>
      <c r="C1532" s="76">
        <v>64.601050999999998</v>
      </c>
      <c r="D1532" s="76">
        <v>63.686539000000003</v>
      </c>
      <c r="E1532" s="76">
        <v>63.891392000000003</v>
      </c>
      <c r="F1532" s="76">
        <v>41.387584999999902</v>
      </c>
      <c r="G1532" s="79">
        <v>845200</v>
      </c>
    </row>
    <row r="1533" spans="1:7" x14ac:dyDescent="0.25">
      <c r="A1533" s="1" t="s">
        <v>1656</v>
      </c>
      <c r="B1533" s="76">
        <v>63.510956</v>
      </c>
      <c r="C1533" s="76">
        <v>63.774333999999897</v>
      </c>
      <c r="D1533" s="76">
        <v>62.603760000000001</v>
      </c>
      <c r="E1533" s="76">
        <v>63.174416000000001</v>
      </c>
      <c r="F1533" s="76">
        <v>40.923144999999998</v>
      </c>
      <c r="G1533" s="79">
        <v>978800</v>
      </c>
    </row>
    <row r="1534" spans="1:7" x14ac:dyDescent="0.25">
      <c r="A1534" s="1" t="s">
        <v>1657</v>
      </c>
      <c r="B1534" s="76">
        <v>63.181728</v>
      </c>
      <c r="C1534" s="76">
        <v>63.510956</v>
      </c>
      <c r="D1534" s="76">
        <v>63.028091000000003</v>
      </c>
      <c r="E1534" s="76">
        <v>63.262206999999997</v>
      </c>
      <c r="F1534" s="76">
        <v>40.980021999999998</v>
      </c>
      <c r="G1534" s="79">
        <v>454000</v>
      </c>
    </row>
    <row r="1535" spans="1:7" x14ac:dyDescent="0.25">
      <c r="A1535" s="1" t="s">
        <v>1658</v>
      </c>
      <c r="B1535" s="76">
        <v>63.210994999999997</v>
      </c>
      <c r="C1535" s="76">
        <v>63.620697</v>
      </c>
      <c r="D1535" s="76">
        <v>62.662289000000001</v>
      </c>
      <c r="E1535" s="76">
        <v>62.837874999999997</v>
      </c>
      <c r="F1535" s="76">
        <v>40.705134999999999</v>
      </c>
      <c r="G1535" s="79">
        <v>777900</v>
      </c>
    </row>
    <row r="1536" spans="1:7" x14ac:dyDescent="0.25">
      <c r="A1536" s="1" t="s">
        <v>1659</v>
      </c>
      <c r="B1536" s="76">
        <v>62.845188</v>
      </c>
      <c r="C1536" s="76">
        <v>62.954932999999997</v>
      </c>
      <c r="D1536" s="76">
        <v>62.186740999999998</v>
      </c>
      <c r="E1536" s="76">
        <v>62.925666999999997</v>
      </c>
      <c r="F1536" s="76">
        <v>40.762005000000002</v>
      </c>
      <c r="G1536" s="79">
        <v>738700</v>
      </c>
    </row>
    <row r="1537" spans="1:7" x14ac:dyDescent="0.25">
      <c r="A1537" s="1" t="s">
        <v>1660</v>
      </c>
      <c r="B1537" s="76">
        <v>63.064673999999997</v>
      </c>
      <c r="C1537" s="76">
        <v>63.430477000000003</v>
      </c>
      <c r="D1537" s="76">
        <v>62.494018999999902</v>
      </c>
      <c r="E1537" s="76">
        <v>63.174416000000001</v>
      </c>
      <c r="F1537" s="76">
        <v>40.923144999999998</v>
      </c>
      <c r="G1537" s="79">
        <v>666900</v>
      </c>
    </row>
    <row r="1538" spans="1:7" x14ac:dyDescent="0.25">
      <c r="A1538" s="1" t="s">
        <v>1661</v>
      </c>
      <c r="B1538" s="76">
        <v>63.174416000000001</v>
      </c>
      <c r="C1538" s="76">
        <v>63.598746999999904</v>
      </c>
      <c r="D1538" s="76">
        <v>62.852505000000001</v>
      </c>
      <c r="E1538" s="76">
        <v>63.371947999999897</v>
      </c>
      <c r="F1538" s="76">
        <v>41.051097999999897</v>
      </c>
      <c r="G1538" s="79">
        <v>527200</v>
      </c>
    </row>
    <row r="1539" spans="1:7" x14ac:dyDescent="0.25">
      <c r="A1539" s="1" t="s">
        <v>1662</v>
      </c>
      <c r="B1539" s="76">
        <v>63.379264999999997</v>
      </c>
      <c r="C1539" s="76">
        <v>63.467055999999999</v>
      </c>
      <c r="D1539" s="76">
        <v>63.006144999999997</v>
      </c>
      <c r="E1539" s="76">
        <v>63.4158439999999</v>
      </c>
      <c r="F1539" s="76">
        <v>41.079543999999999</v>
      </c>
      <c r="G1539" s="79">
        <v>496300</v>
      </c>
    </row>
    <row r="1540" spans="1:7" x14ac:dyDescent="0.25">
      <c r="A1540" s="1" t="s">
        <v>1663</v>
      </c>
      <c r="B1540" s="76">
        <v>63.4158439999999</v>
      </c>
      <c r="C1540" s="76">
        <v>63.81823</v>
      </c>
      <c r="D1540" s="76">
        <v>62.757396999999997</v>
      </c>
      <c r="E1540" s="76">
        <v>63.737751000000003</v>
      </c>
      <c r="F1540" s="76">
        <v>41.288066999999998</v>
      </c>
      <c r="G1540" s="79">
        <v>586500</v>
      </c>
    </row>
    <row r="1541" spans="1:7" x14ac:dyDescent="0.25">
      <c r="A1541" s="1" t="s">
        <v>1664</v>
      </c>
      <c r="B1541" s="76">
        <v>63.64996</v>
      </c>
      <c r="C1541" s="76">
        <v>64.110869999999906</v>
      </c>
      <c r="D1541" s="76">
        <v>63.452427</v>
      </c>
      <c r="E1541" s="76">
        <v>64.030395999999996</v>
      </c>
      <c r="F1541" s="76">
        <v>41.477637999999999</v>
      </c>
      <c r="G1541" s="79">
        <v>626900</v>
      </c>
    </row>
    <row r="1542" spans="1:7" x14ac:dyDescent="0.25">
      <c r="A1542" s="1" t="s">
        <v>1665</v>
      </c>
      <c r="B1542" s="76">
        <v>64.125504000000006</v>
      </c>
      <c r="C1542" s="76">
        <v>64.249877999999995</v>
      </c>
      <c r="D1542" s="76">
        <v>63.774333999999897</v>
      </c>
      <c r="E1542" s="76">
        <v>64.103554000000003</v>
      </c>
      <c r="F1542" s="76">
        <v>41.525024000000002</v>
      </c>
      <c r="G1542" s="79">
        <v>494400</v>
      </c>
    </row>
    <row r="1543" spans="1:7" x14ac:dyDescent="0.25">
      <c r="A1543" s="1" t="s">
        <v>1666</v>
      </c>
      <c r="B1543" s="76">
        <v>64.162086000000002</v>
      </c>
      <c r="C1543" s="76">
        <v>64.505943000000002</v>
      </c>
      <c r="D1543" s="76">
        <v>63.869441999999999</v>
      </c>
      <c r="E1543" s="76">
        <v>64.352303000000006</v>
      </c>
      <c r="F1543" s="76">
        <v>41.686157000000001</v>
      </c>
      <c r="G1543" s="79">
        <v>811000</v>
      </c>
    </row>
    <row r="1544" spans="1:7" x14ac:dyDescent="0.25">
      <c r="A1544" s="1" t="s">
        <v>1667</v>
      </c>
      <c r="B1544" s="76">
        <v>64.352303000000006</v>
      </c>
      <c r="C1544" s="76">
        <v>64.637633999999906</v>
      </c>
      <c r="D1544" s="76">
        <v>64.169403000000003</v>
      </c>
      <c r="E1544" s="76">
        <v>64.498626999999999</v>
      </c>
      <c r="F1544" s="76">
        <v>41.780951999999999</v>
      </c>
      <c r="G1544" s="79">
        <v>825100</v>
      </c>
    </row>
    <row r="1545" spans="1:7" x14ac:dyDescent="0.25">
      <c r="A1545" s="1" t="s">
        <v>1668</v>
      </c>
      <c r="B1545" s="76">
        <v>64.498626999999999</v>
      </c>
      <c r="C1545" s="76">
        <v>66.195960999999997</v>
      </c>
      <c r="D1545" s="76">
        <v>64.308410999999893</v>
      </c>
      <c r="E1545" s="76">
        <v>66.115478999999993</v>
      </c>
      <c r="F1545" s="76">
        <v>42.828303999999903</v>
      </c>
      <c r="G1545" s="79">
        <v>1335500</v>
      </c>
    </row>
    <row r="1546" spans="1:7" x14ac:dyDescent="0.25">
      <c r="A1546" s="1" t="s">
        <v>1669</v>
      </c>
      <c r="B1546" s="76">
        <v>66.283752000000007</v>
      </c>
      <c r="C1546" s="76">
        <v>66.313018999999997</v>
      </c>
      <c r="D1546" s="76">
        <v>65.596039000000005</v>
      </c>
      <c r="E1546" s="76">
        <v>65.830153999999993</v>
      </c>
      <c r="F1546" s="76">
        <v>42.643481999999999</v>
      </c>
      <c r="G1546" s="79">
        <v>911100</v>
      </c>
    </row>
    <row r="1547" spans="1:7" x14ac:dyDescent="0.25">
      <c r="A1547" s="1" t="s">
        <v>1670</v>
      </c>
      <c r="B1547" s="76">
        <v>65.830153999999993</v>
      </c>
      <c r="C1547" s="76">
        <v>65.830153999999993</v>
      </c>
      <c r="D1547" s="76">
        <v>65.091231999999906</v>
      </c>
      <c r="E1547" s="76">
        <v>65.113174000000001</v>
      </c>
      <c r="F1547" s="76">
        <v>42.179028000000002</v>
      </c>
      <c r="G1547" s="79">
        <v>677400</v>
      </c>
    </row>
    <row r="1548" spans="1:7" x14ac:dyDescent="0.25">
      <c r="A1548" s="1" t="s">
        <v>1671</v>
      </c>
      <c r="B1548" s="76">
        <v>64.930274999999995</v>
      </c>
      <c r="C1548" s="76">
        <v>65.427773000000002</v>
      </c>
      <c r="D1548" s="76">
        <v>64.857117000000002</v>
      </c>
      <c r="E1548" s="76">
        <v>65.098540999999997</v>
      </c>
      <c r="F1548" s="76">
        <v>42.169552000000003</v>
      </c>
      <c r="G1548" s="79">
        <v>620500</v>
      </c>
    </row>
    <row r="1549" spans="1:7" x14ac:dyDescent="0.25">
      <c r="A1549" s="1" t="s">
        <v>1672</v>
      </c>
      <c r="B1549" s="76">
        <v>65.054648999999998</v>
      </c>
      <c r="C1549" s="76">
        <v>65.332656999999998</v>
      </c>
      <c r="D1549" s="76">
        <v>64.454727000000005</v>
      </c>
      <c r="E1549" s="76">
        <v>65.105857999999998</v>
      </c>
      <c r="F1549" s="76">
        <v>42.174301</v>
      </c>
      <c r="G1549" s="79">
        <v>888900</v>
      </c>
    </row>
    <row r="1550" spans="1:7" x14ac:dyDescent="0.25">
      <c r="A1550" s="1" t="s">
        <v>1673</v>
      </c>
      <c r="B1550" s="76">
        <v>65.186340000000001</v>
      </c>
      <c r="C1550" s="76">
        <v>65.720412999999994</v>
      </c>
      <c r="D1550" s="76">
        <v>64.769317999999998</v>
      </c>
      <c r="E1550" s="76">
        <v>65.691147000000001</v>
      </c>
      <c r="F1550" s="76">
        <v>42.553432000000001</v>
      </c>
      <c r="G1550" s="79">
        <v>688400</v>
      </c>
    </row>
    <row r="1551" spans="1:7" x14ac:dyDescent="0.25">
      <c r="A1551" s="1" t="s">
        <v>1674</v>
      </c>
      <c r="B1551" s="76">
        <v>65.632621999999998</v>
      </c>
      <c r="C1551" s="76">
        <v>65.661879999999996</v>
      </c>
      <c r="D1551" s="76">
        <v>64.930274999999995</v>
      </c>
      <c r="E1551" s="76">
        <v>65.435080999999997</v>
      </c>
      <c r="F1551" s="76">
        <v>42.387549999999997</v>
      </c>
      <c r="G1551" s="79">
        <v>754700</v>
      </c>
    </row>
    <row r="1552" spans="1:7" x14ac:dyDescent="0.25">
      <c r="A1552" s="1" t="s">
        <v>1675</v>
      </c>
      <c r="B1552" s="76">
        <v>65.552138999999997</v>
      </c>
      <c r="C1552" s="76">
        <v>67.051940999999999</v>
      </c>
      <c r="D1552" s="76">
        <v>65.361923000000004</v>
      </c>
      <c r="E1552" s="76">
        <v>66.664185000000003</v>
      </c>
      <c r="F1552" s="76">
        <v>43.183750000000003</v>
      </c>
      <c r="G1552" s="79">
        <v>2221900</v>
      </c>
    </row>
    <row r="1553" spans="1:7" x14ac:dyDescent="0.25">
      <c r="A1553" s="1" t="s">
        <v>1676</v>
      </c>
      <c r="B1553" s="76">
        <v>66.576392999999996</v>
      </c>
      <c r="C1553" s="76">
        <v>67.476272999999907</v>
      </c>
      <c r="D1553" s="76">
        <v>66.393493999999905</v>
      </c>
      <c r="E1553" s="76">
        <v>67.205581999999893</v>
      </c>
      <c r="F1553" s="76">
        <v>43.534458000000001</v>
      </c>
      <c r="G1553" s="79">
        <v>1313000</v>
      </c>
    </row>
    <row r="1554" spans="1:7" x14ac:dyDescent="0.25">
      <c r="A1554" s="1" t="s">
        <v>1677</v>
      </c>
      <c r="B1554" s="76">
        <v>67.212890999999999</v>
      </c>
      <c r="C1554" s="76">
        <v>67.212890999999999</v>
      </c>
      <c r="D1554" s="76">
        <v>66.686133999999996</v>
      </c>
      <c r="E1554" s="76">
        <v>66.927566999999996</v>
      </c>
      <c r="F1554" s="76">
        <v>43.354370000000003</v>
      </c>
      <c r="G1554" s="79">
        <v>989100</v>
      </c>
    </row>
    <row r="1555" spans="1:7" x14ac:dyDescent="0.25">
      <c r="A1555" s="1" t="s">
        <v>1678</v>
      </c>
      <c r="B1555" s="76">
        <v>66.927566999999996</v>
      </c>
      <c r="C1555" s="76">
        <v>67.564064000000002</v>
      </c>
      <c r="D1555" s="76">
        <v>66.503235000000004</v>
      </c>
      <c r="E1555" s="76">
        <v>67.417746999999906</v>
      </c>
      <c r="F1555" s="76">
        <v>43.671889999999998</v>
      </c>
      <c r="G1555" s="79">
        <v>1184600</v>
      </c>
    </row>
    <row r="1556" spans="1:7" x14ac:dyDescent="0.25">
      <c r="A1556" s="1" t="s">
        <v>1679</v>
      </c>
      <c r="B1556" s="76">
        <v>67.425064000000006</v>
      </c>
      <c r="C1556" s="76">
        <v>68.017662000000001</v>
      </c>
      <c r="D1556" s="76">
        <v>67.308006000000006</v>
      </c>
      <c r="E1556" s="76">
        <v>67.710387999999995</v>
      </c>
      <c r="F1556" s="76">
        <v>43.861462000000003</v>
      </c>
      <c r="G1556" s="79">
        <v>1257900</v>
      </c>
    </row>
    <row r="1557" spans="1:7" x14ac:dyDescent="0.25">
      <c r="A1557" s="1" t="s">
        <v>1680</v>
      </c>
      <c r="B1557" s="76">
        <v>68.076194999999998</v>
      </c>
      <c r="C1557" s="76">
        <v>69.429671999999997</v>
      </c>
      <c r="D1557" s="76">
        <v>67.856712000000002</v>
      </c>
      <c r="E1557" s="76">
        <v>69.385773</v>
      </c>
      <c r="F1557" s="76">
        <v>44.946762</v>
      </c>
      <c r="G1557" s="79">
        <v>2040600</v>
      </c>
    </row>
    <row r="1558" spans="1:7" x14ac:dyDescent="0.25">
      <c r="A1558" s="1" t="s">
        <v>1681</v>
      </c>
      <c r="B1558" s="76">
        <v>69.480880999999997</v>
      </c>
      <c r="C1558" s="76">
        <v>69.480880999999997</v>
      </c>
      <c r="D1558" s="76">
        <v>68.295676999999998</v>
      </c>
      <c r="E1558" s="76">
        <v>68.602951000000004</v>
      </c>
      <c r="F1558" s="76">
        <v>44.439644000000001</v>
      </c>
      <c r="G1558" s="79">
        <v>1520500</v>
      </c>
    </row>
    <row r="1559" spans="1:7" x14ac:dyDescent="0.25">
      <c r="A1559" s="1" t="s">
        <v>1682</v>
      </c>
      <c r="B1559" s="76">
        <v>68.259093999999905</v>
      </c>
      <c r="C1559" s="76">
        <v>69.100441000000004</v>
      </c>
      <c r="D1559" s="76">
        <v>68.222510999999997</v>
      </c>
      <c r="E1559" s="76">
        <v>68.727324999999993</v>
      </c>
      <c r="F1559" s="76">
        <v>44.520203000000002</v>
      </c>
      <c r="G1559" s="79">
        <v>1023100</v>
      </c>
    </row>
    <row r="1560" spans="1:7" x14ac:dyDescent="0.25">
      <c r="A1560" s="1" t="s">
        <v>1683</v>
      </c>
      <c r="B1560" s="76">
        <v>69.129706999999996</v>
      </c>
      <c r="C1560" s="76">
        <v>70.892882999999998</v>
      </c>
      <c r="D1560" s="76">
        <v>69.034599</v>
      </c>
      <c r="E1560" s="76">
        <v>70.629508999999999</v>
      </c>
      <c r="F1560" s="76">
        <v>45.752406999999998</v>
      </c>
      <c r="G1560" s="79">
        <v>1582700</v>
      </c>
    </row>
    <row r="1561" spans="1:7" x14ac:dyDescent="0.25">
      <c r="A1561" s="1" t="s">
        <v>1684</v>
      </c>
      <c r="B1561" s="76">
        <v>71.148949000000002</v>
      </c>
      <c r="C1561" s="76">
        <v>71.829346000000001</v>
      </c>
      <c r="D1561" s="76">
        <v>70.892882999999998</v>
      </c>
      <c r="E1561" s="76">
        <v>71.353797999999998</v>
      </c>
      <c r="F1561" s="76">
        <v>46.221587999999997</v>
      </c>
      <c r="G1561" s="79">
        <v>1489100</v>
      </c>
    </row>
    <row r="1562" spans="1:7" x14ac:dyDescent="0.25">
      <c r="A1562" s="1" t="s">
        <v>1685</v>
      </c>
      <c r="B1562" s="76">
        <v>71.587913999999998</v>
      </c>
      <c r="C1562" s="76">
        <v>72.107353000000003</v>
      </c>
      <c r="D1562" s="76">
        <v>71.068473999999995</v>
      </c>
      <c r="E1562" s="76">
        <v>72.034194999999997</v>
      </c>
      <c r="F1562" s="76">
        <v>46.662331000000002</v>
      </c>
      <c r="G1562" s="79">
        <v>1366000</v>
      </c>
    </row>
    <row r="1563" spans="1:7" x14ac:dyDescent="0.25">
      <c r="A1563" s="1" t="s">
        <v>1686</v>
      </c>
      <c r="B1563" s="76">
        <v>71.975669999999994</v>
      </c>
      <c r="C1563" s="76">
        <v>72.063461000000004</v>
      </c>
      <c r="D1563" s="76">
        <v>70.731933999999995</v>
      </c>
      <c r="E1563" s="76">
        <v>70.966048999999998</v>
      </c>
      <c r="F1563" s="76">
        <v>45.970402</v>
      </c>
      <c r="G1563" s="79">
        <v>1030900</v>
      </c>
    </row>
    <row r="1564" spans="1:7" x14ac:dyDescent="0.25">
      <c r="A1564" s="1" t="s">
        <v>1687</v>
      </c>
      <c r="B1564" s="76">
        <v>70.856307999999999</v>
      </c>
      <c r="C1564" s="76">
        <v>71.053841000000006</v>
      </c>
      <c r="D1564" s="76">
        <v>69.868636999999893</v>
      </c>
      <c r="E1564" s="76">
        <v>69.883262999999999</v>
      </c>
      <c r="F1564" s="76">
        <v>45.269005</v>
      </c>
      <c r="G1564" s="79">
        <v>1105000</v>
      </c>
    </row>
    <row r="1565" spans="1:7" x14ac:dyDescent="0.25">
      <c r="A1565" s="1" t="s">
        <v>1688</v>
      </c>
      <c r="B1565" s="76">
        <v>69.854004000000003</v>
      </c>
      <c r="C1565" s="76">
        <v>70.183228</v>
      </c>
      <c r="D1565" s="76">
        <v>68.880958999999905</v>
      </c>
      <c r="E1565" s="76">
        <v>70.058852999999999</v>
      </c>
      <c r="F1565" s="76">
        <v>45.382754999999896</v>
      </c>
      <c r="G1565" s="79">
        <v>706100</v>
      </c>
    </row>
    <row r="1566" spans="1:7" x14ac:dyDescent="0.25">
      <c r="A1566" s="1" t="s">
        <v>1689</v>
      </c>
      <c r="B1566" s="76">
        <v>69.934478999999996</v>
      </c>
      <c r="C1566" s="76">
        <v>70.402709999999999</v>
      </c>
      <c r="D1566" s="76">
        <v>69.714995999999999</v>
      </c>
      <c r="E1566" s="76">
        <v>70.124694999999903</v>
      </c>
      <c r="F1566" s="76">
        <v>45.425407</v>
      </c>
      <c r="G1566" s="79">
        <v>787500</v>
      </c>
    </row>
    <row r="1567" spans="1:7" x14ac:dyDescent="0.25">
      <c r="A1567" s="1" t="s">
        <v>1690</v>
      </c>
      <c r="B1567" s="76">
        <v>70.124694999999903</v>
      </c>
      <c r="C1567" s="76">
        <v>70.124694999999903</v>
      </c>
      <c r="D1567" s="76">
        <v>69.429671999999997</v>
      </c>
      <c r="E1567" s="76">
        <v>69.802788000000007</v>
      </c>
      <c r="F1567" s="76">
        <v>45.216876999999997</v>
      </c>
      <c r="G1567" s="79">
        <v>670200</v>
      </c>
    </row>
    <row r="1568" spans="1:7" x14ac:dyDescent="0.25">
      <c r="A1568" s="1" t="s">
        <v>1691</v>
      </c>
      <c r="B1568" s="76">
        <v>69.649154999999993</v>
      </c>
      <c r="C1568" s="76">
        <v>69.744263000000004</v>
      </c>
      <c r="D1568" s="76">
        <v>68.829750000000004</v>
      </c>
      <c r="E1568" s="76">
        <v>69.100441000000004</v>
      </c>
      <c r="F1568" s="76">
        <v>44.761916999999997</v>
      </c>
      <c r="G1568" s="79">
        <v>1035700</v>
      </c>
    </row>
    <row r="1569" spans="1:7" x14ac:dyDescent="0.25">
      <c r="A1569" s="1" t="s">
        <v>1692</v>
      </c>
      <c r="B1569" s="76">
        <v>69.100441000000004</v>
      </c>
      <c r="C1569" s="76">
        <v>70.446601999999999</v>
      </c>
      <c r="D1569" s="76">
        <v>68.734641999999994</v>
      </c>
      <c r="E1569" s="76">
        <v>69.875953999999993</v>
      </c>
      <c r="F1569" s="76">
        <v>45.264271000000001</v>
      </c>
      <c r="G1569" s="79">
        <v>1088700</v>
      </c>
    </row>
    <row r="1570" spans="1:7" x14ac:dyDescent="0.25">
      <c r="A1570" s="1" t="s">
        <v>1693</v>
      </c>
      <c r="B1570" s="76">
        <v>70.607558999999995</v>
      </c>
      <c r="C1570" s="76">
        <v>71.485489000000001</v>
      </c>
      <c r="D1570" s="76">
        <v>70.607558999999995</v>
      </c>
      <c r="E1570" s="76">
        <v>71.280640000000005</v>
      </c>
      <c r="F1570" s="76">
        <v>46.174202000000001</v>
      </c>
      <c r="G1570" s="79">
        <v>1060700</v>
      </c>
    </row>
    <row r="1571" spans="1:7" x14ac:dyDescent="0.25">
      <c r="A1571" s="1" t="s">
        <v>1694</v>
      </c>
      <c r="B1571" s="76">
        <v>70.966048999999998</v>
      </c>
      <c r="C1571" s="76">
        <v>71.053841000000006</v>
      </c>
      <c r="D1571" s="76">
        <v>69.466247999999993</v>
      </c>
      <c r="E1571" s="76">
        <v>69.934478999999996</v>
      </c>
      <c r="F1571" s="76">
        <v>45.302174000000001</v>
      </c>
      <c r="G1571" s="79">
        <v>1249400</v>
      </c>
    </row>
    <row r="1572" spans="1:7" x14ac:dyDescent="0.25">
      <c r="A1572" s="1" t="s">
        <v>1695</v>
      </c>
      <c r="B1572" s="76">
        <v>69.817420999999996</v>
      </c>
      <c r="C1572" s="76">
        <v>70.446601999999999</v>
      </c>
      <c r="D1572" s="76">
        <v>69.100441000000004</v>
      </c>
      <c r="E1572" s="76">
        <v>70.234436000000002</v>
      </c>
      <c r="F1572" s="76">
        <v>45.496487000000002</v>
      </c>
      <c r="G1572" s="79">
        <v>1152600</v>
      </c>
    </row>
    <row r="1573" spans="1:7" x14ac:dyDescent="0.25">
      <c r="A1573" s="1" t="s">
        <v>1696</v>
      </c>
      <c r="B1573" s="76">
        <v>70.234436000000002</v>
      </c>
      <c r="C1573" s="76">
        <v>70.234436000000002</v>
      </c>
      <c r="D1573" s="76">
        <v>68.939491000000004</v>
      </c>
      <c r="E1573" s="76">
        <v>69.085814999999997</v>
      </c>
      <c r="F1573" s="76">
        <v>44.752437999999998</v>
      </c>
      <c r="G1573" s="79">
        <v>1316000</v>
      </c>
    </row>
    <row r="1574" spans="1:7" x14ac:dyDescent="0.25">
      <c r="A1574" s="1" t="s">
        <v>1697</v>
      </c>
      <c r="B1574" s="76">
        <v>69.107757999999905</v>
      </c>
      <c r="C1574" s="76">
        <v>69.502831</v>
      </c>
      <c r="D1574" s="76">
        <v>68.595633999999905</v>
      </c>
      <c r="E1574" s="76">
        <v>68.873649999999998</v>
      </c>
      <c r="F1574" s="76">
        <v>44.614989999999999</v>
      </c>
      <c r="G1574" s="79">
        <v>872200</v>
      </c>
    </row>
    <row r="1575" spans="1:7" x14ac:dyDescent="0.25">
      <c r="A1575" s="1" t="s">
        <v>1698</v>
      </c>
      <c r="B1575" s="76">
        <v>70.600243000000006</v>
      </c>
      <c r="C1575" s="76">
        <v>71.946404000000001</v>
      </c>
      <c r="D1575" s="76">
        <v>70.380759999999995</v>
      </c>
      <c r="E1575" s="76">
        <v>71.602547000000001</v>
      </c>
      <c r="F1575" s="76">
        <v>46.382731999999997</v>
      </c>
      <c r="G1575" s="79">
        <v>1886800</v>
      </c>
    </row>
    <row r="1576" spans="1:7" x14ac:dyDescent="0.25">
      <c r="A1576" s="1" t="s">
        <v>1699</v>
      </c>
      <c r="B1576" s="76">
        <v>71.112365999999994</v>
      </c>
      <c r="C1576" s="76">
        <v>71.514754999999994</v>
      </c>
      <c r="D1576" s="76">
        <v>70.709983999999906</v>
      </c>
      <c r="E1576" s="76">
        <v>71.134315000000001</v>
      </c>
      <c r="F1576" s="76">
        <v>46.079414</v>
      </c>
      <c r="G1576" s="79">
        <v>1254900</v>
      </c>
    </row>
    <row r="1577" spans="1:7" x14ac:dyDescent="0.25">
      <c r="A1577" s="1" t="s">
        <v>1700</v>
      </c>
      <c r="B1577" s="76">
        <v>71.134315000000001</v>
      </c>
      <c r="C1577" s="76">
        <v>71.661071999999905</v>
      </c>
      <c r="D1577" s="76">
        <v>70.519767999999999</v>
      </c>
      <c r="E1577" s="76">
        <v>70.549025999999998</v>
      </c>
      <c r="F1577" s="76">
        <v>45.700294</v>
      </c>
      <c r="G1577" s="79">
        <v>1039500</v>
      </c>
    </row>
    <row r="1578" spans="1:7" x14ac:dyDescent="0.25">
      <c r="A1578" s="1" t="s">
        <v>1701</v>
      </c>
      <c r="B1578" s="76">
        <v>69.575989000000007</v>
      </c>
      <c r="C1578" s="76">
        <v>70.549025999999998</v>
      </c>
      <c r="D1578" s="76">
        <v>69.429671999999997</v>
      </c>
      <c r="E1578" s="76">
        <v>69.641838000000007</v>
      </c>
      <c r="F1578" s="76">
        <v>45.112620999999997</v>
      </c>
      <c r="G1578" s="79">
        <v>1401300</v>
      </c>
    </row>
    <row r="1579" spans="1:7" x14ac:dyDescent="0.25">
      <c r="A1579" s="1" t="s">
        <v>1702</v>
      </c>
      <c r="B1579" s="76">
        <v>69.649154999999993</v>
      </c>
      <c r="C1579" s="76">
        <v>69.766204999999999</v>
      </c>
      <c r="D1579" s="76">
        <v>68.954123999999993</v>
      </c>
      <c r="E1579" s="76">
        <v>69.188239999999993</v>
      </c>
      <c r="F1579" s="76">
        <v>44.818778999999999</v>
      </c>
      <c r="G1579" s="79">
        <v>935400</v>
      </c>
    </row>
    <row r="1580" spans="1:7" x14ac:dyDescent="0.25">
      <c r="A1580" s="1" t="s">
        <v>1703</v>
      </c>
      <c r="B1580" s="76">
        <v>69.297980999999993</v>
      </c>
      <c r="C1580" s="76">
        <v>69.524780000000007</v>
      </c>
      <c r="D1580" s="76">
        <v>68.654160000000005</v>
      </c>
      <c r="E1580" s="76">
        <v>68.844382999999993</v>
      </c>
      <c r="F1580" s="76">
        <v>44.596038999999998</v>
      </c>
      <c r="G1580" s="79">
        <v>929000</v>
      </c>
    </row>
    <row r="1581" spans="1:7" x14ac:dyDescent="0.25">
      <c r="A1581" s="1" t="s">
        <v>1704</v>
      </c>
      <c r="B1581" s="76">
        <v>68.778533999999993</v>
      </c>
      <c r="C1581" s="76">
        <v>68.778533999999993</v>
      </c>
      <c r="D1581" s="76">
        <v>67.644547000000003</v>
      </c>
      <c r="E1581" s="76">
        <v>67.842078999999998</v>
      </c>
      <c r="F1581" s="76">
        <v>43.946758000000003</v>
      </c>
      <c r="G1581" s="79">
        <v>885800</v>
      </c>
    </row>
    <row r="1582" spans="1:7" x14ac:dyDescent="0.25">
      <c r="A1582" s="1" t="s">
        <v>1705</v>
      </c>
      <c r="B1582" s="76">
        <v>67.659171999999998</v>
      </c>
      <c r="C1582" s="76">
        <v>68.624900999999994</v>
      </c>
      <c r="D1582" s="76">
        <v>67.600646999999995</v>
      </c>
      <c r="E1582" s="76">
        <v>67.995711999999997</v>
      </c>
      <c r="F1582" s="76">
        <v>44.046298999999998</v>
      </c>
      <c r="G1582" s="79">
        <v>593100</v>
      </c>
    </row>
    <row r="1583" spans="1:7" x14ac:dyDescent="0.25">
      <c r="A1583" s="1" t="s">
        <v>1706</v>
      </c>
      <c r="B1583" s="76">
        <v>68.185935999999998</v>
      </c>
      <c r="C1583" s="76">
        <v>70.666083999999998</v>
      </c>
      <c r="D1583" s="76">
        <v>68.076194999999998</v>
      </c>
      <c r="E1583" s="76">
        <v>70.424660000000003</v>
      </c>
      <c r="F1583" s="76">
        <v>45.619720000000001</v>
      </c>
      <c r="G1583" s="79">
        <v>1210400</v>
      </c>
    </row>
    <row r="1584" spans="1:7" x14ac:dyDescent="0.25">
      <c r="A1584" s="1" t="s">
        <v>1707</v>
      </c>
      <c r="B1584" s="76">
        <v>70.424660000000003</v>
      </c>
      <c r="C1584" s="76">
        <v>71.624495999999994</v>
      </c>
      <c r="D1584" s="76">
        <v>70.051536999999996</v>
      </c>
      <c r="E1584" s="76">
        <v>71.397696999999994</v>
      </c>
      <c r="F1584" s="76">
        <v>46.250022999999999</v>
      </c>
      <c r="G1584" s="79">
        <v>1079200</v>
      </c>
    </row>
    <row r="1585" spans="1:7" x14ac:dyDescent="0.25">
      <c r="A1585" s="1" t="s">
        <v>1708</v>
      </c>
      <c r="B1585" s="76">
        <v>71.397696999999994</v>
      </c>
      <c r="C1585" s="76">
        <v>71.792762999999994</v>
      </c>
      <c r="D1585" s="76">
        <v>70.431976000000006</v>
      </c>
      <c r="E1585" s="76">
        <v>71.112365999999994</v>
      </c>
      <c r="F1585" s="76">
        <v>46.065185999999997</v>
      </c>
      <c r="G1585" s="79">
        <v>747500</v>
      </c>
    </row>
    <row r="1586" spans="1:7" x14ac:dyDescent="0.25">
      <c r="A1586" s="1" t="s">
        <v>1709</v>
      </c>
      <c r="B1586" s="76">
        <v>71.544014000000004</v>
      </c>
      <c r="C1586" s="76">
        <v>71.880554000000004</v>
      </c>
      <c r="D1586" s="76">
        <v>71.346480999999997</v>
      </c>
      <c r="E1586" s="76">
        <v>71.478172000000001</v>
      </c>
      <c r="F1586" s="76">
        <v>46.302154999999999</v>
      </c>
      <c r="G1586" s="79">
        <v>912800</v>
      </c>
    </row>
    <row r="1587" spans="1:7" x14ac:dyDescent="0.25">
      <c r="A1587" s="1" t="s">
        <v>1710</v>
      </c>
      <c r="B1587" s="76">
        <v>71.368431000000001</v>
      </c>
      <c r="C1587" s="76">
        <v>71.434273000000005</v>
      </c>
      <c r="D1587" s="76">
        <v>70.783141999999998</v>
      </c>
      <c r="E1587" s="76">
        <v>70.783141999999998</v>
      </c>
      <c r="F1587" s="76">
        <v>45.851928999999998</v>
      </c>
      <c r="G1587" s="79">
        <v>857000</v>
      </c>
    </row>
    <row r="1588" spans="1:7" x14ac:dyDescent="0.25">
      <c r="A1588" s="1" t="s">
        <v>1711</v>
      </c>
      <c r="B1588" s="76">
        <v>70.709983999999906</v>
      </c>
      <c r="C1588" s="76">
        <v>70.966048999999998</v>
      </c>
      <c r="D1588" s="76">
        <v>69.927161999999996</v>
      </c>
      <c r="E1588" s="76">
        <v>70.117378000000002</v>
      </c>
      <c r="F1588" s="76">
        <v>45.420653999999999</v>
      </c>
      <c r="G1588" s="79">
        <v>885700</v>
      </c>
    </row>
    <row r="1589" spans="1:7" x14ac:dyDescent="0.25">
      <c r="A1589" s="1" t="s">
        <v>1712</v>
      </c>
      <c r="B1589" s="76">
        <v>70.746566999999999</v>
      </c>
      <c r="C1589" s="76">
        <v>70.812407999999905</v>
      </c>
      <c r="D1589" s="76">
        <v>69.758895999999993</v>
      </c>
      <c r="E1589" s="76">
        <v>69.985694999999893</v>
      </c>
      <c r="F1589" s="76">
        <v>45.335353999999903</v>
      </c>
      <c r="G1589" s="79">
        <v>950300</v>
      </c>
    </row>
    <row r="1590" spans="1:7" x14ac:dyDescent="0.25">
      <c r="A1590" s="1" t="s">
        <v>1713</v>
      </c>
      <c r="B1590" s="76">
        <v>69.985694999999893</v>
      </c>
      <c r="C1590" s="76">
        <v>70.746566999999999</v>
      </c>
      <c r="D1590" s="76">
        <v>69.319930999999997</v>
      </c>
      <c r="E1590" s="76">
        <v>70.102744999999999</v>
      </c>
      <c r="F1590" s="76">
        <v>45.411186000000001</v>
      </c>
      <c r="G1590" s="79">
        <v>1049600</v>
      </c>
    </row>
    <row r="1591" spans="1:7" x14ac:dyDescent="0.25">
      <c r="A1591" s="1" t="s">
        <v>1714</v>
      </c>
      <c r="B1591" s="76">
        <v>70.102744999999999</v>
      </c>
      <c r="C1591" s="76">
        <v>70.724616999999995</v>
      </c>
      <c r="D1591" s="76">
        <v>69.722313</v>
      </c>
      <c r="E1591" s="76">
        <v>69.971062000000003</v>
      </c>
      <c r="F1591" s="76">
        <v>45.325885999999997</v>
      </c>
      <c r="G1591" s="79">
        <v>588300</v>
      </c>
    </row>
    <row r="1592" spans="1:7" x14ac:dyDescent="0.25">
      <c r="A1592" s="1" t="s">
        <v>1715</v>
      </c>
      <c r="B1592" s="76">
        <v>69.978378000000006</v>
      </c>
      <c r="C1592" s="76">
        <v>70.219802999999999</v>
      </c>
      <c r="D1592" s="76">
        <v>68.617583999999994</v>
      </c>
      <c r="E1592" s="76">
        <v>68.771216999999993</v>
      </c>
      <c r="F1592" s="76">
        <v>44.548645</v>
      </c>
      <c r="G1592" s="79">
        <v>1319600</v>
      </c>
    </row>
    <row r="1593" spans="1:7" x14ac:dyDescent="0.25">
      <c r="A1593" s="1" t="s">
        <v>1716</v>
      </c>
      <c r="B1593" s="76">
        <v>68.112769999999998</v>
      </c>
      <c r="C1593" s="76">
        <v>68.120086999999998</v>
      </c>
      <c r="D1593" s="76">
        <v>66.869040999999996</v>
      </c>
      <c r="E1593" s="76">
        <v>67.556747000000001</v>
      </c>
      <c r="F1593" s="76">
        <v>43.761944</v>
      </c>
      <c r="G1593" s="79">
        <v>2029300</v>
      </c>
    </row>
    <row r="1594" spans="1:7" x14ac:dyDescent="0.25">
      <c r="A1594" s="1" t="s">
        <v>1717</v>
      </c>
      <c r="B1594" s="76">
        <v>67.081206999999907</v>
      </c>
      <c r="C1594" s="76">
        <v>67.549430999999998</v>
      </c>
      <c r="D1594" s="76">
        <v>66.722717000000003</v>
      </c>
      <c r="E1594" s="76">
        <v>67.059258</v>
      </c>
      <c r="F1594" s="76">
        <v>43.819305</v>
      </c>
      <c r="G1594" s="79">
        <v>878500</v>
      </c>
    </row>
    <row r="1595" spans="1:7" x14ac:dyDescent="0.25">
      <c r="A1595" s="1" t="s">
        <v>1718</v>
      </c>
      <c r="B1595" s="76">
        <v>67.381164999999996</v>
      </c>
      <c r="C1595" s="76">
        <v>68.661475999999993</v>
      </c>
      <c r="D1595" s="76">
        <v>67.344581999999903</v>
      </c>
      <c r="E1595" s="76">
        <v>67.842078999999998</v>
      </c>
      <c r="F1595" s="76">
        <v>44.330849000000001</v>
      </c>
      <c r="G1595" s="79">
        <v>1019200</v>
      </c>
    </row>
    <row r="1596" spans="1:7" x14ac:dyDescent="0.25">
      <c r="A1596" s="1" t="s">
        <v>1719</v>
      </c>
      <c r="B1596" s="76">
        <v>68.244461000000001</v>
      </c>
      <c r="C1596" s="76">
        <v>69.341872999999893</v>
      </c>
      <c r="D1596" s="76">
        <v>68.200568999999902</v>
      </c>
      <c r="E1596" s="76">
        <v>68.624900999999994</v>
      </c>
      <c r="F1596" s="76">
        <v>44.842357999999997</v>
      </c>
      <c r="G1596" s="79">
        <v>573800</v>
      </c>
    </row>
    <row r="1597" spans="1:7" x14ac:dyDescent="0.25">
      <c r="A1597" s="1" t="s">
        <v>1720</v>
      </c>
      <c r="B1597" s="76">
        <v>68.632216999999997</v>
      </c>
      <c r="C1597" s="76">
        <v>69.224815000000007</v>
      </c>
      <c r="D1597" s="76">
        <v>68.441993999999994</v>
      </c>
      <c r="E1597" s="76">
        <v>68.902907999999996</v>
      </c>
      <c r="F1597" s="76">
        <v>45.024020999999998</v>
      </c>
      <c r="G1597" s="79">
        <v>734900</v>
      </c>
    </row>
    <row r="1598" spans="1:7" x14ac:dyDescent="0.25">
      <c r="A1598" s="1" t="s">
        <v>1721</v>
      </c>
      <c r="B1598" s="76">
        <v>68.902907999999996</v>
      </c>
      <c r="C1598" s="76">
        <v>69.041916000000001</v>
      </c>
      <c r="D1598" s="76">
        <v>68.156669999999906</v>
      </c>
      <c r="E1598" s="76">
        <v>68.690742</v>
      </c>
      <c r="F1598" s="76">
        <v>44.885387000000001</v>
      </c>
      <c r="G1598" s="79">
        <v>795100</v>
      </c>
    </row>
    <row r="1599" spans="1:7" x14ac:dyDescent="0.25">
      <c r="A1599" s="1" t="s">
        <v>1722</v>
      </c>
      <c r="B1599" s="76">
        <v>68.690742</v>
      </c>
      <c r="C1599" s="76">
        <v>69.575989000000007</v>
      </c>
      <c r="D1599" s="76">
        <v>68.668792999999994</v>
      </c>
      <c r="E1599" s="76">
        <v>69.239448999999993</v>
      </c>
      <c r="F1599" s="76">
        <v>45.243930999999897</v>
      </c>
      <c r="G1599" s="79">
        <v>871700</v>
      </c>
    </row>
    <row r="1600" spans="1:7" x14ac:dyDescent="0.25">
      <c r="A1600" s="1" t="s">
        <v>1723</v>
      </c>
      <c r="B1600" s="76">
        <v>69.210181999999904</v>
      </c>
      <c r="C1600" s="76">
        <v>69.714995999999999</v>
      </c>
      <c r="D1600" s="76">
        <v>68.559051999999994</v>
      </c>
      <c r="E1600" s="76">
        <v>68.8078</v>
      </c>
      <c r="F1600" s="76">
        <v>44.961875999999997</v>
      </c>
      <c r="G1600" s="79">
        <v>1463100</v>
      </c>
    </row>
    <row r="1601" spans="1:7" x14ac:dyDescent="0.25">
      <c r="A1601" s="1" t="s">
        <v>1724</v>
      </c>
      <c r="B1601" s="76">
        <v>68.624900999999994</v>
      </c>
      <c r="C1601" s="76">
        <v>68.632216999999997</v>
      </c>
      <c r="D1601" s="76">
        <v>67.439689999999999</v>
      </c>
      <c r="E1601" s="76">
        <v>67.776229999999998</v>
      </c>
      <c r="F1601" s="76">
        <v>44.287799999999997</v>
      </c>
      <c r="G1601" s="79">
        <v>1337700</v>
      </c>
    </row>
    <row r="1602" spans="1:7" x14ac:dyDescent="0.25">
      <c r="A1602" s="1" t="s">
        <v>1725</v>
      </c>
      <c r="B1602" s="76">
        <v>67.666488999999999</v>
      </c>
      <c r="C1602" s="76">
        <v>69.268715</v>
      </c>
      <c r="D1602" s="76">
        <v>67.198265000000006</v>
      </c>
      <c r="E1602" s="76">
        <v>69.166290000000004</v>
      </c>
      <c r="F1602" s="76">
        <v>45.196135999999903</v>
      </c>
      <c r="G1602" s="79">
        <v>1035900</v>
      </c>
    </row>
    <row r="1603" spans="1:7" x14ac:dyDescent="0.25">
      <c r="A1603" s="1" t="s">
        <v>1726</v>
      </c>
      <c r="B1603" s="76">
        <v>69.246764999999996</v>
      </c>
      <c r="C1603" s="76">
        <v>69.400406000000004</v>
      </c>
      <c r="D1603" s="76">
        <v>68.339568999999997</v>
      </c>
      <c r="E1603" s="76">
        <v>68.383468999999906</v>
      </c>
      <c r="F1603" s="76">
        <v>44.684604999999998</v>
      </c>
      <c r="G1603" s="79">
        <v>630500</v>
      </c>
    </row>
    <row r="1604" spans="1:7" x14ac:dyDescent="0.25">
      <c r="A1604" s="1" t="s">
        <v>1727</v>
      </c>
      <c r="B1604" s="76">
        <v>67.454323000000002</v>
      </c>
      <c r="C1604" s="76">
        <v>68.105452999999997</v>
      </c>
      <c r="D1604" s="76">
        <v>66.986091999999999</v>
      </c>
      <c r="E1604" s="76">
        <v>67.059258</v>
      </c>
      <c r="F1604" s="76">
        <v>43.819305</v>
      </c>
      <c r="G1604" s="79">
        <v>1069500</v>
      </c>
    </row>
    <row r="1605" spans="1:7" x14ac:dyDescent="0.25">
      <c r="A1605" s="1" t="s">
        <v>1728</v>
      </c>
      <c r="B1605" s="76">
        <v>67.329948000000002</v>
      </c>
      <c r="C1605" s="76">
        <v>67.820128999999994</v>
      </c>
      <c r="D1605" s="76">
        <v>65.881362999999993</v>
      </c>
      <c r="E1605" s="76">
        <v>66.02037</v>
      </c>
      <c r="F1605" s="76">
        <v>43.140456999999998</v>
      </c>
      <c r="G1605" s="79">
        <v>842900</v>
      </c>
    </row>
    <row r="1606" spans="1:7" x14ac:dyDescent="0.25">
      <c r="A1606" s="1" t="s">
        <v>1729</v>
      </c>
      <c r="B1606" s="76">
        <v>66.093536</v>
      </c>
      <c r="C1606" s="76">
        <v>66.773926000000003</v>
      </c>
      <c r="D1606" s="76">
        <v>65.413139000000001</v>
      </c>
      <c r="E1606" s="76">
        <v>65.822838000000004</v>
      </c>
      <c r="F1606" s="76">
        <v>43.011386999999999</v>
      </c>
      <c r="G1606" s="79">
        <v>1209700</v>
      </c>
    </row>
    <row r="1607" spans="1:7" x14ac:dyDescent="0.25">
      <c r="A1607" s="1" t="s">
        <v>1730</v>
      </c>
      <c r="B1607" s="76">
        <v>65.405822999999998</v>
      </c>
      <c r="C1607" s="76">
        <v>65.596039000000005</v>
      </c>
      <c r="D1607" s="76">
        <v>64.549835000000002</v>
      </c>
      <c r="E1607" s="76">
        <v>65.383872999999994</v>
      </c>
      <c r="F1607" s="76">
        <v>42.724536999999998</v>
      </c>
      <c r="G1607" s="79">
        <v>1541500</v>
      </c>
    </row>
    <row r="1608" spans="1:7" x14ac:dyDescent="0.25">
      <c r="A1608" s="1" t="s">
        <v>1731</v>
      </c>
      <c r="B1608" s="76">
        <v>65.991104000000007</v>
      </c>
      <c r="C1608" s="76">
        <v>66.386177000000004</v>
      </c>
      <c r="D1608" s="76">
        <v>65.061965999999998</v>
      </c>
      <c r="E1608" s="76">
        <v>65.200974000000002</v>
      </c>
      <c r="F1608" s="76">
        <v>42.605034000000003</v>
      </c>
      <c r="G1608" s="79">
        <v>928000</v>
      </c>
    </row>
    <row r="1609" spans="1:7" x14ac:dyDescent="0.25">
      <c r="A1609" s="1" t="s">
        <v>1732</v>
      </c>
      <c r="B1609" s="76">
        <v>64.747375000000005</v>
      </c>
      <c r="C1609" s="76">
        <v>65.910629</v>
      </c>
      <c r="D1609" s="76">
        <v>64.425467999999995</v>
      </c>
      <c r="E1609" s="76">
        <v>64.996116999999998</v>
      </c>
      <c r="F1609" s="76">
        <v>42.471160999999903</v>
      </c>
      <c r="G1609" s="79">
        <v>1030300</v>
      </c>
    </row>
    <row r="1610" spans="1:7" x14ac:dyDescent="0.25">
      <c r="A1610" s="1" t="s">
        <v>1733</v>
      </c>
      <c r="B1610" s="76">
        <v>65.405822999999998</v>
      </c>
      <c r="C1610" s="76">
        <v>66.817824999999999</v>
      </c>
      <c r="D1610" s="76">
        <v>65.361923000000004</v>
      </c>
      <c r="E1610" s="76">
        <v>66.569076999999993</v>
      </c>
      <c r="F1610" s="76">
        <v>43.498989000000002</v>
      </c>
      <c r="G1610" s="79">
        <v>826900</v>
      </c>
    </row>
    <row r="1611" spans="1:7" x14ac:dyDescent="0.25">
      <c r="A1611" s="1" t="s">
        <v>1734</v>
      </c>
      <c r="B1611" s="76">
        <v>66.795876000000007</v>
      </c>
      <c r="C1611" s="76">
        <v>67.110466000000002</v>
      </c>
      <c r="D1611" s="76">
        <v>66.393493999999905</v>
      </c>
      <c r="E1611" s="76">
        <v>66.971466000000007</v>
      </c>
      <c r="F1611" s="76">
        <v>43.761947999999997</v>
      </c>
      <c r="G1611" s="79">
        <v>505800</v>
      </c>
    </row>
    <row r="1612" spans="1:7" x14ac:dyDescent="0.25">
      <c r="A1612" s="1" t="s">
        <v>1735</v>
      </c>
      <c r="B1612" s="76">
        <v>66.898300000000006</v>
      </c>
      <c r="C1612" s="76">
        <v>67.359215000000006</v>
      </c>
      <c r="D1612" s="76">
        <v>66.591025999999999</v>
      </c>
      <c r="E1612" s="76">
        <v>66.700767999999997</v>
      </c>
      <c r="F1612" s="76">
        <v>43.585051999999997</v>
      </c>
      <c r="G1612" s="79">
        <v>881000</v>
      </c>
    </row>
    <row r="1613" spans="1:7" x14ac:dyDescent="0.25">
      <c r="A1613" s="1" t="s">
        <v>1736</v>
      </c>
      <c r="B1613" s="76">
        <v>67.103149000000002</v>
      </c>
      <c r="C1613" s="76">
        <v>67.490905999999995</v>
      </c>
      <c r="D1613" s="76">
        <v>64.440093999999903</v>
      </c>
      <c r="E1613" s="76">
        <v>65.764304999999993</v>
      </c>
      <c r="F1613" s="76">
        <v>42.973121999999996</v>
      </c>
      <c r="G1613" s="79">
        <v>3055600</v>
      </c>
    </row>
    <row r="1614" spans="1:7" x14ac:dyDescent="0.25">
      <c r="A1614" s="1" t="s">
        <v>1737</v>
      </c>
      <c r="B1614" s="76">
        <v>65.991104000000007</v>
      </c>
      <c r="C1614" s="76">
        <v>66.810508999999996</v>
      </c>
      <c r="D1614" s="76">
        <v>65.888679999999994</v>
      </c>
      <c r="E1614" s="76">
        <v>66.810508999999996</v>
      </c>
      <c r="F1614" s="76">
        <v>43.656768999999997</v>
      </c>
      <c r="G1614" s="79">
        <v>1345500</v>
      </c>
    </row>
    <row r="1615" spans="1:7" x14ac:dyDescent="0.25">
      <c r="A1615" s="1" t="s">
        <v>1738</v>
      </c>
      <c r="B1615" s="76">
        <v>67.227524000000003</v>
      </c>
      <c r="C1615" s="76">
        <v>68.573684999999998</v>
      </c>
      <c r="D1615" s="76">
        <v>67.110466000000002</v>
      </c>
      <c r="E1615" s="76">
        <v>68.346885999999998</v>
      </c>
      <c r="F1615" s="76">
        <v>44.660702000000001</v>
      </c>
      <c r="G1615" s="79">
        <v>1307600</v>
      </c>
    </row>
    <row r="1616" spans="1:7" x14ac:dyDescent="0.25">
      <c r="A1616" s="1" t="s">
        <v>1739</v>
      </c>
      <c r="B1616" s="76">
        <v>68.163985999999994</v>
      </c>
      <c r="C1616" s="76">
        <v>70.000320000000002</v>
      </c>
      <c r="D1616" s="76">
        <v>68.017662000000001</v>
      </c>
      <c r="E1616" s="76">
        <v>68.361519000000001</v>
      </c>
      <c r="F1616" s="76">
        <v>44.670260999999897</v>
      </c>
      <c r="G1616" s="79">
        <v>1442500</v>
      </c>
    </row>
    <row r="1617" spans="1:7" x14ac:dyDescent="0.25">
      <c r="A1617" s="1" t="s">
        <v>1740</v>
      </c>
      <c r="B1617" s="76">
        <v>68.405417999999997</v>
      </c>
      <c r="C1617" s="76">
        <v>68.763908000000001</v>
      </c>
      <c r="D1617" s="76">
        <v>67.637230000000002</v>
      </c>
      <c r="E1617" s="76">
        <v>68.024979000000002</v>
      </c>
      <c r="F1617" s="76">
        <v>44.450358999999999</v>
      </c>
      <c r="G1617" s="79">
        <v>998500</v>
      </c>
    </row>
    <row r="1618" spans="1:7" x14ac:dyDescent="0.25">
      <c r="A1618" s="1" t="s">
        <v>1741</v>
      </c>
      <c r="B1618" s="76">
        <v>68.024979000000002</v>
      </c>
      <c r="C1618" s="76">
        <v>69.115073999999893</v>
      </c>
      <c r="D1618" s="76">
        <v>67.739654999999999</v>
      </c>
      <c r="E1618" s="76">
        <v>68.654160000000005</v>
      </c>
      <c r="F1618" s="76">
        <v>44.861480999999998</v>
      </c>
      <c r="G1618" s="79">
        <v>806600</v>
      </c>
    </row>
    <row r="1619" spans="1:7" x14ac:dyDescent="0.25">
      <c r="A1619" s="1" t="s">
        <v>1742</v>
      </c>
      <c r="B1619" s="76">
        <v>68.405417999999997</v>
      </c>
      <c r="C1619" s="76">
        <v>68.815117000000001</v>
      </c>
      <c r="D1619" s="76">
        <v>67.498221999999998</v>
      </c>
      <c r="E1619" s="76">
        <v>68.515159999999995</v>
      </c>
      <c r="F1619" s="76">
        <v>44.770653000000003</v>
      </c>
      <c r="G1619" s="79">
        <v>1259100</v>
      </c>
    </row>
    <row r="1620" spans="1:7" x14ac:dyDescent="0.25">
      <c r="A1620" s="1" t="s">
        <v>1743</v>
      </c>
      <c r="B1620" s="76">
        <v>68.771216999999993</v>
      </c>
      <c r="C1620" s="76">
        <v>69.458931000000007</v>
      </c>
      <c r="D1620" s="76">
        <v>68.581001000000001</v>
      </c>
      <c r="E1620" s="76">
        <v>69.246764999999996</v>
      </c>
      <c r="F1620" s="76">
        <v>45.248711</v>
      </c>
      <c r="G1620" s="79">
        <v>953500</v>
      </c>
    </row>
    <row r="1621" spans="1:7" x14ac:dyDescent="0.25">
      <c r="A1621" s="1" t="s">
        <v>1744</v>
      </c>
      <c r="B1621" s="76">
        <v>69.356505999999996</v>
      </c>
      <c r="C1621" s="76">
        <v>69.458931000000007</v>
      </c>
      <c r="D1621" s="76">
        <v>68.793166999999997</v>
      </c>
      <c r="E1621" s="76">
        <v>69.173606999999905</v>
      </c>
      <c r="F1621" s="76">
        <v>45.200904999999999</v>
      </c>
      <c r="G1621" s="79">
        <v>1189900</v>
      </c>
    </row>
    <row r="1622" spans="1:7" x14ac:dyDescent="0.25">
      <c r="A1622" s="1" t="s">
        <v>1745</v>
      </c>
      <c r="B1622" s="76">
        <v>69.173606999999905</v>
      </c>
      <c r="C1622" s="76">
        <v>69.605255</v>
      </c>
      <c r="D1622" s="76">
        <v>68.361519000000001</v>
      </c>
      <c r="E1622" s="76">
        <v>68.610268000000005</v>
      </c>
      <c r="F1622" s="76">
        <v>44.832786999999897</v>
      </c>
      <c r="G1622" s="79">
        <v>1335300</v>
      </c>
    </row>
    <row r="1623" spans="1:7" x14ac:dyDescent="0.25">
      <c r="A1623" s="1" t="s">
        <v>1746</v>
      </c>
      <c r="B1623" s="76">
        <v>68.361519000000001</v>
      </c>
      <c r="C1623" s="76">
        <v>68.866332999999997</v>
      </c>
      <c r="D1623" s="76">
        <v>67.783546000000001</v>
      </c>
      <c r="E1623" s="76">
        <v>68.376152000000005</v>
      </c>
      <c r="F1623" s="76">
        <v>44.679809999999897</v>
      </c>
      <c r="G1623" s="79">
        <v>1087800</v>
      </c>
    </row>
    <row r="1624" spans="1:7" x14ac:dyDescent="0.25">
      <c r="A1624" s="1" t="s">
        <v>1747</v>
      </c>
      <c r="B1624" s="76">
        <v>68.412734999999998</v>
      </c>
      <c r="C1624" s="76">
        <v>69.290665000000004</v>
      </c>
      <c r="D1624" s="76">
        <v>68.361519000000001</v>
      </c>
      <c r="E1624" s="76">
        <v>69.246764999999996</v>
      </c>
      <c r="F1624" s="76">
        <v>45.248711</v>
      </c>
      <c r="G1624" s="79">
        <v>987700</v>
      </c>
    </row>
    <row r="1625" spans="1:7" x14ac:dyDescent="0.25">
      <c r="A1625" s="1" t="s">
        <v>1748</v>
      </c>
      <c r="B1625" s="76">
        <v>69.239448999999993</v>
      </c>
      <c r="C1625" s="76">
        <v>69.678413000000006</v>
      </c>
      <c r="D1625" s="76">
        <v>69.078498999999994</v>
      </c>
      <c r="E1625" s="76">
        <v>69.407721999999893</v>
      </c>
      <c r="F1625" s="76">
        <v>45.353889000000002</v>
      </c>
      <c r="G1625" s="79">
        <v>1067400</v>
      </c>
    </row>
    <row r="1626" spans="1:7" x14ac:dyDescent="0.25">
      <c r="A1626" s="1" t="s">
        <v>1749</v>
      </c>
      <c r="B1626" s="76">
        <v>69.795470999999907</v>
      </c>
      <c r="C1626" s="76">
        <v>70.373443999999907</v>
      </c>
      <c r="D1626" s="76">
        <v>69.575989000000007</v>
      </c>
      <c r="E1626" s="76">
        <v>70.212485999999998</v>
      </c>
      <c r="F1626" s="76">
        <v>45.879761000000002</v>
      </c>
      <c r="G1626" s="79">
        <v>1519200</v>
      </c>
    </row>
    <row r="1627" spans="1:7" x14ac:dyDescent="0.25">
      <c r="A1627" s="1" t="s">
        <v>1750</v>
      </c>
      <c r="B1627" s="76">
        <v>70.088119999999904</v>
      </c>
      <c r="C1627" s="76">
        <v>70.256385999999907</v>
      </c>
      <c r="D1627" s="76">
        <v>68.932175000000001</v>
      </c>
      <c r="E1627" s="76">
        <v>69.195556999999994</v>
      </c>
      <c r="F1627" s="76">
        <v>45.215247999999903</v>
      </c>
      <c r="G1627" s="79">
        <v>1184100</v>
      </c>
    </row>
    <row r="1628" spans="1:7" x14ac:dyDescent="0.25">
      <c r="A1628" s="1" t="s">
        <v>1751</v>
      </c>
      <c r="B1628" s="76">
        <v>69.195556999999994</v>
      </c>
      <c r="C1628" s="76">
        <v>70.073486000000003</v>
      </c>
      <c r="D1628" s="76">
        <v>69.056549000000004</v>
      </c>
      <c r="E1628" s="76">
        <v>69.780838000000003</v>
      </c>
      <c r="F1628" s="76">
        <v>45.597709999999999</v>
      </c>
      <c r="G1628" s="79">
        <v>821000</v>
      </c>
    </row>
    <row r="1629" spans="1:7" x14ac:dyDescent="0.25">
      <c r="A1629" s="1" t="s">
        <v>1752</v>
      </c>
      <c r="B1629" s="76">
        <v>69.780838000000003</v>
      </c>
      <c r="C1629" s="76">
        <v>69.934478999999996</v>
      </c>
      <c r="D1629" s="76">
        <v>69.173606999999905</v>
      </c>
      <c r="E1629" s="76">
        <v>69.261398</v>
      </c>
      <c r="F1629" s="76">
        <v>45.258285999999998</v>
      </c>
      <c r="G1629" s="79">
        <v>801800</v>
      </c>
    </row>
    <row r="1630" spans="1:7" x14ac:dyDescent="0.25">
      <c r="A1630" s="1" t="s">
        <v>1753</v>
      </c>
      <c r="B1630" s="76">
        <v>69.268715</v>
      </c>
      <c r="C1630" s="76">
        <v>69.268715</v>
      </c>
      <c r="D1630" s="76">
        <v>68.427368000000001</v>
      </c>
      <c r="E1630" s="76">
        <v>68.771216999999993</v>
      </c>
      <c r="F1630" s="76">
        <v>44.937984</v>
      </c>
      <c r="G1630" s="79">
        <v>754700</v>
      </c>
    </row>
    <row r="1631" spans="1:7" x14ac:dyDescent="0.25">
      <c r="A1631" s="1" t="s">
        <v>1754</v>
      </c>
      <c r="B1631" s="76">
        <v>68.990700000000004</v>
      </c>
      <c r="C1631" s="76">
        <v>69.693046999999893</v>
      </c>
      <c r="D1631" s="76">
        <v>68.778533999999993</v>
      </c>
      <c r="E1631" s="76">
        <v>69.539412999999996</v>
      </c>
      <c r="F1631" s="76">
        <v>45.439957</v>
      </c>
      <c r="G1631" s="79">
        <v>611000</v>
      </c>
    </row>
    <row r="1632" spans="1:7" x14ac:dyDescent="0.25">
      <c r="A1632" s="1" t="s">
        <v>1755</v>
      </c>
      <c r="B1632" s="76">
        <v>69.546722000000003</v>
      </c>
      <c r="C1632" s="76">
        <v>69.941794999999999</v>
      </c>
      <c r="D1632" s="76">
        <v>69.290665000000004</v>
      </c>
      <c r="E1632" s="76">
        <v>69.612572</v>
      </c>
      <c r="F1632" s="76">
        <v>45.487755</v>
      </c>
      <c r="G1632" s="79">
        <v>703600</v>
      </c>
    </row>
    <row r="1633" spans="1:7" x14ac:dyDescent="0.25">
      <c r="A1633" s="1" t="s">
        <v>1756</v>
      </c>
      <c r="B1633" s="76">
        <v>69.685730000000007</v>
      </c>
      <c r="C1633" s="76">
        <v>70.146644999999907</v>
      </c>
      <c r="D1633" s="76">
        <v>69.612572</v>
      </c>
      <c r="E1633" s="76">
        <v>69.934478999999996</v>
      </c>
      <c r="F1633" s="76">
        <v>45.698096999999997</v>
      </c>
      <c r="G1633" s="79">
        <v>558800</v>
      </c>
    </row>
    <row r="1634" spans="1:7" x14ac:dyDescent="0.25">
      <c r="A1634" s="1" t="s">
        <v>1757</v>
      </c>
      <c r="B1634" s="76">
        <v>70.227118999999902</v>
      </c>
      <c r="C1634" s="76">
        <v>71.170897999999994</v>
      </c>
      <c r="D1634" s="76">
        <v>70.058852999999999</v>
      </c>
      <c r="E1634" s="76">
        <v>71.112365999999994</v>
      </c>
      <c r="F1634" s="76">
        <v>46.467776999999998</v>
      </c>
      <c r="G1634" s="79">
        <v>1209400</v>
      </c>
    </row>
    <row r="1635" spans="1:7" x14ac:dyDescent="0.25">
      <c r="A1635" s="1" t="s">
        <v>1758</v>
      </c>
      <c r="B1635" s="76">
        <v>71.112365999999994</v>
      </c>
      <c r="C1635" s="76">
        <v>71.778130000000004</v>
      </c>
      <c r="D1635" s="76">
        <v>70.746566999999999</v>
      </c>
      <c r="E1635" s="76">
        <v>71.368431000000001</v>
      </c>
      <c r="F1635" s="76">
        <v>46.635089999999998</v>
      </c>
      <c r="G1635" s="79">
        <v>1076300</v>
      </c>
    </row>
    <row r="1636" spans="1:7" x14ac:dyDescent="0.25">
      <c r="A1636" s="1" t="s">
        <v>1759</v>
      </c>
      <c r="B1636" s="76">
        <v>71.946404000000001</v>
      </c>
      <c r="C1636" s="76">
        <v>72.502426</v>
      </c>
      <c r="D1636" s="76">
        <v>71.683021999999994</v>
      </c>
      <c r="E1636" s="76">
        <v>72.421951000000007</v>
      </c>
      <c r="F1636" s="76">
        <v>47.323521</v>
      </c>
      <c r="G1636" s="79">
        <v>432600</v>
      </c>
    </row>
    <row r="1637" spans="1:7" x14ac:dyDescent="0.25">
      <c r="A1637" s="1" t="s">
        <v>1760</v>
      </c>
      <c r="B1637" s="76">
        <v>72.239043999999893</v>
      </c>
      <c r="C1637" s="76">
        <v>72.597533999999996</v>
      </c>
      <c r="D1637" s="76">
        <v>71.639129999999994</v>
      </c>
      <c r="E1637" s="76">
        <v>72.282944000000001</v>
      </c>
      <c r="F1637" s="76">
        <v>47.232677000000002</v>
      </c>
      <c r="G1637" s="79">
        <v>747300</v>
      </c>
    </row>
    <row r="1638" spans="1:7" x14ac:dyDescent="0.25">
      <c r="A1638" s="1" t="s">
        <v>1761</v>
      </c>
      <c r="B1638" s="76">
        <v>72.282944000000001</v>
      </c>
      <c r="C1638" s="76">
        <v>72.465843000000007</v>
      </c>
      <c r="D1638" s="76">
        <v>71.756186999999997</v>
      </c>
      <c r="E1638" s="76">
        <v>72.100037</v>
      </c>
      <c r="F1638" s="76">
        <v>47.113163</v>
      </c>
      <c r="G1638" s="79">
        <v>760300</v>
      </c>
    </row>
    <row r="1639" spans="1:7" x14ac:dyDescent="0.25">
      <c r="A1639" s="1" t="s">
        <v>1762</v>
      </c>
      <c r="B1639" s="76">
        <v>72.063461000000004</v>
      </c>
      <c r="C1639" s="76">
        <v>72.882857999999999</v>
      </c>
      <c r="D1639" s="76">
        <v>71.756186999999997</v>
      </c>
      <c r="E1639" s="76">
        <v>71.953719999999905</v>
      </c>
      <c r="F1639" s="76">
        <v>47.017550999999997</v>
      </c>
      <c r="G1639" s="79">
        <v>632400</v>
      </c>
    </row>
    <row r="1640" spans="1:7" x14ac:dyDescent="0.25">
      <c r="A1640" s="1" t="s">
        <v>1763</v>
      </c>
      <c r="B1640" s="76">
        <v>71.961037000000005</v>
      </c>
      <c r="C1640" s="76">
        <v>72.904808000000003</v>
      </c>
      <c r="D1640" s="76">
        <v>71.961037000000005</v>
      </c>
      <c r="E1640" s="76">
        <v>72.904808000000003</v>
      </c>
      <c r="F1640" s="76">
        <v>47.639026999999999</v>
      </c>
      <c r="G1640" s="79">
        <v>527500</v>
      </c>
    </row>
    <row r="1641" spans="1:7" x14ac:dyDescent="0.25">
      <c r="A1641" s="1" t="s">
        <v>1764</v>
      </c>
      <c r="B1641" s="76">
        <v>72.926757999999893</v>
      </c>
      <c r="C1641" s="76">
        <v>73.160872999999995</v>
      </c>
      <c r="D1641" s="76">
        <v>72.575583999999907</v>
      </c>
      <c r="E1641" s="76">
        <v>72.897491000000002</v>
      </c>
      <c r="F1641" s="76">
        <v>47.634253999999999</v>
      </c>
      <c r="G1641" s="79">
        <v>687800</v>
      </c>
    </row>
    <row r="1642" spans="1:7" x14ac:dyDescent="0.25">
      <c r="A1642" s="1" t="s">
        <v>1765</v>
      </c>
      <c r="B1642" s="76">
        <v>73.160872999999995</v>
      </c>
      <c r="C1642" s="76">
        <v>73.570571999999999</v>
      </c>
      <c r="D1642" s="76">
        <v>73.043816000000007</v>
      </c>
      <c r="E1642" s="76">
        <v>73.570571999999999</v>
      </c>
      <c r="F1642" s="76">
        <v>48.074069999999999</v>
      </c>
      <c r="G1642" s="79">
        <v>947800</v>
      </c>
    </row>
    <row r="1643" spans="1:7" x14ac:dyDescent="0.25">
      <c r="A1643" s="1" t="s">
        <v>1766</v>
      </c>
      <c r="B1643" s="76">
        <v>73.585205000000002</v>
      </c>
      <c r="C1643" s="76">
        <v>73.980277999999998</v>
      </c>
      <c r="D1643" s="76">
        <v>72.860916000000003</v>
      </c>
      <c r="E1643" s="76">
        <v>73.007232999999999</v>
      </c>
      <c r="F1643" s="76">
        <v>47.705967000000001</v>
      </c>
      <c r="G1643" s="79">
        <v>1395500</v>
      </c>
    </row>
    <row r="1644" spans="1:7" x14ac:dyDescent="0.25">
      <c r="A1644" s="1" t="s">
        <v>1767</v>
      </c>
      <c r="B1644" s="76">
        <v>72.999915999999999</v>
      </c>
      <c r="C1644" s="76">
        <v>73.102340999999996</v>
      </c>
      <c r="D1644" s="76">
        <v>72.421951000000007</v>
      </c>
      <c r="E1644" s="76">
        <v>72.568268000000003</v>
      </c>
      <c r="F1644" s="76">
        <v>47.419139999999999</v>
      </c>
      <c r="G1644" s="79">
        <v>1642900</v>
      </c>
    </row>
    <row r="1645" spans="1:7" x14ac:dyDescent="0.25">
      <c r="A1645" s="1" t="s">
        <v>1768</v>
      </c>
      <c r="B1645" s="76">
        <v>72.707274999999996</v>
      </c>
      <c r="C1645" s="76">
        <v>72.999915999999999</v>
      </c>
      <c r="D1645" s="76">
        <v>72.546317999999999</v>
      </c>
      <c r="E1645" s="76">
        <v>72.743857999999904</v>
      </c>
      <c r="F1645" s="76">
        <v>47.533870999999998</v>
      </c>
      <c r="G1645" s="79">
        <v>848300</v>
      </c>
    </row>
    <row r="1646" spans="1:7" x14ac:dyDescent="0.25">
      <c r="A1646" s="1" t="s">
        <v>1769</v>
      </c>
      <c r="B1646" s="76">
        <v>72.838965999999999</v>
      </c>
      <c r="C1646" s="76">
        <v>73.577888000000002</v>
      </c>
      <c r="D1646" s="76">
        <v>72.736542</v>
      </c>
      <c r="E1646" s="76">
        <v>73.577888000000002</v>
      </c>
      <c r="F1646" s="76">
        <v>48.078850000000003</v>
      </c>
      <c r="G1646" s="79">
        <v>757900</v>
      </c>
    </row>
    <row r="1647" spans="1:7" x14ac:dyDescent="0.25">
      <c r="A1647" s="1" t="s">
        <v>1770</v>
      </c>
      <c r="B1647" s="76">
        <v>73.804687999999999</v>
      </c>
      <c r="C1647" s="76">
        <v>75.728820999999996</v>
      </c>
      <c r="D1647" s="76">
        <v>73.687629999999999</v>
      </c>
      <c r="E1647" s="76">
        <v>75.721503999999996</v>
      </c>
      <c r="F1647" s="76">
        <v>49.479579999999999</v>
      </c>
      <c r="G1647" s="79">
        <v>915100</v>
      </c>
    </row>
    <row r="1648" spans="1:7" x14ac:dyDescent="0.25">
      <c r="A1648" s="1" t="s">
        <v>1771</v>
      </c>
      <c r="B1648" s="76">
        <v>75.801979000000003</v>
      </c>
      <c r="C1648" s="76">
        <v>76.072677999999996</v>
      </c>
      <c r="D1648" s="76">
        <v>75.099639999999994</v>
      </c>
      <c r="E1648" s="76">
        <v>75.136215000000007</v>
      </c>
      <c r="F1648" s="76">
        <v>49.097136999999996</v>
      </c>
      <c r="G1648" s="79">
        <v>907800</v>
      </c>
    </row>
    <row r="1649" spans="1:7" x14ac:dyDescent="0.25">
      <c r="A1649" s="1" t="s">
        <v>1772</v>
      </c>
      <c r="B1649" s="76">
        <v>75.502021999999997</v>
      </c>
      <c r="C1649" s="76">
        <v>75.545920999999893</v>
      </c>
      <c r="D1649" s="76">
        <v>74.002219999999994</v>
      </c>
      <c r="E1649" s="76">
        <v>74.338759999999994</v>
      </c>
      <c r="F1649" s="76">
        <v>48.576034999999997</v>
      </c>
      <c r="G1649" s="79">
        <v>1134600</v>
      </c>
    </row>
    <row r="1650" spans="1:7" x14ac:dyDescent="0.25">
      <c r="A1650" s="1" t="s">
        <v>1773</v>
      </c>
      <c r="B1650" s="76">
        <v>74.777725000000004</v>
      </c>
      <c r="C1650" s="76">
        <v>75.575180000000003</v>
      </c>
      <c r="D1650" s="76">
        <v>74.528983999999994</v>
      </c>
      <c r="E1650" s="76">
        <v>75.575180000000003</v>
      </c>
      <c r="F1650" s="76">
        <v>49.383972</v>
      </c>
      <c r="G1650" s="79">
        <v>790200</v>
      </c>
    </row>
    <row r="1651" spans="1:7" x14ac:dyDescent="0.25">
      <c r="A1651" s="1" t="s">
        <v>1774</v>
      </c>
      <c r="B1651" s="76">
        <v>75.758087000000003</v>
      </c>
      <c r="C1651" s="76">
        <v>75.97757</v>
      </c>
      <c r="D1651" s="76">
        <v>74.989898999999994</v>
      </c>
      <c r="E1651" s="76">
        <v>75.684921000000003</v>
      </c>
      <c r="F1651" s="76">
        <v>49.455661999999997</v>
      </c>
      <c r="G1651" s="79">
        <v>826900</v>
      </c>
    </row>
    <row r="1652" spans="1:7" x14ac:dyDescent="0.25">
      <c r="A1652" s="1" t="s">
        <v>1775</v>
      </c>
      <c r="B1652" s="76">
        <v>75.692238000000003</v>
      </c>
      <c r="C1652" s="76">
        <v>76.592117000000002</v>
      </c>
      <c r="D1652" s="76">
        <v>75.245956000000007</v>
      </c>
      <c r="E1652" s="76">
        <v>75.809296000000003</v>
      </c>
      <c r="F1652" s="76">
        <v>49.536941999999897</v>
      </c>
      <c r="G1652" s="79">
        <v>852500</v>
      </c>
    </row>
    <row r="1653" spans="1:7" x14ac:dyDescent="0.25">
      <c r="A1653" s="1" t="s">
        <v>1776</v>
      </c>
      <c r="B1653" s="76">
        <v>76.138518999999903</v>
      </c>
      <c r="C1653" s="76">
        <v>76.672591999999995</v>
      </c>
      <c r="D1653" s="76">
        <v>75.443489</v>
      </c>
      <c r="E1653" s="76">
        <v>75.531288000000004</v>
      </c>
      <c r="F1653" s="76">
        <v>49.355288999999999</v>
      </c>
      <c r="G1653" s="79">
        <v>549700</v>
      </c>
    </row>
    <row r="1654" spans="1:7" x14ac:dyDescent="0.25">
      <c r="A1654" s="1" t="s">
        <v>1777</v>
      </c>
      <c r="B1654" s="76">
        <v>76.262893999999903</v>
      </c>
      <c r="C1654" s="76">
        <v>77.031081999999998</v>
      </c>
      <c r="D1654" s="76">
        <v>75.940986999999893</v>
      </c>
      <c r="E1654" s="76">
        <v>76.892075000000006</v>
      </c>
      <c r="F1654" s="76">
        <v>50.244484</v>
      </c>
      <c r="G1654" s="79">
        <v>835300</v>
      </c>
    </row>
    <row r="1655" spans="1:7" x14ac:dyDescent="0.25">
      <c r="A1655" s="1" t="s">
        <v>1778</v>
      </c>
      <c r="B1655" s="76">
        <v>76.892075000000006</v>
      </c>
      <c r="C1655" s="76">
        <v>77.074981999999906</v>
      </c>
      <c r="D1655" s="76">
        <v>75.962935999999999</v>
      </c>
      <c r="E1655" s="76">
        <v>76.489693000000003</v>
      </c>
      <c r="F1655" s="76">
        <v>49.981537000000003</v>
      </c>
      <c r="G1655" s="79">
        <v>764000</v>
      </c>
    </row>
    <row r="1656" spans="1:7" x14ac:dyDescent="0.25">
      <c r="A1656" s="1" t="s">
        <v>1779</v>
      </c>
      <c r="B1656" s="76">
        <v>76.489693000000003</v>
      </c>
      <c r="C1656" s="76">
        <v>76.965239999999994</v>
      </c>
      <c r="D1656" s="76">
        <v>75.494704999999996</v>
      </c>
      <c r="E1656" s="76">
        <v>76.277527000000006</v>
      </c>
      <c r="F1656" s="76">
        <v>49.842906999999997</v>
      </c>
      <c r="G1656" s="79">
        <v>1161500</v>
      </c>
    </row>
    <row r="1657" spans="1:7" x14ac:dyDescent="0.25">
      <c r="A1657" s="1" t="s">
        <v>1780</v>
      </c>
      <c r="B1657" s="76">
        <v>75.904404</v>
      </c>
      <c r="C1657" s="76">
        <v>75.911719999999903</v>
      </c>
      <c r="D1657" s="76">
        <v>74.624092000000005</v>
      </c>
      <c r="E1657" s="76">
        <v>74.719200000000001</v>
      </c>
      <c r="F1657" s="76">
        <v>48.824638</v>
      </c>
      <c r="G1657" s="79">
        <v>1250900</v>
      </c>
    </row>
    <row r="1658" spans="1:7" x14ac:dyDescent="0.25">
      <c r="A1658" s="1" t="s">
        <v>1781</v>
      </c>
      <c r="B1658" s="76">
        <v>74.558243000000004</v>
      </c>
      <c r="C1658" s="76">
        <v>75.911719999999903</v>
      </c>
      <c r="D1658" s="76">
        <v>73.929062000000002</v>
      </c>
      <c r="E1658" s="76">
        <v>75.721503999999996</v>
      </c>
      <c r="F1658" s="76">
        <v>49.479579999999999</v>
      </c>
      <c r="G1658" s="79">
        <v>1769400</v>
      </c>
    </row>
    <row r="1659" spans="1:7" x14ac:dyDescent="0.25">
      <c r="A1659" s="1" t="s">
        <v>1782</v>
      </c>
      <c r="B1659" s="76">
        <v>76.453109999999995</v>
      </c>
      <c r="C1659" s="76">
        <v>77.499313000000001</v>
      </c>
      <c r="D1659" s="76">
        <v>76.453109999999995</v>
      </c>
      <c r="E1659" s="76">
        <v>76.994499000000005</v>
      </c>
      <c r="F1659" s="76">
        <v>50.311405000000001</v>
      </c>
      <c r="G1659" s="79">
        <v>1405400</v>
      </c>
    </row>
    <row r="1660" spans="1:7" x14ac:dyDescent="0.25">
      <c r="A1660" s="1" t="s">
        <v>1783</v>
      </c>
      <c r="B1660" s="76">
        <v>76.409217999999996</v>
      </c>
      <c r="C1660" s="76">
        <v>76.453109999999995</v>
      </c>
      <c r="D1660" s="76">
        <v>74.997208000000001</v>
      </c>
      <c r="E1660" s="76">
        <v>75.333748</v>
      </c>
      <c r="F1660" s="76">
        <v>49.603270999999999</v>
      </c>
      <c r="G1660" s="79">
        <v>1077100</v>
      </c>
    </row>
    <row r="1661" spans="1:7" x14ac:dyDescent="0.25">
      <c r="A1661" s="1" t="s">
        <v>1784</v>
      </c>
      <c r="B1661" s="76">
        <v>75.319121999999993</v>
      </c>
      <c r="C1661" s="76">
        <v>75.333748</v>
      </c>
      <c r="D1661" s="76">
        <v>73.994904000000005</v>
      </c>
      <c r="E1661" s="76">
        <v>74.068068999999994</v>
      </c>
      <c r="F1661" s="76">
        <v>48.769894000000001</v>
      </c>
      <c r="G1661" s="79">
        <v>975500</v>
      </c>
    </row>
    <row r="1662" spans="1:7" x14ac:dyDescent="0.25">
      <c r="A1662" s="1" t="s">
        <v>1785</v>
      </c>
      <c r="B1662" s="76">
        <v>74.733832999999905</v>
      </c>
      <c r="C1662" s="76">
        <v>74.755782999999994</v>
      </c>
      <c r="D1662" s="76">
        <v>73.621787999999995</v>
      </c>
      <c r="E1662" s="76">
        <v>74.038803000000001</v>
      </c>
      <c r="F1662" s="76">
        <v>48.750617999999903</v>
      </c>
      <c r="G1662" s="79">
        <v>1324700</v>
      </c>
    </row>
    <row r="1663" spans="1:7" x14ac:dyDescent="0.25">
      <c r="A1663" s="1" t="s">
        <v>1786</v>
      </c>
      <c r="B1663" s="76">
        <v>74.111960999999994</v>
      </c>
      <c r="C1663" s="76">
        <v>74.258285999999998</v>
      </c>
      <c r="D1663" s="76">
        <v>73.351089000000002</v>
      </c>
      <c r="E1663" s="76">
        <v>73.921745000000001</v>
      </c>
      <c r="F1663" s="76">
        <v>48.673549999999999</v>
      </c>
      <c r="G1663" s="79">
        <v>777500</v>
      </c>
    </row>
    <row r="1664" spans="1:7" x14ac:dyDescent="0.25">
      <c r="A1664" s="1" t="s">
        <v>1787</v>
      </c>
      <c r="B1664" s="76">
        <v>73.819321000000002</v>
      </c>
      <c r="C1664" s="76">
        <v>74.082702999999995</v>
      </c>
      <c r="D1664" s="76">
        <v>73.087715000000003</v>
      </c>
      <c r="E1664" s="76">
        <v>73.343772999999999</v>
      </c>
      <c r="F1664" s="76">
        <v>48.29298</v>
      </c>
      <c r="G1664" s="79">
        <v>696300</v>
      </c>
    </row>
    <row r="1665" spans="1:7" x14ac:dyDescent="0.25">
      <c r="A1665" s="1" t="s">
        <v>1788</v>
      </c>
      <c r="B1665" s="76">
        <v>73.965644999999995</v>
      </c>
      <c r="C1665" s="76">
        <v>74.982581999999994</v>
      </c>
      <c r="D1665" s="76">
        <v>73.753478999999999</v>
      </c>
      <c r="E1665" s="76">
        <v>74.250968999999998</v>
      </c>
      <c r="F1665" s="76">
        <v>48.890326999999999</v>
      </c>
      <c r="G1665" s="79">
        <v>777000</v>
      </c>
    </row>
    <row r="1666" spans="1:7" x14ac:dyDescent="0.25">
      <c r="A1666" s="1" t="s">
        <v>1789</v>
      </c>
      <c r="B1666" s="76">
        <v>75.136215000000007</v>
      </c>
      <c r="C1666" s="76">
        <v>75.333748</v>
      </c>
      <c r="D1666" s="76">
        <v>74.346076999999994</v>
      </c>
      <c r="E1666" s="76">
        <v>74.719200000000001</v>
      </c>
      <c r="F1666" s="76">
        <v>49.198615999999902</v>
      </c>
      <c r="G1666" s="79">
        <v>632600</v>
      </c>
    </row>
    <row r="1667" spans="1:7" x14ac:dyDescent="0.25">
      <c r="A1667" s="1" t="s">
        <v>1790</v>
      </c>
      <c r="B1667" s="76">
        <v>75.962935999999999</v>
      </c>
      <c r="C1667" s="76">
        <v>75.962935999999999</v>
      </c>
      <c r="D1667" s="76">
        <v>74.777725000000004</v>
      </c>
      <c r="E1667" s="76">
        <v>75.114265000000003</v>
      </c>
      <c r="F1667" s="76">
        <v>49.458759000000001</v>
      </c>
      <c r="G1667" s="79">
        <v>760300</v>
      </c>
    </row>
    <row r="1668" spans="1:7" x14ac:dyDescent="0.25">
      <c r="A1668" s="1" t="s">
        <v>1791</v>
      </c>
      <c r="B1668" s="76">
        <v>75.355698000000004</v>
      </c>
      <c r="C1668" s="76">
        <v>75.838561999999996</v>
      </c>
      <c r="D1668" s="76">
        <v>74.536300999999995</v>
      </c>
      <c r="E1668" s="76">
        <v>75.721503999999996</v>
      </c>
      <c r="F1668" s="76">
        <v>49.858604</v>
      </c>
      <c r="G1668" s="79">
        <v>1481800</v>
      </c>
    </row>
    <row r="1669" spans="1:7" x14ac:dyDescent="0.25">
      <c r="A1669" s="1" t="s">
        <v>1792</v>
      </c>
      <c r="B1669" s="76">
        <v>75.838561999999996</v>
      </c>
      <c r="C1669" s="76">
        <v>76.218993999999995</v>
      </c>
      <c r="D1669" s="76">
        <v>75.567863000000003</v>
      </c>
      <c r="E1669" s="76">
        <v>76.197051999999999</v>
      </c>
      <c r="F1669" s="76">
        <v>50.171706999999998</v>
      </c>
      <c r="G1669" s="79">
        <v>879500</v>
      </c>
    </row>
    <row r="1670" spans="1:7" x14ac:dyDescent="0.25">
      <c r="A1670" s="1" t="s">
        <v>1793</v>
      </c>
      <c r="B1670" s="76">
        <v>76.153152000000006</v>
      </c>
      <c r="C1670" s="76">
        <v>76.892075000000006</v>
      </c>
      <c r="D1670" s="76">
        <v>75.889770999999996</v>
      </c>
      <c r="E1670" s="76">
        <v>76.855498999999995</v>
      </c>
      <c r="F1670" s="76">
        <v>50.605286</v>
      </c>
      <c r="G1670" s="79">
        <v>835200</v>
      </c>
    </row>
    <row r="1671" spans="1:7" x14ac:dyDescent="0.25">
      <c r="A1671" s="1" t="s">
        <v>1794</v>
      </c>
      <c r="B1671" s="76">
        <v>76.892075000000006</v>
      </c>
      <c r="C1671" s="76">
        <v>77.491996999999998</v>
      </c>
      <c r="D1671" s="76">
        <v>76.511641999999995</v>
      </c>
      <c r="E1671" s="76">
        <v>77.491996999999998</v>
      </c>
      <c r="F1671" s="76">
        <v>51.024380000000001</v>
      </c>
      <c r="G1671" s="79">
        <v>1044500</v>
      </c>
    </row>
    <row r="1672" spans="1:7" x14ac:dyDescent="0.25">
      <c r="A1672" s="1" t="s">
        <v>1795</v>
      </c>
      <c r="B1672" s="76">
        <v>77.916327999999993</v>
      </c>
      <c r="C1672" s="76">
        <v>77.916327999999993</v>
      </c>
      <c r="D1672" s="76">
        <v>76.409217999999996</v>
      </c>
      <c r="E1672" s="76">
        <v>76.482376000000002</v>
      </c>
      <c r="F1672" s="76">
        <v>50.359589</v>
      </c>
      <c r="G1672" s="79">
        <v>569500</v>
      </c>
    </row>
    <row r="1673" spans="1:7" x14ac:dyDescent="0.25">
      <c r="A1673" s="1" t="s">
        <v>1796</v>
      </c>
      <c r="B1673" s="76">
        <v>76.489693000000003</v>
      </c>
      <c r="C1673" s="76">
        <v>76.782332999999994</v>
      </c>
      <c r="D1673" s="76">
        <v>75.728820999999996</v>
      </c>
      <c r="E1673" s="76">
        <v>76.716492000000002</v>
      </c>
      <c r="F1673" s="76">
        <v>50.513740999999897</v>
      </c>
      <c r="G1673" s="79">
        <v>700000</v>
      </c>
    </row>
    <row r="1674" spans="1:7" x14ac:dyDescent="0.25">
      <c r="A1674" s="1" t="s">
        <v>1797</v>
      </c>
      <c r="B1674" s="76">
        <v>76.716492000000002</v>
      </c>
      <c r="C1674" s="76">
        <v>76.899390999999994</v>
      </c>
      <c r="D1674" s="76">
        <v>76.270209999999906</v>
      </c>
      <c r="E1674" s="76">
        <v>76.504326000000006</v>
      </c>
      <c r="F1674" s="76">
        <v>50.374023000000001</v>
      </c>
      <c r="G1674" s="79">
        <v>361200</v>
      </c>
    </row>
    <row r="1675" spans="1:7" x14ac:dyDescent="0.25">
      <c r="A1675" s="1" t="s">
        <v>1798</v>
      </c>
      <c r="B1675" s="76">
        <v>76.504326000000006</v>
      </c>
      <c r="C1675" s="76">
        <v>77.806586999999993</v>
      </c>
      <c r="D1675" s="76">
        <v>76.226310999999995</v>
      </c>
      <c r="E1675" s="76">
        <v>77.477363999999994</v>
      </c>
      <c r="F1675" s="76">
        <v>51.014728999999903</v>
      </c>
      <c r="G1675" s="79">
        <v>845500</v>
      </c>
    </row>
    <row r="1676" spans="1:7" x14ac:dyDescent="0.25">
      <c r="A1676" s="1" t="s">
        <v>1799</v>
      </c>
      <c r="B1676" s="76">
        <v>77.221298000000004</v>
      </c>
      <c r="C1676" s="76">
        <v>77.543212999999994</v>
      </c>
      <c r="D1676" s="76">
        <v>76.723807999999906</v>
      </c>
      <c r="E1676" s="76">
        <v>77.250564999999995</v>
      </c>
      <c r="F1676" s="76">
        <v>50.865386999999998</v>
      </c>
      <c r="G1676" s="79">
        <v>568000</v>
      </c>
    </row>
    <row r="1677" spans="1:7" x14ac:dyDescent="0.25">
      <c r="A1677" s="1" t="s">
        <v>1800</v>
      </c>
      <c r="B1677" s="76">
        <v>77.352988999999994</v>
      </c>
      <c r="C1677" s="76">
        <v>77.974861000000004</v>
      </c>
      <c r="D1677" s="76">
        <v>77.118874000000005</v>
      </c>
      <c r="E1677" s="76">
        <v>77.733429000000001</v>
      </c>
      <c r="F1677" s="76">
        <v>51.183349999999997</v>
      </c>
      <c r="G1677" s="79">
        <v>509100</v>
      </c>
    </row>
    <row r="1678" spans="1:7" x14ac:dyDescent="0.25">
      <c r="A1678" s="1" t="s">
        <v>1801</v>
      </c>
      <c r="B1678" s="76">
        <v>77.916327999999993</v>
      </c>
      <c r="C1678" s="76">
        <v>78.069969</v>
      </c>
      <c r="D1678" s="76">
        <v>77.360305999999994</v>
      </c>
      <c r="E1678" s="76">
        <v>77.484679999999997</v>
      </c>
      <c r="F1678" s="76">
        <v>51.019542999999999</v>
      </c>
      <c r="G1678" s="79">
        <v>495000</v>
      </c>
    </row>
    <row r="1679" spans="1:7" x14ac:dyDescent="0.25">
      <c r="A1679" s="1" t="s">
        <v>1802</v>
      </c>
      <c r="B1679" s="76">
        <v>77.770004</v>
      </c>
      <c r="C1679" s="76">
        <v>78.077286000000001</v>
      </c>
      <c r="D1679" s="76">
        <v>77.535895999999994</v>
      </c>
      <c r="E1679" s="76">
        <v>77.762694999999994</v>
      </c>
      <c r="F1679" s="76">
        <v>51.202618000000001</v>
      </c>
      <c r="G1679" s="79">
        <v>566700</v>
      </c>
    </row>
    <row r="1680" spans="1:7" x14ac:dyDescent="0.25">
      <c r="A1680" s="1" t="s">
        <v>1803</v>
      </c>
      <c r="B1680" s="76">
        <v>77.762694999999994</v>
      </c>
      <c r="C1680" s="76">
        <v>78.34066</v>
      </c>
      <c r="D1680" s="76">
        <v>77.609054999999998</v>
      </c>
      <c r="E1680" s="76">
        <v>78.230919</v>
      </c>
      <c r="F1680" s="76">
        <v>51.510921000000003</v>
      </c>
      <c r="G1680" s="79">
        <v>553900</v>
      </c>
    </row>
    <row r="1681" spans="1:7" x14ac:dyDescent="0.25">
      <c r="A1681" s="1" t="s">
        <v>1804</v>
      </c>
      <c r="B1681" s="76">
        <v>78.062652999999997</v>
      </c>
      <c r="C1681" s="76">
        <v>78.245552000000004</v>
      </c>
      <c r="D1681" s="76">
        <v>77.565155000000004</v>
      </c>
      <c r="E1681" s="76">
        <v>77.616371000000001</v>
      </c>
      <c r="F1681" s="76">
        <v>51.106262000000001</v>
      </c>
      <c r="G1681" s="79">
        <v>683300</v>
      </c>
    </row>
    <row r="1682" spans="1:7" x14ac:dyDescent="0.25">
      <c r="A1682" s="1" t="s">
        <v>1805</v>
      </c>
      <c r="B1682" s="76">
        <v>77.374938999999998</v>
      </c>
      <c r="C1682" s="76">
        <v>77.499313000000001</v>
      </c>
      <c r="D1682" s="76">
        <v>76.679908999999995</v>
      </c>
      <c r="E1682" s="76">
        <v>76.826233000000002</v>
      </c>
      <c r="F1682" s="76">
        <v>50.585987000000003</v>
      </c>
      <c r="G1682" s="79">
        <v>605900</v>
      </c>
    </row>
    <row r="1683" spans="1:7" x14ac:dyDescent="0.25">
      <c r="A1683" s="1" t="s">
        <v>1806</v>
      </c>
      <c r="B1683" s="76">
        <v>77.096930999999998</v>
      </c>
      <c r="C1683" s="76">
        <v>78.223602</v>
      </c>
      <c r="D1683" s="76">
        <v>76.028778000000003</v>
      </c>
      <c r="E1683" s="76">
        <v>78.069969</v>
      </c>
      <c r="F1683" s="76">
        <v>51.404933999999997</v>
      </c>
      <c r="G1683" s="79">
        <v>823000</v>
      </c>
    </row>
    <row r="1684" spans="1:7" x14ac:dyDescent="0.25">
      <c r="A1684" s="1" t="s">
        <v>1807</v>
      </c>
      <c r="B1684" s="76">
        <v>77.733429000000001</v>
      </c>
      <c r="C1684" s="76">
        <v>78.208977000000004</v>
      </c>
      <c r="D1684" s="76">
        <v>77.045715000000001</v>
      </c>
      <c r="E1684" s="76">
        <v>78.208977000000004</v>
      </c>
      <c r="F1684" s="76">
        <v>51.496468</v>
      </c>
      <c r="G1684" s="79">
        <v>884000</v>
      </c>
    </row>
    <row r="1685" spans="1:7" x14ac:dyDescent="0.25">
      <c r="A1685" s="1" t="s">
        <v>1808</v>
      </c>
      <c r="B1685" s="76">
        <v>77.770004</v>
      </c>
      <c r="C1685" s="76">
        <v>78.984482</v>
      </c>
      <c r="D1685" s="76">
        <v>77.557838000000004</v>
      </c>
      <c r="E1685" s="76">
        <v>78.779624999999996</v>
      </c>
      <c r="F1685" s="76">
        <v>51.872199999999999</v>
      </c>
      <c r="G1685" s="79">
        <v>1018500</v>
      </c>
    </row>
    <row r="1686" spans="1:7" x14ac:dyDescent="0.25">
      <c r="A1686" s="1" t="s">
        <v>1809</v>
      </c>
      <c r="B1686" s="76">
        <v>78.903998999999999</v>
      </c>
      <c r="C1686" s="76">
        <v>80.550117</v>
      </c>
      <c r="D1686" s="76">
        <v>78.538200000000003</v>
      </c>
      <c r="E1686" s="76">
        <v>80.096526999999995</v>
      </c>
      <c r="F1686" s="76">
        <v>52.739303999999997</v>
      </c>
      <c r="G1686" s="79">
        <v>920500</v>
      </c>
    </row>
    <row r="1687" spans="1:7" x14ac:dyDescent="0.25">
      <c r="A1687" s="1" t="s">
        <v>1810</v>
      </c>
      <c r="B1687" s="76">
        <v>79.745354000000006</v>
      </c>
      <c r="C1687" s="76">
        <v>79.913619999999995</v>
      </c>
      <c r="D1687" s="76">
        <v>79.306388999999996</v>
      </c>
      <c r="E1687" s="76">
        <v>79.745354000000006</v>
      </c>
      <c r="F1687" s="76">
        <v>52.508082999999999</v>
      </c>
      <c r="G1687" s="79">
        <v>529700</v>
      </c>
    </row>
    <row r="1688" spans="1:7" x14ac:dyDescent="0.25">
      <c r="A1688" s="1" t="s">
        <v>1811</v>
      </c>
      <c r="B1688" s="76">
        <v>80.323325999999994</v>
      </c>
      <c r="C1688" s="76">
        <v>80.476958999999994</v>
      </c>
      <c r="D1688" s="76">
        <v>79.972153000000006</v>
      </c>
      <c r="E1688" s="76">
        <v>80.308693000000005</v>
      </c>
      <c r="F1688" s="76">
        <v>52.879004999999999</v>
      </c>
      <c r="G1688" s="79">
        <v>1268700</v>
      </c>
    </row>
    <row r="1689" spans="1:7" x14ac:dyDescent="0.25">
      <c r="A1689" s="1" t="s">
        <v>1812</v>
      </c>
      <c r="B1689" s="76">
        <v>80.308693000000005</v>
      </c>
      <c r="C1689" s="76">
        <v>80.381850999999997</v>
      </c>
      <c r="D1689" s="76">
        <v>79.299071999999995</v>
      </c>
      <c r="E1689" s="76">
        <v>80.184318999999903</v>
      </c>
      <c r="F1689" s="76">
        <v>52.797122999999999</v>
      </c>
      <c r="G1689" s="79">
        <v>707800</v>
      </c>
    </row>
    <row r="1690" spans="1:7" x14ac:dyDescent="0.25">
      <c r="A1690" s="1" t="s">
        <v>1813</v>
      </c>
      <c r="B1690" s="76">
        <v>80.374534999999995</v>
      </c>
      <c r="C1690" s="76">
        <v>81.332938999999996</v>
      </c>
      <c r="D1690" s="76">
        <v>80.301376000000005</v>
      </c>
      <c r="E1690" s="76">
        <v>81.084198000000001</v>
      </c>
      <c r="F1690" s="76">
        <v>53.389640999999997</v>
      </c>
      <c r="G1690" s="79">
        <v>916700</v>
      </c>
    </row>
    <row r="1691" spans="1:7" x14ac:dyDescent="0.25">
      <c r="A1691" s="1" t="s">
        <v>1814</v>
      </c>
      <c r="B1691" s="76">
        <v>81.391471999999993</v>
      </c>
      <c r="C1691" s="76">
        <v>81.925545</v>
      </c>
      <c r="D1691" s="76">
        <v>80.235527000000005</v>
      </c>
      <c r="E1691" s="76">
        <v>80.323325999999994</v>
      </c>
      <c r="F1691" s="76">
        <v>52.888652999999998</v>
      </c>
      <c r="G1691" s="79">
        <v>1027800</v>
      </c>
    </row>
    <row r="1692" spans="1:7" x14ac:dyDescent="0.25">
      <c r="A1692" s="1" t="s">
        <v>1815</v>
      </c>
      <c r="B1692" s="76">
        <v>80.396484000000001</v>
      </c>
      <c r="C1692" s="76">
        <v>81.098831000000004</v>
      </c>
      <c r="D1692" s="76">
        <v>79.481971999999999</v>
      </c>
      <c r="E1692" s="76">
        <v>79.818511999999998</v>
      </c>
      <c r="F1692" s="76">
        <v>52.556263000000001</v>
      </c>
      <c r="G1692" s="79">
        <v>1249100</v>
      </c>
    </row>
    <row r="1693" spans="1:7" x14ac:dyDescent="0.25">
      <c r="A1693" s="1" t="s">
        <v>1816</v>
      </c>
      <c r="B1693" s="76">
        <v>79.818511999999998</v>
      </c>
      <c r="C1693" s="76">
        <v>80.359900999999994</v>
      </c>
      <c r="D1693" s="76">
        <v>79.328331000000006</v>
      </c>
      <c r="E1693" s="76">
        <v>80.220894000000001</v>
      </c>
      <c r="F1693" s="76">
        <v>52.821201000000002</v>
      </c>
      <c r="G1693" s="79">
        <v>679500</v>
      </c>
    </row>
    <row r="1694" spans="1:7" x14ac:dyDescent="0.25">
      <c r="A1694" s="1" t="s">
        <v>1817</v>
      </c>
      <c r="B1694" s="76">
        <v>80.403801000000001</v>
      </c>
      <c r="C1694" s="76">
        <v>80.411118000000002</v>
      </c>
      <c r="D1694" s="76">
        <v>79.467338999999996</v>
      </c>
      <c r="E1694" s="76">
        <v>79.869727999999995</v>
      </c>
      <c r="F1694" s="76">
        <v>52.589962</v>
      </c>
      <c r="G1694" s="79">
        <v>792800</v>
      </c>
    </row>
    <row r="1695" spans="1:7" x14ac:dyDescent="0.25">
      <c r="A1695" s="1" t="s">
        <v>1818</v>
      </c>
      <c r="B1695" s="76">
        <v>79.869727999999995</v>
      </c>
      <c r="C1695" s="76">
        <v>80.279426999999998</v>
      </c>
      <c r="D1695" s="76">
        <v>79.321021999999999</v>
      </c>
      <c r="E1695" s="76">
        <v>79.686820999999995</v>
      </c>
      <c r="F1695" s="76">
        <v>52.469555</v>
      </c>
      <c r="G1695" s="79">
        <v>1038000</v>
      </c>
    </row>
    <row r="1696" spans="1:7" x14ac:dyDescent="0.25">
      <c r="A1696" s="1" t="s">
        <v>1819</v>
      </c>
      <c r="B1696" s="76">
        <v>79.686820999999995</v>
      </c>
      <c r="C1696" s="76">
        <v>81.062247999999997</v>
      </c>
      <c r="D1696" s="76">
        <v>79.299071999999995</v>
      </c>
      <c r="E1696" s="76">
        <v>81.032981999999905</v>
      </c>
      <c r="F1696" s="76">
        <v>53.355888</v>
      </c>
      <c r="G1696" s="79">
        <v>843900</v>
      </c>
    </row>
    <row r="1697" spans="1:7" x14ac:dyDescent="0.25">
      <c r="A1697" s="1" t="s">
        <v>1820</v>
      </c>
      <c r="B1697" s="76">
        <v>81.215889000000004</v>
      </c>
      <c r="C1697" s="76">
        <v>81.369522000000003</v>
      </c>
      <c r="D1697" s="76">
        <v>79.913619999999995</v>
      </c>
      <c r="E1697" s="76">
        <v>80.133101999999994</v>
      </c>
      <c r="F1697" s="76">
        <v>52.763390000000001</v>
      </c>
      <c r="G1697" s="79">
        <v>865900</v>
      </c>
    </row>
    <row r="1698" spans="1:7" x14ac:dyDescent="0.25">
      <c r="A1698" s="1" t="s">
        <v>1821</v>
      </c>
      <c r="B1698" s="76">
        <v>80.996398999999997</v>
      </c>
      <c r="C1698" s="76">
        <v>80.996398999999997</v>
      </c>
      <c r="D1698" s="76">
        <v>79.738037000000006</v>
      </c>
      <c r="E1698" s="76">
        <v>79.745354000000006</v>
      </c>
      <c r="F1698" s="76">
        <v>52.508082999999999</v>
      </c>
      <c r="G1698" s="79">
        <v>1069800</v>
      </c>
    </row>
    <row r="1699" spans="1:7" x14ac:dyDescent="0.25">
      <c r="A1699" s="1" t="s">
        <v>1822</v>
      </c>
      <c r="B1699" s="76">
        <v>79.891669999999905</v>
      </c>
      <c r="C1699" s="76">
        <v>80.286743000000001</v>
      </c>
      <c r="D1699" s="76">
        <v>78.962531999999996</v>
      </c>
      <c r="E1699" s="76">
        <v>79.679503999999994</v>
      </c>
      <c r="F1699" s="76">
        <v>52.464721999999902</v>
      </c>
      <c r="G1699" s="79">
        <v>661500</v>
      </c>
    </row>
    <row r="1700" spans="1:7" x14ac:dyDescent="0.25">
      <c r="A1700" s="1" t="s">
        <v>1823</v>
      </c>
      <c r="B1700" s="76">
        <v>79.818511999999998</v>
      </c>
      <c r="C1700" s="76">
        <v>81.171988999999996</v>
      </c>
      <c r="D1700" s="76">
        <v>79.774612000000005</v>
      </c>
      <c r="E1700" s="76">
        <v>80.967140000000001</v>
      </c>
      <c r="F1700" s="76">
        <v>53.312564999999999</v>
      </c>
      <c r="G1700" s="79">
        <v>901300</v>
      </c>
    </row>
    <row r="1701" spans="1:7" x14ac:dyDescent="0.25">
      <c r="A1701" s="1" t="s">
        <v>1824</v>
      </c>
      <c r="B1701" s="76">
        <v>81.150040000000004</v>
      </c>
      <c r="C1701" s="76">
        <v>82.284035000000003</v>
      </c>
      <c r="D1701" s="76">
        <v>80.952506999999997</v>
      </c>
      <c r="E1701" s="76">
        <v>82.232818999999907</v>
      </c>
      <c r="F1701" s="76">
        <v>54.145938999999998</v>
      </c>
      <c r="G1701" s="79">
        <v>807000</v>
      </c>
    </row>
    <row r="1702" spans="1:7" x14ac:dyDescent="0.25">
      <c r="A1702" s="1" t="s">
        <v>1825</v>
      </c>
      <c r="B1702" s="76">
        <v>82.123076999999995</v>
      </c>
      <c r="C1702" s="76">
        <v>83.191231000000002</v>
      </c>
      <c r="D1702" s="76">
        <v>82.086501999999996</v>
      </c>
      <c r="E1702" s="76">
        <v>83.037589999999994</v>
      </c>
      <c r="F1702" s="76">
        <v>54.675837999999999</v>
      </c>
      <c r="G1702" s="79">
        <v>1175600</v>
      </c>
    </row>
    <row r="1703" spans="1:7" x14ac:dyDescent="0.25">
      <c r="A1703" s="1" t="s">
        <v>1826</v>
      </c>
      <c r="B1703" s="76">
        <v>83.037589999999994</v>
      </c>
      <c r="C1703" s="76">
        <v>83.037589999999994</v>
      </c>
      <c r="D1703" s="76">
        <v>81.918227999999999</v>
      </c>
      <c r="E1703" s="76">
        <v>81.932861000000003</v>
      </c>
      <c r="F1703" s="76">
        <v>53.948443999999903</v>
      </c>
      <c r="G1703" s="79">
        <v>1843300</v>
      </c>
    </row>
    <row r="1704" spans="1:7" x14ac:dyDescent="0.25">
      <c r="A1704" s="1" t="s">
        <v>1827</v>
      </c>
      <c r="B1704" s="76">
        <v>81.940178000000003</v>
      </c>
      <c r="C1704" s="76">
        <v>82.796157999999906</v>
      </c>
      <c r="D1704" s="76">
        <v>81.164672999999993</v>
      </c>
      <c r="E1704" s="76">
        <v>82.781525000000002</v>
      </c>
      <c r="F1704" s="76">
        <v>54.507252000000001</v>
      </c>
      <c r="G1704" s="79">
        <v>712800</v>
      </c>
    </row>
    <row r="1705" spans="1:7" x14ac:dyDescent="0.25">
      <c r="A1705" s="1" t="s">
        <v>1828</v>
      </c>
      <c r="B1705" s="76">
        <v>82.781525000000002</v>
      </c>
      <c r="C1705" s="76">
        <v>83.279021999999998</v>
      </c>
      <c r="D1705" s="76">
        <v>81.508529999999993</v>
      </c>
      <c r="E1705" s="76">
        <v>82.642525000000006</v>
      </c>
      <c r="F1705" s="76">
        <v>54.415706999999998</v>
      </c>
      <c r="G1705" s="79">
        <v>1214700</v>
      </c>
    </row>
    <row r="1706" spans="1:7" x14ac:dyDescent="0.25">
      <c r="A1706" s="1" t="s">
        <v>1829</v>
      </c>
      <c r="B1706" s="76">
        <v>82.825423999999998</v>
      </c>
      <c r="C1706" s="76">
        <v>83.403396999999998</v>
      </c>
      <c r="D1706" s="76">
        <v>81.940178000000003</v>
      </c>
      <c r="E1706" s="76">
        <v>82.503517000000002</v>
      </c>
      <c r="F1706" s="76">
        <v>54.324181000000003</v>
      </c>
      <c r="G1706" s="79">
        <v>880500</v>
      </c>
    </row>
    <row r="1707" spans="1:7" x14ac:dyDescent="0.25">
      <c r="A1707" s="1" t="s">
        <v>1830</v>
      </c>
      <c r="B1707" s="76">
        <v>82.671782999999905</v>
      </c>
      <c r="C1707" s="76">
        <v>82.891266000000002</v>
      </c>
      <c r="D1707" s="76">
        <v>81.932861000000003</v>
      </c>
      <c r="E1707" s="76">
        <v>82.305983999999995</v>
      </c>
      <c r="F1707" s="76">
        <v>54.194122</v>
      </c>
      <c r="G1707" s="79">
        <v>969200</v>
      </c>
    </row>
    <row r="1708" spans="1:7" x14ac:dyDescent="0.25">
      <c r="A1708" s="1" t="s">
        <v>1831</v>
      </c>
      <c r="B1708" s="76">
        <v>82.379142999999999</v>
      </c>
      <c r="C1708" s="76">
        <v>83.439980000000006</v>
      </c>
      <c r="D1708" s="76">
        <v>82.284035000000003</v>
      </c>
      <c r="E1708" s="76">
        <v>82.993697999999995</v>
      </c>
      <c r="F1708" s="76">
        <v>54.646931000000002</v>
      </c>
      <c r="G1708" s="79">
        <v>767100</v>
      </c>
    </row>
    <row r="1709" spans="1:7" x14ac:dyDescent="0.25">
      <c r="A1709" s="1" t="s">
        <v>1832</v>
      </c>
      <c r="B1709" s="76">
        <v>83.140015000000005</v>
      </c>
      <c r="C1709" s="76">
        <v>83.527771000000001</v>
      </c>
      <c r="D1709" s="76">
        <v>83.022956999999906</v>
      </c>
      <c r="E1709" s="76">
        <v>83.403396999999998</v>
      </c>
      <c r="F1709" s="76">
        <v>54.916705999999998</v>
      </c>
      <c r="G1709" s="79">
        <v>597000</v>
      </c>
    </row>
    <row r="1710" spans="1:7" x14ac:dyDescent="0.25">
      <c r="A1710" s="1" t="s">
        <v>1833</v>
      </c>
      <c r="B1710" s="76">
        <v>83.403396999999998</v>
      </c>
      <c r="C1710" s="76">
        <v>83.754570000000001</v>
      </c>
      <c r="D1710" s="76">
        <v>83.154647999999995</v>
      </c>
      <c r="E1710" s="76">
        <v>83.425345999999905</v>
      </c>
      <c r="F1710" s="76">
        <v>54.931156000000001</v>
      </c>
      <c r="G1710" s="79">
        <v>776800</v>
      </c>
    </row>
    <row r="1711" spans="1:7" x14ac:dyDescent="0.25">
      <c r="A1711" s="1" t="s">
        <v>1834</v>
      </c>
      <c r="B1711" s="76">
        <v>83.696037000000004</v>
      </c>
      <c r="C1711" s="76">
        <v>84.295958999999996</v>
      </c>
      <c r="D1711" s="76">
        <v>83.644829000000001</v>
      </c>
      <c r="E1711" s="76">
        <v>83.937468999999993</v>
      </c>
      <c r="F1711" s="76">
        <v>55.268374999999999</v>
      </c>
      <c r="G1711" s="79">
        <v>1075000</v>
      </c>
    </row>
    <row r="1712" spans="1:7" x14ac:dyDescent="0.25">
      <c r="A1712" s="1" t="s">
        <v>1835</v>
      </c>
      <c r="B1712" s="76">
        <v>84.025261</v>
      </c>
      <c r="C1712" s="76">
        <v>84.369118</v>
      </c>
      <c r="D1712" s="76">
        <v>83.498504999999994</v>
      </c>
      <c r="E1712" s="76">
        <v>83.944785999999993</v>
      </c>
      <c r="F1712" s="76">
        <v>55.27319</v>
      </c>
      <c r="G1712" s="79">
        <v>451900</v>
      </c>
    </row>
    <row r="1713" spans="1:7" x14ac:dyDescent="0.25">
      <c r="A1713" s="1" t="s">
        <v>1836</v>
      </c>
      <c r="B1713" s="76">
        <v>84.295958999999996</v>
      </c>
      <c r="C1713" s="76">
        <v>84.295958999999996</v>
      </c>
      <c r="D1713" s="76">
        <v>83.403396999999998</v>
      </c>
      <c r="E1713" s="76">
        <v>84.105743000000004</v>
      </c>
      <c r="F1713" s="76">
        <v>55.379173000000002</v>
      </c>
      <c r="G1713" s="79">
        <v>615900</v>
      </c>
    </row>
    <row r="1714" spans="1:7" x14ac:dyDescent="0.25">
      <c r="A1714" s="1" t="s">
        <v>1837</v>
      </c>
      <c r="B1714" s="76">
        <v>84.105743000000004</v>
      </c>
      <c r="C1714" s="76">
        <v>84.617867000000004</v>
      </c>
      <c r="D1714" s="76">
        <v>83.549720999999906</v>
      </c>
      <c r="E1714" s="76">
        <v>84.595917</v>
      </c>
      <c r="F1714" s="76">
        <v>55.701939000000003</v>
      </c>
      <c r="G1714" s="79">
        <v>695800</v>
      </c>
    </row>
    <row r="1715" spans="1:7" x14ac:dyDescent="0.25">
      <c r="A1715" s="1" t="s">
        <v>1838</v>
      </c>
      <c r="B1715" s="76">
        <v>84.449592999999993</v>
      </c>
      <c r="C1715" s="76">
        <v>84.610550000000003</v>
      </c>
      <c r="D1715" s="76">
        <v>83.608245999999994</v>
      </c>
      <c r="E1715" s="76">
        <v>84.208168000000001</v>
      </c>
      <c r="F1715" s="76">
        <v>55.446606000000003</v>
      </c>
      <c r="G1715" s="79">
        <v>684100</v>
      </c>
    </row>
    <row r="1716" spans="1:7" x14ac:dyDescent="0.25">
      <c r="A1716" s="1" t="s">
        <v>1839</v>
      </c>
      <c r="B1716" s="76">
        <v>84.383751000000004</v>
      </c>
      <c r="C1716" s="76">
        <v>85.093413999999996</v>
      </c>
      <c r="D1716" s="76">
        <v>83.915520000000001</v>
      </c>
      <c r="E1716" s="76">
        <v>84.683707999999996</v>
      </c>
      <c r="F1716" s="76">
        <v>55.759726999999998</v>
      </c>
      <c r="G1716" s="79">
        <v>1064700</v>
      </c>
    </row>
    <row r="1717" spans="1:7" x14ac:dyDescent="0.25">
      <c r="A1717" s="1" t="s">
        <v>1840</v>
      </c>
      <c r="B1717" s="76">
        <v>85.122672999999907</v>
      </c>
      <c r="C1717" s="76">
        <v>86.095718000000005</v>
      </c>
      <c r="D1717" s="76">
        <v>84.632499999999993</v>
      </c>
      <c r="E1717" s="76">
        <v>85.898178000000001</v>
      </c>
      <c r="F1717" s="76">
        <v>56.559418000000001</v>
      </c>
      <c r="G1717" s="79">
        <v>1098600</v>
      </c>
    </row>
    <row r="1718" spans="1:7" x14ac:dyDescent="0.25">
      <c r="A1718" s="1" t="s">
        <v>1841</v>
      </c>
      <c r="B1718" s="76">
        <v>85.905495000000002</v>
      </c>
      <c r="C1718" s="76">
        <v>86.505416999999994</v>
      </c>
      <c r="D1718" s="76">
        <v>85.415320999999906</v>
      </c>
      <c r="E1718" s="76">
        <v>85.605536999999998</v>
      </c>
      <c r="F1718" s="76">
        <v>56.366706999999998</v>
      </c>
      <c r="G1718" s="79">
        <v>853900</v>
      </c>
    </row>
    <row r="1719" spans="1:7" x14ac:dyDescent="0.25">
      <c r="A1719" s="1" t="s">
        <v>1842</v>
      </c>
      <c r="B1719" s="76">
        <v>85.605536999999998</v>
      </c>
      <c r="C1719" s="76">
        <v>86.798057999999997</v>
      </c>
      <c r="D1719" s="76">
        <v>85.378737999999998</v>
      </c>
      <c r="E1719" s="76">
        <v>86.439575000000005</v>
      </c>
      <c r="F1719" s="76">
        <v>56.915863000000002</v>
      </c>
      <c r="G1719" s="79">
        <v>1345400</v>
      </c>
    </row>
    <row r="1720" spans="1:7" x14ac:dyDescent="0.25">
      <c r="A1720" s="1" t="s">
        <v>1843</v>
      </c>
      <c r="B1720" s="76">
        <v>86.476151000000002</v>
      </c>
      <c r="C1720" s="76">
        <v>87.346763999999993</v>
      </c>
      <c r="D1720" s="76">
        <v>86.285933999999997</v>
      </c>
      <c r="E1720" s="76">
        <v>87.244338999999997</v>
      </c>
      <c r="F1720" s="76">
        <v>57.445762999999999</v>
      </c>
      <c r="G1720" s="79">
        <v>1439700</v>
      </c>
    </row>
    <row r="1721" spans="1:7" x14ac:dyDescent="0.25">
      <c r="A1721" s="1" t="s">
        <v>1844</v>
      </c>
      <c r="B1721" s="76">
        <v>87.390663000000004</v>
      </c>
      <c r="C1721" s="76">
        <v>87.712569999999999</v>
      </c>
      <c r="D1721" s="76">
        <v>86.922432000000001</v>
      </c>
      <c r="E1721" s="76">
        <v>87.127280999999996</v>
      </c>
      <c r="F1721" s="76">
        <v>57.368693999999998</v>
      </c>
      <c r="G1721" s="79">
        <v>1064600</v>
      </c>
    </row>
    <row r="1722" spans="1:7" x14ac:dyDescent="0.25">
      <c r="A1722" s="1" t="s">
        <v>1845</v>
      </c>
      <c r="B1722" s="76">
        <v>87.127280999999996</v>
      </c>
      <c r="C1722" s="76">
        <v>87.127280999999996</v>
      </c>
      <c r="D1722" s="76">
        <v>84.742241000000007</v>
      </c>
      <c r="E1722" s="76">
        <v>85.378737999999998</v>
      </c>
      <c r="F1722" s="76">
        <v>56.217350000000003</v>
      </c>
      <c r="G1722" s="79">
        <v>1500600</v>
      </c>
    </row>
    <row r="1723" spans="1:7" x14ac:dyDescent="0.25">
      <c r="A1723" s="1" t="s">
        <v>1846</v>
      </c>
      <c r="B1723" s="76">
        <v>84.135002</v>
      </c>
      <c r="C1723" s="76">
        <v>84.749556999999996</v>
      </c>
      <c r="D1723" s="76">
        <v>82.423041999999995</v>
      </c>
      <c r="E1723" s="76">
        <v>83.403396999999998</v>
      </c>
      <c r="F1723" s="76">
        <v>55.578712000000003</v>
      </c>
      <c r="G1723" s="79">
        <v>1610000</v>
      </c>
    </row>
    <row r="1724" spans="1:7" x14ac:dyDescent="0.25">
      <c r="A1724" s="1" t="s">
        <v>1847</v>
      </c>
      <c r="B1724" s="76">
        <v>83.220489999999998</v>
      </c>
      <c r="C1724" s="76">
        <v>85.034881999999996</v>
      </c>
      <c r="D1724" s="76">
        <v>83.220489999999998</v>
      </c>
      <c r="E1724" s="76">
        <v>84.581283999999997</v>
      </c>
      <c r="F1724" s="76">
        <v>56.363639999999997</v>
      </c>
      <c r="G1724" s="79">
        <v>1011900</v>
      </c>
    </row>
    <row r="1725" spans="1:7" x14ac:dyDescent="0.25">
      <c r="A1725" s="1" t="s">
        <v>1848</v>
      </c>
      <c r="B1725" s="76">
        <v>84.544708</v>
      </c>
      <c r="C1725" s="76">
        <v>84.552017000000006</v>
      </c>
      <c r="D1725" s="76">
        <v>83.469238000000004</v>
      </c>
      <c r="E1725" s="76">
        <v>83.622878999999998</v>
      </c>
      <c r="F1725" s="76">
        <v>55.724971999999902</v>
      </c>
      <c r="G1725" s="79">
        <v>671700</v>
      </c>
    </row>
    <row r="1726" spans="1:7" x14ac:dyDescent="0.25">
      <c r="A1726" s="1" t="s">
        <v>1849</v>
      </c>
      <c r="B1726" s="76">
        <v>83.732619999999997</v>
      </c>
      <c r="C1726" s="76">
        <v>84.383751000000004</v>
      </c>
      <c r="D1726" s="76">
        <v>82.905899000000005</v>
      </c>
      <c r="E1726" s="76">
        <v>84.098427000000001</v>
      </c>
      <c r="F1726" s="76">
        <v>56.041851000000001</v>
      </c>
      <c r="G1726" s="79">
        <v>789500</v>
      </c>
    </row>
    <row r="1727" spans="1:7" x14ac:dyDescent="0.25">
      <c r="A1727" s="1" t="s">
        <v>1850</v>
      </c>
      <c r="B1727" s="76">
        <v>84.142319000000001</v>
      </c>
      <c r="C1727" s="76">
        <v>84.727607999999904</v>
      </c>
      <c r="D1727" s="76">
        <v>83.469238000000004</v>
      </c>
      <c r="E1727" s="76">
        <v>84.383751000000004</v>
      </c>
      <c r="F1727" s="76">
        <v>56.231991000000001</v>
      </c>
      <c r="G1727" s="79">
        <v>777600</v>
      </c>
    </row>
    <row r="1728" spans="1:7" x14ac:dyDescent="0.25">
      <c r="A1728" s="1" t="s">
        <v>1851</v>
      </c>
      <c r="B1728" s="76">
        <v>84.866614999999996</v>
      </c>
      <c r="C1728" s="76">
        <v>85.261680999999996</v>
      </c>
      <c r="D1728" s="76">
        <v>84.295958999999996</v>
      </c>
      <c r="E1728" s="76">
        <v>85.254363999999995</v>
      </c>
      <c r="F1728" s="76">
        <v>56.812176000000001</v>
      </c>
      <c r="G1728" s="79">
        <v>560500</v>
      </c>
    </row>
    <row r="1729" spans="1:7" x14ac:dyDescent="0.25">
      <c r="A1729" s="1" t="s">
        <v>1852</v>
      </c>
      <c r="B1729" s="76">
        <v>85.254363999999995</v>
      </c>
      <c r="C1729" s="76">
        <v>85.707961999999995</v>
      </c>
      <c r="D1729" s="76">
        <v>85.203156000000007</v>
      </c>
      <c r="E1729" s="76">
        <v>85.481162999999995</v>
      </c>
      <c r="F1729" s="76">
        <v>56.963287000000001</v>
      </c>
      <c r="G1729" s="79">
        <v>677300</v>
      </c>
    </row>
    <row r="1730" spans="1:7" x14ac:dyDescent="0.25">
      <c r="A1730" s="1" t="s">
        <v>1853</v>
      </c>
      <c r="B1730" s="76">
        <v>85.605536999999998</v>
      </c>
      <c r="C1730" s="76">
        <v>86.585892000000001</v>
      </c>
      <c r="D1730" s="76">
        <v>85.400688000000002</v>
      </c>
      <c r="E1730" s="76">
        <v>86.359093000000001</v>
      </c>
      <c r="F1730" s="76">
        <v>57.548316999999997</v>
      </c>
      <c r="G1730" s="79">
        <v>842900</v>
      </c>
    </row>
    <row r="1731" spans="1:7" x14ac:dyDescent="0.25">
      <c r="A1731" s="1" t="s">
        <v>1854</v>
      </c>
      <c r="B1731" s="76">
        <v>85.086097999999893</v>
      </c>
      <c r="C1731" s="76">
        <v>85.781120000000001</v>
      </c>
      <c r="D1731" s="76">
        <v>84.317909</v>
      </c>
      <c r="E1731" s="76">
        <v>84.837349000000003</v>
      </c>
      <c r="F1731" s="76">
        <v>56.534267</v>
      </c>
      <c r="G1731" s="79">
        <v>4681400</v>
      </c>
    </row>
    <row r="1732" spans="1:7" x14ac:dyDescent="0.25">
      <c r="A1732" s="1" t="s">
        <v>1855</v>
      </c>
      <c r="B1732" s="76">
        <v>85.129990000000006</v>
      </c>
      <c r="C1732" s="76">
        <v>86.388358999999994</v>
      </c>
      <c r="D1732" s="76">
        <v>85.086097999999893</v>
      </c>
      <c r="E1732" s="76">
        <v>86.256668000000005</v>
      </c>
      <c r="F1732" s="76">
        <v>57.480075999999997</v>
      </c>
      <c r="G1732" s="79">
        <v>2245500</v>
      </c>
    </row>
    <row r="1733" spans="1:7" x14ac:dyDescent="0.25">
      <c r="A1733" s="1" t="s">
        <v>1856</v>
      </c>
      <c r="B1733" s="76">
        <v>86.168876999999995</v>
      </c>
      <c r="C1733" s="76">
        <v>86.293250999999998</v>
      </c>
      <c r="D1733" s="76">
        <v>85.473845999999995</v>
      </c>
      <c r="E1733" s="76">
        <v>85.598220999999995</v>
      </c>
      <c r="F1733" s="76">
        <v>57.041313000000002</v>
      </c>
      <c r="G1733" s="79">
        <v>837900</v>
      </c>
    </row>
    <row r="1734" spans="1:7" x14ac:dyDescent="0.25">
      <c r="A1734" s="1" t="s">
        <v>1857</v>
      </c>
      <c r="B1734" s="76">
        <v>86.293250999999998</v>
      </c>
      <c r="C1734" s="76">
        <v>91.451087999999999</v>
      </c>
      <c r="D1734" s="76">
        <v>86.263984999999906</v>
      </c>
      <c r="E1734" s="76">
        <v>88.458809000000002</v>
      </c>
      <c r="F1734" s="76">
        <v>58.947539999999996</v>
      </c>
      <c r="G1734" s="79">
        <v>3523600</v>
      </c>
    </row>
    <row r="1735" spans="1:7" x14ac:dyDescent="0.25">
      <c r="A1735" s="1" t="s">
        <v>1858</v>
      </c>
      <c r="B1735" s="76">
        <v>88.744140999999999</v>
      </c>
      <c r="C1735" s="76">
        <v>90.521950000000004</v>
      </c>
      <c r="D1735" s="76">
        <v>88.692924000000005</v>
      </c>
      <c r="E1735" s="76">
        <v>89.826920000000001</v>
      </c>
      <c r="F1735" s="76">
        <v>59.859229999999997</v>
      </c>
      <c r="G1735" s="79">
        <v>3326700</v>
      </c>
    </row>
    <row r="1736" spans="1:7" x14ac:dyDescent="0.25">
      <c r="A1736" s="1" t="s">
        <v>1859</v>
      </c>
      <c r="B1736" s="76">
        <v>89.980559999999997</v>
      </c>
      <c r="C1736" s="76">
        <v>91.451087999999999</v>
      </c>
      <c r="D1736" s="76">
        <v>89.980559999999997</v>
      </c>
      <c r="E1736" s="76">
        <v>91.414512999999999</v>
      </c>
      <c r="F1736" s="76">
        <v>60.917170999999897</v>
      </c>
      <c r="G1736" s="79">
        <v>1805400</v>
      </c>
    </row>
    <row r="1737" spans="1:7" x14ac:dyDescent="0.25">
      <c r="A1737" s="1" t="s">
        <v>1860</v>
      </c>
      <c r="B1737" s="76">
        <v>91.195030000000003</v>
      </c>
      <c r="C1737" s="76">
        <v>92.124167999999997</v>
      </c>
      <c r="D1737" s="76">
        <v>90.778008</v>
      </c>
      <c r="E1737" s="76">
        <v>91.773003000000003</v>
      </c>
      <c r="F1737" s="76">
        <v>61.156101</v>
      </c>
      <c r="G1737" s="79">
        <v>311500</v>
      </c>
    </row>
    <row r="1738" spans="1:7" x14ac:dyDescent="0.25">
      <c r="A1738" s="1" t="s">
        <v>1861</v>
      </c>
      <c r="B1738" s="76">
        <v>91.773003000000003</v>
      </c>
      <c r="C1738" s="76">
        <v>91.773003000000003</v>
      </c>
      <c r="D1738" s="76">
        <v>89.153839000000005</v>
      </c>
      <c r="E1738" s="76">
        <v>89.241630999999998</v>
      </c>
      <c r="F1738" s="76">
        <v>59.469214999999998</v>
      </c>
      <c r="G1738" s="79">
        <v>1383800</v>
      </c>
    </row>
    <row r="1739" spans="1:7" x14ac:dyDescent="0.25">
      <c r="A1739" s="1" t="s">
        <v>1862</v>
      </c>
      <c r="B1739" s="76">
        <v>89.292846999999995</v>
      </c>
      <c r="C1739" s="76">
        <v>89.775711000000001</v>
      </c>
      <c r="D1739" s="76">
        <v>88.480758999999907</v>
      </c>
      <c r="E1739" s="76">
        <v>89.512328999999994</v>
      </c>
      <c r="F1739" s="76">
        <v>59.649593000000003</v>
      </c>
      <c r="G1739" s="79">
        <v>1173400</v>
      </c>
    </row>
    <row r="1740" spans="1:7" x14ac:dyDescent="0.25">
      <c r="A1740" s="1" t="s">
        <v>1863</v>
      </c>
      <c r="B1740" s="76">
        <v>89.878135999999998</v>
      </c>
      <c r="C1740" s="76">
        <v>90.719481999999999</v>
      </c>
      <c r="D1740" s="76">
        <v>89.585487000000001</v>
      </c>
      <c r="E1740" s="76">
        <v>90.558525000000003</v>
      </c>
      <c r="F1740" s="76">
        <v>60.346764</v>
      </c>
      <c r="G1740" s="79">
        <v>1315800</v>
      </c>
    </row>
    <row r="1741" spans="1:7" x14ac:dyDescent="0.25">
      <c r="A1741" s="1" t="s">
        <v>1864</v>
      </c>
      <c r="B1741" s="76">
        <v>91.663261000000006</v>
      </c>
      <c r="C1741" s="76">
        <v>92.519240999999994</v>
      </c>
      <c r="D1741" s="76">
        <v>90.858490000000003</v>
      </c>
      <c r="E1741" s="76">
        <v>92.263176000000001</v>
      </c>
      <c r="F1741" s="76">
        <v>61.482692999999998</v>
      </c>
      <c r="G1741" s="79">
        <v>1989100</v>
      </c>
    </row>
    <row r="1742" spans="1:7" x14ac:dyDescent="0.25">
      <c r="A1742" s="1" t="s">
        <v>1865</v>
      </c>
      <c r="B1742" s="76">
        <v>92.263176000000001</v>
      </c>
      <c r="C1742" s="76">
        <v>92.475341999999998</v>
      </c>
      <c r="D1742" s="76">
        <v>91.319405000000003</v>
      </c>
      <c r="E1742" s="76">
        <v>91.992485000000002</v>
      </c>
      <c r="F1742" s="76">
        <v>61.302329999999998</v>
      </c>
      <c r="G1742" s="79">
        <v>1071500</v>
      </c>
    </row>
    <row r="1743" spans="1:7" x14ac:dyDescent="0.25">
      <c r="A1743" s="1" t="s">
        <v>1866</v>
      </c>
      <c r="B1743" s="76">
        <v>92.724091000000001</v>
      </c>
      <c r="C1743" s="76">
        <v>94.809173999999999</v>
      </c>
      <c r="D1743" s="76">
        <v>92.482658000000001</v>
      </c>
      <c r="E1743" s="76">
        <v>94.736014999999995</v>
      </c>
      <c r="F1743" s="76">
        <v>63.130557999999901</v>
      </c>
      <c r="G1743" s="79">
        <v>1428700</v>
      </c>
    </row>
    <row r="1744" spans="1:7" x14ac:dyDescent="0.25">
      <c r="A1744" s="1" t="s">
        <v>1867</v>
      </c>
      <c r="B1744" s="76">
        <v>95.109138000000002</v>
      </c>
      <c r="C1744" s="76">
        <v>96.096808999999993</v>
      </c>
      <c r="D1744" s="76">
        <v>94.062934999999996</v>
      </c>
      <c r="E1744" s="76">
        <v>94.260468000000003</v>
      </c>
      <c r="F1744" s="76">
        <v>62.813685999999997</v>
      </c>
      <c r="G1744" s="79">
        <v>1876500</v>
      </c>
    </row>
    <row r="1745" spans="1:7" x14ac:dyDescent="0.25">
      <c r="A1745" s="1" t="s">
        <v>1868</v>
      </c>
      <c r="B1745" s="76">
        <v>91.443779000000006</v>
      </c>
      <c r="C1745" s="76">
        <v>92.175384999999906</v>
      </c>
      <c r="D1745" s="76">
        <v>90.931647999999996</v>
      </c>
      <c r="E1745" s="76">
        <v>91.816895000000002</v>
      </c>
      <c r="F1745" s="76">
        <v>61.185326000000003</v>
      </c>
      <c r="G1745" s="79">
        <v>3767400</v>
      </c>
    </row>
    <row r="1746" spans="1:7" x14ac:dyDescent="0.25">
      <c r="A1746" s="1" t="s">
        <v>1869</v>
      </c>
      <c r="B1746" s="76">
        <v>92.877730999999997</v>
      </c>
      <c r="C1746" s="76">
        <v>92.877730999999997</v>
      </c>
      <c r="D1746" s="76">
        <v>91.399878999999999</v>
      </c>
      <c r="E1746" s="76">
        <v>91.590096000000003</v>
      </c>
      <c r="F1746" s="76">
        <v>61.034171999999998</v>
      </c>
      <c r="G1746" s="79">
        <v>1286700</v>
      </c>
    </row>
    <row r="1747" spans="1:7" x14ac:dyDescent="0.25">
      <c r="A1747" s="1" t="s">
        <v>1870</v>
      </c>
      <c r="B1747" s="76">
        <v>91.597412000000006</v>
      </c>
      <c r="C1747" s="76">
        <v>92.511925000000005</v>
      </c>
      <c r="D1747" s="76">
        <v>91.451087999999999</v>
      </c>
      <c r="E1747" s="76">
        <v>92.153435000000002</v>
      </c>
      <c r="F1747" s="76">
        <v>61.409583999999903</v>
      </c>
      <c r="G1747" s="79">
        <v>821500</v>
      </c>
    </row>
    <row r="1748" spans="1:7" x14ac:dyDescent="0.25">
      <c r="A1748" s="1" t="s">
        <v>1871</v>
      </c>
      <c r="B1748" s="76">
        <v>92.153435000000002</v>
      </c>
      <c r="C1748" s="76">
        <v>92.424132999999998</v>
      </c>
      <c r="D1748" s="76">
        <v>91.729102999999995</v>
      </c>
      <c r="E1748" s="76">
        <v>91.985168000000002</v>
      </c>
      <c r="F1748" s="76">
        <v>61.297451000000002</v>
      </c>
      <c r="G1748" s="79">
        <v>1055500</v>
      </c>
    </row>
    <row r="1749" spans="1:7" x14ac:dyDescent="0.25">
      <c r="A1749" s="1" t="s">
        <v>1872</v>
      </c>
      <c r="B1749" s="76">
        <v>91.816895000000002</v>
      </c>
      <c r="C1749" s="76">
        <v>92.072959999999995</v>
      </c>
      <c r="D1749" s="76">
        <v>90.653640999999993</v>
      </c>
      <c r="E1749" s="76">
        <v>91.158446999999995</v>
      </c>
      <c r="F1749" s="76">
        <v>60.746555000000001</v>
      </c>
      <c r="G1749" s="79">
        <v>1033600</v>
      </c>
    </row>
    <row r="1750" spans="1:7" x14ac:dyDescent="0.25">
      <c r="A1750" s="1" t="s">
        <v>1873</v>
      </c>
      <c r="B1750" s="76">
        <v>91.524253999999999</v>
      </c>
      <c r="C1750" s="76">
        <v>91.633994999999999</v>
      </c>
      <c r="D1750" s="76">
        <v>89.885452000000001</v>
      </c>
      <c r="E1750" s="76">
        <v>90.529266000000007</v>
      </c>
      <c r="F1750" s="76">
        <v>60.327270999999897</v>
      </c>
      <c r="G1750" s="79">
        <v>914900</v>
      </c>
    </row>
    <row r="1751" spans="1:7" x14ac:dyDescent="0.25">
      <c r="A1751" s="1" t="s">
        <v>1874</v>
      </c>
      <c r="B1751" s="76">
        <v>90.712165999999996</v>
      </c>
      <c r="C1751" s="76">
        <v>91.268187999999995</v>
      </c>
      <c r="D1751" s="76">
        <v>90.602424999999997</v>
      </c>
      <c r="E1751" s="76">
        <v>90.719481999999999</v>
      </c>
      <c r="F1751" s="76">
        <v>60.454025000000001</v>
      </c>
      <c r="G1751" s="79">
        <v>700600</v>
      </c>
    </row>
    <row r="1752" spans="1:7" x14ac:dyDescent="0.25">
      <c r="A1752" s="1" t="s">
        <v>1875</v>
      </c>
      <c r="B1752" s="76">
        <v>90.719481999999999</v>
      </c>
      <c r="C1752" s="76">
        <v>91.385245999999995</v>
      </c>
      <c r="D1752" s="76">
        <v>89.804969999999997</v>
      </c>
      <c r="E1752" s="76">
        <v>90.265884</v>
      </c>
      <c r="F1752" s="76">
        <v>60.151759999999904</v>
      </c>
      <c r="G1752" s="79">
        <v>1622200</v>
      </c>
    </row>
    <row r="1753" spans="1:7" x14ac:dyDescent="0.25">
      <c r="A1753" s="1" t="s">
        <v>1876</v>
      </c>
      <c r="B1753" s="76">
        <v>90.302466999999993</v>
      </c>
      <c r="C1753" s="76">
        <v>90.829223999999996</v>
      </c>
      <c r="D1753" s="76">
        <v>89.497695999999905</v>
      </c>
      <c r="E1753" s="76">
        <v>89.965926999999994</v>
      </c>
      <c r="F1753" s="76">
        <v>59.951861999999998</v>
      </c>
      <c r="G1753" s="79">
        <v>722300</v>
      </c>
    </row>
    <row r="1754" spans="1:7" x14ac:dyDescent="0.25">
      <c r="A1754" s="1" t="s">
        <v>1877</v>
      </c>
      <c r="B1754" s="76">
        <v>89.768394000000001</v>
      </c>
      <c r="C1754" s="76">
        <v>89.768394000000001</v>
      </c>
      <c r="D1754" s="76">
        <v>88.180801000000002</v>
      </c>
      <c r="E1754" s="76">
        <v>89.512328999999994</v>
      </c>
      <c r="F1754" s="76">
        <v>59.649593000000003</v>
      </c>
      <c r="G1754" s="79">
        <v>1485900</v>
      </c>
    </row>
    <row r="1755" spans="1:7" x14ac:dyDescent="0.25">
      <c r="A1755" s="1" t="s">
        <v>1878</v>
      </c>
      <c r="B1755" s="76">
        <v>89.614754000000005</v>
      </c>
      <c r="C1755" s="76">
        <v>90.390259</v>
      </c>
      <c r="D1755" s="76">
        <v>89.256264000000002</v>
      </c>
      <c r="E1755" s="76">
        <v>89.826920000000001</v>
      </c>
      <c r="F1755" s="76">
        <v>59.859229999999997</v>
      </c>
      <c r="G1755" s="79">
        <v>1069100</v>
      </c>
    </row>
    <row r="1756" spans="1:7" x14ac:dyDescent="0.25">
      <c r="A1756" s="1" t="s">
        <v>1879</v>
      </c>
      <c r="B1756" s="76">
        <v>89.826920000000001</v>
      </c>
      <c r="C1756" s="76">
        <v>90.265884</v>
      </c>
      <c r="D1756" s="76">
        <v>88.736823999999999</v>
      </c>
      <c r="E1756" s="76">
        <v>88.736823999999999</v>
      </c>
      <c r="F1756" s="76">
        <v>59.132828000000003</v>
      </c>
      <c r="G1756" s="79">
        <v>911100</v>
      </c>
    </row>
    <row r="1757" spans="1:7" x14ac:dyDescent="0.25">
      <c r="A1757" s="1" t="s">
        <v>1880</v>
      </c>
      <c r="B1757" s="76">
        <v>88.641716000000002</v>
      </c>
      <c r="C1757" s="76">
        <v>88.707557999999906</v>
      </c>
      <c r="D1757" s="76">
        <v>87.566245999999893</v>
      </c>
      <c r="E1757" s="76">
        <v>87.763785999999996</v>
      </c>
      <c r="F1757" s="76">
        <v>58.484389999999998</v>
      </c>
      <c r="G1757" s="79">
        <v>1365500</v>
      </c>
    </row>
    <row r="1758" spans="1:7" x14ac:dyDescent="0.25">
      <c r="A1758" s="1" t="s">
        <v>1881</v>
      </c>
      <c r="B1758" s="76">
        <v>87.675987000000006</v>
      </c>
      <c r="C1758" s="76">
        <v>88.297859000000003</v>
      </c>
      <c r="D1758" s="76">
        <v>87.536986999999996</v>
      </c>
      <c r="E1758" s="76">
        <v>87.829628</v>
      </c>
      <c r="F1758" s="76">
        <v>58.528275000000001</v>
      </c>
      <c r="G1758" s="79">
        <v>825800</v>
      </c>
    </row>
    <row r="1759" spans="1:7" x14ac:dyDescent="0.25">
      <c r="A1759" s="1" t="s">
        <v>1882</v>
      </c>
      <c r="B1759" s="76">
        <v>87.829628</v>
      </c>
      <c r="C1759" s="76">
        <v>88.158851999999996</v>
      </c>
      <c r="D1759" s="76">
        <v>87.697936999999996</v>
      </c>
      <c r="E1759" s="76">
        <v>88.034476999999995</v>
      </c>
      <c r="F1759" s="76">
        <v>58.6647829999999</v>
      </c>
      <c r="G1759" s="79">
        <v>932900</v>
      </c>
    </row>
    <row r="1760" spans="1:7" x14ac:dyDescent="0.25">
      <c r="A1760" s="1" t="s">
        <v>1883</v>
      </c>
      <c r="B1760" s="76">
        <v>88.034476999999995</v>
      </c>
      <c r="C1760" s="76">
        <v>88.407600000000002</v>
      </c>
      <c r="D1760" s="76">
        <v>87.683304000000007</v>
      </c>
      <c r="E1760" s="76">
        <v>88.400283999999999</v>
      </c>
      <c r="F1760" s="76">
        <v>58.908554000000002</v>
      </c>
      <c r="G1760" s="79">
        <v>1113100</v>
      </c>
    </row>
    <row r="1761" spans="1:7" x14ac:dyDescent="0.25">
      <c r="A1761" s="1" t="s">
        <v>1884</v>
      </c>
      <c r="B1761" s="76">
        <v>88.524658000000002</v>
      </c>
      <c r="C1761" s="76">
        <v>89.387955000000005</v>
      </c>
      <c r="D1761" s="76">
        <v>88.414917000000003</v>
      </c>
      <c r="E1761" s="76">
        <v>88.890456999999998</v>
      </c>
      <c r="F1761" s="76">
        <v>59.235202999999998</v>
      </c>
      <c r="G1761" s="79">
        <v>1081600</v>
      </c>
    </row>
    <row r="1762" spans="1:7" x14ac:dyDescent="0.25">
      <c r="A1762" s="1" t="s">
        <v>1885</v>
      </c>
      <c r="B1762" s="76">
        <v>89.775711000000001</v>
      </c>
      <c r="C1762" s="76">
        <v>89.775711000000001</v>
      </c>
      <c r="D1762" s="76">
        <v>88.327126000000007</v>
      </c>
      <c r="E1762" s="76">
        <v>89.044097999999906</v>
      </c>
      <c r="F1762" s="76">
        <v>59.337589000000001</v>
      </c>
      <c r="G1762" s="79">
        <v>1736300</v>
      </c>
    </row>
    <row r="1763" spans="1:7" x14ac:dyDescent="0.25">
      <c r="A1763" s="1" t="s">
        <v>1886</v>
      </c>
      <c r="B1763" s="76">
        <v>89.548912000000001</v>
      </c>
      <c r="C1763" s="76">
        <v>89.622069999999994</v>
      </c>
      <c r="D1763" s="76">
        <v>88.788032999999999</v>
      </c>
      <c r="E1763" s="76">
        <v>89.256264000000002</v>
      </c>
      <c r="F1763" s="76">
        <v>59.478977</v>
      </c>
      <c r="G1763" s="79">
        <v>2615600</v>
      </c>
    </row>
    <row r="1764" spans="1:7" x14ac:dyDescent="0.25">
      <c r="A1764" s="1" t="s">
        <v>1887</v>
      </c>
      <c r="B1764" s="76">
        <v>88.868515000000002</v>
      </c>
      <c r="C1764" s="76">
        <v>89.066047999999995</v>
      </c>
      <c r="D1764" s="76">
        <v>87.237021999999996</v>
      </c>
      <c r="E1764" s="76">
        <v>87.463820999999996</v>
      </c>
      <c r="F1764" s="76">
        <v>58.284500000000001</v>
      </c>
      <c r="G1764" s="79">
        <v>1816900</v>
      </c>
    </row>
    <row r="1765" spans="1:7" x14ac:dyDescent="0.25">
      <c r="A1765" s="1" t="s">
        <v>1888</v>
      </c>
      <c r="B1765" s="76">
        <v>85.971343999999903</v>
      </c>
      <c r="C1765" s="76">
        <v>87.251655999999997</v>
      </c>
      <c r="D1765" s="76">
        <v>85.078781000000006</v>
      </c>
      <c r="E1765" s="76">
        <v>86.432259000000002</v>
      </c>
      <c r="F1765" s="76">
        <v>57.597099</v>
      </c>
      <c r="G1765" s="79">
        <v>2464600</v>
      </c>
    </row>
    <row r="1766" spans="1:7" x14ac:dyDescent="0.25">
      <c r="A1766" s="1" t="s">
        <v>1889</v>
      </c>
      <c r="B1766" s="76">
        <v>87.061440000000005</v>
      </c>
      <c r="C1766" s="76">
        <v>88.041793999999996</v>
      </c>
      <c r="D1766" s="76">
        <v>86.271300999999994</v>
      </c>
      <c r="E1766" s="76">
        <v>87.719887</v>
      </c>
      <c r="F1766" s="76">
        <v>58.455154</v>
      </c>
      <c r="G1766" s="79">
        <v>1787200</v>
      </c>
    </row>
    <row r="1767" spans="1:7" x14ac:dyDescent="0.25">
      <c r="A1767" s="1" t="s">
        <v>1890</v>
      </c>
      <c r="B1767" s="76">
        <v>87.727203000000003</v>
      </c>
      <c r="C1767" s="76">
        <v>88.963622999999998</v>
      </c>
      <c r="D1767" s="76">
        <v>87.244338999999997</v>
      </c>
      <c r="E1767" s="76">
        <v>88.927040000000005</v>
      </c>
      <c r="F1767" s="76">
        <v>59.25956</v>
      </c>
      <c r="G1767" s="79">
        <v>1741200</v>
      </c>
    </row>
    <row r="1768" spans="1:7" x14ac:dyDescent="0.25">
      <c r="A1768" s="1" t="s">
        <v>1891</v>
      </c>
      <c r="B1768" s="76">
        <v>89.256264000000002</v>
      </c>
      <c r="C1768" s="76">
        <v>90.602424999999997</v>
      </c>
      <c r="D1768" s="76">
        <v>89.146523000000002</v>
      </c>
      <c r="E1768" s="76">
        <v>89.797652999999997</v>
      </c>
      <c r="F1768" s="76">
        <v>59.839740999999997</v>
      </c>
      <c r="G1768" s="79">
        <v>1240700</v>
      </c>
    </row>
    <row r="1769" spans="1:7" x14ac:dyDescent="0.25">
      <c r="A1769" s="1" t="s">
        <v>1892</v>
      </c>
      <c r="B1769" s="76">
        <v>89.614754000000005</v>
      </c>
      <c r="C1769" s="76">
        <v>90.456100000000006</v>
      </c>
      <c r="D1769" s="76">
        <v>89.526961999999997</v>
      </c>
      <c r="E1769" s="76">
        <v>89.973243999999994</v>
      </c>
      <c r="F1769" s="76">
        <v>59.956744999999998</v>
      </c>
      <c r="G1769" s="79">
        <v>926400</v>
      </c>
    </row>
    <row r="1770" spans="1:7" x14ac:dyDescent="0.25">
      <c r="A1770" s="1" t="s">
        <v>1893</v>
      </c>
      <c r="B1770" s="76">
        <v>89.987876999999997</v>
      </c>
      <c r="C1770" s="76">
        <v>92.211967000000001</v>
      </c>
      <c r="D1770" s="76">
        <v>89.929344</v>
      </c>
      <c r="E1770" s="76">
        <v>92.131484999999998</v>
      </c>
      <c r="F1770" s="76">
        <v>61.394969999999901</v>
      </c>
      <c r="G1770" s="79">
        <v>1626900</v>
      </c>
    </row>
    <row r="1771" spans="1:7" x14ac:dyDescent="0.25">
      <c r="A1771" s="1" t="s">
        <v>1894</v>
      </c>
      <c r="B1771" s="76">
        <v>91.890052999999995</v>
      </c>
      <c r="C1771" s="76">
        <v>92.365600999999998</v>
      </c>
      <c r="D1771" s="76">
        <v>89.314796000000001</v>
      </c>
      <c r="E1771" s="76">
        <v>89.658653000000001</v>
      </c>
      <c r="F1771" s="76">
        <v>59.747101000000001</v>
      </c>
      <c r="G1771" s="79">
        <v>2570100</v>
      </c>
    </row>
    <row r="1772" spans="1:7" x14ac:dyDescent="0.25">
      <c r="A1772" s="1" t="s">
        <v>1895</v>
      </c>
      <c r="B1772" s="76">
        <v>88.846564999999998</v>
      </c>
      <c r="C1772" s="76">
        <v>88.978256000000002</v>
      </c>
      <c r="D1772" s="76">
        <v>87.536986999999996</v>
      </c>
      <c r="E1772" s="76">
        <v>87.719887</v>
      </c>
      <c r="F1772" s="76">
        <v>58.455154</v>
      </c>
      <c r="G1772" s="79">
        <v>5374100</v>
      </c>
    </row>
    <row r="1773" spans="1:7" x14ac:dyDescent="0.25">
      <c r="A1773" s="1" t="s">
        <v>1896</v>
      </c>
      <c r="B1773" s="76">
        <v>87.866210999999893</v>
      </c>
      <c r="C1773" s="76">
        <v>89.965926999999994</v>
      </c>
      <c r="D1773" s="76">
        <v>87.675987000000006</v>
      </c>
      <c r="E1773" s="76">
        <v>89.695228999999998</v>
      </c>
      <c r="F1773" s="76">
        <v>59.771487999999998</v>
      </c>
      <c r="G1773" s="79">
        <v>2095500</v>
      </c>
    </row>
    <row r="1774" spans="1:7" x14ac:dyDescent="0.25">
      <c r="A1774" s="1" t="s">
        <v>1897</v>
      </c>
      <c r="B1774" s="76">
        <v>89.622069999999994</v>
      </c>
      <c r="C1774" s="76">
        <v>89.943977000000004</v>
      </c>
      <c r="D1774" s="76">
        <v>88.941672999999994</v>
      </c>
      <c r="E1774" s="76">
        <v>89.131889000000001</v>
      </c>
      <c r="F1774" s="76">
        <v>59.396065</v>
      </c>
      <c r="G1774" s="79">
        <v>1127600</v>
      </c>
    </row>
    <row r="1775" spans="1:7" x14ac:dyDescent="0.25">
      <c r="A1775" s="1" t="s">
        <v>1898</v>
      </c>
      <c r="B1775" s="76">
        <v>89.300162999999998</v>
      </c>
      <c r="C1775" s="76">
        <v>90.280518000000001</v>
      </c>
      <c r="D1775" s="76">
        <v>89.263580000000005</v>
      </c>
      <c r="E1775" s="76">
        <v>89.563537999999994</v>
      </c>
      <c r="F1775" s="76">
        <v>59.683723000000001</v>
      </c>
      <c r="G1775" s="79">
        <v>736100</v>
      </c>
    </row>
    <row r="1776" spans="1:7" x14ac:dyDescent="0.25">
      <c r="A1776" s="1" t="s">
        <v>1899</v>
      </c>
      <c r="B1776" s="76">
        <v>89.987876999999997</v>
      </c>
      <c r="C1776" s="76">
        <v>91.297454999999999</v>
      </c>
      <c r="D1776" s="76">
        <v>89.929344</v>
      </c>
      <c r="E1776" s="76">
        <v>91.195030000000003</v>
      </c>
      <c r="F1776" s="76">
        <v>60.770927</v>
      </c>
      <c r="G1776" s="79">
        <v>956700</v>
      </c>
    </row>
    <row r="1777" spans="1:7" x14ac:dyDescent="0.25">
      <c r="A1777" s="1" t="s">
        <v>1900</v>
      </c>
      <c r="B1777" s="76">
        <v>91.670569999999998</v>
      </c>
      <c r="C1777" s="76">
        <v>92.358283999999998</v>
      </c>
      <c r="D1777" s="76">
        <v>90.799956999999907</v>
      </c>
      <c r="E1777" s="76">
        <v>92.007110999999995</v>
      </c>
      <c r="F1777" s="76">
        <v>61.312068999999902</v>
      </c>
      <c r="G1777" s="79">
        <v>2144800</v>
      </c>
    </row>
    <row r="1778" spans="1:7" x14ac:dyDescent="0.25">
      <c r="A1778" s="1" t="s">
        <v>1901</v>
      </c>
      <c r="B1778" s="76">
        <v>92.007110999999995</v>
      </c>
      <c r="C1778" s="76">
        <v>92.138801999999998</v>
      </c>
      <c r="D1778" s="76">
        <v>90.229301000000007</v>
      </c>
      <c r="E1778" s="76">
        <v>90.917015000000006</v>
      </c>
      <c r="F1778" s="76">
        <v>60.585667000000001</v>
      </c>
      <c r="G1778" s="79">
        <v>1657200</v>
      </c>
    </row>
    <row r="1779" spans="1:7" x14ac:dyDescent="0.25">
      <c r="A1779" s="1" t="s">
        <v>1902</v>
      </c>
      <c r="B1779" s="76">
        <v>90.331733999999997</v>
      </c>
      <c r="C1779" s="76">
        <v>91.531570000000002</v>
      </c>
      <c r="D1779" s="76">
        <v>90.295151000000004</v>
      </c>
      <c r="E1779" s="76">
        <v>91.531570000000002</v>
      </c>
      <c r="F1779" s="76">
        <v>61.415259999999897</v>
      </c>
      <c r="G1779" s="79">
        <v>1373200</v>
      </c>
    </row>
    <row r="1780" spans="1:7" x14ac:dyDescent="0.25">
      <c r="A1780" s="1" t="s">
        <v>1903</v>
      </c>
      <c r="B1780" s="76">
        <v>91.531570000000002</v>
      </c>
      <c r="C1780" s="76">
        <v>92.072959999999995</v>
      </c>
      <c r="D1780" s="76">
        <v>89.892760999999993</v>
      </c>
      <c r="E1780" s="76">
        <v>90.390259</v>
      </c>
      <c r="F1780" s="76">
        <v>60.649467000000001</v>
      </c>
      <c r="G1780" s="79">
        <v>2629400</v>
      </c>
    </row>
    <row r="1781" spans="1:7" x14ac:dyDescent="0.25">
      <c r="A1781" s="1" t="s">
        <v>1904</v>
      </c>
      <c r="B1781" s="76">
        <v>90.426841999999994</v>
      </c>
      <c r="C1781" s="76">
        <v>90.426841999999994</v>
      </c>
      <c r="D1781" s="76">
        <v>88.488074999999995</v>
      </c>
      <c r="E1781" s="76">
        <v>89.512328999999994</v>
      </c>
      <c r="F1781" s="76">
        <v>60.060406</v>
      </c>
      <c r="G1781" s="79">
        <v>3401800</v>
      </c>
    </row>
    <row r="1782" spans="1:7" x14ac:dyDescent="0.25">
      <c r="A1782" s="1" t="s">
        <v>1905</v>
      </c>
      <c r="B1782" s="76">
        <v>89.490379000000004</v>
      </c>
      <c r="C1782" s="76">
        <v>92.219284000000002</v>
      </c>
      <c r="D1782" s="76">
        <v>88.480758999999907</v>
      </c>
      <c r="E1782" s="76">
        <v>91.992485000000002</v>
      </c>
      <c r="F1782" s="76">
        <v>61.724536999999998</v>
      </c>
      <c r="G1782" s="79">
        <v>4208900</v>
      </c>
    </row>
    <row r="1783" spans="1:7" x14ac:dyDescent="0.25">
      <c r="A1783" s="1" t="s">
        <v>1906</v>
      </c>
      <c r="B1783" s="76">
        <v>91.524253999999999</v>
      </c>
      <c r="C1783" s="76">
        <v>92.833832000000001</v>
      </c>
      <c r="D1783" s="76">
        <v>91.312088000000003</v>
      </c>
      <c r="E1783" s="76">
        <v>91.707153000000005</v>
      </c>
      <c r="F1783" s="76">
        <v>61.533057999999997</v>
      </c>
      <c r="G1783" s="79">
        <v>1978200</v>
      </c>
    </row>
    <row r="1784" spans="1:7" x14ac:dyDescent="0.25">
      <c r="A1784" s="1" t="s">
        <v>1907</v>
      </c>
      <c r="B1784" s="76">
        <v>91.231605999999999</v>
      </c>
      <c r="C1784" s="76">
        <v>91.860793999999999</v>
      </c>
      <c r="D1784" s="76">
        <v>91.121864000000002</v>
      </c>
      <c r="E1784" s="76">
        <v>91.524253999999999</v>
      </c>
      <c r="F1784" s="76">
        <v>61.410342999999997</v>
      </c>
      <c r="G1784" s="79">
        <v>1602200</v>
      </c>
    </row>
    <row r="1785" spans="1:7" x14ac:dyDescent="0.25">
      <c r="A1785" s="1" t="s">
        <v>1908</v>
      </c>
      <c r="B1785" s="76">
        <v>92.182700999999994</v>
      </c>
      <c r="C1785" s="76">
        <v>93.426436999999893</v>
      </c>
      <c r="D1785" s="76">
        <v>91.904685999999998</v>
      </c>
      <c r="E1785" s="76">
        <v>92.914306999999994</v>
      </c>
      <c r="F1785" s="76">
        <v>62.343047999999897</v>
      </c>
      <c r="G1785" s="79">
        <v>2302300</v>
      </c>
    </row>
    <row r="1786" spans="1:7" x14ac:dyDescent="0.25">
      <c r="A1786" s="1" t="s">
        <v>1909</v>
      </c>
      <c r="B1786" s="76">
        <v>95.138396999999998</v>
      </c>
      <c r="C1786" s="76">
        <v>99.425629000000001</v>
      </c>
      <c r="D1786" s="76">
        <v>94.019035000000002</v>
      </c>
      <c r="E1786" s="76">
        <v>99.315887000000004</v>
      </c>
      <c r="F1786" s="76">
        <v>66.638335999999995</v>
      </c>
      <c r="G1786" s="79">
        <v>7241900</v>
      </c>
    </row>
    <row r="1787" spans="1:7" x14ac:dyDescent="0.25">
      <c r="A1787" s="1" t="s">
        <v>1910</v>
      </c>
      <c r="B1787" s="76">
        <v>99.53537</v>
      </c>
      <c r="C1787" s="76">
        <v>99.901168999999996</v>
      </c>
      <c r="D1787" s="76">
        <v>97.706344999999999</v>
      </c>
      <c r="E1787" s="76">
        <v>98.511116000000001</v>
      </c>
      <c r="F1787" s="76">
        <v>66.098357999999905</v>
      </c>
      <c r="G1787" s="79">
        <v>3096100</v>
      </c>
    </row>
    <row r="1788" spans="1:7" x14ac:dyDescent="0.25">
      <c r="A1788" s="1" t="s">
        <v>1911</v>
      </c>
      <c r="B1788" s="76">
        <v>98.364791999999994</v>
      </c>
      <c r="C1788" s="76">
        <v>99.513419999999996</v>
      </c>
      <c r="D1788" s="76">
        <v>95.401779000000005</v>
      </c>
      <c r="E1788" s="76">
        <v>97.552711000000002</v>
      </c>
      <c r="F1788" s="76">
        <v>65.455292</v>
      </c>
      <c r="G1788" s="79">
        <v>4365600</v>
      </c>
    </row>
    <row r="1789" spans="1:7" x14ac:dyDescent="0.25">
      <c r="A1789" s="1" t="s">
        <v>1912</v>
      </c>
      <c r="B1789" s="76">
        <v>97.230796999999995</v>
      </c>
      <c r="C1789" s="76">
        <v>97.303962999999996</v>
      </c>
      <c r="D1789" s="76">
        <v>95.153030000000001</v>
      </c>
      <c r="E1789" s="76">
        <v>96.126068000000004</v>
      </c>
      <c r="F1789" s="76">
        <v>64.498054999999994</v>
      </c>
      <c r="G1789" s="79">
        <v>2254900</v>
      </c>
    </row>
    <row r="1790" spans="1:7" x14ac:dyDescent="0.25">
      <c r="A1790" s="1" t="s">
        <v>1913</v>
      </c>
      <c r="B1790" s="76">
        <v>95.482253999999998</v>
      </c>
      <c r="C1790" s="76">
        <v>98.386741999999998</v>
      </c>
      <c r="D1790" s="76">
        <v>95.138396999999998</v>
      </c>
      <c r="E1790" s="76">
        <v>98.269683999999998</v>
      </c>
      <c r="F1790" s="76">
        <v>65.936378000000005</v>
      </c>
      <c r="G1790" s="79">
        <v>2183700</v>
      </c>
    </row>
    <row r="1791" spans="1:7" x14ac:dyDescent="0.25">
      <c r="A1791" s="1" t="s">
        <v>1914</v>
      </c>
      <c r="B1791" s="76">
        <v>97.962409999999906</v>
      </c>
      <c r="C1791" s="76">
        <v>98.811072999999993</v>
      </c>
      <c r="D1791" s="76">
        <v>97.040581000000003</v>
      </c>
      <c r="E1791" s="76">
        <v>97.969727000000006</v>
      </c>
      <c r="F1791" s="76">
        <v>65.735106999999999</v>
      </c>
      <c r="G1791" s="79">
        <v>2201100</v>
      </c>
    </row>
    <row r="1792" spans="1:7" x14ac:dyDescent="0.25">
      <c r="A1792" s="1" t="s">
        <v>1915</v>
      </c>
      <c r="B1792" s="76">
        <v>98.152625999999998</v>
      </c>
      <c r="C1792" s="76">
        <v>98.481849999999994</v>
      </c>
      <c r="D1792" s="76">
        <v>96.674773999999999</v>
      </c>
      <c r="E1792" s="76">
        <v>97.523444999999995</v>
      </c>
      <c r="F1792" s="76">
        <v>65.435668999999905</v>
      </c>
      <c r="G1792" s="79">
        <v>1908100</v>
      </c>
    </row>
    <row r="1793" spans="1:7" x14ac:dyDescent="0.25">
      <c r="A1793" s="1" t="s">
        <v>1916</v>
      </c>
      <c r="B1793" s="76">
        <v>97.523444999999995</v>
      </c>
      <c r="C1793" s="76">
        <v>98.035567999999998</v>
      </c>
      <c r="D1793" s="76">
        <v>96.499190999999996</v>
      </c>
      <c r="E1793" s="76">
        <v>98.028251999999995</v>
      </c>
      <c r="F1793" s="76">
        <v>65.774367999999996</v>
      </c>
      <c r="G1793" s="79">
        <v>1598700</v>
      </c>
    </row>
    <row r="1794" spans="1:7" x14ac:dyDescent="0.25">
      <c r="A1794" s="1" t="s">
        <v>1917</v>
      </c>
      <c r="B1794" s="76">
        <v>98.035567999999998</v>
      </c>
      <c r="C1794" s="76">
        <v>98.942763999999997</v>
      </c>
      <c r="D1794" s="76">
        <v>96.565033</v>
      </c>
      <c r="E1794" s="76">
        <v>98.598906999999997</v>
      </c>
      <c r="F1794" s="76">
        <v>66.157264999999995</v>
      </c>
      <c r="G1794" s="79">
        <v>1666100</v>
      </c>
    </row>
    <row r="1795" spans="1:7" x14ac:dyDescent="0.25">
      <c r="A1795" s="1" t="s">
        <v>1918</v>
      </c>
      <c r="B1795" s="76">
        <v>98.525749000000005</v>
      </c>
      <c r="C1795" s="76">
        <v>99.008606</v>
      </c>
      <c r="D1795" s="76">
        <v>98.189208999999906</v>
      </c>
      <c r="E1795" s="76">
        <v>98.862289000000004</v>
      </c>
      <c r="F1795" s="76">
        <v>66.333977000000004</v>
      </c>
      <c r="G1795" s="79">
        <v>1210500</v>
      </c>
    </row>
    <row r="1796" spans="1:7" x14ac:dyDescent="0.25">
      <c r="A1796" s="1" t="s">
        <v>1919</v>
      </c>
      <c r="B1796" s="76">
        <v>98.035567999999998</v>
      </c>
      <c r="C1796" s="76">
        <v>99.498786999999993</v>
      </c>
      <c r="D1796" s="76">
        <v>97.757560999999995</v>
      </c>
      <c r="E1796" s="76">
        <v>98.108733999999998</v>
      </c>
      <c r="F1796" s="76">
        <v>65.828377000000003</v>
      </c>
      <c r="G1796" s="79">
        <v>1357200</v>
      </c>
    </row>
    <row r="1797" spans="1:7" x14ac:dyDescent="0.25">
      <c r="A1797" s="1" t="s">
        <v>1920</v>
      </c>
      <c r="B1797" s="76">
        <v>98.108733999999998</v>
      </c>
      <c r="C1797" s="76">
        <v>98.342842000000005</v>
      </c>
      <c r="D1797" s="76">
        <v>96.345551</v>
      </c>
      <c r="E1797" s="76">
        <v>96.57235</v>
      </c>
      <c r="F1797" s="76">
        <v>64.797493000000003</v>
      </c>
      <c r="G1797" s="79">
        <v>1246200</v>
      </c>
    </row>
    <row r="1798" spans="1:7" x14ac:dyDescent="0.25">
      <c r="A1798" s="1" t="s">
        <v>1921</v>
      </c>
      <c r="B1798" s="76">
        <v>96.821097999999907</v>
      </c>
      <c r="C1798" s="76">
        <v>97.567336999999995</v>
      </c>
      <c r="D1798" s="76">
        <v>94.692115999999999</v>
      </c>
      <c r="E1798" s="76">
        <v>96.682091</v>
      </c>
      <c r="F1798" s="76">
        <v>64.871131999999903</v>
      </c>
      <c r="G1798" s="79">
        <v>1793200</v>
      </c>
    </row>
    <row r="1799" spans="1:7" x14ac:dyDescent="0.25">
      <c r="A1799" s="1" t="s">
        <v>1922</v>
      </c>
      <c r="B1799" s="76">
        <v>96.543091000000004</v>
      </c>
      <c r="C1799" s="76">
        <v>97.998992999999999</v>
      </c>
      <c r="D1799" s="76">
        <v>91.531570000000002</v>
      </c>
      <c r="E1799" s="76">
        <v>92.987472999999994</v>
      </c>
      <c r="F1799" s="76">
        <v>62.392150999999998</v>
      </c>
      <c r="G1799" s="79">
        <v>2460100</v>
      </c>
    </row>
    <row r="1800" spans="1:7" x14ac:dyDescent="0.25">
      <c r="A1800" s="1" t="s">
        <v>1923</v>
      </c>
      <c r="B1800" s="76">
        <v>93.916611000000003</v>
      </c>
      <c r="C1800" s="76">
        <v>94.472633000000002</v>
      </c>
      <c r="D1800" s="76">
        <v>92.906989999999993</v>
      </c>
      <c r="E1800" s="76">
        <v>93.060631000000001</v>
      </c>
      <c r="F1800" s="76">
        <v>62.441207999999897</v>
      </c>
      <c r="G1800" s="79">
        <v>2712700</v>
      </c>
    </row>
    <row r="1801" spans="1:7" x14ac:dyDescent="0.25">
      <c r="A1801" s="1" t="s">
        <v>1924</v>
      </c>
      <c r="B1801" s="76">
        <v>93.638603000000003</v>
      </c>
      <c r="C1801" s="76">
        <v>93.733711</v>
      </c>
      <c r="D1801" s="76">
        <v>90.360991999999996</v>
      </c>
      <c r="E1801" s="76">
        <v>92.182700999999994</v>
      </c>
      <c r="F1801" s="76">
        <v>61.852153999999999</v>
      </c>
      <c r="G1801" s="79">
        <v>2629100</v>
      </c>
    </row>
    <row r="1802" spans="1:7" x14ac:dyDescent="0.25">
      <c r="A1802" s="1" t="s">
        <v>1925</v>
      </c>
      <c r="B1802" s="76">
        <v>91.487670999999906</v>
      </c>
      <c r="C1802" s="76">
        <v>91.824211000000005</v>
      </c>
      <c r="D1802" s="76">
        <v>88.773406999999906</v>
      </c>
      <c r="E1802" s="76">
        <v>88.963622999999998</v>
      </c>
      <c r="F1802" s="76">
        <v>59.692253000000001</v>
      </c>
      <c r="G1802" s="79">
        <v>2778800</v>
      </c>
    </row>
    <row r="1803" spans="1:7" x14ac:dyDescent="0.25">
      <c r="A1803" s="1" t="s">
        <v>1926</v>
      </c>
      <c r="B1803" s="76">
        <v>88.788032999999999</v>
      </c>
      <c r="C1803" s="76">
        <v>89.402587999999994</v>
      </c>
      <c r="D1803" s="76">
        <v>85.598220999999995</v>
      </c>
      <c r="E1803" s="76">
        <v>85.861603000000002</v>
      </c>
      <c r="F1803" s="76">
        <v>57.610886000000001</v>
      </c>
      <c r="G1803" s="79">
        <v>2737600</v>
      </c>
    </row>
    <row r="1804" spans="1:7" x14ac:dyDescent="0.25">
      <c r="A1804" s="1" t="s">
        <v>1927</v>
      </c>
      <c r="B1804" s="76">
        <v>86.103034999999906</v>
      </c>
      <c r="C1804" s="76">
        <v>90.639007999999905</v>
      </c>
      <c r="D1804" s="76">
        <v>86.103034999999906</v>
      </c>
      <c r="E1804" s="76">
        <v>89.900077999999993</v>
      </c>
      <c r="F1804" s="76">
        <v>60.32058</v>
      </c>
      <c r="G1804" s="79">
        <v>2163900</v>
      </c>
    </row>
    <row r="1805" spans="1:7" x14ac:dyDescent="0.25">
      <c r="A1805" s="1" t="s">
        <v>1928</v>
      </c>
      <c r="B1805" s="76">
        <v>89.980559999999997</v>
      </c>
      <c r="C1805" s="76">
        <v>89.980559999999997</v>
      </c>
      <c r="D1805" s="76">
        <v>87.917418999999995</v>
      </c>
      <c r="E1805" s="76">
        <v>88.180801000000002</v>
      </c>
      <c r="F1805" s="76">
        <v>59.166984999999997</v>
      </c>
      <c r="G1805" s="79">
        <v>1793700</v>
      </c>
    </row>
    <row r="1806" spans="1:7" x14ac:dyDescent="0.25">
      <c r="A1806" s="1" t="s">
        <v>1929</v>
      </c>
      <c r="B1806" s="76">
        <v>89.987876999999997</v>
      </c>
      <c r="C1806" s="76">
        <v>91.633994999999999</v>
      </c>
      <c r="D1806" s="76">
        <v>89.826920000000001</v>
      </c>
      <c r="E1806" s="76">
        <v>90.331733999999997</v>
      </c>
      <c r="F1806" s="76">
        <v>60.610202999999998</v>
      </c>
      <c r="G1806" s="79">
        <v>1753100</v>
      </c>
    </row>
    <row r="1807" spans="1:7" x14ac:dyDescent="0.25">
      <c r="A1807" s="1" t="s">
        <v>1930</v>
      </c>
      <c r="B1807" s="76">
        <v>91.026756000000006</v>
      </c>
      <c r="C1807" s="76">
        <v>91.597412000000006</v>
      </c>
      <c r="D1807" s="76">
        <v>90.324416999999997</v>
      </c>
      <c r="E1807" s="76">
        <v>90.982864000000006</v>
      </c>
      <c r="F1807" s="76">
        <v>61.047080999999999</v>
      </c>
      <c r="G1807" s="79">
        <v>1058600</v>
      </c>
    </row>
    <row r="1808" spans="1:7" x14ac:dyDescent="0.25">
      <c r="A1808" s="1" t="s">
        <v>1931</v>
      </c>
      <c r="B1808" s="76">
        <v>90.580475000000007</v>
      </c>
      <c r="C1808" s="76">
        <v>91.794944999999998</v>
      </c>
      <c r="D1808" s="76">
        <v>89.995193</v>
      </c>
      <c r="E1808" s="76">
        <v>91.026756000000006</v>
      </c>
      <c r="F1808" s="76">
        <v>61.076552999999997</v>
      </c>
      <c r="G1808" s="79">
        <v>1011900</v>
      </c>
    </row>
    <row r="1809" spans="1:7" x14ac:dyDescent="0.25">
      <c r="A1809" s="1" t="s">
        <v>1932</v>
      </c>
      <c r="B1809" s="76">
        <v>90.602424999999997</v>
      </c>
      <c r="C1809" s="76">
        <v>91.004807</v>
      </c>
      <c r="D1809" s="76">
        <v>87.800361999999893</v>
      </c>
      <c r="E1809" s="76">
        <v>87.910103000000007</v>
      </c>
      <c r="F1809" s="76">
        <v>58.985347999999902</v>
      </c>
      <c r="G1809" s="79">
        <v>2394100</v>
      </c>
    </row>
    <row r="1810" spans="1:7" x14ac:dyDescent="0.25">
      <c r="A1810" s="1" t="s">
        <v>1933</v>
      </c>
      <c r="B1810" s="76">
        <v>88.158851999999996</v>
      </c>
      <c r="C1810" s="76">
        <v>89.658653000000001</v>
      </c>
      <c r="D1810" s="76">
        <v>87.434562999999997</v>
      </c>
      <c r="E1810" s="76">
        <v>89.256264000000002</v>
      </c>
      <c r="F1810" s="76">
        <v>59.888596</v>
      </c>
      <c r="G1810" s="79">
        <v>2328900</v>
      </c>
    </row>
    <row r="1811" spans="1:7" x14ac:dyDescent="0.25">
      <c r="A1811" s="1" t="s">
        <v>1934</v>
      </c>
      <c r="B1811" s="76">
        <v>89.409903999999997</v>
      </c>
      <c r="C1811" s="76">
        <v>90.119559999999893</v>
      </c>
      <c r="D1811" s="76">
        <v>88.436867000000007</v>
      </c>
      <c r="E1811" s="76">
        <v>89.424537999999998</v>
      </c>
      <c r="F1811" s="76">
        <v>60.001494999999998</v>
      </c>
      <c r="G1811" s="79">
        <v>1207600</v>
      </c>
    </row>
    <row r="1812" spans="1:7" x14ac:dyDescent="0.25">
      <c r="A1812" s="1" t="s">
        <v>1935</v>
      </c>
      <c r="B1812" s="76">
        <v>89.768394000000001</v>
      </c>
      <c r="C1812" s="76">
        <v>89.863502999999994</v>
      </c>
      <c r="D1812" s="76">
        <v>87.910103000000007</v>
      </c>
      <c r="E1812" s="76">
        <v>88.458809000000002</v>
      </c>
      <c r="F1812" s="76">
        <v>59.353530999999997</v>
      </c>
      <c r="G1812" s="79">
        <v>2093500</v>
      </c>
    </row>
    <row r="1813" spans="1:7" x14ac:dyDescent="0.25">
      <c r="A1813" s="1" t="s">
        <v>1936</v>
      </c>
      <c r="B1813" s="76">
        <v>88.458809000000002</v>
      </c>
      <c r="C1813" s="76">
        <v>89.087997000000001</v>
      </c>
      <c r="D1813" s="76">
        <v>87.917418999999995</v>
      </c>
      <c r="E1813" s="76">
        <v>88.978256000000002</v>
      </c>
      <c r="F1813" s="76">
        <v>59.702052999999999</v>
      </c>
      <c r="G1813" s="79">
        <v>1130900</v>
      </c>
    </row>
    <row r="1814" spans="1:7" x14ac:dyDescent="0.25">
      <c r="A1814" s="1" t="s">
        <v>1937</v>
      </c>
      <c r="B1814" s="76">
        <v>88.817299000000006</v>
      </c>
      <c r="C1814" s="76">
        <v>89.644019999999998</v>
      </c>
      <c r="D1814" s="76">
        <v>88.312492000000006</v>
      </c>
      <c r="E1814" s="76">
        <v>89.519645999999995</v>
      </c>
      <c r="F1814" s="76">
        <v>60.065314999999998</v>
      </c>
      <c r="G1814" s="79">
        <v>941700</v>
      </c>
    </row>
    <row r="1815" spans="1:7" x14ac:dyDescent="0.25">
      <c r="A1815" s="1" t="s">
        <v>1938</v>
      </c>
      <c r="B1815" s="76">
        <v>89.761077999999998</v>
      </c>
      <c r="C1815" s="76">
        <v>91.494986999999995</v>
      </c>
      <c r="D1815" s="76">
        <v>88.992889000000005</v>
      </c>
      <c r="E1815" s="76">
        <v>91.429146000000003</v>
      </c>
      <c r="F1815" s="76">
        <v>61.346545999999996</v>
      </c>
      <c r="G1815" s="79">
        <v>2116500</v>
      </c>
    </row>
    <row r="1816" spans="1:7" x14ac:dyDescent="0.25">
      <c r="A1816" s="1" t="s">
        <v>1939</v>
      </c>
      <c r="B1816" s="76">
        <v>89.131889000000001</v>
      </c>
      <c r="C1816" s="76">
        <v>90.046402</v>
      </c>
      <c r="D1816" s="76">
        <v>88.773406999999906</v>
      </c>
      <c r="E1816" s="76">
        <v>89.351371999999998</v>
      </c>
      <c r="F1816" s="76">
        <v>59.952404000000001</v>
      </c>
      <c r="G1816" s="79">
        <v>5502100</v>
      </c>
    </row>
    <row r="1817" spans="1:7" x14ac:dyDescent="0.25">
      <c r="A1817" s="1" t="s">
        <v>1940</v>
      </c>
      <c r="B1817" s="76">
        <v>89.431854000000001</v>
      </c>
      <c r="C1817" s="76">
        <v>90.207358999999997</v>
      </c>
      <c r="D1817" s="76">
        <v>89.329430000000002</v>
      </c>
      <c r="E1817" s="76">
        <v>89.380638000000005</v>
      </c>
      <c r="F1817" s="76">
        <v>59.972037999999998</v>
      </c>
      <c r="G1817" s="79">
        <v>1702500</v>
      </c>
    </row>
    <row r="1818" spans="1:7" x14ac:dyDescent="0.25">
      <c r="A1818" s="1" t="s">
        <v>1941</v>
      </c>
      <c r="B1818" s="76">
        <v>89.241630999999998</v>
      </c>
      <c r="C1818" s="76">
        <v>90.112243999999905</v>
      </c>
      <c r="D1818" s="76">
        <v>87.661361999999997</v>
      </c>
      <c r="E1818" s="76">
        <v>88.297859000000003</v>
      </c>
      <c r="F1818" s="76">
        <v>59.245541000000003</v>
      </c>
      <c r="G1818" s="79">
        <v>2009600</v>
      </c>
    </row>
    <row r="1819" spans="1:7" x14ac:dyDescent="0.25">
      <c r="A1819" s="1" t="s">
        <v>1942</v>
      </c>
      <c r="B1819" s="76">
        <v>88.297859000000003</v>
      </c>
      <c r="C1819" s="76">
        <v>88.297859000000003</v>
      </c>
      <c r="D1819" s="76">
        <v>86.498099999999994</v>
      </c>
      <c r="E1819" s="76">
        <v>86.951697999999993</v>
      </c>
      <c r="F1819" s="76">
        <v>58.342278</v>
      </c>
      <c r="G1819" s="79">
        <v>1675900</v>
      </c>
    </row>
    <row r="1820" spans="1:7" x14ac:dyDescent="0.25">
      <c r="A1820" s="1" t="s">
        <v>1943</v>
      </c>
      <c r="B1820" s="76">
        <v>86.512732999999997</v>
      </c>
      <c r="C1820" s="76">
        <v>87.010222999999996</v>
      </c>
      <c r="D1820" s="76">
        <v>85.568954000000005</v>
      </c>
      <c r="E1820" s="76">
        <v>86.329833999999906</v>
      </c>
      <c r="F1820" s="76">
        <v>57.925041</v>
      </c>
      <c r="G1820" s="79">
        <v>1878500</v>
      </c>
    </row>
    <row r="1821" spans="1:7" x14ac:dyDescent="0.25">
      <c r="A1821" s="1" t="s">
        <v>1944</v>
      </c>
      <c r="B1821" s="76">
        <v>87.105339000000001</v>
      </c>
      <c r="C1821" s="76">
        <v>87.119964999999993</v>
      </c>
      <c r="D1821" s="76">
        <v>85.598220999999995</v>
      </c>
      <c r="E1821" s="76">
        <v>85.920128000000005</v>
      </c>
      <c r="F1821" s="76">
        <v>57.650126999999998</v>
      </c>
      <c r="G1821" s="79">
        <v>1986100</v>
      </c>
    </row>
    <row r="1822" spans="1:7" x14ac:dyDescent="0.25">
      <c r="A1822" s="1" t="s">
        <v>1945</v>
      </c>
      <c r="B1822" s="76">
        <v>86.103034999999906</v>
      </c>
      <c r="C1822" s="76">
        <v>87.646728999999993</v>
      </c>
      <c r="D1822" s="76">
        <v>85.927443999999994</v>
      </c>
      <c r="E1822" s="76">
        <v>87.310187999999997</v>
      </c>
      <c r="F1822" s="76">
        <v>58.582825</v>
      </c>
      <c r="G1822" s="79">
        <v>1670700</v>
      </c>
    </row>
    <row r="1823" spans="1:7" x14ac:dyDescent="0.25">
      <c r="A1823" s="1" t="s">
        <v>1946</v>
      </c>
      <c r="B1823" s="76">
        <v>87.310187999999997</v>
      </c>
      <c r="C1823" s="76">
        <v>88.005211000000003</v>
      </c>
      <c r="D1823" s="76">
        <v>86.680999999999997</v>
      </c>
      <c r="E1823" s="76">
        <v>87.946686</v>
      </c>
      <c r="F1823" s="76">
        <v>59.009884</v>
      </c>
      <c r="G1823" s="79">
        <v>1394800</v>
      </c>
    </row>
    <row r="1824" spans="1:7" x14ac:dyDescent="0.25">
      <c r="A1824" s="1" t="s">
        <v>1947</v>
      </c>
      <c r="B1824" s="76">
        <v>88.517341999999999</v>
      </c>
      <c r="C1824" s="76">
        <v>88.970939999999999</v>
      </c>
      <c r="D1824" s="76">
        <v>87.800361999999893</v>
      </c>
      <c r="E1824" s="76">
        <v>88.466125000000005</v>
      </c>
      <c r="F1824" s="76">
        <v>59.358432999999998</v>
      </c>
      <c r="G1824" s="79">
        <v>1299300</v>
      </c>
    </row>
    <row r="1825" spans="1:7" x14ac:dyDescent="0.25">
      <c r="A1825" s="1" t="s">
        <v>1948</v>
      </c>
      <c r="B1825" s="76">
        <v>88.466125000000005</v>
      </c>
      <c r="C1825" s="76">
        <v>88.700241000000005</v>
      </c>
      <c r="D1825" s="76">
        <v>87.090705999999997</v>
      </c>
      <c r="E1825" s="76">
        <v>87.895469999999904</v>
      </c>
      <c r="F1825" s="76">
        <v>58.975574000000002</v>
      </c>
      <c r="G1825" s="79">
        <v>1206200</v>
      </c>
    </row>
    <row r="1826" spans="1:7" x14ac:dyDescent="0.25">
      <c r="A1826" s="1" t="s">
        <v>1949</v>
      </c>
      <c r="B1826" s="76">
        <v>87.895469999999904</v>
      </c>
      <c r="C1826" s="76">
        <v>88.297859000000003</v>
      </c>
      <c r="D1826" s="76">
        <v>87.595511999999999</v>
      </c>
      <c r="E1826" s="76">
        <v>87.895469999999904</v>
      </c>
      <c r="F1826" s="76">
        <v>58.975574000000002</v>
      </c>
      <c r="G1826" s="79">
        <v>751800</v>
      </c>
    </row>
    <row r="1827" spans="1:7" x14ac:dyDescent="0.25">
      <c r="A1827" s="1" t="s">
        <v>1950</v>
      </c>
      <c r="B1827" s="76">
        <v>88.078377000000003</v>
      </c>
      <c r="C1827" s="76">
        <v>88.568550000000002</v>
      </c>
      <c r="D1827" s="76">
        <v>87.778412000000003</v>
      </c>
      <c r="E1827" s="76">
        <v>88.341751000000002</v>
      </c>
      <c r="F1827" s="76">
        <v>59.274985999999998</v>
      </c>
      <c r="G1827" s="79">
        <v>848200</v>
      </c>
    </row>
    <row r="1828" spans="1:7" x14ac:dyDescent="0.25">
      <c r="A1828" s="1" t="s">
        <v>1951</v>
      </c>
      <c r="B1828" s="76">
        <v>88.517341999999999</v>
      </c>
      <c r="C1828" s="76">
        <v>89.073363999999998</v>
      </c>
      <c r="D1828" s="76">
        <v>88.224693000000002</v>
      </c>
      <c r="E1828" s="76">
        <v>88.978256000000002</v>
      </c>
      <c r="F1828" s="76">
        <v>59.702052999999999</v>
      </c>
      <c r="G1828" s="79">
        <v>1072400</v>
      </c>
    </row>
    <row r="1829" spans="1:7" x14ac:dyDescent="0.25">
      <c r="A1829" s="1" t="s">
        <v>1952</v>
      </c>
      <c r="B1829" s="76">
        <v>88.524658000000002</v>
      </c>
      <c r="C1829" s="76">
        <v>89.256264000000002</v>
      </c>
      <c r="D1829" s="76">
        <v>86.615157999999994</v>
      </c>
      <c r="E1829" s="76">
        <v>87.163864000000004</v>
      </c>
      <c r="F1829" s="76">
        <v>58.484665</v>
      </c>
      <c r="G1829" s="79">
        <v>1271900</v>
      </c>
    </row>
    <row r="1830" spans="1:7" x14ac:dyDescent="0.25">
      <c r="A1830" s="1" t="s">
        <v>1953</v>
      </c>
      <c r="B1830" s="76">
        <v>84.639815999999996</v>
      </c>
      <c r="C1830" s="76">
        <v>87.302871999999994</v>
      </c>
      <c r="D1830" s="76">
        <v>84.639815999999996</v>
      </c>
      <c r="E1830" s="76">
        <v>87.090705999999997</v>
      </c>
      <c r="F1830" s="76">
        <v>58.435589</v>
      </c>
      <c r="G1830" s="79">
        <v>1433800</v>
      </c>
    </row>
    <row r="1831" spans="1:7" x14ac:dyDescent="0.25">
      <c r="A1831" s="1" t="s">
        <v>1954</v>
      </c>
      <c r="B1831" s="76">
        <v>89.607437000000004</v>
      </c>
      <c r="C1831" s="76">
        <v>89.607437000000004</v>
      </c>
      <c r="D1831" s="76">
        <v>86.300567999999998</v>
      </c>
      <c r="E1831" s="76">
        <v>88.049109999999999</v>
      </c>
      <c r="F1831" s="76">
        <v>59.078648000000001</v>
      </c>
      <c r="G1831" s="79">
        <v>1280800</v>
      </c>
    </row>
    <row r="1832" spans="1:7" x14ac:dyDescent="0.25">
      <c r="A1832" s="1" t="s">
        <v>1955</v>
      </c>
      <c r="B1832" s="76">
        <v>88.473442000000006</v>
      </c>
      <c r="C1832" s="76">
        <v>88.517341999999999</v>
      </c>
      <c r="D1832" s="76">
        <v>87.507720999999904</v>
      </c>
      <c r="E1832" s="76">
        <v>88.158851999999996</v>
      </c>
      <c r="F1832" s="76">
        <v>59.152282999999997</v>
      </c>
      <c r="G1832" s="79">
        <v>1155700</v>
      </c>
    </row>
    <row r="1833" spans="1:7" x14ac:dyDescent="0.25">
      <c r="A1833" s="1" t="s">
        <v>1956</v>
      </c>
      <c r="B1833" s="76">
        <v>90.690216000000007</v>
      </c>
      <c r="C1833" s="76">
        <v>90.690216000000007</v>
      </c>
      <c r="D1833" s="76">
        <v>87.749153000000007</v>
      </c>
      <c r="E1833" s="76">
        <v>88.846564999999998</v>
      </c>
      <c r="F1833" s="76">
        <v>59.613712</v>
      </c>
      <c r="G1833" s="79">
        <v>941900</v>
      </c>
    </row>
    <row r="1834" spans="1:7" x14ac:dyDescent="0.25">
      <c r="A1834" s="1" t="s">
        <v>1957</v>
      </c>
      <c r="B1834" s="76">
        <v>88.846564999999998</v>
      </c>
      <c r="C1834" s="76">
        <v>88.846564999999998</v>
      </c>
      <c r="D1834" s="76">
        <v>87.734519999999904</v>
      </c>
      <c r="E1834" s="76">
        <v>87.741837000000004</v>
      </c>
      <c r="F1834" s="76">
        <v>58.872439999999997</v>
      </c>
      <c r="G1834" s="79">
        <v>1788700</v>
      </c>
    </row>
    <row r="1835" spans="1:7" x14ac:dyDescent="0.25">
      <c r="A1835" s="1" t="s">
        <v>1958</v>
      </c>
      <c r="B1835" s="76">
        <v>87.749153000000007</v>
      </c>
      <c r="C1835" s="76">
        <v>88.319808999999907</v>
      </c>
      <c r="D1835" s="76">
        <v>87.178496999999993</v>
      </c>
      <c r="E1835" s="76">
        <v>87.866210999999893</v>
      </c>
      <c r="F1835" s="76">
        <v>58.955893999999901</v>
      </c>
      <c r="G1835" s="79">
        <v>1037300</v>
      </c>
    </row>
    <row r="1836" spans="1:7" x14ac:dyDescent="0.25">
      <c r="A1836" s="1" t="s">
        <v>1959</v>
      </c>
      <c r="B1836" s="76">
        <v>88.319808999999907</v>
      </c>
      <c r="C1836" s="76">
        <v>88.927040000000005</v>
      </c>
      <c r="D1836" s="76">
        <v>88.319808999999907</v>
      </c>
      <c r="E1836" s="76">
        <v>88.714873999999995</v>
      </c>
      <c r="F1836" s="76">
        <v>59.525332999999897</v>
      </c>
      <c r="G1836" s="79">
        <v>1279400</v>
      </c>
    </row>
    <row r="1837" spans="1:7" x14ac:dyDescent="0.25">
      <c r="A1837" s="1" t="s">
        <v>1960</v>
      </c>
      <c r="B1837" s="76">
        <v>88.714873999999995</v>
      </c>
      <c r="C1837" s="76">
        <v>89.717178000000004</v>
      </c>
      <c r="D1837" s="76">
        <v>88.524658000000002</v>
      </c>
      <c r="E1837" s="76">
        <v>89.658653000000001</v>
      </c>
      <c r="F1837" s="76">
        <v>60.158580999999998</v>
      </c>
      <c r="G1837" s="79">
        <v>1444900</v>
      </c>
    </row>
    <row r="1838" spans="1:7" x14ac:dyDescent="0.25">
      <c r="A1838" s="1" t="s">
        <v>1961</v>
      </c>
      <c r="B1838" s="76">
        <v>89.936661000000001</v>
      </c>
      <c r="C1838" s="76">
        <v>89.973243999999994</v>
      </c>
      <c r="D1838" s="76">
        <v>88.575867000000002</v>
      </c>
      <c r="E1838" s="76">
        <v>88.780715999999998</v>
      </c>
      <c r="F1838" s="76">
        <v>59.569515000000003</v>
      </c>
      <c r="G1838" s="79">
        <v>866000</v>
      </c>
    </row>
    <row r="1839" spans="1:7" x14ac:dyDescent="0.25">
      <c r="A1839" s="1" t="s">
        <v>1962</v>
      </c>
      <c r="B1839" s="76">
        <v>89.080680999999998</v>
      </c>
      <c r="C1839" s="76">
        <v>89.468429999999998</v>
      </c>
      <c r="D1839" s="76">
        <v>87.778412000000003</v>
      </c>
      <c r="E1839" s="76">
        <v>89.036781000000005</v>
      </c>
      <c r="F1839" s="76">
        <v>59.741337000000001</v>
      </c>
      <c r="G1839" s="79">
        <v>1064800</v>
      </c>
    </row>
    <row r="1840" spans="1:7" x14ac:dyDescent="0.25">
      <c r="A1840" s="1" t="s">
        <v>1963</v>
      </c>
      <c r="B1840" s="76">
        <v>88.853881999999999</v>
      </c>
      <c r="C1840" s="76">
        <v>89.366005000000001</v>
      </c>
      <c r="D1840" s="76">
        <v>88.312492000000006</v>
      </c>
      <c r="E1840" s="76">
        <v>88.890456999999998</v>
      </c>
      <c r="F1840" s="76">
        <v>59.6431579999999</v>
      </c>
      <c r="G1840" s="79">
        <v>892100</v>
      </c>
    </row>
    <row r="1841" spans="1:7" x14ac:dyDescent="0.25">
      <c r="A1841" s="1" t="s">
        <v>1964</v>
      </c>
      <c r="B1841" s="76">
        <v>88.283225999999999</v>
      </c>
      <c r="C1841" s="76">
        <v>88.853881999999999</v>
      </c>
      <c r="D1841" s="76">
        <v>87.793044999999907</v>
      </c>
      <c r="E1841" s="76">
        <v>88.649033000000003</v>
      </c>
      <c r="F1841" s="76">
        <v>59.900227000000001</v>
      </c>
      <c r="G1841" s="79">
        <v>773900</v>
      </c>
    </row>
    <row r="1842" spans="1:7" x14ac:dyDescent="0.25">
      <c r="A1842" s="1" t="s">
        <v>1965</v>
      </c>
      <c r="B1842" s="76">
        <v>88.831931999999995</v>
      </c>
      <c r="C1842" s="76">
        <v>88.839248999999995</v>
      </c>
      <c r="D1842" s="76">
        <v>86.768799000000001</v>
      </c>
      <c r="E1842" s="76">
        <v>86.790740999999997</v>
      </c>
      <c r="F1842" s="76">
        <v>58.644587999999999</v>
      </c>
      <c r="G1842" s="79">
        <v>1217200</v>
      </c>
    </row>
    <row r="1843" spans="1:7" x14ac:dyDescent="0.25">
      <c r="A1843" s="1" t="s">
        <v>1966</v>
      </c>
      <c r="B1843" s="76">
        <v>86.863906999999998</v>
      </c>
      <c r="C1843" s="76">
        <v>87.741837000000004</v>
      </c>
      <c r="D1843" s="76">
        <v>85.210471999999996</v>
      </c>
      <c r="E1843" s="76">
        <v>86.571258999999998</v>
      </c>
      <c r="F1843" s="76">
        <v>58.496272999999903</v>
      </c>
      <c r="G1843" s="79">
        <v>1960800</v>
      </c>
    </row>
    <row r="1844" spans="1:7" x14ac:dyDescent="0.25">
      <c r="A1844" s="1" t="s">
        <v>1967</v>
      </c>
      <c r="B1844" s="76">
        <v>86.512732999999997</v>
      </c>
      <c r="C1844" s="76">
        <v>88.319808999999907</v>
      </c>
      <c r="D1844" s="76">
        <v>86.359093000000001</v>
      </c>
      <c r="E1844" s="76">
        <v>88.122268999999903</v>
      </c>
      <c r="F1844" s="76">
        <v>59.5443</v>
      </c>
      <c r="G1844" s="79">
        <v>1805500</v>
      </c>
    </row>
    <row r="1845" spans="1:7" x14ac:dyDescent="0.25">
      <c r="A1845" s="1" t="s">
        <v>1968</v>
      </c>
      <c r="B1845" s="76">
        <v>89.819603000000001</v>
      </c>
      <c r="C1845" s="76">
        <v>89.819603000000001</v>
      </c>
      <c r="D1845" s="76">
        <v>87.866210999999893</v>
      </c>
      <c r="E1845" s="76">
        <v>88.144217999999995</v>
      </c>
      <c r="F1845" s="76">
        <v>59.559123999999997</v>
      </c>
      <c r="G1845" s="79">
        <v>992600</v>
      </c>
    </row>
    <row r="1846" spans="1:7" x14ac:dyDescent="0.25">
      <c r="A1846" s="1" t="s">
        <v>1969</v>
      </c>
      <c r="B1846" s="76">
        <v>88.327126000000007</v>
      </c>
      <c r="C1846" s="76">
        <v>88.524658000000002</v>
      </c>
      <c r="D1846" s="76">
        <v>87.105339000000001</v>
      </c>
      <c r="E1846" s="76">
        <v>87.471137999999996</v>
      </c>
      <c r="F1846" s="76">
        <v>59.104317000000002</v>
      </c>
      <c r="G1846" s="79">
        <v>1254600</v>
      </c>
    </row>
    <row r="1847" spans="1:7" x14ac:dyDescent="0.25">
      <c r="A1847" s="1" t="s">
        <v>1970</v>
      </c>
      <c r="B1847" s="76">
        <v>88.436867000000007</v>
      </c>
      <c r="C1847" s="76">
        <v>88.436867000000007</v>
      </c>
      <c r="D1847" s="76">
        <v>87.756469999999993</v>
      </c>
      <c r="E1847" s="76">
        <v>88.136902000000006</v>
      </c>
      <c r="F1847" s="76">
        <v>59.554203000000001</v>
      </c>
      <c r="G1847" s="79">
        <v>930300</v>
      </c>
    </row>
    <row r="1848" spans="1:7" x14ac:dyDescent="0.25">
      <c r="A1848" s="1" t="s">
        <v>1971</v>
      </c>
      <c r="B1848" s="76">
        <v>88.136902000000006</v>
      </c>
      <c r="C1848" s="76">
        <v>88.136902000000006</v>
      </c>
      <c r="D1848" s="76">
        <v>87.134597999999997</v>
      </c>
      <c r="E1848" s="76">
        <v>87.134597999999997</v>
      </c>
      <c r="F1848" s="76">
        <v>58.876914999999997</v>
      </c>
      <c r="G1848" s="79">
        <v>1321700</v>
      </c>
    </row>
    <row r="1849" spans="1:7" x14ac:dyDescent="0.25">
      <c r="A1849" s="1" t="s">
        <v>1972</v>
      </c>
      <c r="B1849" s="76">
        <v>87.141914</v>
      </c>
      <c r="C1849" s="76">
        <v>88.341751000000002</v>
      </c>
      <c r="D1849" s="76">
        <v>87.134597999999997</v>
      </c>
      <c r="E1849" s="76">
        <v>87.932052999999996</v>
      </c>
      <c r="F1849" s="76">
        <v>59.415764000000003</v>
      </c>
      <c r="G1849" s="79">
        <v>1218300</v>
      </c>
    </row>
    <row r="1850" spans="1:7" x14ac:dyDescent="0.25">
      <c r="A1850" s="1" t="s">
        <v>1973</v>
      </c>
      <c r="B1850" s="76">
        <v>87.749153000000007</v>
      </c>
      <c r="C1850" s="76">
        <v>87.997901999999996</v>
      </c>
      <c r="D1850" s="76">
        <v>86.263984999999906</v>
      </c>
      <c r="E1850" s="76">
        <v>86.366408999999905</v>
      </c>
      <c r="F1850" s="76">
        <v>58.357838000000001</v>
      </c>
      <c r="G1850" s="79">
        <v>1302400</v>
      </c>
    </row>
    <row r="1851" spans="1:7" x14ac:dyDescent="0.25">
      <c r="A1851" s="1" t="s">
        <v>1974</v>
      </c>
      <c r="B1851" s="76">
        <v>86.476151000000002</v>
      </c>
      <c r="C1851" s="76">
        <v>87.690619999999996</v>
      </c>
      <c r="D1851" s="76">
        <v>86.410308999999998</v>
      </c>
      <c r="E1851" s="76">
        <v>87.544303999999997</v>
      </c>
      <c r="F1851" s="76">
        <v>59.153758999999901</v>
      </c>
      <c r="G1851" s="79">
        <v>858200</v>
      </c>
    </row>
    <row r="1852" spans="1:7" x14ac:dyDescent="0.25">
      <c r="A1852" s="1" t="s">
        <v>1975</v>
      </c>
      <c r="B1852" s="76">
        <v>87.793044999999907</v>
      </c>
      <c r="C1852" s="76">
        <v>88.217383999999996</v>
      </c>
      <c r="D1852" s="76">
        <v>86.849273999999994</v>
      </c>
      <c r="E1852" s="76">
        <v>86.893165999999994</v>
      </c>
      <c r="F1852" s="76">
        <v>58.713776000000003</v>
      </c>
      <c r="G1852" s="79">
        <v>817200</v>
      </c>
    </row>
    <row r="1853" spans="1:7" x14ac:dyDescent="0.25">
      <c r="A1853" s="1" t="s">
        <v>1976</v>
      </c>
      <c r="B1853" s="76">
        <v>86.900481999999997</v>
      </c>
      <c r="C1853" s="76">
        <v>87.573562999999993</v>
      </c>
      <c r="D1853" s="76">
        <v>85.261680999999996</v>
      </c>
      <c r="E1853" s="76">
        <v>85.364104999999995</v>
      </c>
      <c r="F1853" s="76">
        <v>57.680591999999997</v>
      </c>
      <c r="G1853" s="79">
        <v>1409700</v>
      </c>
    </row>
    <row r="1854" spans="1:7" x14ac:dyDescent="0.25">
      <c r="A1854" s="1" t="s">
        <v>1977</v>
      </c>
      <c r="B1854" s="76">
        <v>85.488479999999996</v>
      </c>
      <c r="C1854" s="76">
        <v>85.803069999999906</v>
      </c>
      <c r="D1854" s="76">
        <v>83.637512000000001</v>
      </c>
      <c r="E1854" s="76">
        <v>84.281326000000007</v>
      </c>
      <c r="F1854" s="76">
        <v>56.948962999999999</v>
      </c>
      <c r="G1854" s="79">
        <v>1999600</v>
      </c>
    </row>
    <row r="1855" spans="1:7" x14ac:dyDescent="0.25">
      <c r="A1855" s="1" t="s">
        <v>1978</v>
      </c>
      <c r="B1855" s="76">
        <v>83.783828999999997</v>
      </c>
      <c r="C1855" s="76">
        <v>84.076476999999997</v>
      </c>
      <c r="D1855" s="76">
        <v>82.737633000000002</v>
      </c>
      <c r="E1855" s="76">
        <v>83.066856000000001</v>
      </c>
      <c r="F1855" s="76">
        <v>56.128337999999999</v>
      </c>
      <c r="G1855" s="79">
        <v>2073300</v>
      </c>
    </row>
    <row r="1856" spans="1:7" x14ac:dyDescent="0.25">
      <c r="A1856" s="1" t="s">
        <v>1979</v>
      </c>
      <c r="B1856" s="76">
        <v>83.330230999999998</v>
      </c>
      <c r="C1856" s="76">
        <v>83.388762999999997</v>
      </c>
      <c r="D1856" s="76">
        <v>81.46463</v>
      </c>
      <c r="E1856" s="76">
        <v>81.567054999999996</v>
      </c>
      <c r="F1856" s="76">
        <v>55.114922</v>
      </c>
      <c r="G1856" s="79">
        <v>2410900</v>
      </c>
    </row>
    <row r="1857" spans="1:7" x14ac:dyDescent="0.25">
      <c r="A1857" s="1" t="s">
        <v>1980</v>
      </c>
      <c r="B1857" s="76">
        <v>79.043006999999903</v>
      </c>
      <c r="C1857" s="76">
        <v>83.425345999999905</v>
      </c>
      <c r="D1857" s="76">
        <v>76.109252999999995</v>
      </c>
      <c r="E1857" s="76">
        <v>82.744949000000005</v>
      </c>
      <c r="F1857" s="76">
        <v>55.910831000000002</v>
      </c>
      <c r="G1857" s="79">
        <v>3065200</v>
      </c>
    </row>
    <row r="1858" spans="1:7" x14ac:dyDescent="0.25">
      <c r="A1858" s="1" t="s">
        <v>1981</v>
      </c>
      <c r="B1858" s="76">
        <v>83.235123000000002</v>
      </c>
      <c r="C1858" s="76">
        <v>84.434967</v>
      </c>
      <c r="D1858" s="76">
        <v>82.854691000000003</v>
      </c>
      <c r="E1858" s="76">
        <v>84.010627999999997</v>
      </c>
      <c r="F1858" s="76">
        <v>56.766025999999997</v>
      </c>
      <c r="G1858" s="79">
        <v>1666200</v>
      </c>
    </row>
    <row r="1859" spans="1:7" x14ac:dyDescent="0.25">
      <c r="A1859" s="1" t="s">
        <v>1982</v>
      </c>
      <c r="B1859" s="76">
        <v>83.586295999999905</v>
      </c>
      <c r="C1859" s="76">
        <v>84.844666000000004</v>
      </c>
      <c r="D1859" s="76">
        <v>82.818107999999995</v>
      </c>
      <c r="E1859" s="76">
        <v>82.840057000000002</v>
      </c>
      <c r="F1859" s="76">
        <v>55.975101000000002</v>
      </c>
      <c r="G1859" s="79">
        <v>1552700</v>
      </c>
    </row>
    <row r="1860" spans="1:7" x14ac:dyDescent="0.25">
      <c r="A1860" s="1" t="s">
        <v>1983</v>
      </c>
      <c r="B1860" s="76">
        <v>82.818107999999995</v>
      </c>
      <c r="C1860" s="76">
        <v>83.037589999999994</v>
      </c>
      <c r="D1860" s="76">
        <v>80.725707999999997</v>
      </c>
      <c r="E1860" s="76">
        <v>81.486580000000004</v>
      </c>
      <c r="F1860" s="76">
        <v>55.060555000000001</v>
      </c>
      <c r="G1860" s="79">
        <v>1819900</v>
      </c>
    </row>
    <row r="1861" spans="1:7" x14ac:dyDescent="0.25">
      <c r="A1861" s="1" t="s">
        <v>1984</v>
      </c>
      <c r="B1861" s="76">
        <v>81.669478999999995</v>
      </c>
      <c r="C1861" s="76">
        <v>83.030272999999994</v>
      </c>
      <c r="D1861" s="76">
        <v>81.384155000000007</v>
      </c>
      <c r="E1861" s="76">
        <v>82.042603</v>
      </c>
      <c r="F1861" s="76">
        <v>55.4362449999999</v>
      </c>
      <c r="G1861" s="79">
        <v>1497100</v>
      </c>
    </row>
    <row r="1862" spans="1:7" x14ac:dyDescent="0.25">
      <c r="A1862" s="1" t="s">
        <v>1985</v>
      </c>
      <c r="B1862" s="76">
        <v>83.878943999999905</v>
      </c>
      <c r="C1862" s="76">
        <v>85.173889000000003</v>
      </c>
      <c r="D1862" s="76">
        <v>83.571663000000001</v>
      </c>
      <c r="E1862" s="76">
        <v>84.976356999999993</v>
      </c>
      <c r="F1862" s="76">
        <v>57.418590999999999</v>
      </c>
      <c r="G1862" s="79">
        <v>2466500</v>
      </c>
    </row>
    <row r="1863" spans="1:7" x14ac:dyDescent="0.25">
      <c r="A1863" s="1" t="s">
        <v>1986</v>
      </c>
      <c r="B1863" s="76">
        <v>85.049515</v>
      </c>
      <c r="C1863" s="76">
        <v>88.034476999999995</v>
      </c>
      <c r="D1863" s="76">
        <v>84.866614999999996</v>
      </c>
      <c r="E1863" s="76">
        <v>87.55162</v>
      </c>
      <c r="F1863" s="76">
        <v>59.158687999999998</v>
      </c>
      <c r="G1863" s="79">
        <v>3042500</v>
      </c>
    </row>
    <row r="1864" spans="1:7" x14ac:dyDescent="0.25">
      <c r="A1864" s="1" t="s">
        <v>1987</v>
      </c>
      <c r="B1864" s="76">
        <v>87.566245999999893</v>
      </c>
      <c r="C1864" s="76">
        <v>88.627082999999999</v>
      </c>
      <c r="D1864" s="76">
        <v>86.666366999999994</v>
      </c>
      <c r="E1864" s="76">
        <v>88.531975000000003</v>
      </c>
      <c r="F1864" s="76">
        <v>59.821128999999999</v>
      </c>
      <c r="G1864" s="79">
        <v>2706200</v>
      </c>
    </row>
    <row r="1865" spans="1:7" x14ac:dyDescent="0.25">
      <c r="A1865" s="1" t="s">
        <v>1988</v>
      </c>
      <c r="B1865" s="76">
        <v>88.890456999999998</v>
      </c>
      <c r="C1865" s="76">
        <v>88.927040000000005</v>
      </c>
      <c r="D1865" s="76">
        <v>87.558929000000006</v>
      </c>
      <c r="E1865" s="76">
        <v>88.166167999999999</v>
      </c>
      <c r="F1865" s="76">
        <v>59.573920999999999</v>
      </c>
      <c r="G1865" s="79">
        <v>2216000</v>
      </c>
    </row>
    <row r="1866" spans="1:7" x14ac:dyDescent="0.25">
      <c r="A1866" s="1" t="s">
        <v>1989</v>
      </c>
      <c r="B1866" s="76">
        <v>88.166167999999999</v>
      </c>
      <c r="C1866" s="76">
        <v>90.185410000000005</v>
      </c>
      <c r="D1866" s="76">
        <v>87.785728000000006</v>
      </c>
      <c r="E1866" s="76">
        <v>88.444175999999999</v>
      </c>
      <c r="F1866" s="76">
        <v>59.761798999999897</v>
      </c>
      <c r="G1866" s="79">
        <v>1719400</v>
      </c>
    </row>
    <row r="1867" spans="1:7" x14ac:dyDescent="0.25">
      <c r="A1867" s="1" t="s">
        <v>1990</v>
      </c>
      <c r="B1867" s="76">
        <v>87.280922000000004</v>
      </c>
      <c r="C1867" s="76">
        <v>88.444175999999999</v>
      </c>
      <c r="D1867" s="76">
        <v>86.878540000000001</v>
      </c>
      <c r="E1867" s="76">
        <v>86.907798999999997</v>
      </c>
      <c r="F1867" s="76">
        <v>58.723663000000002</v>
      </c>
      <c r="G1867" s="79">
        <v>1380700</v>
      </c>
    </row>
    <row r="1868" spans="1:7" x14ac:dyDescent="0.25">
      <c r="A1868" s="1" t="s">
        <v>1991</v>
      </c>
      <c r="B1868" s="76">
        <v>86.761482000000001</v>
      </c>
      <c r="C1868" s="76">
        <v>87.361396999999997</v>
      </c>
      <c r="D1868" s="76">
        <v>85.949393999999998</v>
      </c>
      <c r="E1868" s="76">
        <v>86.095718000000005</v>
      </c>
      <c r="F1868" s="76">
        <v>58.174933999999901</v>
      </c>
      <c r="G1868" s="79">
        <v>1805500</v>
      </c>
    </row>
    <row r="1869" spans="1:7" x14ac:dyDescent="0.25">
      <c r="A1869" s="1" t="s">
        <v>1992</v>
      </c>
      <c r="B1869" s="76">
        <v>85.598220999999995</v>
      </c>
      <c r="C1869" s="76">
        <v>85.715278999999995</v>
      </c>
      <c r="D1869" s="76">
        <v>83.037589999999994</v>
      </c>
      <c r="E1869" s="76">
        <v>83.630195999999998</v>
      </c>
      <c r="F1869" s="76">
        <v>56.508980000000001</v>
      </c>
      <c r="G1869" s="79">
        <v>2305100</v>
      </c>
    </row>
    <row r="1870" spans="1:7" x14ac:dyDescent="0.25">
      <c r="A1870" s="1" t="s">
        <v>1993</v>
      </c>
      <c r="B1870" s="76">
        <v>83.476555000000005</v>
      </c>
      <c r="C1870" s="76">
        <v>85.422638000000006</v>
      </c>
      <c r="D1870" s="76">
        <v>83.037589999999994</v>
      </c>
      <c r="E1870" s="76">
        <v>85.320212999999995</v>
      </c>
      <c r="F1870" s="76">
        <v>57.650936000000002</v>
      </c>
      <c r="G1870" s="79">
        <v>1578400</v>
      </c>
    </row>
    <row r="1871" spans="1:7" x14ac:dyDescent="0.25">
      <c r="A1871" s="1" t="s">
        <v>1994</v>
      </c>
      <c r="B1871" s="76">
        <v>84.5886</v>
      </c>
      <c r="C1871" s="76">
        <v>84.749556999999996</v>
      </c>
      <c r="D1871" s="76">
        <v>83.513137999999998</v>
      </c>
      <c r="E1871" s="76">
        <v>83.586295999999905</v>
      </c>
      <c r="F1871" s="76">
        <v>56.479308999999901</v>
      </c>
      <c r="G1871" s="79">
        <v>1218200</v>
      </c>
    </row>
    <row r="1872" spans="1:7" x14ac:dyDescent="0.25">
      <c r="A1872" s="1" t="s">
        <v>1995</v>
      </c>
      <c r="B1872" s="76">
        <v>83.571663000000001</v>
      </c>
      <c r="C1872" s="76">
        <v>83.586295999999905</v>
      </c>
      <c r="D1872" s="76">
        <v>81.764595</v>
      </c>
      <c r="E1872" s="76">
        <v>81.815804</v>
      </c>
      <c r="F1872" s="76">
        <v>55.282996999999902</v>
      </c>
      <c r="G1872" s="79">
        <v>2060300</v>
      </c>
    </row>
    <row r="1873" spans="1:7" x14ac:dyDescent="0.25">
      <c r="A1873" s="1" t="s">
        <v>1996</v>
      </c>
      <c r="B1873" s="76">
        <v>82.181609999999907</v>
      </c>
      <c r="C1873" s="76">
        <v>84.149635000000004</v>
      </c>
      <c r="D1873" s="76">
        <v>82.159660000000002</v>
      </c>
      <c r="E1873" s="76">
        <v>84.010627999999997</v>
      </c>
      <c r="F1873" s="76">
        <v>56.766025999999997</v>
      </c>
      <c r="G1873" s="79">
        <v>1796200</v>
      </c>
    </row>
    <row r="1874" spans="1:7" x14ac:dyDescent="0.25">
      <c r="A1874" s="1" t="s">
        <v>1997</v>
      </c>
      <c r="B1874" s="76">
        <v>83.586295999999905</v>
      </c>
      <c r="C1874" s="76">
        <v>84.135002</v>
      </c>
      <c r="D1874" s="76">
        <v>82.964431999999903</v>
      </c>
      <c r="E1874" s="76">
        <v>83.681404000000001</v>
      </c>
      <c r="F1874" s="76">
        <v>56.543579000000001</v>
      </c>
      <c r="G1874" s="79">
        <v>1703200</v>
      </c>
    </row>
    <row r="1875" spans="1:7" x14ac:dyDescent="0.25">
      <c r="A1875" s="1" t="s">
        <v>1998</v>
      </c>
      <c r="B1875" s="76">
        <v>84.317909</v>
      </c>
      <c r="C1875" s="76">
        <v>85.671379000000002</v>
      </c>
      <c r="D1875" s="76">
        <v>83.922836000000004</v>
      </c>
      <c r="E1875" s="76">
        <v>85.268996999999999</v>
      </c>
      <c r="F1875" s="76">
        <v>57.616340999999998</v>
      </c>
      <c r="G1875" s="79">
        <v>1885800</v>
      </c>
    </row>
    <row r="1876" spans="1:7" x14ac:dyDescent="0.25">
      <c r="A1876" s="1" t="s">
        <v>1999</v>
      </c>
      <c r="B1876" s="76">
        <v>85.598220999999995</v>
      </c>
      <c r="C1876" s="76">
        <v>85.598220999999995</v>
      </c>
      <c r="D1876" s="76">
        <v>84.208168000000001</v>
      </c>
      <c r="E1876" s="76">
        <v>84.281326000000007</v>
      </c>
      <c r="F1876" s="76">
        <v>56.948962999999999</v>
      </c>
      <c r="G1876" s="79">
        <v>1426100</v>
      </c>
    </row>
    <row r="1877" spans="1:7" x14ac:dyDescent="0.25">
      <c r="A1877" s="1" t="s">
        <v>2000</v>
      </c>
      <c r="B1877" s="76">
        <v>84.281326000000007</v>
      </c>
      <c r="C1877" s="76">
        <v>84.391068000000004</v>
      </c>
      <c r="D1877" s="76">
        <v>83.344864000000001</v>
      </c>
      <c r="E1877" s="76">
        <v>83.974052</v>
      </c>
      <c r="F1877" s="76">
        <v>56.741325000000003</v>
      </c>
      <c r="G1877" s="79">
        <v>1433400</v>
      </c>
    </row>
    <row r="1878" spans="1:7" x14ac:dyDescent="0.25">
      <c r="A1878" s="1" t="s">
        <v>2001</v>
      </c>
      <c r="B1878" s="76">
        <v>84.156952000000004</v>
      </c>
      <c r="C1878" s="76">
        <v>84.237426999999997</v>
      </c>
      <c r="D1878" s="76">
        <v>81.632903999999996</v>
      </c>
      <c r="E1878" s="76">
        <v>81.632903999999996</v>
      </c>
      <c r="F1878" s="76">
        <v>55.159405</v>
      </c>
      <c r="G1878" s="79">
        <v>1446800</v>
      </c>
    </row>
    <row r="1879" spans="1:7" x14ac:dyDescent="0.25">
      <c r="A1879" s="1" t="s">
        <v>2002</v>
      </c>
      <c r="B1879" s="76">
        <v>81.267096999999893</v>
      </c>
      <c r="C1879" s="76">
        <v>81.435370999999904</v>
      </c>
      <c r="D1879" s="76">
        <v>79.255172999999999</v>
      </c>
      <c r="E1879" s="76">
        <v>80.776916999999997</v>
      </c>
      <c r="F1879" s="76">
        <v>54.581017000000003</v>
      </c>
      <c r="G1879" s="79">
        <v>3688100</v>
      </c>
    </row>
    <row r="1880" spans="1:7" x14ac:dyDescent="0.25">
      <c r="A1880" s="1" t="s">
        <v>2003</v>
      </c>
      <c r="B1880" s="76">
        <v>80.191634999999906</v>
      </c>
      <c r="C1880" s="76">
        <v>80.498908999999998</v>
      </c>
      <c r="D1880" s="76">
        <v>79.357596999999998</v>
      </c>
      <c r="E1880" s="76">
        <v>79.913619999999995</v>
      </c>
      <c r="F1880" s="76">
        <v>53.997677000000003</v>
      </c>
      <c r="G1880" s="79">
        <v>1823800</v>
      </c>
    </row>
    <row r="1881" spans="1:7" x14ac:dyDescent="0.25">
      <c r="A1881" s="1" t="s">
        <v>2004</v>
      </c>
      <c r="B1881" s="76">
        <v>79.474654999999998</v>
      </c>
      <c r="C1881" s="76">
        <v>80.272109999999998</v>
      </c>
      <c r="D1881" s="76">
        <v>77.923644999999993</v>
      </c>
      <c r="E1881" s="76">
        <v>78.552825999999996</v>
      </c>
      <c r="F1881" s="76">
        <v>53.078208999999902</v>
      </c>
      <c r="G1881" s="79">
        <v>1920900</v>
      </c>
    </row>
    <row r="1882" spans="1:7" x14ac:dyDescent="0.25">
      <c r="A1882" s="1" t="s">
        <v>2005</v>
      </c>
      <c r="B1882" s="76">
        <v>79.379547000000002</v>
      </c>
      <c r="C1882" s="76">
        <v>79.708770999999999</v>
      </c>
      <c r="D1882" s="76">
        <v>78.062652999999997</v>
      </c>
      <c r="E1882" s="76">
        <v>78.867424</v>
      </c>
      <c r="F1882" s="76">
        <v>53.290774999999996</v>
      </c>
      <c r="G1882" s="79">
        <v>1900200</v>
      </c>
    </row>
    <row r="1883" spans="1:7" x14ac:dyDescent="0.25">
      <c r="A1883" s="1" t="s">
        <v>2006</v>
      </c>
      <c r="B1883" s="76">
        <v>78.867424</v>
      </c>
      <c r="C1883" s="76">
        <v>82.518150000000006</v>
      </c>
      <c r="D1883" s="76">
        <v>77.382255999999998</v>
      </c>
      <c r="E1883" s="76">
        <v>81.837753000000006</v>
      </c>
      <c r="F1883" s="76">
        <v>55.297820999999999</v>
      </c>
      <c r="G1883" s="79">
        <v>2923600</v>
      </c>
    </row>
    <row r="1884" spans="1:7" x14ac:dyDescent="0.25">
      <c r="A1884" s="1" t="s">
        <v>2007</v>
      </c>
      <c r="B1884" s="76">
        <v>81.801169999999999</v>
      </c>
      <c r="C1884" s="76">
        <v>82.532783999999893</v>
      </c>
      <c r="D1884" s="76">
        <v>79.481971999999999</v>
      </c>
      <c r="E1884" s="76">
        <v>80.542808999999906</v>
      </c>
      <c r="F1884" s="76">
        <v>54.4228319999999</v>
      </c>
      <c r="G1884" s="79">
        <v>2152100</v>
      </c>
    </row>
    <row r="1885" spans="1:7" x14ac:dyDescent="0.25">
      <c r="A1885" s="1" t="s">
        <v>2008</v>
      </c>
      <c r="B1885" s="76">
        <v>80.550117</v>
      </c>
      <c r="C1885" s="76">
        <v>81.632903999999996</v>
      </c>
      <c r="D1885" s="76">
        <v>79.774612000000005</v>
      </c>
      <c r="E1885" s="76">
        <v>80.359900999999994</v>
      </c>
      <c r="F1885" s="76">
        <v>54.299252000000003</v>
      </c>
      <c r="G1885" s="79">
        <v>2401800</v>
      </c>
    </row>
    <row r="1886" spans="1:7" x14ac:dyDescent="0.25">
      <c r="A1886" s="1" t="s">
        <v>2009</v>
      </c>
      <c r="B1886" s="76">
        <v>81.976760999999996</v>
      </c>
      <c r="C1886" s="76">
        <v>84.010627999999997</v>
      </c>
      <c r="D1886" s="76">
        <v>81.647537</v>
      </c>
      <c r="E1886" s="76">
        <v>83.959418999999997</v>
      </c>
      <c r="F1886" s="76">
        <v>56.731448999999998</v>
      </c>
      <c r="G1886" s="79">
        <v>2757400</v>
      </c>
    </row>
    <row r="1887" spans="1:7" x14ac:dyDescent="0.25">
      <c r="A1887" s="1" t="s">
        <v>2010</v>
      </c>
      <c r="B1887" s="76">
        <v>83.725303999999994</v>
      </c>
      <c r="C1887" s="76">
        <v>84.632499999999993</v>
      </c>
      <c r="D1887" s="76">
        <v>83.154647999999995</v>
      </c>
      <c r="E1887" s="76">
        <v>83.330230999999998</v>
      </c>
      <c r="F1887" s="76">
        <v>56.306297000000001</v>
      </c>
      <c r="G1887" s="79">
        <v>876500</v>
      </c>
    </row>
    <row r="1888" spans="1:7" x14ac:dyDescent="0.25">
      <c r="A1888" s="1" t="s">
        <v>2011</v>
      </c>
      <c r="B1888" s="76">
        <v>84.720291000000003</v>
      </c>
      <c r="C1888" s="76">
        <v>85.751862000000003</v>
      </c>
      <c r="D1888" s="76">
        <v>83.835044999999994</v>
      </c>
      <c r="E1888" s="76">
        <v>84.142319000000001</v>
      </c>
      <c r="F1888" s="76">
        <v>56.855018999999899</v>
      </c>
      <c r="G1888" s="79">
        <v>1759500</v>
      </c>
    </row>
    <row r="1889" spans="1:7" x14ac:dyDescent="0.25">
      <c r="A1889" s="1" t="s">
        <v>2012</v>
      </c>
      <c r="B1889" s="76">
        <v>84.025261</v>
      </c>
      <c r="C1889" s="76">
        <v>84.281326000000007</v>
      </c>
      <c r="D1889" s="76">
        <v>83.279021999999998</v>
      </c>
      <c r="E1889" s="76">
        <v>83.827727999999993</v>
      </c>
      <c r="F1889" s="76">
        <v>56.642467000000003</v>
      </c>
      <c r="G1889" s="79">
        <v>1047600</v>
      </c>
    </row>
    <row r="1890" spans="1:7" x14ac:dyDescent="0.25">
      <c r="A1890" s="1" t="s">
        <v>2013</v>
      </c>
      <c r="B1890" s="76">
        <v>83.820412000000005</v>
      </c>
      <c r="C1890" s="76">
        <v>84.691024999999996</v>
      </c>
      <c r="D1890" s="76">
        <v>83.030272999999994</v>
      </c>
      <c r="E1890" s="76">
        <v>84.573966999999996</v>
      </c>
      <c r="F1890" s="76">
        <v>57.146698000000001</v>
      </c>
      <c r="G1890" s="79">
        <v>1689400</v>
      </c>
    </row>
    <row r="1891" spans="1:7" x14ac:dyDescent="0.25">
      <c r="A1891" s="1" t="s">
        <v>2014</v>
      </c>
      <c r="B1891" s="76">
        <v>83.739936999999998</v>
      </c>
      <c r="C1891" s="76">
        <v>84.047211000000004</v>
      </c>
      <c r="D1891" s="76">
        <v>82.605941999999999</v>
      </c>
      <c r="E1891" s="76">
        <v>82.781525000000002</v>
      </c>
      <c r="F1891" s="76">
        <v>55.935547</v>
      </c>
      <c r="G1891" s="79">
        <v>2260200</v>
      </c>
    </row>
    <row r="1892" spans="1:7" x14ac:dyDescent="0.25">
      <c r="A1892" s="1" t="s">
        <v>2015</v>
      </c>
      <c r="B1892" s="76">
        <v>82.488883999999999</v>
      </c>
      <c r="C1892" s="76">
        <v>82.598624999999998</v>
      </c>
      <c r="D1892" s="76">
        <v>81.340255999999997</v>
      </c>
      <c r="E1892" s="76">
        <v>82.027968999999999</v>
      </c>
      <c r="F1892" s="76">
        <v>55.426356999999904</v>
      </c>
      <c r="G1892" s="79">
        <v>1624800</v>
      </c>
    </row>
    <row r="1893" spans="1:7" x14ac:dyDescent="0.25">
      <c r="A1893" s="1" t="s">
        <v>2016</v>
      </c>
      <c r="B1893" s="76">
        <v>81.976760999999996</v>
      </c>
      <c r="C1893" s="76">
        <v>82.613258000000002</v>
      </c>
      <c r="D1893" s="76">
        <v>81.669478999999995</v>
      </c>
      <c r="E1893" s="76">
        <v>82.488883999999999</v>
      </c>
      <c r="F1893" s="76">
        <v>55.737797</v>
      </c>
      <c r="G1893" s="79">
        <v>2057600</v>
      </c>
    </row>
    <row r="1894" spans="1:7" x14ac:dyDescent="0.25">
      <c r="A1894" s="1" t="s">
        <v>2017</v>
      </c>
      <c r="B1894" s="76">
        <v>82.920531999999994</v>
      </c>
      <c r="C1894" s="76">
        <v>83.681404000000001</v>
      </c>
      <c r="D1894" s="76">
        <v>82.518150000000006</v>
      </c>
      <c r="E1894" s="76">
        <v>83.439980000000006</v>
      </c>
      <c r="F1894" s="76">
        <v>56.380465999999998</v>
      </c>
      <c r="G1894" s="79">
        <v>1307100</v>
      </c>
    </row>
    <row r="1895" spans="1:7" x14ac:dyDescent="0.25">
      <c r="A1895" s="1" t="s">
        <v>2018</v>
      </c>
      <c r="B1895" s="76">
        <v>83.622878999999998</v>
      </c>
      <c r="C1895" s="76">
        <v>84.369118</v>
      </c>
      <c r="D1895" s="76">
        <v>83.161963999999998</v>
      </c>
      <c r="E1895" s="76">
        <v>83.213181000000006</v>
      </c>
      <c r="F1895" s="76">
        <v>56.227203000000003</v>
      </c>
      <c r="G1895" s="79">
        <v>1512200</v>
      </c>
    </row>
    <row r="1896" spans="1:7" x14ac:dyDescent="0.25">
      <c r="A1896" s="1" t="s">
        <v>2019</v>
      </c>
      <c r="B1896" s="76">
        <v>83.717986999999994</v>
      </c>
      <c r="C1896" s="76">
        <v>83.988686000000001</v>
      </c>
      <c r="D1896" s="76">
        <v>83.132698000000005</v>
      </c>
      <c r="E1896" s="76">
        <v>83.227806000000001</v>
      </c>
      <c r="F1896" s="76">
        <v>56.237090999999999</v>
      </c>
      <c r="G1896" s="79">
        <v>1498000</v>
      </c>
    </row>
    <row r="1897" spans="1:7" x14ac:dyDescent="0.25">
      <c r="A1897" s="1" t="s">
        <v>2020</v>
      </c>
      <c r="B1897" s="76">
        <v>82.964431999999903</v>
      </c>
      <c r="C1897" s="76">
        <v>83.571663000000001</v>
      </c>
      <c r="D1897" s="76">
        <v>82.079184999999995</v>
      </c>
      <c r="E1897" s="76">
        <v>83.447288999999998</v>
      </c>
      <c r="F1897" s="76">
        <v>56.385387000000001</v>
      </c>
      <c r="G1897" s="79">
        <v>2179500</v>
      </c>
    </row>
    <row r="1898" spans="1:7" x14ac:dyDescent="0.25">
      <c r="A1898" s="1" t="s">
        <v>2021</v>
      </c>
      <c r="B1898" s="76">
        <v>83.805779000000001</v>
      </c>
      <c r="C1898" s="76">
        <v>84.215485000000001</v>
      </c>
      <c r="D1898" s="76">
        <v>83.030272999999994</v>
      </c>
      <c r="E1898" s="76">
        <v>83.549720999999906</v>
      </c>
      <c r="F1898" s="76">
        <v>56.454585999999999</v>
      </c>
      <c r="G1898" s="79">
        <v>1083100</v>
      </c>
    </row>
    <row r="1899" spans="1:7" x14ac:dyDescent="0.25">
      <c r="A1899" s="1" t="s">
        <v>2022</v>
      </c>
      <c r="B1899" s="76">
        <v>83.037589999999994</v>
      </c>
      <c r="C1899" s="76">
        <v>83.235123000000002</v>
      </c>
      <c r="D1899" s="76">
        <v>81.164672999999993</v>
      </c>
      <c r="E1899" s="76">
        <v>82.181609999999907</v>
      </c>
      <c r="F1899" s="76">
        <v>55.530147999999997</v>
      </c>
      <c r="G1899" s="79">
        <v>2040100</v>
      </c>
    </row>
    <row r="1900" spans="1:7" x14ac:dyDescent="0.25">
      <c r="A1900" s="1" t="s">
        <v>2023</v>
      </c>
      <c r="B1900" s="76">
        <v>82.671782999999905</v>
      </c>
      <c r="C1900" s="76">
        <v>82.788841000000005</v>
      </c>
      <c r="D1900" s="76">
        <v>80.667175</v>
      </c>
      <c r="E1900" s="76">
        <v>80.667175</v>
      </c>
      <c r="F1900" s="76">
        <v>54.506866000000002</v>
      </c>
      <c r="G1900" s="79">
        <v>1454100</v>
      </c>
    </row>
    <row r="1901" spans="1:7" x14ac:dyDescent="0.25">
      <c r="A1901" s="1" t="s">
        <v>2024</v>
      </c>
      <c r="B1901" s="76">
        <v>80.418433999999905</v>
      </c>
      <c r="C1901" s="76">
        <v>81.179305999999997</v>
      </c>
      <c r="D1901" s="76">
        <v>78.728415999999996</v>
      </c>
      <c r="E1901" s="76">
        <v>79.255172999999999</v>
      </c>
      <c r="F1901" s="76">
        <v>53.552783999999903</v>
      </c>
      <c r="G1901" s="79">
        <v>1887900</v>
      </c>
    </row>
    <row r="1902" spans="1:7" x14ac:dyDescent="0.25">
      <c r="A1902" s="1" t="s">
        <v>2025</v>
      </c>
      <c r="B1902" s="76">
        <v>80.476958999999994</v>
      </c>
      <c r="C1902" s="76">
        <v>80.623283000000001</v>
      </c>
      <c r="D1902" s="76">
        <v>78.282134999999997</v>
      </c>
      <c r="E1902" s="76">
        <v>79.474654999999998</v>
      </c>
      <c r="F1902" s="76">
        <v>53.701073000000001</v>
      </c>
      <c r="G1902" s="79">
        <v>1921900</v>
      </c>
    </row>
    <row r="1903" spans="1:7" x14ac:dyDescent="0.25">
      <c r="A1903" s="1" t="s">
        <v>2026</v>
      </c>
      <c r="B1903" s="76">
        <v>80.484275999999994</v>
      </c>
      <c r="C1903" s="76">
        <v>80.484275999999994</v>
      </c>
      <c r="D1903" s="76">
        <v>75.772712999999996</v>
      </c>
      <c r="E1903" s="76">
        <v>77.331039000000004</v>
      </c>
      <c r="F1903" s="76">
        <v>52.252651</v>
      </c>
      <c r="G1903" s="79">
        <v>3197000</v>
      </c>
    </row>
    <row r="1904" spans="1:7" x14ac:dyDescent="0.25">
      <c r="A1904" s="1" t="s">
        <v>2027</v>
      </c>
      <c r="B1904" s="76">
        <v>75.092322999999993</v>
      </c>
      <c r="C1904" s="76">
        <v>79.635611999999995</v>
      </c>
      <c r="D1904" s="76">
        <v>75.092322999999993</v>
      </c>
      <c r="E1904" s="76">
        <v>75.121581999999904</v>
      </c>
      <c r="F1904" s="76">
        <v>50.759726999999998</v>
      </c>
      <c r="G1904" s="79">
        <v>2798300</v>
      </c>
    </row>
    <row r="1905" spans="1:7" x14ac:dyDescent="0.25">
      <c r="A1905" s="1" t="s">
        <v>2028</v>
      </c>
      <c r="B1905" s="76">
        <v>75.136215000000007</v>
      </c>
      <c r="C1905" s="76">
        <v>76.182418999999996</v>
      </c>
      <c r="D1905" s="76">
        <v>74.389977000000002</v>
      </c>
      <c r="E1905" s="76">
        <v>75.787345999999999</v>
      </c>
      <c r="F1905" s="76">
        <v>51.209553</v>
      </c>
      <c r="G1905" s="79">
        <v>2168700</v>
      </c>
    </row>
    <row r="1906" spans="1:7" x14ac:dyDescent="0.25">
      <c r="A1906" s="1" t="s">
        <v>2029</v>
      </c>
      <c r="B1906" s="76">
        <v>78.282134999999997</v>
      </c>
      <c r="C1906" s="76">
        <v>80.476958999999994</v>
      </c>
      <c r="D1906" s="76">
        <v>77.557838000000004</v>
      </c>
      <c r="E1906" s="76">
        <v>78.304085000000001</v>
      </c>
      <c r="F1906" s="76">
        <v>52.910125999999998</v>
      </c>
      <c r="G1906" s="79">
        <v>3439700</v>
      </c>
    </row>
    <row r="1907" spans="1:7" x14ac:dyDescent="0.25">
      <c r="A1907" s="1" t="s">
        <v>2030</v>
      </c>
      <c r="B1907" s="76">
        <v>78.208977000000004</v>
      </c>
      <c r="C1907" s="76">
        <v>79.430762999999999</v>
      </c>
      <c r="D1907" s="76">
        <v>76.562850999999995</v>
      </c>
      <c r="E1907" s="76">
        <v>78.984482</v>
      </c>
      <c r="F1907" s="76">
        <v>53.369877000000002</v>
      </c>
      <c r="G1907" s="79">
        <v>2710300</v>
      </c>
    </row>
    <row r="1908" spans="1:7" x14ac:dyDescent="0.25">
      <c r="A1908" s="1" t="s">
        <v>2031</v>
      </c>
      <c r="B1908" s="76">
        <v>79.035690000000002</v>
      </c>
      <c r="C1908" s="76">
        <v>80.579383999999905</v>
      </c>
      <c r="D1908" s="76">
        <v>78.625991999999997</v>
      </c>
      <c r="E1908" s="76">
        <v>79.913619999999995</v>
      </c>
      <c r="F1908" s="76">
        <v>53.997677000000003</v>
      </c>
      <c r="G1908" s="79">
        <v>2863900</v>
      </c>
    </row>
    <row r="1909" spans="1:7" x14ac:dyDescent="0.25">
      <c r="A1909" s="1" t="s">
        <v>2032</v>
      </c>
      <c r="B1909" s="76">
        <v>80.257476999999994</v>
      </c>
      <c r="C1909" s="76">
        <v>80.330635000000001</v>
      </c>
      <c r="D1909" s="76">
        <v>75.538605000000004</v>
      </c>
      <c r="E1909" s="76">
        <v>76.928657999999999</v>
      </c>
      <c r="F1909" s="76">
        <v>51.980750999999998</v>
      </c>
      <c r="G1909" s="79">
        <v>2450400</v>
      </c>
    </row>
    <row r="1910" spans="1:7" x14ac:dyDescent="0.25">
      <c r="A1910" s="1" t="s">
        <v>2033</v>
      </c>
      <c r="B1910" s="76">
        <v>79.152748000000003</v>
      </c>
      <c r="C1910" s="76">
        <v>79.152748000000003</v>
      </c>
      <c r="D1910" s="76">
        <v>74.989898999999994</v>
      </c>
      <c r="E1910" s="76">
        <v>78.633308</v>
      </c>
      <c r="F1910" s="76">
        <v>53.132576</v>
      </c>
      <c r="G1910" s="79">
        <v>1961900</v>
      </c>
    </row>
    <row r="1911" spans="1:7" x14ac:dyDescent="0.25">
      <c r="A1911" s="1" t="s">
        <v>2034</v>
      </c>
      <c r="B1911" s="76">
        <v>77.184722999999906</v>
      </c>
      <c r="C1911" s="76">
        <v>79.745354000000006</v>
      </c>
      <c r="D1911" s="76">
        <v>76.818916000000002</v>
      </c>
      <c r="E1911" s="76">
        <v>78.260184999999893</v>
      </c>
      <c r="F1911" s="76">
        <v>53.302005999999999</v>
      </c>
      <c r="G1911" s="79">
        <v>2005300</v>
      </c>
    </row>
    <row r="1912" spans="1:7" x14ac:dyDescent="0.25">
      <c r="A1912" s="1" t="s">
        <v>2035</v>
      </c>
      <c r="B1912" s="76">
        <v>75.706870999999893</v>
      </c>
      <c r="C1912" s="76">
        <v>82.708365999999998</v>
      </c>
      <c r="D1912" s="76">
        <v>75.706870999999893</v>
      </c>
      <c r="E1912" s="76">
        <v>81.398787999999996</v>
      </c>
      <c r="F1912" s="76">
        <v>55.439663000000003</v>
      </c>
      <c r="G1912" s="79">
        <v>3045200</v>
      </c>
    </row>
    <row r="1913" spans="1:7" x14ac:dyDescent="0.25">
      <c r="A1913" s="1" t="s">
        <v>2036</v>
      </c>
      <c r="B1913" s="76">
        <v>76.679908999999995</v>
      </c>
      <c r="C1913" s="76">
        <v>82.393776000000003</v>
      </c>
      <c r="D1913" s="76">
        <v>61.155174000000002</v>
      </c>
      <c r="E1913" s="76">
        <v>80.733024999999998</v>
      </c>
      <c r="F1913" s="76">
        <v>54.986229000000002</v>
      </c>
      <c r="G1913" s="79">
        <v>2658400</v>
      </c>
    </row>
    <row r="1914" spans="1:7" x14ac:dyDescent="0.25">
      <c r="A1914" s="1" t="s">
        <v>2037</v>
      </c>
      <c r="B1914" s="76">
        <v>79.218590000000006</v>
      </c>
      <c r="C1914" s="76">
        <v>80.001411000000004</v>
      </c>
      <c r="D1914" s="76">
        <v>76.087311</v>
      </c>
      <c r="E1914" s="76">
        <v>76.306792999999999</v>
      </c>
      <c r="F1914" s="76">
        <v>51.971572999999999</v>
      </c>
      <c r="G1914" s="79">
        <v>3331200</v>
      </c>
    </row>
    <row r="1915" spans="1:7" x14ac:dyDescent="0.25">
      <c r="A1915" s="1" t="s">
        <v>2038</v>
      </c>
      <c r="B1915" s="76">
        <v>76.818916000000002</v>
      </c>
      <c r="C1915" s="76">
        <v>77.535895999999994</v>
      </c>
      <c r="D1915" s="76">
        <v>75.355698000000004</v>
      </c>
      <c r="E1915" s="76">
        <v>75.626396</v>
      </c>
      <c r="F1915" s="76">
        <v>51.508167</v>
      </c>
      <c r="G1915" s="79">
        <v>2097300</v>
      </c>
    </row>
    <row r="1916" spans="1:7" x14ac:dyDescent="0.25">
      <c r="A1916" s="1" t="s">
        <v>2039</v>
      </c>
      <c r="B1916" s="76">
        <v>75.626396</v>
      </c>
      <c r="C1916" s="76">
        <v>76.328734999999995</v>
      </c>
      <c r="D1916" s="76">
        <v>72.063461000000004</v>
      </c>
      <c r="E1916" s="76">
        <v>72.070778000000004</v>
      </c>
      <c r="F1916" s="76">
        <v>49.086478999999997</v>
      </c>
      <c r="G1916" s="79">
        <v>2812200</v>
      </c>
    </row>
    <row r="1917" spans="1:7" x14ac:dyDescent="0.25">
      <c r="A1917" s="1" t="s">
        <v>2040</v>
      </c>
      <c r="B1917" s="76">
        <v>71.624495999999994</v>
      </c>
      <c r="C1917" s="76">
        <v>74.038803000000001</v>
      </c>
      <c r="D1917" s="76">
        <v>71.126998999999998</v>
      </c>
      <c r="E1917" s="76">
        <v>71.500121999999905</v>
      </c>
      <c r="F1917" s="76">
        <v>48.697814999999999</v>
      </c>
      <c r="G1917" s="79">
        <v>3016300</v>
      </c>
    </row>
    <row r="1918" spans="1:7" x14ac:dyDescent="0.25">
      <c r="A1918" s="1" t="s">
        <v>2041</v>
      </c>
      <c r="B1918" s="76">
        <v>71.024574000000001</v>
      </c>
      <c r="C1918" s="76">
        <v>73.124290000000002</v>
      </c>
      <c r="D1918" s="76">
        <v>67.849395999999999</v>
      </c>
      <c r="E1918" s="76">
        <v>72.758492000000004</v>
      </c>
      <c r="F1918" s="76">
        <v>49.554881999999999</v>
      </c>
      <c r="G1918" s="79">
        <v>6452900</v>
      </c>
    </row>
    <row r="1919" spans="1:7" x14ac:dyDescent="0.25">
      <c r="A1919" s="1" t="s">
        <v>2042</v>
      </c>
      <c r="B1919" s="76">
        <v>74.989898999999994</v>
      </c>
      <c r="C1919" s="76">
        <v>77.023765999999995</v>
      </c>
      <c r="D1919" s="76">
        <v>70.600243000000006</v>
      </c>
      <c r="E1919" s="76">
        <v>73.234031999999999</v>
      </c>
      <c r="F1919" s="76">
        <v>49.878749999999997</v>
      </c>
      <c r="G1919" s="79">
        <v>4117700</v>
      </c>
    </row>
    <row r="1920" spans="1:7" x14ac:dyDescent="0.25">
      <c r="A1920" s="1" t="s">
        <v>2043</v>
      </c>
      <c r="B1920" s="76">
        <v>73.380356000000006</v>
      </c>
      <c r="C1920" s="76">
        <v>76.116569999999996</v>
      </c>
      <c r="D1920" s="76">
        <v>72.714591999999996</v>
      </c>
      <c r="E1920" s="76">
        <v>75.838561999999996</v>
      </c>
      <c r="F1920" s="76">
        <v>51.652676</v>
      </c>
      <c r="G1920" s="79">
        <v>2645100</v>
      </c>
    </row>
    <row r="1921" spans="1:7" x14ac:dyDescent="0.25">
      <c r="A1921" s="1" t="s">
        <v>2044</v>
      </c>
      <c r="B1921" s="76">
        <v>75.838561999999996</v>
      </c>
      <c r="C1921" s="76">
        <v>78.479668000000004</v>
      </c>
      <c r="D1921" s="76">
        <v>75.143531999999993</v>
      </c>
      <c r="E1921" s="76">
        <v>78.479668000000004</v>
      </c>
      <c r="F1921" s="76">
        <v>53.451507999999997</v>
      </c>
      <c r="G1921" s="79">
        <v>2448900</v>
      </c>
    </row>
    <row r="1922" spans="1:7" x14ac:dyDescent="0.25">
      <c r="A1922" s="1" t="s">
        <v>2045</v>
      </c>
      <c r="B1922" s="76">
        <v>79.086905999999999</v>
      </c>
      <c r="C1922" s="76">
        <v>79.262489000000002</v>
      </c>
      <c r="D1922" s="76">
        <v>77.938277999999997</v>
      </c>
      <c r="E1922" s="76">
        <v>78.691833000000003</v>
      </c>
      <c r="F1922" s="76">
        <v>53.5959819999999</v>
      </c>
      <c r="G1922" s="79">
        <v>1711400</v>
      </c>
    </row>
    <row r="1923" spans="1:7" x14ac:dyDescent="0.25">
      <c r="A1923" s="1" t="s">
        <v>2046</v>
      </c>
      <c r="B1923" s="76">
        <v>79.628295999999906</v>
      </c>
      <c r="C1923" s="76">
        <v>79.964836000000005</v>
      </c>
      <c r="D1923" s="76">
        <v>77.199355999999995</v>
      </c>
      <c r="E1923" s="76">
        <v>78.026069999999905</v>
      </c>
      <c r="F1923" s="76">
        <v>53.142543999999901</v>
      </c>
      <c r="G1923" s="79">
        <v>1503200</v>
      </c>
    </row>
    <row r="1924" spans="1:7" x14ac:dyDescent="0.25">
      <c r="A1924" s="1" t="s">
        <v>2047</v>
      </c>
      <c r="B1924" s="76">
        <v>77.565155000000004</v>
      </c>
      <c r="C1924" s="76">
        <v>78.091918999999905</v>
      </c>
      <c r="D1924" s="76">
        <v>76.928657999999999</v>
      </c>
      <c r="E1924" s="76">
        <v>77.909012000000004</v>
      </c>
      <c r="F1924" s="76">
        <v>53.062831999999901</v>
      </c>
      <c r="G1924" s="79">
        <v>1070900</v>
      </c>
    </row>
    <row r="1925" spans="1:7" x14ac:dyDescent="0.25">
      <c r="A1925" s="1" t="s">
        <v>2048</v>
      </c>
      <c r="B1925" s="76">
        <v>77.916327999999993</v>
      </c>
      <c r="C1925" s="76">
        <v>77.916327999999993</v>
      </c>
      <c r="D1925" s="76">
        <v>76.087311</v>
      </c>
      <c r="E1925" s="76">
        <v>76.453109999999995</v>
      </c>
      <c r="F1925" s="76">
        <v>52.071224000000001</v>
      </c>
      <c r="G1925" s="79">
        <v>1145000</v>
      </c>
    </row>
    <row r="1926" spans="1:7" x14ac:dyDescent="0.25">
      <c r="A1926" s="1" t="s">
        <v>2049</v>
      </c>
      <c r="B1926" s="76">
        <v>76.526275999999996</v>
      </c>
      <c r="C1926" s="76">
        <v>76.811599999999999</v>
      </c>
      <c r="D1926" s="76">
        <v>73.526679999999999</v>
      </c>
      <c r="E1926" s="76">
        <v>73.570571999999999</v>
      </c>
      <c r="F1926" s="76">
        <v>50.107966999999903</v>
      </c>
      <c r="G1926" s="79">
        <v>2157300</v>
      </c>
    </row>
    <row r="1927" spans="1:7" x14ac:dyDescent="0.25">
      <c r="A1927" s="1" t="s">
        <v>2050</v>
      </c>
      <c r="B1927" s="76">
        <v>74.258285999999998</v>
      </c>
      <c r="C1927" s="76">
        <v>75.831244999999996</v>
      </c>
      <c r="D1927" s="76">
        <v>73.892478999999994</v>
      </c>
      <c r="E1927" s="76">
        <v>75.831244999999996</v>
      </c>
      <c r="F1927" s="76">
        <v>51.647675</v>
      </c>
      <c r="G1927" s="79">
        <v>1674900</v>
      </c>
    </row>
    <row r="1928" spans="1:7" x14ac:dyDescent="0.25">
      <c r="A1928" s="1" t="s">
        <v>2051</v>
      </c>
      <c r="B1928" s="76">
        <v>75.063057000000001</v>
      </c>
      <c r="C1928" s="76">
        <v>76.899390999999994</v>
      </c>
      <c r="D1928" s="76">
        <v>75.063057000000001</v>
      </c>
      <c r="E1928" s="76">
        <v>76.584800999999999</v>
      </c>
      <c r="F1928" s="76">
        <v>52.160922999999997</v>
      </c>
      <c r="G1928" s="79">
        <v>1118600</v>
      </c>
    </row>
    <row r="1929" spans="1:7" x14ac:dyDescent="0.25">
      <c r="A1929" s="1" t="s">
        <v>2052</v>
      </c>
      <c r="B1929" s="76">
        <v>77.221298000000004</v>
      </c>
      <c r="C1929" s="76">
        <v>79.006423999999996</v>
      </c>
      <c r="D1929" s="76">
        <v>76.299476999999996</v>
      </c>
      <c r="E1929" s="76">
        <v>77.982178000000005</v>
      </c>
      <c r="F1929" s="76">
        <v>53.112658999999901</v>
      </c>
      <c r="G1929" s="79">
        <v>2009300</v>
      </c>
    </row>
    <row r="1930" spans="1:7" x14ac:dyDescent="0.25">
      <c r="A1930" s="1" t="s">
        <v>2053</v>
      </c>
      <c r="B1930" s="76">
        <v>77.828536999999997</v>
      </c>
      <c r="C1930" s="76">
        <v>79.891669999999905</v>
      </c>
      <c r="D1930" s="76">
        <v>77.404205000000005</v>
      </c>
      <c r="E1930" s="76">
        <v>79.035690000000002</v>
      </c>
      <c r="F1930" s="76">
        <v>53.830176999999999</v>
      </c>
      <c r="G1930" s="79">
        <v>1318100</v>
      </c>
    </row>
    <row r="1931" spans="1:7" x14ac:dyDescent="0.25">
      <c r="A1931" s="1" t="s">
        <v>2054</v>
      </c>
      <c r="B1931" s="76">
        <v>78.304085000000001</v>
      </c>
      <c r="C1931" s="76">
        <v>78.479668000000004</v>
      </c>
      <c r="D1931" s="76">
        <v>76.643332999999998</v>
      </c>
      <c r="E1931" s="76">
        <v>76.928657999999999</v>
      </c>
      <c r="F1931" s="76">
        <v>52.395111</v>
      </c>
      <c r="G1931" s="79">
        <v>1438100</v>
      </c>
    </row>
    <row r="1932" spans="1:7" x14ac:dyDescent="0.25">
      <c r="A1932" s="1" t="s">
        <v>2055</v>
      </c>
      <c r="B1932" s="76">
        <v>77.053032000000002</v>
      </c>
      <c r="C1932" s="76">
        <v>78.077286000000001</v>
      </c>
      <c r="D1932" s="76">
        <v>76.160468999999907</v>
      </c>
      <c r="E1932" s="76">
        <v>77.784637000000004</v>
      </c>
      <c r="F1932" s="76">
        <v>52.978110999999998</v>
      </c>
      <c r="G1932" s="79">
        <v>860100</v>
      </c>
    </row>
    <row r="1933" spans="1:7" x14ac:dyDescent="0.25">
      <c r="A1933" s="1" t="s">
        <v>2056</v>
      </c>
      <c r="B1933" s="76">
        <v>76.672591999999995</v>
      </c>
      <c r="C1933" s="76">
        <v>77.265197999999998</v>
      </c>
      <c r="D1933" s="76">
        <v>75.780028999999999</v>
      </c>
      <c r="E1933" s="76">
        <v>76.445792999999995</v>
      </c>
      <c r="F1933" s="76">
        <v>52.066249999999997</v>
      </c>
      <c r="G1933" s="79">
        <v>1257000</v>
      </c>
    </row>
    <row r="1934" spans="1:7" x14ac:dyDescent="0.25">
      <c r="A1934" s="1" t="s">
        <v>2057</v>
      </c>
      <c r="B1934" s="76">
        <v>76.796966999999995</v>
      </c>
      <c r="C1934" s="76">
        <v>77.001816000000005</v>
      </c>
      <c r="D1934" s="76">
        <v>74.346076999999994</v>
      </c>
      <c r="E1934" s="76">
        <v>75.560547</v>
      </c>
      <c r="F1934" s="76">
        <v>51.463321999999998</v>
      </c>
      <c r="G1934" s="79">
        <v>1720800</v>
      </c>
    </row>
    <row r="1935" spans="1:7" x14ac:dyDescent="0.25">
      <c r="A1935" s="1" t="s">
        <v>2058</v>
      </c>
      <c r="B1935" s="76">
        <v>76.160468999999907</v>
      </c>
      <c r="C1935" s="76">
        <v>76.811599999999999</v>
      </c>
      <c r="D1935" s="76">
        <v>75.487388999999993</v>
      </c>
      <c r="E1935" s="76">
        <v>76.028778000000003</v>
      </c>
      <c r="F1935" s="76">
        <v>51.782215000000001</v>
      </c>
      <c r="G1935" s="79">
        <v>1349400</v>
      </c>
    </row>
    <row r="1936" spans="1:7" x14ac:dyDescent="0.25">
      <c r="A1936" s="1" t="s">
        <v>2059</v>
      </c>
      <c r="B1936" s="76">
        <v>75.099639999999994</v>
      </c>
      <c r="C1936" s="76">
        <v>76.394584999999907</v>
      </c>
      <c r="D1936" s="76">
        <v>75.099639999999994</v>
      </c>
      <c r="E1936" s="76">
        <v>75.721503999999996</v>
      </c>
      <c r="F1936" s="76">
        <v>51.572936999999897</v>
      </c>
      <c r="G1936" s="79">
        <v>1199300</v>
      </c>
    </row>
    <row r="1937" spans="1:7" x14ac:dyDescent="0.25">
      <c r="A1937" s="1" t="s">
        <v>2060</v>
      </c>
      <c r="B1937" s="76">
        <v>76.087311</v>
      </c>
      <c r="C1937" s="76">
        <v>77.426154999999994</v>
      </c>
      <c r="D1937" s="76">
        <v>76.014144999999999</v>
      </c>
      <c r="E1937" s="76">
        <v>76.723807999999906</v>
      </c>
      <c r="F1937" s="76">
        <v>52.255595999999997</v>
      </c>
      <c r="G1937" s="79">
        <v>1282600</v>
      </c>
    </row>
    <row r="1938" spans="1:7" x14ac:dyDescent="0.25">
      <c r="A1938" s="1" t="s">
        <v>2061</v>
      </c>
      <c r="B1938" s="76">
        <v>76.306792999999999</v>
      </c>
      <c r="C1938" s="76">
        <v>76.972556999999995</v>
      </c>
      <c r="D1938" s="76">
        <v>75.582497000000004</v>
      </c>
      <c r="E1938" s="76">
        <v>76.950606999999906</v>
      </c>
      <c r="F1938" s="76">
        <v>52.410057000000002</v>
      </c>
      <c r="G1938" s="79">
        <v>1192600</v>
      </c>
    </row>
    <row r="1939" spans="1:7" x14ac:dyDescent="0.25">
      <c r="A1939" s="1" t="s">
        <v>2062</v>
      </c>
      <c r="B1939" s="76">
        <v>76.636016999999995</v>
      </c>
      <c r="C1939" s="76">
        <v>76.935974000000002</v>
      </c>
      <c r="D1939" s="76">
        <v>75.421547000000004</v>
      </c>
      <c r="E1939" s="76">
        <v>75.823929000000007</v>
      </c>
      <c r="F1939" s="76">
        <v>51.642707999999999</v>
      </c>
      <c r="G1939" s="79">
        <v>694500</v>
      </c>
    </row>
    <row r="1940" spans="1:7" x14ac:dyDescent="0.25">
      <c r="A1940" s="1" t="s">
        <v>2063</v>
      </c>
      <c r="B1940" s="76">
        <v>76.270209999999906</v>
      </c>
      <c r="C1940" s="76">
        <v>78.435776000000004</v>
      </c>
      <c r="D1940" s="76">
        <v>75.589813000000007</v>
      </c>
      <c r="E1940" s="76">
        <v>78.435776000000004</v>
      </c>
      <c r="F1940" s="76">
        <v>53.421607999999999</v>
      </c>
      <c r="G1940" s="79">
        <v>1832500</v>
      </c>
    </row>
    <row r="1941" spans="1:7" x14ac:dyDescent="0.25">
      <c r="A1941" s="1" t="s">
        <v>2064</v>
      </c>
      <c r="B1941" s="76">
        <v>78.457718</v>
      </c>
      <c r="C1941" s="76">
        <v>80.652550000000005</v>
      </c>
      <c r="D1941" s="76">
        <v>78.457718</v>
      </c>
      <c r="E1941" s="76">
        <v>79.920936999999995</v>
      </c>
      <c r="F1941" s="76">
        <v>54.4331209999999</v>
      </c>
      <c r="G1941" s="79">
        <v>2130900</v>
      </c>
    </row>
    <row r="1942" spans="1:7" x14ac:dyDescent="0.25">
      <c r="A1942" s="1" t="s">
        <v>2065</v>
      </c>
      <c r="B1942" s="76">
        <v>79.913619999999995</v>
      </c>
      <c r="C1942" s="76">
        <v>80.074577000000005</v>
      </c>
      <c r="D1942" s="76">
        <v>78.304085000000001</v>
      </c>
      <c r="E1942" s="76">
        <v>78.304085000000001</v>
      </c>
      <c r="F1942" s="76">
        <v>53.331916999999997</v>
      </c>
      <c r="G1942" s="79">
        <v>1061200</v>
      </c>
    </row>
    <row r="1943" spans="1:7" x14ac:dyDescent="0.25">
      <c r="A1943" s="1" t="s">
        <v>2066</v>
      </c>
      <c r="B1943" s="76">
        <v>79.489288000000002</v>
      </c>
      <c r="C1943" s="76">
        <v>80.008728000000005</v>
      </c>
      <c r="D1943" s="76">
        <v>77.916327999999993</v>
      </c>
      <c r="E1943" s="76">
        <v>77.945594999999997</v>
      </c>
      <c r="F1943" s="76">
        <v>53.087752999999999</v>
      </c>
      <c r="G1943" s="79">
        <v>2038700</v>
      </c>
    </row>
    <row r="1944" spans="1:7" x14ac:dyDescent="0.25">
      <c r="A1944" s="1" t="s">
        <v>2067</v>
      </c>
      <c r="B1944" s="76">
        <v>77.930961999999994</v>
      </c>
      <c r="C1944" s="76">
        <v>79.738037000000006</v>
      </c>
      <c r="D1944" s="76">
        <v>77.930961999999994</v>
      </c>
      <c r="E1944" s="76">
        <v>79.525870999999995</v>
      </c>
      <c r="F1944" s="76">
        <v>54.164051000000001</v>
      </c>
      <c r="G1944" s="79">
        <v>1226700</v>
      </c>
    </row>
    <row r="1945" spans="1:7" x14ac:dyDescent="0.25">
      <c r="A1945" s="1" t="s">
        <v>2068</v>
      </c>
      <c r="B1945" s="76">
        <v>79.233222999999995</v>
      </c>
      <c r="C1945" s="76">
        <v>79.277121999999906</v>
      </c>
      <c r="D1945" s="76">
        <v>77.265197999999998</v>
      </c>
      <c r="E1945" s="76">
        <v>77.879752999999994</v>
      </c>
      <c r="F1945" s="76">
        <v>53.042881000000001</v>
      </c>
      <c r="G1945" s="79">
        <v>1149000</v>
      </c>
    </row>
    <row r="1946" spans="1:7" x14ac:dyDescent="0.25">
      <c r="A1946" s="1" t="s">
        <v>2069</v>
      </c>
      <c r="B1946" s="76">
        <v>78.428459000000004</v>
      </c>
      <c r="C1946" s="76">
        <v>79.679503999999994</v>
      </c>
      <c r="D1946" s="76">
        <v>78.055335999999997</v>
      </c>
      <c r="E1946" s="76">
        <v>79.145432</v>
      </c>
      <c r="F1946" s="76">
        <v>53.904941999999998</v>
      </c>
      <c r="G1946" s="79">
        <v>1529700</v>
      </c>
    </row>
    <row r="1947" spans="1:7" x14ac:dyDescent="0.25">
      <c r="A1947" s="1" t="s">
        <v>2070</v>
      </c>
      <c r="B1947" s="76">
        <v>79.394180000000006</v>
      </c>
      <c r="C1947" s="76">
        <v>80.250159999999994</v>
      </c>
      <c r="D1947" s="76">
        <v>79.138114999999999</v>
      </c>
      <c r="E1947" s="76">
        <v>80.250159999999994</v>
      </c>
      <c r="F1947" s="76">
        <v>54.657341000000002</v>
      </c>
      <c r="G1947" s="79">
        <v>1140800</v>
      </c>
    </row>
    <row r="1948" spans="1:7" x14ac:dyDescent="0.25">
      <c r="A1948" s="1" t="s">
        <v>2071</v>
      </c>
      <c r="B1948" s="76">
        <v>80.140418999999994</v>
      </c>
      <c r="C1948" s="76">
        <v>80.842765999999997</v>
      </c>
      <c r="D1948" s="76">
        <v>79.438071999999906</v>
      </c>
      <c r="E1948" s="76">
        <v>80.001411000000004</v>
      </c>
      <c r="F1948" s="76">
        <v>54.487926000000002</v>
      </c>
      <c r="G1948" s="79">
        <v>1468900</v>
      </c>
    </row>
    <row r="1949" spans="1:7" x14ac:dyDescent="0.25">
      <c r="A1949" s="1" t="s">
        <v>2072</v>
      </c>
      <c r="B1949" s="76">
        <v>81.084198000000001</v>
      </c>
      <c r="C1949" s="76">
        <v>82.591308999999995</v>
      </c>
      <c r="D1949" s="76">
        <v>79.818511999999998</v>
      </c>
      <c r="E1949" s="76">
        <v>82.371825999999999</v>
      </c>
      <c r="F1949" s="76">
        <v>56.10239</v>
      </c>
      <c r="G1949" s="79">
        <v>2091600</v>
      </c>
    </row>
    <row r="1950" spans="1:7" x14ac:dyDescent="0.25">
      <c r="A1950" s="1" t="s">
        <v>2073</v>
      </c>
      <c r="B1950" s="76">
        <v>82.525467000000006</v>
      </c>
      <c r="C1950" s="76">
        <v>83.498504999999994</v>
      </c>
      <c r="D1950" s="76">
        <v>82.247451999999996</v>
      </c>
      <c r="E1950" s="76">
        <v>83.498504999999994</v>
      </c>
      <c r="F1950" s="76">
        <v>56.869762000000001</v>
      </c>
      <c r="G1950" s="79">
        <v>1929500</v>
      </c>
    </row>
    <row r="1951" spans="1:7" x14ac:dyDescent="0.25">
      <c r="A1951" s="1" t="s">
        <v>2074</v>
      </c>
      <c r="B1951" s="76">
        <v>83.074173000000002</v>
      </c>
      <c r="C1951" s="76">
        <v>83.900886999999997</v>
      </c>
      <c r="D1951" s="76">
        <v>82.525467000000006</v>
      </c>
      <c r="E1951" s="76">
        <v>83.366814000000005</v>
      </c>
      <c r="F1951" s="76">
        <v>56.780064000000003</v>
      </c>
      <c r="G1951" s="79">
        <v>1195700</v>
      </c>
    </row>
    <row r="1952" spans="1:7" x14ac:dyDescent="0.25">
      <c r="A1952" s="1" t="s">
        <v>2075</v>
      </c>
      <c r="B1952" s="76">
        <v>83.476555000000005</v>
      </c>
      <c r="C1952" s="76">
        <v>83.696037000000004</v>
      </c>
      <c r="D1952" s="76">
        <v>82.006019999999907</v>
      </c>
      <c r="E1952" s="76">
        <v>83.696037000000004</v>
      </c>
      <c r="F1952" s="76">
        <v>57.004275999999997</v>
      </c>
      <c r="G1952" s="79">
        <v>1222000</v>
      </c>
    </row>
    <row r="1953" spans="1:7" x14ac:dyDescent="0.25">
      <c r="A1953" s="1" t="s">
        <v>2076</v>
      </c>
      <c r="B1953" s="76">
        <v>83.959418999999997</v>
      </c>
      <c r="C1953" s="76">
        <v>85.129990000000006</v>
      </c>
      <c r="D1953" s="76">
        <v>83.257071999999994</v>
      </c>
      <c r="E1953" s="76">
        <v>84.815398999999999</v>
      </c>
      <c r="F1953" s="76">
        <v>57.766663000000001</v>
      </c>
      <c r="G1953" s="79">
        <v>1802400</v>
      </c>
    </row>
    <row r="1954" spans="1:7" x14ac:dyDescent="0.25">
      <c r="A1954" s="1" t="s">
        <v>2077</v>
      </c>
      <c r="B1954" s="76">
        <v>84.354484999999997</v>
      </c>
      <c r="C1954" s="76">
        <v>85.422638000000006</v>
      </c>
      <c r="D1954" s="76">
        <v>83.696037000000004</v>
      </c>
      <c r="E1954" s="76">
        <v>84.398383999999993</v>
      </c>
      <c r="F1954" s="76">
        <v>57.482647</v>
      </c>
      <c r="G1954" s="79">
        <v>1130000</v>
      </c>
    </row>
    <row r="1955" spans="1:7" x14ac:dyDescent="0.25">
      <c r="A1955" s="1" t="s">
        <v>2078</v>
      </c>
      <c r="B1955" s="76">
        <v>84.720291000000003</v>
      </c>
      <c r="C1955" s="76">
        <v>85.781120000000001</v>
      </c>
      <c r="D1955" s="76">
        <v>83.915520000000001</v>
      </c>
      <c r="E1955" s="76">
        <v>85.737228000000002</v>
      </c>
      <c r="F1955" s="76">
        <v>58.394511999999999</v>
      </c>
      <c r="G1955" s="79">
        <v>1736700</v>
      </c>
    </row>
    <row r="1956" spans="1:7" x14ac:dyDescent="0.25">
      <c r="A1956" s="1" t="s">
        <v>2079</v>
      </c>
      <c r="B1956" s="76">
        <v>85.422638000000006</v>
      </c>
      <c r="C1956" s="76">
        <v>85.444580000000002</v>
      </c>
      <c r="D1956" s="76">
        <v>83.637512000000001</v>
      </c>
      <c r="E1956" s="76">
        <v>84.310592999999997</v>
      </c>
      <c r="F1956" s="76">
        <v>57.867270999999903</v>
      </c>
      <c r="G1956" s="79">
        <v>1480200</v>
      </c>
    </row>
    <row r="1957" spans="1:7" x14ac:dyDescent="0.25">
      <c r="A1957" s="1" t="s">
        <v>2080</v>
      </c>
      <c r="B1957" s="76">
        <v>84.866614999999996</v>
      </c>
      <c r="C1957" s="76">
        <v>85.905495000000002</v>
      </c>
      <c r="D1957" s="76">
        <v>84.25206</v>
      </c>
      <c r="E1957" s="76">
        <v>84.947090000000003</v>
      </c>
      <c r="F1957" s="76">
        <v>58.304145999999903</v>
      </c>
      <c r="G1957" s="79">
        <v>1656700</v>
      </c>
    </row>
    <row r="1958" spans="1:7" x14ac:dyDescent="0.25">
      <c r="A1958" s="1" t="s">
        <v>2081</v>
      </c>
      <c r="B1958" s="76">
        <v>84.317909</v>
      </c>
      <c r="C1958" s="76">
        <v>84.756873999999996</v>
      </c>
      <c r="D1958" s="76">
        <v>82.722999999999999</v>
      </c>
      <c r="E1958" s="76">
        <v>83.052222999999998</v>
      </c>
      <c r="F1958" s="76">
        <v>57.003590000000003</v>
      </c>
      <c r="G1958" s="79">
        <v>1969400</v>
      </c>
    </row>
    <row r="1959" spans="1:7" x14ac:dyDescent="0.25">
      <c r="A1959" s="1" t="s">
        <v>2082</v>
      </c>
      <c r="B1959" s="76">
        <v>83.066856000000001</v>
      </c>
      <c r="C1959" s="76">
        <v>83.396079999999998</v>
      </c>
      <c r="D1959" s="76">
        <v>80.703757999999993</v>
      </c>
      <c r="E1959" s="76">
        <v>81.025665000000004</v>
      </c>
      <c r="F1959" s="76">
        <v>55.612639999999999</v>
      </c>
      <c r="G1959" s="79">
        <v>1343500</v>
      </c>
    </row>
    <row r="1960" spans="1:7" x14ac:dyDescent="0.25">
      <c r="A1960" s="1" t="s">
        <v>2083</v>
      </c>
      <c r="B1960" s="76">
        <v>81.032981999999905</v>
      </c>
      <c r="C1960" s="76">
        <v>81.186622999999997</v>
      </c>
      <c r="D1960" s="76">
        <v>79.664870999999906</v>
      </c>
      <c r="E1960" s="76">
        <v>79.694137999999995</v>
      </c>
      <c r="F1960" s="76">
        <v>54.698733999999902</v>
      </c>
      <c r="G1960" s="79">
        <v>1218200</v>
      </c>
    </row>
    <row r="1961" spans="1:7" x14ac:dyDescent="0.25">
      <c r="A1961" s="1" t="s">
        <v>2084</v>
      </c>
      <c r="B1961" s="76">
        <v>80.806182999999905</v>
      </c>
      <c r="C1961" s="76">
        <v>80.967140000000001</v>
      </c>
      <c r="D1961" s="76">
        <v>78.911315999999999</v>
      </c>
      <c r="E1961" s="76">
        <v>80.967140000000001</v>
      </c>
      <c r="F1961" s="76">
        <v>55.572471999999998</v>
      </c>
      <c r="G1961" s="79">
        <v>1717600</v>
      </c>
    </row>
    <row r="1962" spans="1:7" x14ac:dyDescent="0.25">
      <c r="A1962" s="1" t="s">
        <v>2085</v>
      </c>
      <c r="B1962" s="76">
        <v>80.242843999999906</v>
      </c>
      <c r="C1962" s="76">
        <v>82.006019999999907</v>
      </c>
      <c r="D1962" s="76">
        <v>78.903998999999999</v>
      </c>
      <c r="E1962" s="76">
        <v>81.267096999999893</v>
      </c>
      <c r="F1962" s="76">
        <v>55.778346999999997</v>
      </c>
      <c r="G1962" s="79">
        <v>1194700</v>
      </c>
    </row>
    <row r="1963" spans="1:7" x14ac:dyDescent="0.25">
      <c r="A1963" s="1" t="s">
        <v>2086</v>
      </c>
      <c r="B1963" s="76">
        <v>80.769607999999906</v>
      </c>
      <c r="C1963" s="76">
        <v>80.828132999999994</v>
      </c>
      <c r="D1963" s="76">
        <v>78.069969</v>
      </c>
      <c r="E1963" s="76">
        <v>78.406509</v>
      </c>
      <c r="F1963" s="76">
        <v>53.814964000000003</v>
      </c>
      <c r="G1963" s="79">
        <v>1587800</v>
      </c>
    </row>
    <row r="1964" spans="1:7" x14ac:dyDescent="0.25">
      <c r="A1964" s="1" t="s">
        <v>2087</v>
      </c>
      <c r="B1964" s="76">
        <v>77.982178000000005</v>
      </c>
      <c r="C1964" s="76">
        <v>79.701453999999998</v>
      </c>
      <c r="D1964" s="76">
        <v>77.265197999999998</v>
      </c>
      <c r="E1964" s="76">
        <v>79.269806000000003</v>
      </c>
      <c r="F1964" s="76">
        <v>54.407481999999902</v>
      </c>
      <c r="G1964" s="79">
        <v>1653000</v>
      </c>
    </row>
    <row r="1965" spans="1:7" x14ac:dyDescent="0.25">
      <c r="A1965" s="1" t="s">
        <v>2088</v>
      </c>
      <c r="B1965" s="76">
        <v>79.840462000000002</v>
      </c>
      <c r="C1965" s="76">
        <v>80.703757999999993</v>
      </c>
      <c r="D1965" s="76">
        <v>78.472351000000003</v>
      </c>
      <c r="E1965" s="76">
        <v>79.496605000000002</v>
      </c>
      <c r="F1965" s="76">
        <v>54.563164</v>
      </c>
      <c r="G1965" s="79">
        <v>1236800</v>
      </c>
    </row>
    <row r="1966" spans="1:7" x14ac:dyDescent="0.25">
      <c r="A1966" s="1" t="s">
        <v>2089</v>
      </c>
      <c r="B1966" s="76">
        <v>79.123481999999996</v>
      </c>
      <c r="C1966" s="76">
        <v>79.430762999999999</v>
      </c>
      <c r="D1966" s="76">
        <v>77.740746000000001</v>
      </c>
      <c r="E1966" s="76">
        <v>79.262489000000002</v>
      </c>
      <c r="F1966" s="76">
        <v>54.402462</v>
      </c>
      <c r="G1966" s="79">
        <v>1247800</v>
      </c>
    </row>
    <row r="1967" spans="1:7" x14ac:dyDescent="0.25">
      <c r="A1967" s="1" t="s">
        <v>2090</v>
      </c>
      <c r="B1967" s="76">
        <v>79.496605000000002</v>
      </c>
      <c r="C1967" s="76">
        <v>81.369522000000003</v>
      </c>
      <c r="D1967" s="76">
        <v>79.203963999999999</v>
      </c>
      <c r="E1967" s="76">
        <v>80.586699999999993</v>
      </c>
      <c r="F1967" s="76">
        <v>55.311347999999903</v>
      </c>
      <c r="G1967" s="79">
        <v>2209000</v>
      </c>
    </row>
    <row r="1968" spans="1:7" x14ac:dyDescent="0.25">
      <c r="A1968" s="1" t="s">
        <v>2091</v>
      </c>
      <c r="B1968" s="76">
        <v>80.945189999999997</v>
      </c>
      <c r="C1968" s="76">
        <v>82.708365999999998</v>
      </c>
      <c r="D1968" s="76">
        <v>79.781929000000005</v>
      </c>
      <c r="E1968" s="76">
        <v>81.310997</v>
      </c>
      <c r="F1968" s="76">
        <v>55.808471999999902</v>
      </c>
      <c r="G1968" s="79">
        <v>1748400</v>
      </c>
    </row>
    <row r="1969" spans="1:7" x14ac:dyDescent="0.25">
      <c r="A1969" s="1" t="s">
        <v>2092</v>
      </c>
      <c r="B1969" s="76">
        <v>81.589005</v>
      </c>
      <c r="C1969" s="76">
        <v>81.874336</v>
      </c>
      <c r="D1969" s="76">
        <v>80.008728000000005</v>
      </c>
      <c r="E1969" s="76">
        <v>80.418433999999905</v>
      </c>
      <c r="F1969" s="76">
        <v>55.195857999999902</v>
      </c>
      <c r="G1969" s="79">
        <v>1077800</v>
      </c>
    </row>
    <row r="1970" spans="1:7" x14ac:dyDescent="0.25">
      <c r="A1970" s="1" t="s">
        <v>2093</v>
      </c>
      <c r="B1970" s="76">
        <v>81.493895999999907</v>
      </c>
      <c r="C1970" s="76">
        <v>81.493895999999907</v>
      </c>
      <c r="D1970" s="76">
        <v>80.016044999999906</v>
      </c>
      <c r="E1970" s="76">
        <v>80.389167999999998</v>
      </c>
      <c r="F1970" s="76">
        <v>55.175750999999998</v>
      </c>
      <c r="G1970" s="79">
        <v>1073100</v>
      </c>
    </row>
    <row r="1971" spans="1:7" x14ac:dyDescent="0.25">
      <c r="A1971" s="1" t="s">
        <v>2094</v>
      </c>
      <c r="B1971" s="76">
        <v>81.069564999999997</v>
      </c>
      <c r="C1971" s="76">
        <v>81.867019999999997</v>
      </c>
      <c r="D1971" s="76">
        <v>79.635611999999995</v>
      </c>
      <c r="E1971" s="76">
        <v>81.735328999999993</v>
      </c>
      <c r="F1971" s="76">
        <v>56.099708999999997</v>
      </c>
      <c r="G1971" s="79">
        <v>1356200</v>
      </c>
    </row>
    <row r="1972" spans="1:7" x14ac:dyDescent="0.25">
      <c r="A1972" s="1" t="s">
        <v>2095</v>
      </c>
      <c r="B1972" s="76">
        <v>80.198952000000006</v>
      </c>
      <c r="C1972" s="76">
        <v>81.574370999999999</v>
      </c>
      <c r="D1972" s="76">
        <v>76.423850999999999</v>
      </c>
      <c r="E1972" s="76">
        <v>78.918633</v>
      </c>
      <c r="F1972" s="76">
        <v>54.166462000000003</v>
      </c>
      <c r="G1972" s="79">
        <v>1986000</v>
      </c>
    </row>
    <row r="1973" spans="1:7" x14ac:dyDescent="0.25">
      <c r="A1973" s="1" t="s">
        <v>2096</v>
      </c>
      <c r="B1973" s="76">
        <v>79.043006999999903</v>
      </c>
      <c r="C1973" s="76">
        <v>79.10154</v>
      </c>
      <c r="D1973" s="76">
        <v>75.831244999999996</v>
      </c>
      <c r="E1973" s="76">
        <v>77.155456999999998</v>
      </c>
      <c r="F1973" s="76">
        <v>52.95628</v>
      </c>
      <c r="G1973" s="79">
        <v>2196800</v>
      </c>
    </row>
    <row r="1974" spans="1:7" x14ac:dyDescent="0.25">
      <c r="A1974" s="1" t="s">
        <v>2097</v>
      </c>
      <c r="B1974" s="76">
        <v>76.855498999999995</v>
      </c>
      <c r="C1974" s="76">
        <v>77.228615000000005</v>
      </c>
      <c r="D1974" s="76">
        <v>75.224007</v>
      </c>
      <c r="E1974" s="76">
        <v>75.867828000000003</v>
      </c>
      <c r="F1974" s="76">
        <v>52.072510000000001</v>
      </c>
      <c r="G1974" s="79">
        <v>1620800</v>
      </c>
    </row>
    <row r="1975" spans="1:7" x14ac:dyDescent="0.25">
      <c r="A1975" s="1" t="s">
        <v>2098</v>
      </c>
      <c r="B1975" s="76">
        <v>76.606750000000005</v>
      </c>
      <c r="C1975" s="76">
        <v>76.679908999999995</v>
      </c>
      <c r="D1975" s="76">
        <v>74.155861000000002</v>
      </c>
      <c r="E1975" s="76">
        <v>75.553229999999999</v>
      </c>
      <c r="F1975" s="76">
        <v>51.856583000000001</v>
      </c>
      <c r="G1975" s="79">
        <v>1744700</v>
      </c>
    </row>
    <row r="1976" spans="1:7" x14ac:dyDescent="0.25">
      <c r="A1976" s="1" t="s">
        <v>2099</v>
      </c>
      <c r="B1976" s="76">
        <v>74.338759999999994</v>
      </c>
      <c r="C1976" s="76">
        <v>75.092322999999993</v>
      </c>
      <c r="D1976" s="76">
        <v>72.465843000000007</v>
      </c>
      <c r="E1976" s="76">
        <v>72.465843000000007</v>
      </c>
      <c r="F1976" s="76">
        <v>49.737521999999998</v>
      </c>
      <c r="G1976" s="79">
        <v>1823000</v>
      </c>
    </row>
    <row r="1977" spans="1:7" x14ac:dyDescent="0.25">
      <c r="A1977" s="1" t="s">
        <v>2100</v>
      </c>
      <c r="B1977" s="76">
        <v>72.473159999999993</v>
      </c>
      <c r="C1977" s="76">
        <v>73.629104999999996</v>
      </c>
      <c r="D1977" s="76">
        <v>70.856307999999999</v>
      </c>
      <c r="E1977" s="76">
        <v>72.612166999999999</v>
      </c>
      <c r="F1977" s="76">
        <v>49.837971000000003</v>
      </c>
      <c r="G1977" s="79">
        <v>2681400</v>
      </c>
    </row>
    <row r="1978" spans="1:7" x14ac:dyDescent="0.25">
      <c r="A1978" s="1" t="s">
        <v>2101</v>
      </c>
      <c r="B1978" s="76">
        <v>72.187836000000004</v>
      </c>
      <c r="C1978" s="76">
        <v>73.255981000000006</v>
      </c>
      <c r="D1978" s="76">
        <v>71.478172000000001</v>
      </c>
      <c r="E1978" s="76">
        <v>72.304893000000007</v>
      </c>
      <c r="F1978" s="76">
        <v>49.627047999999903</v>
      </c>
      <c r="G1978" s="79">
        <v>1525800</v>
      </c>
    </row>
    <row r="1979" spans="1:7" x14ac:dyDescent="0.25">
      <c r="A1979" s="1" t="s">
        <v>2102</v>
      </c>
      <c r="B1979" s="76">
        <v>72.129302999999993</v>
      </c>
      <c r="C1979" s="76">
        <v>73.380356000000006</v>
      </c>
      <c r="D1979" s="76">
        <v>71.075789999999998</v>
      </c>
      <c r="E1979" s="76">
        <v>71.273323000000005</v>
      </c>
      <c r="F1979" s="76">
        <v>48.919032999999999</v>
      </c>
      <c r="G1979" s="79">
        <v>1614200</v>
      </c>
    </row>
    <row r="1980" spans="1:7" x14ac:dyDescent="0.25">
      <c r="A1980" s="1" t="s">
        <v>2103</v>
      </c>
      <c r="B1980" s="76">
        <v>71.346480999999997</v>
      </c>
      <c r="C1980" s="76">
        <v>73.782737999999995</v>
      </c>
      <c r="D1980" s="76">
        <v>71.346480999999997</v>
      </c>
      <c r="E1980" s="76">
        <v>73.782737999999995</v>
      </c>
      <c r="F1980" s="76">
        <v>50.641387999999999</v>
      </c>
      <c r="G1980" s="79">
        <v>1994300</v>
      </c>
    </row>
    <row r="1981" spans="1:7" x14ac:dyDescent="0.25">
      <c r="A1981" s="1" t="s">
        <v>2104</v>
      </c>
      <c r="B1981" s="76">
        <v>73.855903999999995</v>
      </c>
      <c r="C1981" s="76">
        <v>74.719200000000001</v>
      </c>
      <c r="D1981" s="76">
        <v>71.573279999999997</v>
      </c>
      <c r="E1981" s="76">
        <v>71.748870999999994</v>
      </c>
      <c r="F1981" s="76">
        <v>49.245426000000002</v>
      </c>
      <c r="G1981" s="79">
        <v>2041900</v>
      </c>
    </row>
    <row r="1982" spans="1:7" x14ac:dyDescent="0.25">
      <c r="A1982" s="1" t="s">
        <v>2105</v>
      </c>
      <c r="B1982" s="76">
        <v>71.639129999999994</v>
      </c>
      <c r="C1982" s="76">
        <v>73.292563999999999</v>
      </c>
      <c r="D1982" s="76">
        <v>70.980682000000002</v>
      </c>
      <c r="E1982" s="76">
        <v>71.770813000000004</v>
      </c>
      <c r="F1982" s="76">
        <v>49.260483000000001</v>
      </c>
      <c r="G1982" s="79">
        <v>2045000</v>
      </c>
    </row>
    <row r="1983" spans="1:7" x14ac:dyDescent="0.25">
      <c r="A1983" s="1" t="s">
        <v>2106</v>
      </c>
      <c r="B1983" s="76">
        <v>73.841269999999994</v>
      </c>
      <c r="C1983" s="76">
        <v>73.841269999999994</v>
      </c>
      <c r="D1983" s="76">
        <v>69.919845999999893</v>
      </c>
      <c r="E1983" s="76">
        <v>70.936782999999906</v>
      </c>
      <c r="F1983" s="76">
        <v>48.688034000000002</v>
      </c>
      <c r="G1983" s="79">
        <v>1807600</v>
      </c>
    </row>
    <row r="1984" spans="1:7" x14ac:dyDescent="0.25">
      <c r="A1984" s="1" t="s">
        <v>2107</v>
      </c>
      <c r="B1984" s="76">
        <v>70.102744999999999</v>
      </c>
      <c r="C1984" s="76">
        <v>70.307602000000003</v>
      </c>
      <c r="D1984" s="76">
        <v>67.637230000000002</v>
      </c>
      <c r="E1984" s="76">
        <v>67.746971000000002</v>
      </c>
      <c r="F1984" s="76">
        <v>46.498688000000001</v>
      </c>
      <c r="G1984" s="79">
        <v>2608000</v>
      </c>
    </row>
    <row r="1985" spans="1:7" x14ac:dyDescent="0.25">
      <c r="A1985" s="1" t="s">
        <v>2108</v>
      </c>
      <c r="B1985" s="76">
        <v>67.366530999999995</v>
      </c>
      <c r="C1985" s="76">
        <v>68.990700000000004</v>
      </c>
      <c r="D1985" s="76">
        <v>64.959541000000002</v>
      </c>
      <c r="E1985" s="76">
        <v>66.305701999999997</v>
      </c>
      <c r="F1985" s="76">
        <v>45.509464000000001</v>
      </c>
      <c r="G1985" s="79">
        <v>3062600</v>
      </c>
    </row>
    <row r="1986" spans="1:7" x14ac:dyDescent="0.25">
      <c r="A1986" s="1" t="s">
        <v>2109</v>
      </c>
      <c r="B1986" s="76">
        <v>65.200974000000002</v>
      </c>
      <c r="C1986" s="76">
        <v>66.430068999999904</v>
      </c>
      <c r="D1986" s="76">
        <v>64.791267000000005</v>
      </c>
      <c r="E1986" s="76">
        <v>65.522880999999998</v>
      </c>
      <c r="F1986" s="76">
        <v>44.972172</v>
      </c>
      <c r="G1986" s="79">
        <v>2066300</v>
      </c>
    </row>
    <row r="1987" spans="1:7" x14ac:dyDescent="0.25">
      <c r="A1987" s="1" t="s">
        <v>2110</v>
      </c>
      <c r="B1987" s="76">
        <v>65.844787999999994</v>
      </c>
      <c r="C1987" s="76">
        <v>66.649558999999996</v>
      </c>
      <c r="D1987" s="76">
        <v>65.639938000000001</v>
      </c>
      <c r="E1987" s="76">
        <v>66.452018999999893</v>
      </c>
      <c r="F1987" s="76">
        <v>45.609885999999896</v>
      </c>
      <c r="G1987" s="79">
        <v>970200</v>
      </c>
    </row>
    <row r="1988" spans="1:7" x14ac:dyDescent="0.25">
      <c r="A1988" s="1" t="s">
        <v>2111</v>
      </c>
      <c r="B1988" s="76">
        <v>66.751983999999993</v>
      </c>
      <c r="C1988" s="76">
        <v>66.751983999999993</v>
      </c>
      <c r="D1988" s="76">
        <v>62.918349999999997</v>
      </c>
      <c r="E1988" s="76">
        <v>63.123199</v>
      </c>
      <c r="F1988" s="76">
        <v>43.325122999999998</v>
      </c>
      <c r="G1988" s="79">
        <v>2690500</v>
      </c>
    </row>
    <row r="1989" spans="1:7" x14ac:dyDescent="0.25">
      <c r="A1989" s="1" t="s">
        <v>2112</v>
      </c>
      <c r="B1989" s="76">
        <v>62.194056999999901</v>
      </c>
      <c r="C1989" s="76">
        <v>64.081611999999893</v>
      </c>
      <c r="D1989" s="76">
        <v>62.194056999999901</v>
      </c>
      <c r="E1989" s="76">
        <v>63.715805000000003</v>
      </c>
      <c r="F1989" s="76">
        <v>43.731879999999997</v>
      </c>
      <c r="G1989" s="79">
        <v>2876900</v>
      </c>
    </row>
    <row r="1990" spans="1:7" x14ac:dyDescent="0.25">
      <c r="A1990" s="1" t="s">
        <v>2113</v>
      </c>
      <c r="B1990" s="76">
        <v>64.352303000000006</v>
      </c>
      <c r="C1990" s="76">
        <v>66.364227</v>
      </c>
      <c r="D1990" s="76">
        <v>64.088927999999996</v>
      </c>
      <c r="E1990" s="76">
        <v>65.559455999999997</v>
      </c>
      <c r="F1990" s="76">
        <v>44.997284000000001</v>
      </c>
      <c r="G1990" s="79">
        <v>2953000</v>
      </c>
    </row>
    <row r="1991" spans="1:7" x14ac:dyDescent="0.25">
      <c r="A1991" s="1" t="s">
        <v>2114</v>
      </c>
      <c r="B1991" s="76">
        <v>65.193657000000002</v>
      </c>
      <c r="C1991" s="76">
        <v>66.093536</v>
      </c>
      <c r="D1991" s="76">
        <v>64.323036000000002</v>
      </c>
      <c r="E1991" s="76">
        <v>65.500930999999994</v>
      </c>
      <c r="F1991" s="76">
        <v>44.957099999999997</v>
      </c>
      <c r="G1991" s="79">
        <v>1553200</v>
      </c>
    </row>
    <row r="1992" spans="1:7" x14ac:dyDescent="0.25">
      <c r="A1992" s="1" t="s">
        <v>2115</v>
      </c>
      <c r="B1992" s="76">
        <v>66.576392999999996</v>
      </c>
      <c r="C1992" s="76">
        <v>67.022675000000007</v>
      </c>
      <c r="D1992" s="76">
        <v>65.354607000000001</v>
      </c>
      <c r="E1992" s="76">
        <v>65.844787999999994</v>
      </c>
      <c r="F1992" s="76">
        <v>45.193119000000003</v>
      </c>
      <c r="G1992" s="79">
        <v>3209900</v>
      </c>
    </row>
    <row r="1993" spans="1:7" x14ac:dyDescent="0.25">
      <c r="A1993" s="1" t="s">
        <v>2116</v>
      </c>
      <c r="B1993" s="76">
        <v>65.361923000000004</v>
      </c>
      <c r="C1993" s="76">
        <v>65.742362999999997</v>
      </c>
      <c r="D1993" s="76">
        <v>64.579102000000006</v>
      </c>
      <c r="E1993" s="76">
        <v>65.069282999999999</v>
      </c>
      <c r="F1993" s="76">
        <v>44.660846999999997</v>
      </c>
      <c r="G1993" s="79">
        <v>1364900</v>
      </c>
    </row>
    <row r="1994" spans="1:7" x14ac:dyDescent="0.25">
      <c r="A1994" s="1" t="s">
        <v>2117</v>
      </c>
      <c r="B1994" s="76">
        <v>64.813216999999995</v>
      </c>
      <c r="C1994" s="76">
        <v>65.047332999999995</v>
      </c>
      <c r="D1994" s="76">
        <v>63.481689000000003</v>
      </c>
      <c r="E1994" s="76">
        <v>63.481689000000003</v>
      </c>
      <c r="F1994" s="76">
        <v>43.571174999999997</v>
      </c>
      <c r="G1994" s="79">
        <v>1434500</v>
      </c>
    </row>
    <row r="1995" spans="1:7" x14ac:dyDescent="0.25">
      <c r="A1995" s="1" t="s">
        <v>2118</v>
      </c>
      <c r="B1995" s="76">
        <v>63.942604000000003</v>
      </c>
      <c r="C1995" s="76">
        <v>65.910629</v>
      </c>
      <c r="D1995" s="76">
        <v>63.942604000000003</v>
      </c>
      <c r="E1995" s="76">
        <v>65.691147000000001</v>
      </c>
      <c r="F1995" s="76">
        <v>45.087657999999998</v>
      </c>
      <c r="G1995" s="79">
        <v>1712900</v>
      </c>
    </row>
    <row r="1996" spans="1:7" x14ac:dyDescent="0.25">
      <c r="A1996" s="1" t="s">
        <v>2119</v>
      </c>
      <c r="B1996" s="76">
        <v>67.088523999999893</v>
      </c>
      <c r="C1996" s="76">
        <v>68.039612000000005</v>
      </c>
      <c r="D1996" s="76">
        <v>65.566772</v>
      </c>
      <c r="E1996" s="76">
        <v>68.039612000000005</v>
      </c>
      <c r="F1996" s="76">
        <v>46.699546999999903</v>
      </c>
      <c r="G1996" s="79">
        <v>1464500</v>
      </c>
    </row>
    <row r="1997" spans="1:7" x14ac:dyDescent="0.25">
      <c r="A1997" s="1" t="s">
        <v>2120</v>
      </c>
      <c r="B1997" s="76">
        <v>68.266411000000005</v>
      </c>
      <c r="C1997" s="76">
        <v>68.756591999999998</v>
      </c>
      <c r="D1997" s="76">
        <v>66.642241999999996</v>
      </c>
      <c r="E1997" s="76">
        <v>66.876350000000002</v>
      </c>
      <c r="F1997" s="76">
        <v>45.901138000000003</v>
      </c>
      <c r="G1997" s="79">
        <v>1461300</v>
      </c>
    </row>
    <row r="1998" spans="1:7" x14ac:dyDescent="0.25">
      <c r="A1998" s="1" t="s">
        <v>2121</v>
      </c>
      <c r="B1998" s="76">
        <v>67.198265000000006</v>
      </c>
      <c r="C1998" s="76">
        <v>68.844382999999993</v>
      </c>
      <c r="D1998" s="76">
        <v>66.612976000000003</v>
      </c>
      <c r="E1998" s="76">
        <v>68.727324999999993</v>
      </c>
      <c r="F1998" s="76">
        <v>47.171570000000003</v>
      </c>
      <c r="G1998" s="79">
        <v>907200</v>
      </c>
    </row>
    <row r="1999" spans="1:7" x14ac:dyDescent="0.25">
      <c r="A1999" s="1" t="s">
        <v>2122</v>
      </c>
      <c r="B1999" s="76">
        <v>68.968757999999994</v>
      </c>
      <c r="C1999" s="76">
        <v>69.297980999999993</v>
      </c>
      <c r="D1999" s="76">
        <v>64.879058999999998</v>
      </c>
      <c r="E1999" s="76">
        <v>64.893692000000001</v>
      </c>
      <c r="F1999" s="76">
        <v>44.540317999999999</v>
      </c>
      <c r="G1999" s="79">
        <v>2314100</v>
      </c>
    </row>
    <row r="2000" spans="1:7" x14ac:dyDescent="0.25">
      <c r="A2000" s="1" t="s">
        <v>2123</v>
      </c>
      <c r="B2000" s="76">
        <v>66.839775000000003</v>
      </c>
      <c r="C2000" s="76">
        <v>67.710387999999995</v>
      </c>
      <c r="D2000" s="76">
        <v>64.857117000000002</v>
      </c>
      <c r="E2000" s="76">
        <v>65.617988999999994</v>
      </c>
      <c r="F2000" s="76">
        <v>45.037457000000003</v>
      </c>
      <c r="G2000" s="79">
        <v>2456800</v>
      </c>
    </row>
    <row r="2001" spans="1:7" x14ac:dyDescent="0.25">
      <c r="A2001" s="1" t="s">
        <v>2124</v>
      </c>
      <c r="B2001" s="76">
        <v>65.259499000000005</v>
      </c>
      <c r="C2001" s="76">
        <v>65.735045999999997</v>
      </c>
      <c r="D2001" s="76">
        <v>63.737751000000003</v>
      </c>
      <c r="E2001" s="76">
        <v>65.281447999999997</v>
      </c>
      <c r="F2001" s="76">
        <v>44.806453999999903</v>
      </c>
      <c r="G2001" s="79">
        <v>1821500</v>
      </c>
    </row>
    <row r="2002" spans="1:7" x14ac:dyDescent="0.25">
      <c r="A2002" s="1" t="s">
        <v>2125</v>
      </c>
      <c r="B2002" s="76">
        <v>65.142441000000005</v>
      </c>
      <c r="C2002" s="76">
        <v>65.427773000000002</v>
      </c>
      <c r="D2002" s="76">
        <v>62.918349999999997</v>
      </c>
      <c r="E2002" s="76">
        <v>63.050041</v>
      </c>
      <c r="F2002" s="76">
        <v>43.274925000000003</v>
      </c>
      <c r="G2002" s="79">
        <v>2049200</v>
      </c>
    </row>
    <row r="2003" spans="1:7" x14ac:dyDescent="0.25">
      <c r="A2003" s="1" t="s">
        <v>2126</v>
      </c>
      <c r="B2003" s="76">
        <v>62.654971999999901</v>
      </c>
      <c r="C2003" s="76">
        <v>63.2402569999999</v>
      </c>
      <c r="D2003" s="76">
        <v>61.681930999999999</v>
      </c>
      <c r="E2003" s="76">
        <v>61.835570999999902</v>
      </c>
      <c r="F2003" s="76">
        <v>42.441344999999998</v>
      </c>
      <c r="G2003" s="79">
        <v>1651500</v>
      </c>
    </row>
    <row r="2004" spans="1:7" x14ac:dyDescent="0.25">
      <c r="A2004" s="1" t="s">
        <v>2127</v>
      </c>
      <c r="B2004" s="76">
        <v>62.157477999999998</v>
      </c>
      <c r="C2004" s="76">
        <v>62.984195999999997</v>
      </c>
      <c r="D2004" s="76">
        <v>60.591834999999897</v>
      </c>
      <c r="E2004" s="76">
        <v>62.479385000000001</v>
      </c>
      <c r="F2004" s="76">
        <v>42.883251000000001</v>
      </c>
      <c r="G2004" s="79">
        <v>1784900</v>
      </c>
    </row>
    <row r="2005" spans="1:7" x14ac:dyDescent="0.25">
      <c r="A2005" s="1" t="s">
        <v>2128</v>
      </c>
      <c r="B2005" s="76">
        <v>62.947617000000001</v>
      </c>
      <c r="C2005" s="76">
        <v>63.701172</v>
      </c>
      <c r="D2005" s="76">
        <v>61.828254999999999</v>
      </c>
      <c r="E2005" s="76">
        <v>63.050041</v>
      </c>
      <c r="F2005" s="76">
        <v>43.274925000000003</v>
      </c>
      <c r="G2005" s="79">
        <v>1698600</v>
      </c>
    </row>
    <row r="2006" spans="1:7" x14ac:dyDescent="0.25">
      <c r="A2006" s="1" t="s">
        <v>2129</v>
      </c>
      <c r="B2006" s="76">
        <v>63.64996</v>
      </c>
      <c r="C2006" s="76">
        <v>63.862124999999999</v>
      </c>
      <c r="D2006" s="76">
        <v>61.820937999999998</v>
      </c>
      <c r="E2006" s="76">
        <v>62.647655</v>
      </c>
      <c r="F2006" s="76">
        <v>42.998733999999999</v>
      </c>
      <c r="G2006" s="79">
        <v>1749900</v>
      </c>
    </row>
    <row r="2007" spans="1:7" x14ac:dyDescent="0.25">
      <c r="A2007" s="1" t="s">
        <v>2130</v>
      </c>
      <c r="B2007" s="76">
        <v>63.357315</v>
      </c>
      <c r="C2007" s="76">
        <v>64.213295000000002</v>
      </c>
      <c r="D2007" s="76">
        <v>62.947617000000001</v>
      </c>
      <c r="E2007" s="76">
        <v>63.715805000000003</v>
      </c>
      <c r="F2007" s="76">
        <v>43.731879999999997</v>
      </c>
      <c r="G2007" s="79">
        <v>1478800</v>
      </c>
    </row>
    <row r="2008" spans="1:7" x14ac:dyDescent="0.25">
      <c r="A2008" s="1" t="s">
        <v>2131</v>
      </c>
      <c r="B2008" s="76">
        <v>63.2402569999999</v>
      </c>
      <c r="C2008" s="76">
        <v>65.859420999999998</v>
      </c>
      <c r="D2008" s="76">
        <v>63.2402569999999</v>
      </c>
      <c r="E2008" s="76">
        <v>65.808205000000001</v>
      </c>
      <c r="F2008" s="76">
        <v>45.168007000000003</v>
      </c>
      <c r="G2008" s="79">
        <v>697300</v>
      </c>
    </row>
    <row r="2009" spans="1:7" x14ac:dyDescent="0.25">
      <c r="A2009" s="1" t="s">
        <v>2132</v>
      </c>
      <c r="B2009" s="76">
        <v>65.259499000000005</v>
      </c>
      <c r="C2009" s="76">
        <v>65.647255000000001</v>
      </c>
      <c r="D2009" s="76">
        <v>64.659576000000001</v>
      </c>
      <c r="E2009" s="76">
        <v>65.222915999999998</v>
      </c>
      <c r="F2009" s="76">
        <v>44.766280999999999</v>
      </c>
      <c r="G2009" s="79">
        <v>994400</v>
      </c>
    </row>
    <row r="2010" spans="1:7" x14ac:dyDescent="0.25">
      <c r="A2010" s="1" t="s">
        <v>2133</v>
      </c>
      <c r="B2010" s="76">
        <v>65.208281999999997</v>
      </c>
      <c r="C2010" s="76">
        <v>65.208281999999997</v>
      </c>
      <c r="D2010" s="76">
        <v>63.364631999999901</v>
      </c>
      <c r="E2010" s="76">
        <v>63.686539000000003</v>
      </c>
      <c r="F2010" s="76">
        <v>43.711787999999999</v>
      </c>
      <c r="G2010" s="79">
        <v>1218600</v>
      </c>
    </row>
    <row r="2011" spans="1:7" x14ac:dyDescent="0.25">
      <c r="A2011" s="1" t="s">
        <v>2134</v>
      </c>
      <c r="B2011" s="76">
        <v>64.147452999999999</v>
      </c>
      <c r="C2011" s="76">
        <v>64.352303000000006</v>
      </c>
      <c r="D2011" s="76">
        <v>62.706183999999901</v>
      </c>
      <c r="E2011" s="76">
        <v>63.137832999999901</v>
      </c>
      <c r="F2011" s="76">
        <v>43.335166999999998</v>
      </c>
      <c r="G2011" s="79">
        <v>1331400</v>
      </c>
    </row>
    <row r="2012" spans="1:7" x14ac:dyDescent="0.25">
      <c r="A2012" s="1" t="s">
        <v>2135</v>
      </c>
      <c r="B2012" s="76">
        <v>62.786662999999997</v>
      </c>
      <c r="C2012" s="76">
        <v>64.725425999999999</v>
      </c>
      <c r="D2012" s="76">
        <v>62.786662999999997</v>
      </c>
      <c r="E2012" s="76">
        <v>64.344985999999906</v>
      </c>
      <c r="F2012" s="76">
        <v>44.163699999999999</v>
      </c>
      <c r="G2012" s="79">
        <v>1332700</v>
      </c>
    </row>
    <row r="2013" spans="1:7" x14ac:dyDescent="0.25">
      <c r="A2013" s="1" t="s">
        <v>2136</v>
      </c>
      <c r="B2013" s="76">
        <v>64.023078999999996</v>
      </c>
      <c r="C2013" s="76">
        <v>65.179023999999998</v>
      </c>
      <c r="D2013" s="76">
        <v>63.093936999999997</v>
      </c>
      <c r="E2013" s="76">
        <v>64.147452999999999</v>
      </c>
      <c r="F2013" s="76">
        <v>44.028129999999997</v>
      </c>
      <c r="G2013" s="79">
        <v>1745700</v>
      </c>
    </row>
    <row r="2014" spans="1:7" x14ac:dyDescent="0.25">
      <c r="A2014" s="1" t="s">
        <v>2137</v>
      </c>
      <c r="B2014" s="76">
        <v>63.979182999999999</v>
      </c>
      <c r="C2014" s="76">
        <v>64.198668999999995</v>
      </c>
      <c r="D2014" s="76">
        <v>61.535609999999998</v>
      </c>
      <c r="E2014" s="76">
        <v>61.872149999999998</v>
      </c>
      <c r="F2014" s="76">
        <v>42.466473000000001</v>
      </c>
      <c r="G2014" s="79">
        <v>1964000</v>
      </c>
    </row>
    <row r="2015" spans="1:7" x14ac:dyDescent="0.25">
      <c r="A2015" s="1" t="s">
        <v>2138</v>
      </c>
      <c r="B2015" s="76">
        <v>61.411235999999903</v>
      </c>
      <c r="C2015" s="76">
        <v>61.601455999999999</v>
      </c>
      <c r="D2015" s="76">
        <v>60.087024999999997</v>
      </c>
      <c r="E2015" s="76">
        <v>60.569884999999999</v>
      </c>
      <c r="F2015" s="76">
        <v>41.572639000000002</v>
      </c>
      <c r="G2015" s="79">
        <v>2612700</v>
      </c>
    </row>
    <row r="2016" spans="1:7" x14ac:dyDescent="0.25">
      <c r="A2016" s="1" t="s">
        <v>2139</v>
      </c>
      <c r="B2016" s="76">
        <v>60.818633999999903</v>
      </c>
      <c r="C2016" s="76">
        <v>61.769725999999999</v>
      </c>
      <c r="D2016" s="76">
        <v>59.465156999999998</v>
      </c>
      <c r="E2016" s="76">
        <v>61.389290000000003</v>
      </c>
      <c r="F2016" s="76">
        <v>42.135044000000001</v>
      </c>
      <c r="G2016" s="79">
        <v>2959500</v>
      </c>
    </row>
    <row r="2017" spans="1:7" x14ac:dyDescent="0.25">
      <c r="A2017" s="1" t="s">
        <v>2140</v>
      </c>
      <c r="B2017" s="76">
        <v>61.389290000000003</v>
      </c>
      <c r="C2017" s="76">
        <v>62.896403999999997</v>
      </c>
      <c r="D2017" s="76">
        <v>57.870251000000003</v>
      </c>
      <c r="E2017" s="76">
        <v>57.987308999999897</v>
      </c>
      <c r="F2017" s="76">
        <v>39.800075999999997</v>
      </c>
      <c r="G2017" s="79">
        <v>3010100</v>
      </c>
    </row>
    <row r="2018" spans="1:7" x14ac:dyDescent="0.25">
      <c r="A2018" s="1" t="s">
        <v>2141</v>
      </c>
      <c r="B2018" s="76">
        <v>57.782458999999903</v>
      </c>
      <c r="C2018" s="76">
        <v>60.087024999999997</v>
      </c>
      <c r="D2018" s="76">
        <v>56.619197999999997</v>
      </c>
      <c r="E2018" s="76">
        <v>59.889491999999997</v>
      </c>
      <c r="F2018" s="76">
        <v>41.105656000000003</v>
      </c>
      <c r="G2018" s="79">
        <v>2907700</v>
      </c>
    </row>
    <row r="2019" spans="1:7" x14ac:dyDescent="0.25">
      <c r="A2019" s="1" t="s">
        <v>2142</v>
      </c>
      <c r="B2019" s="76">
        <v>59.157882999999998</v>
      </c>
      <c r="C2019" s="76">
        <v>62.786662999999997</v>
      </c>
      <c r="D2019" s="76">
        <v>58.060471</v>
      </c>
      <c r="E2019" s="76">
        <v>61.542926999999999</v>
      </c>
      <c r="F2019" s="76">
        <v>42.240490000000001</v>
      </c>
      <c r="G2019" s="79">
        <v>3445700</v>
      </c>
    </row>
    <row r="2020" spans="1:7" x14ac:dyDescent="0.25">
      <c r="A2020" s="1" t="s">
        <v>2143</v>
      </c>
      <c r="B2020" s="76">
        <v>61.089328999999999</v>
      </c>
      <c r="C2020" s="76">
        <v>63.0134579999999</v>
      </c>
      <c r="D2020" s="76">
        <v>59.933388000000001</v>
      </c>
      <c r="E2020" s="76">
        <v>61.023482999999999</v>
      </c>
      <c r="F2020" s="76">
        <v>41.883972</v>
      </c>
      <c r="G2020" s="79">
        <v>3022900</v>
      </c>
    </row>
    <row r="2021" spans="1:7" x14ac:dyDescent="0.25">
      <c r="A2021" s="1" t="s">
        <v>2144</v>
      </c>
      <c r="B2021" s="76">
        <v>61.528293999999903</v>
      </c>
      <c r="C2021" s="76">
        <v>61.981892000000002</v>
      </c>
      <c r="D2021" s="76">
        <v>58.996929000000002</v>
      </c>
      <c r="E2021" s="76">
        <v>60.723526</v>
      </c>
      <c r="F2021" s="76">
        <v>41.678100999999998</v>
      </c>
      <c r="G2021" s="79">
        <v>2369200</v>
      </c>
    </row>
    <row r="2022" spans="1:7" x14ac:dyDescent="0.25">
      <c r="A2022" s="1" t="s">
        <v>2145</v>
      </c>
      <c r="B2022" s="76">
        <v>59.318835999999997</v>
      </c>
      <c r="C2022" s="76">
        <v>60.782055</v>
      </c>
      <c r="D2022" s="76">
        <v>58.572593999999903</v>
      </c>
      <c r="E2022" s="76">
        <v>59.809013</v>
      </c>
      <c r="F2022" s="76">
        <v>41.050410999999997</v>
      </c>
      <c r="G2022" s="79">
        <v>2184400</v>
      </c>
    </row>
    <row r="2023" spans="1:7" x14ac:dyDescent="0.25">
      <c r="A2023" s="1" t="s">
        <v>2146</v>
      </c>
      <c r="B2023" s="76">
        <v>58.967663000000002</v>
      </c>
      <c r="C2023" s="76">
        <v>62.025787000000001</v>
      </c>
      <c r="D2023" s="76">
        <v>58.967663000000002</v>
      </c>
      <c r="E2023" s="76">
        <v>60.972270999999999</v>
      </c>
      <c r="F2023" s="76">
        <v>41.848812000000002</v>
      </c>
      <c r="G2023" s="79">
        <v>3133100</v>
      </c>
    </row>
    <row r="2024" spans="1:7" x14ac:dyDescent="0.25">
      <c r="A2024" s="1" t="s">
        <v>2147</v>
      </c>
      <c r="B2024" s="76">
        <v>60.906424999999999</v>
      </c>
      <c r="C2024" s="76">
        <v>61.542926999999999</v>
      </c>
      <c r="D2024" s="76">
        <v>59.596848000000001</v>
      </c>
      <c r="E2024" s="76">
        <v>59.845592000000003</v>
      </c>
      <c r="F2024" s="76">
        <v>41.075527000000001</v>
      </c>
      <c r="G2024" s="79">
        <v>2842500</v>
      </c>
    </row>
    <row r="2025" spans="1:7" x14ac:dyDescent="0.25">
      <c r="A2025" s="1" t="s">
        <v>2148</v>
      </c>
      <c r="B2025" s="76">
        <v>59.9846</v>
      </c>
      <c r="C2025" s="76">
        <v>61.103962000000003</v>
      </c>
      <c r="D2025" s="76">
        <v>58.477485999999999</v>
      </c>
      <c r="E2025" s="76">
        <v>59.487105999999997</v>
      </c>
      <c r="F2025" s="76">
        <v>40.829475000000002</v>
      </c>
      <c r="G2025" s="79">
        <v>3265900</v>
      </c>
    </row>
    <row r="2026" spans="1:7" x14ac:dyDescent="0.25">
      <c r="A2026" s="1" t="s">
        <v>2149</v>
      </c>
      <c r="B2026" s="76">
        <v>56.728943000000001</v>
      </c>
      <c r="C2026" s="76">
        <v>61.689246999999902</v>
      </c>
      <c r="D2026" s="76">
        <v>56.728943000000001</v>
      </c>
      <c r="E2026" s="76">
        <v>61.030799999999999</v>
      </c>
      <c r="F2026" s="76">
        <v>41.888987999999998</v>
      </c>
      <c r="G2026" s="79">
        <v>3363900</v>
      </c>
    </row>
    <row r="2027" spans="1:7" x14ac:dyDescent="0.25">
      <c r="A2027" s="1" t="s">
        <v>2150</v>
      </c>
      <c r="B2027" s="76">
        <v>59.962649999999996</v>
      </c>
      <c r="C2027" s="76">
        <v>68.215194999999994</v>
      </c>
      <c r="D2027" s="76">
        <v>59.962649999999996</v>
      </c>
      <c r="E2027" s="76">
        <v>67.827445999999995</v>
      </c>
      <c r="F2027" s="76">
        <v>46.553925</v>
      </c>
      <c r="G2027" s="79">
        <v>6310600</v>
      </c>
    </row>
    <row r="2028" spans="1:7" x14ac:dyDescent="0.25">
      <c r="A2028" s="1" t="s">
        <v>2151</v>
      </c>
      <c r="B2028" s="76">
        <v>67.490905999999995</v>
      </c>
      <c r="C2028" s="76">
        <v>67.703071999999906</v>
      </c>
      <c r="D2028" s="76">
        <v>65.105857999999998</v>
      </c>
      <c r="E2028" s="76">
        <v>65.786254999999997</v>
      </c>
      <c r="F2028" s="76">
        <v>45.152931000000002</v>
      </c>
      <c r="G2028" s="79">
        <v>3007500</v>
      </c>
    </row>
    <row r="2029" spans="1:7" x14ac:dyDescent="0.25">
      <c r="A2029" s="1" t="s">
        <v>2152</v>
      </c>
      <c r="B2029" s="76">
        <v>66.400809999999893</v>
      </c>
      <c r="C2029" s="76">
        <v>67.308006000000006</v>
      </c>
      <c r="D2029" s="76">
        <v>63.64996</v>
      </c>
      <c r="E2029" s="76">
        <v>64.725425999999999</v>
      </c>
      <c r="F2029" s="76">
        <v>44.424827999999998</v>
      </c>
      <c r="G2029" s="79">
        <v>2464700</v>
      </c>
    </row>
    <row r="2030" spans="1:7" x14ac:dyDescent="0.25">
      <c r="A2030" s="1" t="s">
        <v>2153</v>
      </c>
      <c r="B2030" s="76">
        <v>64.088927999999996</v>
      </c>
      <c r="C2030" s="76">
        <v>66.620293000000004</v>
      </c>
      <c r="D2030" s="76">
        <v>63.467055999999999</v>
      </c>
      <c r="E2030" s="76">
        <v>66.576392999999996</v>
      </c>
      <c r="F2030" s="76">
        <v>46.164883000000003</v>
      </c>
      <c r="G2030" s="79">
        <v>2073700</v>
      </c>
    </row>
    <row r="2031" spans="1:7" x14ac:dyDescent="0.25">
      <c r="A2031" s="1" t="s">
        <v>2154</v>
      </c>
      <c r="B2031" s="76">
        <v>66.825142</v>
      </c>
      <c r="C2031" s="76">
        <v>66.876350000000002</v>
      </c>
      <c r="D2031" s="76">
        <v>65.076599000000002</v>
      </c>
      <c r="E2031" s="76">
        <v>65.961844999999997</v>
      </c>
      <c r="F2031" s="76">
        <v>45.738746999999996</v>
      </c>
      <c r="G2031" s="79">
        <v>1463600</v>
      </c>
    </row>
    <row r="2032" spans="1:7" x14ac:dyDescent="0.25">
      <c r="A2032" s="1" t="s">
        <v>2155</v>
      </c>
      <c r="B2032" s="76">
        <v>66.013053999999997</v>
      </c>
      <c r="C2032" s="76">
        <v>67.351897999999906</v>
      </c>
      <c r="D2032" s="76">
        <v>64.118187000000006</v>
      </c>
      <c r="E2032" s="76">
        <v>64.549835000000002</v>
      </c>
      <c r="F2032" s="76">
        <v>44.759655000000002</v>
      </c>
      <c r="G2032" s="79">
        <v>2193400</v>
      </c>
    </row>
    <row r="2033" spans="1:7" x14ac:dyDescent="0.25">
      <c r="A2033" s="1" t="s">
        <v>2156</v>
      </c>
      <c r="B2033" s="76">
        <v>63.942604000000003</v>
      </c>
      <c r="C2033" s="76">
        <v>67.476272999999907</v>
      </c>
      <c r="D2033" s="76">
        <v>63.467055999999999</v>
      </c>
      <c r="E2033" s="76">
        <v>66.064269999999993</v>
      </c>
      <c r="F2033" s="76">
        <v>45.809775999999999</v>
      </c>
      <c r="G2033" s="79">
        <v>3084300</v>
      </c>
    </row>
    <row r="2034" spans="1:7" x14ac:dyDescent="0.25">
      <c r="A2034" s="1" t="s">
        <v>2157</v>
      </c>
      <c r="B2034" s="76">
        <v>66.254486</v>
      </c>
      <c r="C2034" s="76">
        <v>69.085814999999997</v>
      </c>
      <c r="D2034" s="76">
        <v>65.808205000000001</v>
      </c>
      <c r="E2034" s="76">
        <v>68.771216999999993</v>
      </c>
      <c r="F2034" s="76">
        <v>47.686813000000001</v>
      </c>
      <c r="G2034" s="79">
        <v>2780200</v>
      </c>
    </row>
    <row r="2035" spans="1:7" x14ac:dyDescent="0.25">
      <c r="A2035" s="1" t="s">
        <v>2158</v>
      </c>
      <c r="B2035" s="76">
        <v>68.778533999999993</v>
      </c>
      <c r="C2035" s="76">
        <v>69.166290000000004</v>
      </c>
      <c r="D2035" s="76">
        <v>67.205581999999893</v>
      </c>
      <c r="E2035" s="76">
        <v>68.339568999999997</v>
      </c>
      <c r="F2035" s="76">
        <v>47.387496999999897</v>
      </c>
      <c r="G2035" s="79">
        <v>2129900</v>
      </c>
    </row>
    <row r="2036" spans="1:7" x14ac:dyDescent="0.25">
      <c r="A2036" s="1" t="s">
        <v>2159</v>
      </c>
      <c r="B2036" s="76">
        <v>67.088523999999893</v>
      </c>
      <c r="C2036" s="76">
        <v>68.676108999999997</v>
      </c>
      <c r="D2036" s="76">
        <v>66.005736999999996</v>
      </c>
      <c r="E2036" s="76">
        <v>66.005736999999996</v>
      </c>
      <c r="F2036" s="76">
        <v>45.769176000000002</v>
      </c>
      <c r="G2036" s="79">
        <v>2788200</v>
      </c>
    </row>
    <row r="2037" spans="1:7" x14ac:dyDescent="0.25">
      <c r="A2037" s="1" t="s">
        <v>2160</v>
      </c>
      <c r="B2037" s="76">
        <v>66.086219999999997</v>
      </c>
      <c r="C2037" s="76">
        <v>66.554443000000006</v>
      </c>
      <c r="D2037" s="76">
        <v>64.059662000000003</v>
      </c>
      <c r="E2037" s="76">
        <v>64.147452999999999</v>
      </c>
      <c r="F2037" s="76">
        <v>44.480632999999997</v>
      </c>
      <c r="G2037" s="79">
        <v>1946200</v>
      </c>
    </row>
    <row r="2038" spans="1:7" x14ac:dyDescent="0.25">
      <c r="A2038" s="1" t="s">
        <v>2161</v>
      </c>
      <c r="B2038" s="76">
        <v>64.344985999999906</v>
      </c>
      <c r="C2038" s="76">
        <v>66.108161999999993</v>
      </c>
      <c r="D2038" s="76">
        <v>63.64996</v>
      </c>
      <c r="E2038" s="76">
        <v>65.720412999999994</v>
      </c>
      <c r="F2038" s="76">
        <v>45.571342000000001</v>
      </c>
      <c r="G2038" s="79">
        <v>1960000</v>
      </c>
    </row>
    <row r="2039" spans="1:7" x14ac:dyDescent="0.25">
      <c r="A2039" s="1" t="s">
        <v>2162</v>
      </c>
      <c r="B2039" s="76">
        <v>65.325339999999997</v>
      </c>
      <c r="C2039" s="76">
        <v>65.544822999999994</v>
      </c>
      <c r="D2039" s="76">
        <v>62.201374000000001</v>
      </c>
      <c r="E2039" s="76">
        <v>62.984195999999997</v>
      </c>
      <c r="F2039" s="76">
        <v>43.674014999999997</v>
      </c>
      <c r="G2039" s="79">
        <v>2174300</v>
      </c>
    </row>
    <row r="2040" spans="1:7" x14ac:dyDescent="0.25">
      <c r="A2040" s="1" t="s">
        <v>2163</v>
      </c>
      <c r="B2040" s="76">
        <v>63.071987</v>
      </c>
      <c r="C2040" s="76">
        <v>63.452427</v>
      </c>
      <c r="D2040" s="76">
        <v>61.725830000000002</v>
      </c>
      <c r="E2040" s="76">
        <v>61.959941999999998</v>
      </c>
      <c r="F2040" s="76">
        <v>42.963778999999903</v>
      </c>
      <c r="G2040" s="79">
        <v>1590200</v>
      </c>
    </row>
    <row r="2041" spans="1:7" x14ac:dyDescent="0.25">
      <c r="A2041" s="1" t="s">
        <v>2164</v>
      </c>
      <c r="B2041" s="76">
        <v>62.062369999999902</v>
      </c>
      <c r="C2041" s="76">
        <v>64.359618999999995</v>
      </c>
      <c r="D2041" s="76">
        <v>62.055053999999998</v>
      </c>
      <c r="E2041" s="76">
        <v>63.854808999999896</v>
      </c>
      <c r="F2041" s="76">
        <v>44.277701999999998</v>
      </c>
      <c r="G2041" s="79">
        <v>1900200</v>
      </c>
    </row>
    <row r="2042" spans="1:7" x14ac:dyDescent="0.25">
      <c r="A2042" s="1" t="s">
        <v>2165</v>
      </c>
      <c r="B2042" s="76">
        <v>64.235244999999907</v>
      </c>
      <c r="C2042" s="76">
        <v>65.208281999999997</v>
      </c>
      <c r="D2042" s="76">
        <v>62.750079999999997</v>
      </c>
      <c r="E2042" s="76">
        <v>64.644951000000006</v>
      </c>
      <c r="F2042" s="76">
        <v>44.825606999999998</v>
      </c>
      <c r="G2042" s="79">
        <v>2093900</v>
      </c>
    </row>
    <row r="2043" spans="1:7" x14ac:dyDescent="0.25">
      <c r="A2043" s="1" t="s">
        <v>2166</v>
      </c>
      <c r="B2043" s="76">
        <v>64.652259999999998</v>
      </c>
      <c r="C2043" s="76">
        <v>64.930274999999995</v>
      </c>
      <c r="D2043" s="76">
        <v>62.837874999999997</v>
      </c>
      <c r="E2043" s="76">
        <v>63.401210999999897</v>
      </c>
      <c r="F2043" s="76">
        <v>43.963183999999998</v>
      </c>
      <c r="G2043" s="79">
        <v>1675500</v>
      </c>
    </row>
    <row r="2044" spans="1:7" x14ac:dyDescent="0.25">
      <c r="A2044" s="1" t="s">
        <v>2167</v>
      </c>
      <c r="B2044" s="76">
        <v>63.298786</v>
      </c>
      <c r="C2044" s="76">
        <v>63.547534999999897</v>
      </c>
      <c r="D2044" s="76">
        <v>62.113582999999998</v>
      </c>
      <c r="E2044" s="76">
        <v>63.547534999999897</v>
      </c>
      <c r="F2044" s="76">
        <v>44.064636</v>
      </c>
      <c r="G2044" s="79">
        <v>1527800</v>
      </c>
    </row>
    <row r="2045" spans="1:7" x14ac:dyDescent="0.25">
      <c r="A2045" s="1" t="s">
        <v>2168</v>
      </c>
      <c r="B2045" s="76">
        <v>64.271827999999999</v>
      </c>
      <c r="C2045" s="76">
        <v>64.557152000000002</v>
      </c>
      <c r="D2045" s="76">
        <v>62.186740999999998</v>
      </c>
      <c r="E2045" s="76">
        <v>62.786662999999997</v>
      </c>
      <c r="F2045" s="76">
        <v>43.537047999999999</v>
      </c>
      <c r="G2045" s="79">
        <v>1386900</v>
      </c>
    </row>
    <row r="2046" spans="1:7" x14ac:dyDescent="0.25">
      <c r="A2046" s="1" t="s">
        <v>2169</v>
      </c>
      <c r="B2046" s="76">
        <v>62.120899000000001</v>
      </c>
      <c r="C2046" s="76">
        <v>64.118187000000006</v>
      </c>
      <c r="D2046" s="76">
        <v>62.003841000000001</v>
      </c>
      <c r="E2046" s="76">
        <v>64.103554000000003</v>
      </c>
      <c r="F2046" s="76">
        <v>44.450190999999997</v>
      </c>
      <c r="G2046" s="79">
        <v>1733700</v>
      </c>
    </row>
    <row r="2047" spans="1:7" x14ac:dyDescent="0.25">
      <c r="A2047" s="1" t="s">
        <v>2170</v>
      </c>
      <c r="B2047" s="76">
        <v>64.066978000000006</v>
      </c>
      <c r="C2047" s="76">
        <v>64.805901000000006</v>
      </c>
      <c r="D2047" s="76">
        <v>62.515965000000001</v>
      </c>
      <c r="E2047" s="76">
        <v>62.750079999999997</v>
      </c>
      <c r="F2047" s="76">
        <v>43.511681000000003</v>
      </c>
      <c r="G2047" s="79">
        <v>2070400</v>
      </c>
    </row>
    <row r="2048" spans="1:7" x14ac:dyDescent="0.25">
      <c r="A2048" s="1" t="s">
        <v>2171</v>
      </c>
      <c r="B2048" s="76">
        <v>63.101253999999997</v>
      </c>
      <c r="C2048" s="76">
        <v>63.986499999999999</v>
      </c>
      <c r="D2048" s="76">
        <v>62.128211999999998</v>
      </c>
      <c r="E2048" s="76">
        <v>63.986499999999999</v>
      </c>
      <c r="F2048" s="76">
        <v>44.369030000000002</v>
      </c>
      <c r="G2048" s="79">
        <v>1597100</v>
      </c>
    </row>
    <row r="2049" spans="1:7" x14ac:dyDescent="0.25">
      <c r="A2049" s="1" t="s">
        <v>2172</v>
      </c>
      <c r="B2049" s="76">
        <v>63.913338000000003</v>
      </c>
      <c r="C2049" s="76">
        <v>65.947211999999993</v>
      </c>
      <c r="D2049" s="76">
        <v>63.020775</v>
      </c>
      <c r="E2049" s="76">
        <v>65.947211999999993</v>
      </c>
      <c r="F2049" s="76">
        <v>45.7286</v>
      </c>
      <c r="G2049" s="79">
        <v>2099700</v>
      </c>
    </row>
    <row r="2050" spans="1:7" x14ac:dyDescent="0.25">
      <c r="A2050" s="1" t="s">
        <v>2173</v>
      </c>
      <c r="B2050" s="76">
        <v>64.674210000000002</v>
      </c>
      <c r="C2050" s="76">
        <v>66.210587000000004</v>
      </c>
      <c r="D2050" s="76">
        <v>64.432777000000002</v>
      </c>
      <c r="E2050" s="76">
        <v>65.354607000000001</v>
      </c>
      <c r="F2050" s="76">
        <v>45.317687999999997</v>
      </c>
      <c r="G2050" s="79">
        <v>3299800</v>
      </c>
    </row>
    <row r="2051" spans="1:7" x14ac:dyDescent="0.25">
      <c r="A2051" s="1" t="s">
        <v>2174</v>
      </c>
      <c r="B2051" s="76">
        <v>64.827849999999998</v>
      </c>
      <c r="C2051" s="76">
        <v>65.522880999999998</v>
      </c>
      <c r="D2051" s="76">
        <v>63.606064000000003</v>
      </c>
      <c r="E2051" s="76">
        <v>63.767017000000003</v>
      </c>
      <c r="F2051" s="76">
        <v>44.216834999999897</v>
      </c>
      <c r="G2051" s="79">
        <v>2070900</v>
      </c>
    </row>
    <row r="2052" spans="1:7" x14ac:dyDescent="0.25">
      <c r="A2052" s="1" t="s">
        <v>2175</v>
      </c>
      <c r="B2052" s="76">
        <v>63.759701</v>
      </c>
      <c r="C2052" s="76">
        <v>63.759701</v>
      </c>
      <c r="D2052" s="76">
        <v>61.499031000000002</v>
      </c>
      <c r="E2052" s="76">
        <v>61.842888000000002</v>
      </c>
      <c r="F2052" s="76">
        <v>42.882618000000001</v>
      </c>
      <c r="G2052" s="79">
        <v>2179500</v>
      </c>
    </row>
    <row r="2053" spans="1:7" x14ac:dyDescent="0.25">
      <c r="A2053" s="1" t="s">
        <v>2176</v>
      </c>
      <c r="B2053" s="76">
        <v>61.038116000000002</v>
      </c>
      <c r="C2053" s="76">
        <v>62.084316000000001</v>
      </c>
      <c r="D2053" s="76">
        <v>60.730843</v>
      </c>
      <c r="E2053" s="76">
        <v>61.133223999999998</v>
      </c>
      <c r="F2053" s="76">
        <v>42.390518</v>
      </c>
      <c r="G2053" s="79">
        <v>2215200</v>
      </c>
    </row>
    <row r="2054" spans="1:7" x14ac:dyDescent="0.25">
      <c r="A2054" s="1" t="s">
        <v>2177</v>
      </c>
      <c r="B2054" s="76">
        <v>61.674618000000002</v>
      </c>
      <c r="C2054" s="76">
        <v>62.047736999999998</v>
      </c>
      <c r="D2054" s="76">
        <v>60.218716000000001</v>
      </c>
      <c r="E2054" s="76">
        <v>61.542926999999999</v>
      </c>
      <c r="F2054" s="76">
        <v>42.674624999999999</v>
      </c>
      <c r="G2054" s="79">
        <v>2874500</v>
      </c>
    </row>
    <row r="2055" spans="1:7" x14ac:dyDescent="0.25">
      <c r="A2055" s="1" t="s">
        <v>2178</v>
      </c>
      <c r="B2055" s="76">
        <v>61.206386999999999</v>
      </c>
      <c r="C2055" s="76">
        <v>61.499031000000002</v>
      </c>
      <c r="D2055" s="76">
        <v>60.028495999999997</v>
      </c>
      <c r="E2055" s="76">
        <v>60.621097999999897</v>
      </c>
      <c r="F2055" s="76">
        <v>42.035423000000002</v>
      </c>
      <c r="G2055" s="79">
        <v>2488700</v>
      </c>
    </row>
    <row r="2056" spans="1:7" x14ac:dyDescent="0.25">
      <c r="A2056" s="1" t="s">
        <v>2179</v>
      </c>
      <c r="B2056" s="76">
        <v>61.082011999999999</v>
      </c>
      <c r="C2056" s="76">
        <v>62.003841000000001</v>
      </c>
      <c r="D2056" s="76">
        <v>60.386986</v>
      </c>
      <c r="E2056" s="76">
        <v>61.308810999999999</v>
      </c>
      <c r="F2056" s="76">
        <v>42.512295000000002</v>
      </c>
      <c r="G2056" s="79">
        <v>1454200</v>
      </c>
    </row>
    <row r="2057" spans="1:7" x14ac:dyDescent="0.25">
      <c r="A2057" s="1" t="s">
        <v>2180</v>
      </c>
      <c r="B2057" s="76">
        <v>60.884480000000003</v>
      </c>
      <c r="C2057" s="76">
        <v>61.206386999999999</v>
      </c>
      <c r="D2057" s="76">
        <v>58.221423999999999</v>
      </c>
      <c r="E2057" s="76">
        <v>58.360427999999999</v>
      </c>
      <c r="F2057" s="76">
        <v>40.467841999999997</v>
      </c>
      <c r="G2057" s="79">
        <v>2382600</v>
      </c>
    </row>
    <row r="2058" spans="1:7" x14ac:dyDescent="0.25">
      <c r="A2058" s="1" t="s">
        <v>2181</v>
      </c>
      <c r="B2058" s="76">
        <v>58.294581999999998</v>
      </c>
      <c r="C2058" s="76">
        <v>59.904120999999897</v>
      </c>
      <c r="D2058" s="76">
        <v>57.73856</v>
      </c>
      <c r="E2058" s="76">
        <v>59.260306999999997</v>
      </c>
      <c r="F2058" s="76">
        <v>41.091839</v>
      </c>
      <c r="G2058" s="79">
        <v>3277200</v>
      </c>
    </row>
    <row r="2059" spans="1:7" x14ac:dyDescent="0.25">
      <c r="A2059" s="1" t="s">
        <v>2182</v>
      </c>
      <c r="B2059" s="76">
        <v>59.135932999999902</v>
      </c>
      <c r="C2059" s="76">
        <v>59.450527000000001</v>
      </c>
      <c r="D2059" s="76">
        <v>57.577606000000003</v>
      </c>
      <c r="E2059" s="76">
        <v>57.723930000000003</v>
      </c>
      <c r="F2059" s="76">
        <v>40.026485000000001</v>
      </c>
      <c r="G2059" s="79">
        <v>2319600</v>
      </c>
    </row>
    <row r="2060" spans="1:7" x14ac:dyDescent="0.25">
      <c r="A2060" s="1" t="s">
        <v>2183</v>
      </c>
      <c r="B2060" s="76">
        <v>61.074695999999904</v>
      </c>
      <c r="C2060" s="76">
        <v>63.137832999999901</v>
      </c>
      <c r="D2060" s="76">
        <v>58.894505000000002</v>
      </c>
      <c r="E2060" s="76">
        <v>62.859820999999997</v>
      </c>
      <c r="F2060" s="76">
        <v>43.587775999999998</v>
      </c>
      <c r="G2060" s="79">
        <v>3311000</v>
      </c>
    </row>
    <row r="2061" spans="1:7" x14ac:dyDescent="0.25">
      <c r="A2061" s="1" t="s">
        <v>2184</v>
      </c>
      <c r="B2061" s="76">
        <v>62.552546999999997</v>
      </c>
      <c r="C2061" s="76">
        <v>63.64996</v>
      </c>
      <c r="D2061" s="76">
        <v>60.804001</v>
      </c>
      <c r="E2061" s="76">
        <v>60.804001</v>
      </c>
      <c r="F2061" s="76">
        <v>42.162247000000001</v>
      </c>
      <c r="G2061" s="79">
        <v>2599100</v>
      </c>
    </row>
    <row r="2062" spans="1:7" x14ac:dyDescent="0.25">
      <c r="A2062" s="1" t="s">
        <v>2185</v>
      </c>
      <c r="B2062" s="76">
        <v>59.596848000000001</v>
      </c>
      <c r="C2062" s="76">
        <v>62.589126999999998</v>
      </c>
      <c r="D2062" s="76">
        <v>58.528697999999999</v>
      </c>
      <c r="E2062" s="76">
        <v>61.777042000000002</v>
      </c>
      <c r="F2062" s="76">
        <v>42.836951999999997</v>
      </c>
      <c r="G2062" s="79">
        <v>2651300</v>
      </c>
    </row>
    <row r="2063" spans="1:7" x14ac:dyDescent="0.25">
      <c r="A2063" s="1" t="s">
        <v>2186</v>
      </c>
      <c r="B2063" s="76">
        <v>62.098948999999998</v>
      </c>
      <c r="C2063" s="76">
        <v>62.259903000000001</v>
      </c>
      <c r="D2063" s="76">
        <v>58.426272999999902</v>
      </c>
      <c r="E2063" s="76">
        <v>58.879870999999902</v>
      </c>
      <c r="F2063" s="76">
        <v>40.828021999999997</v>
      </c>
      <c r="G2063" s="79">
        <v>3579800</v>
      </c>
    </row>
    <row r="2064" spans="1:7" x14ac:dyDescent="0.25">
      <c r="A2064" s="1" t="s">
        <v>2187</v>
      </c>
      <c r="B2064" s="76">
        <v>57.723930000000003</v>
      </c>
      <c r="C2064" s="76">
        <v>58.543331000000002</v>
      </c>
      <c r="D2064" s="76">
        <v>56.070492000000002</v>
      </c>
      <c r="E2064" s="76">
        <v>57.606873</v>
      </c>
      <c r="F2064" s="76">
        <v>39.945328000000003</v>
      </c>
      <c r="G2064" s="79">
        <v>3638100</v>
      </c>
    </row>
    <row r="2065" spans="1:7" x14ac:dyDescent="0.25">
      <c r="A2065" s="1" t="s">
        <v>2188</v>
      </c>
      <c r="B2065" s="76">
        <v>57.694664000000003</v>
      </c>
      <c r="C2065" s="76">
        <v>60.145553999999997</v>
      </c>
      <c r="D2065" s="76">
        <v>57.4239689999999</v>
      </c>
      <c r="E2065" s="76">
        <v>60.138236999999997</v>
      </c>
      <c r="F2065" s="76">
        <v>41.700588000000003</v>
      </c>
      <c r="G2065" s="79">
        <v>4560400</v>
      </c>
    </row>
    <row r="2066" spans="1:7" x14ac:dyDescent="0.25">
      <c r="A2066" s="1" t="s">
        <v>2189</v>
      </c>
      <c r="B2066" s="76">
        <v>61.067379000000003</v>
      </c>
      <c r="C2066" s="76">
        <v>61.279548999999903</v>
      </c>
      <c r="D2066" s="76">
        <v>59.655375999999997</v>
      </c>
      <c r="E2066" s="76">
        <v>59.969966999999997</v>
      </c>
      <c r="F2066" s="76">
        <v>41.583915999999903</v>
      </c>
      <c r="G2066" s="79">
        <v>2492900</v>
      </c>
    </row>
    <row r="2067" spans="1:7" x14ac:dyDescent="0.25">
      <c r="A2067" s="1" t="s">
        <v>2190</v>
      </c>
      <c r="B2067" s="76">
        <v>60.035812</v>
      </c>
      <c r="C2067" s="76">
        <v>63.232943999999897</v>
      </c>
      <c r="D2067" s="76">
        <v>60.035812</v>
      </c>
      <c r="E2067" s="76">
        <v>63.006144999999997</v>
      </c>
      <c r="F2067" s="76">
        <v>43.689228</v>
      </c>
      <c r="G2067" s="79">
        <v>3567000</v>
      </c>
    </row>
    <row r="2068" spans="1:7" x14ac:dyDescent="0.25">
      <c r="A2068" s="1" t="s">
        <v>2191</v>
      </c>
      <c r="B2068" s="76">
        <v>63.503639</v>
      </c>
      <c r="C2068" s="76">
        <v>65.032700000000006</v>
      </c>
      <c r="D2068" s="76">
        <v>63.152465999999997</v>
      </c>
      <c r="E2068" s="76">
        <v>64.344985999999906</v>
      </c>
      <c r="F2068" s="76">
        <v>44.617603000000003</v>
      </c>
      <c r="G2068" s="79">
        <v>3269900</v>
      </c>
    </row>
    <row r="2069" spans="1:7" x14ac:dyDescent="0.25">
      <c r="A2069" s="1" t="s">
        <v>2192</v>
      </c>
      <c r="B2069" s="76">
        <v>64.593734999999995</v>
      </c>
      <c r="C2069" s="76">
        <v>65.296081999999998</v>
      </c>
      <c r="D2069" s="76">
        <v>63.964550000000003</v>
      </c>
      <c r="E2069" s="76">
        <v>65.274131999999994</v>
      </c>
      <c r="F2069" s="76">
        <v>45.261887000000002</v>
      </c>
      <c r="G2069" s="79">
        <v>2411500</v>
      </c>
    </row>
    <row r="2070" spans="1:7" x14ac:dyDescent="0.25">
      <c r="A2070" s="1" t="s">
        <v>2193</v>
      </c>
      <c r="B2070" s="76">
        <v>64.747375000000005</v>
      </c>
      <c r="C2070" s="76">
        <v>64.871750000000006</v>
      </c>
      <c r="D2070" s="76">
        <v>63.569481000000003</v>
      </c>
      <c r="E2070" s="76">
        <v>63.723121999999996</v>
      </c>
      <c r="F2070" s="76">
        <v>44.186394</v>
      </c>
      <c r="G2070" s="79">
        <v>1934400</v>
      </c>
    </row>
    <row r="2071" spans="1:7" x14ac:dyDescent="0.25">
      <c r="A2071" s="1" t="s">
        <v>2194</v>
      </c>
      <c r="B2071" s="76">
        <v>64.001129000000006</v>
      </c>
      <c r="C2071" s="76">
        <v>64.893692000000001</v>
      </c>
      <c r="D2071" s="76">
        <v>63.518268999999997</v>
      </c>
      <c r="E2071" s="76">
        <v>63.620697</v>
      </c>
      <c r="F2071" s="76">
        <v>44.115378999999997</v>
      </c>
      <c r="G2071" s="79">
        <v>2003600</v>
      </c>
    </row>
    <row r="2072" spans="1:7" x14ac:dyDescent="0.25">
      <c r="A2072" s="1" t="s">
        <v>2195</v>
      </c>
      <c r="B2072" s="76">
        <v>63.679221999999903</v>
      </c>
      <c r="C2072" s="76">
        <v>64.762000999999998</v>
      </c>
      <c r="D2072" s="76">
        <v>63.093936999999997</v>
      </c>
      <c r="E2072" s="76">
        <v>64.103554000000003</v>
      </c>
      <c r="F2072" s="76">
        <v>44.450190999999997</v>
      </c>
      <c r="G2072" s="79">
        <v>2371800</v>
      </c>
    </row>
    <row r="2073" spans="1:7" x14ac:dyDescent="0.25">
      <c r="A2073" s="1" t="s">
        <v>2196</v>
      </c>
      <c r="B2073" s="76">
        <v>64.205985999999996</v>
      </c>
      <c r="C2073" s="76">
        <v>65.149756999999994</v>
      </c>
      <c r="D2073" s="76">
        <v>63.071987</v>
      </c>
      <c r="E2073" s="76">
        <v>63.071987</v>
      </c>
      <c r="F2073" s="76">
        <v>43.734885999999896</v>
      </c>
      <c r="G2073" s="79">
        <v>2126900</v>
      </c>
    </row>
    <row r="2074" spans="1:7" x14ac:dyDescent="0.25">
      <c r="A2074" s="1" t="s">
        <v>2197</v>
      </c>
      <c r="B2074" s="76">
        <v>64.527893000000006</v>
      </c>
      <c r="C2074" s="76">
        <v>66.634925999999993</v>
      </c>
      <c r="D2074" s="76">
        <v>63.774333999999897</v>
      </c>
      <c r="E2074" s="76">
        <v>66.525184999999993</v>
      </c>
      <c r="F2074" s="76">
        <v>46.129387000000001</v>
      </c>
      <c r="G2074" s="79">
        <v>2802700</v>
      </c>
    </row>
    <row r="2075" spans="1:7" x14ac:dyDescent="0.25">
      <c r="A2075" s="1" t="s">
        <v>2198</v>
      </c>
      <c r="B2075" s="76">
        <v>66.525184999999993</v>
      </c>
      <c r="C2075" s="76">
        <v>67.593329999999995</v>
      </c>
      <c r="D2075" s="76">
        <v>65.552138999999997</v>
      </c>
      <c r="E2075" s="76">
        <v>66.678818000000007</v>
      </c>
      <c r="F2075" s="76">
        <v>46.235915999999897</v>
      </c>
      <c r="G2075" s="79">
        <v>2306300</v>
      </c>
    </row>
    <row r="2076" spans="1:7" x14ac:dyDescent="0.25">
      <c r="A2076" s="1" t="s">
        <v>2199</v>
      </c>
      <c r="B2076" s="76">
        <v>66.276436000000004</v>
      </c>
      <c r="C2076" s="76">
        <v>68.646850999999998</v>
      </c>
      <c r="D2076" s="76">
        <v>66.02037</v>
      </c>
      <c r="E2076" s="76">
        <v>68.449309999999997</v>
      </c>
      <c r="F2076" s="76">
        <v>47.463596000000003</v>
      </c>
      <c r="G2076" s="79">
        <v>2035000</v>
      </c>
    </row>
    <row r="2077" spans="1:7" x14ac:dyDescent="0.25">
      <c r="A2077" s="1" t="s">
        <v>2200</v>
      </c>
      <c r="B2077" s="76">
        <v>68.581001000000001</v>
      </c>
      <c r="C2077" s="76">
        <v>68.690742</v>
      </c>
      <c r="D2077" s="76">
        <v>65.500930999999994</v>
      </c>
      <c r="E2077" s="76">
        <v>65.676513999999997</v>
      </c>
      <c r="F2077" s="76">
        <v>45.540889999999997</v>
      </c>
      <c r="G2077" s="79">
        <v>2992600</v>
      </c>
    </row>
    <row r="2078" spans="1:7" x14ac:dyDescent="0.25">
      <c r="A2078" s="1" t="s">
        <v>2201</v>
      </c>
      <c r="B2078" s="76">
        <v>66.035004000000001</v>
      </c>
      <c r="C2078" s="76">
        <v>66.386177000000004</v>
      </c>
      <c r="D2078" s="76">
        <v>64.762000999999998</v>
      </c>
      <c r="E2078" s="76">
        <v>65.500930999999994</v>
      </c>
      <c r="F2078" s="76">
        <v>45.419150999999999</v>
      </c>
      <c r="G2078" s="79">
        <v>2558200</v>
      </c>
    </row>
    <row r="2079" spans="1:7" x14ac:dyDescent="0.25">
      <c r="A2079" s="1" t="s">
        <v>2202</v>
      </c>
      <c r="B2079" s="76">
        <v>65.398505999999998</v>
      </c>
      <c r="C2079" s="76">
        <v>65.844787999999994</v>
      </c>
      <c r="D2079" s="76">
        <v>64.703475999999995</v>
      </c>
      <c r="E2079" s="76">
        <v>64.981491000000005</v>
      </c>
      <c r="F2079" s="76">
        <v>45.058959999999999</v>
      </c>
      <c r="G2079" s="79">
        <v>1691200</v>
      </c>
    </row>
    <row r="2080" spans="1:7" x14ac:dyDescent="0.25">
      <c r="A2080" s="1" t="s">
        <v>2203</v>
      </c>
      <c r="B2080" s="76">
        <v>65.405822999999998</v>
      </c>
      <c r="C2080" s="76">
        <v>65.844787999999994</v>
      </c>
      <c r="D2080" s="76">
        <v>63.796280000000003</v>
      </c>
      <c r="E2080" s="76">
        <v>63.898707999999999</v>
      </c>
      <c r="F2080" s="76">
        <v>44.308143999999999</v>
      </c>
      <c r="G2080" s="79">
        <v>1636600</v>
      </c>
    </row>
    <row r="2081" spans="1:7" x14ac:dyDescent="0.25">
      <c r="A2081" s="1" t="s">
        <v>2204</v>
      </c>
      <c r="B2081" s="76">
        <v>64.052344999999903</v>
      </c>
      <c r="C2081" s="76">
        <v>65.164390999999995</v>
      </c>
      <c r="D2081" s="76">
        <v>63.408526999999999</v>
      </c>
      <c r="E2081" s="76">
        <v>64.659576000000001</v>
      </c>
      <c r="F2081" s="76">
        <v>44.835757999999998</v>
      </c>
      <c r="G2081" s="79">
        <v>1463600</v>
      </c>
    </row>
    <row r="2082" spans="1:7" x14ac:dyDescent="0.25">
      <c r="A2082" s="1" t="s">
        <v>2205</v>
      </c>
      <c r="B2082" s="76">
        <v>64.374251999999998</v>
      </c>
      <c r="C2082" s="76">
        <v>64.747375000000005</v>
      </c>
      <c r="D2082" s="76">
        <v>63.686539000000003</v>
      </c>
      <c r="E2082" s="76">
        <v>63.942604000000003</v>
      </c>
      <c r="F2082" s="76">
        <v>44.338592999999896</v>
      </c>
      <c r="G2082" s="79">
        <v>2340800</v>
      </c>
    </row>
    <row r="2083" spans="1:7" x14ac:dyDescent="0.25">
      <c r="A2083" s="1" t="s">
        <v>2206</v>
      </c>
      <c r="B2083" s="76">
        <v>63.745068000000003</v>
      </c>
      <c r="C2083" s="76">
        <v>64.571784999999906</v>
      </c>
      <c r="D2083" s="76">
        <v>63.035407999999997</v>
      </c>
      <c r="E2083" s="76">
        <v>63.137832999999901</v>
      </c>
      <c r="F2083" s="76">
        <v>43.780555999999997</v>
      </c>
      <c r="G2083" s="79">
        <v>1327700</v>
      </c>
    </row>
    <row r="2084" spans="1:7" x14ac:dyDescent="0.25">
      <c r="A2084" s="1" t="s">
        <v>2207</v>
      </c>
      <c r="B2084" s="76">
        <v>63.452427</v>
      </c>
      <c r="C2084" s="76">
        <v>64.162086000000002</v>
      </c>
      <c r="D2084" s="76">
        <v>62.874454</v>
      </c>
      <c r="E2084" s="76">
        <v>63.927970999999999</v>
      </c>
      <c r="F2084" s="76">
        <v>44.328441999999903</v>
      </c>
      <c r="G2084" s="79">
        <v>1744000</v>
      </c>
    </row>
    <row r="2085" spans="1:7" x14ac:dyDescent="0.25">
      <c r="A2085" s="1" t="s">
        <v>2208</v>
      </c>
      <c r="B2085" s="76">
        <v>64.630318000000003</v>
      </c>
      <c r="C2085" s="76">
        <v>66.744667000000007</v>
      </c>
      <c r="D2085" s="76">
        <v>64.081611999999893</v>
      </c>
      <c r="E2085" s="76">
        <v>66.664185000000003</v>
      </c>
      <c r="F2085" s="76">
        <v>46.225760999999999</v>
      </c>
      <c r="G2085" s="79">
        <v>2061700</v>
      </c>
    </row>
    <row r="2086" spans="1:7" x14ac:dyDescent="0.25">
      <c r="A2086" s="1" t="s">
        <v>2209</v>
      </c>
      <c r="B2086" s="76">
        <v>66.334960999999893</v>
      </c>
      <c r="C2086" s="76">
        <v>67.212890999999999</v>
      </c>
      <c r="D2086" s="76">
        <v>65.852103999999997</v>
      </c>
      <c r="E2086" s="76">
        <v>67.154365999999996</v>
      </c>
      <c r="F2086" s="76">
        <v>46.565655</v>
      </c>
      <c r="G2086" s="79">
        <v>1146100</v>
      </c>
    </row>
    <row r="2087" spans="1:7" x14ac:dyDescent="0.25">
      <c r="A2087" s="1" t="s">
        <v>2210</v>
      </c>
      <c r="B2087" s="76">
        <v>68.156669999999906</v>
      </c>
      <c r="C2087" s="76">
        <v>68.500525999999994</v>
      </c>
      <c r="D2087" s="76">
        <v>66.773926000000003</v>
      </c>
      <c r="E2087" s="76">
        <v>67.293373000000003</v>
      </c>
      <c r="F2087" s="76">
        <v>46.662064000000001</v>
      </c>
      <c r="G2087" s="79">
        <v>1873300</v>
      </c>
    </row>
    <row r="2088" spans="1:7" x14ac:dyDescent="0.25">
      <c r="A2088" s="1" t="s">
        <v>2211</v>
      </c>
      <c r="B2088" s="76">
        <v>66.795876000000007</v>
      </c>
      <c r="C2088" s="76">
        <v>67.249473999999907</v>
      </c>
      <c r="D2088" s="76">
        <v>66.364227</v>
      </c>
      <c r="E2088" s="76">
        <v>66.561759999999893</v>
      </c>
      <c r="F2088" s="76">
        <v>46.154755000000002</v>
      </c>
      <c r="G2088" s="79">
        <v>1124400</v>
      </c>
    </row>
    <row r="2089" spans="1:7" x14ac:dyDescent="0.25">
      <c r="A2089" s="1" t="s">
        <v>2212</v>
      </c>
      <c r="B2089" s="76">
        <v>66.751983999999993</v>
      </c>
      <c r="C2089" s="76">
        <v>67.783546000000001</v>
      </c>
      <c r="D2089" s="76">
        <v>66.261803</v>
      </c>
      <c r="E2089" s="76">
        <v>66.861725000000007</v>
      </c>
      <c r="F2089" s="76">
        <v>46.362740000000002</v>
      </c>
      <c r="G2089" s="79">
        <v>1732700</v>
      </c>
    </row>
    <row r="2090" spans="1:7" x14ac:dyDescent="0.25">
      <c r="A2090" s="1" t="s">
        <v>2213</v>
      </c>
      <c r="B2090" s="76">
        <v>67.564064000000002</v>
      </c>
      <c r="C2090" s="76">
        <v>68.976073999999997</v>
      </c>
      <c r="D2090" s="76">
        <v>66.934882999999999</v>
      </c>
      <c r="E2090" s="76">
        <v>68.251778000000002</v>
      </c>
      <c r="F2090" s="76">
        <v>47.326617999999897</v>
      </c>
      <c r="G2090" s="79">
        <v>1763300</v>
      </c>
    </row>
    <row r="2091" spans="1:7" x14ac:dyDescent="0.25">
      <c r="A2091" s="1" t="s">
        <v>2214</v>
      </c>
      <c r="B2091" s="76">
        <v>66.773926000000003</v>
      </c>
      <c r="C2091" s="76">
        <v>69.612572</v>
      </c>
      <c r="D2091" s="76">
        <v>66.678818000000007</v>
      </c>
      <c r="E2091" s="76">
        <v>69.524780000000007</v>
      </c>
      <c r="F2091" s="76">
        <v>48.209332000000003</v>
      </c>
      <c r="G2091" s="79">
        <v>2661300</v>
      </c>
    </row>
    <row r="2092" spans="1:7" x14ac:dyDescent="0.25">
      <c r="A2092" s="1" t="s">
        <v>2215</v>
      </c>
      <c r="B2092" s="76">
        <v>69.714995999999999</v>
      </c>
      <c r="C2092" s="76">
        <v>70.153960999999995</v>
      </c>
      <c r="D2092" s="76">
        <v>68.478577000000001</v>
      </c>
      <c r="E2092" s="76">
        <v>69.327240000000003</v>
      </c>
      <c r="F2092" s="76">
        <v>48.072369000000002</v>
      </c>
      <c r="G2092" s="79">
        <v>1344900</v>
      </c>
    </row>
    <row r="2093" spans="1:7" x14ac:dyDescent="0.25">
      <c r="A2093" s="1" t="s">
        <v>2216</v>
      </c>
      <c r="B2093" s="76">
        <v>69.466247999999993</v>
      </c>
      <c r="C2093" s="76">
        <v>69.693046999999893</v>
      </c>
      <c r="D2093" s="76">
        <v>68.771216999999993</v>
      </c>
      <c r="E2093" s="76">
        <v>69.561356000000004</v>
      </c>
      <c r="F2093" s="76">
        <v>48.234698999999999</v>
      </c>
      <c r="G2093" s="79">
        <v>1913900</v>
      </c>
    </row>
    <row r="2094" spans="1:7" x14ac:dyDescent="0.25">
      <c r="A2094" s="1" t="s">
        <v>2217</v>
      </c>
      <c r="B2094" s="76">
        <v>69.502831</v>
      </c>
      <c r="C2094" s="76">
        <v>69.875953999999993</v>
      </c>
      <c r="D2094" s="76">
        <v>68.976073999999997</v>
      </c>
      <c r="E2094" s="76">
        <v>69.319930999999997</v>
      </c>
      <c r="F2094" s="76">
        <v>48.067314000000003</v>
      </c>
      <c r="G2094" s="79">
        <v>2200600</v>
      </c>
    </row>
    <row r="2095" spans="1:7" x14ac:dyDescent="0.25">
      <c r="A2095" s="1" t="s">
        <v>2218</v>
      </c>
      <c r="B2095" s="76">
        <v>69.393089000000003</v>
      </c>
      <c r="C2095" s="76">
        <v>70.234436000000002</v>
      </c>
      <c r="D2095" s="76">
        <v>68.105452999999997</v>
      </c>
      <c r="E2095" s="76">
        <v>68.105452999999997</v>
      </c>
      <c r="F2095" s="76">
        <v>47.225155000000001</v>
      </c>
      <c r="G2095" s="79">
        <v>1646900</v>
      </c>
    </row>
    <row r="2096" spans="1:7" x14ac:dyDescent="0.25">
      <c r="A2096" s="1" t="s">
        <v>2219</v>
      </c>
      <c r="B2096" s="76">
        <v>68.412734999999998</v>
      </c>
      <c r="C2096" s="76">
        <v>70.146644999999907</v>
      </c>
      <c r="D2096" s="76">
        <v>67.864029000000002</v>
      </c>
      <c r="E2096" s="76">
        <v>69.912529000000006</v>
      </c>
      <c r="F2096" s="76">
        <v>48.478194999999999</v>
      </c>
      <c r="G2096" s="79">
        <v>2299800</v>
      </c>
    </row>
    <row r="2097" spans="1:7" x14ac:dyDescent="0.25">
      <c r="A2097" s="1" t="s">
        <v>2220</v>
      </c>
      <c r="B2097" s="76">
        <v>71.075789999999998</v>
      </c>
      <c r="C2097" s="76">
        <v>71.587913999999998</v>
      </c>
      <c r="D2097" s="76">
        <v>70.014954000000003</v>
      </c>
      <c r="E2097" s="76">
        <v>70.256385999999907</v>
      </c>
      <c r="F2097" s="76">
        <v>48.716644000000002</v>
      </c>
      <c r="G2097" s="79">
        <v>2187100</v>
      </c>
    </row>
    <row r="2098" spans="1:7" x14ac:dyDescent="0.25">
      <c r="A2098" s="1" t="s">
        <v>2221</v>
      </c>
      <c r="B2098" s="76">
        <v>70.132011000000006</v>
      </c>
      <c r="C2098" s="76">
        <v>72.941390999999996</v>
      </c>
      <c r="D2098" s="76">
        <v>69.788155000000003</v>
      </c>
      <c r="E2098" s="76">
        <v>70.314918999999904</v>
      </c>
      <c r="F2098" s="76">
        <v>48.757240000000003</v>
      </c>
      <c r="G2098" s="79">
        <v>1276800</v>
      </c>
    </row>
    <row r="2099" spans="1:7" x14ac:dyDescent="0.25">
      <c r="A2099" s="1" t="s">
        <v>2222</v>
      </c>
      <c r="B2099" s="76">
        <v>69.158974000000001</v>
      </c>
      <c r="C2099" s="76">
        <v>70.600243000000006</v>
      </c>
      <c r="D2099" s="76">
        <v>69.158974000000001</v>
      </c>
      <c r="E2099" s="76">
        <v>70.556342999999998</v>
      </c>
      <c r="F2099" s="76">
        <v>48.924621999999999</v>
      </c>
      <c r="G2099" s="79">
        <v>1314300</v>
      </c>
    </row>
    <row r="2100" spans="1:7" x14ac:dyDescent="0.25">
      <c r="A2100" s="1" t="s">
        <v>2223</v>
      </c>
      <c r="B2100" s="76">
        <v>70.717299999999994</v>
      </c>
      <c r="C2100" s="76">
        <v>70.966048999999998</v>
      </c>
      <c r="D2100" s="76">
        <v>69.041916000000001</v>
      </c>
      <c r="E2100" s="76">
        <v>69.107757999999905</v>
      </c>
      <c r="F2100" s="76">
        <v>47.920180999999999</v>
      </c>
      <c r="G2100" s="79">
        <v>1330800</v>
      </c>
    </row>
    <row r="2101" spans="1:7" x14ac:dyDescent="0.25">
      <c r="A2101" s="1" t="s">
        <v>2224</v>
      </c>
      <c r="B2101" s="76">
        <v>68.990700000000004</v>
      </c>
      <c r="C2101" s="76">
        <v>69.210181999999904</v>
      </c>
      <c r="D2101" s="76">
        <v>68.039612000000005</v>
      </c>
      <c r="E2101" s="76">
        <v>68.324935999999994</v>
      </c>
      <c r="F2101" s="76">
        <v>47.833098999999997</v>
      </c>
      <c r="G2101" s="79">
        <v>1160700</v>
      </c>
    </row>
    <row r="2102" spans="1:7" x14ac:dyDescent="0.25">
      <c r="A2102" s="1" t="s">
        <v>2225</v>
      </c>
      <c r="B2102" s="76">
        <v>67.988395999999995</v>
      </c>
      <c r="C2102" s="76">
        <v>68.873649999999998</v>
      </c>
      <c r="D2102" s="76">
        <v>67.308006000000006</v>
      </c>
      <c r="E2102" s="76">
        <v>67.659171999999998</v>
      </c>
      <c r="F2102" s="76">
        <v>47.367016</v>
      </c>
      <c r="G2102" s="79">
        <v>1019800</v>
      </c>
    </row>
    <row r="2103" spans="1:7" x14ac:dyDescent="0.25">
      <c r="A2103" s="1" t="s">
        <v>2226</v>
      </c>
      <c r="B2103" s="76">
        <v>68.332252999999994</v>
      </c>
      <c r="C2103" s="76">
        <v>69.941794999999999</v>
      </c>
      <c r="D2103" s="76">
        <v>67.673805000000002</v>
      </c>
      <c r="E2103" s="76">
        <v>69.890579000000002</v>
      </c>
      <c r="F2103" s="76">
        <v>48.929161000000001</v>
      </c>
      <c r="G2103" s="79">
        <v>1173400</v>
      </c>
    </row>
    <row r="2104" spans="1:7" x14ac:dyDescent="0.25">
      <c r="A2104" s="1" t="s">
        <v>2227</v>
      </c>
      <c r="B2104" s="76">
        <v>70.256385999999907</v>
      </c>
      <c r="C2104" s="76">
        <v>70.329543999999999</v>
      </c>
      <c r="D2104" s="76">
        <v>69.297980999999993</v>
      </c>
      <c r="E2104" s="76">
        <v>70.161277999999996</v>
      </c>
      <c r="F2104" s="76">
        <v>49.118693999999998</v>
      </c>
      <c r="G2104" s="79">
        <v>1067200</v>
      </c>
    </row>
    <row r="2105" spans="1:7" x14ac:dyDescent="0.25">
      <c r="A2105" s="1" t="s">
        <v>2228</v>
      </c>
      <c r="B2105" s="76">
        <v>70.702667000000005</v>
      </c>
      <c r="C2105" s="76">
        <v>71.587913999999998</v>
      </c>
      <c r="D2105" s="76">
        <v>70.161277999999996</v>
      </c>
      <c r="E2105" s="76">
        <v>71.178214999999994</v>
      </c>
      <c r="F2105" s="76">
        <v>49.830630999999997</v>
      </c>
      <c r="G2105" s="79">
        <v>1426800</v>
      </c>
    </row>
    <row r="2106" spans="1:7" x14ac:dyDescent="0.25">
      <c r="A2106" s="1" t="s">
        <v>2229</v>
      </c>
      <c r="B2106" s="76">
        <v>71.031891000000002</v>
      </c>
      <c r="C2106" s="76">
        <v>71.712288000000001</v>
      </c>
      <c r="D2106" s="76">
        <v>70.461235000000002</v>
      </c>
      <c r="E2106" s="76">
        <v>71.712288000000001</v>
      </c>
      <c r="F2106" s="76">
        <v>50.204521</v>
      </c>
      <c r="G2106" s="79">
        <v>1188100</v>
      </c>
    </row>
    <row r="2107" spans="1:7" x14ac:dyDescent="0.25">
      <c r="A2107" s="1" t="s">
        <v>2230</v>
      </c>
      <c r="B2107" s="76">
        <v>71.595230000000001</v>
      </c>
      <c r="C2107" s="76">
        <v>71.909820999999994</v>
      </c>
      <c r="D2107" s="76">
        <v>70.468552000000003</v>
      </c>
      <c r="E2107" s="76">
        <v>71.083106999999998</v>
      </c>
      <c r="F2107" s="76">
        <v>49.764046</v>
      </c>
      <c r="G2107" s="79">
        <v>1226100</v>
      </c>
    </row>
    <row r="2108" spans="1:7" x14ac:dyDescent="0.25">
      <c r="A2108" s="1" t="s">
        <v>2231</v>
      </c>
      <c r="B2108" s="76">
        <v>71.309905999999998</v>
      </c>
      <c r="C2108" s="76">
        <v>72.260993999999997</v>
      </c>
      <c r="D2108" s="76">
        <v>70.922150000000002</v>
      </c>
      <c r="E2108" s="76">
        <v>71.763503999999998</v>
      </c>
      <c r="F2108" s="76">
        <v>50.240372000000001</v>
      </c>
      <c r="G2108" s="79">
        <v>1145500</v>
      </c>
    </row>
    <row r="2109" spans="1:7" x14ac:dyDescent="0.25">
      <c r="A2109" s="1" t="s">
        <v>2232</v>
      </c>
      <c r="B2109" s="76">
        <v>71.587913999999998</v>
      </c>
      <c r="C2109" s="76">
        <v>71.800078999999997</v>
      </c>
      <c r="D2109" s="76">
        <v>70.197861000000003</v>
      </c>
      <c r="E2109" s="76">
        <v>70.527084000000002</v>
      </c>
      <c r="F2109" s="76">
        <v>49.374778999999997</v>
      </c>
      <c r="G2109" s="79">
        <v>1211500</v>
      </c>
    </row>
    <row r="2110" spans="1:7" x14ac:dyDescent="0.25">
      <c r="A2110" s="1" t="s">
        <v>2233</v>
      </c>
      <c r="B2110" s="76">
        <v>70.439284999999998</v>
      </c>
      <c r="C2110" s="76">
        <v>71.470855999999998</v>
      </c>
      <c r="D2110" s="76">
        <v>69.173606999999905</v>
      </c>
      <c r="E2110" s="76">
        <v>69.276031000000003</v>
      </c>
      <c r="F2110" s="76">
        <v>48.498932000000003</v>
      </c>
      <c r="G2110" s="79">
        <v>1639600</v>
      </c>
    </row>
    <row r="2111" spans="1:7" x14ac:dyDescent="0.25">
      <c r="A2111" s="1" t="s">
        <v>2234</v>
      </c>
      <c r="B2111" s="76">
        <v>69.210181999999904</v>
      </c>
      <c r="C2111" s="76">
        <v>69.810103999999995</v>
      </c>
      <c r="D2111" s="76">
        <v>68.939491000000004</v>
      </c>
      <c r="E2111" s="76">
        <v>69.232132000000007</v>
      </c>
      <c r="F2111" s="76">
        <v>48.468212000000001</v>
      </c>
      <c r="G2111" s="79">
        <v>1110700</v>
      </c>
    </row>
    <row r="2112" spans="1:7" x14ac:dyDescent="0.25">
      <c r="A2112" s="1" t="s">
        <v>2235</v>
      </c>
      <c r="B2112" s="76">
        <v>68.668792999999994</v>
      </c>
      <c r="C2112" s="76">
        <v>69.495514</v>
      </c>
      <c r="D2112" s="76">
        <v>68.632216999999997</v>
      </c>
      <c r="E2112" s="76">
        <v>68.998016000000007</v>
      </c>
      <c r="F2112" s="76">
        <v>48.304313999999998</v>
      </c>
      <c r="G2112" s="79">
        <v>1143500</v>
      </c>
    </row>
    <row r="2113" spans="1:7" x14ac:dyDescent="0.25">
      <c r="A2113" s="1" t="s">
        <v>2236</v>
      </c>
      <c r="B2113" s="76">
        <v>69.283348000000004</v>
      </c>
      <c r="C2113" s="76">
        <v>70.424660000000003</v>
      </c>
      <c r="D2113" s="76">
        <v>69.151657</v>
      </c>
      <c r="E2113" s="76">
        <v>70.219802999999999</v>
      </c>
      <c r="F2113" s="76">
        <v>49.159667999999897</v>
      </c>
      <c r="G2113" s="79">
        <v>760900</v>
      </c>
    </row>
    <row r="2114" spans="1:7" x14ac:dyDescent="0.25">
      <c r="A2114" s="1" t="s">
        <v>2237</v>
      </c>
      <c r="B2114" s="76">
        <v>70.468552000000003</v>
      </c>
      <c r="C2114" s="76">
        <v>70.819725000000005</v>
      </c>
      <c r="D2114" s="76">
        <v>69.700362999999996</v>
      </c>
      <c r="E2114" s="76">
        <v>70.497817999999995</v>
      </c>
      <c r="F2114" s="76">
        <v>49.354289999999999</v>
      </c>
      <c r="G2114" s="79">
        <v>1262500</v>
      </c>
    </row>
    <row r="2115" spans="1:7" x14ac:dyDescent="0.25">
      <c r="A2115" s="1" t="s">
        <v>2238</v>
      </c>
      <c r="B2115" s="76">
        <v>70.827042000000006</v>
      </c>
      <c r="C2115" s="76">
        <v>71.829346000000001</v>
      </c>
      <c r="D2115" s="76">
        <v>70.307602000000003</v>
      </c>
      <c r="E2115" s="76">
        <v>71.807395999999997</v>
      </c>
      <c r="F2115" s="76">
        <v>50.271099</v>
      </c>
      <c r="G2115" s="79">
        <v>1596100</v>
      </c>
    </row>
    <row r="2116" spans="1:7" x14ac:dyDescent="0.25">
      <c r="A2116" s="1" t="s">
        <v>2239</v>
      </c>
      <c r="B2116" s="76">
        <v>71.807395999999997</v>
      </c>
      <c r="C2116" s="76">
        <v>72.107353000000003</v>
      </c>
      <c r="D2116" s="76">
        <v>71.105048999999994</v>
      </c>
      <c r="E2116" s="76">
        <v>71.500121999999905</v>
      </c>
      <c r="F2116" s="76">
        <v>50.055991999999897</v>
      </c>
      <c r="G2116" s="79">
        <v>1019000</v>
      </c>
    </row>
    <row r="2117" spans="1:7" x14ac:dyDescent="0.25">
      <c r="A2117" s="1" t="s">
        <v>2240</v>
      </c>
      <c r="B2117" s="76">
        <v>71.331847999999994</v>
      </c>
      <c r="C2117" s="76">
        <v>71.361114999999998</v>
      </c>
      <c r="D2117" s="76">
        <v>69.056549000000004</v>
      </c>
      <c r="E2117" s="76">
        <v>69.554039000000003</v>
      </c>
      <c r="F2117" s="76">
        <v>48.693581000000002</v>
      </c>
      <c r="G2117" s="79">
        <v>1398600</v>
      </c>
    </row>
    <row r="2118" spans="1:7" x14ac:dyDescent="0.25">
      <c r="A2118" s="1" t="s">
        <v>2241</v>
      </c>
      <c r="B2118" s="76">
        <v>69.993003999999999</v>
      </c>
      <c r="C2118" s="76">
        <v>70.234436000000002</v>
      </c>
      <c r="D2118" s="76">
        <v>68.851699999999994</v>
      </c>
      <c r="E2118" s="76">
        <v>69.72963</v>
      </c>
      <c r="F2118" s="76">
        <v>48.816493999999999</v>
      </c>
      <c r="G2118" s="79">
        <v>1496200</v>
      </c>
    </row>
    <row r="2119" spans="1:7" x14ac:dyDescent="0.25">
      <c r="A2119" s="1" t="s">
        <v>2242</v>
      </c>
      <c r="B2119" s="76">
        <v>69.612572</v>
      </c>
      <c r="C2119" s="76">
        <v>70.783141999999998</v>
      </c>
      <c r="D2119" s="76">
        <v>69.173606999999905</v>
      </c>
      <c r="E2119" s="76">
        <v>70.06617</v>
      </c>
      <c r="F2119" s="76">
        <v>49.052109000000002</v>
      </c>
      <c r="G2119" s="79">
        <v>1287600</v>
      </c>
    </row>
    <row r="2120" spans="1:7" x14ac:dyDescent="0.25">
      <c r="A2120" s="1" t="s">
        <v>2243</v>
      </c>
      <c r="B2120" s="76">
        <v>70.351493999999903</v>
      </c>
      <c r="C2120" s="76">
        <v>72.260993999999997</v>
      </c>
      <c r="D2120" s="76">
        <v>70.000320000000002</v>
      </c>
      <c r="E2120" s="76">
        <v>72.260993999999997</v>
      </c>
      <c r="F2120" s="76">
        <v>50.588664999999999</v>
      </c>
      <c r="G2120" s="79">
        <v>1012500</v>
      </c>
    </row>
    <row r="2121" spans="1:7" x14ac:dyDescent="0.25">
      <c r="A2121" s="1" t="s">
        <v>2244</v>
      </c>
      <c r="B2121" s="76">
        <v>71.690337999999997</v>
      </c>
      <c r="C2121" s="76">
        <v>71.697654999999997</v>
      </c>
      <c r="D2121" s="76">
        <v>68.068877999999998</v>
      </c>
      <c r="E2121" s="76">
        <v>68.383468999999906</v>
      </c>
      <c r="F2121" s="76">
        <v>47.874068999999999</v>
      </c>
      <c r="G2121" s="79">
        <v>1911900</v>
      </c>
    </row>
    <row r="2122" spans="1:7" x14ac:dyDescent="0.25">
      <c r="A2122" s="1" t="s">
        <v>2245</v>
      </c>
      <c r="B2122" s="76">
        <v>68.456626999999997</v>
      </c>
      <c r="C2122" s="76">
        <v>69.407721999999893</v>
      </c>
      <c r="D2122" s="76">
        <v>66.883667000000003</v>
      </c>
      <c r="E2122" s="76">
        <v>67.066574000000003</v>
      </c>
      <c r="F2122" s="76">
        <v>46.952140999999997</v>
      </c>
      <c r="G2122" s="79">
        <v>1530400</v>
      </c>
    </row>
    <row r="2123" spans="1:7" x14ac:dyDescent="0.25">
      <c r="A2123" s="1" t="s">
        <v>2246</v>
      </c>
      <c r="B2123" s="76">
        <v>66.795876000000007</v>
      </c>
      <c r="C2123" s="76">
        <v>67.776229999999998</v>
      </c>
      <c r="D2123" s="76">
        <v>66.130111999999997</v>
      </c>
      <c r="E2123" s="76">
        <v>67.498221999999998</v>
      </c>
      <c r="F2123" s="76">
        <v>47.254325999999999</v>
      </c>
      <c r="G2123" s="79">
        <v>1914300</v>
      </c>
    </row>
    <row r="2124" spans="1:7" x14ac:dyDescent="0.25">
      <c r="A2124" s="1" t="s">
        <v>2247</v>
      </c>
      <c r="B2124" s="76">
        <v>67.234840000000005</v>
      </c>
      <c r="C2124" s="76">
        <v>67.703071999999906</v>
      </c>
      <c r="D2124" s="76">
        <v>66.122794999999996</v>
      </c>
      <c r="E2124" s="76">
        <v>66.342277999999993</v>
      </c>
      <c r="F2124" s="76">
        <v>46.445065</v>
      </c>
      <c r="G2124" s="79">
        <v>1577500</v>
      </c>
    </row>
    <row r="2125" spans="1:7" x14ac:dyDescent="0.25">
      <c r="A2125" s="1" t="s">
        <v>2248</v>
      </c>
      <c r="B2125" s="76">
        <v>67.176315000000002</v>
      </c>
      <c r="C2125" s="76">
        <v>68.302993999999998</v>
      </c>
      <c r="D2125" s="76">
        <v>67.161681999999999</v>
      </c>
      <c r="E2125" s="76">
        <v>68.302993999999998</v>
      </c>
      <c r="F2125" s="76">
        <v>47.817726</v>
      </c>
      <c r="G2125" s="79">
        <v>1854300</v>
      </c>
    </row>
    <row r="2126" spans="1:7" x14ac:dyDescent="0.25">
      <c r="A2126" s="1" t="s">
        <v>2249</v>
      </c>
      <c r="B2126" s="76">
        <v>68.485893000000004</v>
      </c>
      <c r="C2126" s="76">
        <v>69.012649999999994</v>
      </c>
      <c r="D2126" s="76">
        <v>67.059258</v>
      </c>
      <c r="E2126" s="76">
        <v>68.902907999999996</v>
      </c>
      <c r="F2126" s="76">
        <v>48.237732000000001</v>
      </c>
      <c r="G2126" s="79">
        <v>1233400</v>
      </c>
    </row>
    <row r="2127" spans="1:7" x14ac:dyDescent="0.25">
      <c r="A2127" s="1" t="s">
        <v>2250</v>
      </c>
      <c r="B2127" s="76">
        <v>68.961440999999994</v>
      </c>
      <c r="C2127" s="76">
        <v>70.922150000000002</v>
      </c>
      <c r="D2127" s="76">
        <v>68.961440999999994</v>
      </c>
      <c r="E2127" s="76">
        <v>70.688034000000002</v>
      </c>
      <c r="F2127" s="76">
        <v>49.487460999999897</v>
      </c>
      <c r="G2127" s="79">
        <v>1740100</v>
      </c>
    </row>
    <row r="2128" spans="1:7" x14ac:dyDescent="0.25">
      <c r="A2128" s="1" t="s">
        <v>2251</v>
      </c>
      <c r="B2128" s="76">
        <v>71.097740000000002</v>
      </c>
      <c r="C2128" s="76">
        <v>71.317222999999998</v>
      </c>
      <c r="D2128" s="76">
        <v>68.624900999999994</v>
      </c>
      <c r="E2128" s="76">
        <v>68.683425999999997</v>
      </c>
      <c r="F2128" s="76">
        <v>48.084068000000002</v>
      </c>
      <c r="G2128" s="79">
        <v>1362900</v>
      </c>
    </row>
    <row r="2129" spans="1:7" x14ac:dyDescent="0.25">
      <c r="A2129" s="1" t="s">
        <v>2252</v>
      </c>
      <c r="B2129" s="76">
        <v>67.995711999999997</v>
      </c>
      <c r="C2129" s="76">
        <v>68.756591999999998</v>
      </c>
      <c r="D2129" s="76">
        <v>67.198265000000006</v>
      </c>
      <c r="E2129" s="76">
        <v>67.549430999999998</v>
      </c>
      <c r="F2129" s="76">
        <v>47.290184000000004</v>
      </c>
      <c r="G2129" s="79">
        <v>1621300</v>
      </c>
    </row>
    <row r="2130" spans="1:7" x14ac:dyDescent="0.25">
      <c r="A2130" s="1" t="s">
        <v>2253</v>
      </c>
      <c r="B2130" s="76">
        <v>67.527489000000003</v>
      </c>
      <c r="C2130" s="76">
        <v>68.895591999999994</v>
      </c>
      <c r="D2130" s="76">
        <v>67.037307999999996</v>
      </c>
      <c r="E2130" s="76">
        <v>68.888274999999993</v>
      </c>
      <c r="F2130" s="76">
        <v>48.227474000000001</v>
      </c>
      <c r="G2130" s="79">
        <v>1348600</v>
      </c>
    </row>
    <row r="2131" spans="1:7" x14ac:dyDescent="0.25">
      <c r="A2131" s="1" t="s">
        <v>2254</v>
      </c>
      <c r="B2131" s="76">
        <v>69.012649999999994</v>
      </c>
      <c r="C2131" s="76">
        <v>69.012649999999994</v>
      </c>
      <c r="D2131" s="76">
        <v>67.329948000000002</v>
      </c>
      <c r="E2131" s="76">
        <v>67.505538999999999</v>
      </c>
      <c r="F2131" s="76">
        <v>47.259459999999997</v>
      </c>
      <c r="G2131" s="79">
        <v>1726400</v>
      </c>
    </row>
    <row r="2132" spans="1:7" x14ac:dyDescent="0.25">
      <c r="A2132" s="1" t="s">
        <v>2255</v>
      </c>
      <c r="B2132" s="76">
        <v>68.076194999999998</v>
      </c>
      <c r="C2132" s="76">
        <v>68.310310000000001</v>
      </c>
      <c r="D2132" s="76">
        <v>65.544822999999994</v>
      </c>
      <c r="E2132" s="76">
        <v>65.68383</v>
      </c>
      <c r="F2132" s="76">
        <v>45.984107999999999</v>
      </c>
      <c r="G2132" s="79">
        <v>1618400</v>
      </c>
    </row>
    <row r="2133" spans="1:7" x14ac:dyDescent="0.25">
      <c r="A2133" s="1" t="s">
        <v>2256</v>
      </c>
      <c r="B2133" s="76">
        <v>65.68383</v>
      </c>
      <c r="C2133" s="76">
        <v>66.605659000000003</v>
      </c>
      <c r="D2133" s="76">
        <v>64.710792999999995</v>
      </c>
      <c r="E2133" s="76">
        <v>65.588722000000004</v>
      </c>
      <c r="F2133" s="76">
        <v>45.917503000000004</v>
      </c>
      <c r="G2133" s="79">
        <v>1658300</v>
      </c>
    </row>
    <row r="2134" spans="1:7" x14ac:dyDescent="0.25">
      <c r="A2134" s="1" t="s">
        <v>2257</v>
      </c>
      <c r="B2134" s="76">
        <v>65.778937999999997</v>
      </c>
      <c r="C2134" s="76">
        <v>67.805495999999906</v>
      </c>
      <c r="D2134" s="76">
        <v>65.771621999999994</v>
      </c>
      <c r="E2134" s="76">
        <v>66.927566999999996</v>
      </c>
      <c r="F2134" s="76">
        <v>46.854827999999998</v>
      </c>
      <c r="G2134" s="79">
        <v>2113400</v>
      </c>
    </row>
    <row r="2135" spans="1:7" x14ac:dyDescent="0.25">
      <c r="A2135" s="1" t="s">
        <v>2258</v>
      </c>
      <c r="B2135" s="76">
        <v>66.195960999999997</v>
      </c>
      <c r="C2135" s="76">
        <v>66.283752000000007</v>
      </c>
      <c r="D2135" s="76">
        <v>63.971867000000003</v>
      </c>
      <c r="E2135" s="76">
        <v>64.125504000000006</v>
      </c>
      <c r="F2135" s="76">
        <v>44.893158</v>
      </c>
      <c r="G2135" s="79">
        <v>1865500</v>
      </c>
    </row>
    <row r="2136" spans="1:7" x14ac:dyDescent="0.25">
      <c r="A2136" s="1" t="s">
        <v>2259</v>
      </c>
      <c r="B2136" s="76">
        <v>64.213295000000002</v>
      </c>
      <c r="C2136" s="76">
        <v>64.901009000000002</v>
      </c>
      <c r="D2136" s="76">
        <v>63.386581</v>
      </c>
      <c r="E2136" s="76">
        <v>63.767017000000003</v>
      </c>
      <c r="F2136" s="76">
        <v>44.642189000000002</v>
      </c>
      <c r="G2136" s="79">
        <v>2173900</v>
      </c>
    </row>
    <row r="2137" spans="1:7" x14ac:dyDescent="0.25">
      <c r="A2137" s="1" t="s">
        <v>2260</v>
      </c>
      <c r="B2137" s="76">
        <v>66.722717000000003</v>
      </c>
      <c r="C2137" s="76">
        <v>66.722717000000003</v>
      </c>
      <c r="D2137" s="76">
        <v>63.547534999999897</v>
      </c>
      <c r="E2137" s="76">
        <v>64.381568999999999</v>
      </c>
      <c r="F2137" s="76">
        <v>45.072421999999897</v>
      </c>
      <c r="G2137" s="79">
        <v>1704700</v>
      </c>
    </row>
    <row r="2138" spans="1:7" x14ac:dyDescent="0.25">
      <c r="A2138" s="1" t="s">
        <v>2261</v>
      </c>
      <c r="B2138" s="76">
        <v>63.518268999999997</v>
      </c>
      <c r="C2138" s="76">
        <v>64.849800000000002</v>
      </c>
      <c r="D2138" s="76">
        <v>62.925666999999997</v>
      </c>
      <c r="E2138" s="76">
        <v>64.849800000000002</v>
      </c>
      <c r="F2138" s="76">
        <v>45.400219</v>
      </c>
      <c r="G2138" s="79">
        <v>2299700</v>
      </c>
    </row>
    <row r="2139" spans="1:7" x14ac:dyDescent="0.25">
      <c r="A2139" s="1" t="s">
        <v>2262</v>
      </c>
      <c r="B2139" s="76">
        <v>64.805901000000006</v>
      </c>
      <c r="C2139" s="76">
        <v>65.735045999999997</v>
      </c>
      <c r="D2139" s="76">
        <v>63.993816000000002</v>
      </c>
      <c r="E2139" s="76">
        <v>63.993816000000002</v>
      </c>
      <c r="F2139" s="76">
        <v>44.800956999999997</v>
      </c>
      <c r="G2139" s="79">
        <v>1758500</v>
      </c>
    </row>
    <row r="2140" spans="1:7" x14ac:dyDescent="0.25">
      <c r="A2140" s="1" t="s">
        <v>2263</v>
      </c>
      <c r="B2140" s="76">
        <v>64.725425999999999</v>
      </c>
      <c r="C2140" s="76">
        <v>65.442397999999997</v>
      </c>
      <c r="D2140" s="76">
        <v>63.584114</v>
      </c>
      <c r="E2140" s="76">
        <v>64.220612000000003</v>
      </c>
      <c r="F2140" s="76">
        <v>44.959732000000002</v>
      </c>
      <c r="G2140" s="79">
        <v>843400</v>
      </c>
    </row>
    <row r="2141" spans="1:7" x14ac:dyDescent="0.25">
      <c r="A2141" s="1" t="s">
        <v>2264</v>
      </c>
      <c r="B2141" s="76">
        <v>64.696158999999994</v>
      </c>
      <c r="C2141" s="76">
        <v>65.493613999999994</v>
      </c>
      <c r="D2141" s="76">
        <v>62.186740999999998</v>
      </c>
      <c r="E2141" s="76">
        <v>62.625706000000001</v>
      </c>
      <c r="F2141" s="76">
        <v>43.843165999999997</v>
      </c>
      <c r="G2141" s="79">
        <v>2142200</v>
      </c>
    </row>
    <row r="2142" spans="1:7" x14ac:dyDescent="0.25">
      <c r="A2142" s="1" t="s">
        <v>2265</v>
      </c>
      <c r="B2142" s="76">
        <v>62.545231000000001</v>
      </c>
      <c r="C2142" s="76">
        <v>67.885970999999998</v>
      </c>
      <c r="D2142" s="76">
        <v>61.989207999999998</v>
      </c>
      <c r="E2142" s="76">
        <v>67.095839999999995</v>
      </c>
      <c r="F2142" s="76">
        <v>46.972636999999999</v>
      </c>
      <c r="G2142" s="79">
        <v>2564700</v>
      </c>
    </row>
    <row r="2143" spans="1:7" x14ac:dyDescent="0.25">
      <c r="A2143" s="1" t="s">
        <v>2266</v>
      </c>
      <c r="B2143" s="76">
        <v>66.986091999999999</v>
      </c>
      <c r="C2143" s="76">
        <v>66.986091999999999</v>
      </c>
      <c r="D2143" s="76">
        <v>62.611075999999997</v>
      </c>
      <c r="E2143" s="76">
        <v>62.830558999999901</v>
      </c>
      <c r="F2143" s="76">
        <v>43.986575999999999</v>
      </c>
      <c r="G2143" s="79">
        <v>2648900</v>
      </c>
    </row>
    <row r="2144" spans="1:7" x14ac:dyDescent="0.25">
      <c r="A2144" s="1" t="s">
        <v>2267</v>
      </c>
      <c r="B2144" s="76">
        <v>62.713501000000001</v>
      </c>
      <c r="C2144" s="76">
        <v>65.113174000000001</v>
      </c>
      <c r="D2144" s="76">
        <v>62.552546999999997</v>
      </c>
      <c r="E2144" s="76">
        <v>64.066978000000006</v>
      </c>
      <c r="F2144" s="76">
        <v>44.852184000000001</v>
      </c>
      <c r="G2144" s="79">
        <v>3040500</v>
      </c>
    </row>
    <row r="2145" spans="1:7" x14ac:dyDescent="0.25">
      <c r="A2145" s="1" t="s">
        <v>2268</v>
      </c>
      <c r="B2145" s="76">
        <v>62.772030000000001</v>
      </c>
      <c r="C2145" s="76">
        <v>65.881362999999993</v>
      </c>
      <c r="D2145" s="76">
        <v>62.596443000000001</v>
      </c>
      <c r="E2145" s="76">
        <v>64.132819999999995</v>
      </c>
      <c r="F2145" s="76">
        <v>44.898284999999902</v>
      </c>
      <c r="G2145" s="79">
        <v>2975400</v>
      </c>
    </row>
    <row r="2146" spans="1:7" x14ac:dyDescent="0.25">
      <c r="A2146" s="1" t="s">
        <v>2269</v>
      </c>
      <c r="B2146" s="76">
        <v>64.813216999999995</v>
      </c>
      <c r="C2146" s="76">
        <v>65.105857999999998</v>
      </c>
      <c r="D2146" s="76">
        <v>61.974575000000002</v>
      </c>
      <c r="E2146" s="76">
        <v>62.376961000000001</v>
      </c>
      <c r="F2146" s="76">
        <v>43.669024999999998</v>
      </c>
      <c r="G2146" s="79">
        <v>2735900</v>
      </c>
    </row>
    <row r="2147" spans="1:7" x14ac:dyDescent="0.25">
      <c r="A2147" s="1" t="s">
        <v>2270</v>
      </c>
      <c r="B2147" s="76">
        <v>61.535609999999998</v>
      </c>
      <c r="C2147" s="76">
        <v>64.637633999999906</v>
      </c>
      <c r="D2147" s="76">
        <v>61.403918999999902</v>
      </c>
      <c r="E2147" s="76">
        <v>62.611075999999997</v>
      </c>
      <c r="F2147" s="76">
        <v>43.832928000000003</v>
      </c>
      <c r="G2147" s="79">
        <v>3466700</v>
      </c>
    </row>
    <row r="2148" spans="1:7" x14ac:dyDescent="0.25">
      <c r="A2148" s="1" t="s">
        <v>2271</v>
      </c>
      <c r="B2148" s="76">
        <v>62.713501000000001</v>
      </c>
      <c r="C2148" s="76">
        <v>66.232535999999996</v>
      </c>
      <c r="D2148" s="76">
        <v>61.725830000000002</v>
      </c>
      <c r="E2148" s="76">
        <v>65.866737000000001</v>
      </c>
      <c r="F2148" s="76">
        <v>46.112144000000001</v>
      </c>
      <c r="G2148" s="79">
        <v>4163200</v>
      </c>
    </row>
    <row r="2149" spans="1:7" x14ac:dyDescent="0.25">
      <c r="A2149" s="1" t="s">
        <v>2272</v>
      </c>
      <c r="B2149" s="76">
        <v>66.283752000000007</v>
      </c>
      <c r="C2149" s="76">
        <v>66.781242000000006</v>
      </c>
      <c r="D2149" s="76">
        <v>63.993816000000002</v>
      </c>
      <c r="E2149" s="76">
        <v>65.888679999999994</v>
      </c>
      <c r="F2149" s="76">
        <v>46.127513999999998</v>
      </c>
      <c r="G2149" s="79">
        <v>3959900</v>
      </c>
    </row>
    <row r="2150" spans="1:7" x14ac:dyDescent="0.25">
      <c r="A2150" s="1" t="s">
        <v>2273</v>
      </c>
      <c r="B2150" s="76">
        <v>65.976478999999998</v>
      </c>
      <c r="C2150" s="76">
        <v>66.744667000000007</v>
      </c>
      <c r="D2150" s="76">
        <v>64.864432999999906</v>
      </c>
      <c r="E2150" s="76">
        <v>66.744667000000007</v>
      </c>
      <c r="F2150" s="76">
        <v>46.726787999999999</v>
      </c>
      <c r="G2150" s="79">
        <v>2883200</v>
      </c>
    </row>
    <row r="2151" spans="1:7" x14ac:dyDescent="0.25">
      <c r="A2151" s="1" t="s">
        <v>2274</v>
      </c>
      <c r="B2151" s="76">
        <v>66.905617000000007</v>
      </c>
      <c r="C2151" s="76">
        <v>67.015357999999907</v>
      </c>
      <c r="D2151" s="76">
        <v>65.969161999999997</v>
      </c>
      <c r="E2151" s="76">
        <v>66.569076999999993</v>
      </c>
      <c r="F2151" s="76">
        <v>46.603854999999903</v>
      </c>
      <c r="G2151" s="79">
        <v>3374200</v>
      </c>
    </row>
    <row r="2152" spans="1:7" x14ac:dyDescent="0.25">
      <c r="A2152" s="1" t="s">
        <v>2275</v>
      </c>
      <c r="B2152" s="76">
        <v>65.691147000000001</v>
      </c>
      <c r="C2152" s="76">
        <v>68.939491000000004</v>
      </c>
      <c r="D2152" s="76">
        <v>64.922957999999994</v>
      </c>
      <c r="E2152" s="76">
        <v>68.720008999999905</v>
      </c>
      <c r="F2152" s="76">
        <v>48.109684000000001</v>
      </c>
      <c r="G2152" s="79">
        <v>2745200</v>
      </c>
    </row>
    <row r="2153" spans="1:7" x14ac:dyDescent="0.25">
      <c r="A2153" s="1" t="s">
        <v>2276</v>
      </c>
      <c r="B2153" s="76">
        <v>68.954123999999993</v>
      </c>
      <c r="C2153" s="76">
        <v>72.063461000000004</v>
      </c>
      <c r="D2153" s="76">
        <v>68.661475999999993</v>
      </c>
      <c r="E2153" s="76">
        <v>70.212485999999998</v>
      </c>
      <c r="F2153" s="76">
        <v>49.154544999999999</v>
      </c>
      <c r="G2153" s="79">
        <v>3044800</v>
      </c>
    </row>
    <row r="2154" spans="1:7" x14ac:dyDescent="0.25">
      <c r="A2154" s="1" t="s">
        <v>2277</v>
      </c>
      <c r="B2154" s="76">
        <v>70.453918000000002</v>
      </c>
      <c r="C2154" s="76">
        <v>70.607558999999995</v>
      </c>
      <c r="D2154" s="76">
        <v>65.332656999999998</v>
      </c>
      <c r="E2154" s="76">
        <v>65.544822999999994</v>
      </c>
      <c r="F2154" s="76">
        <v>45.886783999999999</v>
      </c>
      <c r="G2154" s="79">
        <v>3051200</v>
      </c>
    </row>
    <row r="2155" spans="1:7" x14ac:dyDescent="0.25">
      <c r="A2155" s="1" t="s">
        <v>2278</v>
      </c>
      <c r="B2155" s="76">
        <v>65.647255000000001</v>
      </c>
      <c r="C2155" s="76">
        <v>68.485893000000004</v>
      </c>
      <c r="D2155" s="76">
        <v>65.186340000000001</v>
      </c>
      <c r="E2155" s="76">
        <v>67.308006000000006</v>
      </c>
      <c r="F2155" s="76">
        <v>47.121169999999999</v>
      </c>
      <c r="G2155" s="79">
        <v>2246500</v>
      </c>
    </row>
    <row r="2156" spans="1:7" x14ac:dyDescent="0.25">
      <c r="A2156" s="1" t="s">
        <v>2279</v>
      </c>
      <c r="B2156" s="76">
        <v>67.176315000000002</v>
      </c>
      <c r="C2156" s="76">
        <v>68.251778000000002</v>
      </c>
      <c r="D2156" s="76">
        <v>64.703475999999995</v>
      </c>
      <c r="E2156" s="76">
        <v>65.105857999999998</v>
      </c>
      <c r="F2156" s="76">
        <v>45.579478999999999</v>
      </c>
      <c r="G2156" s="79">
        <v>2669400</v>
      </c>
    </row>
    <row r="2157" spans="1:7" x14ac:dyDescent="0.25">
      <c r="A2157" s="1" t="s">
        <v>2280</v>
      </c>
      <c r="B2157" s="76">
        <v>65.296081999999998</v>
      </c>
      <c r="C2157" s="76">
        <v>69.956429</v>
      </c>
      <c r="D2157" s="76">
        <v>65.259499000000005</v>
      </c>
      <c r="E2157" s="76">
        <v>69.649154999999993</v>
      </c>
      <c r="F2157" s="76">
        <v>48.760154999999997</v>
      </c>
      <c r="G2157" s="79">
        <v>4094100</v>
      </c>
    </row>
    <row r="2158" spans="1:7" x14ac:dyDescent="0.25">
      <c r="A2158" s="1" t="s">
        <v>2281</v>
      </c>
      <c r="B2158" s="76">
        <v>70.051536999999996</v>
      </c>
      <c r="C2158" s="76">
        <v>70.724616999999995</v>
      </c>
      <c r="D2158" s="76">
        <v>67.490905999999995</v>
      </c>
      <c r="E2158" s="76">
        <v>69.261398</v>
      </c>
      <c r="F2158" s="76">
        <v>48.488696999999902</v>
      </c>
      <c r="G2158" s="79">
        <v>2907900</v>
      </c>
    </row>
    <row r="2159" spans="1:7" x14ac:dyDescent="0.25">
      <c r="A2159" s="1" t="s">
        <v>2282</v>
      </c>
      <c r="B2159" s="76">
        <v>68.046927999999994</v>
      </c>
      <c r="C2159" s="76">
        <v>70.475868000000006</v>
      </c>
      <c r="D2159" s="76">
        <v>67.783546000000001</v>
      </c>
      <c r="E2159" s="76">
        <v>69.554039000000003</v>
      </c>
      <c r="F2159" s="76">
        <v>48.693581000000002</v>
      </c>
      <c r="G2159" s="79">
        <v>2078900</v>
      </c>
    </row>
    <row r="2160" spans="1:7" x14ac:dyDescent="0.25">
      <c r="A2160" s="1" t="s">
        <v>2283</v>
      </c>
      <c r="B2160" s="76">
        <v>69.385773</v>
      </c>
      <c r="C2160" s="76">
        <v>69.985694999999893</v>
      </c>
      <c r="D2160" s="76">
        <v>67.351897999999906</v>
      </c>
      <c r="E2160" s="76">
        <v>69.071181999999993</v>
      </c>
      <c r="F2160" s="76">
        <v>48.355540999999903</v>
      </c>
      <c r="G2160" s="79">
        <v>1623900</v>
      </c>
    </row>
    <row r="2161" spans="1:7" x14ac:dyDescent="0.25">
      <c r="A2161" s="1" t="s">
        <v>2284</v>
      </c>
      <c r="B2161" s="76">
        <v>69.063866000000004</v>
      </c>
      <c r="C2161" s="76">
        <v>69.063866000000004</v>
      </c>
      <c r="D2161" s="76">
        <v>67.322631999999999</v>
      </c>
      <c r="E2161" s="76">
        <v>67.600646999999995</v>
      </c>
      <c r="F2161" s="76">
        <v>47.326034999999997</v>
      </c>
      <c r="G2161" s="79">
        <v>1903400</v>
      </c>
    </row>
    <row r="2162" spans="1:7" x14ac:dyDescent="0.25">
      <c r="A2162" s="1" t="s">
        <v>2285</v>
      </c>
      <c r="B2162" s="76">
        <v>68.324935999999994</v>
      </c>
      <c r="C2162" s="76">
        <v>72.458527000000004</v>
      </c>
      <c r="D2162" s="76">
        <v>67.110466000000002</v>
      </c>
      <c r="E2162" s="76">
        <v>71.778130000000004</v>
      </c>
      <c r="F2162" s="76">
        <v>50.250617999999903</v>
      </c>
      <c r="G2162" s="79">
        <v>3120200</v>
      </c>
    </row>
    <row r="2163" spans="1:7" x14ac:dyDescent="0.25">
      <c r="A2163" s="1" t="s">
        <v>2286</v>
      </c>
      <c r="B2163" s="76">
        <v>71.770813000000004</v>
      </c>
      <c r="C2163" s="76">
        <v>73.153556999999907</v>
      </c>
      <c r="D2163" s="76">
        <v>70.483184999999906</v>
      </c>
      <c r="E2163" s="76">
        <v>72.517059000000003</v>
      </c>
      <c r="F2163" s="76">
        <v>50.767932999999999</v>
      </c>
      <c r="G2163" s="79">
        <v>2381200</v>
      </c>
    </row>
    <row r="2164" spans="1:7" x14ac:dyDescent="0.25">
      <c r="A2164" s="1" t="s">
        <v>2287</v>
      </c>
      <c r="B2164" s="76">
        <v>71.339164999999994</v>
      </c>
      <c r="C2164" s="76">
        <v>73.160872999999995</v>
      </c>
      <c r="D2164" s="76">
        <v>70.731933999999995</v>
      </c>
      <c r="E2164" s="76">
        <v>71.492805000000004</v>
      </c>
      <c r="F2164" s="76">
        <v>50.509483000000003</v>
      </c>
      <c r="G2164" s="79">
        <v>3997100</v>
      </c>
    </row>
    <row r="2165" spans="1:7" x14ac:dyDescent="0.25">
      <c r="A2165" s="1" t="s">
        <v>2288</v>
      </c>
      <c r="B2165" s="76">
        <v>71.426963999999998</v>
      </c>
      <c r="C2165" s="76">
        <v>74.243651999999997</v>
      </c>
      <c r="D2165" s="76">
        <v>71.426963999999998</v>
      </c>
      <c r="E2165" s="76">
        <v>73.833954000000006</v>
      </c>
      <c r="F2165" s="76">
        <v>52.163502000000001</v>
      </c>
      <c r="G2165" s="79">
        <v>2810800</v>
      </c>
    </row>
    <row r="2166" spans="1:7" x14ac:dyDescent="0.25">
      <c r="A2166" s="1" t="s">
        <v>2289</v>
      </c>
      <c r="B2166" s="76">
        <v>73.907111999999998</v>
      </c>
      <c r="C2166" s="76">
        <v>77.067665000000005</v>
      </c>
      <c r="D2166" s="76">
        <v>73.160872999999995</v>
      </c>
      <c r="E2166" s="76">
        <v>76.123885999999999</v>
      </c>
      <c r="F2166" s="76">
        <v>53.781353000000003</v>
      </c>
      <c r="G2166" s="79">
        <v>2593500</v>
      </c>
    </row>
    <row r="2167" spans="1:7" x14ac:dyDescent="0.25">
      <c r="A2167" s="1" t="s">
        <v>2290</v>
      </c>
      <c r="B2167" s="76">
        <v>74.88015</v>
      </c>
      <c r="C2167" s="76">
        <v>76.014144999999999</v>
      </c>
      <c r="D2167" s="76">
        <v>73.263297999999907</v>
      </c>
      <c r="E2167" s="76">
        <v>73.994904000000005</v>
      </c>
      <c r="F2167" s="76">
        <v>52.277214000000001</v>
      </c>
      <c r="G2167" s="79">
        <v>2507300</v>
      </c>
    </row>
    <row r="2168" spans="1:7" x14ac:dyDescent="0.25">
      <c r="A2168" s="1" t="s">
        <v>2291</v>
      </c>
      <c r="B2168" s="76">
        <v>73.746161999999998</v>
      </c>
      <c r="C2168" s="76">
        <v>73.994904000000005</v>
      </c>
      <c r="D2168" s="76">
        <v>72.143935999999997</v>
      </c>
      <c r="E2168" s="76">
        <v>73.109656999999999</v>
      </c>
      <c r="F2168" s="76">
        <v>51.651802000000004</v>
      </c>
      <c r="G2168" s="79">
        <v>2529000</v>
      </c>
    </row>
    <row r="2169" spans="1:7" x14ac:dyDescent="0.25">
      <c r="A2169" s="1" t="s">
        <v>2292</v>
      </c>
      <c r="B2169" s="76">
        <v>72.085410999999993</v>
      </c>
      <c r="C2169" s="76">
        <v>74.726517000000001</v>
      </c>
      <c r="D2169" s="76">
        <v>72.063461000000004</v>
      </c>
      <c r="E2169" s="76">
        <v>74.558243000000004</v>
      </c>
      <c r="F2169" s="76">
        <v>52.675201000000001</v>
      </c>
      <c r="G2169" s="79">
        <v>1971700</v>
      </c>
    </row>
    <row r="2170" spans="1:7" x14ac:dyDescent="0.25">
      <c r="A2170" s="1" t="s">
        <v>2293</v>
      </c>
      <c r="B2170" s="76">
        <v>74.550926000000004</v>
      </c>
      <c r="C2170" s="76">
        <v>75.538605000000004</v>
      </c>
      <c r="D2170" s="76">
        <v>73.490096999999906</v>
      </c>
      <c r="E2170" s="76">
        <v>74.785042000000004</v>
      </c>
      <c r="F2170" s="76">
        <v>52.835456999999998</v>
      </c>
      <c r="G2170" s="79">
        <v>1554400</v>
      </c>
    </row>
    <row r="2171" spans="1:7" x14ac:dyDescent="0.25">
      <c r="A2171" s="1" t="s">
        <v>2294</v>
      </c>
      <c r="B2171" s="76">
        <v>75.443489</v>
      </c>
      <c r="C2171" s="76">
        <v>75.443489</v>
      </c>
      <c r="D2171" s="76">
        <v>72.004929000000004</v>
      </c>
      <c r="E2171" s="76">
        <v>72.356102000000007</v>
      </c>
      <c r="F2171" s="76">
        <v>51.119422999999998</v>
      </c>
      <c r="G2171" s="79">
        <v>2486900</v>
      </c>
    </row>
    <row r="2172" spans="1:7" x14ac:dyDescent="0.25">
      <c r="A2172" s="1" t="s">
        <v>2295</v>
      </c>
      <c r="B2172" s="76">
        <v>71.697654999999997</v>
      </c>
      <c r="C2172" s="76">
        <v>71.902503999999993</v>
      </c>
      <c r="D2172" s="76">
        <v>70.278335999999996</v>
      </c>
      <c r="E2172" s="76">
        <v>70.827042000000006</v>
      </c>
      <c r="F2172" s="76">
        <v>50.039124000000001</v>
      </c>
      <c r="G2172" s="79">
        <v>2402300</v>
      </c>
    </row>
    <row r="2173" spans="1:7" x14ac:dyDescent="0.25">
      <c r="A2173" s="1" t="s">
        <v>2296</v>
      </c>
      <c r="B2173" s="76">
        <v>71.068473999999995</v>
      </c>
      <c r="C2173" s="76">
        <v>71.573279999999997</v>
      </c>
      <c r="D2173" s="76">
        <v>69.436981000000003</v>
      </c>
      <c r="E2173" s="76">
        <v>70.987999000000002</v>
      </c>
      <c r="F2173" s="76">
        <v>50.152846999999902</v>
      </c>
      <c r="G2173" s="79">
        <v>2043300</v>
      </c>
    </row>
    <row r="2174" spans="1:7" x14ac:dyDescent="0.25">
      <c r="A2174" s="1" t="s">
        <v>2297</v>
      </c>
      <c r="B2174" s="76">
        <v>70.175910999999999</v>
      </c>
      <c r="C2174" s="76">
        <v>71.192847999999998</v>
      </c>
      <c r="D2174" s="76">
        <v>69.722313</v>
      </c>
      <c r="E2174" s="76">
        <v>70.256385999999907</v>
      </c>
      <c r="F2174" s="76">
        <v>49.635952000000003</v>
      </c>
      <c r="G2174" s="79">
        <v>2167000</v>
      </c>
    </row>
    <row r="2175" spans="1:7" x14ac:dyDescent="0.25">
      <c r="A2175" s="1" t="s">
        <v>2298</v>
      </c>
      <c r="B2175" s="76">
        <v>70.987999000000002</v>
      </c>
      <c r="C2175" s="76">
        <v>73.636420999999999</v>
      </c>
      <c r="D2175" s="76">
        <v>70.966048999999998</v>
      </c>
      <c r="E2175" s="76">
        <v>73.307198</v>
      </c>
      <c r="F2175" s="76">
        <v>51.791347999999999</v>
      </c>
      <c r="G2175" s="79">
        <v>2077200</v>
      </c>
    </row>
    <row r="2176" spans="1:7" x14ac:dyDescent="0.25">
      <c r="A2176" s="1" t="s">
        <v>2299</v>
      </c>
      <c r="B2176" s="76">
        <v>72.582901000000007</v>
      </c>
      <c r="C2176" s="76">
        <v>73.029181999999906</v>
      </c>
      <c r="D2176" s="76">
        <v>70.314918999999904</v>
      </c>
      <c r="E2176" s="76">
        <v>70.578293000000002</v>
      </c>
      <c r="F2176" s="76">
        <v>49.863388</v>
      </c>
      <c r="G2176" s="79">
        <v>2069100</v>
      </c>
    </row>
    <row r="2177" spans="1:7" x14ac:dyDescent="0.25">
      <c r="A2177" s="1" t="s">
        <v>2300</v>
      </c>
      <c r="B2177" s="76">
        <v>70.512450999999999</v>
      </c>
      <c r="C2177" s="76">
        <v>71.163581999999906</v>
      </c>
      <c r="D2177" s="76">
        <v>69.188239999999993</v>
      </c>
      <c r="E2177" s="76">
        <v>70.607558999999995</v>
      </c>
      <c r="F2177" s="76">
        <v>49.884064000000002</v>
      </c>
      <c r="G2177" s="79">
        <v>1624200</v>
      </c>
    </row>
    <row r="2178" spans="1:7" x14ac:dyDescent="0.25">
      <c r="A2178" s="1" t="s">
        <v>2301</v>
      </c>
      <c r="B2178" s="76">
        <v>70.402709999999999</v>
      </c>
      <c r="C2178" s="76">
        <v>72.048828</v>
      </c>
      <c r="D2178" s="76">
        <v>70.073486000000003</v>
      </c>
      <c r="E2178" s="76">
        <v>71.456222999999994</v>
      </c>
      <c r="F2178" s="76">
        <v>50.483643000000001</v>
      </c>
      <c r="G2178" s="79">
        <v>1257500</v>
      </c>
    </row>
    <row r="2179" spans="1:7" x14ac:dyDescent="0.25">
      <c r="A2179" s="1" t="s">
        <v>2302</v>
      </c>
      <c r="B2179" s="76">
        <v>72.180518999999904</v>
      </c>
      <c r="C2179" s="76">
        <v>73.980277999999998</v>
      </c>
      <c r="D2179" s="76">
        <v>71.573279999999997</v>
      </c>
      <c r="E2179" s="76">
        <v>73.585205000000002</v>
      </c>
      <c r="F2179" s="76">
        <v>51.987769999999998</v>
      </c>
      <c r="G2179" s="79">
        <v>1618400</v>
      </c>
    </row>
    <row r="2180" spans="1:7" x14ac:dyDescent="0.25">
      <c r="A2180" s="1" t="s">
        <v>2303</v>
      </c>
      <c r="B2180" s="76">
        <v>73.007232999999999</v>
      </c>
      <c r="C2180" s="76">
        <v>73.921745000000001</v>
      </c>
      <c r="D2180" s="76">
        <v>72.502426</v>
      </c>
      <c r="E2180" s="76">
        <v>72.765807999999893</v>
      </c>
      <c r="F2180" s="76">
        <v>51.408862999999997</v>
      </c>
      <c r="G2180" s="79">
        <v>1354300</v>
      </c>
    </row>
    <row r="2181" spans="1:7" x14ac:dyDescent="0.25">
      <c r="A2181" s="1" t="s">
        <v>2304</v>
      </c>
      <c r="B2181" s="76">
        <v>74.616776000000002</v>
      </c>
      <c r="C2181" s="76">
        <v>74.821624999999997</v>
      </c>
      <c r="D2181" s="76">
        <v>72.465843000000007</v>
      </c>
      <c r="E2181" s="76">
        <v>73.848586999999995</v>
      </c>
      <c r="F2181" s="76">
        <v>52.173831999999997</v>
      </c>
      <c r="G2181" s="79">
        <v>1658300</v>
      </c>
    </row>
    <row r="2182" spans="1:7" x14ac:dyDescent="0.25">
      <c r="A2182" s="1" t="s">
        <v>2305</v>
      </c>
      <c r="B2182" s="76">
        <v>73.885161999999994</v>
      </c>
      <c r="C2182" s="76">
        <v>75.333748</v>
      </c>
      <c r="D2182" s="76">
        <v>73.270615000000006</v>
      </c>
      <c r="E2182" s="76">
        <v>75.180115000000001</v>
      </c>
      <c r="F2182" s="76">
        <v>53.114573999999998</v>
      </c>
      <c r="G2182" s="79">
        <v>1413800</v>
      </c>
    </row>
    <row r="2183" spans="1:7" x14ac:dyDescent="0.25">
      <c r="A2183" s="1" t="s">
        <v>2306</v>
      </c>
      <c r="B2183" s="76">
        <v>74.697249999999997</v>
      </c>
      <c r="C2183" s="76">
        <v>75.041106999999997</v>
      </c>
      <c r="D2183" s="76">
        <v>73.051131999999996</v>
      </c>
      <c r="E2183" s="76">
        <v>73.482780000000005</v>
      </c>
      <c r="F2183" s="76">
        <v>51.915413000000001</v>
      </c>
      <c r="G2183" s="79">
        <v>2509500</v>
      </c>
    </row>
    <row r="2184" spans="1:7" x14ac:dyDescent="0.25">
      <c r="A2184" s="1" t="s">
        <v>2307</v>
      </c>
      <c r="B2184" s="76">
        <v>72.531693000000004</v>
      </c>
      <c r="C2184" s="76">
        <v>73.453513999999998</v>
      </c>
      <c r="D2184" s="76">
        <v>71.609863000000004</v>
      </c>
      <c r="E2184" s="76">
        <v>73.182822999999999</v>
      </c>
      <c r="F2184" s="76">
        <v>51.703487000000003</v>
      </c>
      <c r="G2184" s="79">
        <v>2663300</v>
      </c>
    </row>
    <row r="2185" spans="1:7" x14ac:dyDescent="0.25">
      <c r="A2185" s="1" t="s">
        <v>2308</v>
      </c>
      <c r="B2185" s="76">
        <v>75.97757</v>
      </c>
      <c r="C2185" s="76">
        <v>76.701858999999999</v>
      </c>
      <c r="D2185" s="76">
        <v>73.951012000000006</v>
      </c>
      <c r="E2185" s="76">
        <v>76.701858999999999</v>
      </c>
      <c r="F2185" s="76">
        <v>54.189663000000003</v>
      </c>
      <c r="G2185" s="79">
        <v>3811900</v>
      </c>
    </row>
    <row r="2186" spans="1:7" x14ac:dyDescent="0.25">
      <c r="A2186" s="1" t="s">
        <v>2309</v>
      </c>
      <c r="B2186" s="76">
        <v>76.804282999999998</v>
      </c>
      <c r="C2186" s="76">
        <v>76.811599999999999</v>
      </c>
      <c r="D2186" s="76">
        <v>72.992598999999998</v>
      </c>
      <c r="E2186" s="76">
        <v>73.680312999999998</v>
      </c>
      <c r="F2186" s="76">
        <v>52.054966</v>
      </c>
      <c r="G2186" s="79">
        <v>3388800</v>
      </c>
    </row>
    <row r="2187" spans="1:7" x14ac:dyDescent="0.25">
      <c r="A2187" s="1" t="s">
        <v>2310</v>
      </c>
      <c r="B2187" s="76">
        <v>74.550926000000004</v>
      </c>
      <c r="C2187" s="76">
        <v>75.011841000000004</v>
      </c>
      <c r="D2187" s="76">
        <v>72.304893000000007</v>
      </c>
      <c r="E2187" s="76">
        <v>74.148544000000001</v>
      </c>
      <c r="F2187" s="76">
        <v>52.385756999999998</v>
      </c>
      <c r="G2187" s="79">
        <v>2475600</v>
      </c>
    </row>
    <row r="2188" spans="1:7" x14ac:dyDescent="0.25">
      <c r="A2188" s="1" t="s">
        <v>2311</v>
      </c>
      <c r="B2188" s="76">
        <v>72.392685</v>
      </c>
      <c r="C2188" s="76">
        <v>75.392280999999997</v>
      </c>
      <c r="D2188" s="76">
        <v>71.946404000000001</v>
      </c>
      <c r="E2188" s="76">
        <v>75.267905999999996</v>
      </c>
      <c r="F2188" s="76">
        <v>53.176589999999997</v>
      </c>
      <c r="G2188" s="79">
        <v>2292700</v>
      </c>
    </row>
    <row r="2189" spans="1:7" x14ac:dyDescent="0.25">
      <c r="A2189" s="1" t="s">
        <v>2312</v>
      </c>
      <c r="B2189" s="76">
        <v>74.148544000000001</v>
      </c>
      <c r="C2189" s="76">
        <v>76.058043999999995</v>
      </c>
      <c r="D2189" s="76">
        <v>73.438880999999995</v>
      </c>
      <c r="E2189" s="76">
        <v>75.970253</v>
      </c>
      <c r="F2189" s="76">
        <v>53.672787</v>
      </c>
      <c r="G2189" s="79">
        <v>2026100</v>
      </c>
    </row>
    <row r="2190" spans="1:7" x14ac:dyDescent="0.25">
      <c r="A2190" s="1" t="s">
        <v>2313</v>
      </c>
      <c r="B2190" s="76">
        <v>72.421951000000007</v>
      </c>
      <c r="C2190" s="76">
        <v>72.421951000000007</v>
      </c>
      <c r="D2190" s="76">
        <v>64.893692000000001</v>
      </c>
      <c r="E2190" s="76">
        <v>64.893692000000001</v>
      </c>
      <c r="F2190" s="76">
        <v>45.847225000000002</v>
      </c>
      <c r="G2190" s="79">
        <v>8820200</v>
      </c>
    </row>
    <row r="2191" spans="1:7" x14ac:dyDescent="0.25">
      <c r="A2191" s="1" t="s">
        <v>2314</v>
      </c>
      <c r="B2191" s="76">
        <v>64.366935999999995</v>
      </c>
      <c r="C2191" s="76">
        <v>70.856307999999999</v>
      </c>
      <c r="D2191" s="76">
        <v>64.323036000000002</v>
      </c>
      <c r="E2191" s="76">
        <v>69.590621999999996</v>
      </c>
      <c r="F2191" s="76">
        <v>49.165603999999902</v>
      </c>
      <c r="G2191" s="79">
        <v>6473100</v>
      </c>
    </row>
    <row r="2192" spans="1:7" x14ac:dyDescent="0.25">
      <c r="A2192" s="1" t="s">
        <v>2315</v>
      </c>
      <c r="B2192" s="76">
        <v>67.403114000000002</v>
      </c>
      <c r="C2192" s="76">
        <v>69.532096999999993</v>
      </c>
      <c r="D2192" s="76">
        <v>63.869441999999999</v>
      </c>
      <c r="E2192" s="76">
        <v>64.381568999999999</v>
      </c>
      <c r="F2192" s="76">
        <v>45.485419999999998</v>
      </c>
      <c r="G2192" s="79">
        <v>5188600</v>
      </c>
    </row>
    <row r="2193" spans="1:7" x14ac:dyDescent="0.25">
      <c r="A2193" s="1" t="s">
        <v>2316</v>
      </c>
      <c r="B2193" s="76">
        <v>63.642643</v>
      </c>
      <c r="C2193" s="76">
        <v>73.833954000000006</v>
      </c>
      <c r="D2193" s="76">
        <v>62.003841000000001</v>
      </c>
      <c r="E2193" s="76">
        <v>73.833954000000006</v>
      </c>
      <c r="F2193" s="76">
        <v>52.163502000000001</v>
      </c>
      <c r="G2193" s="79">
        <v>8607400</v>
      </c>
    </row>
    <row r="2194" spans="1:7" x14ac:dyDescent="0.25">
      <c r="A2194" s="1" t="s">
        <v>2317</v>
      </c>
      <c r="B2194" s="76">
        <v>73.929062000000002</v>
      </c>
      <c r="C2194" s="76">
        <v>79.123481999999996</v>
      </c>
      <c r="D2194" s="76">
        <v>69.941794999999999</v>
      </c>
      <c r="E2194" s="76">
        <v>77.360305999999994</v>
      </c>
      <c r="F2194" s="76">
        <v>54.654883999999903</v>
      </c>
      <c r="G2194" s="79">
        <v>8221100</v>
      </c>
    </row>
    <row r="2195" spans="1:7" x14ac:dyDescent="0.25">
      <c r="A2195" s="1" t="s">
        <v>2318</v>
      </c>
      <c r="B2195" s="76">
        <v>76.284842999999995</v>
      </c>
      <c r="C2195" s="76">
        <v>76.599434000000002</v>
      </c>
      <c r="D2195" s="76">
        <v>67.820128999999994</v>
      </c>
      <c r="E2195" s="76">
        <v>68.368835000000004</v>
      </c>
      <c r="F2195" s="76">
        <v>48.302417999999903</v>
      </c>
      <c r="G2195" s="79">
        <v>4322400</v>
      </c>
    </row>
    <row r="2196" spans="1:7" x14ac:dyDescent="0.25">
      <c r="A2196" s="1" t="s">
        <v>2319</v>
      </c>
      <c r="B2196" s="76">
        <v>68.822432999999904</v>
      </c>
      <c r="C2196" s="76">
        <v>71.185531999999995</v>
      </c>
      <c r="D2196" s="76">
        <v>67.622596999999999</v>
      </c>
      <c r="E2196" s="76">
        <v>67.849395999999999</v>
      </c>
      <c r="F2196" s="76">
        <v>47.935428999999999</v>
      </c>
      <c r="G2196" s="79">
        <v>4176400</v>
      </c>
    </row>
    <row r="2197" spans="1:7" x14ac:dyDescent="0.25">
      <c r="A2197" s="1" t="s">
        <v>2320</v>
      </c>
      <c r="B2197" s="76">
        <v>68.515159999999995</v>
      </c>
      <c r="C2197" s="76">
        <v>69.349189999999993</v>
      </c>
      <c r="D2197" s="76">
        <v>65.771621999999994</v>
      </c>
      <c r="E2197" s="76">
        <v>66.912932999999995</v>
      </c>
      <c r="F2197" s="76">
        <v>47.273823</v>
      </c>
      <c r="G2197" s="79">
        <v>3139900</v>
      </c>
    </row>
    <row r="2198" spans="1:7" x14ac:dyDescent="0.25">
      <c r="A2198" s="1" t="s">
        <v>2321</v>
      </c>
      <c r="B2198" s="76">
        <v>67.629913000000002</v>
      </c>
      <c r="C2198" s="76">
        <v>68.683425999999997</v>
      </c>
      <c r="D2198" s="76">
        <v>65.566772</v>
      </c>
      <c r="E2198" s="76">
        <v>67.586014000000006</v>
      </c>
      <c r="F2198" s="76">
        <v>47.749352000000002</v>
      </c>
      <c r="G2198" s="79">
        <v>2777400</v>
      </c>
    </row>
    <row r="2199" spans="1:7" x14ac:dyDescent="0.25">
      <c r="A2199" s="1" t="s">
        <v>2322</v>
      </c>
      <c r="B2199" s="76">
        <v>66.210587000000004</v>
      </c>
      <c r="C2199" s="76">
        <v>69.539412999999996</v>
      </c>
      <c r="D2199" s="76">
        <v>65.442397999999997</v>
      </c>
      <c r="E2199" s="76">
        <v>69.290665000000004</v>
      </c>
      <c r="F2199" s="76">
        <v>48.953685999999998</v>
      </c>
      <c r="G2199" s="79">
        <v>2860900</v>
      </c>
    </row>
    <row r="2200" spans="1:7" x14ac:dyDescent="0.25">
      <c r="A2200" s="1" t="s">
        <v>2323</v>
      </c>
      <c r="B2200" s="76">
        <v>67.490905999999995</v>
      </c>
      <c r="C2200" s="76">
        <v>68.368835000000004</v>
      </c>
      <c r="D2200" s="76">
        <v>60.723526</v>
      </c>
      <c r="E2200" s="76">
        <v>63.108569999999901</v>
      </c>
      <c r="F2200" s="76">
        <v>44.586052000000002</v>
      </c>
      <c r="G2200" s="79">
        <v>4679100</v>
      </c>
    </row>
    <row r="2201" spans="1:7" x14ac:dyDescent="0.25">
      <c r="A2201" s="1" t="s">
        <v>2324</v>
      </c>
      <c r="B2201" s="76">
        <v>64.557152000000002</v>
      </c>
      <c r="C2201" s="76">
        <v>66.934882999999999</v>
      </c>
      <c r="D2201" s="76">
        <v>63.927970999999999</v>
      </c>
      <c r="E2201" s="76">
        <v>66.539817999999997</v>
      </c>
      <c r="F2201" s="76">
        <v>47.010219999999997</v>
      </c>
      <c r="G2201" s="79">
        <v>3481500</v>
      </c>
    </row>
    <row r="2202" spans="1:7" x14ac:dyDescent="0.25">
      <c r="A2202" s="1" t="s">
        <v>2325</v>
      </c>
      <c r="B2202" s="76">
        <v>65.478981000000005</v>
      </c>
      <c r="C2202" s="76">
        <v>66.320328000000003</v>
      </c>
      <c r="D2202" s="76">
        <v>63.898707999999999</v>
      </c>
      <c r="E2202" s="76">
        <v>65.947211999999993</v>
      </c>
      <c r="F2202" s="76">
        <v>46.591540999999999</v>
      </c>
      <c r="G2202" s="79">
        <v>2766200</v>
      </c>
    </row>
    <row r="2203" spans="1:7" x14ac:dyDescent="0.25">
      <c r="A2203" s="1" t="s">
        <v>2326</v>
      </c>
      <c r="B2203" s="76">
        <v>65.617988999999994</v>
      </c>
      <c r="C2203" s="76">
        <v>66.086219999999997</v>
      </c>
      <c r="D2203" s="76">
        <v>61.367339999999999</v>
      </c>
      <c r="E2203" s="76">
        <v>61.733142999999998</v>
      </c>
      <c r="F2203" s="76">
        <v>43.614319000000002</v>
      </c>
      <c r="G2203" s="79">
        <v>4132000</v>
      </c>
    </row>
    <row r="2204" spans="1:7" x14ac:dyDescent="0.25">
      <c r="A2204" s="1" t="s">
        <v>2327</v>
      </c>
      <c r="B2204" s="76">
        <v>63.035407999999997</v>
      </c>
      <c r="C2204" s="76">
        <v>64.388885000000002</v>
      </c>
      <c r="D2204" s="76">
        <v>58.492118999999903</v>
      </c>
      <c r="E2204" s="76">
        <v>58.748179999999998</v>
      </c>
      <c r="F2204" s="76">
        <v>41.505443999999997</v>
      </c>
      <c r="G2204" s="79">
        <v>5169700</v>
      </c>
    </row>
    <row r="2205" spans="1:7" x14ac:dyDescent="0.25">
      <c r="A2205" s="1" t="s">
        <v>2328</v>
      </c>
      <c r="B2205" s="76">
        <v>56.809418000000001</v>
      </c>
      <c r="C2205" s="76">
        <v>60.284560999999997</v>
      </c>
      <c r="D2205" s="76">
        <v>54.117095999999997</v>
      </c>
      <c r="E2205" s="76">
        <v>58.243369999999999</v>
      </c>
      <c r="F2205" s="76">
        <v>41.148795999999997</v>
      </c>
      <c r="G2205" s="79">
        <v>6350500</v>
      </c>
    </row>
    <row r="2206" spans="1:7" x14ac:dyDescent="0.25">
      <c r="A2206" s="1" t="s">
        <v>2329</v>
      </c>
      <c r="B2206" s="76">
        <v>59.077404000000001</v>
      </c>
      <c r="C2206" s="76">
        <v>61.323443999999903</v>
      </c>
      <c r="D2206" s="76">
        <v>53.122107999999997</v>
      </c>
      <c r="E2206" s="76">
        <v>53.663502000000001</v>
      </c>
      <c r="F2206" s="76">
        <v>37.913131999999997</v>
      </c>
      <c r="G2206" s="79">
        <v>6395000</v>
      </c>
    </row>
    <row r="2207" spans="1:7" x14ac:dyDescent="0.25">
      <c r="A2207" s="1" t="s">
        <v>2330</v>
      </c>
      <c r="B2207" s="76">
        <v>51.285769999999999</v>
      </c>
      <c r="C2207" s="76">
        <v>58.843288000000001</v>
      </c>
      <c r="D2207" s="76">
        <v>51.285769999999999</v>
      </c>
      <c r="E2207" s="76">
        <v>56.333874000000002</v>
      </c>
      <c r="F2207" s="76">
        <v>39.799746999999897</v>
      </c>
      <c r="G2207" s="79">
        <v>6853500</v>
      </c>
    </row>
    <row r="2208" spans="1:7" x14ac:dyDescent="0.25">
      <c r="A2208" s="1" t="s">
        <v>2331</v>
      </c>
      <c r="B2208" s="76">
        <v>56.677726999999997</v>
      </c>
      <c r="C2208" s="76">
        <v>58.206791000000003</v>
      </c>
      <c r="D2208" s="76">
        <v>49.749392999999998</v>
      </c>
      <c r="E2208" s="76">
        <v>49.749392999999998</v>
      </c>
      <c r="F2208" s="76">
        <v>35.147826999999999</v>
      </c>
      <c r="G2208" s="79">
        <v>7618100</v>
      </c>
    </row>
    <row r="2209" spans="1:7" x14ac:dyDescent="0.25">
      <c r="A2209" s="1" t="s">
        <v>2332</v>
      </c>
      <c r="B2209" s="76">
        <v>49.303111999999999</v>
      </c>
      <c r="C2209" s="76">
        <v>57.233748999999897</v>
      </c>
      <c r="D2209" s="76">
        <v>46.932701000000002</v>
      </c>
      <c r="E2209" s="76">
        <v>57.233748999999897</v>
      </c>
      <c r="F2209" s="76">
        <v>40.435504999999999</v>
      </c>
      <c r="G2209" s="79">
        <v>12246400</v>
      </c>
    </row>
    <row r="2210" spans="1:7" x14ac:dyDescent="0.25">
      <c r="A2210" s="1" t="s">
        <v>2333</v>
      </c>
      <c r="B2210" s="76">
        <v>58.931083999999998</v>
      </c>
      <c r="C2210" s="76">
        <v>59.318835999999997</v>
      </c>
      <c r="D2210" s="76">
        <v>52.873362999999998</v>
      </c>
      <c r="E2210" s="76">
        <v>57.884884</v>
      </c>
      <c r="F2210" s="76">
        <v>40.895519</v>
      </c>
      <c r="G2210" s="79">
        <v>5836300</v>
      </c>
    </row>
    <row r="2211" spans="1:7" x14ac:dyDescent="0.25">
      <c r="A2211" s="1" t="s">
        <v>2334</v>
      </c>
      <c r="B2211" s="76">
        <v>59.252991000000002</v>
      </c>
      <c r="C2211" s="76">
        <v>59.252991000000002</v>
      </c>
      <c r="D2211" s="76">
        <v>47.700890000000001</v>
      </c>
      <c r="E2211" s="76">
        <v>51.944220999999999</v>
      </c>
      <c r="F2211" s="76">
        <v>36.698462999999997</v>
      </c>
      <c r="G2211" s="79">
        <v>7139700</v>
      </c>
    </row>
    <row r="2212" spans="1:7" x14ac:dyDescent="0.25">
      <c r="A2212" s="1" t="s">
        <v>2335</v>
      </c>
      <c r="B2212" s="76">
        <v>50.780963999999997</v>
      </c>
      <c r="C2212" s="76">
        <v>51.527203</v>
      </c>
      <c r="D2212" s="76">
        <v>43.955050999999997</v>
      </c>
      <c r="E2212" s="76">
        <v>45.228050000000003</v>
      </c>
      <c r="F2212" s="76">
        <v>31.953503000000001</v>
      </c>
      <c r="G2212" s="79">
        <v>6230900</v>
      </c>
    </row>
    <row r="2213" spans="1:7" x14ac:dyDescent="0.25">
      <c r="A2213" s="1" t="s">
        <v>2336</v>
      </c>
      <c r="B2213" s="76">
        <v>46.852221999999998</v>
      </c>
      <c r="C2213" s="76">
        <v>49.632335999999903</v>
      </c>
      <c r="D2213" s="76">
        <v>43.128334000000002</v>
      </c>
      <c r="E2213" s="76">
        <v>48.300808000000004</v>
      </c>
      <c r="F2213" s="76">
        <v>34.124400999999999</v>
      </c>
      <c r="G2213" s="79">
        <v>6950500</v>
      </c>
    </row>
    <row r="2214" spans="1:7" x14ac:dyDescent="0.25">
      <c r="A2214" s="1" t="s">
        <v>2337</v>
      </c>
      <c r="B2214" s="76">
        <v>46.793694000000002</v>
      </c>
      <c r="C2214" s="76">
        <v>50.568793999999997</v>
      </c>
      <c r="D2214" s="76">
        <v>45.827971999999903</v>
      </c>
      <c r="E2214" s="76">
        <v>48.593451999999999</v>
      </c>
      <c r="F2214" s="76">
        <v>34.331153999999998</v>
      </c>
      <c r="G2214" s="79">
        <v>4134500</v>
      </c>
    </row>
    <row r="2215" spans="1:7" x14ac:dyDescent="0.25">
      <c r="A2215" s="1" t="s">
        <v>2338</v>
      </c>
      <c r="B2215" s="76">
        <v>48.981204999999903</v>
      </c>
      <c r="C2215" s="76">
        <v>49.829871999999902</v>
      </c>
      <c r="D2215" s="76">
        <v>46.369362000000002</v>
      </c>
      <c r="E2215" s="76">
        <v>49.529910999999998</v>
      </c>
      <c r="F2215" s="76">
        <v>34.992759999999997</v>
      </c>
      <c r="G2215" s="79">
        <v>3133200</v>
      </c>
    </row>
    <row r="2216" spans="1:7" x14ac:dyDescent="0.25">
      <c r="A2216" s="1" t="s">
        <v>2339</v>
      </c>
      <c r="B2216" s="76">
        <v>48.088642</v>
      </c>
      <c r="C2216" s="76">
        <v>50.488318999999997</v>
      </c>
      <c r="D2216" s="76">
        <v>46.683951999999998</v>
      </c>
      <c r="E2216" s="76">
        <v>46.830275999999998</v>
      </c>
      <c r="F2216" s="76">
        <v>33.085479999999997</v>
      </c>
      <c r="G2216" s="79">
        <v>2714500</v>
      </c>
    </row>
    <row r="2217" spans="1:7" x14ac:dyDescent="0.25">
      <c r="A2217" s="1" t="s">
        <v>2340</v>
      </c>
      <c r="B2217" s="76">
        <v>45.571907000000003</v>
      </c>
      <c r="C2217" s="76">
        <v>46.310833000000002</v>
      </c>
      <c r="D2217" s="76">
        <v>42.864955999999999</v>
      </c>
      <c r="E2217" s="76">
        <v>44.364753999999998</v>
      </c>
      <c r="F2217" s="76">
        <v>31.343588</v>
      </c>
      <c r="G2217" s="79">
        <v>6425200</v>
      </c>
    </row>
    <row r="2218" spans="1:7" x14ac:dyDescent="0.25">
      <c r="A2218" s="1" t="s">
        <v>2341</v>
      </c>
      <c r="B2218" s="76">
        <v>45.359741</v>
      </c>
      <c r="C2218" s="76">
        <v>46.347411999999998</v>
      </c>
      <c r="D2218" s="76">
        <v>39.514187</v>
      </c>
      <c r="E2218" s="76">
        <v>44.116005000000001</v>
      </c>
      <c r="F2218" s="76">
        <v>31.167846999999998</v>
      </c>
      <c r="G2218" s="79">
        <v>6502800</v>
      </c>
    </row>
    <row r="2219" spans="1:7" x14ac:dyDescent="0.25">
      <c r="A2219" s="1" t="s">
        <v>2342</v>
      </c>
      <c r="B2219" s="76">
        <v>39.133750999999997</v>
      </c>
      <c r="C2219" s="76">
        <v>45.871867999999999</v>
      </c>
      <c r="D2219" s="76">
        <v>39.031326</v>
      </c>
      <c r="E2219" s="76">
        <v>41.555374</v>
      </c>
      <c r="F2219" s="76">
        <v>29.358775999999999</v>
      </c>
      <c r="G2219" s="79">
        <v>5497700</v>
      </c>
    </row>
    <row r="2220" spans="1:7" x14ac:dyDescent="0.25">
      <c r="A2220" s="1" t="s">
        <v>2343</v>
      </c>
      <c r="B2220" s="76">
        <v>39.960467999999999</v>
      </c>
      <c r="C2220" s="76">
        <v>44.430599000000001</v>
      </c>
      <c r="D2220" s="76">
        <v>39.762935999999897</v>
      </c>
      <c r="E2220" s="76">
        <v>40.553069999999998</v>
      </c>
      <c r="F2220" s="76">
        <v>28.650649999999999</v>
      </c>
      <c r="G2220" s="79">
        <v>4535800</v>
      </c>
    </row>
    <row r="2221" spans="1:7" x14ac:dyDescent="0.25">
      <c r="A2221" s="1" t="s">
        <v>2344</v>
      </c>
      <c r="B2221" s="76">
        <v>41.855334999999997</v>
      </c>
      <c r="C2221" s="76">
        <v>49.412852999999998</v>
      </c>
      <c r="D2221" s="76">
        <v>39.411762000000003</v>
      </c>
      <c r="E2221" s="76">
        <v>49.025100999999999</v>
      </c>
      <c r="F2221" s="76">
        <v>34.636111999999997</v>
      </c>
      <c r="G2221" s="79">
        <v>7995700</v>
      </c>
    </row>
    <row r="2222" spans="1:7" x14ac:dyDescent="0.25">
      <c r="A2222" s="1" t="s">
        <v>2345</v>
      </c>
      <c r="B2222" s="76">
        <v>48.278861999999997</v>
      </c>
      <c r="C2222" s="76">
        <v>48.534923999999997</v>
      </c>
      <c r="D2222" s="76">
        <v>44.123321999999902</v>
      </c>
      <c r="E2222" s="76">
        <v>45.608490000000003</v>
      </c>
      <c r="F2222" s="76">
        <v>32.222285999999997</v>
      </c>
      <c r="G2222" s="79">
        <v>6370200</v>
      </c>
    </row>
    <row r="2223" spans="1:7" x14ac:dyDescent="0.25">
      <c r="A2223" s="1" t="s">
        <v>2346</v>
      </c>
      <c r="B2223" s="76">
        <v>46.903434999999902</v>
      </c>
      <c r="C2223" s="76">
        <v>47.569198999999998</v>
      </c>
      <c r="D2223" s="76">
        <v>45.023201</v>
      </c>
      <c r="E2223" s="76">
        <v>46.940018000000002</v>
      </c>
      <c r="F2223" s="76">
        <v>33.163006000000003</v>
      </c>
      <c r="G2223" s="79">
        <v>2794900</v>
      </c>
    </row>
    <row r="2224" spans="1:7" x14ac:dyDescent="0.25">
      <c r="A2224" s="1" t="s">
        <v>2347</v>
      </c>
      <c r="B2224" s="76">
        <v>46.713219000000002</v>
      </c>
      <c r="C2224" s="76">
        <v>52.03933</v>
      </c>
      <c r="D2224" s="76">
        <v>46.127929999999999</v>
      </c>
      <c r="E2224" s="76">
        <v>51.614998</v>
      </c>
      <c r="F2224" s="76">
        <v>36.465877999999996</v>
      </c>
      <c r="G2224" s="79">
        <v>5111800</v>
      </c>
    </row>
    <row r="2225" spans="1:7" x14ac:dyDescent="0.25">
      <c r="A2225" s="1" t="s">
        <v>2348</v>
      </c>
      <c r="B2225" s="76">
        <v>51.315036999999997</v>
      </c>
      <c r="C2225" s="76">
        <v>52.207599999999999</v>
      </c>
      <c r="D2225" s="76">
        <v>48.615397999999999</v>
      </c>
      <c r="E2225" s="76">
        <v>48.973888000000002</v>
      </c>
      <c r="F2225" s="76">
        <v>34.599930000000001</v>
      </c>
      <c r="G2225" s="79">
        <v>2966000</v>
      </c>
    </row>
    <row r="2226" spans="1:7" x14ac:dyDescent="0.25">
      <c r="A2226" s="1" t="s">
        <v>2349</v>
      </c>
      <c r="B2226" s="76">
        <v>49.968876000000002</v>
      </c>
      <c r="C2226" s="76">
        <v>55.375464999999998</v>
      </c>
      <c r="D2226" s="76">
        <v>49.932296999999998</v>
      </c>
      <c r="E2226" s="76">
        <v>54.943817000000003</v>
      </c>
      <c r="F2226" s="76">
        <v>38.817677000000003</v>
      </c>
      <c r="G2226" s="79">
        <v>5686500</v>
      </c>
    </row>
    <row r="2227" spans="1:7" x14ac:dyDescent="0.25">
      <c r="A2227" s="1" t="s">
        <v>2350</v>
      </c>
      <c r="B2227" s="76">
        <v>54.080517</v>
      </c>
      <c r="C2227" s="76">
        <v>54.080517</v>
      </c>
      <c r="D2227" s="76">
        <v>48.169117</v>
      </c>
      <c r="E2227" s="76">
        <v>49.032416999999903</v>
      </c>
      <c r="F2227" s="76">
        <v>34.641289</v>
      </c>
      <c r="G2227" s="79">
        <v>5206300</v>
      </c>
    </row>
    <row r="2228" spans="1:7" x14ac:dyDescent="0.25">
      <c r="A2228" s="1" t="s">
        <v>2351</v>
      </c>
      <c r="B2228" s="76">
        <v>48.388603000000003</v>
      </c>
      <c r="C2228" s="76">
        <v>49.639651999999998</v>
      </c>
      <c r="D2228" s="76">
        <v>46.479103000000002</v>
      </c>
      <c r="E2228" s="76">
        <v>46.683951999999998</v>
      </c>
      <c r="F2228" s="76">
        <v>32.982101</v>
      </c>
      <c r="G2228" s="79">
        <v>4251100</v>
      </c>
    </row>
    <row r="2229" spans="1:7" x14ac:dyDescent="0.25">
      <c r="A2229" s="1" t="s">
        <v>2352</v>
      </c>
      <c r="B2229" s="76">
        <v>46.874171999999902</v>
      </c>
      <c r="C2229" s="76">
        <v>50.093249999999998</v>
      </c>
      <c r="D2229" s="76">
        <v>44.635447999999997</v>
      </c>
      <c r="E2229" s="76">
        <v>49.134841999999999</v>
      </c>
      <c r="F2229" s="76">
        <v>35.238273999999997</v>
      </c>
      <c r="G2229" s="79">
        <v>3690000</v>
      </c>
    </row>
    <row r="2230" spans="1:7" x14ac:dyDescent="0.25">
      <c r="A2230" s="1" t="s">
        <v>2353</v>
      </c>
      <c r="B2230" s="76">
        <v>49.420169999999999</v>
      </c>
      <c r="C2230" s="76">
        <v>49.771343000000002</v>
      </c>
      <c r="D2230" s="76">
        <v>44.467177999999997</v>
      </c>
      <c r="E2230" s="76">
        <v>45.030518000000001</v>
      </c>
      <c r="F2230" s="76">
        <v>32.294753999999998</v>
      </c>
      <c r="G2230" s="79">
        <v>4224800</v>
      </c>
    </row>
    <row r="2231" spans="1:7" x14ac:dyDescent="0.25">
      <c r="A2231" s="1" t="s">
        <v>2354</v>
      </c>
      <c r="B2231" s="76">
        <v>44.291592000000001</v>
      </c>
      <c r="C2231" s="76">
        <v>47.554569000000001</v>
      </c>
      <c r="D2231" s="76">
        <v>43.091754999999999</v>
      </c>
      <c r="E2231" s="76">
        <v>45.549960999999897</v>
      </c>
      <c r="F2231" s="76">
        <v>32.667278000000003</v>
      </c>
      <c r="G2231" s="79">
        <v>4697600</v>
      </c>
    </row>
    <row r="2232" spans="1:7" x14ac:dyDescent="0.25">
      <c r="A2232" s="1" t="s">
        <v>2355</v>
      </c>
      <c r="B2232" s="76">
        <v>43.618510999999998</v>
      </c>
      <c r="C2232" s="76">
        <v>45.491432000000003</v>
      </c>
      <c r="D2232" s="76">
        <v>40.436015999999903</v>
      </c>
      <c r="E2232" s="76">
        <v>40.853031000000001</v>
      </c>
      <c r="F2232" s="76">
        <v>29.298760999999999</v>
      </c>
      <c r="G2232" s="79">
        <v>6558500</v>
      </c>
    </row>
    <row r="2233" spans="1:7" x14ac:dyDescent="0.25">
      <c r="A2233" s="1" t="s">
        <v>2356</v>
      </c>
      <c r="B2233" s="76">
        <v>41.291995999999997</v>
      </c>
      <c r="C2233" s="76">
        <v>46.508365999999903</v>
      </c>
      <c r="D2233" s="76">
        <v>39.038643</v>
      </c>
      <c r="E2233" s="76">
        <v>45.008567999999997</v>
      </c>
      <c r="F2233" s="76">
        <v>32.279007</v>
      </c>
      <c r="G2233" s="79">
        <v>7885000</v>
      </c>
    </row>
    <row r="2234" spans="1:7" x14ac:dyDescent="0.25">
      <c r="A2234" s="1" t="s">
        <v>2357</v>
      </c>
      <c r="B2234" s="76">
        <v>43.040543</v>
      </c>
      <c r="C2234" s="76">
        <v>45.045150999999997</v>
      </c>
      <c r="D2234" s="76">
        <v>39.879992999999999</v>
      </c>
      <c r="E2234" s="76">
        <v>41.174937999999997</v>
      </c>
      <c r="F2234" s="76">
        <v>29.529624999999999</v>
      </c>
      <c r="G2234" s="79">
        <v>4675000</v>
      </c>
    </row>
    <row r="2235" spans="1:7" x14ac:dyDescent="0.25">
      <c r="A2235" s="1" t="s">
        <v>2358</v>
      </c>
      <c r="B2235" s="76">
        <v>40.648181999999998</v>
      </c>
      <c r="C2235" s="76">
        <v>41.431003999999902</v>
      </c>
      <c r="D2235" s="76">
        <v>38.438724999999998</v>
      </c>
      <c r="E2235" s="76">
        <v>39.089855</v>
      </c>
      <c r="F2235" s="76">
        <v>28.034264</v>
      </c>
      <c r="G2235" s="79">
        <v>5237700</v>
      </c>
    </row>
    <row r="2236" spans="1:7" x14ac:dyDescent="0.25">
      <c r="A2236" s="1" t="s">
        <v>2359</v>
      </c>
      <c r="B2236" s="76">
        <v>39.836094000000003</v>
      </c>
      <c r="C2236" s="76">
        <v>40.384803999999903</v>
      </c>
      <c r="D2236" s="76">
        <v>37.868068999999998</v>
      </c>
      <c r="E2236" s="76">
        <v>39.623927999999999</v>
      </c>
      <c r="F2236" s="76">
        <v>28.417290000000001</v>
      </c>
      <c r="G2236" s="79">
        <v>5778200</v>
      </c>
    </row>
    <row r="2237" spans="1:7" x14ac:dyDescent="0.25">
      <c r="A2237" s="1" t="s">
        <v>2360</v>
      </c>
      <c r="B2237" s="76">
        <v>38.950848000000001</v>
      </c>
      <c r="C2237" s="76">
        <v>40.084842999999999</v>
      </c>
      <c r="D2237" s="76">
        <v>33.705215000000003</v>
      </c>
      <c r="E2237" s="76">
        <v>34.509982999999998</v>
      </c>
      <c r="F2237" s="76">
        <v>24.749693000000001</v>
      </c>
      <c r="G2237" s="79">
        <v>9361500</v>
      </c>
    </row>
    <row r="2238" spans="1:7" x14ac:dyDescent="0.25">
      <c r="A2238" s="1" t="s">
        <v>2361</v>
      </c>
      <c r="B2238" s="76">
        <v>32.790703000000001</v>
      </c>
      <c r="C2238" s="76">
        <v>35.870776999999997</v>
      </c>
      <c r="D2238" s="76">
        <v>29.578940999999901</v>
      </c>
      <c r="E2238" s="76">
        <v>30.464188</v>
      </c>
      <c r="F2238" s="76">
        <v>21.848154000000001</v>
      </c>
      <c r="G2238" s="79">
        <v>12758900</v>
      </c>
    </row>
    <row r="2239" spans="1:7" x14ac:dyDescent="0.25">
      <c r="A2239" s="1" t="s">
        <v>2362</v>
      </c>
      <c r="B2239" s="76">
        <v>31.525020999999999</v>
      </c>
      <c r="C2239" s="76">
        <v>32.666328</v>
      </c>
      <c r="D2239" s="76">
        <v>26.820775999999999</v>
      </c>
      <c r="E2239" s="76">
        <v>32.402949999999997</v>
      </c>
      <c r="F2239" s="76">
        <v>23.238581</v>
      </c>
      <c r="G2239" s="79">
        <v>12475500</v>
      </c>
    </row>
    <row r="2240" spans="1:7" x14ac:dyDescent="0.25">
      <c r="A2240" s="1" t="s">
        <v>2363</v>
      </c>
      <c r="B2240" s="76">
        <v>33.690581999999999</v>
      </c>
      <c r="C2240" s="76">
        <v>38.870373000000001</v>
      </c>
      <c r="D2240" s="76">
        <v>32.593170000000001</v>
      </c>
      <c r="E2240" s="76">
        <v>38.46067</v>
      </c>
      <c r="F2240" s="76">
        <v>27.583019</v>
      </c>
      <c r="G2240" s="79">
        <v>11090400</v>
      </c>
    </row>
    <row r="2241" spans="1:7" x14ac:dyDescent="0.25">
      <c r="A2241" s="1" t="s">
        <v>2364</v>
      </c>
      <c r="B2241" s="76">
        <v>40.231163000000002</v>
      </c>
      <c r="C2241" s="76">
        <v>40.896926999999998</v>
      </c>
      <c r="D2241" s="76">
        <v>35.709823999999998</v>
      </c>
      <c r="E2241" s="76">
        <v>39.828780999999999</v>
      </c>
      <c r="F2241" s="76">
        <v>28.564207</v>
      </c>
      <c r="G2241" s="79">
        <v>9442500</v>
      </c>
    </row>
    <row r="2242" spans="1:7" x14ac:dyDescent="0.25">
      <c r="A2242" s="1" t="s">
        <v>2365</v>
      </c>
      <c r="B2242" s="76">
        <v>39.177647</v>
      </c>
      <c r="C2242" s="76">
        <v>42.067501</v>
      </c>
      <c r="D2242" s="76">
        <v>37.677849000000002</v>
      </c>
      <c r="E2242" s="76">
        <v>41.116408999999997</v>
      </c>
      <c r="F2242" s="76">
        <v>29.487649999999999</v>
      </c>
      <c r="G2242" s="79">
        <v>7849100</v>
      </c>
    </row>
    <row r="2243" spans="1:7" x14ac:dyDescent="0.25">
      <c r="A2243" s="1" t="s">
        <v>2366</v>
      </c>
      <c r="B2243" s="76">
        <v>41.123725999999998</v>
      </c>
      <c r="C2243" s="76">
        <v>41.482215999999902</v>
      </c>
      <c r="D2243" s="76">
        <v>39.104488000000003</v>
      </c>
      <c r="E2243" s="76">
        <v>39.104488000000003</v>
      </c>
      <c r="F2243" s="76">
        <v>28.044751999999999</v>
      </c>
      <c r="G2243" s="79">
        <v>3371900</v>
      </c>
    </row>
    <row r="2244" spans="1:7" x14ac:dyDescent="0.25">
      <c r="A2244" s="1" t="s">
        <v>2367</v>
      </c>
      <c r="B2244" s="76">
        <v>37.919280999999998</v>
      </c>
      <c r="C2244" s="76">
        <v>38.446036999999997</v>
      </c>
      <c r="D2244" s="76">
        <v>30.588559999999902</v>
      </c>
      <c r="E2244" s="76">
        <v>31.510386999999898</v>
      </c>
      <c r="F2244" s="76">
        <v>22.598457</v>
      </c>
      <c r="G2244" s="79">
        <v>8863500</v>
      </c>
    </row>
    <row r="2245" spans="1:7" x14ac:dyDescent="0.25">
      <c r="A2245" s="1" t="s">
        <v>2368</v>
      </c>
      <c r="B2245" s="76">
        <v>32.373688000000001</v>
      </c>
      <c r="C2245" s="76">
        <v>35.241591999999997</v>
      </c>
      <c r="D2245" s="76">
        <v>32.227364000000001</v>
      </c>
      <c r="E2245" s="76">
        <v>34.700203000000002</v>
      </c>
      <c r="F2245" s="76">
        <v>24.886116000000001</v>
      </c>
      <c r="G2245" s="79">
        <v>10957600</v>
      </c>
    </row>
    <row r="2246" spans="1:7" x14ac:dyDescent="0.25">
      <c r="A2246" s="1" t="s">
        <v>2369</v>
      </c>
      <c r="B2246" s="76">
        <v>33.961277000000003</v>
      </c>
      <c r="C2246" s="76">
        <v>37.809539999999998</v>
      </c>
      <c r="D2246" s="76">
        <v>32.373688000000001</v>
      </c>
      <c r="E2246" s="76">
        <v>37.758327000000001</v>
      </c>
      <c r="F2246" s="76">
        <v>27.079322999999999</v>
      </c>
      <c r="G2246" s="79">
        <v>7855200</v>
      </c>
    </row>
    <row r="2247" spans="1:7" x14ac:dyDescent="0.25">
      <c r="A2247" s="1" t="s">
        <v>2370</v>
      </c>
      <c r="B2247" s="76">
        <v>36.434115999999896</v>
      </c>
      <c r="C2247" s="76">
        <v>40.962771999999902</v>
      </c>
      <c r="D2247" s="76">
        <v>36.009780999999997</v>
      </c>
      <c r="E2247" s="76">
        <v>36.880398</v>
      </c>
      <c r="F2247" s="76">
        <v>26.44969</v>
      </c>
      <c r="G2247" s="79">
        <v>8072500</v>
      </c>
    </row>
    <row r="2248" spans="1:7" x14ac:dyDescent="0.25">
      <c r="A2248" s="1" t="s">
        <v>2371</v>
      </c>
      <c r="B2248" s="76">
        <v>36.148788000000003</v>
      </c>
      <c r="C2248" s="76">
        <v>41.335892000000001</v>
      </c>
      <c r="D2248" s="76">
        <v>35.402546000000001</v>
      </c>
      <c r="E2248" s="76">
        <v>41.160308999999998</v>
      </c>
      <c r="F2248" s="76">
        <v>29.519130999999899</v>
      </c>
      <c r="G2248" s="79">
        <v>7387700</v>
      </c>
    </row>
    <row r="2249" spans="1:7" x14ac:dyDescent="0.25">
      <c r="A2249" s="1" t="s">
        <v>2372</v>
      </c>
      <c r="B2249" s="76">
        <v>42.089450999999997</v>
      </c>
      <c r="C2249" s="76">
        <v>45.067096999999997</v>
      </c>
      <c r="D2249" s="76">
        <v>41.445633000000001</v>
      </c>
      <c r="E2249" s="76">
        <v>45.052467</v>
      </c>
      <c r="F2249" s="76">
        <v>32.310485999999997</v>
      </c>
      <c r="G2249" s="79">
        <v>9750300</v>
      </c>
    </row>
    <row r="2250" spans="1:7" x14ac:dyDescent="0.25">
      <c r="A2250" s="1" t="s">
        <v>2373</v>
      </c>
      <c r="B2250" s="76">
        <v>44.152588000000002</v>
      </c>
      <c r="C2250" s="76">
        <v>44.832985000000001</v>
      </c>
      <c r="D2250" s="76">
        <v>40.523808000000002</v>
      </c>
      <c r="E2250" s="76">
        <v>41.109093000000001</v>
      </c>
      <c r="F2250" s="76">
        <v>29.482412</v>
      </c>
      <c r="G2250" s="79">
        <v>6986800</v>
      </c>
    </row>
    <row r="2251" spans="1:7" x14ac:dyDescent="0.25">
      <c r="A2251" s="1" t="s">
        <v>2374</v>
      </c>
      <c r="B2251" s="76">
        <v>41.467582999999998</v>
      </c>
      <c r="C2251" s="76">
        <v>45.403636999999897</v>
      </c>
      <c r="D2251" s="76">
        <v>41.438319999999997</v>
      </c>
      <c r="E2251" s="76">
        <v>44.452545000000001</v>
      </c>
      <c r="F2251" s="76">
        <v>31.880248999999999</v>
      </c>
      <c r="G2251" s="79">
        <v>5683300</v>
      </c>
    </row>
    <row r="2252" spans="1:7" x14ac:dyDescent="0.25">
      <c r="A2252" s="1" t="s">
        <v>2375</v>
      </c>
      <c r="B2252" s="76">
        <v>43.238075000000002</v>
      </c>
      <c r="C2252" s="76">
        <v>44.276961999999997</v>
      </c>
      <c r="D2252" s="76">
        <v>38.519199</v>
      </c>
      <c r="E2252" s="76">
        <v>38.782578000000001</v>
      </c>
      <c r="F2252" s="76">
        <v>27.813884999999999</v>
      </c>
      <c r="G2252" s="79">
        <v>9778500</v>
      </c>
    </row>
    <row r="2253" spans="1:7" x14ac:dyDescent="0.25">
      <c r="A2253" s="1" t="s">
        <v>2376</v>
      </c>
      <c r="B2253" s="76">
        <v>37.546162000000002</v>
      </c>
      <c r="C2253" s="76">
        <v>42.725947999999903</v>
      </c>
      <c r="D2253" s="76">
        <v>36.807235999999897</v>
      </c>
      <c r="E2253" s="76">
        <v>42.608893999999999</v>
      </c>
      <c r="F2253" s="76">
        <v>30.558022999999999</v>
      </c>
      <c r="G2253" s="79">
        <v>9790200</v>
      </c>
    </row>
    <row r="2254" spans="1:7" x14ac:dyDescent="0.25">
      <c r="A2254" s="1" t="s">
        <v>2377</v>
      </c>
      <c r="B2254" s="76">
        <v>43.479506999999998</v>
      </c>
      <c r="C2254" s="76">
        <v>43.516086999999999</v>
      </c>
      <c r="D2254" s="76">
        <v>39.302021000000003</v>
      </c>
      <c r="E2254" s="76">
        <v>41.270049999999998</v>
      </c>
      <c r="F2254" s="76">
        <v>29.597849</v>
      </c>
      <c r="G2254" s="79">
        <v>5904800</v>
      </c>
    </row>
    <row r="2255" spans="1:7" x14ac:dyDescent="0.25">
      <c r="A2255" s="1" t="s">
        <v>2378</v>
      </c>
      <c r="B2255" s="76">
        <v>41.965076000000003</v>
      </c>
      <c r="C2255" s="76">
        <v>47.079020999999997</v>
      </c>
      <c r="D2255" s="76">
        <v>41.050567999999998</v>
      </c>
      <c r="E2255" s="76">
        <v>47.079020999999997</v>
      </c>
      <c r="F2255" s="76">
        <v>33.763888999999999</v>
      </c>
      <c r="G2255" s="79">
        <v>9318900</v>
      </c>
    </row>
    <row r="2256" spans="1:7" x14ac:dyDescent="0.25">
      <c r="A2256" s="1" t="s">
        <v>2379</v>
      </c>
      <c r="B2256" s="76">
        <v>46.435206999999998</v>
      </c>
      <c r="C2256" s="76">
        <v>48.908042999999999</v>
      </c>
      <c r="D2256" s="76">
        <v>44.130637999999998</v>
      </c>
      <c r="E2256" s="76">
        <v>46.881489000000002</v>
      </c>
      <c r="F2256" s="76">
        <v>33.622227000000002</v>
      </c>
      <c r="G2256" s="79">
        <v>6803100</v>
      </c>
    </row>
    <row r="2257" spans="1:7" x14ac:dyDescent="0.25">
      <c r="A2257" s="1" t="s">
        <v>2380</v>
      </c>
      <c r="B2257" s="76">
        <v>47.298504000000001</v>
      </c>
      <c r="C2257" s="76">
        <v>47.503352999999997</v>
      </c>
      <c r="D2257" s="76">
        <v>42.082134000000003</v>
      </c>
      <c r="E2257" s="76">
        <v>42.616207000000003</v>
      </c>
      <c r="F2257" s="76">
        <v>30.563274</v>
      </c>
      <c r="G2257" s="79">
        <v>7214800</v>
      </c>
    </row>
    <row r="2258" spans="1:7" x14ac:dyDescent="0.25">
      <c r="A2258" s="1" t="s">
        <v>2381</v>
      </c>
      <c r="B2258" s="76">
        <v>43.889206000000001</v>
      </c>
      <c r="C2258" s="76">
        <v>44.628132000000001</v>
      </c>
      <c r="D2258" s="76">
        <v>42.177242</v>
      </c>
      <c r="E2258" s="76">
        <v>43.903838999999998</v>
      </c>
      <c r="F2258" s="76">
        <v>31.486737999999999</v>
      </c>
      <c r="G2258" s="79">
        <v>5472000</v>
      </c>
    </row>
    <row r="2259" spans="1:7" x14ac:dyDescent="0.25">
      <c r="A2259" s="1" t="s">
        <v>2382</v>
      </c>
      <c r="B2259" s="76">
        <v>44.964672</v>
      </c>
      <c r="C2259" s="76">
        <v>44.964672</v>
      </c>
      <c r="D2259" s="76">
        <v>40.501857999999999</v>
      </c>
      <c r="E2259" s="76">
        <v>42.228454999999997</v>
      </c>
      <c r="F2259" s="76">
        <v>30.285191999999999</v>
      </c>
      <c r="G2259" s="79">
        <v>4104000</v>
      </c>
    </row>
    <row r="2260" spans="1:7" x14ac:dyDescent="0.25">
      <c r="A2260" s="1" t="s">
        <v>2383</v>
      </c>
      <c r="B2260" s="76">
        <v>42.652790000000003</v>
      </c>
      <c r="C2260" s="76">
        <v>44.057476000000001</v>
      </c>
      <c r="D2260" s="76">
        <v>42.323566</v>
      </c>
      <c r="E2260" s="76">
        <v>42.901534999999903</v>
      </c>
      <c r="F2260" s="76">
        <v>30.767903999999898</v>
      </c>
      <c r="G2260" s="79">
        <v>3103300</v>
      </c>
    </row>
    <row r="2261" spans="1:7" x14ac:dyDescent="0.25">
      <c r="A2261" s="1" t="s">
        <v>2384</v>
      </c>
      <c r="B2261" s="76">
        <v>42.689368999999999</v>
      </c>
      <c r="C2261" s="76">
        <v>43.018593000000003</v>
      </c>
      <c r="D2261" s="76">
        <v>41.833385</v>
      </c>
      <c r="E2261" s="76">
        <v>42.908852000000003</v>
      </c>
      <c r="F2261" s="76">
        <v>30.773157000000001</v>
      </c>
      <c r="G2261" s="79">
        <v>1029200</v>
      </c>
    </row>
    <row r="2262" spans="1:7" x14ac:dyDescent="0.25">
      <c r="A2262" s="1" t="s">
        <v>2385</v>
      </c>
      <c r="B2262" s="76">
        <v>43.142966999999999</v>
      </c>
      <c r="C2262" s="76">
        <v>43.508769999999998</v>
      </c>
      <c r="D2262" s="76">
        <v>41.987026</v>
      </c>
      <c r="E2262" s="76">
        <v>43.150283999999999</v>
      </c>
      <c r="F2262" s="76">
        <v>30.946303999999898</v>
      </c>
      <c r="G2262" s="79">
        <v>1251300</v>
      </c>
    </row>
    <row r="2263" spans="1:7" x14ac:dyDescent="0.25">
      <c r="A2263" s="1" t="s">
        <v>2386</v>
      </c>
      <c r="B2263" s="76">
        <v>42.645472999999903</v>
      </c>
      <c r="C2263" s="76">
        <v>42.682053000000003</v>
      </c>
      <c r="D2263" s="76">
        <v>39.623927999999999</v>
      </c>
      <c r="E2263" s="76">
        <v>40.779868999999998</v>
      </c>
      <c r="F2263" s="76">
        <v>29.246296000000001</v>
      </c>
      <c r="G2263" s="79">
        <v>3267700</v>
      </c>
    </row>
    <row r="2264" spans="1:7" x14ac:dyDescent="0.25">
      <c r="A2264" s="1" t="s">
        <v>2387</v>
      </c>
      <c r="B2264" s="76">
        <v>40.977406000000002</v>
      </c>
      <c r="C2264" s="76">
        <v>42.733265000000003</v>
      </c>
      <c r="D2264" s="76">
        <v>40.545757000000002</v>
      </c>
      <c r="E2264" s="76">
        <v>42.564995000000003</v>
      </c>
      <c r="F2264" s="76">
        <v>30.526537000000001</v>
      </c>
      <c r="G2264" s="79">
        <v>2847000</v>
      </c>
    </row>
    <row r="2265" spans="1:7" x14ac:dyDescent="0.25">
      <c r="A2265" s="1" t="s">
        <v>2388</v>
      </c>
      <c r="B2265" s="76">
        <v>42.433307999999997</v>
      </c>
      <c r="C2265" s="76">
        <v>44.598869000000001</v>
      </c>
      <c r="D2265" s="76">
        <v>41.95776</v>
      </c>
      <c r="E2265" s="76">
        <v>44.152588000000002</v>
      </c>
      <c r="F2265" s="76">
        <v>31.665128999999901</v>
      </c>
      <c r="G2265" s="79">
        <v>4089300</v>
      </c>
    </row>
    <row r="2266" spans="1:7" x14ac:dyDescent="0.25">
      <c r="A2266" s="1" t="s">
        <v>2389</v>
      </c>
      <c r="B2266" s="76">
        <v>44.028213999999998</v>
      </c>
      <c r="C2266" s="76">
        <v>44.298907999999997</v>
      </c>
      <c r="D2266" s="76">
        <v>42.360146</v>
      </c>
      <c r="E2266" s="76">
        <v>42.645472999999903</v>
      </c>
      <c r="F2266" s="76">
        <v>30.584258999999999</v>
      </c>
      <c r="G2266" s="79">
        <v>3231000</v>
      </c>
    </row>
    <row r="2267" spans="1:7" x14ac:dyDescent="0.25">
      <c r="A2267" s="1" t="s">
        <v>2390</v>
      </c>
      <c r="B2267" s="76">
        <v>42.586945</v>
      </c>
      <c r="C2267" s="76">
        <v>43.084437999999999</v>
      </c>
      <c r="D2267" s="76">
        <v>41.350524999999998</v>
      </c>
      <c r="E2267" s="76">
        <v>42.038238999999997</v>
      </c>
      <c r="F2267" s="76">
        <v>30.148775000000001</v>
      </c>
      <c r="G2267" s="79">
        <v>4869000</v>
      </c>
    </row>
    <row r="2268" spans="1:7" x14ac:dyDescent="0.25">
      <c r="A2268" s="1" t="s">
        <v>2391</v>
      </c>
      <c r="B2268" s="76">
        <v>42.499148999999903</v>
      </c>
      <c r="C2268" s="76">
        <v>45.601172999999903</v>
      </c>
      <c r="D2268" s="76">
        <v>41.233466999999997</v>
      </c>
      <c r="E2268" s="76">
        <v>45.176837999999996</v>
      </c>
      <c r="F2268" s="76">
        <v>32.399684999999998</v>
      </c>
      <c r="G2268" s="79">
        <v>6851200</v>
      </c>
    </row>
    <row r="2269" spans="1:7" x14ac:dyDescent="0.25">
      <c r="A2269" s="1" t="s">
        <v>2392</v>
      </c>
      <c r="B2269" s="76">
        <v>44.116005000000001</v>
      </c>
      <c r="C2269" s="76">
        <v>44.467177999999997</v>
      </c>
      <c r="D2269" s="76">
        <v>42.652790000000003</v>
      </c>
      <c r="E2269" s="76">
        <v>42.974696999999999</v>
      </c>
      <c r="F2269" s="76">
        <v>30.82037</v>
      </c>
      <c r="G2269" s="79">
        <v>4399900</v>
      </c>
    </row>
    <row r="2270" spans="1:7" x14ac:dyDescent="0.25">
      <c r="A2270" s="1" t="s">
        <v>2393</v>
      </c>
      <c r="B2270" s="76">
        <v>41.335892000000001</v>
      </c>
      <c r="C2270" s="76">
        <v>42.528416</v>
      </c>
      <c r="D2270" s="76">
        <v>40.472594999999998</v>
      </c>
      <c r="E2270" s="76">
        <v>42.272354</v>
      </c>
      <c r="F2270" s="76">
        <v>30.316659999999999</v>
      </c>
      <c r="G2270" s="79">
        <v>4686000</v>
      </c>
    </row>
    <row r="2271" spans="1:7" x14ac:dyDescent="0.25">
      <c r="A2271" s="1" t="s">
        <v>2394</v>
      </c>
      <c r="B2271" s="76">
        <v>42.374778999999997</v>
      </c>
      <c r="C2271" s="76">
        <v>42.945430999999999</v>
      </c>
      <c r="D2271" s="76">
        <v>40.004364000000002</v>
      </c>
      <c r="E2271" s="76">
        <v>40.297009000000003</v>
      </c>
      <c r="F2271" s="76">
        <v>28.900002000000001</v>
      </c>
      <c r="G2271" s="79">
        <v>4260600</v>
      </c>
    </row>
    <row r="2272" spans="1:7" x14ac:dyDescent="0.25">
      <c r="A2272" s="1" t="s">
        <v>2395</v>
      </c>
      <c r="B2272" s="76">
        <v>40.040946999999903</v>
      </c>
      <c r="C2272" s="76">
        <v>40.136054999999999</v>
      </c>
      <c r="D2272" s="76">
        <v>37.480315999999902</v>
      </c>
      <c r="E2272" s="76">
        <v>38.029021999999998</v>
      </c>
      <c r="F2272" s="76">
        <v>27.273454999999998</v>
      </c>
      <c r="G2272" s="79">
        <v>4930300</v>
      </c>
    </row>
    <row r="2273" spans="1:7" x14ac:dyDescent="0.25">
      <c r="A2273" s="1" t="s">
        <v>2396</v>
      </c>
      <c r="B2273" s="76">
        <v>38.292400000000001</v>
      </c>
      <c r="C2273" s="76">
        <v>39.989734999999897</v>
      </c>
      <c r="D2273" s="76">
        <v>37.480315999999902</v>
      </c>
      <c r="E2273" s="76">
        <v>39.638560999999903</v>
      </c>
      <c r="F2273" s="76">
        <v>28.427778</v>
      </c>
      <c r="G2273" s="79">
        <v>4279400</v>
      </c>
    </row>
    <row r="2274" spans="1:7" x14ac:dyDescent="0.25">
      <c r="A2274" s="1" t="s">
        <v>2397</v>
      </c>
      <c r="B2274" s="76">
        <v>38.175342999999998</v>
      </c>
      <c r="C2274" s="76">
        <v>38.606994999999998</v>
      </c>
      <c r="D2274" s="76">
        <v>36.529223999999999</v>
      </c>
      <c r="E2274" s="76">
        <v>37.055981000000003</v>
      </c>
      <c r="F2274" s="76">
        <v>26.575619</v>
      </c>
      <c r="G2274" s="79">
        <v>6269100</v>
      </c>
    </row>
    <row r="2275" spans="1:7" x14ac:dyDescent="0.25">
      <c r="A2275" s="1" t="s">
        <v>2398</v>
      </c>
      <c r="B2275" s="76">
        <v>36.799919000000003</v>
      </c>
      <c r="C2275" s="76">
        <v>39.031326</v>
      </c>
      <c r="D2275" s="76">
        <v>34.648990999999903</v>
      </c>
      <c r="E2275" s="76">
        <v>37.494948999999998</v>
      </c>
      <c r="F2275" s="76">
        <v>26.890440000000002</v>
      </c>
      <c r="G2275" s="79">
        <v>7885100</v>
      </c>
    </row>
    <row r="2276" spans="1:7" x14ac:dyDescent="0.25">
      <c r="A2276" s="1" t="s">
        <v>2399</v>
      </c>
      <c r="B2276" s="76">
        <v>38.482619999999997</v>
      </c>
      <c r="C2276" s="76">
        <v>39.404446</v>
      </c>
      <c r="D2276" s="76">
        <v>36.4268</v>
      </c>
      <c r="E2276" s="76">
        <v>39.133750999999997</v>
      </c>
      <c r="F2276" s="76">
        <v>28.065746000000001</v>
      </c>
      <c r="G2276" s="79">
        <v>5715600</v>
      </c>
    </row>
    <row r="2277" spans="1:7" x14ac:dyDescent="0.25">
      <c r="A2277" s="1" t="s">
        <v>2400</v>
      </c>
      <c r="B2277" s="76">
        <v>38.555779000000001</v>
      </c>
      <c r="C2277" s="76">
        <v>38.870373000000001</v>
      </c>
      <c r="D2277" s="76">
        <v>34.473403999999903</v>
      </c>
      <c r="E2277" s="76">
        <v>34.831890000000001</v>
      </c>
      <c r="F2277" s="76">
        <v>24.980553</v>
      </c>
      <c r="G2277" s="79">
        <v>7197100</v>
      </c>
    </row>
    <row r="2278" spans="1:7" x14ac:dyDescent="0.25">
      <c r="A2278" s="1" t="s">
        <v>2401</v>
      </c>
      <c r="B2278" s="76">
        <v>36.170734000000003</v>
      </c>
      <c r="C2278" s="76">
        <v>39.184963000000003</v>
      </c>
      <c r="D2278" s="76">
        <v>35.080638999999998</v>
      </c>
      <c r="E2278" s="76">
        <v>39.111801</v>
      </c>
      <c r="F2278" s="76">
        <v>28.049999</v>
      </c>
      <c r="G2278" s="79">
        <v>9610100</v>
      </c>
    </row>
    <row r="2279" spans="1:7" x14ac:dyDescent="0.25">
      <c r="A2279" s="1" t="s">
        <v>2402</v>
      </c>
      <c r="B2279" s="76">
        <v>37.151092999999896</v>
      </c>
      <c r="C2279" s="76">
        <v>38.672835999999997</v>
      </c>
      <c r="D2279" s="76">
        <v>35.878093999999997</v>
      </c>
      <c r="E2279" s="76">
        <v>36.946238999999998</v>
      </c>
      <c r="F2279" s="76">
        <v>26.4969099999999</v>
      </c>
      <c r="G2279" s="79">
        <v>6769400</v>
      </c>
    </row>
    <row r="2280" spans="1:7" x14ac:dyDescent="0.25">
      <c r="A2280" s="1" t="s">
        <v>2403</v>
      </c>
      <c r="B2280" s="76">
        <v>35.526919999999997</v>
      </c>
      <c r="C2280" s="76">
        <v>37.677849000000002</v>
      </c>
      <c r="D2280" s="76">
        <v>34.934319000000002</v>
      </c>
      <c r="E2280" s="76">
        <v>37.458365999999998</v>
      </c>
      <c r="F2280" s="76">
        <v>26.864196999999901</v>
      </c>
      <c r="G2280" s="79">
        <v>5333100</v>
      </c>
    </row>
    <row r="2281" spans="1:7" x14ac:dyDescent="0.25">
      <c r="A2281" s="1" t="s">
        <v>2404</v>
      </c>
      <c r="B2281" s="76">
        <v>38.424090999999997</v>
      </c>
      <c r="C2281" s="76">
        <v>39.053272</v>
      </c>
      <c r="D2281" s="76">
        <v>36.624332000000003</v>
      </c>
      <c r="E2281" s="76">
        <v>37.304728999999902</v>
      </c>
      <c r="F2281" s="76">
        <v>26.754013</v>
      </c>
      <c r="G2281" s="79">
        <v>5660500</v>
      </c>
    </row>
    <row r="2282" spans="1:7" x14ac:dyDescent="0.25">
      <c r="A2282" s="1" t="s">
        <v>2405</v>
      </c>
      <c r="B2282" s="76">
        <v>37.985126000000001</v>
      </c>
      <c r="C2282" s="76">
        <v>38.738681999999997</v>
      </c>
      <c r="D2282" s="76">
        <v>37.070613999999999</v>
      </c>
      <c r="E2282" s="76">
        <v>37.846119000000002</v>
      </c>
      <c r="F2282" s="76">
        <v>27.142284</v>
      </c>
      <c r="G2282" s="79">
        <v>4417600</v>
      </c>
    </row>
    <row r="2283" spans="1:7" x14ac:dyDescent="0.25">
      <c r="A2283" s="1" t="s">
        <v>2406</v>
      </c>
      <c r="B2283" s="76">
        <v>39.104488000000003</v>
      </c>
      <c r="C2283" s="76">
        <v>42.155296</v>
      </c>
      <c r="D2283" s="76">
        <v>38.950848000000001</v>
      </c>
      <c r="E2283" s="76">
        <v>41.848019000000001</v>
      </c>
      <c r="F2283" s="76">
        <v>30.012334999999901</v>
      </c>
      <c r="G2283" s="79">
        <v>7905200</v>
      </c>
    </row>
    <row r="2284" spans="1:7" x14ac:dyDescent="0.25">
      <c r="A2284" s="1" t="s">
        <v>2407</v>
      </c>
      <c r="B2284" s="76">
        <v>40.684761000000002</v>
      </c>
      <c r="C2284" s="76">
        <v>41.687064999999997</v>
      </c>
      <c r="D2284" s="76">
        <v>38.643574000000001</v>
      </c>
      <c r="E2284" s="76">
        <v>38.870373000000001</v>
      </c>
      <c r="F2284" s="76">
        <v>27.876853999999899</v>
      </c>
      <c r="G2284" s="79">
        <v>7393400</v>
      </c>
    </row>
    <row r="2285" spans="1:7" x14ac:dyDescent="0.25">
      <c r="A2285" s="1" t="s">
        <v>2408</v>
      </c>
      <c r="B2285" s="76">
        <v>39.675139999999999</v>
      </c>
      <c r="C2285" s="76">
        <v>39.997046999999903</v>
      </c>
      <c r="D2285" s="76">
        <v>36.485329</v>
      </c>
      <c r="E2285" s="76">
        <v>37.173037999999998</v>
      </c>
      <c r="F2285" s="76">
        <v>26.659569000000001</v>
      </c>
      <c r="G2285" s="79">
        <v>7375000</v>
      </c>
    </row>
    <row r="2286" spans="1:7" x14ac:dyDescent="0.25">
      <c r="A2286" s="1" t="s">
        <v>2409</v>
      </c>
      <c r="B2286" s="76">
        <v>36.243895999999999</v>
      </c>
      <c r="C2286" s="76">
        <v>38.014389000000001</v>
      </c>
      <c r="D2286" s="76">
        <v>35.848827</v>
      </c>
      <c r="E2286" s="76">
        <v>37.772960999999903</v>
      </c>
      <c r="F2286" s="76">
        <v>27.089812999999999</v>
      </c>
      <c r="G2286" s="79">
        <v>6196900</v>
      </c>
    </row>
    <row r="2287" spans="1:7" x14ac:dyDescent="0.25">
      <c r="A2287" s="1" t="s">
        <v>2410</v>
      </c>
      <c r="B2287" s="76">
        <v>37.319363000000003</v>
      </c>
      <c r="C2287" s="76">
        <v>37.436419999999998</v>
      </c>
      <c r="D2287" s="76">
        <v>35.775664999999996</v>
      </c>
      <c r="E2287" s="76">
        <v>36.404850000000003</v>
      </c>
      <c r="F2287" s="76">
        <v>26.779288999999999</v>
      </c>
      <c r="G2287" s="79">
        <v>5923600</v>
      </c>
    </row>
    <row r="2288" spans="1:7" x14ac:dyDescent="0.25">
      <c r="A2288" s="1" t="s">
        <v>2411</v>
      </c>
      <c r="B2288" s="76">
        <v>36.59507</v>
      </c>
      <c r="C2288" s="76">
        <v>37.502262000000002</v>
      </c>
      <c r="D2288" s="76">
        <v>35.958568999999997</v>
      </c>
      <c r="E2288" s="76">
        <v>36.134155</v>
      </c>
      <c r="F2288" s="76">
        <v>26.580164</v>
      </c>
      <c r="G2288" s="79">
        <v>6198200</v>
      </c>
    </row>
    <row r="2289" spans="1:7" x14ac:dyDescent="0.25">
      <c r="A2289" s="1" t="s">
        <v>2412</v>
      </c>
      <c r="B2289" s="76">
        <v>35.607394999999997</v>
      </c>
      <c r="C2289" s="76">
        <v>37.429103999999903</v>
      </c>
      <c r="D2289" s="76">
        <v>34.436824999999999</v>
      </c>
      <c r="E2289" s="76">
        <v>35.724452999999997</v>
      </c>
      <c r="F2289" s="76">
        <v>26.278790000000001</v>
      </c>
      <c r="G2289" s="79">
        <v>6869700</v>
      </c>
    </row>
    <row r="2290" spans="1:7" x14ac:dyDescent="0.25">
      <c r="A2290" s="1" t="s">
        <v>2413</v>
      </c>
      <c r="B2290" s="76">
        <v>36.346321000000003</v>
      </c>
      <c r="C2290" s="76">
        <v>39.082538999999997</v>
      </c>
      <c r="D2290" s="76">
        <v>35.731769999999997</v>
      </c>
      <c r="E2290" s="76">
        <v>38.709418999999997</v>
      </c>
      <c r="F2290" s="76">
        <v>28.474530999999999</v>
      </c>
      <c r="G2290" s="79">
        <v>6308100</v>
      </c>
    </row>
    <row r="2291" spans="1:7" x14ac:dyDescent="0.25">
      <c r="A2291" s="1" t="s">
        <v>2414</v>
      </c>
      <c r="B2291" s="76">
        <v>38.628940999999998</v>
      </c>
      <c r="C2291" s="76">
        <v>39.587348999999897</v>
      </c>
      <c r="D2291" s="76">
        <v>37.853436000000002</v>
      </c>
      <c r="E2291" s="76">
        <v>39.353233000000003</v>
      </c>
      <c r="F2291" s="76">
        <v>28.948110999999901</v>
      </c>
      <c r="G2291" s="79">
        <v>4174400</v>
      </c>
    </row>
    <row r="2292" spans="1:7" x14ac:dyDescent="0.25">
      <c r="A2292" s="1" t="s">
        <v>2415</v>
      </c>
      <c r="B2292" s="76">
        <v>38.409458000000001</v>
      </c>
      <c r="C2292" s="76">
        <v>39.353233000000003</v>
      </c>
      <c r="D2292" s="76">
        <v>34.744098999999999</v>
      </c>
      <c r="E2292" s="76">
        <v>35.131850999999997</v>
      </c>
      <c r="F2292" s="76">
        <v>25.842873000000001</v>
      </c>
      <c r="G2292" s="79">
        <v>8627600</v>
      </c>
    </row>
    <row r="2293" spans="1:7" x14ac:dyDescent="0.25">
      <c r="A2293" s="1" t="s">
        <v>2416</v>
      </c>
      <c r="B2293" s="76">
        <v>35.541553</v>
      </c>
      <c r="C2293" s="76">
        <v>36.434115999999896</v>
      </c>
      <c r="D2293" s="76">
        <v>34.210025999999999</v>
      </c>
      <c r="E2293" s="76">
        <v>36.265846000000003</v>
      </c>
      <c r="F2293" s="76">
        <v>26.677040000000002</v>
      </c>
      <c r="G2293" s="79">
        <v>6531400</v>
      </c>
    </row>
    <row r="2294" spans="1:7" x14ac:dyDescent="0.25">
      <c r="A2294" s="1" t="s">
        <v>2417</v>
      </c>
      <c r="B2294" s="76">
        <v>35.373283000000001</v>
      </c>
      <c r="C2294" s="76">
        <v>35.600082</v>
      </c>
      <c r="D2294" s="76">
        <v>32.278576000000001</v>
      </c>
      <c r="E2294" s="76">
        <v>34.985531000000002</v>
      </c>
      <c r="F2294" s="76">
        <v>25.735240999999998</v>
      </c>
      <c r="G2294" s="79">
        <v>9402600</v>
      </c>
    </row>
    <row r="2295" spans="1:7" x14ac:dyDescent="0.25">
      <c r="A2295" s="1" t="s">
        <v>2418</v>
      </c>
      <c r="B2295" s="76">
        <v>34.670937000000002</v>
      </c>
      <c r="C2295" s="76">
        <v>34.963580999999998</v>
      </c>
      <c r="D2295" s="76">
        <v>31.042158000000001</v>
      </c>
      <c r="E2295" s="76">
        <v>31.305537999999999</v>
      </c>
      <c r="F2295" s="76">
        <v>23.028251999999998</v>
      </c>
      <c r="G2295" s="79">
        <v>11734400</v>
      </c>
    </row>
    <row r="2296" spans="1:7" x14ac:dyDescent="0.25">
      <c r="A2296" s="1" t="s">
        <v>2419</v>
      </c>
      <c r="B2296" s="76">
        <v>29.498464999999999</v>
      </c>
      <c r="C2296" s="76">
        <v>30.244705</v>
      </c>
      <c r="D2296" s="76">
        <v>27.567017</v>
      </c>
      <c r="E2296" s="76">
        <v>27.910872999999999</v>
      </c>
      <c r="F2296" s="76">
        <v>20.531151000000001</v>
      </c>
      <c r="G2296" s="79">
        <v>12555200</v>
      </c>
    </row>
    <row r="2297" spans="1:7" x14ac:dyDescent="0.25">
      <c r="A2297" s="1" t="s">
        <v>2420</v>
      </c>
      <c r="B2297" s="76">
        <v>28.32789</v>
      </c>
      <c r="C2297" s="76">
        <v>28.964390000000002</v>
      </c>
      <c r="D2297" s="76">
        <v>26.396441999999901</v>
      </c>
      <c r="E2297" s="76">
        <v>28.518108000000002</v>
      </c>
      <c r="F2297" s="76">
        <v>20.977826999999898</v>
      </c>
      <c r="G2297" s="79">
        <v>9711900</v>
      </c>
    </row>
    <row r="2298" spans="1:7" x14ac:dyDescent="0.25">
      <c r="A2298" s="1" t="s">
        <v>2421</v>
      </c>
      <c r="B2298" s="76">
        <v>29.118027000000001</v>
      </c>
      <c r="C2298" s="76">
        <v>29.432618999999999</v>
      </c>
      <c r="D2298" s="76">
        <v>27.018310999999901</v>
      </c>
      <c r="E2298" s="76">
        <v>27.41338</v>
      </c>
      <c r="F2298" s="76">
        <v>20.165195000000001</v>
      </c>
      <c r="G2298" s="79">
        <v>7723500</v>
      </c>
    </row>
    <row r="2299" spans="1:7" x14ac:dyDescent="0.25">
      <c r="A2299" s="1" t="s">
        <v>2422</v>
      </c>
      <c r="B2299" s="76">
        <v>26.491551999999999</v>
      </c>
      <c r="C2299" s="76">
        <v>30.120331</v>
      </c>
      <c r="D2299" s="76">
        <v>26.016006000000001</v>
      </c>
      <c r="E2299" s="76">
        <v>29.659417999999999</v>
      </c>
      <c r="F2299" s="76">
        <v>21.817373</v>
      </c>
      <c r="G2299" s="79">
        <v>9527700</v>
      </c>
    </row>
    <row r="2300" spans="1:7" x14ac:dyDescent="0.25">
      <c r="A2300" s="1" t="s">
        <v>2423</v>
      </c>
      <c r="B2300" s="76">
        <v>30.186176</v>
      </c>
      <c r="C2300" s="76">
        <v>30.186176</v>
      </c>
      <c r="D2300" s="76">
        <v>26.579346000000001</v>
      </c>
      <c r="E2300" s="76">
        <v>26.696403999999902</v>
      </c>
      <c r="F2300" s="76">
        <v>19.637786999999999</v>
      </c>
      <c r="G2300" s="79">
        <v>8366100</v>
      </c>
    </row>
    <row r="2301" spans="1:7" x14ac:dyDescent="0.25">
      <c r="A2301" s="1" t="s">
        <v>2424</v>
      </c>
      <c r="B2301" s="76">
        <v>26.725665999999901</v>
      </c>
      <c r="C2301" s="76">
        <v>28.166937000000001</v>
      </c>
      <c r="D2301" s="76">
        <v>24.669846</v>
      </c>
      <c r="E2301" s="76">
        <v>27.632861999999999</v>
      </c>
      <c r="F2301" s="76">
        <v>20.326649</v>
      </c>
      <c r="G2301" s="79">
        <v>13258400</v>
      </c>
    </row>
    <row r="2302" spans="1:7" x14ac:dyDescent="0.25">
      <c r="A2302" s="1" t="s">
        <v>2425</v>
      </c>
      <c r="B2302" s="76">
        <v>27.318269999999998</v>
      </c>
      <c r="C2302" s="76">
        <v>28.781488</v>
      </c>
      <c r="D2302" s="76">
        <v>25.737995000000002</v>
      </c>
      <c r="E2302" s="76">
        <v>27.41338</v>
      </c>
      <c r="F2302" s="76">
        <v>20.165195000000001</v>
      </c>
      <c r="G2302" s="79">
        <v>12276700</v>
      </c>
    </row>
    <row r="2303" spans="1:7" x14ac:dyDescent="0.25">
      <c r="A2303" s="1" t="s">
        <v>2426</v>
      </c>
      <c r="B2303" s="76">
        <v>27.1207349999999</v>
      </c>
      <c r="C2303" s="76">
        <v>27.918189999999999</v>
      </c>
      <c r="D2303" s="76">
        <v>25.277082</v>
      </c>
      <c r="E2303" s="76">
        <v>25.481932</v>
      </c>
      <c r="F2303" s="76">
        <v>18.744430999999999</v>
      </c>
      <c r="G2303" s="79">
        <v>12063800</v>
      </c>
    </row>
    <row r="2304" spans="1:7" x14ac:dyDescent="0.25">
      <c r="A2304" s="1" t="s">
        <v>2427</v>
      </c>
      <c r="B2304" s="76">
        <v>24.706426999999898</v>
      </c>
      <c r="C2304" s="76">
        <v>25.781891000000002</v>
      </c>
      <c r="D2304" s="76">
        <v>23.696805999999999</v>
      </c>
      <c r="E2304" s="76">
        <v>23.945553</v>
      </c>
      <c r="F2304" s="76">
        <v>17.614273000000001</v>
      </c>
      <c r="G2304" s="79">
        <v>13453400</v>
      </c>
    </row>
    <row r="2305" spans="1:7" x14ac:dyDescent="0.25">
      <c r="A2305" s="1" t="s">
        <v>2428</v>
      </c>
      <c r="B2305" s="76">
        <v>23.433427999999999</v>
      </c>
      <c r="C2305" s="76">
        <v>23.521221000000001</v>
      </c>
      <c r="D2305" s="76">
        <v>21.765360000000001</v>
      </c>
      <c r="E2305" s="76">
        <v>22.043371</v>
      </c>
      <c r="F2305" s="76">
        <v>16.215029000000001</v>
      </c>
      <c r="G2305" s="79">
        <v>12559800</v>
      </c>
    </row>
    <row r="2306" spans="1:7" x14ac:dyDescent="0.25">
      <c r="A2306" s="1" t="s">
        <v>2429</v>
      </c>
      <c r="B2306" s="76">
        <v>22.855457000000001</v>
      </c>
      <c r="C2306" s="76">
        <v>24.355255</v>
      </c>
      <c r="D2306" s="76">
        <v>21.011803</v>
      </c>
      <c r="E2306" s="76">
        <v>23.170048000000001</v>
      </c>
      <c r="F2306" s="76">
        <v>17.043814000000001</v>
      </c>
      <c r="G2306" s="79">
        <v>15822500</v>
      </c>
    </row>
    <row r="2307" spans="1:7" x14ac:dyDescent="0.25">
      <c r="A2307" s="1" t="s">
        <v>2430</v>
      </c>
      <c r="B2307" s="76">
        <v>23.887025999999999</v>
      </c>
      <c r="C2307" s="76">
        <v>24.252828999999998</v>
      </c>
      <c r="D2307" s="76">
        <v>22.233588999999998</v>
      </c>
      <c r="E2307" s="76">
        <v>22.994463</v>
      </c>
      <c r="F2307" s="76">
        <v>16.914653999999999</v>
      </c>
      <c r="G2307" s="79">
        <v>10084400</v>
      </c>
    </row>
    <row r="2308" spans="1:7" x14ac:dyDescent="0.25">
      <c r="A2308" s="1" t="s">
        <v>2431</v>
      </c>
      <c r="B2308" s="76">
        <v>22.336013999999999</v>
      </c>
      <c r="C2308" s="76">
        <v>22.518916999999998</v>
      </c>
      <c r="D2308" s="76">
        <v>20.763055999999999</v>
      </c>
      <c r="E2308" s="76">
        <v>21.180073</v>
      </c>
      <c r="F2308" s="76">
        <v>15.579992000000001</v>
      </c>
      <c r="G2308" s="79">
        <v>10947500</v>
      </c>
    </row>
    <row r="2309" spans="1:7" x14ac:dyDescent="0.25">
      <c r="A2309" s="1" t="s">
        <v>2432</v>
      </c>
      <c r="B2309" s="76">
        <v>21.487348999999998</v>
      </c>
      <c r="C2309" s="76">
        <v>21.582457999999999</v>
      </c>
      <c r="D2309" s="76">
        <v>19.760752</v>
      </c>
      <c r="E2309" s="76">
        <v>21.443453000000002</v>
      </c>
      <c r="F2309" s="76">
        <v>15.773733999999999</v>
      </c>
      <c r="G2309" s="79">
        <v>14041900</v>
      </c>
    </row>
    <row r="2310" spans="1:7" x14ac:dyDescent="0.25">
      <c r="A2310" s="1" t="s">
        <v>2433</v>
      </c>
      <c r="B2310" s="76">
        <v>21.33371</v>
      </c>
      <c r="C2310" s="76">
        <v>21.911681999999999</v>
      </c>
      <c r="D2310" s="76">
        <v>20.419198999999999</v>
      </c>
      <c r="E2310" s="76">
        <v>21.670249999999999</v>
      </c>
      <c r="F2310" s="76">
        <v>15.940567</v>
      </c>
      <c r="G2310" s="79">
        <v>10574500</v>
      </c>
    </row>
    <row r="2311" spans="1:7" x14ac:dyDescent="0.25">
      <c r="A2311" s="1" t="s">
        <v>2434</v>
      </c>
      <c r="B2311" s="76">
        <v>22.511600000000001</v>
      </c>
      <c r="C2311" s="76">
        <v>26.476918999999999</v>
      </c>
      <c r="D2311" s="76">
        <v>22.175059999999998</v>
      </c>
      <c r="E2311" s="76">
        <v>26.476918999999999</v>
      </c>
      <c r="F2311" s="76">
        <v>19.476336</v>
      </c>
      <c r="G2311" s="79">
        <v>18119000</v>
      </c>
    </row>
    <row r="2312" spans="1:7" x14ac:dyDescent="0.25">
      <c r="A2312" s="1" t="s">
        <v>2435</v>
      </c>
      <c r="B2312" s="76">
        <v>26.857357</v>
      </c>
      <c r="C2312" s="76">
        <v>26.901253000000001</v>
      </c>
      <c r="D2312" s="76">
        <v>25.211237000000001</v>
      </c>
      <c r="E2312" s="76">
        <v>25.979424999999999</v>
      </c>
      <c r="F2312" s="76">
        <v>19.110379999999999</v>
      </c>
      <c r="G2312" s="79">
        <v>12551800</v>
      </c>
    </row>
    <row r="2313" spans="1:7" x14ac:dyDescent="0.25">
      <c r="A2313" s="1" t="s">
        <v>2436</v>
      </c>
      <c r="B2313" s="76">
        <v>25.950160999999898</v>
      </c>
      <c r="C2313" s="76">
        <v>28.701009999999901</v>
      </c>
      <c r="D2313" s="76">
        <v>25.562407999999898</v>
      </c>
      <c r="E2313" s="76">
        <v>28.554689</v>
      </c>
      <c r="F2313" s="76">
        <v>21.004735999999902</v>
      </c>
      <c r="G2313" s="79">
        <v>11203500</v>
      </c>
    </row>
    <row r="2314" spans="1:7" x14ac:dyDescent="0.25">
      <c r="A2314" s="1" t="s">
        <v>2437</v>
      </c>
      <c r="B2314" s="76">
        <v>28.32789</v>
      </c>
      <c r="C2314" s="76">
        <v>28.679061999999998</v>
      </c>
      <c r="D2314" s="76">
        <v>26.484235999999999</v>
      </c>
      <c r="E2314" s="76">
        <v>27.332903000000002</v>
      </c>
      <c r="F2314" s="76">
        <v>20.106000999999999</v>
      </c>
      <c r="G2314" s="79">
        <v>7655300</v>
      </c>
    </row>
    <row r="2315" spans="1:7" x14ac:dyDescent="0.25">
      <c r="A2315" s="1" t="s">
        <v>2438</v>
      </c>
      <c r="B2315" s="76">
        <v>27.779184000000001</v>
      </c>
      <c r="C2315" s="76">
        <v>28.174251999999999</v>
      </c>
      <c r="D2315" s="76">
        <v>25.050283</v>
      </c>
      <c r="E2315" s="76">
        <v>25.379507</v>
      </c>
      <c r="F2315" s="76">
        <v>18.669080999999998</v>
      </c>
      <c r="G2315" s="79">
        <v>10141800</v>
      </c>
    </row>
    <row r="2316" spans="1:7" x14ac:dyDescent="0.25">
      <c r="A2316" s="1" t="s">
        <v>2439</v>
      </c>
      <c r="B2316" s="76">
        <v>25.094179</v>
      </c>
      <c r="C2316" s="76">
        <v>27.435327999999998</v>
      </c>
      <c r="D2316" s="76">
        <v>24.772272000000001</v>
      </c>
      <c r="E2316" s="76">
        <v>27.398745999999999</v>
      </c>
      <c r="F2316" s="76">
        <v>20.154427999999999</v>
      </c>
      <c r="G2316" s="79">
        <v>10149200</v>
      </c>
    </row>
    <row r="2317" spans="1:7" x14ac:dyDescent="0.25">
      <c r="A2317" s="1" t="s">
        <v>2440</v>
      </c>
      <c r="B2317" s="76">
        <v>26.586659999999998</v>
      </c>
      <c r="C2317" s="76">
        <v>29.322877999999999</v>
      </c>
      <c r="D2317" s="76">
        <v>25.613620999999998</v>
      </c>
      <c r="E2317" s="76">
        <v>28.810751</v>
      </c>
      <c r="F2317" s="76">
        <v>21.193100000000001</v>
      </c>
      <c r="G2317" s="79">
        <v>11947300</v>
      </c>
    </row>
    <row r="2318" spans="1:7" x14ac:dyDescent="0.25">
      <c r="A2318" s="1" t="s">
        <v>2441</v>
      </c>
      <c r="B2318" s="76">
        <v>29.205819999999999</v>
      </c>
      <c r="C2318" s="76">
        <v>29.417988000000001</v>
      </c>
      <c r="D2318" s="76">
        <v>26.703717999999999</v>
      </c>
      <c r="E2318" s="76">
        <v>27.040258000000001</v>
      </c>
      <c r="F2318" s="76">
        <v>19.890729999999898</v>
      </c>
      <c r="G2318" s="79">
        <v>9004900</v>
      </c>
    </row>
    <row r="2319" spans="1:7" x14ac:dyDescent="0.25">
      <c r="A2319" s="1" t="s">
        <v>2442</v>
      </c>
      <c r="B2319" s="76">
        <v>26.828092999999999</v>
      </c>
      <c r="C2319" s="76">
        <v>26.828092999999999</v>
      </c>
      <c r="D2319" s="76">
        <v>23.506588000000001</v>
      </c>
      <c r="E2319" s="76">
        <v>23.579750000000001</v>
      </c>
      <c r="F2319" s="76">
        <v>17.345185999999899</v>
      </c>
      <c r="G2319" s="79">
        <v>11216100</v>
      </c>
    </row>
    <row r="2320" spans="1:7" x14ac:dyDescent="0.25">
      <c r="A2320" s="1" t="s">
        <v>2443</v>
      </c>
      <c r="B2320" s="76">
        <v>24.552789999999899</v>
      </c>
      <c r="C2320" s="76">
        <v>27.1719469999999</v>
      </c>
      <c r="D2320" s="76">
        <v>24.245514</v>
      </c>
      <c r="E2320" s="76">
        <v>26.937833999999999</v>
      </c>
      <c r="F2320" s="76">
        <v>19.815383999999899</v>
      </c>
      <c r="G2320" s="79">
        <v>16671700</v>
      </c>
    </row>
    <row r="2321" spans="1:7" x14ac:dyDescent="0.25">
      <c r="A2321" s="1" t="s">
        <v>2444</v>
      </c>
      <c r="B2321" s="76">
        <v>26.359863000000001</v>
      </c>
      <c r="C2321" s="76">
        <v>27.984034000000001</v>
      </c>
      <c r="D2321" s="76">
        <v>25.130759999999999</v>
      </c>
      <c r="E2321" s="76">
        <v>25.723364</v>
      </c>
      <c r="F2321" s="76">
        <v>18.922024</v>
      </c>
      <c r="G2321" s="79">
        <v>10819400</v>
      </c>
    </row>
    <row r="2322" spans="1:7" x14ac:dyDescent="0.25">
      <c r="A2322" s="1" t="s">
        <v>2445</v>
      </c>
      <c r="B2322" s="76">
        <v>26.294017999999902</v>
      </c>
      <c r="C2322" s="76">
        <v>26.418391999999901</v>
      </c>
      <c r="D2322" s="76">
        <v>23.265158</v>
      </c>
      <c r="E2322" s="76">
        <v>24.882013000000001</v>
      </c>
      <c r="F2322" s="76">
        <v>18.303128999999998</v>
      </c>
      <c r="G2322" s="79">
        <v>13029800</v>
      </c>
    </row>
    <row r="2323" spans="1:7" x14ac:dyDescent="0.25">
      <c r="A2323" s="1" t="s">
        <v>2446</v>
      </c>
      <c r="B2323" s="76">
        <v>25.320978</v>
      </c>
      <c r="C2323" s="76">
        <v>26.608609999999999</v>
      </c>
      <c r="D2323" s="76">
        <v>23.835812000000001</v>
      </c>
      <c r="E2323" s="76">
        <v>26.447654999999902</v>
      </c>
      <c r="F2323" s="76">
        <v>19.454813000000001</v>
      </c>
      <c r="G2323" s="79">
        <v>10813600</v>
      </c>
    </row>
    <row r="2324" spans="1:7" x14ac:dyDescent="0.25">
      <c r="A2324" s="1" t="s">
        <v>2447</v>
      </c>
      <c r="B2324" s="76">
        <v>25.511195999999899</v>
      </c>
      <c r="C2324" s="76">
        <v>26.096482999999999</v>
      </c>
      <c r="D2324" s="76">
        <v>24.882013000000001</v>
      </c>
      <c r="E2324" s="76">
        <v>25.320978</v>
      </c>
      <c r="F2324" s="76">
        <v>18.626031999999999</v>
      </c>
      <c r="G2324" s="79">
        <v>7352700</v>
      </c>
    </row>
    <row r="2325" spans="1:7" x14ac:dyDescent="0.25">
      <c r="A2325" s="1" t="s">
        <v>2448</v>
      </c>
      <c r="B2325" s="76">
        <v>24.106507999999899</v>
      </c>
      <c r="C2325" s="76">
        <v>24.611319000000002</v>
      </c>
      <c r="D2325" s="76">
        <v>22.723766000000001</v>
      </c>
      <c r="E2325" s="76">
        <v>22.833507999999998</v>
      </c>
      <c r="F2325" s="76">
        <v>16.796249</v>
      </c>
      <c r="G2325" s="79">
        <v>7365300</v>
      </c>
    </row>
    <row r="2326" spans="1:7" x14ac:dyDescent="0.25">
      <c r="A2326" s="1" t="s">
        <v>2449</v>
      </c>
      <c r="B2326" s="76">
        <v>23.118835000000001</v>
      </c>
      <c r="C2326" s="76">
        <v>24.706426999999898</v>
      </c>
      <c r="D2326" s="76">
        <v>22.943251</v>
      </c>
      <c r="E2326" s="76">
        <v>24.318673999999898</v>
      </c>
      <c r="F2326" s="76">
        <v>17.888739000000001</v>
      </c>
      <c r="G2326" s="79">
        <v>11341400</v>
      </c>
    </row>
    <row r="2327" spans="1:7" x14ac:dyDescent="0.25">
      <c r="A2327" s="1" t="s">
        <v>2450</v>
      </c>
      <c r="B2327" s="76">
        <v>23.652909999999999</v>
      </c>
      <c r="C2327" s="76">
        <v>25.050283</v>
      </c>
      <c r="D2327" s="76">
        <v>23.411479999999901</v>
      </c>
      <c r="E2327" s="76">
        <v>24.647898000000001</v>
      </c>
      <c r="F2327" s="76">
        <v>18.130917</v>
      </c>
      <c r="G2327" s="79">
        <v>7548400</v>
      </c>
    </row>
    <row r="2328" spans="1:7" x14ac:dyDescent="0.25">
      <c r="A2328" s="1" t="s">
        <v>2451</v>
      </c>
      <c r="B2328" s="76">
        <v>25.467300000000002</v>
      </c>
      <c r="C2328" s="76">
        <v>26.886621000000002</v>
      </c>
      <c r="D2328" s="76">
        <v>25.028335999999999</v>
      </c>
      <c r="E2328" s="76">
        <v>26.272069999999999</v>
      </c>
      <c r="F2328" s="76">
        <v>19.325652999999999</v>
      </c>
      <c r="G2328" s="79">
        <v>10945000</v>
      </c>
    </row>
    <row r="2329" spans="1:7" x14ac:dyDescent="0.25">
      <c r="A2329" s="1" t="s">
        <v>2452</v>
      </c>
      <c r="B2329" s="76">
        <v>25.803840999999998</v>
      </c>
      <c r="C2329" s="76">
        <v>29.783790999999901</v>
      </c>
      <c r="D2329" s="76">
        <v>25.752625999999999</v>
      </c>
      <c r="E2329" s="76">
        <v>29.747211</v>
      </c>
      <c r="F2329" s="76">
        <v>21.881951999999998</v>
      </c>
      <c r="G2329" s="79">
        <v>14275500</v>
      </c>
    </row>
    <row r="2330" spans="1:7" x14ac:dyDescent="0.25">
      <c r="A2330" s="1" t="s">
        <v>2453</v>
      </c>
      <c r="B2330" s="76">
        <v>28.759539</v>
      </c>
      <c r="C2330" s="76">
        <v>29.659417999999999</v>
      </c>
      <c r="D2330" s="76">
        <v>27.559699999999999</v>
      </c>
      <c r="E2330" s="76">
        <v>29.015602000000001</v>
      </c>
      <c r="F2330" s="76">
        <v>21.343783999999999</v>
      </c>
      <c r="G2330" s="79">
        <v>10500300</v>
      </c>
    </row>
    <row r="2331" spans="1:7" x14ac:dyDescent="0.25">
      <c r="A2331" s="1" t="s">
        <v>2454</v>
      </c>
      <c r="B2331" s="76">
        <v>27.925504999999902</v>
      </c>
      <c r="C2331" s="76">
        <v>28.115722999999999</v>
      </c>
      <c r="D2331" s="76">
        <v>25.628253999999998</v>
      </c>
      <c r="E2331" s="76">
        <v>25.686782999999998</v>
      </c>
      <c r="F2331" s="76">
        <v>18.895115000000001</v>
      </c>
      <c r="G2331" s="79">
        <v>9394300</v>
      </c>
    </row>
    <row r="2332" spans="1:7" x14ac:dyDescent="0.25">
      <c r="A2332" s="1" t="s">
        <v>2455</v>
      </c>
      <c r="B2332" s="76">
        <v>26.111115999999999</v>
      </c>
      <c r="C2332" s="76">
        <v>26.652505999999999</v>
      </c>
      <c r="D2332" s="76">
        <v>25.335608999999899</v>
      </c>
      <c r="E2332" s="76">
        <v>26.096482999999999</v>
      </c>
      <c r="F2332" s="76">
        <v>19.196493</v>
      </c>
      <c r="G2332" s="79">
        <v>7915800</v>
      </c>
    </row>
    <row r="2333" spans="1:7" x14ac:dyDescent="0.25">
      <c r="A2333" s="1" t="s">
        <v>2456</v>
      </c>
      <c r="B2333" s="76">
        <v>27.230475999999999</v>
      </c>
      <c r="C2333" s="76">
        <v>30.822676000000001</v>
      </c>
      <c r="D2333" s="76">
        <v>26.959782000000001</v>
      </c>
      <c r="E2333" s="76">
        <v>30.5154</v>
      </c>
      <c r="F2333" s="76">
        <v>22.447029000000001</v>
      </c>
      <c r="G2333" s="79">
        <v>12933200</v>
      </c>
    </row>
    <row r="2334" spans="1:7" x14ac:dyDescent="0.25">
      <c r="A2334" s="1" t="s">
        <v>2457</v>
      </c>
      <c r="B2334" s="76">
        <v>29.498464999999999</v>
      </c>
      <c r="C2334" s="76">
        <v>31.561599999999999</v>
      </c>
      <c r="D2334" s="76">
        <v>28.913177000000001</v>
      </c>
      <c r="E2334" s="76">
        <v>30.764146999999902</v>
      </c>
      <c r="F2334" s="76">
        <v>22.630011</v>
      </c>
      <c r="G2334" s="79">
        <v>9101100</v>
      </c>
    </row>
    <row r="2335" spans="1:7" x14ac:dyDescent="0.25">
      <c r="A2335" s="1" t="s">
        <v>2458</v>
      </c>
      <c r="B2335" s="76">
        <v>29.937428999999899</v>
      </c>
      <c r="C2335" s="76">
        <v>30.420292</v>
      </c>
      <c r="D2335" s="76">
        <v>27.252426</v>
      </c>
      <c r="E2335" s="76">
        <v>27.479222999999902</v>
      </c>
      <c r="F2335" s="76">
        <v>20.213629000000001</v>
      </c>
      <c r="G2335" s="79">
        <v>11571100</v>
      </c>
    </row>
    <row r="2336" spans="1:7" x14ac:dyDescent="0.25">
      <c r="A2336" s="1" t="s">
        <v>2459</v>
      </c>
      <c r="B2336" s="76">
        <v>26.915885999999901</v>
      </c>
      <c r="C2336" s="76">
        <v>30.303234</v>
      </c>
      <c r="D2336" s="76">
        <v>26.776879999999998</v>
      </c>
      <c r="E2336" s="76">
        <v>30.186176</v>
      </c>
      <c r="F2336" s="76">
        <v>22.204853</v>
      </c>
      <c r="G2336" s="79">
        <v>11223300</v>
      </c>
    </row>
    <row r="2337" spans="1:7" x14ac:dyDescent="0.25">
      <c r="A2337" s="1" t="s">
        <v>2460</v>
      </c>
      <c r="B2337" s="76">
        <v>29.710629999999998</v>
      </c>
      <c r="C2337" s="76">
        <v>32.651699000000001</v>
      </c>
      <c r="D2337" s="76">
        <v>28.5985849999999</v>
      </c>
      <c r="E2337" s="76">
        <v>31.327485999999901</v>
      </c>
      <c r="F2337" s="76">
        <v>23.044397</v>
      </c>
      <c r="G2337" s="79">
        <v>9963800</v>
      </c>
    </row>
    <row r="2338" spans="1:7" x14ac:dyDescent="0.25">
      <c r="A2338" s="1" t="s">
        <v>2461</v>
      </c>
      <c r="B2338" s="76">
        <v>31.268957</v>
      </c>
      <c r="C2338" s="76">
        <v>34.451453999999998</v>
      </c>
      <c r="D2338" s="76">
        <v>30.793410999999999</v>
      </c>
      <c r="E2338" s="76">
        <v>33.661315999999999</v>
      </c>
      <c r="F2338" s="76">
        <v>24.761158000000002</v>
      </c>
      <c r="G2338" s="79">
        <v>13847300</v>
      </c>
    </row>
    <row r="2339" spans="1:7" x14ac:dyDescent="0.25">
      <c r="A2339" s="1" t="s">
        <v>2462</v>
      </c>
      <c r="B2339" s="76">
        <v>32.819969</v>
      </c>
      <c r="C2339" s="76">
        <v>32.900444</v>
      </c>
      <c r="D2339" s="76">
        <v>29.359459000000001</v>
      </c>
      <c r="E2339" s="76">
        <v>29.483830999999999</v>
      </c>
      <c r="F2339" s="76">
        <v>21.688210999999999</v>
      </c>
      <c r="G2339" s="79">
        <v>11854900</v>
      </c>
    </row>
    <row r="2340" spans="1:7" x14ac:dyDescent="0.25">
      <c r="A2340" s="1" t="s">
        <v>2463</v>
      </c>
      <c r="B2340" s="76">
        <v>28.832701</v>
      </c>
      <c r="C2340" s="76">
        <v>34.385609000000002</v>
      </c>
      <c r="D2340" s="76">
        <v>28.6497969999999</v>
      </c>
      <c r="E2340" s="76">
        <v>34.385609000000002</v>
      </c>
      <c r="F2340" s="76">
        <v>25.293945000000001</v>
      </c>
      <c r="G2340" s="79">
        <v>13928900</v>
      </c>
    </row>
    <row r="2341" spans="1:7" x14ac:dyDescent="0.25">
      <c r="A2341" s="1" t="s">
        <v>2464</v>
      </c>
      <c r="B2341" s="76">
        <v>32.146889000000002</v>
      </c>
      <c r="C2341" s="76">
        <v>34.546565999999999</v>
      </c>
      <c r="D2341" s="76">
        <v>31.795715000000001</v>
      </c>
      <c r="E2341" s="76">
        <v>33.119926</v>
      </c>
      <c r="F2341" s="76">
        <v>24.362907</v>
      </c>
      <c r="G2341" s="79">
        <v>33638200</v>
      </c>
    </row>
    <row r="2342" spans="1:7" x14ac:dyDescent="0.25">
      <c r="A2342" s="1" t="s">
        <v>2465</v>
      </c>
      <c r="B2342" s="76">
        <v>33.807639999999999</v>
      </c>
      <c r="C2342" s="76">
        <v>34.385609000000002</v>
      </c>
      <c r="D2342" s="76">
        <v>32.556587</v>
      </c>
      <c r="E2342" s="76">
        <v>34.136864000000003</v>
      </c>
      <c r="F2342" s="76">
        <v>25.110966000000001</v>
      </c>
      <c r="G2342" s="79">
        <v>9873500</v>
      </c>
    </row>
    <row r="2343" spans="1:7" x14ac:dyDescent="0.25">
      <c r="A2343" s="1" t="s">
        <v>2466</v>
      </c>
      <c r="B2343" s="76">
        <v>34.385609000000002</v>
      </c>
      <c r="C2343" s="76">
        <v>36.551169999999999</v>
      </c>
      <c r="D2343" s="76">
        <v>33.266250999999997</v>
      </c>
      <c r="E2343" s="76">
        <v>35.695189999999997</v>
      </c>
      <c r="F2343" s="76">
        <v>26.257262999999998</v>
      </c>
      <c r="G2343" s="79">
        <v>13314900</v>
      </c>
    </row>
    <row r="2344" spans="1:7" x14ac:dyDescent="0.25">
      <c r="A2344" s="1" t="s">
        <v>2467</v>
      </c>
      <c r="B2344" s="76">
        <v>34.517299999999999</v>
      </c>
      <c r="C2344" s="76">
        <v>35.095271999999902</v>
      </c>
      <c r="D2344" s="76">
        <v>32.410266999999997</v>
      </c>
      <c r="E2344" s="76">
        <v>33.514995999999996</v>
      </c>
      <c r="F2344" s="76">
        <v>24.653523999999901</v>
      </c>
      <c r="G2344" s="79">
        <v>10974800</v>
      </c>
    </row>
    <row r="2345" spans="1:7" x14ac:dyDescent="0.25">
      <c r="A2345" s="1" t="s">
        <v>2468</v>
      </c>
      <c r="B2345" s="76">
        <v>32.717540999999997</v>
      </c>
      <c r="C2345" s="76">
        <v>34.978214000000001</v>
      </c>
      <c r="D2345" s="76">
        <v>32.629748999999997</v>
      </c>
      <c r="E2345" s="76">
        <v>34.188076000000002</v>
      </c>
      <c r="F2345" s="76">
        <v>25.148641999999999</v>
      </c>
      <c r="G2345" s="79">
        <v>7677800</v>
      </c>
    </row>
    <row r="2346" spans="1:7" x14ac:dyDescent="0.25">
      <c r="A2346" s="1" t="s">
        <v>2469</v>
      </c>
      <c r="B2346" s="76">
        <v>34.319766999999999</v>
      </c>
      <c r="C2346" s="76">
        <v>36.126838999999997</v>
      </c>
      <c r="D2346" s="76">
        <v>33.814957</v>
      </c>
      <c r="E2346" s="76">
        <v>35.592765999999997</v>
      </c>
      <c r="F2346" s="76">
        <v>26.181926999999899</v>
      </c>
      <c r="G2346" s="79">
        <v>9531200</v>
      </c>
    </row>
    <row r="2347" spans="1:7" x14ac:dyDescent="0.25">
      <c r="A2347" s="1" t="s">
        <v>2470</v>
      </c>
      <c r="B2347" s="76">
        <v>36.317059</v>
      </c>
      <c r="C2347" s="76">
        <v>37.055981000000003</v>
      </c>
      <c r="D2347" s="76">
        <v>35.080638999999998</v>
      </c>
      <c r="E2347" s="76">
        <v>35.768352999999998</v>
      </c>
      <c r="F2347" s="76">
        <v>26.311087000000001</v>
      </c>
      <c r="G2347" s="79">
        <v>10592300</v>
      </c>
    </row>
    <row r="2348" spans="1:7" x14ac:dyDescent="0.25">
      <c r="A2348" s="1" t="s">
        <v>2471</v>
      </c>
      <c r="B2348" s="76">
        <v>35.468390999999997</v>
      </c>
      <c r="C2348" s="76">
        <v>35.768352999999998</v>
      </c>
      <c r="D2348" s="76">
        <v>34.275866999999998</v>
      </c>
      <c r="E2348" s="76">
        <v>34.773361000000001</v>
      </c>
      <c r="F2348" s="76">
        <v>25.579179999999901</v>
      </c>
      <c r="G2348" s="79">
        <v>8994700</v>
      </c>
    </row>
    <row r="2349" spans="1:7" x14ac:dyDescent="0.25">
      <c r="A2349" s="1" t="s">
        <v>2472</v>
      </c>
      <c r="B2349" s="76">
        <v>35.717135999999897</v>
      </c>
      <c r="C2349" s="76">
        <v>38.409458000000001</v>
      </c>
      <c r="D2349" s="76">
        <v>35.329383999999997</v>
      </c>
      <c r="E2349" s="76">
        <v>38.380195999999998</v>
      </c>
      <c r="F2349" s="76">
        <v>28.232346</v>
      </c>
      <c r="G2349" s="79">
        <v>9673600</v>
      </c>
    </row>
    <row r="2350" spans="1:7" x14ac:dyDescent="0.25">
      <c r="A2350" s="1" t="s">
        <v>2473</v>
      </c>
      <c r="B2350" s="76">
        <v>38.189976000000001</v>
      </c>
      <c r="C2350" s="76">
        <v>38.431407999999998</v>
      </c>
      <c r="D2350" s="76">
        <v>36.609698999999999</v>
      </c>
      <c r="E2350" s="76">
        <v>36.968189000000002</v>
      </c>
      <c r="F2350" s="76">
        <v>27.193681999999999</v>
      </c>
      <c r="G2350" s="79">
        <v>7537000</v>
      </c>
    </row>
    <row r="2351" spans="1:7" x14ac:dyDescent="0.25">
      <c r="A2351" s="1" t="s">
        <v>2474</v>
      </c>
      <c r="B2351" s="76">
        <v>37.619320000000002</v>
      </c>
      <c r="C2351" s="76">
        <v>39.506869999999999</v>
      </c>
      <c r="D2351" s="76">
        <v>37.370575000000002</v>
      </c>
      <c r="E2351" s="76">
        <v>39.404446</v>
      </c>
      <c r="F2351" s="76">
        <v>28.985785999999901</v>
      </c>
      <c r="G2351" s="79">
        <v>8618400</v>
      </c>
    </row>
    <row r="2352" spans="1:7" x14ac:dyDescent="0.25">
      <c r="A2352" s="1" t="s">
        <v>2475</v>
      </c>
      <c r="B2352" s="76">
        <v>39.506869999999999</v>
      </c>
      <c r="C2352" s="76">
        <v>39.506869999999999</v>
      </c>
      <c r="D2352" s="76">
        <v>34.180759000000002</v>
      </c>
      <c r="E2352" s="76">
        <v>35.080638999999998</v>
      </c>
      <c r="F2352" s="76">
        <v>26.300353999999999</v>
      </c>
      <c r="G2352" s="79">
        <v>10843400</v>
      </c>
    </row>
    <row r="2353" spans="1:7" x14ac:dyDescent="0.25">
      <c r="A2353" s="1" t="s">
        <v>2476</v>
      </c>
      <c r="B2353" s="76">
        <v>36.346321000000003</v>
      </c>
      <c r="C2353" s="76">
        <v>38.007071999999901</v>
      </c>
      <c r="D2353" s="76">
        <v>35.153801000000001</v>
      </c>
      <c r="E2353" s="76">
        <v>37.919280999999998</v>
      </c>
      <c r="F2353" s="76">
        <v>28.428512999999999</v>
      </c>
      <c r="G2353" s="79">
        <v>9411200</v>
      </c>
    </row>
    <row r="2354" spans="1:7" x14ac:dyDescent="0.25">
      <c r="A2354" s="1" t="s">
        <v>2477</v>
      </c>
      <c r="B2354" s="76">
        <v>36.887710999999904</v>
      </c>
      <c r="C2354" s="76">
        <v>37.290095999999998</v>
      </c>
      <c r="D2354" s="76">
        <v>35.987834999999997</v>
      </c>
      <c r="E2354" s="76">
        <v>36.119521999999897</v>
      </c>
      <c r="F2354" s="76">
        <v>27.079214</v>
      </c>
      <c r="G2354" s="79">
        <v>6801600</v>
      </c>
    </row>
    <row r="2355" spans="1:7" x14ac:dyDescent="0.25">
      <c r="A2355" s="1" t="s">
        <v>2478</v>
      </c>
      <c r="B2355" s="76">
        <v>36.536541</v>
      </c>
      <c r="C2355" s="76">
        <v>37.034034999999903</v>
      </c>
      <c r="D2355" s="76">
        <v>33.514995999999996</v>
      </c>
      <c r="E2355" s="76">
        <v>34.736781999999998</v>
      </c>
      <c r="F2355" s="76">
        <v>26.042555</v>
      </c>
      <c r="G2355" s="79">
        <v>8172700</v>
      </c>
    </row>
    <row r="2356" spans="1:7" x14ac:dyDescent="0.25">
      <c r="A2356" s="1" t="s">
        <v>2479</v>
      </c>
      <c r="B2356" s="76">
        <v>33.997855999999999</v>
      </c>
      <c r="C2356" s="76">
        <v>33.997855999999999</v>
      </c>
      <c r="D2356" s="76">
        <v>31.795715000000001</v>
      </c>
      <c r="E2356" s="76">
        <v>32.190784000000001</v>
      </c>
      <c r="F2356" s="76">
        <v>24.133793000000001</v>
      </c>
      <c r="G2356" s="79">
        <v>9899600</v>
      </c>
    </row>
    <row r="2357" spans="1:7" x14ac:dyDescent="0.25">
      <c r="A2357" s="1" t="s">
        <v>2480</v>
      </c>
      <c r="B2357" s="76">
        <v>32.132255999999998</v>
      </c>
      <c r="C2357" s="76">
        <v>33.727160999999903</v>
      </c>
      <c r="D2357" s="76">
        <v>30.947050000000001</v>
      </c>
      <c r="E2357" s="76">
        <v>33.288196999999997</v>
      </c>
      <c r="F2357" s="76">
        <v>24.956538999999999</v>
      </c>
      <c r="G2357" s="79">
        <v>7950300</v>
      </c>
    </row>
    <row r="2358" spans="1:7" x14ac:dyDescent="0.25">
      <c r="A2358" s="1" t="s">
        <v>2481</v>
      </c>
      <c r="B2358" s="76">
        <v>33.149192999999997</v>
      </c>
      <c r="C2358" s="76">
        <v>33.449150000000003</v>
      </c>
      <c r="D2358" s="76">
        <v>31.737185999999902</v>
      </c>
      <c r="E2358" s="76">
        <v>32.439529</v>
      </c>
      <c r="F2358" s="76">
        <v>24.320281999999999</v>
      </c>
      <c r="G2358" s="79">
        <v>9182600</v>
      </c>
    </row>
    <row r="2359" spans="1:7" x14ac:dyDescent="0.25">
      <c r="A2359" s="1" t="s">
        <v>2482</v>
      </c>
      <c r="B2359" s="76">
        <v>32.915076999999997</v>
      </c>
      <c r="C2359" s="76">
        <v>35.731769999999997</v>
      </c>
      <c r="D2359" s="76">
        <v>32.666328</v>
      </c>
      <c r="E2359" s="76">
        <v>35.519604000000001</v>
      </c>
      <c r="F2359" s="76">
        <v>26.629447999999901</v>
      </c>
      <c r="G2359" s="79">
        <v>8331600</v>
      </c>
    </row>
    <row r="2360" spans="1:7" x14ac:dyDescent="0.25">
      <c r="A2360" s="1" t="s">
        <v>2483</v>
      </c>
      <c r="B2360" s="76">
        <v>34.714835999999998</v>
      </c>
      <c r="C2360" s="76">
        <v>35.900039999999997</v>
      </c>
      <c r="D2360" s="76">
        <v>33.873486</v>
      </c>
      <c r="E2360" s="76">
        <v>34.795310999999998</v>
      </c>
      <c r="F2360" s="76">
        <v>26.086431999999999</v>
      </c>
      <c r="G2360" s="79">
        <v>5931900</v>
      </c>
    </row>
    <row r="2361" spans="1:7" x14ac:dyDescent="0.25">
      <c r="A2361" s="1" t="s">
        <v>2484</v>
      </c>
      <c r="B2361" s="76">
        <v>35.600082</v>
      </c>
      <c r="C2361" s="76">
        <v>36.463378999999897</v>
      </c>
      <c r="D2361" s="76">
        <v>33.822272999999903</v>
      </c>
      <c r="E2361" s="76">
        <v>33.990543000000002</v>
      </c>
      <c r="F2361" s="76">
        <v>25.483091000000002</v>
      </c>
      <c r="G2361" s="79">
        <v>6955400</v>
      </c>
    </row>
    <row r="2362" spans="1:7" x14ac:dyDescent="0.25">
      <c r="A2362" s="1" t="s">
        <v>2485</v>
      </c>
      <c r="B2362" s="76">
        <v>33.288196999999997</v>
      </c>
      <c r="C2362" s="76">
        <v>34.641674000000002</v>
      </c>
      <c r="D2362" s="76">
        <v>32.944339999999997</v>
      </c>
      <c r="E2362" s="76">
        <v>33.932014000000002</v>
      </c>
      <c r="F2362" s="76">
        <v>25.439215000000001</v>
      </c>
      <c r="G2362" s="79">
        <v>4926500</v>
      </c>
    </row>
    <row r="2363" spans="1:7" x14ac:dyDescent="0.25">
      <c r="A2363" s="1" t="s">
        <v>2486</v>
      </c>
      <c r="B2363" s="76">
        <v>33.939326999999999</v>
      </c>
      <c r="C2363" s="76">
        <v>34.356346000000002</v>
      </c>
      <c r="D2363" s="76">
        <v>32.841915</v>
      </c>
      <c r="E2363" s="76">
        <v>32.885810999999997</v>
      </c>
      <c r="F2363" s="76">
        <v>24.654859999999999</v>
      </c>
      <c r="G2363" s="79">
        <v>3760500</v>
      </c>
    </row>
    <row r="2364" spans="1:7" x14ac:dyDescent="0.25">
      <c r="A2364" s="1" t="s">
        <v>2487</v>
      </c>
      <c r="B2364" s="76">
        <v>32.988239</v>
      </c>
      <c r="C2364" s="76">
        <v>35.3367</v>
      </c>
      <c r="D2364" s="76">
        <v>32.490746000000001</v>
      </c>
      <c r="E2364" s="76">
        <v>35.058689000000001</v>
      </c>
      <c r="F2364" s="76">
        <v>26.283895000000001</v>
      </c>
      <c r="G2364" s="79">
        <v>7236600</v>
      </c>
    </row>
    <row r="2365" spans="1:7" x14ac:dyDescent="0.25">
      <c r="A2365" s="1" t="s">
        <v>2488</v>
      </c>
      <c r="B2365" s="76">
        <v>35.205013000000001</v>
      </c>
      <c r="C2365" s="76">
        <v>35.205013000000001</v>
      </c>
      <c r="D2365" s="76">
        <v>32.76144</v>
      </c>
      <c r="E2365" s="76">
        <v>33.010185</v>
      </c>
      <c r="F2365" s="76">
        <v>24.748107999999998</v>
      </c>
      <c r="G2365" s="79">
        <v>7818300</v>
      </c>
    </row>
    <row r="2366" spans="1:7" x14ac:dyDescent="0.25">
      <c r="A2366" s="1" t="s">
        <v>2489</v>
      </c>
      <c r="B2366" s="76">
        <v>33.573523999999999</v>
      </c>
      <c r="C2366" s="76">
        <v>34.166125999999998</v>
      </c>
      <c r="D2366" s="76">
        <v>32.359054999999998</v>
      </c>
      <c r="E2366" s="76">
        <v>34.056384999999999</v>
      </c>
      <c r="F2366" s="76">
        <v>25.532454999999999</v>
      </c>
      <c r="G2366" s="79">
        <v>5366600</v>
      </c>
    </row>
    <row r="2367" spans="1:7" x14ac:dyDescent="0.25">
      <c r="A2367" s="1" t="s">
        <v>2490</v>
      </c>
      <c r="B2367" s="76">
        <v>34.210025999999999</v>
      </c>
      <c r="C2367" s="76">
        <v>34.210025999999999</v>
      </c>
      <c r="D2367" s="76">
        <v>33.032134999999997</v>
      </c>
      <c r="E2367" s="76">
        <v>34.136864000000003</v>
      </c>
      <c r="F2367" s="76">
        <v>25.592789</v>
      </c>
      <c r="G2367" s="79">
        <v>7697100</v>
      </c>
    </row>
    <row r="2368" spans="1:7" x14ac:dyDescent="0.25">
      <c r="A2368" s="1" t="s">
        <v>2491</v>
      </c>
      <c r="B2368" s="76">
        <v>34.861156000000001</v>
      </c>
      <c r="C2368" s="76">
        <v>36.938927</v>
      </c>
      <c r="D2368" s="76">
        <v>34.253921999999903</v>
      </c>
      <c r="E2368" s="76">
        <v>35.885406000000003</v>
      </c>
      <c r="F2368" s="76">
        <v>26.903691999999999</v>
      </c>
      <c r="G2368" s="79">
        <v>7367400</v>
      </c>
    </row>
    <row r="2369" spans="1:7" x14ac:dyDescent="0.25">
      <c r="A2369" s="1" t="s">
        <v>2492</v>
      </c>
      <c r="B2369" s="76">
        <v>35.578133000000001</v>
      </c>
      <c r="C2369" s="76">
        <v>36.163418</v>
      </c>
      <c r="D2369" s="76">
        <v>35.066006000000002</v>
      </c>
      <c r="E2369" s="76">
        <v>35.314754000000001</v>
      </c>
      <c r="F2369" s="76">
        <v>26.475871999999999</v>
      </c>
      <c r="G2369" s="79">
        <v>5525200</v>
      </c>
    </row>
    <row r="2370" spans="1:7" x14ac:dyDescent="0.25">
      <c r="A2370" s="1" t="s">
        <v>2493</v>
      </c>
      <c r="B2370" s="76">
        <v>34.992846999999998</v>
      </c>
      <c r="C2370" s="76">
        <v>35.695189999999997</v>
      </c>
      <c r="D2370" s="76">
        <v>34.451453999999998</v>
      </c>
      <c r="E2370" s="76">
        <v>35.109901000000001</v>
      </c>
      <c r="F2370" s="76">
        <v>26.322289999999999</v>
      </c>
      <c r="G2370" s="79">
        <v>4869000</v>
      </c>
    </row>
    <row r="2371" spans="1:7" x14ac:dyDescent="0.25">
      <c r="A2371" s="1" t="s">
        <v>2494</v>
      </c>
      <c r="B2371" s="76">
        <v>35.775664999999996</v>
      </c>
      <c r="C2371" s="76">
        <v>37.275463000000002</v>
      </c>
      <c r="D2371" s="76">
        <v>34.180759000000002</v>
      </c>
      <c r="E2371" s="76">
        <v>36.734074</v>
      </c>
      <c r="F2371" s="76">
        <v>27.539950999999999</v>
      </c>
      <c r="G2371" s="79">
        <v>7153000</v>
      </c>
    </row>
    <row r="2372" spans="1:7" x14ac:dyDescent="0.25">
      <c r="A2372" s="1" t="s">
        <v>2495</v>
      </c>
      <c r="B2372" s="76">
        <v>37.231566999999998</v>
      </c>
      <c r="C2372" s="76">
        <v>37.487633000000002</v>
      </c>
      <c r="D2372" s="76">
        <v>35.307437999999998</v>
      </c>
      <c r="E2372" s="76">
        <v>35.651294999999998</v>
      </c>
      <c r="F2372" s="76">
        <v>26.728166999999999</v>
      </c>
      <c r="G2372" s="79">
        <v>5461600</v>
      </c>
    </row>
    <row r="2373" spans="1:7" x14ac:dyDescent="0.25">
      <c r="A2373" s="1" t="s">
        <v>2496</v>
      </c>
      <c r="B2373" s="76">
        <v>35.468390999999997</v>
      </c>
      <c r="C2373" s="76">
        <v>36.543858</v>
      </c>
      <c r="D2373" s="76">
        <v>35.300120999999997</v>
      </c>
      <c r="E2373" s="76">
        <v>36.141472</v>
      </c>
      <c r="F2373" s="76">
        <v>27.095670999999999</v>
      </c>
      <c r="G2373" s="79">
        <v>5704900</v>
      </c>
    </row>
    <row r="2374" spans="1:7" x14ac:dyDescent="0.25">
      <c r="A2374" s="1" t="s">
        <v>2497</v>
      </c>
      <c r="B2374" s="76">
        <v>36.573120000000003</v>
      </c>
      <c r="C2374" s="76">
        <v>36.624332000000003</v>
      </c>
      <c r="D2374" s="76">
        <v>35.687874000000001</v>
      </c>
      <c r="E2374" s="76">
        <v>36.353637999999997</v>
      </c>
      <c r="F2374" s="76">
        <v>27.254732000000001</v>
      </c>
      <c r="G2374" s="79">
        <v>3133600</v>
      </c>
    </row>
    <row r="2375" spans="1:7" x14ac:dyDescent="0.25">
      <c r="A2375" s="1" t="s">
        <v>2498</v>
      </c>
      <c r="B2375" s="76">
        <v>36.792603</v>
      </c>
      <c r="C2375" s="76">
        <v>36.807235999999897</v>
      </c>
      <c r="D2375" s="76">
        <v>34.407558000000002</v>
      </c>
      <c r="E2375" s="76">
        <v>35.365966999999998</v>
      </c>
      <c r="F2375" s="76">
        <v>26.514263</v>
      </c>
      <c r="G2375" s="79">
        <v>4997600</v>
      </c>
    </row>
    <row r="2376" spans="1:7" x14ac:dyDescent="0.25">
      <c r="A2376" s="1" t="s">
        <v>2499</v>
      </c>
      <c r="B2376" s="76">
        <v>35.131850999999997</v>
      </c>
      <c r="C2376" s="76">
        <v>35.483024999999998</v>
      </c>
      <c r="D2376" s="76">
        <v>33.946643999999999</v>
      </c>
      <c r="E2376" s="76">
        <v>34.092967999999999</v>
      </c>
      <c r="F2376" s="76">
        <v>25.559875000000002</v>
      </c>
      <c r="G2376" s="79">
        <v>4988900</v>
      </c>
    </row>
    <row r="2377" spans="1:7" x14ac:dyDescent="0.25">
      <c r="A2377" s="1" t="s">
        <v>2500</v>
      </c>
      <c r="B2377" s="76">
        <v>34.107596999999998</v>
      </c>
      <c r="C2377" s="76">
        <v>35.534236999999997</v>
      </c>
      <c r="D2377" s="76">
        <v>33.946643999999999</v>
      </c>
      <c r="E2377" s="76">
        <v>35.512287000000001</v>
      </c>
      <c r="F2377" s="76">
        <v>26.623964000000001</v>
      </c>
      <c r="G2377" s="79">
        <v>3680400</v>
      </c>
    </row>
    <row r="2378" spans="1:7" x14ac:dyDescent="0.25">
      <c r="A2378" s="1" t="s">
        <v>2501</v>
      </c>
      <c r="B2378" s="76">
        <v>34.575828999999999</v>
      </c>
      <c r="C2378" s="76">
        <v>35.117218000000001</v>
      </c>
      <c r="D2378" s="76">
        <v>33.544261999999897</v>
      </c>
      <c r="E2378" s="76">
        <v>33.873486</v>
      </c>
      <c r="F2378" s="76">
        <v>25.395329999999898</v>
      </c>
      <c r="G2378" s="79">
        <v>4845200</v>
      </c>
    </row>
    <row r="2379" spans="1:7" x14ac:dyDescent="0.25">
      <c r="A2379" s="1" t="s">
        <v>2502</v>
      </c>
      <c r="B2379" s="76">
        <v>34.546565999999999</v>
      </c>
      <c r="C2379" s="76">
        <v>34.546565999999999</v>
      </c>
      <c r="D2379" s="76">
        <v>32.432217000000001</v>
      </c>
      <c r="E2379" s="76">
        <v>33.054080999999996</v>
      </c>
      <c r="F2379" s="76">
        <v>24.781009999999998</v>
      </c>
      <c r="G2379" s="79">
        <v>4221300</v>
      </c>
    </row>
    <row r="2380" spans="1:7" x14ac:dyDescent="0.25">
      <c r="A2380" s="1" t="s">
        <v>2503</v>
      </c>
      <c r="B2380" s="76">
        <v>33.039451999999997</v>
      </c>
      <c r="C2380" s="76">
        <v>33.354042</v>
      </c>
      <c r="D2380" s="76">
        <v>31.612814</v>
      </c>
      <c r="E2380" s="76">
        <v>32.161518000000001</v>
      </c>
      <c r="F2380" s="76">
        <v>24.111857999999899</v>
      </c>
      <c r="G2380" s="79">
        <v>5541400</v>
      </c>
    </row>
    <row r="2381" spans="1:7" x14ac:dyDescent="0.25">
      <c r="A2381" s="1" t="s">
        <v>2504</v>
      </c>
      <c r="B2381" s="76">
        <v>32.395634000000001</v>
      </c>
      <c r="C2381" s="76">
        <v>32.944339999999997</v>
      </c>
      <c r="D2381" s="76">
        <v>32.051777000000001</v>
      </c>
      <c r="E2381" s="76">
        <v>32.841915</v>
      </c>
      <c r="F2381" s="76">
        <v>24.621953999999999</v>
      </c>
      <c r="G2381" s="79">
        <v>4123200</v>
      </c>
    </row>
    <row r="2382" spans="1:7" x14ac:dyDescent="0.25">
      <c r="A2382" s="1" t="s">
        <v>2505</v>
      </c>
      <c r="B2382" s="76">
        <v>33.258934000000004</v>
      </c>
      <c r="C2382" s="76">
        <v>33.595473999999903</v>
      </c>
      <c r="D2382" s="76">
        <v>32.337105000000001</v>
      </c>
      <c r="E2382" s="76">
        <v>32.995552000000004</v>
      </c>
      <c r="F2382" s="76">
        <v>24.737138999999999</v>
      </c>
      <c r="G2382" s="79">
        <v>4976100</v>
      </c>
    </row>
    <row r="2383" spans="1:7" x14ac:dyDescent="0.25">
      <c r="A2383" s="1" t="s">
        <v>2506</v>
      </c>
      <c r="B2383" s="76">
        <v>32.732174000000001</v>
      </c>
      <c r="C2383" s="76">
        <v>32.805335999999997</v>
      </c>
      <c r="D2383" s="76">
        <v>30.610509999999898</v>
      </c>
      <c r="E2383" s="76">
        <v>30.786095</v>
      </c>
      <c r="F2383" s="76">
        <v>23.080684999999999</v>
      </c>
      <c r="G2383" s="79">
        <v>6212600</v>
      </c>
    </row>
    <row r="2384" spans="1:7" x14ac:dyDescent="0.25">
      <c r="A2384" s="1" t="s">
        <v>2507</v>
      </c>
      <c r="B2384" s="76">
        <v>31.268957</v>
      </c>
      <c r="C2384" s="76">
        <v>31.678657999999999</v>
      </c>
      <c r="D2384" s="76">
        <v>30.566611999999999</v>
      </c>
      <c r="E2384" s="76">
        <v>31.232375999999999</v>
      </c>
      <c r="F2384" s="76">
        <v>23.415265999999999</v>
      </c>
      <c r="G2384" s="79">
        <v>5421800</v>
      </c>
    </row>
    <row r="2385" spans="1:7" x14ac:dyDescent="0.25">
      <c r="A2385" s="1" t="s">
        <v>2508</v>
      </c>
      <c r="B2385" s="76">
        <v>31.532336999999998</v>
      </c>
      <c r="C2385" s="76">
        <v>32.132255999999998</v>
      </c>
      <c r="D2385" s="76">
        <v>31.2982219999999</v>
      </c>
      <c r="E2385" s="76">
        <v>31.7079219999999</v>
      </c>
      <c r="F2385" s="76">
        <v>23.771788000000001</v>
      </c>
      <c r="G2385" s="79">
        <v>3513200</v>
      </c>
    </row>
    <row r="2386" spans="1:7" x14ac:dyDescent="0.25">
      <c r="A2386" s="1" t="s">
        <v>2509</v>
      </c>
      <c r="B2386" s="76">
        <v>31.451858999999999</v>
      </c>
      <c r="C2386" s="76">
        <v>32.410266999999997</v>
      </c>
      <c r="D2386" s="76">
        <v>31.195796999999999</v>
      </c>
      <c r="E2386" s="76">
        <v>32.322474999999997</v>
      </c>
      <c r="F2386" s="76">
        <v>24.232520999999998</v>
      </c>
      <c r="G2386" s="79">
        <v>4329700</v>
      </c>
    </row>
    <row r="2387" spans="1:7" x14ac:dyDescent="0.25">
      <c r="A2387" s="1" t="s">
        <v>2510</v>
      </c>
      <c r="B2387" s="76">
        <v>32.329788000000001</v>
      </c>
      <c r="C2387" s="76">
        <v>32.841915</v>
      </c>
      <c r="D2387" s="76">
        <v>31.817663</v>
      </c>
      <c r="E2387" s="76">
        <v>32.600487000000001</v>
      </c>
      <c r="F2387" s="76">
        <v>24.440951999999999</v>
      </c>
      <c r="G2387" s="79">
        <v>3955200</v>
      </c>
    </row>
    <row r="2388" spans="1:7" x14ac:dyDescent="0.25">
      <c r="A2388" s="1" t="s">
        <v>2511</v>
      </c>
      <c r="B2388" s="76">
        <v>32.768757000000001</v>
      </c>
      <c r="C2388" s="76">
        <v>33.002868999999997</v>
      </c>
      <c r="D2388" s="76">
        <v>32.095675999999997</v>
      </c>
      <c r="E2388" s="76">
        <v>32.520007999999997</v>
      </c>
      <c r="F2388" s="76">
        <v>24.380617000000001</v>
      </c>
      <c r="G2388" s="79">
        <v>3763700</v>
      </c>
    </row>
    <row r="2389" spans="1:7" x14ac:dyDescent="0.25">
      <c r="A2389" s="1" t="s">
        <v>2512</v>
      </c>
      <c r="B2389" s="76">
        <v>32.622433000000001</v>
      </c>
      <c r="C2389" s="76">
        <v>33.244301</v>
      </c>
      <c r="D2389" s="76">
        <v>32.556587</v>
      </c>
      <c r="E2389" s="76">
        <v>32.944339999999997</v>
      </c>
      <c r="F2389" s="76">
        <v>24.698744000000001</v>
      </c>
      <c r="G2389" s="79">
        <v>3401900</v>
      </c>
    </row>
    <row r="2390" spans="1:7" x14ac:dyDescent="0.25">
      <c r="A2390" s="1" t="s">
        <v>2513</v>
      </c>
      <c r="B2390" s="76">
        <v>33.119926</v>
      </c>
      <c r="C2390" s="76">
        <v>33.807639999999999</v>
      </c>
      <c r="D2390" s="76">
        <v>32.995552000000004</v>
      </c>
      <c r="E2390" s="76">
        <v>33.295513</v>
      </c>
      <c r="F2390" s="76">
        <v>24.962021</v>
      </c>
      <c r="G2390" s="79">
        <v>2640500</v>
      </c>
    </row>
    <row r="2391" spans="1:7" x14ac:dyDescent="0.25">
      <c r="A2391" s="1" t="s">
        <v>2514</v>
      </c>
      <c r="B2391" s="76">
        <v>32.600487000000001</v>
      </c>
      <c r="C2391" s="76">
        <v>32.893127</v>
      </c>
      <c r="D2391" s="76">
        <v>30.9251</v>
      </c>
      <c r="E2391" s="76">
        <v>31.078738999999999</v>
      </c>
      <c r="F2391" s="76">
        <v>23.300076000000001</v>
      </c>
      <c r="G2391" s="79">
        <v>5206900</v>
      </c>
    </row>
    <row r="2392" spans="1:7" x14ac:dyDescent="0.25">
      <c r="A2392" s="1" t="s">
        <v>2515</v>
      </c>
      <c r="B2392" s="76">
        <v>30.486134999999901</v>
      </c>
      <c r="C2392" s="76">
        <v>32.044463999999998</v>
      </c>
      <c r="D2392" s="76">
        <v>30.456871</v>
      </c>
      <c r="E2392" s="76">
        <v>32.022514000000001</v>
      </c>
      <c r="F2392" s="76">
        <v>24.007642999999899</v>
      </c>
      <c r="G2392" s="79">
        <v>4573400</v>
      </c>
    </row>
    <row r="2393" spans="1:7" x14ac:dyDescent="0.25">
      <c r="A2393" s="1" t="s">
        <v>2516</v>
      </c>
      <c r="B2393" s="76">
        <v>31.861560999999998</v>
      </c>
      <c r="C2393" s="76">
        <v>31.942038</v>
      </c>
      <c r="D2393" s="76">
        <v>29.908165</v>
      </c>
      <c r="E2393" s="76">
        <v>30.091065999999898</v>
      </c>
      <c r="F2393" s="76">
        <v>22.559611999999898</v>
      </c>
      <c r="G2393" s="79">
        <v>5287400</v>
      </c>
    </row>
    <row r="2394" spans="1:7" x14ac:dyDescent="0.25">
      <c r="A2394" s="1" t="s">
        <v>2517</v>
      </c>
      <c r="B2394" s="76">
        <v>30.595877000000002</v>
      </c>
      <c r="C2394" s="76">
        <v>30.595877000000002</v>
      </c>
      <c r="D2394" s="76">
        <v>29.008285999999998</v>
      </c>
      <c r="E2394" s="76">
        <v>29.966694</v>
      </c>
      <c r="F2394" s="76">
        <v>22.466372</v>
      </c>
      <c r="G2394" s="79">
        <v>5324900</v>
      </c>
    </row>
    <row r="2395" spans="1:7" x14ac:dyDescent="0.25">
      <c r="A2395" s="1" t="s">
        <v>2518</v>
      </c>
      <c r="B2395" s="76">
        <v>30.449553999999999</v>
      </c>
      <c r="C2395" s="76">
        <v>30.500768999999998</v>
      </c>
      <c r="D2395" s="76">
        <v>29.491147999999999</v>
      </c>
      <c r="E2395" s="76">
        <v>29.586258000000001</v>
      </c>
      <c r="F2395" s="76">
        <v>22.181151999999901</v>
      </c>
      <c r="G2395" s="79">
        <v>3087600</v>
      </c>
    </row>
    <row r="2396" spans="1:7" x14ac:dyDescent="0.25">
      <c r="A2396" s="1" t="s">
        <v>2519</v>
      </c>
      <c r="B2396" s="76">
        <v>29.491147999999999</v>
      </c>
      <c r="C2396" s="76">
        <v>30.054486999999899</v>
      </c>
      <c r="D2396" s="76">
        <v>29.103394999999999</v>
      </c>
      <c r="E2396" s="76">
        <v>29.864269</v>
      </c>
      <c r="F2396" s="76">
        <v>22.389582000000001</v>
      </c>
      <c r="G2396" s="79">
        <v>4037700</v>
      </c>
    </row>
    <row r="2397" spans="1:7" x14ac:dyDescent="0.25">
      <c r="A2397" s="1" t="s">
        <v>2520</v>
      </c>
      <c r="B2397" s="76">
        <v>30.186176</v>
      </c>
      <c r="C2397" s="76">
        <v>31.012893999999999</v>
      </c>
      <c r="D2397" s="76">
        <v>29.374089999999999</v>
      </c>
      <c r="E2397" s="76">
        <v>30.903151999999999</v>
      </c>
      <c r="F2397" s="76">
        <v>23.16844</v>
      </c>
      <c r="G2397" s="79">
        <v>5434000</v>
      </c>
    </row>
    <row r="2398" spans="1:7" x14ac:dyDescent="0.25">
      <c r="A2398" s="1" t="s">
        <v>2521</v>
      </c>
      <c r="B2398" s="76">
        <v>31.049475000000001</v>
      </c>
      <c r="C2398" s="76">
        <v>31.290904999999999</v>
      </c>
      <c r="D2398" s="76">
        <v>30.252021999999901</v>
      </c>
      <c r="E2398" s="76">
        <v>31.078738999999999</v>
      </c>
      <c r="F2398" s="76">
        <v>23.300076000000001</v>
      </c>
      <c r="G2398" s="79">
        <v>3634400</v>
      </c>
    </row>
    <row r="2399" spans="1:7" x14ac:dyDescent="0.25">
      <c r="A2399" s="1" t="s">
        <v>2522</v>
      </c>
      <c r="B2399" s="76">
        <v>31.488440000000001</v>
      </c>
      <c r="C2399" s="76">
        <v>33.332091999999903</v>
      </c>
      <c r="D2399" s="76">
        <v>31.488440000000001</v>
      </c>
      <c r="E2399" s="76">
        <v>32.827281999999997</v>
      </c>
      <c r="F2399" s="76">
        <v>24.610980999999999</v>
      </c>
      <c r="G2399" s="79">
        <v>6094000</v>
      </c>
    </row>
    <row r="2400" spans="1:7" x14ac:dyDescent="0.25">
      <c r="A2400" s="1" t="s">
        <v>2523</v>
      </c>
      <c r="B2400" s="76">
        <v>32.527324999999998</v>
      </c>
      <c r="C2400" s="76">
        <v>33.551575</v>
      </c>
      <c r="D2400" s="76">
        <v>32.124938999999998</v>
      </c>
      <c r="E2400" s="76">
        <v>33.236984</v>
      </c>
      <c r="F2400" s="76">
        <v>24.918147999999999</v>
      </c>
      <c r="G2400" s="79">
        <v>3664200</v>
      </c>
    </row>
    <row r="2401" spans="1:7" x14ac:dyDescent="0.25">
      <c r="A2401" s="1" t="s">
        <v>2524</v>
      </c>
      <c r="B2401" s="76">
        <v>32.995552000000004</v>
      </c>
      <c r="C2401" s="76">
        <v>33.13456</v>
      </c>
      <c r="D2401" s="76">
        <v>31.905456999999998</v>
      </c>
      <c r="E2401" s="76">
        <v>32.037147999999902</v>
      </c>
      <c r="F2401" s="76">
        <v>24.018609999999999</v>
      </c>
      <c r="G2401" s="79">
        <v>5288200</v>
      </c>
    </row>
    <row r="2402" spans="1:7" x14ac:dyDescent="0.25">
      <c r="A2402" s="1" t="s">
        <v>2525</v>
      </c>
      <c r="B2402" s="76">
        <v>32.410266999999997</v>
      </c>
      <c r="C2402" s="76">
        <v>34.436824999999999</v>
      </c>
      <c r="D2402" s="76">
        <v>32.402949999999997</v>
      </c>
      <c r="E2402" s="76">
        <v>34.436824999999999</v>
      </c>
      <c r="F2402" s="76">
        <v>25.817682000000001</v>
      </c>
      <c r="G2402" s="79">
        <v>5952900</v>
      </c>
    </row>
    <row r="2403" spans="1:7" x14ac:dyDescent="0.25">
      <c r="A2403" s="1" t="s">
        <v>2526</v>
      </c>
      <c r="B2403" s="76">
        <v>34.839207000000002</v>
      </c>
      <c r="C2403" s="76">
        <v>35.124534999999902</v>
      </c>
      <c r="D2403" s="76">
        <v>33.756428</v>
      </c>
      <c r="E2403" s="76">
        <v>34.722149000000002</v>
      </c>
      <c r="F2403" s="76">
        <v>26.031587999999999</v>
      </c>
      <c r="G2403" s="79">
        <v>4212700</v>
      </c>
    </row>
    <row r="2404" spans="1:7" x14ac:dyDescent="0.25">
      <c r="A2404" s="1" t="s">
        <v>2527</v>
      </c>
      <c r="B2404" s="76">
        <v>34.766047999999998</v>
      </c>
      <c r="C2404" s="76">
        <v>36.009780999999997</v>
      </c>
      <c r="D2404" s="76">
        <v>34.129546999999903</v>
      </c>
      <c r="E2404" s="76">
        <v>35.578133000000001</v>
      </c>
      <c r="F2404" s="76">
        <v>26.673328000000001</v>
      </c>
      <c r="G2404" s="79">
        <v>5240600</v>
      </c>
    </row>
    <row r="2405" spans="1:7" x14ac:dyDescent="0.25">
      <c r="A2405" s="1" t="s">
        <v>2528</v>
      </c>
      <c r="B2405" s="76">
        <v>35.570816000000001</v>
      </c>
      <c r="C2405" s="76">
        <v>37.304728999999902</v>
      </c>
      <c r="D2405" s="76">
        <v>35.219642999999998</v>
      </c>
      <c r="E2405" s="76">
        <v>36.587752999999999</v>
      </c>
      <c r="F2405" s="76">
        <v>27.430247999999999</v>
      </c>
      <c r="G2405" s="79">
        <v>5746400</v>
      </c>
    </row>
    <row r="2406" spans="1:7" x14ac:dyDescent="0.25">
      <c r="A2406" s="1" t="s">
        <v>2529</v>
      </c>
      <c r="B2406" s="76">
        <v>36.492645000000003</v>
      </c>
      <c r="C2406" s="76">
        <v>37.019401999999999</v>
      </c>
      <c r="D2406" s="76">
        <v>35.782981999999997</v>
      </c>
      <c r="E2406" s="76">
        <v>36.968189000000002</v>
      </c>
      <c r="F2406" s="76">
        <v>27.715466999999901</v>
      </c>
      <c r="G2406" s="79">
        <v>3202100</v>
      </c>
    </row>
    <row r="2407" spans="1:7" x14ac:dyDescent="0.25">
      <c r="A2407" s="1" t="s">
        <v>2530</v>
      </c>
      <c r="B2407" s="76">
        <v>37.202304999999903</v>
      </c>
      <c r="C2407" s="76">
        <v>37.312046000000002</v>
      </c>
      <c r="D2407" s="76">
        <v>36.448746</v>
      </c>
      <c r="E2407" s="76">
        <v>37.180354999999999</v>
      </c>
      <c r="F2407" s="76">
        <v>27.874521000000001</v>
      </c>
      <c r="G2407" s="79">
        <v>3188900</v>
      </c>
    </row>
    <row r="2408" spans="1:7" x14ac:dyDescent="0.25">
      <c r="A2408" s="1" t="s">
        <v>2531</v>
      </c>
      <c r="B2408" s="76">
        <v>36.916977000000003</v>
      </c>
      <c r="C2408" s="76">
        <v>37.165721999999903</v>
      </c>
      <c r="D2408" s="76">
        <v>36.646281999999999</v>
      </c>
      <c r="E2408" s="76">
        <v>36.975506000000003</v>
      </c>
      <c r="F2408" s="76">
        <v>27.720953000000002</v>
      </c>
      <c r="G2408" s="79">
        <v>4420400</v>
      </c>
    </row>
    <row r="2409" spans="1:7" x14ac:dyDescent="0.25">
      <c r="A2409" s="1" t="s">
        <v>2532</v>
      </c>
      <c r="B2409" s="76">
        <v>36.375587000000003</v>
      </c>
      <c r="C2409" s="76">
        <v>36.982821999999999</v>
      </c>
      <c r="D2409" s="76">
        <v>35.782981999999997</v>
      </c>
      <c r="E2409" s="76">
        <v>36.346321000000003</v>
      </c>
      <c r="F2409" s="76">
        <v>27.249243</v>
      </c>
      <c r="G2409" s="79">
        <v>3242400</v>
      </c>
    </row>
    <row r="2410" spans="1:7" x14ac:dyDescent="0.25">
      <c r="A2410" s="1" t="s">
        <v>2533</v>
      </c>
      <c r="B2410" s="76">
        <v>36.829182000000003</v>
      </c>
      <c r="C2410" s="76">
        <v>38.204608999999998</v>
      </c>
      <c r="D2410" s="76">
        <v>36.704810999999999</v>
      </c>
      <c r="E2410" s="76">
        <v>37.268149999999999</v>
      </c>
      <c r="F2410" s="76">
        <v>27.940359000000001</v>
      </c>
      <c r="G2410" s="79">
        <v>5038400</v>
      </c>
    </row>
    <row r="2411" spans="1:7" x14ac:dyDescent="0.25">
      <c r="A2411" s="1" t="s">
        <v>2534</v>
      </c>
      <c r="B2411" s="76">
        <v>36.858447999999903</v>
      </c>
      <c r="C2411" s="76">
        <v>37.531528000000002</v>
      </c>
      <c r="D2411" s="76">
        <v>36.156104999999997</v>
      </c>
      <c r="E2411" s="76">
        <v>37.326678999999999</v>
      </c>
      <c r="F2411" s="76">
        <v>27.984231999999999</v>
      </c>
      <c r="G2411" s="79">
        <v>3782700</v>
      </c>
    </row>
    <row r="2412" spans="1:7" x14ac:dyDescent="0.25">
      <c r="A2412" s="1" t="s">
        <v>2535</v>
      </c>
      <c r="B2412" s="76">
        <v>37.685164999999998</v>
      </c>
      <c r="C2412" s="76">
        <v>38.233871000000001</v>
      </c>
      <c r="D2412" s="76">
        <v>37.268149999999999</v>
      </c>
      <c r="E2412" s="76">
        <v>37.911963999999998</v>
      </c>
      <c r="F2412" s="76">
        <v>28.423022999999901</v>
      </c>
      <c r="G2412" s="79">
        <v>3551200</v>
      </c>
    </row>
    <row r="2413" spans="1:7" x14ac:dyDescent="0.25">
      <c r="A2413" s="1" t="s">
        <v>2536</v>
      </c>
      <c r="B2413" s="76">
        <v>37.429103999999903</v>
      </c>
      <c r="C2413" s="76">
        <v>40.018996999999999</v>
      </c>
      <c r="D2413" s="76">
        <v>36.675545</v>
      </c>
      <c r="E2413" s="76">
        <v>39.477607999999996</v>
      </c>
      <c r="F2413" s="76">
        <v>29.596814999999999</v>
      </c>
      <c r="G2413" s="79">
        <v>5841600</v>
      </c>
    </row>
    <row r="2414" spans="1:7" x14ac:dyDescent="0.25">
      <c r="A2414" s="1" t="s">
        <v>2537</v>
      </c>
      <c r="B2414" s="76">
        <v>39.455658</v>
      </c>
      <c r="C2414" s="76">
        <v>41.328578999999998</v>
      </c>
      <c r="D2414" s="76">
        <v>39.141067999999997</v>
      </c>
      <c r="E2414" s="76">
        <v>40.933509999999998</v>
      </c>
      <c r="F2414" s="76">
        <v>30.688313000000001</v>
      </c>
      <c r="G2414" s="79">
        <v>5406400</v>
      </c>
    </row>
    <row r="2415" spans="1:7" x14ac:dyDescent="0.25">
      <c r="A2415" s="1" t="s">
        <v>2538</v>
      </c>
      <c r="B2415" s="76">
        <v>41.035933999999997</v>
      </c>
      <c r="C2415" s="76">
        <v>42.513782999999997</v>
      </c>
      <c r="D2415" s="76">
        <v>40.970089000000002</v>
      </c>
      <c r="E2415" s="76">
        <v>41.028618000000002</v>
      </c>
      <c r="F2415" s="76">
        <v>30.759622999999898</v>
      </c>
      <c r="G2415" s="79">
        <v>5996500</v>
      </c>
    </row>
    <row r="2416" spans="1:7" x14ac:dyDescent="0.25">
      <c r="A2416" s="1" t="s">
        <v>2539</v>
      </c>
      <c r="B2416" s="76">
        <v>41.226151000000002</v>
      </c>
      <c r="C2416" s="76">
        <v>43.698990000000002</v>
      </c>
      <c r="D2416" s="76">
        <v>41.211520999999998</v>
      </c>
      <c r="E2416" s="76">
        <v>43.581932000000002</v>
      </c>
      <c r="F2416" s="76">
        <v>33.061793999999999</v>
      </c>
      <c r="G2416" s="79">
        <v>7575400</v>
      </c>
    </row>
    <row r="2417" spans="1:7" x14ac:dyDescent="0.25">
      <c r="A2417" s="1" t="s">
        <v>2540</v>
      </c>
      <c r="B2417" s="76">
        <v>43.494140999999999</v>
      </c>
      <c r="C2417" s="76">
        <v>44.020896999999998</v>
      </c>
      <c r="D2417" s="76">
        <v>42.696686</v>
      </c>
      <c r="E2417" s="76">
        <v>43.340499999999999</v>
      </c>
      <c r="F2417" s="76">
        <v>32.878634999999903</v>
      </c>
      <c r="G2417" s="79">
        <v>5355800</v>
      </c>
    </row>
    <row r="2418" spans="1:7" x14ac:dyDescent="0.25">
      <c r="A2418" s="1" t="s">
        <v>2541</v>
      </c>
      <c r="B2418" s="76">
        <v>43.186863000000002</v>
      </c>
      <c r="C2418" s="76">
        <v>43.186863000000002</v>
      </c>
      <c r="D2418" s="76">
        <v>41.804122999999997</v>
      </c>
      <c r="E2418" s="76">
        <v>42.308933000000003</v>
      </c>
      <c r="F2418" s="76">
        <v>32.096077000000001</v>
      </c>
      <c r="G2418" s="79">
        <v>4480200</v>
      </c>
    </row>
    <row r="2419" spans="1:7" x14ac:dyDescent="0.25">
      <c r="A2419" s="1" t="s">
        <v>2542</v>
      </c>
      <c r="B2419" s="76">
        <v>42.404040999999999</v>
      </c>
      <c r="C2419" s="76">
        <v>43.603881999999999</v>
      </c>
      <c r="D2419" s="76">
        <v>42.352829</v>
      </c>
      <c r="E2419" s="76">
        <v>42.564995000000003</v>
      </c>
      <c r="F2419" s="76">
        <v>32.290329</v>
      </c>
      <c r="G2419" s="79">
        <v>5308200</v>
      </c>
    </row>
    <row r="2420" spans="1:7" x14ac:dyDescent="0.25">
      <c r="A2420" s="1" t="s">
        <v>2543</v>
      </c>
      <c r="B2420" s="76">
        <v>42.784477000000003</v>
      </c>
      <c r="C2420" s="76">
        <v>43.084437999999999</v>
      </c>
      <c r="D2420" s="76">
        <v>41.672432000000001</v>
      </c>
      <c r="E2420" s="76">
        <v>42.374778999999997</v>
      </c>
      <c r="F2420" s="76">
        <v>32.146037999999997</v>
      </c>
      <c r="G2420" s="79">
        <v>3526900</v>
      </c>
    </row>
    <row r="2421" spans="1:7" x14ac:dyDescent="0.25">
      <c r="A2421" s="1" t="s">
        <v>2544</v>
      </c>
      <c r="B2421" s="76">
        <v>41.943126999999997</v>
      </c>
      <c r="C2421" s="76">
        <v>42.177242</v>
      </c>
      <c r="D2421" s="76">
        <v>40.743290000000002</v>
      </c>
      <c r="E2421" s="76">
        <v>41.877285000000001</v>
      </c>
      <c r="F2421" s="76">
        <v>31.768615999999898</v>
      </c>
      <c r="G2421" s="79">
        <v>3477600</v>
      </c>
    </row>
    <row r="2422" spans="1:7" x14ac:dyDescent="0.25">
      <c r="A2422" s="1" t="s">
        <v>2545</v>
      </c>
      <c r="B2422" s="76">
        <v>40.926192999999998</v>
      </c>
      <c r="C2422" s="76">
        <v>40.926192999999998</v>
      </c>
      <c r="D2422" s="76">
        <v>38.555779000000001</v>
      </c>
      <c r="E2422" s="76">
        <v>38.709418999999997</v>
      </c>
      <c r="F2422" s="76">
        <v>29.365445999999999</v>
      </c>
      <c r="G2422" s="79">
        <v>5130800</v>
      </c>
    </row>
    <row r="2423" spans="1:7" x14ac:dyDescent="0.25">
      <c r="A2423" s="1" t="s">
        <v>2546</v>
      </c>
      <c r="B2423" s="76">
        <v>38.965480999999997</v>
      </c>
      <c r="C2423" s="76">
        <v>40.165317999999999</v>
      </c>
      <c r="D2423" s="76">
        <v>38.724049000000001</v>
      </c>
      <c r="E2423" s="76">
        <v>39.653193999999999</v>
      </c>
      <c r="F2423" s="76">
        <v>30.081409000000001</v>
      </c>
      <c r="G2423" s="79">
        <v>4296200</v>
      </c>
    </row>
    <row r="2424" spans="1:7" x14ac:dyDescent="0.25">
      <c r="A2424" s="1" t="s">
        <v>2547</v>
      </c>
      <c r="B2424" s="76">
        <v>38.811844000000001</v>
      </c>
      <c r="C2424" s="76">
        <v>39.638560999999903</v>
      </c>
      <c r="D2424" s="76">
        <v>38.724049000000001</v>
      </c>
      <c r="E2424" s="76">
        <v>39.462975</v>
      </c>
      <c r="F2424" s="76">
        <v>29.937093999999998</v>
      </c>
      <c r="G2424" s="79">
        <v>2906500</v>
      </c>
    </row>
    <row r="2425" spans="1:7" x14ac:dyDescent="0.25">
      <c r="A2425" s="1" t="s">
        <v>2548</v>
      </c>
      <c r="B2425" s="76">
        <v>39.514187</v>
      </c>
      <c r="C2425" s="76">
        <v>40.823768999999999</v>
      </c>
      <c r="D2425" s="76">
        <v>39.3386</v>
      </c>
      <c r="E2425" s="76">
        <v>40.618915999999999</v>
      </c>
      <c r="F2425" s="76">
        <v>30.814001000000001</v>
      </c>
      <c r="G2425" s="79">
        <v>3741300</v>
      </c>
    </row>
    <row r="2426" spans="1:7" x14ac:dyDescent="0.25">
      <c r="A2426" s="1" t="s">
        <v>2549</v>
      </c>
      <c r="B2426" s="76">
        <v>41.043250999999998</v>
      </c>
      <c r="C2426" s="76">
        <v>42.711319000000003</v>
      </c>
      <c r="D2426" s="76">
        <v>40.823768999999999</v>
      </c>
      <c r="E2426" s="76">
        <v>41.570006999999997</v>
      </c>
      <c r="F2426" s="76">
        <v>31.535519000000001</v>
      </c>
      <c r="G2426" s="79">
        <v>4286800</v>
      </c>
    </row>
    <row r="2427" spans="1:7" x14ac:dyDescent="0.25">
      <c r="A2427" s="1" t="s">
        <v>2550</v>
      </c>
      <c r="B2427" s="76">
        <v>41.730961000000001</v>
      </c>
      <c r="C2427" s="76">
        <v>42.279666999999897</v>
      </c>
      <c r="D2427" s="76">
        <v>40.772556000000002</v>
      </c>
      <c r="E2427" s="76">
        <v>40.962771999999902</v>
      </c>
      <c r="F2427" s="76">
        <v>31.074856</v>
      </c>
      <c r="G2427" s="79">
        <v>3997100</v>
      </c>
    </row>
    <row r="2428" spans="1:7" x14ac:dyDescent="0.25">
      <c r="A2428" s="1" t="s">
        <v>2551</v>
      </c>
      <c r="B2428" s="76">
        <v>41.350524999999998</v>
      </c>
      <c r="C2428" s="76">
        <v>42.301617</v>
      </c>
      <c r="D2428" s="76">
        <v>41.189571000000001</v>
      </c>
      <c r="E2428" s="76">
        <v>42.038238999999997</v>
      </c>
      <c r="F2428" s="76">
        <v>31.890721999999901</v>
      </c>
      <c r="G2428" s="79">
        <v>3103600</v>
      </c>
    </row>
    <row r="2429" spans="1:7" x14ac:dyDescent="0.25">
      <c r="A2429" s="1" t="s">
        <v>2552</v>
      </c>
      <c r="B2429" s="76">
        <v>41.884602000000001</v>
      </c>
      <c r="C2429" s="76">
        <v>42.828377000000003</v>
      </c>
      <c r="D2429" s="76">
        <v>41.496848999999997</v>
      </c>
      <c r="E2429" s="76">
        <v>42.806426999999999</v>
      </c>
      <c r="F2429" s="76">
        <v>32.473488000000003</v>
      </c>
      <c r="G2429" s="79">
        <v>2847200</v>
      </c>
    </row>
    <row r="2430" spans="1:7" x14ac:dyDescent="0.25">
      <c r="A2430" s="1" t="s">
        <v>2553</v>
      </c>
      <c r="B2430" s="76">
        <v>42.967381000000003</v>
      </c>
      <c r="C2430" s="76">
        <v>42.967381000000003</v>
      </c>
      <c r="D2430" s="76">
        <v>41.343207999999997</v>
      </c>
      <c r="E2430" s="76">
        <v>42.462569999999999</v>
      </c>
      <c r="F2430" s="76">
        <v>32.212634999999999</v>
      </c>
      <c r="G2430" s="79">
        <v>4419600</v>
      </c>
    </row>
    <row r="2431" spans="1:7" x14ac:dyDescent="0.25">
      <c r="A2431" s="1" t="s">
        <v>2554</v>
      </c>
      <c r="B2431" s="76">
        <v>42.660107000000004</v>
      </c>
      <c r="C2431" s="76">
        <v>43.018593000000003</v>
      </c>
      <c r="D2431" s="76">
        <v>41.416370000000001</v>
      </c>
      <c r="E2431" s="76">
        <v>42.191875000000003</v>
      </c>
      <c r="F2431" s="76">
        <v>32.007281999999996</v>
      </c>
      <c r="G2431" s="79">
        <v>3563100</v>
      </c>
    </row>
    <row r="2432" spans="1:7" x14ac:dyDescent="0.25">
      <c r="A2432" s="1" t="s">
        <v>2555</v>
      </c>
      <c r="B2432" s="76">
        <v>41.628535999999997</v>
      </c>
      <c r="C2432" s="76">
        <v>42.308933000000003</v>
      </c>
      <c r="D2432" s="76">
        <v>41.270049999999998</v>
      </c>
      <c r="E2432" s="76">
        <v>42.082134000000003</v>
      </c>
      <c r="F2432" s="76">
        <v>31.924026000000001</v>
      </c>
      <c r="G2432" s="79">
        <v>3591900</v>
      </c>
    </row>
    <row r="2433" spans="1:7" x14ac:dyDescent="0.25">
      <c r="A2433" s="1" t="s">
        <v>2556</v>
      </c>
      <c r="B2433" s="76">
        <v>41.789490000000001</v>
      </c>
      <c r="C2433" s="76">
        <v>42.345511999999999</v>
      </c>
      <c r="D2433" s="76">
        <v>40.070209999999904</v>
      </c>
      <c r="E2433" s="76">
        <v>40.179951000000003</v>
      </c>
      <c r="F2433" s="76">
        <v>30.481009999999898</v>
      </c>
      <c r="G2433" s="79">
        <v>5361000</v>
      </c>
    </row>
    <row r="2434" spans="1:7" x14ac:dyDescent="0.25">
      <c r="A2434" s="1" t="s">
        <v>2557</v>
      </c>
      <c r="B2434" s="76">
        <v>39.755619000000003</v>
      </c>
      <c r="C2434" s="76">
        <v>40.318958000000002</v>
      </c>
      <c r="D2434" s="76">
        <v>39.484923999999999</v>
      </c>
      <c r="E2434" s="76">
        <v>39.733668999999999</v>
      </c>
      <c r="F2434" s="76">
        <v>30.1424599999999</v>
      </c>
      <c r="G2434" s="79">
        <v>4183000</v>
      </c>
    </row>
    <row r="2435" spans="1:7" x14ac:dyDescent="0.25">
      <c r="A2435" s="1" t="s">
        <v>2558</v>
      </c>
      <c r="B2435" s="76">
        <v>40.099476000000003</v>
      </c>
      <c r="C2435" s="76">
        <v>40.362853999999999</v>
      </c>
      <c r="D2435" s="76">
        <v>39.075221999999997</v>
      </c>
      <c r="E2435" s="76">
        <v>39.704407000000003</v>
      </c>
      <c r="F2435" s="76">
        <v>30.120240999999901</v>
      </c>
      <c r="G2435" s="79">
        <v>3884800</v>
      </c>
    </row>
    <row r="2436" spans="1:7" x14ac:dyDescent="0.25">
      <c r="A2436" s="1" t="s">
        <v>2559</v>
      </c>
      <c r="B2436" s="76">
        <v>39.755619000000003</v>
      </c>
      <c r="C2436" s="76">
        <v>40.392116999999999</v>
      </c>
      <c r="D2436" s="76">
        <v>38.950848000000001</v>
      </c>
      <c r="E2436" s="76">
        <v>40.275058999999999</v>
      </c>
      <c r="F2436" s="76">
        <v>30.553159999999998</v>
      </c>
      <c r="G2436" s="79">
        <v>3103800</v>
      </c>
    </row>
    <row r="2437" spans="1:7" x14ac:dyDescent="0.25">
      <c r="A2437" s="1" t="s">
        <v>2560</v>
      </c>
      <c r="B2437" s="76">
        <v>40.560386999999999</v>
      </c>
      <c r="C2437" s="76">
        <v>42.023604999999897</v>
      </c>
      <c r="D2437" s="76">
        <v>40.560386999999999</v>
      </c>
      <c r="E2437" s="76">
        <v>42.001655999999997</v>
      </c>
      <c r="F2437" s="76">
        <v>31.862964999999999</v>
      </c>
      <c r="G2437" s="79">
        <v>3351900</v>
      </c>
    </row>
    <row r="2438" spans="1:7" x14ac:dyDescent="0.25">
      <c r="A2438" s="1" t="s">
        <v>2561</v>
      </c>
      <c r="B2438" s="76">
        <v>42.067501</v>
      </c>
      <c r="C2438" s="76">
        <v>43.406345000000002</v>
      </c>
      <c r="D2438" s="76">
        <v>41.431003999999902</v>
      </c>
      <c r="E2438" s="76">
        <v>43.362450000000003</v>
      </c>
      <c r="F2438" s="76">
        <v>32.895282999999999</v>
      </c>
      <c r="G2438" s="79">
        <v>4408700</v>
      </c>
    </row>
    <row r="2439" spans="1:7" x14ac:dyDescent="0.25">
      <c r="A2439" s="1" t="s">
        <v>2562</v>
      </c>
      <c r="B2439" s="76">
        <v>43.033225999999999</v>
      </c>
      <c r="C2439" s="76">
        <v>44.174534000000001</v>
      </c>
      <c r="D2439" s="76">
        <v>42.528416</v>
      </c>
      <c r="E2439" s="76">
        <v>44.006264000000002</v>
      </c>
      <c r="F2439" s="76">
        <v>33.383690000000001</v>
      </c>
      <c r="G2439" s="79">
        <v>3748400</v>
      </c>
    </row>
    <row r="2440" spans="1:7" x14ac:dyDescent="0.25">
      <c r="A2440" s="1" t="s">
        <v>2563</v>
      </c>
      <c r="B2440" s="76">
        <v>44.108691999999998</v>
      </c>
      <c r="C2440" s="76">
        <v>44.474494999999997</v>
      </c>
      <c r="D2440" s="76">
        <v>43.230758999999999</v>
      </c>
      <c r="E2440" s="76">
        <v>43.911155999999998</v>
      </c>
      <c r="F2440" s="76">
        <v>33.311534999999999</v>
      </c>
      <c r="G2440" s="79">
        <v>3499300</v>
      </c>
    </row>
    <row r="2441" spans="1:7" x14ac:dyDescent="0.25">
      <c r="A2441" s="1" t="s">
        <v>2564</v>
      </c>
      <c r="B2441" s="76">
        <v>43.479506999999998</v>
      </c>
      <c r="C2441" s="76">
        <v>45.754809999999999</v>
      </c>
      <c r="D2441" s="76">
        <v>43.194179999999903</v>
      </c>
      <c r="E2441" s="76">
        <v>45.623119000000003</v>
      </c>
      <c r="F2441" s="76">
        <v>34.610259999999997</v>
      </c>
      <c r="G2441" s="79">
        <v>3327700</v>
      </c>
    </row>
    <row r="2442" spans="1:7" x14ac:dyDescent="0.25">
      <c r="A2442" s="1" t="s">
        <v>2565</v>
      </c>
      <c r="B2442" s="76">
        <v>45.608490000000003</v>
      </c>
      <c r="C2442" s="76">
        <v>47.378982999999998</v>
      </c>
      <c r="D2442" s="76">
        <v>44.474494999999997</v>
      </c>
      <c r="E2442" s="76">
        <v>46.581527999999999</v>
      </c>
      <c r="F2442" s="76">
        <v>35.337325999999997</v>
      </c>
      <c r="G2442" s="79">
        <v>5406600</v>
      </c>
    </row>
    <row r="2443" spans="1:7" x14ac:dyDescent="0.25">
      <c r="A2443" s="1" t="s">
        <v>2566</v>
      </c>
      <c r="B2443" s="76">
        <v>46.742480999999998</v>
      </c>
      <c r="C2443" s="76">
        <v>49.625019000000002</v>
      </c>
      <c r="D2443" s="76">
        <v>46.647372999999902</v>
      </c>
      <c r="E2443" s="76">
        <v>49.486015000000002</v>
      </c>
      <c r="F2443" s="76">
        <v>37.540706999999998</v>
      </c>
      <c r="G2443" s="79">
        <v>6043400</v>
      </c>
    </row>
    <row r="2444" spans="1:7" x14ac:dyDescent="0.25">
      <c r="A2444" s="1" t="s">
        <v>2567</v>
      </c>
      <c r="B2444" s="76">
        <v>49.478698999999999</v>
      </c>
      <c r="C2444" s="76">
        <v>51.380882</v>
      </c>
      <c r="D2444" s="76">
        <v>48.893409999999903</v>
      </c>
      <c r="E2444" s="76">
        <v>49.720131000000002</v>
      </c>
      <c r="F2444" s="76">
        <v>37.718307000000003</v>
      </c>
      <c r="G2444" s="79">
        <v>6704300</v>
      </c>
    </row>
    <row r="2445" spans="1:7" x14ac:dyDescent="0.25">
      <c r="A2445" s="1" t="s">
        <v>2568</v>
      </c>
      <c r="B2445" s="76">
        <v>50.020088000000001</v>
      </c>
      <c r="C2445" s="76">
        <v>50.349311999999998</v>
      </c>
      <c r="D2445" s="76">
        <v>49.032416999999903</v>
      </c>
      <c r="E2445" s="76">
        <v>49.866450999999998</v>
      </c>
      <c r="F2445" s="76">
        <v>37.829310999999997</v>
      </c>
      <c r="G2445" s="79">
        <v>4679300</v>
      </c>
    </row>
    <row r="2446" spans="1:7" x14ac:dyDescent="0.25">
      <c r="A2446" s="1" t="s">
        <v>2569</v>
      </c>
      <c r="B2446" s="76">
        <v>48.812934999999896</v>
      </c>
      <c r="C2446" s="76">
        <v>49.376274000000002</v>
      </c>
      <c r="D2446" s="76">
        <v>48.286175</v>
      </c>
      <c r="E2446" s="76">
        <v>48.805618000000003</v>
      </c>
      <c r="F2446" s="76">
        <v>37.024529000000001</v>
      </c>
      <c r="G2446" s="79">
        <v>3162000</v>
      </c>
    </row>
    <row r="2447" spans="1:7" x14ac:dyDescent="0.25">
      <c r="A2447" s="1" t="s">
        <v>2570</v>
      </c>
      <c r="B2447" s="76">
        <v>49.208003999999903</v>
      </c>
      <c r="C2447" s="76">
        <v>50.832175999999997</v>
      </c>
      <c r="D2447" s="76">
        <v>49.134841999999999</v>
      </c>
      <c r="E2447" s="76">
        <v>50.656590000000001</v>
      </c>
      <c r="F2447" s="76">
        <v>38.428719000000001</v>
      </c>
      <c r="G2447" s="79">
        <v>3700000</v>
      </c>
    </row>
    <row r="2448" spans="1:7" x14ac:dyDescent="0.25">
      <c r="A2448" s="1" t="s">
        <v>2571</v>
      </c>
      <c r="B2448" s="76">
        <v>51.007759</v>
      </c>
      <c r="C2448" s="76">
        <v>51.007759</v>
      </c>
      <c r="D2448" s="76">
        <v>48.630032</v>
      </c>
      <c r="E2448" s="76">
        <v>48.659298</v>
      </c>
      <c r="F2448" s="76">
        <v>36.913550999999998</v>
      </c>
      <c r="G2448" s="79">
        <v>4431700</v>
      </c>
    </row>
    <row r="2449" spans="1:7" x14ac:dyDescent="0.25">
      <c r="A2449" s="1" t="s">
        <v>2572</v>
      </c>
      <c r="B2449" s="76">
        <v>49.127524999999999</v>
      </c>
      <c r="C2449" s="76">
        <v>49.500647999999998</v>
      </c>
      <c r="D2449" s="76">
        <v>46.632739999999998</v>
      </c>
      <c r="E2449" s="76">
        <v>46.852221999999998</v>
      </c>
      <c r="F2449" s="76">
        <v>35.542675000000003</v>
      </c>
      <c r="G2449" s="79">
        <v>4889700</v>
      </c>
    </row>
    <row r="2450" spans="1:7" x14ac:dyDescent="0.25">
      <c r="A2450" s="1" t="s">
        <v>2573</v>
      </c>
      <c r="B2450" s="76">
        <v>46.391308000000002</v>
      </c>
      <c r="C2450" s="76">
        <v>47.305819999999997</v>
      </c>
      <c r="D2450" s="76">
        <v>46.091351000000003</v>
      </c>
      <c r="E2450" s="76">
        <v>46.427890999999903</v>
      </c>
      <c r="F2450" s="76">
        <v>35.220771999999997</v>
      </c>
      <c r="G2450" s="79">
        <v>4388600</v>
      </c>
    </row>
    <row r="2451" spans="1:7" x14ac:dyDescent="0.25">
      <c r="A2451" s="1" t="s">
        <v>2574</v>
      </c>
      <c r="B2451" s="76">
        <v>46.749797999999998</v>
      </c>
      <c r="C2451" s="76">
        <v>49.310428999999999</v>
      </c>
      <c r="D2451" s="76">
        <v>46.354728999999999</v>
      </c>
      <c r="E2451" s="76">
        <v>49.237266999999903</v>
      </c>
      <c r="F2451" s="76">
        <v>37.352004999999998</v>
      </c>
      <c r="G2451" s="79">
        <v>5542300</v>
      </c>
    </row>
    <row r="2452" spans="1:7" x14ac:dyDescent="0.25">
      <c r="A2452" s="1" t="s">
        <v>2575</v>
      </c>
      <c r="B2452" s="76">
        <v>49.442120000000003</v>
      </c>
      <c r="C2452" s="76">
        <v>49.603072999999902</v>
      </c>
      <c r="D2452" s="76">
        <v>47.225341999999998</v>
      </c>
      <c r="E2452" s="76">
        <v>47.386299000000001</v>
      </c>
      <c r="F2452" s="76">
        <v>35.947825999999999</v>
      </c>
      <c r="G2452" s="79">
        <v>4358300</v>
      </c>
    </row>
    <row r="2453" spans="1:7" x14ac:dyDescent="0.25">
      <c r="A2453" s="1" t="s">
        <v>2576</v>
      </c>
      <c r="B2453" s="76">
        <v>47.971584</v>
      </c>
      <c r="C2453" s="76">
        <v>48.015479999999997</v>
      </c>
      <c r="D2453" s="76">
        <v>46.369362000000002</v>
      </c>
      <c r="E2453" s="76">
        <v>47.122917000000001</v>
      </c>
      <c r="F2453" s="76">
        <v>35.748027999999998</v>
      </c>
      <c r="G2453" s="79">
        <v>5321300</v>
      </c>
    </row>
    <row r="2454" spans="1:7" x14ac:dyDescent="0.25">
      <c r="A2454" s="1" t="s">
        <v>2577</v>
      </c>
      <c r="B2454" s="76">
        <v>46.859538999999998</v>
      </c>
      <c r="C2454" s="76">
        <v>47.027808999999998</v>
      </c>
      <c r="D2454" s="76">
        <v>44.642764999999997</v>
      </c>
      <c r="E2454" s="76">
        <v>44.737873</v>
      </c>
      <c r="F2454" s="76">
        <v>33.938693999999998</v>
      </c>
      <c r="G2454" s="79">
        <v>6451700</v>
      </c>
    </row>
    <row r="2455" spans="1:7" x14ac:dyDescent="0.25">
      <c r="A2455" s="1" t="s">
        <v>2578</v>
      </c>
      <c r="B2455" s="76">
        <v>43.501452999999998</v>
      </c>
      <c r="C2455" s="76">
        <v>45.674332</v>
      </c>
      <c r="D2455" s="76">
        <v>43.164916999999903</v>
      </c>
      <c r="E2455" s="76">
        <v>44.255012999999998</v>
      </c>
      <c r="F2455" s="76">
        <v>33.572387999999997</v>
      </c>
      <c r="G2455" s="79">
        <v>5116700</v>
      </c>
    </row>
    <row r="2456" spans="1:7" x14ac:dyDescent="0.25">
      <c r="A2456" s="1" t="s">
        <v>2579</v>
      </c>
      <c r="B2456" s="76">
        <v>44.774456000000001</v>
      </c>
      <c r="C2456" s="76">
        <v>45.930396999999999</v>
      </c>
      <c r="D2456" s="76">
        <v>44.481811999999998</v>
      </c>
      <c r="E2456" s="76">
        <v>45.315845000000003</v>
      </c>
      <c r="F2456" s="76">
        <v>34.377150999999998</v>
      </c>
      <c r="G2456" s="79">
        <v>4271400</v>
      </c>
    </row>
    <row r="2457" spans="1:7" x14ac:dyDescent="0.25">
      <c r="A2457" s="1" t="s">
        <v>2580</v>
      </c>
      <c r="B2457" s="76">
        <v>45.710915</v>
      </c>
      <c r="C2457" s="76">
        <v>46.449837000000002</v>
      </c>
      <c r="D2457" s="76">
        <v>44.701293999999997</v>
      </c>
      <c r="E2457" s="76">
        <v>45.403636999999897</v>
      </c>
      <c r="F2457" s="76">
        <v>34.443756</v>
      </c>
      <c r="G2457" s="79">
        <v>4058700</v>
      </c>
    </row>
    <row r="2458" spans="1:7" x14ac:dyDescent="0.25">
      <c r="A2458" s="1" t="s">
        <v>2581</v>
      </c>
      <c r="B2458" s="76">
        <v>44.928092999999997</v>
      </c>
      <c r="C2458" s="76">
        <v>45.469481999999999</v>
      </c>
      <c r="D2458" s="76">
        <v>44.423282999999998</v>
      </c>
      <c r="E2458" s="76">
        <v>45.147575000000003</v>
      </c>
      <c r="F2458" s="76">
        <v>34.249499999999998</v>
      </c>
      <c r="G2458" s="79">
        <v>2400900</v>
      </c>
    </row>
    <row r="2459" spans="1:7" x14ac:dyDescent="0.25">
      <c r="A2459" s="1" t="s">
        <v>2582</v>
      </c>
      <c r="B2459" s="76">
        <v>45.579223999999897</v>
      </c>
      <c r="C2459" s="76">
        <v>46.522998999999999</v>
      </c>
      <c r="D2459" s="76">
        <v>45.389004</v>
      </c>
      <c r="E2459" s="76">
        <v>45.908446999999903</v>
      </c>
      <c r="F2459" s="76">
        <v>34.826709999999999</v>
      </c>
      <c r="G2459" s="79">
        <v>2700900</v>
      </c>
    </row>
    <row r="2460" spans="1:7" x14ac:dyDescent="0.25">
      <c r="A2460" s="1" t="s">
        <v>2583</v>
      </c>
      <c r="B2460" s="76">
        <v>45.827971999999903</v>
      </c>
      <c r="C2460" s="76">
        <v>46.544949000000003</v>
      </c>
      <c r="D2460" s="76">
        <v>45.169521000000003</v>
      </c>
      <c r="E2460" s="76">
        <v>46.508365999999903</v>
      </c>
      <c r="F2460" s="76">
        <v>35.281818000000001</v>
      </c>
      <c r="G2460" s="79">
        <v>2001800</v>
      </c>
    </row>
    <row r="2461" spans="1:7" x14ac:dyDescent="0.25">
      <c r="A2461" s="1" t="s">
        <v>2584</v>
      </c>
      <c r="B2461" s="76">
        <v>46.508365999999903</v>
      </c>
      <c r="C2461" s="76">
        <v>46.969279999999998</v>
      </c>
      <c r="D2461" s="76">
        <v>45.952342999999999</v>
      </c>
      <c r="E2461" s="76">
        <v>46.252303999999903</v>
      </c>
      <c r="F2461" s="76">
        <v>35.087558999999999</v>
      </c>
      <c r="G2461" s="79">
        <v>1414400</v>
      </c>
    </row>
    <row r="2462" spans="1:7" x14ac:dyDescent="0.25">
      <c r="A2462" s="1" t="s">
        <v>2585</v>
      </c>
      <c r="B2462" s="76">
        <v>45.95966</v>
      </c>
      <c r="C2462" s="76">
        <v>46.252303999999903</v>
      </c>
      <c r="D2462" s="76">
        <v>44.993938</v>
      </c>
      <c r="E2462" s="76">
        <v>45.462165999999897</v>
      </c>
      <c r="F2462" s="76">
        <v>34.488154999999999</v>
      </c>
      <c r="G2462" s="79">
        <v>2476400</v>
      </c>
    </row>
    <row r="2463" spans="1:7" x14ac:dyDescent="0.25">
      <c r="A2463" s="1" t="s">
        <v>2586</v>
      </c>
      <c r="B2463" s="76">
        <v>45.857234999999903</v>
      </c>
      <c r="C2463" s="76">
        <v>47.642361000000001</v>
      </c>
      <c r="D2463" s="76">
        <v>45.857234999999903</v>
      </c>
      <c r="E2463" s="76">
        <v>47.327770000000001</v>
      </c>
      <c r="F2463" s="76">
        <v>35.903422999999997</v>
      </c>
      <c r="G2463" s="79">
        <v>4539900</v>
      </c>
    </row>
    <row r="2464" spans="1:7" x14ac:dyDescent="0.25">
      <c r="A2464" s="1" t="s">
        <v>2587</v>
      </c>
      <c r="B2464" s="76">
        <v>46.449837000000002</v>
      </c>
      <c r="C2464" s="76">
        <v>47.064388000000001</v>
      </c>
      <c r="D2464" s="76">
        <v>46.069400999999999</v>
      </c>
      <c r="E2464" s="76">
        <v>46.237670999999999</v>
      </c>
      <c r="F2464" s="76">
        <v>35.076481000000001</v>
      </c>
      <c r="G2464" s="79">
        <v>2948300</v>
      </c>
    </row>
    <row r="2465" spans="1:7" x14ac:dyDescent="0.25">
      <c r="A2465" s="1" t="s">
        <v>2588</v>
      </c>
      <c r="B2465" s="76">
        <v>45.323161999999897</v>
      </c>
      <c r="C2465" s="76">
        <v>46.062083999999999</v>
      </c>
      <c r="D2465" s="76">
        <v>44.262329000000001</v>
      </c>
      <c r="E2465" s="76">
        <v>44.832985000000001</v>
      </c>
      <c r="F2465" s="76">
        <v>34.010857000000001</v>
      </c>
      <c r="G2465" s="79">
        <v>5540300</v>
      </c>
    </row>
    <row r="2466" spans="1:7" x14ac:dyDescent="0.25">
      <c r="A2466" s="1" t="s">
        <v>2589</v>
      </c>
      <c r="B2466" s="76">
        <v>45.228050000000003</v>
      </c>
      <c r="C2466" s="76">
        <v>46.325465999999999</v>
      </c>
      <c r="D2466" s="76">
        <v>45.052467</v>
      </c>
      <c r="E2466" s="76">
        <v>46.230353999999998</v>
      </c>
      <c r="F2466" s="76">
        <v>35.070910999999903</v>
      </c>
      <c r="G2466" s="79">
        <v>3945400</v>
      </c>
    </row>
    <row r="2467" spans="1:7" x14ac:dyDescent="0.25">
      <c r="A2467" s="1" t="s">
        <v>2590</v>
      </c>
      <c r="B2467" s="76">
        <v>46.435206999999998</v>
      </c>
      <c r="C2467" s="76">
        <v>46.435206999999998</v>
      </c>
      <c r="D2467" s="76">
        <v>44.993938</v>
      </c>
      <c r="E2467" s="76">
        <v>45.352424999999997</v>
      </c>
      <c r="F2467" s="76">
        <v>34.404899999999998</v>
      </c>
      <c r="G2467" s="79">
        <v>5214400</v>
      </c>
    </row>
    <row r="2468" spans="1:7" x14ac:dyDescent="0.25">
      <c r="A2468" s="1" t="s">
        <v>2591</v>
      </c>
      <c r="B2468" s="76">
        <v>45.125625999999997</v>
      </c>
      <c r="C2468" s="76">
        <v>46.040137999999999</v>
      </c>
      <c r="D2468" s="76">
        <v>44.233063000000001</v>
      </c>
      <c r="E2468" s="76">
        <v>44.335487000000001</v>
      </c>
      <c r="F2468" s="76">
        <v>33.633445999999999</v>
      </c>
      <c r="G2468" s="79">
        <v>3901400</v>
      </c>
    </row>
    <row r="2469" spans="1:7" x14ac:dyDescent="0.25">
      <c r="A2469" s="1" t="s">
        <v>2592</v>
      </c>
      <c r="B2469" s="76">
        <v>44.364753999999998</v>
      </c>
      <c r="C2469" s="76">
        <v>45.279263</v>
      </c>
      <c r="D2469" s="76">
        <v>43.230758999999999</v>
      </c>
      <c r="E2469" s="76">
        <v>45.162208999999997</v>
      </c>
      <c r="F2469" s="76">
        <v>34.260609000000002</v>
      </c>
      <c r="G2469" s="79">
        <v>4001800</v>
      </c>
    </row>
    <row r="2470" spans="1:7" x14ac:dyDescent="0.25">
      <c r="A2470" s="1" t="s">
        <v>2593</v>
      </c>
      <c r="B2470" s="76">
        <v>45.491432000000003</v>
      </c>
      <c r="C2470" s="76">
        <v>45.506062</v>
      </c>
      <c r="D2470" s="76">
        <v>44.086742000000001</v>
      </c>
      <c r="E2470" s="76">
        <v>44.452545000000001</v>
      </c>
      <c r="F2470" s="76">
        <v>33.722248</v>
      </c>
      <c r="G2470" s="79">
        <v>2756300</v>
      </c>
    </row>
    <row r="2471" spans="1:7" x14ac:dyDescent="0.25">
      <c r="A2471" s="1" t="s">
        <v>2594</v>
      </c>
      <c r="B2471" s="76">
        <v>44.613498999999997</v>
      </c>
      <c r="C2471" s="76">
        <v>46.223038000000003</v>
      </c>
      <c r="D2471" s="76">
        <v>44.101376000000002</v>
      </c>
      <c r="E2471" s="76">
        <v>44.262329000000001</v>
      </c>
      <c r="F2471" s="76">
        <v>33.577953000000001</v>
      </c>
      <c r="G2471" s="79">
        <v>4426400</v>
      </c>
    </row>
    <row r="2472" spans="1:7" x14ac:dyDescent="0.25">
      <c r="A2472" s="1" t="s">
        <v>2595</v>
      </c>
      <c r="B2472" s="76">
        <v>44.174534000000001</v>
      </c>
      <c r="C2472" s="76">
        <v>44.525706999999997</v>
      </c>
      <c r="D2472" s="76">
        <v>43.128334000000002</v>
      </c>
      <c r="E2472" s="76">
        <v>43.442928000000002</v>
      </c>
      <c r="F2472" s="76">
        <v>32.956333000000001</v>
      </c>
      <c r="G2472" s="79">
        <v>3716400</v>
      </c>
    </row>
    <row r="2473" spans="1:7" x14ac:dyDescent="0.25">
      <c r="A2473" s="1" t="s">
        <v>2596</v>
      </c>
      <c r="B2473" s="76">
        <v>43.238075000000002</v>
      </c>
      <c r="C2473" s="76">
        <v>43.911155999999998</v>
      </c>
      <c r="D2473" s="76">
        <v>41.365158000000001</v>
      </c>
      <c r="E2473" s="76">
        <v>41.496848999999997</v>
      </c>
      <c r="F2473" s="76">
        <v>31.480015000000002</v>
      </c>
      <c r="G2473" s="79">
        <v>4634700</v>
      </c>
    </row>
    <row r="2474" spans="1:7" x14ac:dyDescent="0.25">
      <c r="A2474" s="1" t="s">
        <v>2597</v>
      </c>
      <c r="B2474" s="76">
        <v>42.2943</v>
      </c>
      <c r="C2474" s="76">
        <v>44.328175000000002</v>
      </c>
      <c r="D2474" s="76">
        <v>42.213825</v>
      </c>
      <c r="E2474" s="76">
        <v>44.218432999999997</v>
      </c>
      <c r="F2474" s="76">
        <v>33.544646999999998</v>
      </c>
      <c r="G2474" s="79">
        <v>4289200</v>
      </c>
    </row>
    <row r="2475" spans="1:7" x14ac:dyDescent="0.25">
      <c r="A2475" s="1" t="s">
        <v>2598</v>
      </c>
      <c r="B2475" s="76">
        <v>43.977001000000001</v>
      </c>
      <c r="C2475" s="76">
        <v>44.020896999999998</v>
      </c>
      <c r="D2475" s="76">
        <v>42.184559</v>
      </c>
      <c r="E2475" s="76">
        <v>43.574615000000001</v>
      </c>
      <c r="F2475" s="76">
        <v>33.056240000000003</v>
      </c>
      <c r="G2475" s="79">
        <v>6677900</v>
      </c>
    </row>
    <row r="2476" spans="1:7" x14ac:dyDescent="0.25">
      <c r="A2476" s="1" t="s">
        <v>2599</v>
      </c>
      <c r="B2476" s="76">
        <v>43.794097999999998</v>
      </c>
      <c r="C2476" s="76">
        <v>44.847614</v>
      </c>
      <c r="D2476" s="76">
        <v>42.286982999999999</v>
      </c>
      <c r="E2476" s="76">
        <v>44.072108999999998</v>
      </c>
      <c r="F2476" s="76">
        <v>33.433647000000001</v>
      </c>
      <c r="G2476" s="79">
        <v>5335200</v>
      </c>
    </row>
    <row r="2477" spans="1:7" x14ac:dyDescent="0.25">
      <c r="A2477" s="1" t="s">
        <v>2600</v>
      </c>
      <c r="B2477" s="76">
        <v>43.457557999999999</v>
      </c>
      <c r="C2477" s="76">
        <v>45.279263</v>
      </c>
      <c r="D2477" s="76">
        <v>43.201495999999999</v>
      </c>
      <c r="E2477" s="76">
        <v>45.184154999999997</v>
      </c>
      <c r="F2477" s="76">
        <v>34.277259999999998</v>
      </c>
      <c r="G2477" s="79">
        <v>4159300</v>
      </c>
    </row>
    <row r="2478" spans="1:7" x14ac:dyDescent="0.25">
      <c r="A2478" s="1" t="s">
        <v>2601</v>
      </c>
      <c r="B2478" s="76">
        <v>45.410953999999997</v>
      </c>
      <c r="C2478" s="76">
        <v>46.201091999999903</v>
      </c>
      <c r="D2478" s="76">
        <v>43.991633999999998</v>
      </c>
      <c r="E2478" s="76">
        <v>44.108691999999998</v>
      </c>
      <c r="F2478" s="76">
        <v>33.461387999999999</v>
      </c>
      <c r="G2478" s="79">
        <v>4276200</v>
      </c>
    </row>
    <row r="2479" spans="1:7" x14ac:dyDescent="0.25">
      <c r="A2479" s="1" t="s">
        <v>2602</v>
      </c>
      <c r="B2479" s="76">
        <v>44.511074000000001</v>
      </c>
      <c r="C2479" s="76">
        <v>45.762127</v>
      </c>
      <c r="D2479" s="76">
        <v>44.364753999999998</v>
      </c>
      <c r="E2479" s="76">
        <v>45.630435999999897</v>
      </c>
      <c r="F2479" s="76">
        <v>34.615806999999997</v>
      </c>
      <c r="G2479" s="79">
        <v>3310600</v>
      </c>
    </row>
    <row r="2480" spans="1:7" x14ac:dyDescent="0.25">
      <c r="A2480" s="1" t="s">
        <v>2603</v>
      </c>
      <c r="B2480" s="76">
        <v>44.825668</v>
      </c>
      <c r="C2480" s="76">
        <v>45.323161999999897</v>
      </c>
      <c r="D2480" s="76">
        <v>44.101376000000002</v>
      </c>
      <c r="E2480" s="76">
        <v>44.613498999999997</v>
      </c>
      <c r="F2480" s="76">
        <v>34.186374999999998</v>
      </c>
      <c r="G2480" s="79">
        <v>2574600</v>
      </c>
    </row>
    <row r="2481" spans="1:7" x14ac:dyDescent="0.25">
      <c r="A2481" s="1" t="s">
        <v>2604</v>
      </c>
      <c r="B2481" s="76">
        <v>45.030518000000001</v>
      </c>
      <c r="C2481" s="76">
        <v>47.005859000000001</v>
      </c>
      <c r="D2481" s="76">
        <v>45.030518000000001</v>
      </c>
      <c r="E2481" s="76">
        <v>46.961964000000002</v>
      </c>
      <c r="F2481" s="76">
        <v>35.985950000000003</v>
      </c>
      <c r="G2481" s="79">
        <v>3641600</v>
      </c>
    </row>
    <row r="2482" spans="1:7" x14ac:dyDescent="0.25">
      <c r="A2482" s="1" t="s">
        <v>2605</v>
      </c>
      <c r="B2482" s="76">
        <v>46.559578000000002</v>
      </c>
      <c r="C2482" s="76">
        <v>47.115600999999998</v>
      </c>
      <c r="D2482" s="76">
        <v>45.637752999999996</v>
      </c>
      <c r="E2482" s="76">
        <v>46.676636000000002</v>
      </c>
      <c r="F2482" s="76">
        <v>35.767302999999998</v>
      </c>
      <c r="G2482" s="79">
        <v>2863500</v>
      </c>
    </row>
    <row r="2483" spans="1:7" x14ac:dyDescent="0.25">
      <c r="A2483" s="1" t="s">
        <v>2606</v>
      </c>
      <c r="B2483" s="76">
        <v>47.203395999999998</v>
      </c>
      <c r="C2483" s="76">
        <v>47.971584</v>
      </c>
      <c r="D2483" s="76">
        <v>46.881489000000002</v>
      </c>
      <c r="E2483" s="76">
        <v>47.708205999999997</v>
      </c>
      <c r="F2483" s="76">
        <v>36.557780999999999</v>
      </c>
      <c r="G2483" s="79">
        <v>2936600</v>
      </c>
    </row>
    <row r="2484" spans="1:7" x14ac:dyDescent="0.25">
      <c r="A2484" s="1" t="s">
        <v>2607</v>
      </c>
      <c r="B2484" s="76">
        <v>47.635044000000001</v>
      </c>
      <c r="C2484" s="76">
        <v>47.920372</v>
      </c>
      <c r="D2484" s="76">
        <v>46.720534999999998</v>
      </c>
      <c r="E2484" s="76">
        <v>46.866855999999999</v>
      </c>
      <c r="F2484" s="76">
        <v>35.913071000000002</v>
      </c>
      <c r="G2484" s="79">
        <v>2724100</v>
      </c>
    </row>
    <row r="2485" spans="1:7" x14ac:dyDescent="0.25">
      <c r="A2485" s="1" t="s">
        <v>2608</v>
      </c>
      <c r="B2485" s="76">
        <v>47.108288000000002</v>
      </c>
      <c r="C2485" s="76">
        <v>48.110591999999997</v>
      </c>
      <c r="D2485" s="76">
        <v>46.983913000000001</v>
      </c>
      <c r="E2485" s="76">
        <v>47.781364000000004</v>
      </c>
      <c r="F2485" s="76">
        <v>36.613838000000001</v>
      </c>
      <c r="G2485" s="79">
        <v>2371000</v>
      </c>
    </row>
    <row r="2486" spans="1:7" x14ac:dyDescent="0.25">
      <c r="A2486" s="1" t="s">
        <v>2609</v>
      </c>
      <c r="B2486" s="76">
        <v>48.147171</v>
      </c>
      <c r="C2486" s="76">
        <v>49.361640999999999</v>
      </c>
      <c r="D2486" s="76">
        <v>48.132537999999997</v>
      </c>
      <c r="E2486" s="76">
        <v>48.886096999999999</v>
      </c>
      <c r="F2486" s="76">
        <v>37.460369</v>
      </c>
      <c r="G2486" s="79">
        <v>3465200</v>
      </c>
    </row>
    <row r="2487" spans="1:7" x14ac:dyDescent="0.25">
      <c r="A2487" s="1" t="s">
        <v>2610</v>
      </c>
      <c r="B2487" s="76">
        <v>48.849513999999999</v>
      </c>
      <c r="C2487" s="76">
        <v>49.332377999999999</v>
      </c>
      <c r="D2487" s="76">
        <v>48.300808000000004</v>
      </c>
      <c r="E2487" s="76">
        <v>48.366652999999999</v>
      </c>
      <c r="F2487" s="76">
        <v>37.062344000000003</v>
      </c>
      <c r="G2487" s="79">
        <v>3321000</v>
      </c>
    </row>
    <row r="2488" spans="1:7" x14ac:dyDescent="0.25">
      <c r="A2488" s="1" t="s">
        <v>2611</v>
      </c>
      <c r="B2488" s="76">
        <v>48.512974</v>
      </c>
      <c r="C2488" s="76">
        <v>49.712814000000002</v>
      </c>
      <c r="D2488" s="76">
        <v>48.213017000000001</v>
      </c>
      <c r="E2488" s="76">
        <v>49.529910999999998</v>
      </c>
      <c r="F2488" s="76">
        <v>37.953709000000003</v>
      </c>
      <c r="G2488" s="79">
        <v>2758000</v>
      </c>
    </row>
    <row r="2489" spans="1:7" x14ac:dyDescent="0.25">
      <c r="A2489" s="1" t="s">
        <v>2612</v>
      </c>
      <c r="B2489" s="76">
        <v>49.105578999999999</v>
      </c>
      <c r="C2489" s="76">
        <v>49.142158999999999</v>
      </c>
      <c r="D2489" s="76">
        <v>47.613093999999997</v>
      </c>
      <c r="E2489" s="76">
        <v>47.744785</v>
      </c>
      <c r="F2489" s="76">
        <v>36.585811999999997</v>
      </c>
      <c r="G2489" s="79">
        <v>3076200</v>
      </c>
    </row>
    <row r="2490" spans="1:7" x14ac:dyDescent="0.25">
      <c r="A2490" s="1" t="s">
        <v>2613</v>
      </c>
      <c r="B2490" s="76">
        <v>47.378982999999998</v>
      </c>
      <c r="C2490" s="76">
        <v>47.656993999999997</v>
      </c>
      <c r="D2490" s="76">
        <v>47.005859000000001</v>
      </c>
      <c r="E2490" s="76">
        <v>47.071705000000001</v>
      </c>
      <c r="F2490" s="76">
        <v>36.070045</v>
      </c>
      <c r="G2490" s="79">
        <v>3843900</v>
      </c>
    </row>
    <row r="2491" spans="1:7" x14ac:dyDescent="0.25">
      <c r="A2491" s="1" t="s">
        <v>2614</v>
      </c>
      <c r="B2491" s="76">
        <v>47.978901</v>
      </c>
      <c r="C2491" s="76">
        <v>48.695877000000003</v>
      </c>
      <c r="D2491" s="76">
        <v>47.583832000000001</v>
      </c>
      <c r="E2491" s="76">
        <v>47.898421999999997</v>
      </c>
      <c r="F2491" s="76">
        <v>36.703540999999902</v>
      </c>
      <c r="G2491" s="79">
        <v>3080500</v>
      </c>
    </row>
    <row r="2492" spans="1:7" x14ac:dyDescent="0.25">
      <c r="A2492" s="1" t="s">
        <v>2615</v>
      </c>
      <c r="B2492" s="76">
        <v>48.059376</v>
      </c>
      <c r="C2492" s="76">
        <v>48.059376</v>
      </c>
      <c r="D2492" s="76">
        <v>46.376677999999998</v>
      </c>
      <c r="E2492" s="76">
        <v>46.683951999999998</v>
      </c>
      <c r="F2492" s="76">
        <v>35.772922999999999</v>
      </c>
      <c r="G2492" s="79">
        <v>3013500</v>
      </c>
    </row>
    <row r="2493" spans="1:7" x14ac:dyDescent="0.25">
      <c r="A2493" s="1" t="s">
        <v>2616</v>
      </c>
      <c r="B2493" s="76">
        <v>46.837589000000001</v>
      </c>
      <c r="C2493" s="76">
        <v>47.444828000000001</v>
      </c>
      <c r="D2493" s="76">
        <v>46.683951999999998</v>
      </c>
      <c r="E2493" s="76">
        <v>47.013176000000001</v>
      </c>
      <c r="F2493" s="76">
        <v>36.025199999999998</v>
      </c>
      <c r="G2493" s="79">
        <v>1922700</v>
      </c>
    </row>
    <row r="2494" spans="1:7" x14ac:dyDescent="0.25">
      <c r="A2494" s="1" t="s">
        <v>2617</v>
      </c>
      <c r="B2494" s="76">
        <v>45.381691000000004</v>
      </c>
      <c r="C2494" s="76">
        <v>46.398623999999998</v>
      </c>
      <c r="D2494" s="76">
        <v>45.008567999999997</v>
      </c>
      <c r="E2494" s="76">
        <v>45.396320000000003</v>
      </c>
      <c r="F2494" s="76">
        <v>34.786231999999998</v>
      </c>
      <c r="G2494" s="79">
        <v>1457600</v>
      </c>
    </row>
    <row r="2495" spans="1:7" x14ac:dyDescent="0.25">
      <c r="A2495" s="1" t="s">
        <v>2618</v>
      </c>
      <c r="B2495" s="76">
        <v>45.645068999999999</v>
      </c>
      <c r="C2495" s="76">
        <v>48.037430000000001</v>
      </c>
      <c r="D2495" s="76">
        <v>45.315845000000003</v>
      </c>
      <c r="E2495" s="76">
        <v>47.891106000000001</v>
      </c>
      <c r="F2495" s="76">
        <v>36.697936999999897</v>
      </c>
      <c r="G2495" s="79">
        <v>4551000</v>
      </c>
    </row>
    <row r="2496" spans="1:7" x14ac:dyDescent="0.25">
      <c r="A2496" s="1" t="s">
        <v>2619</v>
      </c>
      <c r="B2496" s="76">
        <v>48.234962000000003</v>
      </c>
      <c r="C2496" s="76">
        <v>49.303111999999999</v>
      </c>
      <c r="D2496" s="76">
        <v>47.847209999999997</v>
      </c>
      <c r="E2496" s="76">
        <v>48.886096999999999</v>
      </c>
      <c r="F2496" s="76">
        <v>37.460369</v>
      </c>
      <c r="G2496" s="79">
        <v>3613900</v>
      </c>
    </row>
    <row r="2497" spans="1:7" x14ac:dyDescent="0.25">
      <c r="A2497" s="1" t="s">
        <v>2620</v>
      </c>
      <c r="B2497" s="76">
        <v>48.739773</v>
      </c>
      <c r="C2497" s="76">
        <v>50.568793999999997</v>
      </c>
      <c r="D2497" s="76">
        <v>48.571503</v>
      </c>
      <c r="E2497" s="76">
        <v>50.232253999999998</v>
      </c>
      <c r="F2497" s="76">
        <v>38.491894000000002</v>
      </c>
      <c r="G2497" s="79">
        <v>3664000</v>
      </c>
    </row>
    <row r="2498" spans="1:7" x14ac:dyDescent="0.25">
      <c r="A2498" s="1" t="s">
        <v>2621</v>
      </c>
      <c r="B2498" s="76">
        <v>49.793289000000001</v>
      </c>
      <c r="C2498" s="76">
        <v>51.702789000000003</v>
      </c>
      <c r="D2498" s="76">
        <v>49.742077000000002</v>
      </c>
      <c r="E2498" s="76">
        <v>49.968876000000002</v>
      </c>
      <c r="F2498" s="76">
        <v>38.290084999999998</v>
      </c>
      <c r="G2498" s="79">
        <v>5600900</v>
      </c>
    </row>
    <row r="2499" spans="1:7" x14ac:dyDescent="0.25">
      <c r="A2499" s="1" t="s">
        <v>2622</v>
      </c>
      <c r="B2499" s="76">
        <v>50.715117999999997</v>
      </c>
      <c r="C2499" s="76">
        <v>51.622310999999897</v>
      </c>
      <c r="D2499" s="76">
        <v>50.429789999999997</v>
      </c>
      <c r="E2499" s="76">
        <v>51.351616</v>
      </c>
      <c r="F2499" s="76">
        <v>39.349651000000001</v>
      </c>
      <c r="G2499" s="79">
        <v>4827900</v>
      </c>
    </row>
    <row r="2500" spans="1:7" x14ac:dyDescent="0.25">
      <c r="A2500" s="1" t="s">
        <v>2623</v>
      </c>
      <c r="B2500" s="76">
        <v>51.022391999999897</v>
      </c>
      <c r="C2500" s="76">
        <v>51.300404</v>
      </c>
      <c r="D2500" s="76">
        <v>50.217624999999998</v>
      </c>
      <c r="E2500" s="76">
        <v>50.488318999999997</v>
      </c>
      <c r="F2500" s="76">
        <v>38.688117999999903</v>
      </c>
      <c r="G2500" s="79">
        <v>5222400</v>
      </c>
    </row>
    <row r="2501" spans="1:7" x14ac:dyDescent="0.25">
      <c r="A2501" s="1" t="s">
        <v>2624</v>
      </c>
      <c r="B2501" s="76">
        <v>50.305415999999902</v>
      </c>
      <c r="C2501" s="76">
        <v>51.102871</v>
      </c>
      <c r="D2501" s="76">
        <v>50.042037999999998</v>
      </c>
      <c r="E2501" s="76">
        <v>50.429789999999997</v>
      </c>
      <c r="F2501" s="76">
        <v>38.643268999999997</v>
      </c>
      <c r="G2501" s="79">
        <v>4493200</v>
      </c>
    </row>
    <row r="2502" spans="1:7" x14ac:dyDescent="0.25">
      <c r="A2502" s="1" t="s">
        <v>2625</v>
      </c>
      <c r="B2502" s="76">
        <v>50.751697999999998</v>
      </c>
      <c r="C2502" s="76">
        <v>51.102871</v>
      </c>
      <c r="D2502" s="76">
        <v>50.115195999999997</v>
      </c>
      <c r="E2502" s="76">
        <v>50.554164999999998</v>
      </c>
      <c r="F2502" s="76">
        <v>38.738582999999998</v>
      </c>
      <c r="G2502" s="79">
        <v>3390900</v>
      </c>
    </row>
    <row r="2503" spans="1:7" x14ac:dyDescent="0.25">
      <c r="A2503" s="1" t="s">
        <v>2626</v>
      </c>
      <c r="B2503" s="76">
        <v>50.766331000000001</v>
      </c>
      <c r="C2503" s="76">
        <v>51.044342</v>
      </c>
      <c r="D2503" s="76">
        <v>49.961559000000001</v>
      </c>
      <c r="E2503" s="76">
        <v>50.320048999999997</v>
      </c>
      <c r="F2503" s="76">
        <v>38.559176999999998</v>
      </c>
      <c r="G2503" s="79">
        <v>2450600</v>
      </c>
    </row>
    <row r="2504" spans="1:7" x14ac:dyDescent="0.25">
      <c r="A2504" s="1" t="s">
        <v>2627</v>
      </c>
      <c r="B2504" s="76">
        <v>50.576110999999997</v>
      </c>
      <c r="C2504" s="76">
        <v>51.022391999999897</v>
      </c>
      <c r="D2504" s="76">
        <v>50.063983999999998</v>
      </c>
      <c r="E2504" s="76">
        <v>50.963863000000003</v>
      </c>
      <c r="F2504" s="76">
        <v>39.052512999999998</v>
      </c>
      <c r="G2504" s="79">
        <v>2726100</v>
      </c>
    </row>
    <row r="2505" spans="1:7" x14ac:dyDescent="0.25">
      <c r="A2505" s="1" t="s">
        <v>2628</v>
      </c>
      <c r="B2505" s="76">
        <v>51.073605000000001</v>
      </c>
      <c r="C2505" s="76">
        <v>51.936904999999904</v>
      </c>
      <c r="D2505" s="76">
        <v>50.488318999999997</v>
      </c>
      <c r="E2505" s="76">
        <v>51.871059000000002</v>
      </c>
      <c r="F2505" s="76">
        <v>39.747684</v>
      </c>
      <c r="G2505" s="79">
        <v>3551700</v>
      </c>
    </row>
    <row r="2506" spans="1:7" x14ac:dyDescent="0.25">
      <c r="A2506" s="1" t="s">
        <v>2629</v>
      </c>
      <c r="B2506" s="76">
        <v>51.388199</v>
      </c>
      <c r="C2506" s="76">
        <v>51.622310999999897</v>
      </c>
      <c r="D2506" s="76">
        <v>50.919967999999997</v>
      </c>
      <c r="E2506" s="76">
        <v>51.110188000000001</v>
      </c>
      <c r="F2506" s="76">
        <v>39.164645999999998</v>
      </c>
      <c r="G2506" s="79">
        <v>2768500</v>
      </c>
    </row>
    <row r="2507" spans="1:7" x14ac:dyDescent="0.25">
      <c r="A2507" s="1" t="s">
        <v>2630</v>
      </c>
      <c r="B2507" s="76">
        <v>51.475990000000003</v>
      </c>
      <c r="C2507" s="76">
        <v>51.871059000000002</v>
      </c>
      <c r="D2507" s="76">
        <v>50.956547</v>
      </c>
      <c r="E2507" s="76">
        <v>51.212612</v>
      </c>
      <c r="F2507" s="76">
        <v>39.243125999999997</v>
      </c>
      <c r="G2507" s="79">
        <v>2894300</v>
      </c>
    </row>
    <row r="2508" spans="1:7" x14ac:dyDescent="0.25">
      <c r="A2508" s="1" t="s">
        <v>2631</v>
      </c>
      <c r="B2508" s="76">
        <v>50.868755</v>
      </c>
      <c r="C2508" s="76">
        <v>51.402828</v>
      </c>
      <c r="D2508" s="76">
        <v>50.605376999999997</v>
      </c>
      <c r="E2508" s="76">
        <v>50.94923</v>
      </c>
      <c r="F2508" s="76">
        <v>39.041305999999999</v>
      </c>
      <c r="G2508" s="79">
        <v>3497000</v>
      </c>
    </row>
    <row r="2509" spans="1:7" x14ac:dyDescent="0.25">
      <c r="A2509" s="1" t="s">
        <v>2632</v>
      </c>
      <c r="B2509" s="76">
        <v>51.000445999999997</v>
      </c>
      <c r="C2509" s="76">
        <v>51.154083</v>
      </c>
      <c r="D2509" s="76">
        <v>50.107883000000001</v>
      </c>
      <c r="E2509" s="76">
        <v>50.883389000000001</v>
      </c>
      <c r="F2509" s="76">
        <v>38.990859999999998</v>
      </c>
      <c r="G2509" s="79">
        <v>3410500</v>
      </c>
    </row>
    <row r="2510" spans="1:7" x14ac:dyDescent="0.25">
      <c r="A2510" s="1" t="s">
        <v>2633</v>
      </c>
      <c r="B2510" s="76">
        <v>50.993130000000001</v>
      </c>
      <c r="C2510" s="76">
        <v>51.629626999999999</v>
      </c>
      <c r="D2510" s="76">
        <v>50.956547</v>
      </c>
      <c r="E2510" s="76">
        <v>51.468674</v>
      </c>
      <c r="F2510" s="76">
        <v>39.439346</v>
      </c>
      <c r="G2510" s="79">
        <v>2012600</v>
      </c>
    </row>
    <row r="2511" spans="1:7" x14ac:dyDescent="0.25">
      <c r="A2511" s="1" t="s">
        <v>2634</v>
      </c>
      <c r="B2511" s="76">
        <v>51.468674</v>
      </c>
      <c r="C2511" s="76">
        <v>51.914954999999999</v>
      </c>
      <c r="D2511" s="76">
        <v>51.110188000000001</v>
      </c>
      <c r="E2511" s="76">
        <v>51.578415</v>
      </c>
      <c r="F2511" s="76">
        <v>39.523440999999998</v>
      </c>
      <c r="G2511" s="79">
        <v>2162500</v>
      </c>
    </row>
    <row r="2512" spans="1:7" x14ac:dyDescent="0.25">
      <c r="A2512" s="1" t="s">
        <v>2635</v>
      </c>
      <c r="B2512" s="76">
        <v>51.512568999999999</v>
      </c>
      <c r="C2512" s="76">
        <v>52.741672999999999</v>
      </c>
      <c r="D2512" s="76">
        <v>51.512568999999999</v>
      </c>
      <c r="E2512" s="76">
        <v>51.914954999999999</v>
      </c>
      <c r="F2512" s="76">
        <v>39.781321999999903</v>
      </c>
      <c r="G2512" s="79">
        <v>2342000</v>
      </c>
    </row>
    <row r="2513" spans="1:7" x14ac:dyDescent="0.25">
      <c r="A2513" s="1" t="s">
        <v>2636</v>
      </c>
      <c r="B2513" s="76">
        <v>51.929588000000003</v>
      </c>
      <c r="C2513" s="76">
        <v>52.748989000000002</v>
      </c>
      <c r="D2513" s="76">
        <v>51.907639000000003</v>
      </c>
      <c r="E2513" s="76">
        <v>52.705092999999998</v>
      </c>
      <c r="F2513" s="76">
        <v>40.386783999999999</v>
      </c>
      <c r="G2513" s="79">
        <v>1076200</v>
      </c>
    </row>
    <row r="2514" spans="1:7" x14ac:dyDescent="0.25">
      <c r="A2514" s="1" t="s">
        <v>2637</v>
      </c>
      <c r="B2514" s="76">
        <v>52.983105000000002</v>
      </c>
      <c r="C2514" s="76">
        <v>54.109782999999901</v>
      </c>
      <c r="D2514" s="76">
        <v>52.763621999999998</v>
      </c>
      <c r="E2514" s="76">
        <v>53.041633999999902</v>
      </c>
      <c r="F2514" s="76">
        <v>40.644683999999998</v>
      </c>
      <c r="G2514" s="79">
        <v>2014800</v>
      </c>
    </row>
    <row r="2515" spans="1:7" x14ac:dyDescent="0.25">
      <c r="A2515" s="1" t="s">
        <v>2638</v>
      </c>
      <c r="B2515" s="76">
        <v>53.253799000000001</v>
      </c>
      <c r="C2515" s="76">
        <v>53.465964999999997</v>
      </c>
      <c r="D2515" s="76">
        <v>52.156387000000002</v>
      </c>
      <c r="E2515" s="76">
        <v>52.236862000000002</v>
      </c>
      <c r="F2515" s="76">
        <v>40.027991999999998</v>
      </c>
      <c r="G2515" s="79">
        <v>1521500</v>
      </c>
    </row>
    <row r="2516" spans="1:7" x14ac:dyDescent="0.25">
      <c r="A2516" s="1" t="s">
        <v>2639</v>
      </c>
      <c r="B2516" s="76">
        <v>51.914954999999999</v>
      </c>
      <c r="C2516" s="76">
        <v>52.214915999999903</v>
      </c>
      <c r="D2516" s="76">
        <v>51.454040999999997</v>
      </c>
      <c r="E2516" s="76">
        <v>52.214915999999903</v>
      </c>
      <c r="F2516" s="76">
        <v>40.011169000000002</v>
      </c>
      <c r="G2516" s="79">
        <v>1408900</v>
      </c>
    </row>
    <row r="2517" spans="1:7" x14ac:dyDescent="0.25">
      <c r="A2517" s="1" t="s">
        <v>2640</v>
      </c>
      <c r="B2517" s="76">
        <v>52.171016999999999</v>
      </c>
      <c r="C2517" s="76">
        <v>52.851413999999998</v>
      </c>
      <c r="D2517" s="76">
        <v>51.154083</v>
      </c>
      <c r="E2517" s="76">
        <v>51.168715999999897</v>
      </c>
      <c r="F2517" s="76">
        <v>39.209496000000001</v>
      </c>
      <c r="G2517" s="79">
        <v>1760300</v>
      </c>
    </row>
    <row r="2518" spans="1:7" x14ac:dyDescent="0.25">
      <c r="A2518" s="1" t="s">
        <v>2641</v>
      </c>
      <c r="B2518" s="76">
        <v>51.680840000000003</v>
      </c>
      <c r="C2518" s="76">
        <v>52.266128999999999</v>
      </c>
      <c r="D2518" s="76">
        <v>50.927284</v>
      </c>
      <c r="E2518" s="76">
        <v>51.227241999999997</v>
      </c>
      <c r="F2518" s="76">
        <v>39.254340999999997</v>
      </c>
      <c r="G2518" s="79">
        <v>2307500</v>
      </c>
    </row>
    <row r="2519" spans="1:7" x14ac:dyDescent="0.25">
      <c r="A2519" s="1" t="s">
        <v>2642</v>
      </c>
      <c r="B2519" s="76">
        <v>51.263824</v>
      </c>
      <c r="C2519" s="76">
        <v>51.263824</v>
      </c>
      <c r="D2519" s="76">
        <v>50.232253999999998</v>
      </c>
      <c r="E2519" s="76">
        <v>50.839489</v>
      </c>
      <c r="F2519" s="76">
        <v>38.957217999999997</v>
      </c>
      <c r="G2519" s="79">
        <v>2752000</v>
      </c>
    </row>
    <row r="2520" spans="1:7" x14ac:dyDescent="0.25">
      <c r="A2520" s="1" t="s">
        <v>2643</v>
      </c>
      <c r="B2520" s="76">
        <v>50.905334000000003</v>
      </c>
      <c r="C2520" s="76">
        <v>51.358932000000003</v>
      </c>
      <c r="D2520" s="76">
        <v>50.276153999999998</v>
      </c>
      <c r="E2520" s="76">
        <v>50.634639999999997</v>
      </c>
      <c r="F2520" s="76">
        <v>38.800235999999998</v>
      </c>
      <c r="G2520" s="79">
        <v>2105000</v>
      </c>
    </row>
    <row r="2521" spans="1:7" x14ac:dyDescent="0.25">
      <c r="A2521" s="1" t="s">
        <v>2644</v>
      </c>
      <c r="B2521" s="76">
        <v>50.481003000000001</v>
      </c>
      <c r="C2521" s="76">
        <v>52.017379999999903</v>
      </c>
      <c r="D2521" s="76">
        <v>50.188358000000001</v>
      </c>
      <c r="E2521" s="76">
        <v>51.417460999999903</v>
      </c>
      <c r="F2521" s="76">
        <v>39.400104999999897</v>
      </c>
      <c r="G2521" s="79">
        <v>2492100</v>
      </c>
    </row>
    <row r="2522" spans="1:7" x14ac:dyDescent="0.25">
      <c r="A2522" s="1" t="s">
        <v>2645</v>
      </c>
      <c r="B2522" s="76">
        <v>51.007759</v>
      </c>
      <c r="C2522" s="76">
        <v>51.234558</v>
      </c>
      <c r="D2522" s="76">
        <v>50.363945000000001</v>
      </c>
      <c r="E2522" s="76">
        <v>50.846806000000001</v>
      </c>
      <c r="F2522" s="76">
        <v>38.962814000000002</v>
      </c>
      <c r="G2522" s="79">
        <v>1729900</v>
      </c>
    </row>
    <row r="2523" spans="1:7" x14ac:dyDescent="0.25">
      <c r="A2523" s="1" t="s">
        <v>2646</v>
      </c>
      <c r="B2523" s="76">
        <v>51.044342</v>
      </c>
      <c r="C2523" s="76">
        <v>51.315036999999997</v>
      </c>
      <c r="D2523" s="76">
        <v>50.590744000000001</v>
      </c>
      <c r="E2523" s="76">
        <v>51.007759</v>
      </c>
      <c r="F2523" s="76">
        <v>39.086162999999999</v>
      </c>
      <c r="G2523" s="79">
        <v>1449600</v>
      </c>
    </row>
    <row r="2524" spans="1:7" x14ac:dyDescent="0.25">
      <c r="A2524" s="1" t="s">
        <v>2647</v>
      </c>
      <c r="B2524" s="76">
        <v>50.649273000000001</v>
      </c>
      <c r="C2524" s="76">
        <v>51.000445999999997</v>
      </c>
      <c r="D2524" s="76">
        <v>49.749392999999998</v>
      </c>
      <c r="E2524" s="76">
        <v>50.305415999999902</v>
      </c>
      <c r="F2524" s="76">
        <v>38.547961999999998</v>
      </c>
      <c r="G2524" s="79">
        <v>2121200</v>
      </c>
    </row>
    <row r="2525" spans="1:7" x14ac:dyDescent="0.25">
      <c r="A2525" s="1" t="s">
        <v>2648</v>
      </c>
      <c r="B2525" s="76">
        <v>50.473686000000001</v>
      </c>
      <c r="C2525" s="76">
        <v>51.644259999999903</v>
      </c>
      <c r="D2525" s="76">
        <v>50.151778999999998</v>
      </c>
      <c r="E2525" s="76">
        <v>51.549151999999999</v>
      </c>
      <c r="F2525" s="76">
        <v>39.501015000000002</v>
      </c>
      <c r="G2525" s="79">
        <v>2809700</v>
      </c>
    </row>
    <row r="2526" spans="1:7" x14ac:dyDescent="0.25">
      <c r="A2526" s="1" t="s">
        <v>2649</v>
      </c>
      <c r="B2526" s="76">
        <v>51.380882</v>
      </c>
      <c r="C2526" s="76">
        <v>51.863742999999999</v>
      </c>
      <c r="D2526" s="76">
        <v>51.132133000000003</v>
      </c>
      <c r="E2526" s="76">
        <v>51.761318000000003</v>
      </c>
      <c r="F2526" s="76">
        <v>39.663585999999903</v>
      </c>
      <c r="G2526" s="79">
        <v>2268900</v>
      </c>
    </row>
    <row r="2527" spans="1:7" x14ac:dyDescent="0.25">
      <c r="A2527" s="1" t="s">
        <v>2650</v>
      </c>
      <c r="B2527" s="76">
        <v>51.585732</v>
      </c>
      <c r="C2527" s="76">
        <v>51.812531</v>
      </c>
      <c r="D2527" s="76">
        <v>51.022391999999897</v>
      </c>
      <c r="E2527" s="76">
        <v>51.285769999999999</v>
      </c>
      <c r="F2527" s="76">
        <v>39.299205999999998</v>
      </c>
      <c r="G2527" s="79">
        <v>2863700</v>
      </c>
    </row>
    <row r="2528" spans="1:7" x14ac:dyDescent="0.25">
      <c r="A2528" s="1" t="s">
        <v>2651</v>
      </c>
      <c r="B2528" s="76">
        <v>51.315036999999997</v>
      </c>
      <c r="C2528" s="76">
        <v>51.980801</v>
      </c>
      <c r="D2528" s="76">
        <v>51.080920999999996</v>
      </c>
      <c r="E2528" s="76">
        <v>51.710106000000003</v>
      </c>
      <c r="F2528" s="76">
        <v>39.624347999999998</v>
      </c>
      <c r="G2528" s="79">
        <v>3320500</v>
      </c>
    </row>
    <row r="2529" spans="1:7" x14ac:dyDescent="0.25">
      <c r="A2529" s="1" t="s">
        <v>2652</v>
      </c>
      <c r="B2529" s="76">
        <v>51.366248999999897</v>
      </c>
      <c r="C2529" s="76">
        <v>51.366248999999897</v>
      </c>
      <c r="D2529" s="76">
        <v>50.378577999999997</v>
      </c>
      <c r="E2529" s="76">
        <v>50.590744000000001</v>
      </c>
      <c r="F2529" s="76">
        <v>38.766613</v>
      </c>
      <c r="G2529" s="79">
        <v>2609200</v>
      </c>
    </row>
    <row r="2530" spans="1:7" x14ac:dyDescent="0.25">
      <c r="A2530" s="1" t="s">
        <v>2653</v>
      </c>
      <c r="B2530" s="76">
        <v>50.612693999999998</v>
      </c>
      <c r="C2530" s="76">
        <v>50.934601000000001</v>
      </c>
      <c r="D2530" s="76">
        <v>48.593451999999999</v>
      </c>
      <c r="E2530" s="76">
        <v>48.651980999999999</v>
      </c>
      <c r="F2530" s="76">
        <v>37.280971999999998</v>
      </c>
      <c r="G2530" s="79">
        <v>3954100</v>
      </c>
    </row>
    <row r="2531" spans="1:7" x14ac:dyDescent="0.25">
      <c r="A2531" s="1" t="s">
        <v>2654</v>
      </c>
      <c r="B2531" s="76">
        <v>48.637347999999903</v>
      </c>
      <c r="C2531" s="76">
        <v>49.215321000000003</v>
      </c>
      <c r="D2531" s="76">
        <v>47.122917000000001</v>
      </c>
      <c r="E2531" s="76">
        <v>47.342399999999998</v>
      </c>
      <c r="F2531" s="76">
        <v>36.277465999999997</v>
      </c>
      <c r="G2531" s="79">
        <v>3469000</v>
      </c>
    </row>
    <row r="2532" spans="1:7" x14ac:dyDescent="0.25">
      <c r="A2532" s="1" t="s">
        <v>2655</v>
      </c>
      <c r="B2532" s="76">
        <v>48.110591999999997</v>
      </c>
      <c r="C2532" s="76">
        <v>48.110591999999997</v>
      </c>
      <c r="D2532" s="76">
        <v>46.815643000000001</v>
      </c>
      <c r="E2532" s="76">
        <v>47.488723999999998</v>
      </c>
      <c r="F2532" s="76">
        <v>36.389590999999903</v>
      </c>
      <c r="G2532" s="79">
        <v>3221100</v>
      </c>
    </row>
    <row r="2533" spans="1:7" x14ac:dyDescent="0.25">
      <c r="A2533" s="1" t="s">
        <v>2656</v>
      </c>
      <c r="B2533" s="76">
        <v>46.822959999999902</v>
      </c>
      <c r="C2533" s="76">
        <v>47.700890000000001</v>
      </c>
      <c r="D2533" s="76">
        <v>46.640056999999999</v>
      </c>
      <c r="E2533" s="76">
        <v>46.947330000000001</v>
      </c>
      <c r="F2533" s="76">
        <v>36.338627000000002</v>
      </c>
      <c r="G2533" s="79">
        <v>2659100</v>
      </c>
    </row>
    <row r="2534" spans="1:7" x14ac:dyDescent="0.25">
      <c r="A2534" s="1" t="s">
        <v>2657</v>
      </c>
      <c r="B2534" s="76">
        <v>46.786377000000002</v>
      </c>
      <c r="C2534" s="76">
        <v>47.700890000000001</v>
      </c>
      <c r="D2534" s="76">
        <v>46.193775000000002</v>
      </c>
      <c r="E2534" s="76">
        <v>47.620410999999997</v>
      </c>
      <c r="F2534" s="76">
        <v>36.859614999999998</v>
      </c>
      <c r="G2534" s="79">
        <v>2940000</v>
      </c>
    </row>
    <row r="2535" spans="1:7" x14ac:dyDescent="0.25">
      <c r="A2535" s="1" t="s">
        <v>2658</v>
      </c>
      <c r="B2535" s="76">
        <v>47.905738999999997</v>
      </c>
      <c r="C2535" s="76">
        <v>48.022796999999997</v>
      </c>
      <c r="D2535" s="76">
        <v>47.013176000000001</v>
      </c>
      <c r="E2535" s="76">
        <v>47.327770000000001</v>
      </c>
      <c r="F2535" s="76">
        <v>36.633105999999998</v>
      </c>
      <c r="G2535" s="79">
        <v>2597900</v>
      </c>
    </row>
    <row r="2536" spans="1:7" x14ac:dyDescent="0.25">
      <c r="A2536" s="1" t="s">
        <v>2659</v>
      </c>
      <c r="B2536" s="76">
        <v>47.532618999999997</v>
      </c>
      <c r="C2536" s="76">
        <v>48.264229</v>
      </c>
      <c r="D2536" s="76">
        <v>47.013176000000001</v>
      </c>
      <c r="E2536" s="76">
        <v>47.320453999999998</v>
      </c>
      <c r="F2536" s="76">
        <v>36.627440999999997</v>
      </c>
      <c r="G2536" s="79">
        <v>3825800</v>
      </c>
    </row>
    <row r="2537" spans="1:7" x14ac:dyDescent="0.25">
      <c r="A2537" s="1" t="s">
        <v>2660</v>
      </c>
      <c r="B2537" s="76">
        <v>47.678939999999997</v>
      </c>
      <c r="C2537" s="76">
        <v>48.330073999999897</v>
      </c>
      <c r="D2537" s="76">
        <v>47.583832000000001</v>
      </c>
      <c r="E2537" s="76">
        <v>48.330073999999897</v>
      </c>
      <c r="F2537" s="76">
        <v>37.408920000000002</v>
      </c>
      <c r="G2537" s="79">
        <v>3043300</v>
      </c>
    </row>
    <row r="2538" spans="1:7" x14ac:dyDescent="0.25">
      <c r="A2538" s="1" t="s">
        <v>2661</v>
      </c>
      <c r="B2538" s="76">
        <v>48.483711</v>
      </c>
      <c r="C2538" s="76">
        <v>49.032416999999903</v>
      </c>
      <c r="D2538" s="76">
        <v>47.832580999999998</v>
      </c>
      <c r="E2538" s="76">
        <v>48.922676000000003</v>
      </c>
      <c r="F2538" s="76">
        <v>37.867603000000003</v>
      </c>
      <c r="G2538" s="79">
        <v>3185800</v>
      </c>
    </row>
    <row r="2539" spans="1:7" x14ac:dyDescent="0.25">
      <c r="A2539" s="1" t="s">
        <v>2662</v>
      </c>
      <c r="B2539" s="76">
        <v>48.600769</v>
      </c>
      <c r="C2539" s="76">
        <v>48.615397999999999</v>
      </c>
      <c r="D2539" s="76">
        <v>47.642361000000001</v>
      </c>
      <c r="E2539" s="76">
        <v>47.942321999999997</v>
      </c>
      <c r="F2539" s="76">
        <v>37.108784</v>
      </c>
      <c r="G2539" s="79">
        <v>2344400</v>
      </c>
    </row>
    <row r="2540" spans="1:7" x14ac:dyDescent="0.25">
      <c r="A2540" s="1" t="s">
        <v>2663</v>
      </c>
      <c r="B2540" s="76">
        <v>47.642361000000001</v>
      </c>
      <c r="C2540" s="76">
        <v>47.803314</v>
      </c>
      <c r="D2540" s="76">
        <v>46.120612999999999</v>
      </c>
      <c r="E2540" s="76">
        <v>46.186458999999999</v>
      </c>
      <c r="F2540" s="76">
        <v>35.749690999999999</v>
      </c>
      <c r="G2540" s="79">
        <v>4845800</v>
      </c>
    </row>
    <row r="2541" spans="1:7" x14ac:dyDescent="0.25">
      <c r="A2541" s="1" t="s">
        <v>2664</v>
      </c>
      <c r="B2541" s="76">
        <v>46.332782999999999</v>
      </c>
      <c r="C2541" s="76">
        <v>47.335082999999997</v>
      </c>
      <c r="D2541" s="76">
        <v>45.549960999999897</v>
      </c>
      <c r="E2541" s="76">
        <v>47.020493000000002</v>
      </c>
      <c r="F2541" s="76">
        <v>36.395255999999897</v>
      </c>
      <c r="G2541" s="79">
        <v>4193900</v>
      </c>
    </row>
    <row r="2542" spans="1:7" x14ac:dyDescent="0.25">
      <c r="A2542" s="1" t="s">
        <v>2665</v>
      </c>
      <c r="B2542" s="76">
        <v>46.903434999999902</v>
      </c>
      <c r="C2542" s="76">
        <v>47.532618999999997</v>
      </c>
      <c r="D2542" s="76">
        <v>45.871867999999999</v>
      </c>
      <c r="E2542" s="76">
        <v>45.996243</v>
      </c>
      <c r="F2542" s="76">
        <v>35.602454999999999</v>
      </c>
      <c r="G2542" s="79">
        <v>2840500</v>
      </c>
    </row>
    <row r="2543" spans="1:7" x14ac:dyDescent="0.25">
      <c r="A2543" s="1" t="s">
        <v>2666</v>
      </c>
      <c r="B2543" s="76">
        <v>46.559578000000002</v>
      </c>
      <c r="C2543" s="76">
        <v>46.859538999999998</v>
      </c>
      <c r="D2543" s="76">
        <v>45.345108000000003</v>
      </c>
      <c r="E2543" s="76">
        <v>46.098666999999999</v>
      </c>
      <c r="F2543" s="76">
        <v>35.681746999999902</v>
      </c>
      <c r="G2543" s="79">
        <v>3291000</v>
      </c>
    </row>
    <row r="2544" spans="1:7" x14ac:dyDescent="0.25">
      <c r="A2544" s="1" t="s">
        <v>2667</v>
      </c>
      <c r="B2544" s="76">
        <v>46.032821999999904</v>
      </c>
      <c r="C2544" s="76">
        <v>46.603476999999998</v>
      </c>
      <c r="D2544" s="76">
        <v>45.184154999999997</v>
      </c>
      <c r="E2544" s="76">
        <v>45.915764000000003</v>
      </c>
      <c r="F2544" s="76">
        <v>35.540165000000002</v>
      </c>
      <c r="G2544" s="79">
        <v>3038700</v>
      </c>
    </row>
    <row r="2545" spans="1:7" x14ac:dyDescent="0.25">
      <c r="A2545" s="1" t="s">
        <v>2668</v>
      </c>
      <c r="B2545" s="76">
        <v>45.857234999999903</v>
      </c>
      <c r="C2545" s="76">
        <v>46.084034000000003</v>
      </c>
      <c r="D2545" s="76">
        <v>45.271949999999997</v>
      </c>
      <c r="E2545" s="76">
        <v>45.718231000000003</v>
      </c>
      <c r="F2545" s="76">
        <v>35.387267999999999</v>
      </c>
      <c r="G2545" s="79">
        <v>3228200</v>
      </c>
    </row>
    <row r="2546" spans="1:7" x14ac:dyDescent="0.25">
      <c r="A2546" s="1" t="s">
        <v>2669</v>
      </c>
      <c r="B2546" s="76">
        <v>45.242683</v>
      </c>
      <c r="C2546" s="76">
        <v>46.003554999999999</v>
      </c>
      <c r="D2546" s="76">
        <v>44.811034999999997</v>
      </c>
      <c r="E2546" s="76">
        <v>45.871867999999999</v>
      </c>
      <c r="F2546" s="76">
        <v>35.506183999999998</v>
      </c>
      <c r="G2546" s="79">
        <v>3342600</v>
      </c>
    </row>
    <row r="2547" spans="1:7" x14ac:dyDescent="0.25">
      <c r="A2547" s="1" t="s">
        <v>2670</v>
      </c>
      <c r="B2547" s="76">
        <v>46.208407999999999</v>
      </c>
      <c r="C2547" s="76">
        <v>47.174129000000001</v>
      </c>
      <c r="D2547" s="76">
        <v>45.966976000000003</v>
      </c>
      <c r="E2547" s="76">
        <v>47.130234000000002</v>
      </c>
      <c r="F2547" s="76">
        <v>36.480198000000001</v>
      </c>
      <c r="G2547" s="79">
        <v>3627700</v>
      </c>
    </row>
    <row r="2548" spans="1:7" x14ac:dyDescent="0.25">
      <c r="A2548" s="1" t="s">
        <v>2671</v>
      </c>
      <c r="B2548" s="76">
        <v>47.510669999999998</v>
      </c>
      <c r="C2548" s="76">
        <v>47.510669999999998</v>
      </c>
      <c r="D2548" s="76">
        <v>46.193775000000002</v>
      </c>
      <c r="E2548" s="76">
        <v>46.705902000000002</v>
      </c>
      <c r="F2548" s="76">
        <v>36.151755999999999</v>
      </c>
      <c r="G2548" s="79">
        <v>3262800</v>
      </c>
    </row>
    <row r="2549" spans="1:7" x14ac:dyDescent="0.25">
      <c r="A2549" s="1" t="s">
        <v>2672</v>
      </c>
      <c r="B2549" s="76">
        <v>46.588844000000002</v>
      </c>
      <c r="C2549" s="76">
        <v>47.649676999999997</v>
      </c>
      <c r="D2549" s="76">
        <v>46.296199999999999</v>
      </c>
      <c r="E2549" s="76">
        <v>47.430194999999998</v>
      </c>
      <c r="F2549" s="76">
        <v>36.712387</v>
      </c>
      <c r="G2549" s="79">
        <v>2513100</v>
      </c>
    </row>
    <row r="2550" spans="1:7" x14ac:dyDescent="0.25">
      <c r="A2550" s="1" t="s">
        <v>2673</v>
      </c>
      <c r="B2550" s="76">
        <v>47.203395999999998</v>
      </c>
      <c r="C2550" s="76">
        <v>48.278861999999997</v>
      </c>
      <c r="D2550" s="76">
        <v>46.910750999999998</v>
      </c>
      <c r="E2550" s="76">
        <v>48.008163000000003</v>
      </c>
      <c r="F2550" s="76">
        <v>37.159744000000003</v>
      </c>
      <c r="G2550" s="79">
        <v>2870300</v>
      </c>
    </row>
    <row r="2551" spans="1:7" x14ac:dyDescent="0.25">
      <c r="A2551" s="1" t="s">
        <v>2674</v>
      </c>
      <c r="B2551" s="76">
        <v>48.234962000000003</v>
      </c>
      <c r="C2551" s="76">
        <v>48.388603000000003</v>
      </c>
      <c r="D2551" s="76">
        <v>47.832580999999998</v>
      </c>
      <c r="E2551" s="76">
        <v>48.052062999999997</v>
      </c>
      <c r="F2551" s="76">
        <v>37.193728999999998</v>
      </c>
      <c r="G2551" s="79">
        <v>2155600</v>
      </c>
    </row>
    <row r="2552" spans="1:7" x14ac:dyDescent="0.25">
      <c r="A2552" s="1" t="s">
        <v>2675</v>
      </c>
      <c r="B2552" s="76">
        <v>47.225341999999998</v>
      </c>
      <c r="C2552" s="76">
        <v>48.030113</v>
      </c>
      <c r="D2552" s="76">
        <v>47.181446000000001</v>
      </c>
      <c r="E2552" s="76">
        <v>47.239975000000001</v>
      </c>
      <c r="F2552" s="76">
        <v>36.56514</v>
      </c>
      <c r="G2552" s="79">
        <v>2368100</v>
      </c>
    </row>
    <row r="2553" spans="1:7" x14ac:dyDescent="0.25">
      <c r="A2553" s="1" t="s">
        <v>2676</v>
      </c>
      <c r="B2553" s="76">
        <v>47.620410999999997</v>
      </c>
      <c r="C2553" s="76">
        <v>48.022796999999997</v>
      </c>
      <c r="D2553" s="76">
        <v>47.042442000000001</v>
      </c>
      <c r="E2553" s="76">
        <v>47.781364000000004</v>
      </c>
      <c r="F2553" s="76">
        <v>36.984192</v>
      </c>
      <c r="G2553" s="79">
        <v>2223400</v>
      </c>
    </row>
    <row r="2554" spans="1:7" x14ac:dyDescent="0.25">
      <c r="A2554" s="1" t="s">
        <v>2677</v>
      </c>
      <c r="B2554" s="76">
        <v>47.261924999999998</v>
      </c>
      <c r="C2554" s="76">
        <v>48.103274999999996</v>
      </c>
      <c r="D2554" s="76">
        <v>47.035125999999998</v>
      </c>
      <c r="E2554" s="76">
        <v>48.059376</v>
      </c>
      <c r="F2554" s="76">
        <v>37.199390000000001</v>
      </c>
      <c r="G2554" s="79">
        <v>1689400</v>
      </c>
    </row>
    <row r="2555" spans="1:7" x14ac:dyDescent="0.25">
      <c r="A2555" s="1" t="s">
        <v>2678</v>
      </c>
      <c r="B2555" s="76">
        <v>48.030113</v>
      </c>
      <c r="C2555" s="76">
        <v>48.593451999999999</v>
      </c>
      <c r="D2555" s="76">
        <v>47.452140999999997</v>
      </c>
      <c r="E2555" s="76">
        <v>48.081325999999997</v>
      </c>
      <c r="F2555" s="76">
        <v>37.216372999999997</v>
      </c>
      <c r="G2555" s="79">
        <v>3436800</v>
      </c>
    </row>
    <row r="2556" spans="1:7" x14ac:dyDescent="0.25">
      <c r="A2556" s="1" t="s">
        <v>2679</v>
      </c>
      <c r="B2556" s="76">
        <v>48.278861999999997</v>
      </c>
      <c r="C2556" s="76">
        <v>48.856831</v>
      </c>
      <c r="D2556" s="76">
        <v>48.008163000000003</v>
      </c>
      <c r="E2556" s="76">
        <v>48.425182</v>
      </c>
      <c r="F2556" s="76">
        <v>37.482535999999897</v>
      </c>
      <c r="G2556" s="79">
        <v>1730100</v>
      </c>
    </row>
    <row r="2557" spans="1:7" x14ac:dyDescent="0.25">
      <c r="A2557" s="1" t="s">
        <v>2680</v>
      </c>
      <c r="B2557" s="76">
        <v>48.637347999999903</v>
      </c>
      <c r="C2557" s="76">
        <v>49.017783999999999</v>
      </c>
      <c r="D2557" s="76">
        <v>48.417865999999997</v>
      </c>
      <c r="E2557" s="76">
        <v>48.54224</v>
      </c>
      <c r="F2557" s="76">
        <v>37.573135000000001</v>
      </c>
      <c r="G2557" s="79">
        <v>1814700</v>
      </c>
    </row>
    <row r="2558" spans="1:7" x14ac:dyDescent="0.25">
      <c r="A2558" s="1" t="s">
        <v>2681</v>
      </c>
      <c r="B2558" s="76">
        <v>48.659298</v>
      </c>
      <c r="C2558" s="76">
        <v>49.017783999999999</v>
      </c>
      <c r="D2558" s="76">
        <v>48.249595999999997</v>
      </c>
      <c r="E2558" s="76">
        <v>48.615397999999999</v>
      </c>
      <c r="F2558" s="76">
        <v>37.629764999999999</v>
      </c>
      <c r="G2558" s="79">
        <v>1557500</v>
      </c>
    </row>
    <row r="2559" spans="1:7" x14ac:dyDescent="0.25">
      <c r="A2559" s="1" t="s">
        <v>2682</v>
      </c>
      <c r="B2559" s="76">
        <v>48.600769</v>
      </c>
      <c r="C2559" s="76">
        <v>49.237266999999903</v>
      </c>
      <c r="D2559" s="76">
        <v>48.491028</v>
      </c>
      <c r="E2559" s="76">
        <v>49.112895999999999</v>
      </c>
      <c r="F2559" s="76">
        <v>38.014839000000002</v>
      </c>
      <c r="G2559" s="79">
        <v>1991600</v>
      </c>
    </row>
    <row r="2560" spans="1:7" x14ac:dyDescent="0.25">
      <c r="A2560" s="1" t="s">
        <v>2683</v>
      </c>
      <c r="B2560" s="76">
        <v>49.368957999999999</v>
      </c>
      <c r="C2560" s="76">
        <v>50.780963999999997</v>
      </c>
      <c r="D2560" s="76">
        <v>49.164107999999999</v>
      </c>
      <c r="E2560" s="76">
        <v>50.671219000000001</v>
      </c>
      <c r="F2560" s="76">
        <v>39.221020000000003</v>
      </c>
      <c r="G2560" s="79">
        <v>2285200</v>
      </c>
    </row>
    <row r="2561" spans="1:7" x14ac:dyDescent="0.25">
      <c r="A2561" s="1" t="s">
        <v>2684</v>
      </c>
      <c r="B2561" s="76">
        <v>50.678534999999997</v>
      </c>
      <c r="C2561" s="76">
        <v>51.797896999999999</v>
      </c>
      <c r="D2561" s="76">
        <v>50.671219000000001</v>
      </c>
      <c r="E2561" s="76">
        <v>51.600364999999996</v>
      </c>
      <c r="F2561" s="76">
        <v>39.940207999999998</v>
      </c>
      <c r="G2561" s="79">
        <v>1721900</v>
      </c>
    </row>
    <row r="2562" spans="1:7" x14ac:dyDescent="0.25">
      <c r="A2562" s="1" t="s">
        <v>2685</v>
      </c>
      <c r="B2562" s="76">
        <v>51.351616</v>
      </c>
      <c r="C2562" s="76">
        <v>52.646563999999998</v>
      </c>
      <c r="D2562" s="76">
        <v>51.234558</v>
      </c>
      <c r="E2562" s="76">
        <v>52.266128999999999</v>
      </c>
      <c r="F2562" s="76">
        <v>40.455535999999903</v>
      </c>
      <c r="G2562" s="79">
        <v>2177400</v>
      </c>
    </row>
    <row r="2563" spans="1:7" x14ac:dyDescent="0.25">
      <c r="A2563" s="1" t="s">
        <v>2686</v>
      </c>
      <c r="B2563" s="76">
        <v>52.244178999999903</v>
      </c>
      <c r="C2563" s="76">
        <v>53.246482999999998</v>
      </c>
      <c r="D2563" s="76">
        <v>52.119803999999903</v>
      </c>
      <c r="E2563" s="76">
        <v>53.239165999999997</v>
      </c>
      <c r="F2563" s="76">
        <v>41.208697999999998</v>
      </c>
      <c r="G2563" s="79">
        <v>2195200</v>
      </c>
    </row>
    <row r="2564" spans="1:7" x14ac:dyDescent="0.25">
      <c r="A2564" s="1" t="s">
        <v>2687</v>
      </c>
      <c r="B2564" s="76">
        <v>52.851413999999998</v>
      </c>
      <c r="C2564" s="76">
        <v>53.524493999999997</v>
      </c>
      <c r="D2564" s="76">
        <v>52.697777000000002</v>
      </c>
      <c r="E2564" s="76">
        <v>53.509861000000001</v>
      </c>
      <c r="F2564" s="76">
        <v>41.418232000000003</v>
      </c>
      <c r="G2564" s="79">
        <v>1886800</v>
      </c>
    </row>
    <row r="2565" spans="1:7" x14ac:dyDescent="0.25">
      <c r="A2565" s="1" t="s">
        <v>2688</v>
      </c>
      <c r="B2565" s="76">
        <v>53.948830000000001</v>
      </c>
      <c r="C2565" s="76">
        <v>54.197575000000001</v>
      </c>
      <c r="D2565" s="76">
        <v>53.370856999999901</v>
      </c>
      <c r="E2565" s="76">
        <v>53.992725</v>
      </c>
      <c r="F2565" s="76">
        <v>41.791972999999999</v>
      </c>
      <c r="G2565" s="79">
        <v>2195100</v>
      </c>
    </row>
    <row r="2566" spans="1:7" x14ac:dyDescent="0.25">
      <c r="A2566" s="1" t="s">
        <v>2689</v>
      </c>
      <c r="B2566" s="76">
        <v>53.875667999999997</v>
      </c>
      <c r="C2566" s="76">
        <v>54.190257999999901</v>
      </c>
      <c r="D2566" s="76">
        <v>53.180636999999997</v>
      </c>
      <c r="E2566" s="76">
        <v>53.861033999999997</v>
      </c>
      <c r="F2566" s="76">
        <v>41.690047999999997</v>
      </c>
      <c r="G2566" s="79">
        <v>1696400</v>
      </c>
    </row>
    <row r="2567" spans="1:7" x14ac:dyDescent="0.25">
      <c r="A2567" s="1" t="s">
        <v>2690</v>
      </c>
      <c r="B2567" s="76">
        <v>54.065883999999997</v>
      </c>
      <c r="C2567" s="76">
        <v>55.338885999999903</v>
      </c>
      <c r="D2567" s="76">
        <v>53.817138999999997</v>
      </c>
      <c r="E2567" s="76">
        <v>55.170616000000003</v>
      </c>
      <c r="F2567" s="76">
        <v>42.703693000000001</v>
      </c>
      <c r="G2567" s="79">
        <v>2471900</v>
      </c>
    </row>
    <row r="2568" spans="1:7" x14ac:dyDescent="0.25">
      <c r="A2568" s="1" t="s">
        <v>2691</v>
      </c>
      <c r="B2568" s="76">
        <v>55.294986999999999</v>
      </c>
      <c r="C2568" s="76">
        <v>56.129020999999902</v>
      </c>
      <c r="D2568" s="76">
        <v>55.126716999999999</v>
      </c>
      <c r="E2568" s="76">
        <v>55.792479999999998</v>
      </c>
      <c r="F2568" s="76">
        <v>43.185032</v>
      </c>
      <c r="G2568" s="79">
        <v>2272700</v>
      </c>
    </row>
    <row r="2569" spans="1:7" x14ac:dyDescent="0.25">
      <c r="A2569" s="1" t="s">
        <v>2692</v>
      </c>
      <c r="B2569" s="76">
        <v>55.887591999999998</v>
      </c>
      <c r="C2569" s="76">
        <v>56.246077999999997</v>
      </c>
      <c r="D2569" s="76">
        <v>55.477890000000002</v>
      </c>
      <c r="E2569" s="76">
        <v>55.660792999999998</v>
      </c>
      <c r="F2569" s="76">
        <v>43.083110999999903</v>
      </c>
      <c r="G2569" s="79">
        <v>1740200</v>
      </c>
    </row>
    <row r="2570" spans="1:7" x14ac:dyDescent="0.25">
      <c r="A2570" s="1" t="s">
        <v>2693</v>
      </c>
      <c r="B2570" s="76">
        <v>55.185245999999999</v>
      </c>
      <c r="C2570" s="76">
        <v>56.099757999999902</v>
      </c>
      <c r="D2570" s="76">
        <v>54.958447</v>
      </c>
      <c r="E2570" s="76">
        <v>55.185245999999999</v>
      </c>
      <c r="F2570" s="76">
        <v>42.715022999999903</v>
      </c>
      <c r="G2570" s="79">
        <v>2654000</v>
      </c>
    </row>
    <row r="2571" spans="1:7" x14ac:dyDescent="0.25">
      <c r="A2571" s="1" t="s">
        <v>2694</v>
      </c>
      <c r="B2571" s="76">
        <v>54.724334999999897</v>
      </c>
      <c r="C2571" s="76">
        <v>55.880276000000002</v>
      </c>
      <c r="D2571" s="76">
        <v>54.724334999999897</v>
      </c>
      <c r="E2571" s="76">
        <v>55.507153000000002</v>
      </c>
      <c r="F2571" s="76">
        <v>42.964179999999999</v>
      </c>
      <c r="G2571" s="79">
        <v>1760700</v>
      </c>
    </row>
    <row r="2572" spans="1:7" x14ac:dyDescent="0.25">
      <c r="A2572" s="1" t="s">
        <v>2695</v>
      </c>
      <c r="B2572" s="76">
        <v>55.616897999999999</v>
      </c>
      <c r="C2572" s="76">
        <v>55.682738999999998</v>
      </c>
      <c r="D2572" s="76">
        <v>54.892605000000003</v>
      </c>
      <c r="E2572" s="76">
        <v>55.572997999999998</v>
      </c>
      <c r="F2572" s="76">
        <v>43.015159999999902</v>
      </c>
      <c r="G2572" s="79">
        <v>1656600</v>
      </c>
    </row>
    <row r="2573" spans="1:7" x14ac:dyDescent="0.25">
      <c r="A2573" s="1" t="s">
        <v>2696</v>
      </c>
      <c r="B2573" s="76">
        <v>55.404727999999999</v>
      </c>
      <c r="C2573" s="76">
        <v>56.370452999999998</v>
      </c>
      <c r="D2573" s="76">
        <v>55.353515999999999</v>
      </c>
      <c r="E2573" s="76">
        <v>55.887591999999998</v>
      </c>
      <c r="F2573" s="76">
        <v>43.258651999999998</v>
      </c>
      <c r="G2573" s="79">
        <v>1875800</v>
      </c>
    </row>
    <row r="2574" spans="1:7" x14ac:dyDescent="0.25">
      <c r="A2574" s="1" t="s">
        <v>2697</v>
      </c>
      <c r="B2574" s="76">
        <v>56.282660999999997</v>
      </c>
      <c r="C2574" s="76">
        <v>57.358123999999997</v>
      </c>
      <c r="D2574" s="76">
        <v>56.107075000000002</v>
      </c>
      <c r="E2574" s="76">
        <v>56.180232999999902</v>
      </c>
      <c r="F2574" s="76">
        <v>43.485176000000003</v>
      </c>
      <c r="G2574" s="79">
        <v>2359800</v>
      </c>
    </row>
    <row r="2575" spans="1:7" x14ac:dyDescent="0.25">
      <c r="A2575" s="1" t="s">
        <v>2698</v>
      </c>
      <c r="B2575" s="76">
        <v>56.407031999999901</v>
      </c>
      <c r="C2575" s="76">
        <v>56.531405999999997</v>
      </c>
      <c r="D2575" s="76">
        <v>55.660792999999998</v>
      </c>
      <c r="E2575" s="76">
        <v>55.997333999999903</v>
      </c>
      <c r="F2575" s="76">
        <v>43.343601</v>
      </c>
      <c r="G2575" s="79">
        <v>2354800</v>
      </c>
    </row>
    <row r="2576" spans="1:7" x14ac:dyDescent="0.25">
      <c r="A2576" s="1" t="s">
        <v>2699</v>
      </c>
      <c r="B2576" s="76">
        <v>56.209499000000001</v>
      </c>
      <c r="C2576" s="76">
        <v>56.311923999999998</v>
      </c>
      <c r="D2576" s="76">
        <v>55.660792999999998</v>
      </c>
      <c r="E2576" s="76">
        <v>56.289974000000001</v>
      </c>
      <c r="F2576" s="76">
        <v>43.570113999999997</v>
      </c>
      <c r="G2576" s="79">
        <v>1775600</v>
      </c>
    </row>
    <row r="2577" spans="1:7" x14ac:dyDescent="0.25">
      <c r="A2577" s="1" t="s">
        <v>2700</v>
      </c>
      <c r="B2577" s="76">
        <v>56.224132999999902</v>
      </c>
      <c r="C2577" s="76">
        <v>56.597251999999997</v>
      </c>
      <c r="D2577" s="76">
        <v>55.748584999999999</v>
      </c>
      <c r="E2577" s="76">
        <v>56.150969999999901</v>
      </c>
      <c r="F2577" s="76">
        <v>43.462521000000002</v>
      </c>
      <c r="G2577" s="79">
        <v>1507000</v>
      </c>
    </row>
    <row r="2578" spans="1:7" x14ac:dyDescent="0.25">
      <c r="A2578" s="1" t="s">
        <v>2701</v>
      </c>
      <c r="B2578" s="76">
        <v>55.792479999999998</v>
      </c>
      <c r="C2578" s="76">
        <v>56.107075000000002</v>
      </c>
      <c r="D2578" s="76">
        <v>55.346198999999999</v>
      </c>
      <c r="E2578" s="76">
        <v>55.382781999999899</v>
      </c>
      <c r="F2578" s="76">
        <v>42.867930999999999</v>
      </c>
      <c r="G2578" s="79">
        <v>2429800</v>
      </c>
    </row>
    <row r="2579" spans="1:7" x14ac:dyDescent="0.25">
      <c r="A2579" s="1" t="s">
        <v>2702</v>
      </c>
      <c r="B2579" s="76">
        <v>55.763218000000002</v>
      </c>
      <c r="C2579" s="76">
        <v>56.136336999999997</v>
      </c>
      <c r="D2579" s="76">
        <v>55.068187999999999</v>
      </c>
      <c r="E2579" s="76">
        <v>55.492522999999998</v>
      </c>
      <c r="F2579" s="76">
        <v>42.952869</v>
      </c>
      <c r="G2579" s="79">
        <v>2120300</v>
      </c>
    </row>
    <row r="2580" spans="1:7" x14ac:dyDescent="0.25">
      <c r="A2580" s="1" t="s">
        <v>2703</v>
      </c>
      <c r="B2580" s="76">
        <v>55.741267999999998</v>
      </c>
      <c r="C2580" s="76">
        <v>57.343491</v>
      </c>
      <c r="D2580" s="76">
        <v>55.631526999999998</v>
      </c>
      <c r="E2580" s="76">
        <v>57.336177999999997</v>
      </c>
      <c r="F2580" s="76">
        <v>44.379902000000001</v>
      </c>
      <c r="G2580" s="79">
        <v>2104600</v>
      </c>
    </row>
    <row r="2581" spans="1:7" x14ac:dyDescent="0.25">
      <c r="A2581" s="1" t="s">
        <v>2704</v>
      </c>
      <c r="B2581" s="76">
        <v>56.948425</v>
      </c>
      <c r="C2581" s="76">
        <v>58.762813999999999</v>
      </c>
      <c r="D2581" s="76">
        <v>56.919158999999901</v>
      </c>
      <c r="E2581" s="76">
        <v>58.228740999999999</v>
      </c>
      <c r="F2581" s="76">
        <v>45.070774</v>
      </c>
      <c r="G2581" s="79">
        <v>3199900</v>
      </c>
    </row>
    <row r="2582" spans="1:7" x14ac:dyDescent="0.25">
      <c r="A2582" s="1" t="s">
        <v>2705</v>
      </c>
      <c r="B2582" s="76">
        <v>58.192157999999999</v>
      </c>
      <c r="C2582" s="76">
        <v>58.397006999999903</v>
      </c>
      <c r="D2582" s="76">
        <v>56.260711999999998</v>
      </c>
      <c r="E2582" s="76">
        <v>56.516773000000001</v>
      </c>
      <c r="F2582" s="76">
        <v>43.745659000000003</v>
      </c>
      <c r="G2582" s="79">
        <v>2583800</v>
      </c>
    </row>
    <row r="2583" spans="1:7" x14ac:dyDescent="0.25">
      <c r="A2583" s="1" t="s">
        <v>2706</v>
      </c>
      <c r="B2583" s="76">
        <v>56.246077999999997</v>
      </c>
      <c r="C2583" s="76">
        <v>56.721626000000001</v>
      </c>
      <c r="D2583" s="76">
        <v>56.165604000000002</v>
      </c>
      <c r="E2583" s="76">
        <v>56.355819999999902</v>
      </c>
      <c r="F2583" s="76">
        <v>43.621082000000001</v>
      </c>
      <c r="G2583" s="79">
        <v>1807400</v>
      </c>
    </row>
    <row r="2584" spans="1:7" x14ac:dyDescent="0.25">
      <c r="A2584" s="1" t="s">
        <v>2707</v>
      </c>
      <c r="B2584" s="76">
        <v>56.531405999999997</v>
      </c>
      <c r="C2584" s="76">
        <v>57.958041999999999</v>
      </c>
      <c r="D2584" s="76">
        <v>56.487510999999998</v>
      </c>
      <c r="E2584" s="76">
        <v>57.943413</v>
      </c>
      <c r="F2584" s="76">
        <v>44.849930000000001</v>
      </c>
      <c r="G2584" s="79">
        <v>1894100</v>
      </c>
    </row>
    <row r="2585" spans="1:7" x14ac:dyDescent="0.25">
      <c r="A2585" s="1" t="s">
        <v>2708</v>
      </c>
      <c r="B2585" s="76">
        <v>57.855618</v>
      </c>
      <c r="C2585" s="76">
        <v>58.206791000000003</v>
      </c>
      <c r="D2585" s="76">
        <v>57.175219999999896</v>
      </c>
      <c r="E2585" s="76">
        <v>57.241065999999996</v>
      </c>
      <c r="F2585" s="76">
        <v>44.306289999999997</v>
      </c>
      <c r="G2585" s="79">
        <v>1573100</v>
      </c>
    </row>
    <row r="2586" spans="1:7" x14ac:dyDescent="0.25">
      <c r="A2586" s="1" t="s">
        <v>2709</v>
      </c>
      <c r="B2586" s="76">
        <v>57.263016</v>
      </c>
      <c r="C2586" s="76">
        <v>59.991917000000001</v>
      </c>
      <c r="D2586" s="76">
        <v>57.241065999999996</v>
      </c>
      <c r="E2586" s="76">
        <v>59.633426999999998</v>
      </c>
      <c r="F2586" s="76">
        <v>46.158034999999998</v>
      </c>
      <c r="G2586" s="79">
        <v>3179500</v>
      </c>
    </row>
    <row r="2587" spans="1:7" x14ac:dyDescent="0.25">
      <c r="A2587" s="1" t="s">
        <v>2710</v>
      </c>
      <c r="B2587" s="76">
        <v>59.948020999999997</v>
      </c>
      <c r="C2587" s="76">
        <v>60.160187000000001</v>
      </c>
      <c r="D2587" s="76">
        <v>58.850605000000002</v>
      </c>
      <c r="E2587" s="76">
        <v>59.289569999999998</v>
      </c>
      <c r="F2587" s="76">
        <v>45.891899000000002</v>
      </c>
      <c r="G2587" s="79">
        <v>2747500</v>
      </c>
    </row>
    <row r="2588" spans="1:7" x14ac:dyDescent="0.25">
      <c r="A2588" s="1" t="s">
        <v>2711</v>
      </c>
      <c r="B2588" s="76">
        <v>59.055457999999902</v>
      </c>
      <c r="C2588" s="76">
        <v>59.377364999999998</v>
      </c>
      <c r="D2588" s="76">
        <v>57.204487</v>
      </c>
      <c r="E2588" s="76">
        <v>57.241065999999996</v>
      </c>
      <c r="F2588" s="76">
        <v>44.306289999999997</v>
      </c>
      <c r="G2588" s="79">
        <v>3230900</v>
      </c>
    </row>
    <row r="2589" spans="1:7" x14ac:dyDescent="0.25">
      <c r="A2589" s="1" t="s">
        <v>2712</v>
      </c>
      <c r="B2589" s="76">
        <v>57.080112</v>
      </c>
      <c r="C2589" s="76">
        <v>58.301898999999999</v>
      </c>
      <c r="D2589" s="76">
        <v>55.931488000000002</v>
      </c>
      <c r="E2589" s="76">
        <v>56.033912999999998</v>
      </c>
      <c r="F2589" s="76">
        <v>43.371906000000003</v>
      </c>
      <c r="G2589" s="79">
        <v>3275600</v>
      </c>
    </row>
    <row r="2590" spans="1:7" x14ac:dyDescent="0.25">
      <c r="A2590" s="1" t="s">
        <v>2713</v>
      </c>
      <c r="B2590" s="76">
        <v>55.697371999999902</v>
      </c>
      <c r="C2590" s="76">
        <v>56.699677000000001</v>
      </c>
      <c r="D2590" s="76">
        <v>55.309619999999903</v>
      </c>
      <c r="E2590" s="76">
        <v>56.209499000000001</v>
      </c>
      <c r="F2590" s="76">
        <v>43.507820000000002</v>
      </c>
      <c r="G2590" s="79">
        <v>1527100</v>
      </c>
    </row>
    <row r="2591" spans="1:7" x14ac:dyDescent="0.25">
      <c r="A2591" s="1" t="s">
        <v>2714</v>
      </c>
      <c r="B2591" s="76">
        <v>56.597251999999997</v>
      </c>
      <c r="C2591" s="76">
        <v>57.175219999999896</v>
      </c>
      <c r="D2591" s="76">
        <v>55.843693000000002</v>
      </c>
      <c r="E2591" s="76">
        <v>57.131324999999997</v>
      </c>
      <c r="F2591" s="76">
        <v>44.221347999999999</v>
      </c>
      <c r="G2591" s="79">
        <v>1744000</v>
      </c>
    </row>
    <row r="2592" spans="1:7" x14ac:dyDescent="0.25">
      <c r="A2592" s="1" t="s">
        <v>2715</v>
      </c>
      <c r="B2592" s="76">
        <v>57.065479000000003</v>
      </c>
      <c r="C2592" s="76">
        <v>58.660389000000002</v>
      </c>
      <c r="D2592" s="76">
        <v>56.919158999999901</v>
      </c>
      <c r="E2592" s="76">
        <v>58.265319999999903</v>
      </c>
      <c r="F2592" s="76">
        <v>45.099086999999997</v>
      </c>
      <c r="G2592" s="79">
        <v>1833700</v>
      </c>
    </row>
    <row r="2593" spans="1:7" x14ac:dyDescent="0.25">
      <c r="A2593" s="1" t="s">
        <v>2716</v>
      </c>
      <c r="B2593" s="76">
        <v>57.680031</v>
      </c>
      <c r="C2593" s="76">
        <v>59.896808999999998</v>
      </c>
      <c r="D2593" s="76">
        <v>57.431286</v>
      </c>
      <c r="E2593" s="76">
        <v>59.574897999999997</v>
      </c>
      <c r="F2593" s="76">
        <v>46.112740000000002</v>
      </c>
      <c r="G2593" s="79">
        <v>2270100</v>
      </c>
    </row>
    <row r="2594" spans="1:7" x14ac:dyDescent="0.25">
      <c r="A2594" s="1" t="s">
        <v>2717</v>
      </c>
      <c r="B2594" s="76">
        <v>59.743167999999997</v>
      </c>
      <c r="C2594" s="76">
        <v>60.511355999999999</v>
      </c>
      <c r="D2594" s="76">
        <v>58.945717000000002</v>
      </c>
      <c r="E2594" s="76">
        <v>60.365035999999897</v>
      </c>
      <c r="F2594" s="76">
        <v>46.724330999999999</v>
      </c>
      <c r="G2594" s="79">
        <v>2160500</v>
      </c>
    </row>
    <row r="2595" spans="1:7" x14ac:dyDescent="0.25">
      <c r="A2595" s="1" t="s">
        <v>2718</v>
      </c>
      <c r="B2595" s="76">
        <v>60.152869999999901</v>
      </c>
      <c r="C2595" s="76">
        <v>61.542926999999999</v>
      </c>
      <c r="D2595" s="76">
        <v>60.138236999999997</v>
      </c>
      <c r="E2595" s="76">
        <v>61.191752999999999</v>
      </c>
      <c r="F2595" s="76">
        <v>47.364243000000002</v>
      </c>
      <c r="G2595" s="79">
        <v>2452500</v>
      </c>
    </row>
    <row r="2596" spans="1:7" x14ac:dyDescent="0.25">
      <c r="A2596" s="1" t="s">
        <v>2719</v>
      </c>
      <c r="B2596" s="76">
        <v>60.716208999999999</v>
      </c>
      <c r="C2596" s="76">
        <v>60.913741999999999</v>
      </c>
      <c r="D2596" s="76">
        <v>59.187144999999902</v>
      </c>
      <c r="E2596" s="76">
        <v>59.274940000000001</v>
      </c>
      <c r="F2596" s="76">
        <v>45.880565999999902</v>
      </c>
      <c r="G2596" s="79">
        <v>3015300</v>
      </c>
    </row>
    <row r="2597" spans="1:7" x14ac:dyDescent="0.25">
      <c r="A2597" s="1" t="s">
        <v>2720</v>
      </c>
      <c r="B2597" s="76">
        <v>59.582214</v>
      </c>
      <c r="C2597" s="76">
        <v>59.918754999999997</v>
      </c>
      <c r="D2597" s="76">
        <v>59.077404000000001</v>
      </c>
      <c r="E2597" s="76">
        <v>59.604163999999997</v>
      </c>
      <c r="F2597" s="76">
        <v>46.135399</v>
      </c>
      <c r="G2597" s="79">
        <v>2629200</v>
      </c>
    </row>
    <row r="2598" spans="1:7" x14ac:dyDescent="0.25">
      <c r="A2598" s="1" t="s">
        <v>2721</v>
      </c>
      <c r="B2598" s="76">
        <v>60.299191</v>
      </c>
      <c r="C2598" s="76">
        <v>63.218311</v>
      </c>
      <c r="D2598" s="76">
        <v>60.079707999999997</v>
      </c>
      <c r="E2598" s="76">
        <v>63.181728</v>
      </c>
      <c r="F2598" s="76">
        <v>48.904533000000001</v>
      </c>
      <c r="G2598" s="79">
        <v>3190000</v>
      </c>
    </row>
    <row r="2599" spans="1:7" x14ac:dyDescent="0.25">
      <c r="A2599" s="1" t="s">
        <v>2722</v>
      </c>
      <c r="B2599" s="76">
        <v>62.889088000000001</v>
      </c>
      <c r="C2599" s="76">
        <v>63.467055999999999</v>
      </c>
      <c r="D2599" s="76">
        <v>60.782055</v>
      </c>
      <c r="E2599" s="76">
        <v>60.994220999999897</v>
      </c>
      <c r="F2599" s="76">
        <v>47.211342000000002</v>
      </c>
      <c r="G2599" s="79">
        <v>3468700</v>
      </c>
    </row>
    <row r="2600" spans="1:7" x14ac:dyDescent="0.25">
      <c r="A2600" s="1" t="s">
        <v>2723</v>
      </c>
      <c r="B2600" s="76">
        <v>61.506347999999903</v>
      </c>
      <c r="C2600" s="76">
        <v>63.496322999999997</v>
      </c>
      <c r="D2600" s="76">
        <v>61.1185949999999</v>
      </c>
      <c r="E2600" s="76">
        <v>62.954932999999997</v>
      </c>
      <c r="F2600" s="76">
        <v>48.728984999999902</v>
      </c>
      <c r="G2600" s="79">
        <v>2988100</v>
      </c>
    </row>
    <row r="2601" spans="1:7" x14ac:dyDescent="0.25">
      <c r="A2601" s="1" t="s">
        <v>2724</v>
      </c>
      <c r="B2601" s="76">
        <v>62.384276999999997</v>
      </c>
      <c r="C2601" s="76">
        <v>62.662289000000001</v>
      </c>
      <c r="D2601" s="76">
        <v>60.657680999999997</v>
      </c>
      <c r="E2601" s="76">
        <v>61.089328999999999</v>
      </c>
      <c r="F2601" s="76">
        <v>47.284958000000003</v>
      </c>
      <c r="G2601" s="79">
        <v>3263800</v>
      </c>
    </row>
    <row r="2602" spans="1:7" x14ac:dyDescent="0.25">
      <c r="A2602" s="1" t="s">
        <v>2725</v>
      </c>
      <c r="B2602" s="76">
        <v>60.065075</v>
      </c>
      <c r="C2602" s="76">
        <v>61.1478579999999</v>
      </c>
      <c r="D2602" s="76">
        <v>58.448222999999999</v>
      </c>
      <c r="E2602" s="76">
        <v>60.365035999999897</v>
      </c>
      <c r="F2602" s="76">
        <v>46.724330999999999</v>
      </c>
      <c r="G2602" s="79">
        <v>2751800</v>
      </c>
    </row>
    <row r="2603" spans="1:7" x14ac:dyDescent="0.25">
      <c r="A2603" s="1" t="s">
        <v>2726</v>
      </c>
      <c r="B2603" s="76">
        <v>59.296886000000001</v>
      </c>
      <c r="C2603" s="76">
        <v>60.072392000000001</v>
      </c>
      <c r="D2603" s="76">
        <v>53.048949999999998</v>
      </c>
      <c r="E2603" s="76">
        <v>57.336177999999997</v>
      </c>
      <c r="F2603" s="76">
        <v>44.732303999999999</v>
      </c>
      <c r="G2603" s="79">
        <v>4795200</v>
      </c>
    </row>
    <row r="2604" spans="1:7" x14ac:dyDescent="0.25">
      <c r="A2604" s="1" t="s">
        <v>2727</v>
      </c>
      <c r="B2604" s="76">
        <v>57.116694999999901</v>
      </c>
      <c r="C2604" s="76">
        <v>58.609177000000003</v>
      </c>
      <c r="D2604" s="76">
        <v>55.294986999999999</v>
      </c>
      <c r="E2604" s="76">
        <v>55.997333999999903</v>
      </c>
      <c r="F2604" s="76">
        <v>43.687770999999998</v>
      </c>
      <c r="G2604" s="79">
        <v>4361700</v>
      </c>
    </row>
    <row r="2605" spans="1:7" x14ac:dyDescent="0.25">
      <c r="A2605" s="1" t="s">
        <v>2728</v>
      </c>
      <c r="B2605" s="76">
        <v>58.506751999999999</v>
      </c>
      <c r="C2605" s="76">
        <v>59.9846</v>
      </c>
      <c r="D2605" s="76">
        <v>57.943413</v>
      </c>
      <c r="E2605" s="76">
        <v>59.918754999999997</v>
      </c>
      <c r="F2605" s="76">
        <v>46.747166</v>
      </c>
      <c r="G2605" s="79">
        <v>3842000</v>
      </c>
    </row>
    <row r="2606" spans="1:7" x14ac:dyDescent="0.25">
      <c r="A2606" s="1" t="s">
        <v>2729</v>
      </c>
      <c r="B2606" s="76">
        <v>59.004245999999902</v>
      </c>
      <c r="C2606" s="76">
        <v>60.511355999999999</v>
      </c>
      <c r="D2606" s="76">
        <v>58.755496999999998</v>
      </c>
      <c r="E2606" s="76">
        <v>59.904120999999897</v>
      </c>
      <c r="F2606" s="76">
        <v>46.735751999999998</v>
      </c>
      <c r="G2606" s="79">
        <v>2314700</v>
      </c>
    </row>
    <row r="2607" spans="1:7" x14ac:dyDescent="0.25">
      <c r="A2607" s="1" t="s">
        <v>2730</v>
      </c>
      <c r="B2607" s="76">
        <v>60.226031999999996</v>
      </c>
      <c r="C2607" s="76">
        <v>61.140540999999999</v>
      </c>
      <c r="D2607" s="76">
        <v>59.648060000000001</v>
      </c>
      <c r="E2607" s="76">
        <v>60.884480000000003</v>
      </c>
      <c r="F2607" s="76">
        <v>47.500609999999902</v>
      </c>
      <c r="G2607" s="79">
        <v>2316800</v>
      </c>
    </row>
    <row r="2608" spans="1:7" x14ac:dyDescent="0.25">
      <c r="A2608" s="1" t="s">
        <v>2731</v>
      </c>
      <c r="B2608" s="76">
        <v>60.782055</v>
      </c>
      <c r="C2608" s="76">
        <v>60.928375000000003</v>
      </c>
      <c r="D2608" s="76">
        <v>59.677321999999997</v>
      </c>
      <c r="E2608" s="76">
        <v>59.904120999999897</v>
      </c>
      <c r="F2608" s="76">
        <v>46.735751999999998</v>
      </c>
      <c r="G2608" s="79">
        <v>1996400</v>
      </c>
    </row>
    <row r="2609" spans="1:7" x14ac:dyDescent="0.25">
      <c r="A2609" s="1" t="s">
        <v>2732</v>
      </c>
      <c r="B2609" s="76">
        <v>59.450527000000001</v>
      </c>
      <c r="C2609" s="76">
        <v>59.509051999999997</v>
      </c>
      <c r="D2609" s="76">
        <v>57.526393999999897</v>
      </c>
      <c r="E2609" s="76">
        <v>58.199474000000002</v>
      </c>
      <c r="F2609" s="76">
        <v>45.405827000000002</v>
      </c>
      <c r="G2609" s="79">
        <v>2560700</v>
      </c>
    </row>
    <row r="2610" spans="1:7" x14ac:dyDescent="0.25">
      <c r="A2610" s="1" t="s">
        <v>2733</v>
      </c>
      <c r="B2610" s="76">
        <v>58.287266000000002</v>
      </c>
      <c r="C2610" s="76">
        <v>59.238357999999998</v>
      </c>
      <c r="D2610" s="76">
        <v>56.289974000000001</v>
      </c>
      <c r="E2610" s="76">
        <v>58.133628999999999</v>
      </c>
      <c r="F2610" s="76">
        <v>45.354453999999997</v>
      </c>
      <c r="G2610" s="79">
        <v>2555900</v>
      </c>
    </row>
    <row r="2611" spans="1:7" x14ac:dyDescent="0.25">
      <c r="A2611" s="1" t="s">
        <v>2734</v>
      </c>
      <c r="B2611" s="76">
        <v>58.872554999999998</v>
      </c>
      <c r="C2611" s="76">
        <v>59.194462000000001</v>
      </c>
      <c r="D2611" s="76">
        <v>56.202182999999998</v>
      </c>
      <c r="E2611" s="76">
        <v>56.363135999999997</v>
      </c>
      <c r="F2611" s="76">
        <v>43.973151999999999</v>
      </c>
      <c r="G2611" s="79">
        <v>3126500</v>
      </c>
    </row>
    <row r="2612" spans="1:7" x14ac:dyDescent="0.25">
      <c r="A2612" s="1" t="s">
        <v>2735</v>
      </c>
      <c r="B2612" s="76">
        <v>56.070492000000002</v>
      </c>
      <c r="C2612" s="76">
        <v>57.263016</v>
      </c>
      <c r="D2612" s="76">
        <v>54.321948999999996</v>
      </c>
      <c r="E2612" s="76">
        <v>55.894908999999998</v>
      </c>
      <c r="F2612" s="76">
        <v>43.607867999999897</v>
      </c>
      <c r="G2612" s="79">
        <v>3093500</v>
      </c>
    </row>
    <row r="2613" spans="1:7" x14ac:dyDescent="0.25">
      <c r="A2613" s="1" t="s">
        <v>2736</v>
      </c>
      <c r="B2613" s="76">
        <v>54.746281000000003</v>
      </c>
      <c r="C2613" s="76">
        <v>55.616897999999999</v>
      </c>
      <c r="D2613" s="76">
        <v>53.597656000000001</v>
      </c>
      <c r="E2613" s="76">
        <v>53.765926</v>
      </c>
      <c r="F2613" s="76">
        <v>41.946883999999997</v>
      </c>
      <c r="G2613" s="79">
        <v>3776300</v>
      </c>
    </row>
    <row r="2614" spans="1:7" x14ac:dyDescent="0.25">
      <c r="A2614" s="1" t="s">
        <v>2737</v>
      </c>
      <c r="B2614" s="76">
        <v>52.807518000000002</v>
      </c>
      <c r="C2614" s="76">
        <v>55.748584999999999</v>
      </c>
      <c r="D2614" s="76">
        <v>52.456344999999999</v>
      </c>
      <c r="E2614" s="76">
        <v>55.609580999999999</v>
      </c>
      <c r="F2614" s="76">
        <v>43.385258</v>
      </c>
      <c r="G2614" s="79">
        <v>5130000</v>
      </c>
    </row>
    <row r="2615" spans="1:7" x14ac:dyDescent="0.25">
      <c r="A2615" s="1" t="s">
        <v>2738</v>
      </c>
      <c r="B2615" s="76">
        <v>55.704689000000002</v>
      </c>
      <c r="C2615" s="76">
        <v>55.953433999999902</v>
      </c>
      <c r="D2615" s="76">
        <v>53.868350999999997</v>
      </c>
      <c r="E2615" s="76">
        <v>53.90493</v>
      </c>
      <c r="F2615" s="76">
        <v>42.055332</v>
      </c>
      <c r="G2615" s="79">
        <v>2622700</v>
      </c>
    </row>
    <row r="2616" spans="1:7" x14ac:dyDescent="0.25">
      <c r="A2616" s="1" t="s">
        <v>2739</v>
      </c>
      <c r="B2616" s="76">
        <v>52.375869999999999</v>
      </c>
      <c r="C2616" s="76">
        <v>54.621906000000003</v>
      </c>
      <c r="D2616" s="76">
        <v>51.980801</v>
      </c>
      <c r="E2616" s="76">
        <v>54.512165000000003</v>
      </c>
      <c r="F2616" s="76">
        <v>42.529078999999903</v>
      </c>
      <c r="G2616" s="79">
        <v>2985900</v>
      </c>
    </row>
    <row r="2617" spans="1:7" x14ac:dyDescent="0.25">
      <c r="A2617" s="1" t="s">
        <v>2740</v>
      </c>
      <c r="B2617" s="76">
        <v>55.251091000000002</v>
      </c>
      <c r="C2617" s="76">
        <v>55.792479999999998</v>
      </c>
      <c r="D2617" s="76">
        <v>53.861033999999997</v>
      </c>
      <c r="E2617" s="76">
        <v>54.117095999999997</v>
      </c>
      <c r="F2617" s="76">
        <v>42.220863000000001</v>
      </c>
      <c r="G2617" s="79">
        <v>3353400</v>
      </c>
    </row>
    <row r="2618" spans="1:7" x14ac:dyDescent="0.25">
      <c r="A2618" s="1" t="s">
        <v>2741</v>
      </c>
      <c r="B2618" s="76">
        <v>55.243774000000002</v>
      </c>
      <c r="C2618" s="76">
        <v>57.950729000000003</v>
      </c>
      <c r="D2618" s="76">
        <v>55.053557999999903</v>
      </c>
      <c r="E2618" s="76">
        <v>57.855618</v>
      </c>
      <c r="F2618" s="76">
        <v>45.137562000000003</v>
      </c>
      <c r="G2618" s="79">
        <v>3140100</v>
      </c>
    </row>
    <row r="2619" spans="1:7" x14ac:dyDescent="0.25">
      <c r="A2619" s="1" t="s">
        <v>2742</v>
      </c>
      <c r="B2619" s="76">
        <v>58.375060999999903</v>
      </c>
      <c r="C2619" s="76">
        <v>58.375060999999903</v>
      </c>
      <c r="D2619" s="76">
        <v>56.663097</v>
      </c>
      <c r="E2619" s="76">
        <v>56.831367</v>
      </c>
      <c r="F2619" s="76">
        <v>44.338470000000001</v>
      </c>
      <c r="G2619" s="79">
        <v>2582400</v>
      </c>
    </row>
    <row r="2620" spans="1:7" x14ac:dyDescent="0.25">
      <c r="A2620" s="1" t="s">
        <v>2743</v>
      </c>
      <c r="B2620" s="76">
        <v>56.355819999999902</v>
      </c>
      <c r="C2620" s="76">
        <v>57.102061999999997</v>
      </c>
      <c r="D2620" s="76">
        <v>55.360831999999903</v>
      </c>
      <c r="E2620" s="76">
        <v>55.499839999999999</v>
      </c>
      <c r="F2620" s="76">
        <v>43.299633</v>
      </c>
      <c r="G2620" s="79">
        <v>2565700</v>
      </c>
    </row>
    <row r="2621" spans="1:7" x14ac:dyDescent="0.25">
      <c r="A2621" s="1" t="s">
        <v>2744</v>
      </c>
      <c r="B2621" s="76">
        <v>55.829062999999998</v>
      </c>
      <c r="C2621" s="76">
        <v>57.014266999999997</v>
      </c>
      <c r="D2621" s="76">
        <v>55.002345999999903</v>
      </c>
      <c r="E2621" s="76">
        <v>56.963054999999997</v>
      </c>
      <c r="F2621" s="76">
        <v>44.441208000000003</v>
      </c>
      <c r="G2621" s="79">
        <v>2939700</v>
      </c>
    </row>
    <row r="2622" spans="1:7" x14ac:dyDescent="0.25">
      <c r="A2622" s="1" t="s">
        <v>2745</v>
      </c>
      <c r="B2622" s="76">
        <v>56.963054999999997</v>
      </c>
      <c r="C2622" s="76">
        <v>57.050849999999997</v>
      </c>
      <c r="D2622" s="76">
        <v>55.697371999999902</v>
      </c>
      <c r="E2622" s="76">
        <v>56.282660999999997</v>
      </c>
      <c r="F2622" s="76">
        <v>43.910378000000001</v>
      </c>
      <c r="G2622" s="79">
        <v>2063200</v>
      </c>
    </row>
    <row r="2623" spans="1:7" x14ac:dyDescent="0.25">
      <c r="A2623" s="1" t="s">
        <v>2746</v>
      </c>
      <c r="B2623" s="76">
        <v>54.995029000000002</v>
      </c>
      <c r="C2623" s="76">
        <v>55.668109999999999</v>
      </c>
      <c r="D2623" s="76">
        <v>52.529506999999903</v>
      </c>
      <c r="E2623" s="76">
        <v>52.748989000000002</v>
      </c>
      <c r="F2623" s="76">
        <v>41.153495999999997</v>
      </c>
      <c r="G2623" s="79">
        <v>3789200</v>
      </c>
    </row>
    <row r="2624" spans="1:7" x14ac:dyDescent="0.25">
      <c r="A2624" s="1" t="s">
        <v>2747</v>
      </c>
      <c r="B2624" s="76">
        <v>52.961154999999998</v>
      </c>
      <c r="C2624" s="76">
        <v>54.051254</v>
      </c>
      <c r="D2624" s="76">
        <v>52.478293999999899</v>
      </c>
      <c r="E2624" s="76">
        <v>52.522190000000002</v>
      </c>
      <c r="F2624" s="76">
        <v>40.976554999999998</v>
      </c>
      <c r="G2624" s="79">
        <v>2802300</v>
      </c>
    </row>
    <row r="2625" spans="1:7" x14ac:dyDescent="0.25">
      <c r="A2625" s="1" t="s">
        <v>2748</v>
      </c>
      <c r="B2625" s="76">
        <v>52.566085999999999</v>
      </c>
      <c r="C2625" s="76">
        <v>53.517178000000001</v>
      </c>
      <c r="D2625" s="76">
        <v>51.256507999999997</v>
      </c>
      <c r="E2625" s="76">
        <v>53.246482999999998</v>
      </c>
      <c r="F2625" s="76">
        <v>41.541610999999897</v>
      </c>
      <c r="G2625" s="79">
        <v>3361500</v>
      </c>
    </row>
    <row r="2626" spans="1:7" x14ac:dyDescent="0.25">
      <c r="A2626" s="1" t="s">
        <v>2749</v>
      </c>
      <c r="B2626" s="76">
        <v>53.656185000000001</v>
      </c>
      <c r="C2626" s="76">
        <v>55.192562000000002</v>
      </c>
      <c r="D2626" s="76">
        <v>53.166007999999998</v>
      </c>
      <c r="E2626" s="76">
        <v>53.436703000000001</v>
      </c>
      <c r="F2626" s="76">
        <v>41.690036999999997</v>
      </c>
      <c r="G2626" s="79">
        <v>2411300</v>
      </c>
    </row>
    <row r="2627" spans="1:7" x14ac:dyDescent="0.25">
      <c r="A2627" s="1" t="s">
        <v>2750</v>
      </c>
      <c r="B2627" s="76">
        <v>54.263419999999897</v>
      </c>
      <c r="C2627" s="76">
        <v>56.143653999999998</v>
      </c>
      <c r="D2627" s="76">
        <v>54.058570999999901</v>
      </c>
      <c r="E2627" s="76">
        <v>55.931488000000002</v>
      </c>
      <c r="F2627" s="76">
        <v>43.636398</v>
      </c>
      <c r="G2627" s="79">
        <v>2649500</v>
      </c>
    </row>
    <row r="2628" spans="1:7" x14ac:dyDescent="0.25">
      <c r="A2628" s="1" t="s">
        <v>2751</v>
      </c>
      <c r="B2628" s="76">
        <v>55.338885999999903</v>
      </c>
      <c r="C2628" s="76">
        <v>56.407031999999901</v>
      </c>
      <c r="D2628" s="76">
        <v>55.134032999999903</v>
      </c>
      <c r="E2628" s="76">
        <v>56.289974000000001</v>
      </c>
      <c r="F2628" s="76">
        <v>43.916080000000001</v>
      </c>
      <c r="G2628" s="79">
        <v>2302700</v>
      </c>
    </row>
    <row r="2629" spans="1:7" x14ac:dyDescent="0.25">
      <c r="A2629" s="1" t="s">
        <v>2752</v>
      </c>
      <c r="B2629" s="76">
        <v>56.809418000000001</v>
      </c>
      <c r="C2629" s="76">
        <v>57.709296999999999</v>
      </c>
      <c r="D2629" s="76">
        <v>56.363135999999997</v>
      </c>
      <c r="E2629" s="76">
        <v>57.021583999999997</v>
      </c>
      <c r="F2629" s="76">
        <v>44.486854999999998</v>
      </c>
      <c r="G2629" s="79">
        <v>3241800</v>
      </c>
    </row>
    <row r="2630" spans="1:7" x14ac:dyDescent="0.25">
      <c r="A2630" s="1" t="s">
        <v>2753</v>
      </c>
      <c r="B2630" s="76">
        <v>57.541027</v>
      </c>
      <c r="C2630" s="76">
        <v>58.404324000000003</v>
      </c>
      <c r="D2630" s="76">
        <v>56.904525999999997</v>
      </c>
      <c r="E2630" s="76">
        <v>58.236052999999998</v>
      </c>
      <c r="F2630" s="76">
        <v>45.434364000000002</v>
      </c>
      <c r="G2630" s="79">
        <v>2919100</v>
      </c>
    </row>
    <row r="2631" spans="1:7" x14ac:dyDescent="0.25">
      <c r="A2631" s="1" t="s">
        <v>2754</v>
      </c>
      <c r="B2631" s="76">
        <v>57.797089</v>
      </c>
      <c r="C2631" s="76">
        <v>58.462851999999998</v>
      </c>
      <c r="D2631" s="76">
        <v>57.445918999999897</v>
      </c>
      <c r="E2631" s="76">
        <v>58.192157999999999</v>
      </c>
      <c r="F2631" s="76">
        <v>45.400100999999999</v>
      </c>
      <c r="G2631" s="79">
        <v>2310600</v>
      </c>
    </row>
    <row r="2632" spans="1:7" x14ac:dyDescent="0.25">
      <c r="A2632" s="1" t="s">
        <v>2755</v>
      </c>
      <c r="B2632" s="76">
        <v>58.250686999999999</v>
      </c>
      <c r="C2632" s="76">
        <v>58.565277000000002</v>
      </c>
      <c r="D2632" s="76">
        <v>57.511761</v>
      </c>
      <c r="E2632" s="76">
        <v>58.3384819999999</v>
      </c>
      <c r="F2632" s="76">
        <v>45.514274999999998</v>
      </c>
      <c r="G2632" s="79">
        <v>1689500</v>
      </c>
    </row>
    <row r="2633" spans="1:7" x14ac:dyDescent="0.25">
      <c r="A2633" s="1" t="s">
        <v>2756</v>
      </c>
      <c r="B2633" s="76">
        <v>58.521380999999998</v>
      </c>
      <c r="C2633" s="76">
        <v>58.843288000000001</v>
      </c>
      <c r="D2633" s="76">
        <v>57.892200000000003</v>
      </c>
      <c r="E2633" s="76">
        <v>58.075099999999999</v>
      </c>
      <c r="F2633" s="76">
        <v>45.308788</v>
      </c>
      <c r="G2633" s="79">
        <v>3346000</v>
      </c>
    </row>
    <row r="2634" spans="1:7" x14ac:dyDescent="0.25">
      <c r="A2634" s="1" t="s">
        <v>2757</v>
      </c>
      <c r="B2634" s="76">
        <v>58.814025999999998</v>
      </c>
      <c r="C2634" s="76">
        <v>59.626109999999997</v>
      </c>
      <c r="D2634" s="76">
        <v>58.133628999999999</v>
      </c>
      <c r="E2634" s="76">
        <v>58.316531999999903</v>
      </c>
      <c r="F2634" s="76">
        <v>45.497153999999902</v>
      </c>
      <c r="G2634" s="79">
        <v>2406300</v>
      </c>
    </row>
    <row r="2635" spans="1:7" x14ac:dyDescent="0.25">
      <c r="A2635" s="1" t="s">
        <v>2758</v>
      </c>
      <c r="B2635" s="76">
        <v>58.404324000000003</v>
      </c>
      <c r="C2635" s="76">
        <v>58.872554999999998</v>
      </c>
      <c r="D2635" s="76">
        <v>56.487510999999998</v>
      </c>
      <c r="E2635" s="76">
        <v>56.619197999999997</v>
      </c>
      <c r="F2635" s="76">
        <v>44.172932000000003</v>
      </c>
      <c r="G2635" s="79">
        <v>2886500</v>
      </c>
    </row>
    <row r="2636" spans="1:7" x14ac:dyDescent="0.25">
      <c r="A2636" s="1" t="s">
        <v>2759</v>
      </c>
      <c r="B2636" s="76">
        <v>56.626514</v>
      </c>
      <c r="C2636" s="76">
        <v>57.314228</v>
      </c>
      <c r="D2636" s="76">
        <v>55.609580999999999</v>
      </c>
      <c r="E2636" s="76">
        <v>56.802101</v>
      </c>
      <c r="F2636" s="76">
        <v>44.315643000000001</v>
      </c>
      <c r="G2636" s="79">
        <v>2601400</v>
      </c>
    </row>
    <row r="2637" spans="1:7" x14ac:dyDescent="0.25">
      <c r="A2637" s="1" t="s">
        <v>2760</v>
      </c>
      <c r="B2637" s="76">
        <v>56.333874000000002</v>
      </c>
      <c r="C2637" s="76">
        <v>57.189853999999997</v>
      </c>
      <c r="D2637" s="76">
        <v>55.616897999999999</v>
      </c>
      <c r="E2637" s="76">
        <v>55.792479999999998</v>
      </c>
      <c r="F2637" s="76">
        <v>43.527943</v>
      </c>
      <c r="G2637" s="79">
        <v>3133900</v>
      </c>
    </row>
    <row r="2638" spans="1:7" x14ac:dyDescent="0.25">
      <c r="A2638" s="1" t="s">
        <v>2761</v>
      </c>
      <c r="B2638" s="76">
        <v>56.414349000000001</v>
      </c>
      <c r="C2638" s="76">
        <v>57.723930000000003</v>
      </c>
      <c r="D2638" s="76">
        <v>55.990017000000002</v>
      </c>
      <c r="E2638" s="76">
        <v>57.562976999999997</v>
      </c>
      <c r="F2638" s="76">
        <v>44.909244999999999</v>
      </c>
      <c r="G2638" s="79">
        <v>3343000</v>
      </c>
    </row>
    <row r="2639" spans="1:7" x14ac:dyDescent="0.25">
      <c r="A2639" s="1" t="s">
        <v>2762</v>
      </c>
      <c r="B2639" s="76">
        <v>57.943413</v>
      </c>
      <c r="C2639" s="76">
        <v>57.943413</v>
      </c>
      <c r="D2639" s="76">
        <v>56.392403000000002</v>
      </c>
      <c r="E2639" s="76">
        <v>56.546039999999998</v>
      </c>
      <c r="F2639" s="76">
        <v>44.115856000000001</v>
      </c>
      <c r="G2639" s="79">
        <v>1840300</v>
      </c>
    </row>
    <row r="2640" spans="1:7" x14ac:dyDescent="0.25">
      <c r="A2640" s="1" t="s">
        <v>2763</v>
      </c>
      <c r="B2640" s="76">
        <v>55.719321999999998</v>
      </c>
      <c r="C2640" s="76">
        <v>56.304606999999997</v>
      </c>
      <c r="D2640" s="76">
        <v>53.685448000000001</v>
      </c>
      <c r="E2640" s="76">
        <v>54.117095999999997</v>
      </c>
      <c r="F2640" s="76">
        <v>42.220863000000001</v>
      </c>
      <c r="G2640" s="79">
        <v>3244400</v>
      </c>
    </row>
    <row r="2641" spans="1:7" x14ac:dyDescent="0.25">
      <c r="A2641" s="1" t="s">
        <v>2764</v>
      </c>
      <c r="B2641" s="76">
        <v>54.263419999999897</v>
      </c>
      <c r="C2641" s="76">
        <v>55.119399999999999</v>
      </c>
      <c r="D2641" s="76">
        <v>53.195270999999998</v>
      </c>
      <c r="E2641" s="76">
        <v>53.370856999999901</v>
      </c>
      <c r="F2641" s="76">
        <v>41.638663999999999</v>
      </c>
      <c r="G2641" s="79">
        <v>3163000</v>
      </c>
    </row>
    <row r="2642" spans="1:7" x14ac:dyDescent="0.25">
      <c r="A2642" s="1" t="s">
        <v>2765</v>
      </c>
      <c r="B2642" s="76">
        <v>53.546443999999902</v>
      </c>
      <c r="C2642" s="76">
        <v>53.956142</v>
      </c>
      <c r="D2642" s="76">
        <v>52.119803999999903</v>
      </c>
      <c r="E2642" s="76">
        <v>53.392806999999998</v>
      </c>
      <c r="F2642" s="76">
        <v>41.655784999999902</v>
      </c>
      <c r="G2642" s="79">
        <v>2502800</v>
      </c>
    </row>
    <row r="2643" spans="1:7" x14ac:dyDescent="0.25">
      <c r="A2643" s="1" t="s">
        <v>2766</v>
      </c>
      <c r="B2643" s="76">
        <v>53.407435999999997</v>
      </c>
      <c r="C2643" s="76">
        <v>53.795189000000001</v>
      </c>
      <c r="D2643" s="76">
        <v>51.922272</v>
      </c>
      <c r="E2643" s="76">
        <v>52.03933</v>
      </c>
      <c r="F2643" s="76">
        <v>40.599834000000001</v>
      </c>
      <c r="G2643" s="79">
        <v>2264500</v>
      </c>
    </row>
    <row r="2644" spans="1:7" x14ac:dyDescent="0.25">
      <c r="A2644" s="1" t="s">
        <v>2767</v>
      </c>
      <c r="B2644" s="76">
        <v>53.297694999999997</v>
      </c>
      <c r="C2644" s="76">
        <v>53.509861000000001</v>
      </c>
      <c r="D2644" s="76">
        <v>50.181041999999998</v>
      </c>
      <c r="E2644" s="76">
        <v>50.846806000000001</v>
      </c>
      <c r="F2644" s="76">
        <v>39.669449</v>
      </c>
      <c r="G2644" s="79">
        <v>3839400</v>
      </c>
    </row>
    <row r="2645" spans="1:7" x14ac:dyDescent="0.25">
      <c r="A2645" s="1" t="s">
        <v>2768</v>
      </c>
      <c r="B2645" s="76">
        <v>51.102871</v>
      </c>
      <c r="C2645" s="76">
        <v>53.312328000000001</v>
      </c>
      <c r="D2645" s="76">
        <v>50.876072000000001</v>
      </c>
      <c r="E2645" s="76">
        <v>53.305011999999998</v>
      </c>
      <c r="F2645" s="76">
        <v>41.587288000000001</v>
      </c>
      <c r="G2645" s="79">
        <v>3227700</v>
      </c>
    </row>
    <row r="2646" spans="1:7" x14ac:dyDescent="0.25">
      <c r="A2646" s="1" t="s">
        <v>2769</v>
      </c>
      <c r="B2646" s="76">
        <v>53.934195999999901</v>
      </c>
      <c r="C2646" s="76">
        <v>54.278053</v>
      </c>
      <c r="D2646" s="76">
        <v>52.741672999999999</v>
      </c>
      <c r="E2646" s="76">
        <v>53.692763999999997</v>
      </c>
      <c r="F2646" s="76">
        <v>41.889796999999902</v>
      </c>
      <c r="G2646" s="79">
        <v>2307000</v>
      </c>
    </row>
    <row r="2647" spans="1:7" x14ac:dyDescent="0.25">
      <c r="A2647" s="1" t="s">
        <v>2770</v>
      </c>
      <c r="B2647" s="76">
        <v>53.502547999999997</v>
      </c>
      <c r="C2647" s="76">
        <v>54.921866999999999</v>
      </c>
      <c r="D2647" s="76">
        <v>53.458649000000001</v>
      </c>
      <c r="E2647" s="76">
        <v>54.870654999999999</v>
      </c>
      <c r="F2647" s="76">
        <v>42.808757999999997</v>
      </c>
      <c r="G2647" s="79">
        <v>2030500</v>
      </c>
    </row>
    <row r="2648" spans="1:7" x14ac:dyDescent="0.25">
      <c r="A2648" s="1" t="s">
        <v>2771</v>
      </c>
      <c r="B2648" s="76">
        <v>54.695067999999999</v>
      </c>
      <c r="C2648" s="76">
        <v>55.338885999999903</v>
      </c>
      <c r="D2648" s="76">
        <v>54.190257999999901</v>
      </c>
      <c r="E2648" s="76">
        <v>55.324252999999999</v>
      </c>
      <c r="F2648" s="76">
        <v>43.162635999999999</v>
      </c>
      <c r="G2648" s="79">
        <v>2097700</v>
      </c>
    </row>
    <row r="2649" spans="1:7" x14ac:dyDescent="0.25">
      <c r="A2649" s="1" t="s">
        <v>2772</v>
      </c>
      <c r="B2649" s="76">
        <v>55.975383999999998</v>
      </c>
      <c r="C2649" s="76">
        <v>56.728943000000001</v>
      </c>
      <c r="D2649" s="76">
        <v>55.507153000000002</v>
      </c>
      <c r="E2649" s="76">
        <v>56.553356000000001</v>
      </c>
      <c r="F2649" s="76">
        <v>44.121563000000002</v>
      </c>
      <c r="G2649" s="79">
        <v>2240100</v>
      </c>
    </row>
    <row r="2650" spans="1:7" x14ac:dyDescent="0.25">
      <c r="A2650" s="1" t="s">
        <v>2773</v>
      </c>
      <c r="B2650" s="76">
        <v>55.843693000000002</v>
      </c>
      <c r="C2650" s="76">
        <v>56.582618999999902</v>
      </c>
      <c r="D2650" s="76">
        <v>55.316935999999998</v>
      </c>
      <c r="E2650" s="76">
        <v>56.099757999999902</v>
      </c>
      <c r="F2650" s="76">
        <v>43.767676999999999</v>
      </c>
      <c r="G2650" s="79">
        <v>1147600</v>
      </c>
    </row>
    <row r="2651" spans="1:7" x14ac:dyDescent="0.25">
      <c r="A2651" s="1" t="s">
        <v>2774</v>
      </c>
      <c r="B2651" s="76">
        <v>56.224132999999902</v>
      </c>
      <c r="C2651" s="76">
        <v>56.407031999999901</v>
      </c>
      <c r="D2651" s="76">
        <v>54.753596999999999</v>
      </c>
      <c r="E2651" s="76">
        <v>56.246077999999997</v>
      </c>
      <c r="F2651" s="76">
        <v>43.881832000000003</v>
      </c>
      <c r="G2651" s="79">
        <v>1362900</v>
      </c>
    </row>
    <row r="2652" spans="1:7" x14ac:dyDescent="0.25">
      <c r="A2652" s="1" t="s">
        <v>2775</v>
      </c>
      <c r="B2652" s="76">
        <v>55.572997999999998</v>
      </c>
      <c r="C2652" s="76">
        <v>55.858325999999998</v>
      </c>
      <c r="D2652" s="76">
        <v>54.124412999999997</v>
      </c>
      <c r="E2652" s="76">
        <v>54.629222999999897</v>
      </c>
      <c r="F2652" s="76">
        <v>42.620407</v>
      </c>
      <c r="G2652" s="79">
        <v>2645600</v>
      </c>
    </row>
    <row r="2653" spans="1:7" x14ac:dyDescent="0.25">
      <c r="A2653" s="1" t="s">
        <v>2776</v>
      </c>
      <c r="B2653" s="76">
        <v>54.870654999999999</v>
      </c>
      <c r="C2653" s="76">
        <v>55.704689000000002</v>
      </c>
      <c r="D2653" s="76">
        <v>54.043937999999997</v>
      </c>
      <c r="E2653" s="76">
        <v>55.419361000000002</v>
      </c>
      <c r="F2653" s="76">
        <v>43.236846999999997</v>
      </c>
      <c r="G2653" s="79">
        <v>1900300</v>
      </c>
    </row>
    <row r="2654" spans="1:7" x14ac:dyDescent="0.25">
      <c r="A2654" s="1" t="s">
        <v>2777</v>
      </c>
      <c r="B2654" s="76">
        <v>54.541431000000003</v>
      </c>
      <c r="C2654" s="76">
        <v>56.502143999999902</v>
      </c>
      <c r="D2654" s="76">
        <v>54.212207999999997</v>
      </c>
      <c r="E2654" s="76">
        <v>56.443615000000001</v>
      </c>
      <c r="F2654" s="76">
        <v>44.03595</v>
      </c>
      <c r="G2654" s="79">
        <v>1899400</v>
      </c>
    </row>
    <row r="2655" spans="1:7" x14ac:dyDescent="0.25">
      <c r="A2655" s="1" t="s">
        <v>2778</v>
      </c>
      <c r="B2655" s="76">
        <v>57.131324999999997</v>
      </c>
      <c r="C2655" s="76">
        <v>57.314228</v>
      </c>
      <c r="D2655" s="76">
        <v>55.046241999999999</v>
      </c>
      <c r="E2655" s="76">
        <v>55.280356999999903</v>
      </c>
      <c r="F2655" s="76">
        <v>43.128402999999999</v>
      </c>
      <c r="G2655" s="79">
        <v>2100300</v>
      </c>
    </row>
    <row r="2656" spans="1:7" x14ac:dyDescent="0.25">
      <c r="A2656" s="1" t="s">
        <v>2779</v>
      </c>
      <c r="B2656" s="76">
        <v>55.719321999999998</v>
      </c>
      <c r="C2656" s="76">
        <v>58.294581999999998</v>
      </c>
      <c r="D2656" s="76">
        <v>55.719321999999998</v>
      </c>
      <c r="E2656" s="76">
        <v>57.870251000000003</v>
      </c>
      <c r="F2656" s="76">
        <v>45.148983000000001</v>
      </c>
      <c r="G2656" s="79">
        <v>2705100</v>
      </c>
    </row>
    <row r="2657" spans="1:7" x14ac:dyDescent="0.25">
      <c r="A2657" s="1" t="s">
        <v>2780</v>
      </c>
      <c r="B2657" s="76">
        <v>57.797089</v>
      </c>
      <c r="C2657" s="76">
        <v>58.675018000000001</v>
      </c>
      <c r="D2657" s="76">
        <v>56.926476000000001</v>
      </c>
      <c r="E2657" s="76">
        <v>58.616492999999998</v>
      </c>
      <c r="F2657" s="76">
        <v>45.731171000000003</v>
      </c>
      <c r="G2657" s="79">
        <v>1626900</v>
      </c>
    </row>
    <row r="2658" spans="1:7" x14ac:dyDescent="0.25">
      <c r="A2658" s="1" t="s">
        <v>2781</v>
      </c>
      <c r="B2658" s="76">
        <v>58.762813999999999</v>
      </c>
      <c r="C2658" s="76">
        <v>60.760105000000003</v>
      </c>
      <c r="D2658" s="76">
        <v>58.177525000000003</v>
      </c>
      <c r="E2658" s="76">
        <v>60.621097999999897</v>
      </c>
      <c r="F2658" s="76">
        <v>47.295127999999998</v>
      </c>
      <c r="G2658" s="79">
        <v>2224100</v>
      </c>
    </row>
    <row r="2659" spans="1:7" x14ac:dyDescent="0.25">
      <c r="A2659" s="1" t="s">
        <v>2782</v>
      </c>
      <c r="B2659" s="76">
        <v>61.177119999999903</v>
      </c>
      <c r="C2659" s="76">
        <v>61.411235999999903</v>
      </c>
      <c r="D2659" s="76">
        <v>59.830962999999997</v>
      </c>
      <c r="E2659" s="76">
        <v>60.474777000000003</v>
      </c>
      <c r="F2659" s="76">
        <v>47.180962000000001</v>
      </c>
      <c r="G2659" s="79">
        <v>2354900</v>
      </c>
    </row>
    <row r="2660" spans="1:7" x14ac:dyDescent="0.25">
      <c r="A2660" s="1" t="s">
        <v>2783</v>
      </c>
      <c r="B2660" s="76">
        <v>60.328456999999901</v>
      </c>
      <c r="C2660" s="76">
        <v>61.330760999999903</v>
      </c>
      <c r="D2660" s="76">
        <v>59.823646999999902</v>
      </c>
      <c r="E2660" s="76">
        <v>60.796683999999999</v>
      </c>
      <c r="F2660" s="76">
        <v>47.432105999999997</v>
      </c>
      <c r="G2660" s="79">
        <v>1866600</v>
      </c>
    </row>
    <row r="2661" spans="1:7" x14ac:dyDescent="0.25">
      <c r="A2661" s="1" t="s">
        <v>2784</v>
      </c>
      <c r="B2661" s="76">
        <v>61.286864999999999</v>
      </c>
      <c r="C2661" s="76">
        <v>61.286864999999999</v>
      </c>
      <c r="D2661" s="76">
        <v>59.626109999999997</v>
      </c>
      <c r="E2661" s="76">
        <v>60.291874</v>
      </c>
      <c r="F2661" s="76">
        <v>47.038269</v>
      </c>
      <c r="G2661" s="79">
        <v>1291900</v>
      </c>
    </row>
    <row r="2662" spans="1:7" x14ac:dyDescent="0.25">
      <c r="A2662" s="1" t="s">
        <v>2785</v>
      </c>
      <c r="B2662" s="76">
        <v>59.428576999999997</v>
      </c>
      <c r="C2662" s="76">
        <v>60.738154999999999</v>
      </c>
      <c r="D2662" s="76">
        <v>59.406627999999998</v>
      </c>
      <c r="E2662" s="76">
        <v>60.562571999999903</v>
      </c>
      <c r="F2662" s="76">
        <v>47.249462000000001</v>
      </c>
      <c r="G2662" s="79">
        <v>2291900</v>
      </c>
    </row>
    <row r="2663" spans="1:7" x14ac:dyDescent="0.25">
      <c r="A2663" s="1" t="s">
        <v>2786</v>
      </c>
      <c r="B2663" s="76">
        <v>61.4551319999999</v>
      </c>
      <c r="C2663" s="76">
        <v>63.335368999999901</v>
      </c>
      <c r="D2663" s="76">
        <v>60.774737999999999</v>
      </c>
      <c r="E2663" s="76">
        <v>63.218311</v>
      </c>
      <c r="F2663" s="76">
        <v>49.321391999999904</v>
      </c>
      <c r="G2663" s="79">
        <v>2498500</v>
      </c>
    </row>
    <row r="2664" spans="1:7" x14ac:dyDescent="0.25">
      <c r="A2664" s="1" t="s">
        <v>2787</v>
      </c>
      <c r="B2664" s="76">
        <v>62.523280999999997</v>
      </c>
      <c r="C2664" s="76">
        <v>62.874454</v>
      </c>
      <c r="D2664" s="76">
        <v>61.777042000000002</v>
      </c>
      <c r="E2664" s="76">
        <v>62.033104000000002</v>
      </c>
      <c r="F2664" s="76">
        <v>48.396729000000001</v>
      </c>
      <c r="G2664" s="79">
        <v>1989500</v>
      </c>
    </row>
    <row r="2665" spans="1:7" x14ac:dyDescent="0.25">
      <c r="A2665" s="1" t="s">
        <v>2788</v>
      </c>
      <c r="B2665" s="76">
        <v>62.303798999999998</v>
      </c>
      <c r="C2665" s="76">
        <v>62.845188</v>
      </c>
      <c r="D2665" s="76">
        <v>62.120899000000001</v>
      </c>
      <c r="E2665" s="76">
        <v>62.669604999999997</v>
      </c>
      <c r="F2665" s="76">
        <v>48.893321999999998</v>
      </c>
      <c r="G2665" s="79">
        <v>1321500</v>
      </c>
    </row>
    <row r="2666" spans="1:7" x14ac:dyDescent="0.25">
      <c r="A2666" s="1" t="s">
        <v>2789</v>
      </c>
      <c r="B2666" s="76">
        <v>62.179423999999997</v>
      </c>
      <c r="C2666" s="76">
        <v>62.713501000000001</v>
      </c>
      <c r="D2666" s="76">
        <v>61.608771999999902</v>
      </c>
      <c r="E2666" s="76">
        <v>62.150162000000002</v>
      </c>
      <c r="F2666" s="76">
        <v>48.488056</v>
      </c>
      <c r="G2666" s="79">
        <v>1537600</v>
      </c>
    </row>
    <row r="2667" spans="1:7" x14ac:dyDescent="0.25">
      <c r="A2667" s="1" t="s">
        <v>2790</v>
      </c>
      <c r="B2667" s="76">
        <v>61.4551319999999</v>
      </c>
      <c r="C2667" s="76">
        <v>62.150162000000002</v>
      </c>
      <c r="D2667" s="76">
        <v>60.921059</v>
      </c>
      <c r="E2667" s="76">
        <v>62.076999999999998</v>
      </c>
      <c r="F2667" s="76">
        <v>48.430984000000002</v>
      </c>
      <c r="G2667" s="79">
        <v>1610800</v>
      </c>
    </row>
    <row r="2668" spans="1:7" x14ac:dyDescent="0.25">
      <c r="A2668" s="1" t="s">
        <v>2791</v>
      </c>
      <c r="B2668" s="76">
        <v>61.791671999999998</v>
      </c>
      <c r="C2668" s="76">
        <v>62.669604999999997</v>
      </c>
      <c r="D2668" s="76">
        <v>61.586822999999903</v>
      </c>
      <c r="E2668" s="76">
        <v>62.611075999999997</v>
      </c>
      <c r="F2668" s="76">
        <v>49.224747000000001</v>
      </c>
      <c r="G2668" s="79">
        <v>1329800</v>
      </c>
    </row>
    <row r="2669" spans="1:7" x14ac:dyDescent="0.25">
      <c r="A2669" s="1" t="s">
        <v>2792</v>
      </c>
      <c r="B2669" s="76">
        <v>62.069682999999998</v>
      </c>
      <c r="C2669" s="76">
        <v>62.179423999999997</v>
      </c>
      <c r="D2669" s="76">
        <v>60.708893000000003</v>
      </c>
      <c r="E2669" s="76">
        <v>61.425868999999899</v>
      </c>
      <c r="F2669" s="76">
        <v>48.292941999999996</v>
      </c>
      <c r="G2669" s="79">
        <v>1832500</v>
      </c>
    </row>
    <row r="2670" spans="1:7" x14ac:dyDescent="0.25">
      <c r="A2670" s="1" t="s">
        <v>2793</v>
      </c>
      <c r="B2670" s="76">
        <v>60.591834999999897</v>
      </c>
      <c r="C2670" s="76">
        <v>61.023482999999999</v>
      </c>
      <c r="D2670" s="76">
        <v>59.962649999999996</v>
      </c>
      <c r="E2670" s="76">
        <v>60.262611</v>
      </c>
      <c r="F2670" s="76">
        <v>47.37838</v>
      </c>
      <c r="G2670" s="79">
        <v>2325900</v>
      </c>
    </row>
    <row r="2671" spans="1:7" x14ac:dyDescent="0.25">
      <c r="A2671" s="1" t="s">
        <v>2794</v>
      </c>
      <c r="B2671" s="76">
        <v>59.457839999999997</v>
      </c>
      <c r="C2671" s="76">
        <v>60.226031999999996</v>
      </c>
      <c r="D2671" s="76">
        <v>59.304203000000001</v>
      </c>
      <c r="E2671" s="76">
        <v>59.472473000000001</v>
      </c>
      <c r="F2671" s="76">
        <v>46.757187000000002</v>
      </c>
      <c r="G2671" s="79">
        <v>1796200</v>
      </c>
    </row>
    <row r="2672" spans="1:7" x14ac:dyDescent="0.25">
      <c r="A2672" s="1" t="s">
        <v>2795</v>
      </c>
      <c r="B2672" s="76">
        <v>59.443210999999998</v>
      </c>
      <c r="C2672" s="76">
        <v>60.130919999999897</v>
      </c>
      <c r="D2672" s="76">
        <v>59.252991000000002</v>
      </c>
      <c r="E2672" s="76">
        <v>59.260306999999997</v>
      </c>
      <c r="F2672" s="76">
        <v>46.590384999999998</v>
      </c>
      <c r="G2672" s="79">
        <v>1665200</v>
      </c>
    </row>
    <row r="2673" spans="1:7" x14ac:dyDescent="0.25">
      <c r="A2673" s="1" t="s">
        <v>2796</v>
      </c>
      <c r="B2673" s="76">
        <v>59.026192000000002</v>
      </c>
      <c r="C2673" s="76">
        <v>59.838279999999997</v>
      </c>
      <c r="D2673" s="76">
        <v>58.857921999999903</v>
      </c>
      <c r="E2673" s="76">
        <v>59.362731999999902</v>
      </c>
      <c r="F2673" s="76">
        <v>46.670901999999998</v>
      </c>
      <c r="G2673" s="79">
        <v>1277000</v>
      </c>
    </row>
    <row r="2674" spans="1:7" x14ac:dyDescent="0.25">
      <c r="A2674" s="1" t="s">
        <v>2797</v>
      </c>
      <c r="B2674" s="76">
        <v>60.094341</v>
      </c>
      <c r="C2674" s="76">
        <v>61.923363000000002</v>
      </c>
      <c r="D2674" s="76">
        <v>59.721221999999997</v>
      </c>
      <c r="E2674" s="76">
        <v>61.484397999999999</v>
      </c>
      <c r="F2674" s="76">
        <v>48.338954999999999</v>
      </c>
      <c r="G2674" s="79">
        <v>2525800</v>
      </c>
    </row>
    <row r="2675" spans="1:7" x14ac:dyDescent="0.25">
      <c r="A2675" s="1" t="s">
        <v>2798</v>
      </c>
      <c r="B2675" s="76">
        <v>61.484397999999999</v>
      </c>
      <c r="C2675" s="76">
        <v>62.011153999999998</v>
      </c>
      <c r="D2675" s="76">
        <v>61.023482999999999</v>
      </c>
      <c r="E2675" s="76">
        <v>61.469765000000002</v>
      </c>
      <c r="F2675" s="76">
        <v>48.327438000000001</v>
      </c>
      <c r="G2675" s="79">
        <v>1696800</v>
      </c>
    </row>
    <row r="2676" spans="1:7" x14ac:dyDescent="0.25">
      <c r="A2676" s="1" t="s">
        <v>2799</v>
      </c>
      <c r="B2676" s="76">
        <v>61.294178000000002</v>
      </c>
      <c r="C2676" s="76">
        <v>61.323443999999903</v>
      </c>
      <c r="D2676" s="76">
        <v>59.231040999999998</v>
      </c>
      <c r="E2676" s="76">
        <v>59.655375999999997</v>
      </c>
      <c r="F2676" s="76">
        <v>46.900973999999998</v>
      </c>
      <c r="G2676" s="79">
        <v>1869000</v>
      </c>
    </row>
    <row r="2677" spans="1:7" x14ac:dyDescent="0.25">
      <c r="A2677" s="1" t="s">
        <v>2800</v>
      </c>
      <c r="B2677" s="76">
        <v>59.260306999999997</v>
      </c>
      <c r="C2677" s="76">
        <v>59.823646999999902</v>
      </c>
      <c r="D2677" s="76">
        <v>58.748179999999998</v>
      </c>
      <c r="E2677" s="76">
        <v>59.304203000000001</v>
      </c>
      <c r="F2677" s="76">
        <v>46.624885999999996</v>
      </c>
      <c r="G2677" s="79">
        <v>1440500</v>
      </c>
    </row>
    <row r="2678" spans="1:7" x14ac:dyDescent="0.25">
      <c r="A2678" s="1" t="s">
        <v>2801</v>
      </c>
      <c r="B2678" s="76">
        <v>59.779750999999997</v>
      </c>
      <c r="C2678" s="76">
        <v>60.152869999999901</v>
      </c>
      <c r="D2678" s="76">
        <v>59.143250000000002</v>
      </c>
      <c r="E2678" s="76">
        <v>59.231040999999998</v>
      </c>
      <c r="F2678" s="76">
        <v>46.567368000000002</v>
      </c>
      <c r="G2678" s="79">
        <v>1202100</v>
      </c>
    </row>
    <row r="2679" spans="1:7" x14ac:dyDescent="0.25">
      <c r="A2679" s="1" t="s">
        <v>2802</v>
      </c>
      <c r="B2679" s="76">
        <v>58.696967999999998</v>
      </c>
      <c r="C2679" s="76">
        <v>59.209094999999998</v>
      </c>
      <c r="D2679" s="76">
        <v>57.987308999999897</v>
      </c>
      <c r="E2679" s="76">
        <v>58.550647999999903</v>
      </c>
      <c r="F2679" s="76">
        <v>46.032432999999997</v>
      </c>
      <c r="G2679" s="79">
        <v>1378500</v>
      </c>
    </row>
    <row r="2680" spans="1:7" x14ac:dyDescent="0.25">
      <c r="A2680" s="1" t="s">
        <v>2803</v>
      </c>
      <c r="B2680" s="76">
        <v>58.243369999999999</v>
      </c>
      <c r="C2680" s="76">
        <v>59.706589000000001</v>
      </c>
      <c r="D2680" s="76">
        <v>58.243369999999999</v>
      </c>
      <c r="E2680" s="76">
        <v>59.421261000000001</v>
      </c>
      <c r="F2680" s="76">
        <v>46.716907999999997</v>
      </c>
      <c r="G2680" s="79">
        <v>1602500</v>
      </c>
    </row>
    <row r="2681" spans="1:7" x14ac:dyDescent="0.25">
      <c r="A2681" s="1" t="s">
        <v>2804</v>
      </c>
      <c r="B2681" s="76">
        <v>59.772433999999997</v>
      </c>
      <c r="C2681" s="76">
        <v>60.057761999999997</v>
      </c>
      <c r="D2681" s="76">
        <v>58.645755999999999</v>
      </c>
      <c r="E2681" s="76">
        <v>58.843288000000001</v>
      </c>
      <c r="F2681" s="76">
        <v>46.262520000000002</v>
      </c>
      <c r="G2681" s="79">
        <v>1711000</v>
      </c>
    </row>
    <row r="2682" spans="1:7" x14ac:dyDescent="0.25">
      <c r="A2682" s="1" t="s">
        <v>2805</v>
      </c>
      <c r="B2682" s="76">
        <v>59.150565999999998</v>
      </c>
      <c r="C2682" s="76">
        <v>59.743167999999997</v>
      </c>
      <c r="D2682" s="76">
        <v>57.840988000000003</v>
      </c>
      <c r="E2682" s="76">
        <v>59.684638999999997</v>
      </c>
      <c r="F2682" s="76">
        <v>46.923977000000001</v>
      </c>
      <c r="G2682" s="79">
        <v>2250800</v>
      </c>
    </row>
    <row r="2683" spans="1:7" x14ac:dyDescent="0.25">
      <c r="A2683" s="1" t="s">
        <v>2806</v>
      </c>
      <c r="B2683" s="76">
        <v>59.289569999999998</v>
      </c>
      <c r="C2683" s="76">
        <v>60.240662</v>
      </c>
      <c r="D2683" s="76">
        <v>58.843288000000001</v>
      </c>
      <c r="E2683" s="76">
        <v>58.872554999999998</v>
      </c>
      <c r="F2683" s="76">
        <v>46.285530000000001</v>
      </c>
      <c r="G2683" s="79">
        <v>1484400</v>
      </c>
    </row>
    <row r="2684" spans="1:7" x14ac:dyDescent="0.25">
      <c r="A2684" s="1" t="s">
        <v>2807</v>
      </c>
      <c r="B2684" s="76">
        <v>58.828658999999902</v>
      </c>
      <c r="C2684" s="76">
        <v>59.662692999999997</v>
      </c>
      <c r="D2684" s="76">
        <v>58.462851999999998</v>
      </c>
      <c r="E2684" s="76">
        <v>59.304203000000001</v>
      </c>
      <c r="F2684" s="76">
        <v>46.624885999999996</v>
      </c>
      <c r="G2684" s="79">
        <v>1945800</v>
      </c>
    </row>
    <row r="2685" spans="1:7" x14ac:dyDescent="0.25">
      <c r="A2685" s="1" t="s">
        <v>2808</v>
      </c>
      <c r="B2685" s="76">
        <v>60.262611</v>
      </c>
      <c r="C2685" s="76">
        <v>61.872149999999998</v>
      </c>
      <c r="D2685" s="76">
        <v>59.969966999999997</v>
      </c>
      <c r="E2685" s="76">
        <v>61.674618000000002</v>
      </c>
      <c r="F2685" s="76">
        <v>48.488498999999997</v>
      </c>
      <c r="G2685" s="79">
        <v>3060800</v>
      </c>
    </row>
    <row r="2686" spans="1:7" x14ac:dyDescent="0.25">
      <c r="A2686" s="1" t="s">
        <v>2809</v>
      </c>
      <c r="B2686" s="76">
        <v>61.806305000000002</v>
      </c>
      <c r="C2686" s="76">
        <v>63.042724999999997</v>
      </c>
      <c r="D2686" s="76">
        <v>61.718513000000002</v>
      </c>
      <c r="E2686" s="76">
        <v>63.020775</v>
      </c>
      <c r="F2686" s="76">
        <v>49.546844</v>
      </c>
      <c r="G2686" s="79">
        <v>2259000</v>
      </c>
    </row>
    <row r="2687" spans="1:7" x14ac:dyDescent="0.25">
      <c r="A2687" s="1" t="s">
        <v>2810</v>
      </c>
      <c r="B2687" s="76">
        <v>63.437793999999997</v>
      </c>
      <c r="C2687" s="76">
        <v>64.037711999999999</v>
      </c>
      <c r="D2687" s="76">
        <v>62.940300000000001</v>
      </c>
      <c r="E2687" s="76">
        <v>63.949920999999897</v>
      </c>
      <c r="F2687" s="76">
        <v>50.277347999999897</v>
      </c>
      <c r="G2687" s="79">
        <v>1930700</v>
      </c>
    </row>
    <row r="2688" spans="1:7" x14ac:dyDescent="0.25">
      <c r="A2688" s="1" t="s">
        <v>2811</v>
      </c>
      <c r="B2688" s="76">
        <v>63.371947999999897</v>
      </c>
      <c r="C2688" s="76">
        <v>63.510956</v>
      </c>
      <c r="D2688" s="76">
        <v>62.698867999999997</v>
      </c>
      <c r="E2688" s="76">
        <v>62.735447000000001</v>
      </c>
      <c r="F2688" s="76">
        <v>49.322524999999999</v>
      </c>
      <c r="G2688" s="79">
        <v>1615500</v>
      </c>
    </row>
    <row r="2689" spans="1:7" x14ac:dyDescent="0.25">
      <c r="A2689" s="1" t="s">
        <v>2812</v>
      </c>
      <c r="B2689" s="76">
        <v>63.137832999999901</v>
      </c>
      <c r="C2689" s="76">
        <v>63.525585</v>
      </c>
      <c r="D2689" s="76">
        <v>62.501334999999997</v>
      </c>
      <c r="E2689" s="76">
        <v>62.837874999999997</v>
      </c>
      <c r="F2689" s="76">
        <v>49.403048999999903</v>
      </c>
      <c r="G2689" s="79">
        <v>1612600</v>
      </c>
    </row>
    <row r="2690" spans="1:7" x14ac:dyDescent="0.25">
      <c r="A2690" s="1" t="s">
        <v>2813</v>
      </c>
      <c r="B2690" s="76">
        <v>63.613379999999999</v>
      </c>
      <c r="C2690" s="76">
        <v>64.103554000000003</v>
      </c>
      <c r="D2690" s="76">
        <v>61.711196999999999</v>
      </c>
      <c r="E2690" s="76">
        <v>61.857517000000001</v>
      </c>
      <c r="F2690" s="76">
        <v>48.632305000000002</v>
      </c>
      <c r="G2690" s="79">
        <v>1913000</v>
      </c>
    </row>
    <row r="2691" spans="1:7" x14ac:dyDescent="0.25">
      <c r="A2691" s="1" t="s">
        <v>2814</v>
      </c>
      <c r="B2691" s="76">
        <v>62.142844999999902</v>
      </c>
      <c r="C2691" s="76">
        <v>62.530597999999998</v>
      </c>
      <c r="D2691" s="76">
        <v>61.659984999999999</v>
      </c>
      <c r="E2691" s="76">
        <v>62.113582999999998</v>
      </c>
      <c r="F2691" s="76">
        <v>48.833626000000002</v>
      </c>
      <c r="G2691" s="79">
        <v>1489800</v>
      </c>
    </row>
    <row r="2692" spans="1:7" x14ac:dyDescent="0.25">
      <c r="A2692" s="1" t="s">
        <v>2815</v>
      </c>
      <c r="B2692" s="76">
        <v>63.152465999999997</v>
      </c>
      <c r="C2692" s="76">
        <v>63.167099</v>
      </c>
      <c r="D2692" s="76">
        <v>62.296481999999997</v>
      </c>
      <c r="E2692" s="76">
        <v>62.940300000000001</v>
      </c>
      <c r="F2692" s="76">
        <v>49.483584999999998</v>
      </c>
      <c r="G2692" s="79">
        <v>1506900</v>
      </c>
    </row>
    <row r="2693" spans="1:7" x14ac:dyDescent="0.25">
      <c r="A2693" s="1" t="s">
        <v>2816</v>
      </c>
      <c r="B2693" s="76">
        <v>62.764713</v>
      </c>
      <c r="C2693" s="76">
        <v>63.4158439999999</v>
      </c>
      <c r="D2693" s="76">
        <v>62.311115000000001</v>
      </c>
      <c r="E2693" s="76">
        <v>62.750079999999997</v>
      </c>
      <c r="F2693" s="76">
        <v>49.334022999999902</v>
      </c>
      <c r="G2693" s="79">
        <v>2038900</v>
      </c>
    </row>
    <row r="2694" spans="1:7" x14ac:dyDescent="0.25">
      <c r="A2694" s="1" t="s">
        <v>2817</v>
      </c>
      <c r="B2694" s="76">
        <v>62.230640000000001</v>
      </c>
      <c r="C2694" s="76">
        <v>63.679221999999903</v>
      </c>
      <c r="D2694" s="76">
        <v>62.208691000000002</v>
      </c>
      <c r="E2694" s="76">
        <v>63.496322999999997</v>
      </c>
      <c r="F2694" s="76">
        <v>49.920726999999999</v>
      </c>
      <c r="G2694" s="79">
        <v>1308600</v>
      </c>
    </row>
    <row r="2695" spans="1:7" x14ac:dyDescent="0.25">
      <c r="A2695" s="1" t="s">
        <v>2818</v>
      </c>
      <c r="B2695" s="76">
        <v>63.342686</v>
      </c>
      <c r="C2695" s="76">
        <v>63.459739999999996</v>
      </c>
      <c r="D2695" s="76">
        <v>62.545231000000001</v>
      </c>
      <c r="E2695" s="76">
        <v>63.0134579999999</v>
      </c>
      <c r="F2695" s="76">
        <v>49.541103</v>
      </c>
      <c r="G2695" s="79">
        <v>1050300</v>
      </c>
    </row>
    <row r="2696" spans="1:7" x14ac:dyDescent="0.25">
      <c r="A2696" s="1" t="s">
        <v>2819</v>
      </c>
      <c r="B2696" s="76">
        <v>63.27684</v>
      </c>
      <c r="C2696" s="76">
        <v>63.474373</v>
      </c>
      <c r="D2696" s="76">
        <v>62.494018999999902</v>
      </c>
      <c r="E2696" s="76">
        <v>63.306103</v>
      </c>
      <c r="F2696" s="76">
        <v>49.771178999999997</v>
      </c>
      <c r="G2696" s="79">
        <v>2050800</v>
      </c>
    </row>
    <row r="2697" spans="1:7" x14ac:dyDescent="0.25">
      <c r="A2697" s="1" t="s">
        <v>2820</v>
      </c>
      <c r="B2697" s="76">
        <v>63.788967</v>
      </c>
      <c r="C2697" s="76">
        <v>65.135124000000005</v>
      </c>
      <c r="D2697" s="76">
        <v>63.349997999999999</v>
      </c>
      <c r="E2697" s="76">
        <v>64.791267000000005</v>
      </c>
      <c r="F2697" s="76">
        <v>50.938811999999999</v>
      </c>
      <c r="G2697" s="79">
        <v>2104800</v>
      </c>
    </row>
    <row r="2698" spans="1:7" x14ac:dyDescent="0.25">
      <c r="A2698" s="1" t="s">
        <v>2821</v>
      </c>
      <c r="B2698" s="76">
        <v>64.842483999999999</v>
      </c>
      <c r="C2698" s="76">
        <v>65.157073999999994</v>
      </c>
      <c r="D2698" s="76">
        <v>63.788967</v>
      </c>
      <c r="E2698" s="76">
        <v>64.644951000000006</v>
      </c>
      <c r="F2698" s="76">
        <v>50.823768999999999</v>
      </c>
      <c r="G2698" s="79">
        <v>2659200</v>
      </c>
    </row>
    <row r="2699" spans="1:7" x14ac:dyDescent="0.25">
      <c r="A2699" s="1" t="s">
        <v>2822</v>
      </c>
      <c r="B2699" s="76">
        <v>64.176719999999904</v>
      </c>
      <c r="C2699" s="76">
        <v>65.032700000000006</v>
      </c>
      <c r="D2699" s="76">
        <v>63.671908999999999</v>
      </c>
      <c r="E2699" s="76">
        <v>63.854808999999896</v>
      </c>
      <c r="F2699" s="76">
        <v>50.202579</v>
      </c>
      <c r="G2699" s="79">
        <v>2258600</v>
      </c>
    </row>
    <row r="2700" spans="1:7" x14ac:dyDescent="0.25">
      <c r="A2700" s="1" t="s">
        <v>2823</v>
      </c>
      <c r="B2700" s="76">
        <v>63.547534999999897</v>
      </c>
      <c r="C2700" s="76">
        <v>63.635325999999999</v>
      </c>
      <c r="D2700" s="76">
        <v>61.952629000000002</v>
      </c>
      <c r="E2700" s="76">
        <v>61.967257999999902</v>
      </c>
      <c r="F2700" s="76">
        <v>48.718567</v>
      </c>
      <c r="G2700" s="79">
        <v>2167700</v>
      </c>
    </row>
    <row r="2701" spans="1:7" x14ac:dyDescent="0.25">
      <c r="A2701" s="1" t="s">
        <v>2824</v>
      </c>
      <c r="B2701" s="76">
        <v>62.786662999999997</v>
      </c>
      <c r="C2701" s="76">
        <v>63.840178999999999</v>
      </c>
      <c r="D2701" s="76">
        <v>62.457436000000001</v>
      </c>
      <c r="E2701" s="76">
        <v>63.64996</v>
      </c>
      <c r="F2701" s="76">
        <v>50.041514999999997</v>
      </c>
      <c r="G2701" s="79">
        <v>2238500</v>
      </c>
    </row>
    <row r="2702" spans="1:7" x14ac:dyDescent="0.25">
      <c r="A2702" s="1" t="s">
        <v>2825</v>
      </c>
      <c r="B2702" s="76">
        <v>63.393898</v>
      </c>
      <c r="C2702" s="76">
        <v>63.979182999999999</v>
      </c>
      <c r="D2702" s="76">
        <v>62.947617000000001</v>
      </c>
      <c r="E2702" s="76">
        <v>63.540218000000003</v>
      </c>
      <c r="F2702" s="76">
        <v>49.955238000000001</v>
      </c>
      <c r="G2702" s="79">
        <v>2029500</v>
      </c>
    </row>
    <row r="2703" spans="1:7" x14ac:dyDescent="0.25">
      <c r="A2703" s="1" t="s">
        <v>2826</v>
      </c>
      <c r="B2703" s="76">
        <v>63.496322999999997</v>
      </c>
      <c r="C2703" s="76">
        <v>63.525585</v>
      </c>
      <c r="D2703" s="76">
        <v>62.391593999999998</v>
      </c>
      <c r="E2703" s="76">
        <v>63.342686</v>
      </c>
      <c r="F2703" s="76">
        <v>49.799931000000001</v>
      </c>
      <c r="G2703" s="79">
        <v>2345700</v>
      </c>
    </row>
    <row r="2704" spans="1:7" x14ac:dyDescent="0.25">
      <c r="A2704" s="1" t="s">
        <v>2827</v>
      </c>
      <c r="B2704" s="76">
        <v>62.998829000000001</v>
      </c>
      <c r="C2704" s="76">
        <v>63.1597819999999</v>
      </c>
      <c r="D2704" s="76">
        <v>62.216006999999998</v>
      </c>
      <c r="E2704" s="76">
        <v>62.457436000000001</v>
      </c>
      <c r="F2704" s="76">
        <v>49.103951000000002</v>
      </c>
      <c r="G2704" s="79">
        <v>1432800</v>
      </c>
    </row>
    <row r="2705" spans="1:7" x14ac:dyDescent="0.25">
      <c r="A2705" s="1" t="s">
        <v>2828</v>
      </c>
      <c r="B2705" s="76">
        <v>62.786662999999997</v>
      </c>
      <c r="C2705" s="76">
        <v>63.518268999999997</v>
      </c>
      <c r="D2705" s="76">
        <v>62.179423999999997</v>
      </c>
      <c r="E2705" s="76">
        <v>62.574492999999997</v>
      </c>
      <c r="F2705" s="76">
        <v>49.195991999999997</v>
      </c>
      <c r="G2705" s="79">
        <v>2675300</v>
      </c>
    </row>
    <row r="2706" spans="1:7" x14ac:dyDescent="0.25">
      <c r="A2706" s="1" t="s">
        <v>2829</v>
      </c>
      <c r="B2706" s="76">
        <v>63.269523999999997</v>
      </c>
      <c r="C2706" s="76">
        <v>63.335368999999901</v>
      </c>
      <c r="D2706" s="76">
        <v>62.040420999999903</v>
      </c>
      <c r="E2706" s="76">
        <v>62.889088000000001</v>
      </c>
      <c r="F2706" s="76">
        <v>49.443317</v>
      </c>
      <c r="G2706" s="79">
        <v>1817900</v>
      </c>
    </row>
    <row r="2707" spans="1:7" x14ac:dyDescent="0.25">
      <c r="A2707" s="1" t="s">
        <v>2830</v>
      </c>
      <c r="B2707" s="76">
        <v>62.925666999999997</v>
      </c>
      <c r="C2707" s="76">
        <v>63.606064000000003</v>
      </c>
      <c r="D2707" s="76">
        <v>62.589126999999998</v>
      </c>
      <c r="E2707" s="76">
        <v>63.591431</v>
      </c>
      <c r="F2707" s="76">
        <v>49.995490999999902</v>
      </c>
      <c r="G2707" s="79">
        <v>1693600</v>
      </c>
    </row>
    <row r="2708" spans="1:7" x14ac:dyDescent="0.25">
      <c r="A2708" s="1" t="s">
        <v>2831</v>
      </c>
      <c r="B2708" s="76">
        <v>64.359618999999995</v>
      </c>
      <c r="C2708" s="76">
        <v>64.966858000000002</v>
      </c>
      <c r="D2708" s="76">
        <v>63.606064000000003</v>
      </c>
      <c r="E2708" s="76">
        <v>64.644951000000006</v>
      </c>
      <c r="F2708" s="76">
        <v>50.823768999999999</v>
      </c>
      <c r="G2708" s="79">
        <v>2614200</v>
      </c>
    </row>
    <row r="2709" spans="1:7" x14ac:dyDescent="0.25">
      <c r="A2709" s="1" t="s">
        <v>2832</v>
      </c>
      <c r="B2709" s="76">
        <v>64.396202000000002</v>
      </c>
      <c r="C2709" s="76">
        <v>64.725425999999999</v>
      </c>
      <c r="D2709" s="76">
        <v>63.284156999999901</v>
      </c>
      <c r="E2709" s="76">
        <v>63.759701</v>
      </c>
      <c r="F2709" s="76">
        <v>50.127791999999999</v>
      </c>
      <c r="G2709" s="79">
        <v>1841600</v>
      </c>
    </row>
    <row r="2710" spans="1:7" x14ac:dyDescent="0.25">
      <c r="A2710" s="1" t="s">
        <v>2833</v>
      </c>
      <c r="B2710" s="76">
        <v>64.103554000000003</v>
      </c>
      <c r="C2710" s="76">
        <v>64.505943000000002</v>
      </c>
      <c r="D2710" s="76">
        <v>63.525585</v>
      </c>
      <c r="E2710" s="76">
        <v>63.715805000000003</v>
      </c>
      <c r="F2710" s="76">
        <v>50.093280999999998</v>
      </c>
      <c r="G2710" s="79">
        <v>1219700</v>
      </c>
    </row>
    <row r="2711" spans="1:7" x14ac:dyDescent="0.25">
      <c r="A2711" s="1" t="s">
        <v>2834</v>
      </c>
      <c r="B2711" s="76">
        <v>63.869441999999999</v>
      </c>
      <c r="C2711" s="76">
        <v>64.081611999999893</v>
      </c>
      <c r="D2711" s="76">
        <v>63.306103</v>
      </c>
      <c r="E2711" s="76">
        <v>63.613379999999999</v>
      </c>
      <c r="F2711" s="76">
        <v>50.012745000000002</v>
      </c>
      <c r="G2711" s="79">
        <v>1547700</v>
      </c>
    </row>
    <row r="2712" spans="1:7" x14ac:dyDescent="0.25">
      <c r="A2712" s="1" t="s">
        <v>2835</v>
      </c>
      <c r="B2712" s="76">
        <v>63.606064000000003</v>
      </c>
      <c r="C2712" s="76">
        <v>63.979182999999999</v>
      </c>
      <c r="D2712" s="76">
        <v>63.320735999999997</v>
      </c>
      <c r="E2712" s="76">
        <v>63.628009999999897</v>
      </c>
      <c r="F2712" s="76">
        <v>50.024258000000003</v>
      </c>
      <c r="G2712" s="79">
        <v>903900</v>
      </c>
    </row>
    <row r="2713" spans="1:7" x14ac:dyDescent="0.25">
      <c r="A2713" s="1" t="s">
        <v>2836</v>
      </c>
      <c r="B2713" s="76">
        <v>63.284156999999901</v>
      </c>
      <c r="C2713" s="76">
        <v>64.176719999999904</v>
      </c>
      <c r="D2713" s="76">
        <v>62.859820999999997</v>
      </c>
      <c r="E2713" s="76">
        <v>64.052344999999903</v>
      </c>
      <c r="F2713" s="76">
        <v>50.357875999999997</v>
      </c>
      <c r="G2713" s="79">
        <v>1484500</v>
      </c>
    </row>
    <row r="2714" spans="1:7" x14ac:dyDescent="0.25">
      <c r="A2714" s="1" t="s">
        <v>2837</v>
      </c>
      <c r="B2714" s="76">
        <v>64.271827999999999</v>
      </c>
      <c r="C2714" s="76">
        <v>64.974174000000005</v>
      </c>
      <c r="D2714" s="76">
        <v>64.088927999999996</v>
      </c>
      <c r="E2714" s="76">
        <v>64.432777000000002</v>
      </c>
      <c r="F2714" s="76">
        <v>50.656959999999998</v>
      </c>
      <c r="G2714" s="79">
        <v>1994700</v>
      </c>
    </row>
    <row r="2715" spans="1:7" x14ac:dyDescent="0.25">
      <c r="A2715" s="1" t="s">
        <v>2838</v>
      </c>
      <c r="B2715" s="76">
        <v>64.176719999999904</v>
      </c>
      <c r="C2715" s="76">
        <v>64.886375000000001</v>
      </c>
      <c r="D2715" s="76">
        <v>63.869441999999999</v>
      </c>
      <c r="E2715" s="76">
        <v>64.279143999999903</v>
      </c>
      <c r="F2715" s="76">
        <v>50.536181999999997</v>
      </c>
      <c r="G2715" s="79">
        <v>2069400</v>
      </c>
    </row>
    <row r="2716" spans="1:7" x14ac:dyDescent="0.25">
      <c r="A2716" s="1" t="s">
        <v>2839</v>
      </c>
      <c r="B2716" s="76">
        <v>64.835166999999998</v>
      </c>
      <c r="C2716" s="76">
        <v>65.003433000000001</v>
      </c>
      <c r="D2716" s="76">
        <v>63.532902</v>
      </c>
      <c r="E2716" s="76">
        <v>63.803595999999999</v>
      </c>
      <c r="F2716" s="76">
        <v>50.162295999999998</v>
      </c>
      <c r="G2716" s="79">
        <v>1746400</v>
      </c>
    </row>
    <row r="2717" spans="1:7" x14ac:dyDescent="0.25">
      <c r="A2717" s="1" t="s">
        <v>2840</v>
      </c>
      <c r="B2717" s="76">
        <v>63.913338000000003</v>
      </c>
      <c r="C2717" s="76">
        <v>64.922957999999994</v>
      </c>
      <c r="D2717" s="76">
        <v>63.913338000000003</v>
      </c>
      <c r="E2717" s="76">
        <v>64.922957999999994</v>
      </c>
      <c r="F2717" s="76">
        <v>51.042346999999999</v>
      </c>
      <c r="G2717" s="79">
        <v>1953300</v>
      </c>
    </row>
    <row r="2718" spans="1:7" x14ac:dyDescent="0.25">
      <c r="A2718" s="1" t="s">
        <v>2841</v>
      </c>
      <c r="B2718" s="76">
        <v>64.198668999999995</v>
      </c>
      <c r="C2718" s="76">
        <v>64.981491000000005</v>
      </c>
      <c r="D2718" s="76">
        <v>63.613379999999999</v>
      </c>
      <c r="E2718" s="76">
        <v>64.008445999999907</v>
      </c>
      <c r="F2718" s="76">
        <v>50.323349</v>
      </c>
      <c r="G2718" s="79">
        <v>1737600</v>
      </c>
    </row>
    <row r="2719" spans="1:7" x14ac:dyDescent="0.25">
      <c r="A2719" s="1" t="s">
        <v>2842</v>
      </c>
      <c r="B2719" s="76">
        <v>64.096237000000002</v>
      </c>
      <c r="C2719" s="76">
        <v>66.342277999999993</v>
      </c>
      <c r="D2719" s="76">
        <v>64.096237000000002</v>
      </c>
      <c r="E2719" s="76">
        <v>65.698463000000004</v>
      </c>
      <c r="F2719" s="76">
        <v>51.652039000000002</v>
      </c>
      <c r="G2719" s="79">
        <v>2107700</v>
      </c>
    </row>
    <row r="2720" spans="1:7" x14ac:dyDescent="0.25">
      <c r="A2720" s="1" t="s">
        <v>2843</v>
      </c>
      <c r="B2720" s="76">
        <v>66.108161999999993</v>
      </c>
      <c r="C2720" s="76">
        <v>66.759299999999996</v>
      </c>
      <c r="D2720" s="76">
        <v>65.727729999999994</v>
      </c>
      <c r="E2720" s="76">
        <v>66.422759999999997</v>
      </c>
      <c r="F2720" s="76">
        <v>52.221480999999997</v>
      </c>
      <c r="G2720" s="79">
        <v>1880600</v>
      </c>
    </row>
    <row r="2721" spans="1:7" x14ac:dyDescent="0.25">
      <c r="A2721" s="1" t="s">
        <v>2844</v>
      </c>
      <c r="B2721" s="76">
        <v>66.269118999999904</v>
      </c>
      <c r="C2721" s="76">
        <v>66.730034000000003</v>
      </c>
      <c r="D2721" s="76">
        <v>66.100844999999893</v>
      </c>
      <c r="E2721" s="76">
        <v>66.620293000000004</v>
      </c>
      <c r="F2721" s="76">
        <v>52.376781000000001</v>
      </c>
      <c r="G2721" s="79">
        <v>1360900</v>
      </c>
    </row>
    <row r="2722" spans="1:7" x14ac:dyDescent="0.25">
      <c r="A2722" s="1" t="s">
        <v>2845</v>
      </c>
      <c r="B2722" s="76">
        <v>66.861725000000007</v>
      </c>
      <c r="C2722" s="76">
        <v>67.066574000000003</v>
      </c>
      <c r="D2722" s="76">
        <v>66.356910999999997</v>
      </c>
      <c r="E2722" s="76">
        <v>66.634925999999993</v>
      </c>
      <c r="F2722" s="76">
        <v>52.388289999999998</v>
      </c>
      <c r="G2722" s="79">
        <v>1131600</v>
      </c>
    </row>
    <row r="2723" spans="1:7" x14ac:dyDescent="0.25">
      <c r="A2723" s="1" t="s">
        <v>2846</v>
      </c>
      <c r="B2723" s="76">
        <v>66.042319999999904</v>
      </c>
      <c r="C2723" s="76">
        <v>66.203277999999997</v>
      </c>
      <c r="D2723" s="76">
        <v>65.435080999999997</v>
      </c>
      <c r="E2723" s="76">
        <v>65.947211999999993</v>
      </c>
      <c r="F2723" s="76">
        <v>51.847609999999897</v>
      </c>
      <c r="G2723" s="79">
        <v>955200</v>
      </c>
    </row>
    <row r="2724" spans="1:7" x14ac:dyDescent="0.25">
      <c r="A2724" s="1" t="s">
        <v>2847</v>
      </c>
      <c r="B2724" s="76">
        <v>65.639938000000001</v>
      </c>
      <c r="C2724" s="76">
        <v>65.68383</v>
      </c>
      <c r="D2724" s="76">
        <v>64.469359999999995</v>
      </c>
      <c r="E2724" s="76">
        <v>64.937591999999995</v>
      </c>
      <c r="F2724" s="76">
        <v>51.053856000000003</v>
      </c>
      <c r="G2724" s="79">
        <v>1892500</v>
      </c>
    </row>
    <row r="2725" spans="1:7" x14ac:dyDescent="0.25">
      <c r="A2725" s="1" t="s">
        <v>2848</v>
      </c>
      <c r="B2725" s="76">
        <v>65.171706999999998</v>
      </c>
      <c r="C2725" s="76">
        <v>65.559455999999997</v>
      </c>
      <c r="D2725" s="76">
        <v>63.862124999999999</v>
      </c>
      <c r="E2725" s="76">
        <v>64.235244999999907</v>
      </c>
      <c r="F2725" s="76">
        <v>50.501658999999997</v>
      </c>
      <c r="G2725" s="79">
        <v>1878800</v>
      </c>
    </row>
    <row r="2726" spans="1:7" x14ac:dyDescent="0.25">
      <c r="A2726" s="1" t="s">
        <v>2849</v>
      </c>
      <c r="B2726" s="76">
        <v>64.074294999999907</v>
      </c>
      <c r="C2726" s="76">
        <v>64.652259999999998</v>
      </c>
      <c r="D2726" s="76">
        <v>63.906020999999903</v>
      </c>
      <c r="E2726" s="76">
        <v>63.935287000000002</v>
      </c>
      <c r="F2726" s="76">
        <v>50.265834999999903</v>
      </c>
      <c r="G2726" s="79">
        <v>1580000</v>
      </c>
    </row>
    <row r="2727" spans="1:7" x14ac:dyDescent="0.25">
      <c r="A2727" s="1" t="s">
        <v>2850</v>
      </c>
      <c r="B2727" s="76">
        <v>64.476676999999995</v>
      </c>
      <c r="C2727" s="76">
        <v>65.215598999999997</v>
      </c>
      <c r="D2727" s="76">
        <v>63.840178999999999</v>
      </c>
      <c r="E2727" s="76">
        <v>64.440093999999903</v>
      </c>
      <c r="F2727" s="76">
        <v>50.662711999999999</v>
      </c>
      <c r="G2727" s="79">
        <v>1382100</v>
      </c>
    </row>
    <row r="2728" spans="1:7" x14ac:dyDescent="0.25">
      <c r="A2728" s="1" t="s">
        <v>2851</v>
      </c>
      <c r="B2728" s="76">
        <v>65.230232000000001</v>
      </c>
      <c r="C2728" s="76">
        <v>65.376555999999994</v>
      </c>
      <c r="D2728" s="76">
        <v>64.301093999999907</v>
      </c>
      <c r="E2728" s="76">
        <v>65.318023999999994</v>
      </c>
      <c r="F2728" s="76">
        <v>51.352942999999897</v>
      </c>
      <c r="G2728" s="79">
        <v>1396300</v>
      </c>
    </row>
    <row r="2729" spans="1:7" x14ac:dyDescent="0.25">
      <c r="A2729" s="1" t="s">
        <v>2852</v>
      </c>
      <c r="B2729" s="76">
        <v>65.457031000000001</v>
      </c>
      <c r="C2729" s="76">
        <v>65.581406000000001</v>
      </c>
      <c r="D2729" s="76">
        <v>64.564468000000005</v>
      </c>
      <c r="E2729" s="76">
        <v>64.864432999999906</v>
      </c>
      <c r="F2729" s="76">
        <v>50.996333999999997</v>
      </c>
      <c r="G2729" s="79">
        <v>1264700</v>
      </c>
    </row>
    <row r="2730" spans="1:7" x14ac:dyDescent="0.25">
      <c r="A2730" s="1" t="s">
        <v>2853</v>
      </c>
      <c r="B2730" s="76">
        <v>65.179023999999998</v>
      </c>
      <c r="C2730" s="76">
        <v>65.464348000000001</v>
      </c>
      <c r="D2730" s="76">
        <v>64.674210000000002</v>
      </c>
      <c r="E2730" s="76">
        <v>65.142441000000005</v>
      </c>
      <c r="F2730" s="76">
        <v>51.214893000000004</v>
      </c>
      <c r="G2730" s="79">
        <v>3464100</v>
      </c>
    </row>
    <row r="2731" spans="1:7" x14ac:dyDescent="0.25">
      <c r="A2731" s="1" t="s">
        <v>2854</v>
      </c>
      <c r="B2731" s="76">
        <v>64.959541000000002</v>
      </c>
      <c r="C2731" s="76">
        <v>66.539817999999997</v>
      </c>
      <c r="D2731" s="76">
        <v>64.849800000000002</v>
      </c>
      <c r="E2731" s="76">
        <v>65.735045999999997</v>
      </c>
      <c r="F2731" s="76">
        <v>51.680804999999999</v>
      </c>
      <c r="G2731" s="79">
        <v>1788300</v>
      </c>
    </row>
    <row r="2732" spans="1:7" x14ac:dyDescent="0.25">
      <c r="A2732" s="1" t="s">
        <v>2855</v>
      </c>
      <c r="B2732" s="76">
        <v>65.135124000000005</v>
      </c>
      <c r="C2732" s="76">
        <v>65.420456000000001</v>
      </c>
      <c r="D2732" s="76">
        <v>64.249877999999995</v>
      </c>
      <c r="E2732" s="76">
        <v>64.359618999999995</v>
      </c>
      <c r="F2732" s="76">
        <v>50.968178000000002</v>
      </c>
      <c r="G2732" s="79">
        <v>1577100</v>
      </c>
    </row>
    <row r="2733" spans="1:7" x14ac:dyDescent="0.25">
      <c r="A2733" s="1" t="s">
        <v>2856</v>
      </c>
      <c r="B2733" s="76">
        <v>64.396202000000002</v>
      </c>
      <c r="C2733" s="76">
        <v>64.396202000000002</v>
      </c>
      <c r="D2733" s="76">
        <v>61.338078000000003</v>
      </c>
      <c r="E2733" s="76">
        <v>61.806305000000002</v>
      </c>
      <c r="F2733" s="76">
        <v>48.946120999999998</v>
      </c>
      <c r="G2733" s="79">
        <v>2862700</v>
      </c>
    </row>
    <row r="2734" spans="1:7" x14ac:dyDescent="0.25">
      <c r="A2734" s="1" t="s">
        <v>2857</v>
      </c>
      <c r="B2734" s="76">
        <v>61.762408999999998</v>
      </c>
      <c r="C2734" s="76">
        <v>62.537914000000001</v>
      </c>
      <c r="D2734" s="76">
        <v>61.425868999999899</v>
      </c>
      <c r="E2734" s="76">
        <v>62.325747999999997</v>
      </c>
      <c r="F2734" s="76">
        <v>49.357490999999897</v>
      </c>
      <c r="G2734" s="79">
        <v>2642500</v>
      </c>
    </row>
    <row r="2735" spans="1:7" x14ac:dyDescent="0.25">
      <c r="A2735" s="1" t="s">
        <v>2858</v>
      </c>
      <c r="B2735" s="76">
        <v>61.820937999999998</v>
      </c>
      <c r="C2735" s="76">
        <v>62.640338999999997</v>
      </c>
      <c r="D2735" s="76">
        <v>60.869845999999903</v>
      </c>
      <c r="E2735" s="76">
        <v>61.125907999999903</v>
      </c>
      <c r="F2735" s="76">
        <v>48.407302999999999</v>
      </c>
      <c r="G2735" s="79">
        <v>2052700</v>
      </c>
    </row>
    <row r="2736" spans="1:7" x14ac:dyDescent="0.25">
      <c r="A2736" s="1" t="s">
        <v>2859</v>
      </c>
      <c r="B2736" s="76">
        <v>60.664997</v>
      </c>
      <c r="C2736" s="76">
        <v>61.418551999999998</v>
      </c>
      <c r="D2736" s="76">
        <v>60.386986</v>
      </c>
      <c r="E2736" s="76">
        <v>60.789368000000003</v>
      </c>
      <c r="F2736" s="76">
        <v>48.140793000000002</v>
      </c>
      <c r="G2736" s="79">
        <v>2032800</v>
      </c>
    </row>
    <row r="2737" spans="1:7" x14ac:dyDescent="0.25">
      <c r="A2737" s="1" t="s">
        <v>2860</v>
      </c>
      <c r="B2737" s="76">
        <v>61.030799999999999</v>
      </c>
      <c r="C2737" s="76">
        <v>61.308810999999999</v>
      </c>
      <c r="D2737" s="76">
        <v>59.867542</v>
      </c>
      <c r="E2737" s="76">
        <v>59.9772829999999</v>
      </c>
      <c r="F2737" s="76">
        <v>47.497677000000003</v>
      </c>
      <c r="G2737" s="79">
        <v>1643400</v>
      </c>
    </row>
    <row r="2738" spans="1:7" x14ac:dyDescent="0.25">
      <c r="A2738" s="1" t="s">
        <v>2861</v>
      </c>
      <c r="B2738" s="76">
        <v>59.538318999999902</v>
      </c>
      <c r="C2738" s="76">
        <v>59.830962999999997</v>
      </c>
      <c r="D2738" s="76">
        <v>57.336177999999997</v>
      </c>
      <c r="E2738" s="76">
        <v>57.892200000000003</v>
      </c>
      <c r="F2738" s="76">
        <v>45.846432</v>
      </c>
      <c r="G2738" s="79">
        <v>4132400</v>
      </c>
    </row>
    <row r="2739" spans="1:7" x14ac:dyDescent="0.25">
      <c r="A2739" s="1" t="s">
        <v>2862</v>
      </c>
      <c r="B2739" s="76">
        <v>58.067782999999999</v>
      </c>
      <c r="C2739" s="76">
        <v>58.484802000000002</v>
      </c>
      <c r="D2739" s="76">
        <v>57.504447999999996</v>
      </c>
      <c r="E2739" s="76">
        <v>57.797089</v>
      </c>
      <c r="F2739" s="76">
        <v>45.771118000000001</v>
      </c>
      <c r="G2739" s="79">
        <v>1939000</v>
      </c>
    </row>
    <row r="2740" spans="1:7" x14ac:dyDescent="0.25">
      <c r="A2740" s="1" t="s">
        <v>2863</v>
      </c>
      <c r="B2740" s="76">
        <v>58.631122999999903</v>
      </c>
      <c r="C2740" s="76">
        <v>58.740864000000002</v>
      </c>
      <c r="D2740" s="76">
        <v>57.489815</v>
      </c>
      <c r="E2740" s="76">
        <v>57.936095999999999</v>
      </c>
      <c r="F2740" s="76">
        <v>45.881199000000002</v>
      </c>
      <c r="G2740" s="79">
        <v>2540900</v>
      </c>
    </row>
    <row r="2741" spans="1:7" x14ac:dyDescent="0.25">
      <c r="A2741" s="1" t="s">
        <v>2864</v>
      </c>
      <c r="B2741" s="76">
        <v>57.972675000000002</v>
      </c>
      <c r="C2741" s="76">
        <v>58.704284999999999</v>
      </c>
      <c r="D2741" s="76">
        <v>57.109378999999997</v>
      </c>
      <c r="E2741" s="76">
        <v>58.689650999999998</v>
      </c>
      <c r="F2741" s="76">
        <v>46.477965999999903</v>
      </c>
      <c r="G2741" s="79">
        <v>2116600</v>
      </c>
    </row>
    <row r="2742" spans="1:7" x14ac:dyDescent="0.25">
      <c r="A2742" s="1" t="s">
        <v>2865</v>
      </c>
      <c r="B2742" s="76">
        <v>58.477485999999999</v>
      </c>
      <c r="C2742" s="76">
        <v>59.377364999999998</v>
      </c>
      <c r="D2742" s="76">
        <v>58.3384819999999</v>
      </c>
      <c r="E2742" s="76">
        <v>59.231040999999998</v>
      </c>
      <c r="F2742" s="76">
        <v>46.906711999999999</v>
      </c>
      <c r="G2742" s="79">
        <v>2045000</v>
      </c>
    </row>
    <row r="2743" spans="1:7" x14ac:dyDescent="0.25">
      <c r="A2743" s="1" t="s">
        <v>2866</v>
      </c>
      <c r="B2743" s="76">
        <v>58.528697999999999</v>
      </c>
      <c r="C2743" s="76">
        <v>59.062775000000002</v>
      </c>
      <c r="D2743" s="76">
        <v>58.287266000000002</v>
      </c>
      <c r="E2743" s="76">
        <v>59.055457999999902</v>
      </c>
      <c r="F2743" s="76">
        <v>46.767657999999997</v>
      </c>
      <c r="G2743" s="79">
        <v>1883200</v>
      </c>
    </row>
    <row r="2744" spans="1:7" x14ac:dyDescent="0.25">
      <c r="A2744" s="1" t="s">
        <v>2867</v>
      </c>
      <c r="B2744" s="76">
        <v>59.252991000000002</v>
      </c>
      <c r="C2744" s="76">
        <v>60.328456999999901</v>
      </c>
      <c r="D2744" s="76">
        <v>59.172516000000002</v>
      </c>
      <c r="E2744" s="76">
        <v>60.145553999999997</v>
      </c>
      <c r="F2744" s="76">
        <v>47.630927999999997</v>
      </c>
      <c r="G2744" s="79">
        <v>1464400</v>
      </c>
    </row>
    <row r="2745" spans="1:7" x14ac:dyDescent="0.25">
      <c r="A2745" s="1" t="s">
        <v>2868</v>
      </c>
      <c r="B2745" s="76">
        <v>59.479790000000001</v>
      </c>
      <c r="C2745" s="76">
        <v>60.226031999999996</v>
      </c>
      <c r="D2745" s="76">
        <v>59.479790000000001</v>
      </c>
      <c r="E2745" s="76">
        <v>59.816330000000001</v>
      </c>
      <c r="F2745" s="76">
        <v>47.370215999999999</v>
      </c>
      <c r="G2745" s="79">
        <v>576900</v>
      </c>
    </row>
    <row r="2746" spans="1:7" x14ac:dyDescent="0.25">
      <c r="A2746" s="1" t="s">
        <v>2869</v>
      </c>
      <c r="B2746" s="76">
        <v>59.340786000000001</v>
      </c>
      <c r="C2746" s="76">
        <v>60.021178999999997</v>
      </c>
      <c r="D2746" s="76">
        <v>58.909133999999902</v>
      </c>
      <c r="E2746" s="76">
        <v>59.889491999999997</v>
      </c>
      <c r="F2746" s="76">
        <v>47.428153999999999</v>
      </c>
      <c r="G2746" s="79">
        <v>1329300</v>
      </c>
    </row>
    <row r="2747" spans="1:7" x14ac:dyDescent="0.25">
      <c r="A2747" s="1" t="s">
        <v>2870</v>
      </c>
      <c r="B2747" s="76">
        <v>59.443210999999998</v>
      </c>
      <c r="C2747" s="76">
        <v>60.145553999999997</v>
      </c>
      <c r="D2747" s="76">
        <v>59.179828999999998</v>
      </c>
      <c r="E2747" s="76">
        <v>59.684638999999997</v>
      </c>
      <c r="F2747" s="76">
        <v>47.265918999999997</v>
      </c>
      <c r="G2747" s="79">
        <v>2092000</v>
      </c>
    </row>
    <row r="2748" spans="1:7" x14ac:dyDescent="0.25">
      <c r="A2748" s="1" t="s">
        <v>2871</v>
      </c>
      <c r="B2748" s="76">
        <v>60.562571999999903</v>
      </c>
      <c r="C2748" s="76">
        <v>60.613785</v>
      </c>
      <c r="D2748" s="76">
        <v>59.684638999999997</v>
      </c>
      <c r="E2748" s="76">
        <v>59.999232999999997</v>
      </c>
      <c r="F2748" s="76">
        <v>47.515053000000002</v>
      </c>
      <c r="G2748" s="79">
        <v>1580500</v>
      </c>
    </row>
    <row r="2749" spans="1:7" x14ac:dyDescent="0.25">
      <c r="A2749" s="1" t="s">
        <v>2872</v>
      </c>
      <c r="B2749" s="76">
        <v>60.021178999999997</v>
      </c>
      <c r="C2749" s="76">
        <v>60.452831000000003</v>
      </c>
      <c r="D2749" s="76">
        <v>59.589531000000001</v>
      </c>
      <c r="E2749" s="76">
        <v>60.372352999999997</v>
      </c>
      <c r="F2749" s="76">
        <v>47.810538999999999</v>
      </c>
      <c r="G2749" s="79">
        <v>1967800</v>
      </c>
    </row>
    <row r="2750" spans="1:7" x14ac:dyDescent="0.25">
      <c r="A2750" s="1" t="s">
        <v>2873</v>
      </c>
      <c r="B2750" s="76">
        <v>60.108973999999897</v>
      </c>
      <c r="C2750" s="76">
        <v>60.774737999999999</v>
      </c>
      <c r="D2750" s="76">
        <v>59.867542</v>
      </c>
      <c r="E2750" s="76">
        <v>60.613785</v>
      </c>
      <c r="F2750" s="76">
        <v>48.001728</v>
      </c>
      <c r="G2750" s="79">
        <v>990100</v>
      </c>
    </row>
    <row r="2751" spans="1:7" x14ac:dyDescent="0.25">
      <c r="A2751" s="1" t="s">
        <v>2874</v>
      </c>
      <c r="B2751" s="76">
        <v>60.299191</v>
      </c>
      <c r="C2751" s="76">
        <v>60.518673</v>
      </c>
      <c r="D2751" s="76">
        <v>59.399310999999997</v>
      </c>
      <c r="E2751" s="76">
        <v>60.416247999999896</v>
      </c>
      <c r="F2751" s="76">
        <v>47.845303000000001</v>
      </c>
      <c r="G2751" s="79">
        <v>1581100</v>
      </c>
    </row>
    <row r="2752" spans="1:7" x14ac:dyDescent="0.25">
      <c r="A2752" s="1" t="s">
        <v>2875</v>
      </c>
      <c r="B2752" s="76">
        <v>60.804001</v>
      </c>
      <c r="C2752" s="76">
        <v>61.513659999999902</v>
      </c>
      <c r="D2752" s="76">
        <v>60.643046999999903</v>
      </c>
      <c r="E2752" s="76">
        <v>61.1185949999999</v>
      </c>
      <c r="F2752" s="76">
        <v>48.401516000000001</v>
      </c>
      <c r="G2752" s="79">
        <v>2140500</v>
      </c>
    </row>
    <row r="2753" spans="1:7" x14ac:dyDescent="0.25">
      <c r="A2753" s="1" t="s">
        <v>2876</v>
      </c>
      <c r="B2753" s="76">
        <v>61.045432999999903</v>
      </c>
      <c r="C2753" s="76">
        <v>61.125907999999903</v>
      </c>
      <c r="D2753" s="76">
        <v>59.794379999999997</v>
      </c>
      <c r="E2753" s="76">
        <v>60.160187000000001</v>
      </c>
      <c r="F2753" s="76">
        <v>47.642528999999897</v>
      </c>
      <c r="G2753" s="79">
        <v>1967100</v>
      </c>
    </row>
    <row r="2754" spans="1:7" x14ac:dyDescent="0.25">
      <c r="A2754" s="1" t="s">
        <v>2877</v>
      </c>
      <c r="B2754" s="76">
        <v>60.423565000000004</v>
      </c>
      <c r="C2754" s="76">
        <v>60.650364000000003</v>
      </c>
      <c r="D2754" s="76">
        <v>59.443210999999998</v>
      </c>
      <c r="E2754" s="76">
        <v>59.611480999999998</v>
      </c>
      <c r="F2754" s="76">
        <v>47.207985000000001</v>
      </c>
      <c r="G2754" s="79">
        <v>1369500</v>
      </c>
    </row>
    <row r="2755" spans="1:7" x14ac:dyDescent="0.25">
      <c r="A2755" s="1" t="s">
        <v>2878</v>
      </c>
      <c r="B2755" s="76">
        <v>59.574897999999997</v>
      </c>
      <c r="C2755" s="76">
        <v>60.130919999999897</v>
      </c>
      <c r="D2755" s="76">
        <v>59.501739999999998</v>
      </c>
      <c r="E2755" s="76">
        <v>59.823646999999902</v>
      </c>
      <c r="F2755" s="76">
        <v>47.376010999999998</v>
      </c>
      <c r="G2755" s="79">
        <v>1044900</v>
      </c>
    </row>
    <row r="2756" spans="1:7" x14ac:dyDescent="0.25">
      <c r="A2756" s="1" t="s">
        <v>2879</v>
      </c>
      <c r="B2756" s="76">
        <v>59.867542</v>
      </c>
      <c r="C2756" s="76">
        <v>60.599151999999997</v>
      </c>
      <c r="D2756" s="76">
        <v>59.860225999999997</v>
      </c>
      <c r="E2756" s="76">
        <v>60.065075</v>
      </c>
      <c r="F2756" s="76">
        <v>47.567191999999999</v>
      </c>
      <c r="G2756" s="79">
        <v>747600</v>
      </c>
    </row>
    <row r="2757" spans="1:7" x14ac:dyDescent="0.25">
      <c r="A2757" s="1" t="s">
        <v>2880</v>
      </c>
      <c r="B2757" s="76">
        <v>59.955333999999901</v>
      </c>
      <c r="C2757" s="76">
        <v>60.994220999999897</v>
      </c>
      <c r="D2757" s="76">
        <v>59.428576999999997</v>
      </c>
      <c r="E2757" s="76">
        <v>59.670009999999998</v>
      </c>
      <c r="F2757" s="76">
        <v>47.254333000000003</v>
      </c>
      <c r="G2757" s="79">
        <v>1398300</v>
      </c>
    </row>
    <row r="2758" spans="1:7" x14ac:dyDescent="0.25">
      <c r="A2758" s="1" t="s">
        <v>2881</v>
      </c>
      <c r="B2758" s="76">
        <v>59.443210999999998</v>
      </c>
      <c r="C2758" s="76">
        <v>60.174819999999997</v>
      </c>
      <c r="D2758" s="76">
        <v>58.718918000000002</v>
      </c>
      <c r="E2758" s="76">
        <v>58.770130000000002</v>
      </c>
      <c r="F2758" s="76">
        <v>46.541694999999997</v>
      </c>
      <c r="G2758" s="79">
        <v>1618600</v>
      </c>
    </row>
    <row r="2759" spans="1:7" x14ac:dyDescent="0.25">
      <c r="A2759" s="1" t="s">
        <v>2882</v>
      </c>
      <c r="B2759" s="76">
        <v>58.989612999999999</v>
      </c>
      <c r="C2759" s="76">
        <v>59.187144999999902</v>
      </c>
      <c r="D2759" s="76">
        <v>58.294581999999998</v>
      </c>
      <c r="E2759" s="76">
        <v>58.587226999999999</v>
      </c>
      <c r="F2759" s="76">
        <v>46.396839</v>
      </c>
      <c r="G2759" s="79">
        <v>1300800</v>
      </c>
    </row>
    <row r="2760" spans="1:7" x14ac:dyDescent="0.25">
      <c r="A2760" s="1" t="s">
        <v>2883</v>
      </c>
      <c r="B2760" s="76">
        <v>58.579909999999998</v>
      </c>
      <c r="C2760" s="76">
        <v>58.770130000000002</v>
      </c>
      <c r="D2760" s="76">
        <v>58.228740999999999</v>
      </c>
      <c r="E2760" s="76">
        <v>58.455535999999903</v>
      </c>
      <c r="F2760" s="76">
        <v>46.292568000000003</v>
      </c>
      <c r="G2760" s="79">
        <v>2656500</v>
      </c>
    </row>
    <row r="2761" spans="1:7" x14ac:dyDescent="0.25">
      <c r="A2761" s="1" t="s">
        <v>2884</v>
      </c>
      <c r="B2761" s="76">
        <v>58.455535999999903</v>
      </c>
      <c r="C2761" s="76">
        <v>59.040824999999998</v>
      </c>
      <c r="D2761" s="76">
        <v>58.397006999999903</v>
      </c>
      <c r="E2761" s="76">
        <v>59.004245999999902</v>
      </c>
      <c r="F2761" s="76">
        <v>46.727108000000001</v>
      </c>
      <c r="G2761" s="79">
        <v>1825800</v>
      </c>
    </row>
    <row r="2762" spans="1:7" x14ac:dyDescent="0.25">
      <c r="A2762" s="1" t="s">
        <v>2885</v>
      </c>
      <c r="B2762" s="76">
        <v>59.187144999999902</v>
      </c>
      <c r="C2762" s="76">
        <v>59.955333999999901</v>
      </c>
      <c r="D2762" s="76">
        <v>58.777446999999903</v>
      </c>
      <c r="E2762" s="76">
        <v>59.830962999999997</v>
      </c>
      <c r="F2762" s="76">
        <v>47.381802</v>
      </c>
      <c r="G2762" s="79">
        <v>1574100</v>
      </c>
    </row>
    <row r="2763" spans="1:7" x14ac:dyDescent="0.25">
      <c r="A2763" s="1" t="s">
        <v>2886</v>
      </c>
      <c r="B2763" s="76">
        <v>59.816330000000001</v>
      </c>
      <c r="C2763" s="76">
        <v>60.979588</v>
      </c>
      <c r="D2763" s="76">
        <v>59.794379999999997</v>
      </c>
      <c r="E2763" s="76">
        <v>60.357718999999904</v>
      </c>
      <c r="F2763" s="76">
        <v>47.798949999999998</v>
      </c>
      <c r="G2763" s="79">
        <v>1179400</v>
      </c>
    </row>
    <row r="2764" spans="1:7" x14ac:dyDescent="0.25">
      <c r="A2764" s="1" t="s">
        <v>2887</v>
      </c>
      <c r="B2764" s="76">
        <v>60.130919999999897</v>
      </c>
      <c r="C2764" s="76">
        <v>60.584518000000003</v>
      </c>
      <c r="D2764" s="76">
        <v>59.9772829999999</v>
      </c>
      <c r="E2764" s="76">
        <v>60.072392000000001</v>
      </c>
      <c r="F2764" s="76">
        <v>47.572994000000001</v>
      </c>
      <c r="G2764" s="79">
        <v>1133100</v>
      </c>
    </row>
    <row r="2765" spans="1:7" x14ac:dyDescent="0.25">
      <c r="A2765" s="1" t="s">
        <v>2888</v>
      </c>
      <c r="B2765" s="76">
        <v>59.926070999999901</v>
      </c>
      <c r="C2765" s="76">
        <v>60.760105000000003</v>
      </c>
      <c r="D2765" s="76">
        <v>59.743167999999997</v>
      </c>
      <c r="E2765" s="76">
        <v>60.745471999999999</v>
      </c>
      <c r="F2765" s="76">
        <v>48.106029999999997</v>
      </c>
      <c r="G2765" s="79">
        <v>801200</v>
      </c>
    </row>
    <row r="2766" spans="1:7" x14ac:dyDescent="0.25">
      <c r="A2766" s="1" t="s">
        <v>2889</v>
      </c>
      <c r="B2766" s="76">
        <v>60.745471999999999</v>
      </c>
      <c r="C2766" s="76">
        <v>61.111279000000003</v>
      </c>
      <c r="D2766" s="76">
        <v>60.416247999999896</v>
      </c>
      <c r="E2766" s="76">
        <v>60.913741999999999</v>
      </c>
      <c r="F2766" s="76">
        <v>48.239284999999903</v>
      </c>
      <c r="G2766" s="79">
        <v>750600</v>
      </c>
    </row>
    <row r="2767" spans="1:7" x14ac:dyDescent="0.25">
      <c r="A2767" s="1" t="s">
        <v>2890</v>
      </c>
      <c r="B2767" s="76">
        <v>61.030799999999999</v>
      </c>
      <c r="C2767" s="76">
        <v>61.601455999999999</v>
      </c>
      <c r="D2767" s="76">
        <v>60.408931999999901</v>
      </c>
      <c r="E2767" s="76">
        <v>61.4551319999999</v>
      </c>
      <c r="F2767" s="76">
        <v>48.668033999999999</v>
      </c>
      <c r="G2767" s="79">
        <v>1072200</v>
      </c>
    </row>
    <row r="2768" spans="1:7" x14ac:dyDescent="0.25">
      <c r="A2768" s="1" t="s">
        <v>2891</v>
      </c>
      <c r="B2768" s="76">
        <v>61.228335999999999</v>
      </c>
      <c r="C2768" s="76">
        <v>61.499031000000002</v>
      </c>
      <c r="D2768" s="76">
        <v>60.913741999999999</v>
      </c>
      <c r="E2768" s="76">
        <v>61.242966000000003</v>
      </c>
      <c r="F2768" s="76">
        <v>48.500003999999997</v>
      </c>
      <c r="G2768" s="79">
        <v>699900</v>
      </c>
    </row>
    <row r="2769" spans="1:7" x14ac:dyDescent="0.25">
      <c r="A2769" s="1" t="s">
        <v>2892</v>
      </c>
      <c r="B2769" s="76">
        <v>61.221019999999903</v>
      </c>
      <c r="C2769" s="76">
        <v>61.520977000000002</v>
      </c>
      <c r="D2769" s="76">
        <v>60.855212999999999</v>
      </c>
      <c r="E2769" s="76">
        <v>60.964953999999999</v>
      </c>
      <c r="F2769" s="76">
        <v>48.279841999999903</v>
      </c>
      <c r="G2769" s="79">
        <v>1015200</v>
      </c>
    </row>
    <row r="2770" spans="1:7" x14ac:dyDescent="0.25">
      <c r="A2770" s="1" t="s">
        <v>2893</v>
      </c>
      <c r="B2770" s="76">
        <v>61.389290000000003</v>
      </c>
      <c r="C2770" s="76">
        <v>62.567177000000001</v>
      </c>
      <c r="D2770" s="76">
        <v>61.162491000000003</v>
      </c>
      <c r="E2770" s="76">
        <v>62.494018999999902</v>
      </c>
      <c r="F2770" s="76">
        <v>49.490752999999998</v>
      </c>
      <c r="G2770" s="79">
        <v>1765900</v>
      </c>
    </row>
    <row r="2771" spans="1:7" x14ac:dyDescent="0.25">
      <c r="A2771" s="1" t="s">
        <v>2894</v>
      </c>
      <c r="B2771" s="76">
        <v>62.750079999999997</v>
      </c>
      <c r="C2771" s="76">
        <v>62.808608999999997</v>
      </c>
      <c r="D2771" s="76">
        <v>61.206386999999999</v>
      </c>
      <c r="E2771" s="76">
        <v>61.4551319999999</v>
      </c>
      <c r="F2771" s="76">
        <v>48.668033999999999</v>
      </c>
      <c r="G2771" s="79">
        <v>1704800</v>
      </c>
    </row>
    <row r="2772" spans="1:7" x14ac:dyDescent="0.25">
      <c r="A2772" s="1" t="s">
        <v>2895</v>
      </c>
      <c r="B2772" s="76">
        <v>61.235649000000002</v>
      </c>
      <c r="C2772" s="76">
        <v>62.113582999999998</v>
      </c>
      <c r="D2772" s="76">
        <v>61.111279000000003</v>
      </c>
      <c r="E2772" s="76">
        <v>61.681930999999999</v>
      </c>
      <c r="F2772" s="76">
        <v>48.847621999999902</v>
      </c>
      <c r="G2772" s="79">
        <v>1143600</v>
      </c>
    </row>
    <row r="2773" spans="1:7" x14ac:dyDescent="0.25">
      <c r="A2773" s="1" t="s">
        <v>2896</v>
      </c>
      <c r="B2773" s="76">
        <v>61.601455999999999</v>
      </c>
      <c r="C2773" s="76">
        <v>61.828254999999999</v>
      </c>
      <c r="D2773" s="76">
        <v>60.964953999999999</v>
      </c>
      <c r="E2773" s="76">
        <v>61.272231999999903</v>
      </c>
      <c r="F2773" s="76">
        <v>48.523173999999997</v>
      </c>
      <c r="G2773" s="79">
        <v>2138200</v>
      </c>
    </row>
    <row r="2774" spans="1:7" x14ac:dyDescent="0.25">
      <c r="A2774" s="1" t="s">
        <v>2897</v>
      </c>
      <c r="B2774" s="76">
        <v>61.594138999999998</v>
      </c>
      <c r="C2774" s="76">
        <v>61.696564000000002</v>
      </c>
      <c r="D2774" s="76">
        <v>60.555256</v>
      </c>
      <c r="E2774" s="76">
        <v>61.213703000000002</v>
      </c>
      <c r="F2774" s="76">
        <v>48.47683</v>
      </c>
      <c r="G2774" s="79">
        <v>1945800</v>
      </c>
    </row>
    <row r="2775" spans="1:7" x14ac:dyDescent="0.25">
      <c r="A2775" s="1" t="s">
        <v>2898</v>
      </c>
      <c r="B2775" s="76">
        <v>60.723526</v>
      </c>
      <c r="C2775" s="76">
        <v>61.345390000000002</v>
      </c>
      <c r="D2775" s="76">
        <v>60.416247999999896</v>
      </c>
      <c r="E2775" s="76">
        <v>61.023482999999999</v>
      </c>
      <c r="F2775" s="76">
        <v>48.326190999999902</v>
      </c>
      <c r="G2775" s="79">
        <v>1903000</v>
      </c>
    </row>
    <row r="2776" spans="1:7" x14ac:dyDescent="0.25">
      <c r="A2776" s="1" t="s">
        <v>2899</v>
      </c>
      <c r="B2776" s="76">
        <v>61.403918999999902</v>
      </c>
      <c r="C2776" s="76">
        <v>61.477080999999998</v>
      </c>
      <c r="D2776" s="76">
        <v>60.079707999999997</v>
      </c>
      <c r="E2776" s="76">
        <v>60.774737999999999</v>
      </c>
      <c r="F2776" s="76">
        <v>48.129191999999897</v>
      </c>
      <c r="G2776" s="79">
        <v>954500</v>
      </c>
    </row>
    <row r="2777" spans="1:7" x14ac:dyDescent="0.25">
      <c r="A2777" s="1" t="s">
        <v>2900</v>
      </c>
      <c r="B2777" s="76">
        <v>61.806305000000002</v>
      </c>
      <c r="C2777" s="76">
        <v>62.340381999999998</v>
      </c>
      <c r="D2777" s="76">
        <v>61.177119999999903</v>
      </c>
      <c r="E2777" s="76">
        <v>61.491714000000002</v>
      </c>
      <c r="F2777" s="76">
        <v>48.696995000000001</v>
      </c>
      <c r="G2777" s="79">
        <v>1555200</v>
      </c>
    </row>
    <row r="2778" spans="1:7" x14ac:dyDescent="0.25">
      <c r="A2778" s="1" t="s">
        <v>2901</v>
      </c>
      <c r="B2778" s="76">
        <v>61.572189000000002</v>
      </c>
      <c r="C2778" s="76">
        <v>61.740458999999902</v>
      </c>
      <c r="D2778" s="76">
        <v>61.125907999999903</v>
      </c>
      <c r="E2778" s="76">
        <v>61.725830000000002</v>
      </c>
      <c r="F2778" s="76">
        <v>48.882401000000002</v>
      </c>
      <c r="G2778" s="79">
        <v>995200</v>
      </c>
    </row>
    <row r="2779" spans="1:7" x14ac:dyDescent="0.25">
      <c r="A2779" s="1" t="s">
        <v>2902</v>
      </c>
      <c r="B2779" s="76">
        <v>61.557559999999903</v>
      </c>
      <c r="C2779" s="76">
        <v>63.035407999999997</v>
      </c>
      <c r="D2779" s="76">
        <v>61.360022999999998</v>
      </c>
      <c r="E2779" s="76">
        <v>63.035407999999997</v>
      </c>
      <c r="F2779" s="76">
        <v>49.919491000000001</v>
      </c>
      <c r="G2779" s="79">
        <v>1646300</v>
      </c>
    </row>
    <row r="2780" spans="1:7" x14ac:dyDescent="0.25">
      <c r="A2780" s="1" t="s">
        <v>2903</v>
      </c>
      <c r="B2780" s="76">
        <v>63.123199</v>
      </c>
      <c r="C2780" s="76">
        <v>63.723121999999996</v>
      </c>
      <c r="D2780" s="76">
        <v>62.552546999999997</v>
      </c>
      <c r="E2780" s="76">
        <v>63.642643</v>
      </c>
      <c r="F2780" s="76">
        <v>50.400379000000001</v>
      </c>
      <c r="G2780" s="79">
        <v>1367900</v>
      </c>
    </row>
    <row r="2781" spans="1:7" x14ac:dyDescent="0.25">
      <c r="A2781" s="1" t="s">
        <v>2904</v>
      </c>
      <c r="B2781" s="76">
        <v>63.379264999999997</v>
      </c>
      <c r="C2781" s="76">
        <v>63.562168</v>
      </c>
      <c r="D2781" s="76">
        <v>62.376961000000001</v>
      </c>
      <c r="E2781" s="76">
        <v>62.633021999999997</v>
      </c>
      <c r="F2781" s="76">
        <v>49.600830000000002</v>
      </c>
      <c r="G2781" s="79">
        <v>1058400</v>
      </c>
    </row>
    <row r="2782" spans="1:7" x14ac:dyDescent="0.25">
      <c r="A2782" s="1" t="s">
        <v>2905</v>
      </c>
      <c r="B2782" s="76">
        <v>62.435490000000001</v>
      </c>
      <c r="C2782" s="76">
        <v>63.503639</v>
      </c>
      <c r="D2782" s="76">
        <v>62.435490000000001</v>
      </c>
      <c r="E2782" s="76">
        <v>63.306103</v>
      </c>
      <c r="F2782" s="76">
        <v>50.133845999999998</v>
      </c>
      <c r="G2782" s="79">
        <v>1202000</v>
      </c>
    </row>
    <row r="2783" spans="1:7" x14ac:dyDescent="0.25">
      <c r="A2783" s="1" t="s">
        <v>2906</v>
      </c>
      <c r="B2783" s="76">
        <v>63.518268999999997</v>
      </c>
      <c r="C2783" s="76">
        <v>63.518268999999997</v>
      </c>
      <c r="D2783" s="76">
        <v>62.867137999999997</v>
      </c>
      <c r="E2783" s="76">
        <v>63.364631999999901</v>
      </c>
      <c r="F2783" s="76">
        <v>50.180217999999897</v>
      </c>
      <c r="G2783" s="79">
        <v>1018500</v>
      </c>
    </row>
    <row r="2784" spans="1:7" x14ac:dyDescent="0.25">
      <c r="A2784" s="1" t="s">
        <v>2907</v>
      </c>
      <c r="B2784" s="76">
        <v>63.210994999999997</v>
      </c>
      <c r="C2784" s="76">
        <v>63.701172</v>
      </c>
      <c r="D2784" s="76">
        <v>62.779345999999997</v>
      </c>
      <c r="E2784" s="76">
        <v>63.196362000000001</v>
      </c>
      <c r="F2784" s="76">
        <v>50.046951</v>
      </c>
      <c r="G2784" s="79">
        <v>1312300</v>
      </c>
    </row>
    <row r="2785" spans="1:7" x14ac:dyDescent="0.25">
      <c r="A2785" s="1" t="s">
        <v>2908</v>
      </c>
      <c r="B2785" s="76">
        <v>63.101253999999997</v>
      </c>
      <c r="C2785" s="76">
        <v>63.788967</v>
      </c>
      <c r="D2785" s="76">
        <v>62.654971999999901</v>
      </c>
      <c r="E2785" s="76">
        <v>63.759701</v>
      </c>
      <c r="F2785" s="76">
        <v>50.493084000000003</v>
      </c>
      <c r="G2785" s="79">
        <v>1068000</v>
      </c>
    </row>
    <row r="2786" spans="1:7" x14ac:dyDescent="0.25">
      <c r="A2786" s="1" t="s">
        <v>2909</v>
      </c>
      <c r="B2786" s="76">
        <v>63.569481000000003</v>
      </c>
      <c r="C2786" s="76">
        <v>63.891392000000003</v>
      </c>
      <c r="D2786" s="76">
        <v>63.167099</v>
      </c>
      <c r="E2786" s="76">
        <v>63.730437999999999</v>
      </c>
      <c r="F2786" s="76">
        <v>50.872681</v>
      </c>
      <c r="G2786" s="79">
        <v>1452500</v>
      </c>
    </row>
    <row r="2787" spans="1:7" x14ac:dyDescent="0.25">
      <c r="A2787" s="1" t="s">
        <v>2910</v>
      </c>
      <c r="B2787" s="76">
        <v>63.979182999999999</v>
      </c>
      <c r="C2787" s="76">
        <v>64.901009000000002</v>
      </c>
      <c r="D2787" s="76">
        <v>63.810912999999999</v>
      </c>
      <c r="E2787" s="76">
        <v>64.864432999999906</v>
      </c>
      <c r="F2787" s="76">
        <v>51.777892999999999</v>
      </c>
      <c r="G2787" s="79">
        <v>1483200</v>
      </c>
    </row>
    <row r="2788" spans="1:7" x14ac:dyDescent="0.25">
      <c r="A2788" s="1" t="s">
        <v>2911</v>
      </c>
      <c r="B2788" s="76">
        <v>64.798583999999906</v>
      </c>
      <c r="C2788" s="76">
        <v>65.083916000000002</v>
      </c>
      <c r="D2788" s="76">
        <v>63.510956</v>
      </c>
      <c r="E2788" s="76">
        <v>63.781650999999997</v>
      </c>
      <c r="F2788" s="76">
        <v>50.913558999999999</v>
      </c>
      <c r="G2788" s="79">
        <v>1334500</v>
      </c>
    </row>
    <row r="2789" spans="1:7" x14ac:dyDescent="0.25">
      <c r="A2789" s="1" t="s">
        <v>2912</v>
      </c>
      <c r="B2789" s="76">
        <v>64.052344999999903</v>
      </c>
      <c r="C2789" s="76">
        <v>64.769317999999998</v>
      </c>
      <c r="D2789" s="76">
        <v>63.935287000000002</v>
      </c>
      <c r="E2789" s="76">
        <v>64.447411000000002</v>
      </c>
      <c r="F2789" s="76">
        <v>51.445011000000001</v>
      </c>
      <c r="G2789" s="79">
        <v>1300800</v>
      </c>
    </row>
    <row r="2790" spans="1:7" x14ac:dyDescent="0.25">
      <c r="A2790" s="1" t="s">
        <v>2913</v>
      </c>
      <c r="B2790" s="76">
        <v>64.835166999999998</v>
      </c>
      <c r="C2790" s="76">
        <v>64.996116999999998</v>
      </c>
      <c r="D2790" s="76">
        <v>63.920653999999999</v>
      </c>
      <c r="E2790" s="76">
        <v>64.571784999999906</v>
      </c>
      <c r="F2790" s="76">
        <v>51.544284999999903</v>
      </c>
      <c r="G2790" s="79">
        <v>1542500</v>
      </c>
    </row>
    <row r="2791" spans="1:7" x14ac:dyDescent="0.25">
      <c r="A2791" s="1" t="s">
        <v>2914</v>
      </c>
      <c r="B2791" s="76">
        <v>64.293777000000006</v>
      </c>
      <c r="C2791" s="76">
        <v>64.674210000000002</v>
      </c>
      <c r="D2791" s="76">
        <v>63.628009999999897</v>
      </c>
      <c r="E2791" s="76">
        <v>63.693854999999999</v>
      </c>
      <c r="F2791" s="76">
        <v>50.843482999999999</v>
      </c>
      <c r="G2791" s="79">
        <v>1199400</v>
      </c>
    </row>
    <row r="2792" spans="1:7" x14ac:dyDescent="0.25">
      <c r="A2792" s="1" t="s">
        <v>2915</v>
      </c>
      <c r="B2792" s="76">
        <v>63.518268999999997</v>
      </c>
      <c r="C2792" s="76">
        <v>63.920653999999999</v>
      </c>
      <c r="D2792" s="76">
        <v>63.064673999999997</v>
      </c>
      <c r="E2792" s="76">
        <v>63.730437999999999</v>
      </c>
      <c r="F2792" s="76">
        <v>50.872681</v>
      </c>
      <c r="G2792" s="79">
        <v>1158000</v>
      </c>
    </row>
    <row r="2793" spans="1:7" x14ac:dyDescent="0.25">
      <c r="A2793" s="1" t="s">
        <v>2916</v>
      </c>
      <c r="B2793" s="76">
        <v>63.913338000000003</v>
      </c>
      <c r="C2793" s="76">
        <v>63.913338000000003</v>
      </c>
      <c r="D2793" s="76">
        <v>63.020775</v>
      </c>
      <c r="E2793" s="76">
        <v>63.079304</v>
      </c>
      <c r="F2793" s="76">
        <v>50.352921000000002</v>
      </c>
      <c r="G2793" s="79">
        <v>1556500</v>
      </c>
    </row>
    <row r="2794" spans="1:7" x14ac:dyDescent="0.25">
      <c r="A2794" s="1" t="s">
        <v>2917</v>
      </c>
      <c r="B2794" s="76">
        <v>63.262206999999997</v>
      </c>
      <c r="C2794" s="76">
        <v>64.059662000000003</v>
      </c>
      <c r="D2794" s="76">
        <v>63.108569999999901</v>
      </c>
      <c r="E2794" s="76">
        <v>63.81823</v>
      </c>
      <c r="F2794" s="76">
        <v>50.942757</v>
      </c>
      <c r="G2794" s="79">
        <v>1071200</v>
      </c>
    </row>
    <row r="2795" spans="1:7" x14ac:dyDescent="0.25">
      <c r="A2795" s="1" t="s">
        <v>2918</v>
      </c>
      <c r="B2795" s="76">
        <v>63.81823</v>
      </c>
      <c r="C2795" s="76">
        <v>64.132819999999995</v>
      </c>
      <c r="D2795" s="76">
        <v>63.532902</v>
      </c>
      <c r="E2795" s="76">
        <v>63.64996</v>
      </c>
      <c r="F2795" s="76">
        <v>50.808440999999902</v>
      </c>
      <c r="G2795" s="79">
        <v>1214100</v>
      </c>
    </row>
    <row r="2796" spans="1:7" x14ac:dyDescent="0.25">
      <c r="A2796" s="1" t="s">
        <v>2919</v>
      </c>
      <c r="B2796" s="76">
        <v>63.306103</v>
      </c>
      <c r="C2796" s="76">
        <v>64.381568999999999</v>
      </c>
      <c r="D2796" s="76">
        <v>63.306103</v>
      </c>
      <c r="E2796" s="76">
        <v>64.301093999999907</v>
      </c>
      <c r="F2796" s="76">
        <v>51.328209000000001</v>
      </c>
      <c r="G2796" s="79">
        <v>1131700</v>
      </c>
    </row>
    <row r="2797" spans="1:7" x14ac:dyDescent="0.25">
      <c r="A2797" s="1" t="s">
        <v>2920</v>
      </c>
      <c r="B2797" s="76">
        <v>63.979182999999999</v>
      </c>
      <c r="C2797" s="76">
        <v>64.893692000000001</v>
      </c>
      <c r="D2797" s="76">
        <v>63.979182999999999</v>
      </c>
      <c r="E2797" s="76">
        <v>64.601050999999998</v>
      </c>
      <c r="F2797" s="76">
        <v>51.567638000000002</v>
      </c>
      <c r="G2797" s="79">
        <v>1183800</v>
      </c>
    </row>
    <row r="2798" spans="1:7" x14ac:dyDescent="0.25">
      <c r="A2798" s="1" t="s">
        <v>2921</v>
      </c>
      <c r="B2798" s="76">
        <v>64.396202000000002</v>
      </c>
      <c r="C2798" s="76">
        <v>65.361923000000004</v>
      </c>
      <c r="D2798" s="76">
        <v>64.337668999999906</v>
      </c>
      <c r="E2798" s="76">
        <v>65.105857999999998</v>
      </c>
      <c r="F2798" s="76">
        <v>51.970607999999999</v>
      </c>
      <c r="G2798" s="79">
        <v>1374600</v>
      </c>
    </row>
    <row r="2799" spans="1:7" x14ac:dyDescent="0.25">
      <c r="A2799" s="1" t="s">
        <v>2922</v>
      </c>
      <c r="B2799" s="76">
        <v>65.171706999999998</v>
      </c>
      <c r="C2799" s="76">
        <v>65.354607000000001</v>
      </c>
      <c r="D2799" s="76">
        <v>64.301093999999907</v>
      </c>
      <c r="E2799" s="76">
        <v>64.893692000000001</v>
      </c>
      <c r="F2799" s="76">
        <v>51.801242999999999</v>
      </c>
      <c r="G2799" s="79">
        <v>987000</v>
      </c>
    </row>
    <row r="2800" spans="1:7" x14ac:dyDescent="0.25">
      <c r="A2800" s="1" t="s">
        <v>2923</v>
      </c>
      <c r="B2800" s="76">
        <v>64.505943000000002</v>
      </c>
      <c r="C2800" s="76">
        <v>65.478981000000005</v>
      </c>
      <c r="D2800" s="76">
        <v>64.323036000000002</v>
      </c>
      <c r="E2800" s="76">
        <v>64.901009000000002</v>
      </c>
      <c r="F2800" s="76">
        <v>51.807087000000003</v>
      </c>
      <c r="G2800" s="79">
        <v>1172400</v>
      </c>
    </row>
    <row r="2801" spans="1:7" x14ac:dyDescent="0.25">
      <c r="A2801" s="1" t="s">
        <v>2924</v>
      </c>
      <c r="B2801" s="76">
        <v>65.120491000000001</v>
      </c>
      <c r="C2801" s="76">
        <v>65.515563999999998</v>
      </c>
      <c r="D2801" s="76">
        <v>64.293777000000006</v>
      </c>
      <c r="E2801" s="76">
        <v>64.520576000000005</v>
      </c>
      <c r="F2801" s="76">
        <v>51.503409999999903</v>
      </c>
      <c r="G2801" s="79">
        <v>1770600</v>
      </c>
    </row>
    <row r="2802" spans="1:7" x14ac:dyDescent="0.25">
      <c r="A2802" s="1" t="s">
        <v>2925</v>
      </c>
      <c r="B2802" s="76">
        <v>64.396202000000002</v>
      </c>
      <c r="C2802" s="76">
        <v>64.988799999999998</v>
      </c>
      <c r="D2802" s="76">
        <v>64.323036000000002</v>
      </c>
      <c r="E2802" s="76">
        <v>64.798583999999906</v>
      </c>
      <c r="F2802" s="76">
        <v>51.725322999999896</v>
      </c>
      <c r="G2802" s="79">
        <v>884700</v>
      </c>
    </row>
    <row r="2803" spans="1:7" x14ac:dyDescent="0.25">
      <c r="A2803" s="1" t="s">
        <v>2926</v>
      </c>
      <c r="B2803" s="76">
        <v>65.193657000000002</v>
      </c>
      <c r="C2803" s="76">
        <v>65.727729999999994</v>
      </c>
      <c r="D2803" s="76">
        <v>65.076599000000002</v>
      </c>
      <c r="E2803" s="76">
        <v>65.720412999999994</v>
      </c>
      <c r="F2803" s="76">
        <v>52.461185</v>
      </c>
      <c r="G2803" s="79">
        <v>1510500</v>
      </c>
    </row>
    <row r="2804" spans="1:7" x14ac:dyDescent="0.25">
      <c r="A2804" s="1" t="s">
        <v>2927</v>
      </c>
      <c r="B2804" s="76">
        <v>64.966858000000002</v>
      </c>
      <c r="C2804" s="76">
        <v>65.647255000000001</v>
      </c>
      <c r="D2804" s="76">
        <v>64.798583999999906</v>
      </c>
      <c r="E2804" s="76">
        <v>65.252181999999905</v>
      </c>
      <c r="F2804" s="76">
        <v>52.087409999999998</v>
      </c>
      <c r="G2804" s="79">
        <v>1862100</v>
      </c>
    </row>
    <row r="2805" spans="1:7" x14ac:dyDescent="0.25">
      <c r="A2805" s="1" t="s">
        <v>2928</v>
      </c>
      <c r="B2805" s="76">
        <v>65.303398000000001</v>
      </c>
      <c r="C2805" s="76">
        <v>65.727729999999994</v>
      </c>
      <c r="D2805" s="76">
        <v>63.884075000000003</v>
      </c>
      <c r="E2805" s="76">
        <v>64.564468000000005</v>
      </c>
      <c r="F2805" s="76">
        <v>51.538445000000003</v>
      </c>
      <c r="G2805" s="79">
        <v>1714000</v>
      </c>
    </row>
    <row r="2806" spans="1:7" x14ac:dyDescent="0.25">
      <c r="A2806" s="1" t="s">
        <v>2929</v>
      </c>
      <c r="B2806" s="76">
        <v>64.198668999999995</v>
      </c>
      <c r="C2806" s="76">
        <v>64.747375000000005</v>
      </c>
      <c r="D2806" s="76">
        <v>63.679221999999903</v>
      </c>
      <c r="E2806" s="76">
        <v>64.264510999999999</v>
      </c>
      <c r="F2806" s="76">
        <v>51.298999999999999</v>
      </c>
      <c r="G2806" s="79">
        <v>1405000</v>
      </c>
    </row>
    <row r="2807" spans="1:7" x14ac:dyDescent="0.25">
      <c r="A2807" s="1" t="s">
        <v>2930</v>
      </c>
      <c r="B2807" s="76">
        <v>64.557152000000002</v>
      </c>
      <c r="C2807" s="76">
        <v>65.859420999999998</v>
      </c>
      <c r="D2807" s="76">
        <v>64.162086000000002</v>
      </c>
      <c r="E2807" s="76">
        <v>65.830153999999993</v>
      </c>
      <c r="F2807" s="76">
        <v>52.548766999999998</v>
      </c>
      <c r="G2807" s="79">
        <v>1605300</v>
      </c>
    </row>
    <row r="2808" spans="1:7" x14ac:dyDescent="0.25">
      <c r="A2808" s="1" t="s">
        <v>2931</v>
      </c>
      <c r="B2808" s="76">
        <v>66.013053999999997</v>
      </c>
      <c r="C2808" s="76">
        <v>68.310310000000001</v>
      </c>
      <c r="D2808" s="76">
        <v>65.859420999999998</v>
      </c>
      <c r="E2808" s="76">
        <v>68.281043999999994</v>
      </c>
      <c r="F2808" s="76">
        <v>54.505198999999998</v>
      </c>
      <c r="G2808" s="79">
        <v>2120100</v>
      </c>
    </row>
    <row r="2809" spans="1:7" x14ac:dyDescent="0.25">
      <c r="A2809" s="1" t="s">
        <v>2932</v>
      </c>
      <c r="B2809" s="76">
        <v>68.427368000000001</v>
      </c>
      <c r="C2809" s="76">
        <v>68.427368000000001</v>
      </c>
      <c r="D2809" s="76">
        <v>66.269118999999904</v>
      </c>
      <c r="E2809" s="76">
        <v>66.708083999999999</v>
      </c>
      <c r="F2809" s="76">
        <v>53.249580000000002</v>
      </c>
      <c r="G2809" s="79">
        <v>2099800</v>
      </c>
    </row>
    <row r="2810" spans="1:7" x14ac:dyDescent="0.25">
      <c r="A2810" s="1" t="s">
        <v>2933</v>
      </c>
      <c r="B2810" s="76">
        <v>66.569076999999993</v>
      </c>
      <c r="C2810" s="76">
        <v>66.971466000000007</v>
      </c>
      <c r="D2810" s="76">
        <v>65.486298000000005</v>
      </c>
      <c r="E2810" s="76">
        <v>65.588722000000004</v>
      </c>
      <c r="F2810" s="76">
        <v>52.356051999999998</v>
      </c>
      <c r="G2810" s="79">
        <v>2159200</v>
      </c>
    </row>
    <row r="2811" spans="1:7" x14ac:dyDescent="0.25">
      <c r="A2811" s="1" t="s">
        <v>2934</v>
      </c>
      <c r="B2811" s="76">
        <v>65.954528999999994</v>
      </c>
      <c r="C2811" s="76">
        <v>66.569076999999993</v>
      </c>
      <c r="D2811" s="76">
        <v>65.596039000000005</v>
      </c>
      <c r="E2811" s="76">
        <v>65.815520999999904</v>
      </c>
      <c r="F2811" s="76">
        <v>52.537089999999999</v>
      </c>
      <c r="G2811" s="79">
        <v>1603900</v>
      </c>
    </row>
    <row r="2812" spans="1:7" x14ac:dyDescent="0.25">
      <c r="A2812" s="1" t="s">
        <v>2935</v>
      </c>
      <c r="B2812" s="76">
        <v>65.691147000000001</v>
      </c>
      <c r="C2812" s="76">
        <v>65.888679999999994</v>
      </c>
      <c r="D2812" s="76">
        <v>64.257194999999996</v>
      </c>
      <c r="E2812" s="76">
        <v>64.608367999999999</v>
      </c>
      <c r="F2812" s="76">
        <v>51.573485999999903</v>
      </c>
      <c r="G2812" s="79">
        <v>1543700</v>
      </c>
    </row>
    <row r="2813" spans="1:7" x14ac:dyDescent="0.25">
      <c r="A2813" s="1" t="s">
        <v>2936</v>
      </c>
      <c r="B2813" s="76">
        <v>64.835166999999998</v>
      </c>
      <c r="C2813" s="76">
        <v>65.230232000000001</v>
      </c>
      <c r="D2813" s="76">
        <v>63.957232999999903</v>
      </c>
      <c r="E2813" s="76">
        <v>64.103554000000003</v>
      </c>
      <c r="F2813" s="76">
        <v>51.170516999999997</v>
      </c>
      <c r="G2813" s="79">
        <v>1232700</v>
      </c>
    </row>
    <row r="2814" spans="1:7" x14ac:dyDescent="0.25">
      <c r="A2814" s="1" t="s">
        <v>2937</v>
      </c>
      <c r="B2814" s="76">
        <v>64.271827999999999</v>
      </c>
      <c r="C2814" s="76">
        <v>65.142441000000005</v>
      </c>
      <c r="D2814" s="76">
        <v>64.140136999999996</v>
      </c>
      <c r="E2814" s="76">
        <v>64.505943000000002</v>
      </c>
      <c r="F2814" s="76">
        <v>51.491729999999997</v>
      </c>
      <c r="G2814" s="79">
        <v>1484400</v>
      </c>
    </row>
    <row r="2815" spans="1:7" x14ac:dyDescent="0.25">
      <c r="A2815" s="1" t="s">
        <v>2938</v>
      </c>
      <c r="B2815" s="76">
        <v>64.513260000000002</v>
      </c>
      <c r="C2815" s="76">
        <v>65.339973000000001</v>
      </c>
      <c r="D2815" s="76">
        <v>63.927970999999999</v>
      </c>
      <c r="E2815" s="76">
        <v>64.959541000000002</v>
      </c>
      <c r="F2815" s="76">
        <v>51.853816999999999</v>
      </c>
      <c r="G2815" s="79">
        <v>1077600</v>
      </c>
    </row>
    <row r="2816" spans="1:7" x14ac:dyDescent="0.25">
      <c r="A2816" s="1" t="s">
        <v>2939</v>
      </c>
      <c r="B2816" s="76">
        <v>64.045029</v>
      </c>
      <c r="C2816" s="76">
        <v>64.388885000000002</v>
      </c>
      <c r="D2816" s="76">
        <v>63.708488000000003</v>
      </c>
      <c r="E2816" s="76">
        <v>63.854808999999896</v>
      </c>
      <c r="F2816" s="76">
        <v>50.971961999999998</v>
      </c>
      <c r="G2816" s="79">
        <v>1209200</v>
      </c>
    </row>
    <row r="2817" spans="1:7" x14ac:dyDescent="0.25">
      <c r="A2817" s="1" t="s">
        <v>2940</v>
      </c>
      <c r="B2817" s="76">
        <v>63.788967</v>
      </c>
      <c r="C2817" s="76">
        <v>64.740059000000002</v>
      </c>
      <c r="D2817" s="76">
        <v>63.401210999999897</v>
      </c>
      <c r="E2817" s="76">
        <v>64.674210000000002</v>
      </c>
      <c r="F2817" s="76">
        <v>51.626049000000002</v>
      </c>
      <c r="G2817" s="79">
        <v>1131400</v>
      </c>
    </row>
    <row r="2818" spans="1:7" x14ac:dyDescent="0.25">
      <c r="A2818" s="1" t="s">
        <v>2941</v>
      </c>
      <c r="B2818" s="76">
        <v>64.198668999999995</v>
      </c>
      <c r="C2818" s="76">
        <v>64.352303000000006</v>
      </c>
      <c r="D2818" s="76">
        <v>63.606064000000003</v>
      </c>
      <c r="E2818" s="76">
        <v>64.103554000000003</v>
      </c>
      <c r="F2818" s="76">
        <v>51.170516999999997</v>
      </c>
      <c r="G2818" s="79">
        <v>1128600</v>
      </c>
    </row>
    <row r="2819" spans="1:7" x14ac:dyDescent="0.25">
      <c r="A2819" s="1" t="s">
        <v>2942</v>
      </c>
      <c r="B2819" s="76">
        <v>62.172111999999998</v>
      </c>
      <c r="C2819" s="76">
        <v>64.132819999999995</v>
      </c>
      <c r="D2819" s="76">
        <v>62.172111999999998</v>
      </c>
      <c r="E2819" s="76">
        <v>63.635325999999999</v>
      </c>
      <c r="F2819" s="76">
        <v>50.796756999999999</v>
      </c>
      <c r="G2819" s="79">
        <v>1346600</v>
      </c>
    </row>
    <row r="2820" spans="1:7" x14ac:dyDescent="0.25">
      <c r="A2820" s="1" t="s">
        <v>2943</v>
      </c>
      <c r="B2820" s="76">
        <v>63.540218000000003</v>
      </c>
      <c r="C2820" s="76">
        <v>63.540218000000003</v>
      </c>
      <c r="D2820" s="76">
        <v>61.981892000000002</v>
      </c>
      <c r="E2820" s="76">
        <v>62.237952999999997</v>
      </c>
      <c r="F2820" s="76">
        <v>49.681313000000003</v>
      </c>
      <c r="G2820" s="79">
        <v>2012600</v>
      </c>
    </row>
    <row r="2821" spans="1:7" x14ac:dyDescent="0.25">
      <c r="A2821" s="1" t="s">
        <v>2944</v>
      </c>
      <c r="B2821" s="76">
        <v>63.137832999999901</v>
      </c>
      <c r="C2821" s="76">
        <v>63.320735999999997</v>
      </c>
      <c r="D2821" s="76">
        <v>62.201374000000001</v>
      </c>
      <c r="E2821" s="76">
        <v>62.954932999999997</v>
      </c>
      <c r="F2821" s="76">
        <v>50.253627999999999</v>
      </c>
      <c r="G2821" s="79">
        <v>1350100</v>
      </c>
    </row>
    <row r="2822" spans="1:7" x14ac:dyDescent="0.25">
      <c r="A2822" s="1" t="s">
        <v>2945</v>
      </c>
      <c r="B2822" s="76">
        <v>63.708488000000003</v>
      </c>
      <c r="C2822" s="76">
        <v>63.708488000000003</v>
      </c>
      <c r="D2822" s="76">
        <v>62.764713</v>
      </c>
      <c r="E2822" s="76">
        <v>62.881770999999901</v>
      </c>
      <c r="F2822" s="76">
        <v>50.195231999999997</v>
      </c>
      <c r="G2822" s="79">
        <v>1977100</v>
      </c>
    </row>
    <row r="2823" spans="1:7" x14ac:dyDescent="0.25">
      <c r="A2823" s="1" t="s">
        <v>2946</v>
      </c>
      <c r="B2823" s="76">
        <v>63.708488000000003</v>
      </c>
      <c r="C2823" s="76">
        <v>63.993816000000002</v>
      </c>
      <c r="D2823" s="76">
        <v>63.189044999999901</v>
      </c>
      <c r="E2823" s="76">
        <v>63.503639</v>
      </c>
      <c r="F2823" s="76">
        <v>50.691642999999999</v>
      </c>
      <c r="G2823" s="79">
        <v>1166700</v>
      </c>
    </row>
    <row r="2824" spans="1:7" x14ac:dyDescent="0.25">
      <c r="A2824" s="1" t="s">
        <v>2947</v>
      </c>
      <c r="B2824" s="76">
        <v>63.518268999999997</v>
      </c>
      <c r="C2824" s="76">
        <v>63.913338000000003</v>
      </c>
      <c r="D2824" s="76">
        <v>62.764713</v>
      </c>
      <c r="E2824" s="76">
        <v>62.779345999999997</v>
      </c>
      <c r="F2824" s="76">
        <v>50.113475999999999</v>
      </c>
      <c r="G2824" s="79">
        <v>1133100</v>
      </c>
    </row>
    <row r="2825" spans="1:7" x14ac:dyDescent="0.25">
      <c r="A2825" s="1" t="s">
        <v>2948</v>
      </c>
      <c r="B2825" s="76">
        <v>62.559863999999997</v>
      </c>
      <c r="C2825" s="76">
        <v>62.691550999999997</v>
      </c>
      <c r="D2825" s="76">
        <v>61.572189000000002</v>
      </c>
      <c r="E2825" s="76">
        <v>61.879466999999998</v>
      </c>
      <c r="F2825" s="76">
        <v>49.395142</v>
      </c>
      <c r="G2825" s="79">
        <v>1480700</v>
      </c>
    </row>
    <row r="2826" spans="1:7" x14ac:dyDescent="0.25">
      <c r="A2826" s="1" t="s">
        <v>2949</v>
      </c>
      <c r="B2826" s="76">
        <v>62.142844999999902</v>
      </c>
      <c r="C2826" s="76">
        <v>62.325747999999997</v>
      </c>
      <c r="D2826" s="76">
        <v>61.630718000000002</v>
      </c>
      <c r="E2826" s="76">
        <v>62.018470999999998</v>
      </c>
      <c r="F2826" s="76">
        <v>49.506110999999997</v>
      </c>
      <c r="G2826" s="79">
        <v>1592500</v>
      </c>
    </row>
    <row r="2827" spans="1:7" x14ac:dyDescent="0.25">
      <c r="A2827" s="1" t="s">
        <v>2950</v>
      </c>
      <c r="B2827" s="76">
        <v>62.098948999999998</v>
      </c>
      <c r="C2827" s="76">
        <v>62.845188</v>
      </c>
      <c r="D2827" s="76">
        <v>62.033104000000002</v>
      </c>
      <c r="E2827" s="76">
        <v>62.589126999999998</v>
      </c>
      <c r="F2827" s="76">
        <v>49.961635999999999</v>
      </c>
      <c r="G2827" s="79">
        <v>1537300</v>
      </c>
    </row>
    <row r="2828" spans="1:7" x14ac:dyDescent="0.25">
      <c r="A2828" s="1" t="s">
        <v>2951</v>
      </c>
      <c r="B2828" s="76">
        <v>62.625706000000001</v>
      </c>
      <c r="C2828" s="76">
        <v>62.676921999999998</v>
      </c>
      <c r="D2828" s="76">
        <v>62.076999999999998</v>
      </c>
      <c r="E2828" s="76">
        <v>62.274535999999998</v>
      </c>
      <c r="F2828" s="76">
        <v>49.710509999999999</v>
      </c>
      <c r="G2828" s="79">
        <v>1863200</v>
      </c>
    </row>
    <row r="2829" spans="1:7" x14ac:dyDescent="0.25">
      <c r="A2829" s="1" t="s">
        <v>2952</v>
      </c>
      <c r="B2829" s="76">
        <v>62.186740999999998</v>
      </c>
      <c r="C2829" s="76">
        <v>62.691550999999997</v>
      </c>
      <c r="D2829" s="76">
        <v>61.681930999999999</v>
      </c>
      <c r="E2829" s="76">
        <v>62.369643999999901</v>
      </c>
      <c r="F2829" s="76">
        <v>49.786434</v>
      </c>
      <c r="G2829" s="79">
        <v>1948900</v>
      </c>
    </row>
    <row r="2830" spans="1:7" x14ac:dyDescent="0.25">
      <c r="A2830" s="1" t="s">
        <v>2953</v>
      </c>
      <c r="B2830" s="76">
        <v>62.713501000000001</v>
      </c>
      <c r="C2830" s="76">
        <v>63.591431</v>
      </c>
      <c r="D2830" s="76">
        <v>62.479385000000001</v>
      </c>
      <c r="E2830" s="76">
        <v>63.540218000000003</v>
      </c>
      <c r="F2830" s="76">
        <v>50.720840000000003</v>
      </c>
      <c r="G2830" s="79">
        <v>1575600</v>
      </c>
    </row>
    <row r="2831" spans="1:7" x14ac:dyDescent="0.25">
      <c r="A2831" s="1" t="s">
        <v>2954</v>
      </c>
      <c r="B2831" s="76">
        <v>63.401210999999897</v>
      </c>
      <c r="C2831" s="76">
        <v>64.301093999999907</v>
      </c>
      <c r="D2831" s="76">
        <v>63.262206999999997</v>
      </c>
      <c r="E2831" s="76">
        <v>64.015761999999995</v>
      </c>
      <c r="F2831" s="76">
        <v>51.100441000000004</v>
      </c>
      <c r="G2831" s="79">
        <v>1501300</v>
      </c>
    </row>
    <row r="2832" spans="1:7" x14ac:dyDescent="0.25">
      <c r="A2832" s="1" t="s">
        <v>2955</v>
      </c>
      <c r="B2832" s="76">
        <v>64.374251999999998</v>
      </c>
      <c r="C2832" s="76">
        <v>64.710792999999995</v>
      </c>
      <c r="D2832" s="76">
        <v>64.001129000000006</v>
      </c>
      <c r="E2832" s="76">
        <v>64.381568999999999</v>
      </c>
      <c r="F2832" s="76">
        <v>51.392448000000002</v>
      </c>
      <c r="G2832" s="79">
        <v>2409400</v>
      </c>
    </row>
    <row r="2833" spans="1:7" x14ac:dyDescent="0.25">
      <c r="A2833" s="1" t="s">
        <v>2956</v>
      </c>
      <c r="B2833" s="76">
        <v>64.410834999999906</v>
      </c>
      <c r="C2833" s="76">
        <v>64.593734999999995</v>
      </c>
      <c r="D2833" s="76">
        <v>64.096237000000002</v>
      </c>
      <c r="E2833" s="76">
        <v>64.403518999999903</v>
      </c>
      <c r="F2833" s="76">
        <v>51.409973000000001</v>
      </c>
      <c r="G2833" s="79">
        <v>1427100</v>
      </c>
    </row>
    <row r="2834" spans="1:7" x14ac:dyDescent="0.25">
      <c r="A2834" s="1" t="s">
        <v>2957</v>
      </c>
      <c r="B2834" s="76">
        <v>64.176719999999904</v>
      </c>
      <c r="C2834" s="76">
        <v>65.054648999999998</v>
      </c>
      <c r="D2834" s="76">
        <v>64.147452999999999</v>
      </c>
      <c r="E2834" s="76">
        <v>64.652259999999998</v>
      </c>
      <c r="F2834" s="76">
        <v>51.608513000000002</v>
      </c>
      <c r="G2834" s="79">
        <v>1309500</v>
      </c>
    </row>
    <row r="2835" spans="1:7" x14ac:dyDescent="0.25">
      <c r="A2835" s="1" t="s">
        <v>2958</v>
      </c>
      <c r="B2835" s="76">
        <v>65.091231999999906</v>
      </c>
      <c r="C2835" s="76">
        <v>65.091231999999906</v>
      </c>
      <c r="D2835" s="76">
        <v>64.388885000000002</v>
      </c>
      <c r="E2835" s="76">
        <v>64.813216999999995</v>
      </c>
      <c r="F2835" s="76">
        <v>51.737010999999903</v>
      </c>
      <c r="G2835" s="79">
        <v>1149500</v>
      </c>
    </row>
    <row r="2836" spans="1:7" x14ac:dyDescent="0.25">
      <c r="A2836" s="1" t="s">
        <v>2959</v>
      </c>
      <c r="B2836" s="76">
        <v>64.630318000000003</v>
      </c>
      <c r="C2836" s="76">
        <v>64.637633999999906</v>
      </c>
      <c r="D2836" s="76">
        <v>63.540218000000003</v>
      </c>
      <c r="E2836" s="76">
        <v>64.315726999999995</v>
      </c>
      <c r="F2836" s="76">
        <v>51.339882000000003</v>
      </c>
      <c r="G2836" s="79">
        <v>1715700</v>
      </c>
    </row>
    <row r="2837" spans="1:7" x14ac:dyDescent="0.25">
      <c r="A2837" s="1" t="s">
        <v>2960</v>
      </c>
      <c r="B2837" s="76">
        <v>64.586417999999995</v>
      </c>
      <c r="C2837" s="76">
        <v>64.776634000000001</v>
      </c>
      <c r="D2837" s="76">
        <v>63.796280000000003</v>
      </c>
      <c r="E2837" s="76">
        <v>64.045029</v>
      </c>
      <c r="F2837" s="76">
        <v>51.123801999999998</v>
      </c>
      <c r="G2837" s="79">
        <v>1346800</v>
      </c>
    </row>
    <row r="2838" spans="1:7" x14ac:dyDescent="0.25">
      <c r="A2838" s="1" t="s">
        <v>2961</v>
      </c>
      <c r="B2838" s="76">
        <v>64.081611999999893</v>
      </c>
      <c r="C2838" s="76">
        <v>64.952224999999999</v>
      </c>
      <c r="D2838" s="76">
        <v>64.081611999999893</v>
      </c>
      <c r="E2838" s="76">
        <v>64.637633999999906</v>
      </c>
      <c r="F2838" s="76">
        <v>51.596862999999999</v>
      </c>
      <c r="G2838" s="79">
        <v>1627100</v>
      </c>
    </row>
    <row r="2839" spans="1:7" x14ac:dyDescent="0.25">
      <c r="A2839" s="1" t="s">
        <v>2962</v>
      </c>
      <c r="B2839" s="76">
        <v>64.249877999999995</v>
      </c>
      <c r="C2839" s="76">
        <v>64.974174000000005</v>
      </c>
      <c r="D2839" s="76">
        <v>64.213295000000002</v>
      </c>
      <c r="E2839" s="76">
        <v>64.505943000000002</v>
      </c>
      <c r="F2839" s="76">
        <v>51.491729999999997</v>
      </c>
      <c r="G2839" s="79">
        <v>1340000</v>
      </c>
    </row>
    <row r="2840" spans="1:7" x14ac:dyDescent="0.25">
      <c r="A2840" s="1" t="s">
        <v>2963</v>
      </c>
      <c r="B2840" s="76">
        <v>64.688843000000006</v>
      </c>
      <c r="C2840" s="76">
        <v>64.805901000000006</v>
      </c>
      <c r="D2840" s="76">
        <v>63.971867000000003</v>
      </c>
      <c r="E2840" s="76">
        <v>64.257194999999996</v>
      </c>
      <c r="F2840" s="76">
        <v>51.293159000000003</v>
      </c>
      <c r="G2840" s="79">
        <v>1464500</v>
      </c>
    </row>
    <row r="2841" spans="1:7" x14ac:dyDescent="0.25">
      <c r="A2841" s="1" t="s">
        <v>2964</v>
      </c>
      <c r="B2841" s="76">
        <v>63.979182999999999</v>
      </c>
      <c r="C2841" s="76">
        <v>65.654563999999993</v>
      </c>
      <c r="D2841" s="76">
        <v>63.957232999999903</v>
      </c>
      <c r="E2841" s="76">
        <v>65.559455999999997</v>
      </c>
      <c r="F2841" s="76">
        <v>52.332690999999997</v>
      </c>
      <c r="G2841" s="79">
        <v>1506700</v>
      </c>
    </row>
    <row r="2842" spans="1:7" x14ac:dyDescent="0.25">
      <c r="A2842" s="1" t="s">
        <v>2965</v>
      </c>
      <c r="B2842" s="76">
        <v>65.698463000000004</v>
      </c>
      <c r="C2842" s="76">
        <v>66.488602</v>
      </c>
      <c r="D2842" s="76">
        <v>65.442397999999997</v>
      </c>
      <c r="E2842" s="76">
        <v>66.408126999999993</v>
      </c>
      <c r="F2842" s="76">
        <v>53.010142999999999</v>
      </c>
      <c r="G2842" s="79">
        <v>1816300</v>
      </c>
    </row>
    <row r="2843" spans="1:7" x14ac:dyDescent="0.25">
      <c r="A2843" s="1" t="s">
        <v>2966</v>
      </c>
      <c r="B2843" s="76">
        <v>65.574089000000001</v>
      </c>
      <c r="C2843" s="76">
        <v>65.778937999999997</v>
      </c>
      <c r="D2843" s="76">
        <v>65.076599000000002</v>
      </c>
      <c r="E2843" s="76">
        <v>65.603354999999993</v>
      </c>
      <c r="F2843" s="76">
        <v>52.367733000000001</v>
      </c>
      <c r="G2843" s="79">
        <v>1494300</v>
      </c>
    </row>
    <row r="2844" spans="1:7" x14ac:dyDescent="0.25">
      <c r="A2844" s="1" t="s">
        <v>2967</v>
      </c>
      <c r="B2844" s="76">
        <v>65.596039000000005</v>
      </c>
      <c r="C2844" s="76">
        <v>66.261803</v>
      </c>
      <c r="D2844" s="76">
        <v>65.391189999999995</v>
      </c>
      <c r="E2844" s="76">
        <v>66.210587000000004</v>
      </c>
      <c r="F2844" s="76">
        <v>52.852447999999903</v>
      </c>
      <c r="G2844" s="79">
        <v>1520600</v>
      </c>
    </row>
    <row r="2845" spans="1:7" x14ac:dyDescent="0.25">
      <c r="A2845" s="1" t="s">
        <v>2968</v>
      </c>
      <c r="B2845" s="76">
        <v>67.095839999999995</v>
      </c>
      <c r="C2845" s="76">
        <v>67.095839999999995</v>
      </c>
      <c r="D2845" s="76">
        <v>66.144745</v>
      </c>
      <c r="E2845" s="76">
        <v>66.876350000000002</v>
      </c>
      <c r="F2845" s="76">
        <v>53.383904000000001</v>
      </c>
      <c r="G2845" s="79">
        <v>1154000</v>
      </c>
    </row>
    <row r="2846" spans="1:7" x14ac:dyDescent="0.25">
      <c r="A2846" s="1" t="s">
        <v>2969</v>
      </c>
      <c r="B2846" s="76">
        <v>66.986091999999999</v>
      </c>
      <c r="C2846" s="76">
        <v>67.476272999999907</v>
      </c>
      <c r="D2846" s="76">
        <v>66.547127000000003</v>
      </c>
      <c r="E2846" s="76">
        <v>67.468956000000006</v>
      </c>
      <c r="F2846" s="76">
        <v>53.856940999999999</v>
      </c>
      <c r="G2846" s="79">
        <v>915900</v>
      </c>
    </row>
    <row r="2847" spans="1:7" x14ac:dyDescent="0.25">
      <c r="A2847" s="1" t="s">
        <v>2970</v>
      </c>
      <c r="B2847" s="76">
        <v>67.564064000000002</v>
      </c>
      <c r="C2847" s="76">
        <v>68.617583999999994</v>
      </c>
      <c r="D2847" s="76">
        <v>67.249473999999907</v>
      </c>
      <c r="E2847" s="76">
        <v>68.332252999999994</v>
      </c>
      <c r="F2847" s="76">
        <v>54.546069999999901</v>
      </c>
      <c r="G2847" s="79">
        <v>1368700</v>
      </c>
    </row>
    <row r="2848" spans="1:7" x14ac:dyDescent="0.25">
      <c r="A2848" s="1" t="s">
        <v>2971</v>
      </c>
      <c r="B2848" s="76">
        <v>68.588318000000001</v>
      </c>
      <c r="C2848" s="76">
        <v>69.115073999999893</v>
      </c>
      <c r="D2848" s="76">
        <v>68.098136999999994</v>
      </c>
      <c r="E2848" s="76">
        <v>68.976073999999997</v>
      </c>
      <c r="F2848" s="76">
        <v>55.059989999999999</v>
      </c>
      <c r="G2848" s="79">
        <v>1640100</v>
      </c>
    </row>
    <row r="2849" spans="1:7" x14ac:dyDescent="0.25">
      <c r="A2849" s="1" t="s">
        <v>2972</v>
      </c>
      <c r="B2849" s="76">
        <v>69.217499000000004</v>
      </c>
      <c r="C2849" s="76">
        <v>69.693046999999893</v>
      </c>
      <c r="D2849" s="76">
        <v>68.734641999999994</v>
      </c>
      <c r="E2849" s="76">
        <v>69.627205000000004</v>
      </c>
      <c r="F2849" s="76">
        <v>55.579765000000002</v>
      </c>
      <c r="G2849" s="79">
        <v>1658200</v>
      </c>
    </row>
    <row r="2850" spans="1:7" x14ac:dyDescent="0.25">
      <c r="A2850" s="1" t="s">
        <v>2973</v>
      </c>
      <c r="B2850" s="76">
        <v>69.634520999999907</v>
      </c>
      <c r="C2850" s="76">
        <v>71.163581999999906</v>
      </c>
      <c r="D2850" s="76">
        <v>69.510147000000003</v>
      </c>
      <c r="E2850" s="76">
        <v>70.673400999999998</v>
      </c>
      <c r="F2850" s="76">
        <v>56.414893999999997</v>
      </c>
      <c r="G2850" s="79">
        <v>2451600</v>
      </c>
    </row>
    <row r="2851" spans="1:7" x14ac:dyDescent="0.25">
      <c r="A2851" s="1" t="s">
        <v>2974</v>
      </c>
      <c r="B2851" s="76">
        <v>70.753883000000002</v>
      </c>
      <c r="C2851" s="76">
        <v>70.848990999999998</v>
      </c>
      <c r="D2851" s="76">
        <v>69.751579000000007</v>
      </c>
      <c r="E2851" s="76">
        <v>70.731933999999995</v>
      </c>
      <c r="F2851" s="76">
        <v>56.461608999999903</v>
      </c>
      <c r="G2851" s="79">
        <v>1581600</v>
      </c>
    </row>
    <row r="2852" spans="1:7" x14ac:dyDescent="0.25">
      <c r="A2852" s="1" t="s">
        <v>2975</v>
      </c>
      <c r="B2852" s="76">
        <v>71.097740000000002</v>
      </c>
      <c r="C2852" s="76">
        <v>71.522071999999994</v>
      </c>
      <c r="D2852" s="76">
        <v>70.175910999999999</v>
      </c>
      <c r="E2852" s="76">
        <v>70.848990999999998</v>
      </c>
      <c r="F2852" s="76">
        <v>56.555061000000002</v>
      </c>
      <c r="G2852" s="79">
        <v>1171600</v>
      </c>
    </row>
    <row r="2853" spans="1:7" x14ac:dyDescent="0.25">
      <c r="A2853" s="1" t="s">
        <v>2976</v>
      </c>
      <c r="B2853" s="76">
        <v>70.841674999999995</v>
      </c>
      <c r="C2853" s="76">
        <v>71.646445999999997</v>
      </c>
      <c r="D2853" s="76">
        <v>69.115073999999893</v>
      </c>
      <c r="E2853" s="76">
        <v>70.132011000000006</v>
      </c>
      <c r="F2853" s="76">
        <v>55.982718999999904</v>
      </c>
      <c r="G2853" s="79">
        <v>2077500</v>
      </c>
    </row>
    <row r="2854" spans="1:7" x14ac:dyDescent="0.25">
      <c r="A2854" s="1" t="s">
        <v>2977</v>
      </c>
      <c r="B2854" s="76">
        <v>70.241753000000003</v>
      </c>
      <c r="C2854" s="76">
        <v>70.651459000000003</v>
      </c>
      <c r="D2854" s="76">
        <v>69.195556999999994</v>
      </c>
      <c r="E2854" s="76">
        <v>69.539412999999996</v>
      </c>
      <c r="F2854" s="76">
        <v>55.509681999999998</v>
      </c>
      <c r="G2854" s="79">
        <v>1790700</v>
      </c>
    </row>
    <row r="2855" spans="1:7" x14ac:dyDescent="0.25">
      <c r="A2855" s="1" t="s">
        <v>2978</v>
      </c>
      <c r="B2855" s="76">
        <v>68.8078</v>
      </c>
      <c r="C2855" s="76">
        <v>69.312613999999996</v>
      </c>
      <c r="D2855" s="76">
        <v>68.376152000000005</v>
      </c>
      <c r="E2855" s="76">
        <v>68.917541999999997</v>
      </c>
      <c r="F2855" s="76">
        <v>55.415545999999999</v>
      </c>
      <c r="G2855" s="79">
        <v>1875500</v>
      </c>
    </row>
    <row r="2856" spans="1:7" x14ac:dyDescent="0.25">
      <c r="A2856" s="1" t="s">
        <v>2979</v>
      </c>
      <c r="B2856" s="76">
        <v>69.663780000000003</v>
      </c>
      <c r="C2856" s="76">
        <v>69.663780000000003</v>
      </c>
      <c r="D2856" s="76">
        <v>68.698059000000001</v>
      </c>
      <c r="E2856" s="76">
        <v>68.771216999999993</v>
      </c>
      <c r="F2856" s="76">
        <v>55.2978939999999</v>
      </c>
      <c r="G2856" s="79">
        <v>2019000</v>
      </c>
    </row>
    <row r="2857" spans="1:7" x14ac:dyDescent="0.25">
      <c r="A2857" s="1" t="s">
        <v>2980</v>
      </c>
      <c r="B2857" s="76">
        <v>68.800483999999997</v>
      </c>
      <c r="C2857" s="76">
        <v>69.649154999999993</v>
      </c>
      <c r="D2857" s="76">
        <v>68.698059000000001</v>
      </c>
      <c r="E2857" s="76">
        <v>69.349189999999993</v>
      </c>
      <c r="F2857" s="76">
        <v>55.762638000000003</v>
      </c>
      <c r="G2857" s="79">
        <v>1076600</v>
      </c>
    </row>
    <row r="2858" spans="1:7" x14ac:dyDescent="0.25">
      <c r="A2858" s="1" t="s">
        <v>2981</v>
      </c>
      <c r="B2858" s="76">
        <v>69.663780000000003</v>
      </c>
      <c r="C2858" s="76">
        <v>70.600243000000006</v>
      </c>
      <c r="D2858" s="76">
        <v>69.546722000000003</v>
      </c>
      <c r="E2858" s="76">
        <v>70.600243000000006</v>
      </c>
      <c r="F2858" s="76">
        <v>56.768597</v>
      </c>
      <c r="G2858" s="79">
        <v>1647800</v>
      </c>
    </row>
    <row r="2859" spans="1:7" x14ac:dyDescent="0.25">
      <c r="A2859" s="1" t="s">
        <v>2982</v>
      </c>
      <c r="B2859" s="76">
        <v>70.358809999999906</v>
      </c>
      <c r="C2859" s="76">
        <v>70.461235000000002</v>
      </c>
      <c r="D2859" s="76">
        <v>69.554039000000003</v>
      </c>
      <c r="E2859" s="76">
        <v>69.619888000000003</v>
      </c>
      <c r="F2859" s="76">
        <v>55.980305000000001</v>
      </c>
      <c r="G2859" s="79">
        <v>1469100</v>
      </c>
    </row>
    <row r="2860" spans="1:7" x14ac:dyDescent="0.25">
      <c r="A2860" s="1" t="s">
        <v>2983</v>
      </c>
      <c r="B2860" s="76">
        <v>69.341872999999893</v>
      </c>
      <c r="C2860" s="76">
        <v>69.890579000000002</v>
      </c>
      <c r="D2860" s="76">
        <v>68.698059000000001</v>
      </c>
      <c r="E2860" s="76">
        <v>69.875953999999993</v>
      </c>
      <c r="F2860" s="76">
        <v>56.186194999999998</v>
      </c>
      <c r="G2860" s="79">
        <v>1938000</v>
      </c>
    </row>
    <row r="2861" spans="1:7" x14ac:dyDescent="0.25">
      <c r="A2861" s="1" t="s">
        <v>2984</v>
      </c>
      <c r="B2861" s="76">
        <v>69.941794999999999</v>
      </c>
      <c r="C2861" s="76">
        <v>69.941794999999999</v>
      </c>
      <c r="D2861" s="76">
        <v>69.034599</v>
      </c>
      <c r="E2861" s="76">
        <v>69.341872999999893</v>
      </c>
      <c r="F2861" s="76">
        <v>55.756751999999999</v>
      </c>
      <c r="G2861" s="79">
        <v>1655200</v>
      </c>
    </row>
    <row r="2862" spans="1:7" x14ac:dyDescent="0.25">
      <c r="A2862" s="1" t="s">
        <v>2985</v>
      </c>
      <c r="B2862" s="76">
        <v>69.283348000000004</v>
      </c>
      <c r="C2862" s="76">
        <v>70.292968999999999</v>
      </c>
      <c r="D2862" s="76">
        <v>69.093131999999997</v>
      </c>
      <c r="E2862" s="76">
        <v>69.817420999999996</v>
      </c>
      <c r="F2862" s="76">
        <v>56.139136999999998</v>
      </c>
      <c r="G2862" s="79">
        <v>1148300</v>
      </c>
    </row>
    <row r="2863" spans="1:7" x14ac:dyDescent="0.25">
      <c r="A2863" s="1" t="s">
        <v>2986</v>
      </c>
      <c r="B2863" s="76">
        <v>69.641838000000007</v>
      </c>
      <c r="C2863" s="76">
        <v>70.161277999999996</v>
      </c>
      <c r="D2863" s="76">
        <v>69.093131999999997</v>
      </c>
      <c r="E2863" s="76">
        <v>69.758895999999993</v>
      </c>
      <c r="F2863" s="76">
        <v>56.092064000000001</v>
      </c>
      <c r="G2863" s="79">
        <v>1301700</v>
      </c>
    </row>
    <row r="2864" spans="1:7" x14ac:dyDescent="0.25">
      <c r="A2864" s="1" t="s">
        <v>2987</v>
      </c>
      <c r="B2864" s="76">
        <v>69.912529000000006</v>
      </c>
      <c r="C2864" s="76">
        <v>70.797775000000001</v>
      </c>
      <c r="D2864" s="76">
        <v>69.363822999999996</v>
      </c>
      <c r="E2864" s="76">
        <v>70.666083999999998</v>
      </c>
      <c r="F2864" s="76">
        <v>56.821548</v>
      </c>
      <c r="G2864" s="79">
        <v>1129800</v>
      </c>
    </row>
    <row r="2865" spans="1:7" x14ac:dyDescent="0.25">
      <c r="A2865" s="1" t="s">
        <v>2988</v>
      </c>
      <c r="B2865" s="76">
        <v>70.958732999999995</v>
      </c>
      <c r="C2865" s="76">
        <v>71.339164999999994</v>
      </c>
      <c r="D2865" s="76">
        <v>70.431976000000006</v>
      </c>
      <c r="E2865" s="76">
        <v>71.046524000000005</v>
      </c>
      <c r="F2865" s="76">
        <v>57.127433999999901</v>
      </c>
      <c r="G2865" s="79">
        <v>951400</v>
      </c>
    </row>
    <row r="2866" spans="1:7" x14ac:dyDescent="0.25">
      <c r="A2866" s="1" t="s">
        <v>2989</v>
      </c>
      <c r="B2866" s="76">
        <v>70.958732999999995</v>
      </c>
      <c r="C2866" s="76">
        <v>71.207481000000001</v>
      </c>
      <c r="D2866" s="76">
        <v>69.971062000000003</v>
      </c>
      <c r="E2866" s="76">
        <v>70.183228</v>
      </c>
      <c r="F2866" s="76">
        <v>56.433276999999997</v>
      </c>
      <c r="G2866" s="79">
        <v>1282600</v>
      </c>
    </row>
    <row r="2867" spans="1:7" x14ac:dyDescent="0.25">
      <c r="A2867" s="1" t="s">
        <v>2990</v>
      </c>
      <c r="B2867" s="76">
        <v>69.378456</v>
      </c>
      <c r="C2867" s="76">
        <v>69.824737999999996</v>
      </c>
      <c r="D2867" s="76">
        <v>69.122390999999993</v>
      </c>
      <c r="E2867" s="76">
        <v>69.151657</v>
      </c>
      <c r="F2867" s="76">
        <v>55.603793999999901</v>
      </c>
      <c r="G2867" s="79">
        <v>1341000</v>
      </c>
    </row>
    <row r="2868" spans="1:7" x14ac:dyDescent="0.25">
      <c r="A2868" s="1" t="s">
        <v>2991</v>
      </c>
      <c r="B2868" s="76">
        <v>69.429671999999997</v>
      </c>
      <c r="C2868" s="76">
        <v>69.736946000000003</v>
      </c>
      <c r="D2868" s="76">
        <v>69.071181999999993</v>
      </c>
      <c r="E2868" s="76">
        <v>69.495514</v>
      </c>
      <c r="F2868" s="76">
        <v>55.880282999999999</v>
      </c>
      <c r="G2868" s="79">
        <v>1074800</v>
      </c>
    </row>
    <row r="2869" spans="1:7" x14ac:dyDescent="0.25">
      <c r="A2869" s="1" t="s">
        <v>2992</v>
      </c>
      <c r="B2869" s="76">
        <v>69.341872999999893</v>
      </c>
      <c r="C2869" s="76">
        <v>70.110061999999999</v>
      </c>
      <c r="D2869" s="76">
        <v>68.917541999999997</v>
      </c>
      <c r="E2869" s="76">
        <v>69.561356000000004</v>
      </c>
      <c r="F2869" s="76">
        <v>55.933230999999999</v>
      </c>
      <c r="G2869" s="79">
        <v>1167500</v>
      </c>
    </row>
    <row r="2870" spans="1:7" x14ac:dyDescent="0.25">
      <c r="A2870" s="1" t="s">
        <v>2993</v>
      </c>
      <c r="B2870" s="76">
        <v>69.224815000000007</v>
      </c>
      <c r="C2870" s="76">
        <v>70.739249999999998</v>
      </c>
      <c r="D2870" s="76">
        <v>69.210181999999904</v>
      </c>
      <c r="E2870" s="76">
        <v>70.402709999999999</v>
      </c>
      <c r="F2870" s="76">
        <v>56.609768000000003</v>
      </c>
      <c r="G2870" s="79">
        <v>1153100</v>
      </c>
    </row>
    <row r="2871" spans="1:7" x14ac:dyDescent="0.25">
      <c r="A2871" s="1" t="s">
        <v>2994</v>
      </c>
      <c r="B2871" s="76">
        <v>70.790458999999998</v>
      </c>
      <c r="C2871" s="76">
        <v>70.790458999999998</v>
      </c>
      <c r="D2871" s="76">
        <v>70.197861000000003</v>
      </c>
      <c r="E2871" s="76">
        <v>70.695351000000002</v>
      </c>
      <c r="F2871" s="76">
        <v>56.845066000000003</v>
      </c>
      <c r="G2871" s="79">
        <v>777100</v>
      </c>
    </row>
    <row r="2872" spans="1:7" x14ac:dyDescent="0.25">
      <c r="A2872" s="1" t="s">
        <v>2995</v>
      </c>
      <c r="B2872" s="76">
        <v>71.178214999999994</v>
      </c>
      <c r="C2872" s="76">
        <v>72.004929000000004</v>
      </c>
      <c r="D2872" s="76">
        <v>70.812407999999905</v>
      </c>
      <c r="E2872" s="76">
        <v>71.975669999999994</v>
      </c>
      <c r="F2872" s="76">
        <v>57.874554000000003</v>
      </c>
      <c r="G2872" s="79">
        <v>1764100</v>
      </c>
    </row>
    <row r="2873" spans="1:7" x14ac:dyDescent="0.25">
      <c r="A2873" s="1" t="s">
        <v>2996</v>
      </c>
      <c r="B2873" s="76">
        <v>71.726920999999905</v>
      </c>
      <c r="C2873" s="76">
        <v>71.909820999999994</v>
      </c>
      <c r="D2873" s="76">
        <v>69.502831</v>
      </c>
      <c r="E2873" s="76">
        <v>69.641838000000007</v>
      </c>
      <c r="F2873" s="76">
        <v>55.997948000000001</v>
      </c>
      <c r="G2873" s="79">
        <v>1724300</v>
      </c>
    </row>
    <row r="2874" spans="1:7" x14ac:dyDescent="0.25">
      <c r="A2874" s="1" t="s">
        <v>2997</v>
      </c>
      <c r="B2874" s="76">
        <v>69.641838000000007</v>
      </c>
      <c r="C2874" s="76">
        <v>70.168593999999999</v>
      </c>
      <c r="D2874" s="76">
        <v>68.822432999999904</v>
      </c>
      <c r="E2874" s="76">
        <v>69.034599</v>
      </c>
      <c r="F2874" s="76">
        <v>55.509673999999997</v>
      </c>
      <c r="G2874" s="79">
        <v>1644700</v>
      </c>
    </row>
    <row r="2875" spans="1:7" x14ac:dyDescent="0.25">
      <c r="A2875" s="1" t="s">
        <v>2998</v>
      </c>
      <c r="B2875" s="76">
        <v>68.178618999999998</v>
      </c>
      <c r="C2875" s="76">
        <v>70.014954000000003</v>
      </c>
      <c r="D2875" s="76">
        <v>68.178618999999998</v>
      </c>
      <c r="E2875" s="76">
        <v>69.473563999999996</v>
      </c>
      <c r="F2875" s="76">
        <v>55.862643999999896</v>
      </c>
      <c r="G2875" s="79">
        <v>1516300</v>
      </c>
    </row>
    <row r="2876" spans="1:7" x14ac:dyDescent="0.25">
      <c r="A2876" s="1" t="s">
        <v>2999</v>
      </c>
      <c r="B2876" s="76">
        <v>69.488197</v>
      </c>
      <c r="C2876" s="76">
        <v>69.722313</v>
      </c>
      <c r="D2876" s="76">
        <v>68.120086999999998</v>
      </c>
      <c r="E2876" s="76">
        <v>68.310310000000001</v>
      </c>
      <c r="F2876" s="76">
        <v>54.927292000000001</v>
      </c>
      <c r="G2876" s="79">
        <v>1620100</v>
      </c>
    </row>
    <row r="2877" spans="1:7" x14ac:dyDescent="0.25">
      <c r="A2877" s="1" t="s">
        <v>3000</v>
      </c>
      <c r="B2877" s="76">
        <v>68.785850999999994</v>
      </c>
      <c r="C2877" s="76">
        <v>70.285651999999999</v>
      </c>
      <c r="D2877" s="76">
        <v>68.617583999999994</v>
      </c>
      <c r="E2877" s="76">
        <v>69.415038999999993</v>
      </c>
      <c r="F2877" s="76">
        <v>55.8155819999999</v>
      </c>
      <c r="G2877" s="79">
        <v>1351900</v>
      </c>
    </row>
    <row r="2878" spans="1:7" x14ac:dyDescent="0.25">
      <c r="A2878" s="1" t="s">
        <v>3001</v>
      </c>
      <c r="B2878" s="76">
        <v>69.129706999999996</v>
      </c>
      <c r="C2878" s="76">
        <v>70.080803000000003</v>
      </c>
      <c r="D2878" s="76">
        <v>68.990700000000004</v>
      </c>
      <c r="E2878" s="76">
        <v>69.012649999999994</v>
      </c>
      <c r="F2878" s="76">
        <v>55.492034999999902</v>
      </c>
      <c r="G2878" s="79">
        <v>1377800</v>
      </c>
    </row>
    <row r="2879" spans="1:7" x14ac:dyDescent="0.25">
      <c r="A2879" s="1" t="s">
        <v>3002</v>
      </c>
      <c r="B2879" s="76">
        <v>69.510147000000003</v>
      </c>
      <c r="C2879" s="76">
        <v>69.546722000000003</v>
      </c>
      <c r="D2879" s="76">
        <v>67.900604000000001</v>
      </c>
      <c r="E2879" s="76">
        <v>68.522475999999997</v>
      </c>
      <c r="F2879" s="76">
        <v>55.097889000000002</v>
      </c>
      <c r="G2879" s="79">
        <v>1830000</v>
      </c>
    </row>
    <row r="2880" spans="1:7" x14ac:dyDescent="0.25">
      <c r="A2880" s="1" t="s">
        <v>3003</v>
      </c>
      <c r="B2880" s="76">
        <v>68.171302999999995</v>
      </c>
      <c r="C2880" s="76">
        <v>68.288360999999995</v>
      </c>
      <c r="D2880" s="76">
        <v>66.525184999999993</v>
      </c>
      <c r="E2880" s="76">
        <v>66.781242000000006</v>
      </c>
      <c r="F2880" s="76">
        <v>53.697792</v>
      </c>
      <c r="G2880" s="79">
        <v>2001100</v>
      </c>
    </row>
    <row r="2881" spans="1:7" x14ac:dyDescent="0.25">
      <c r="A2881" s="1" t="s">
        <v>3004</v>
      </c>
      <c r="B2881" s="76">
        <v>67.029990999999995</v>
      </c>
      <c r="C2881" s="76">
        <v>67.622596999999999</v>
      </c>
      <c r="D2881" s="76">
        <v>66.795876000000007</v>
      </c>
      <c r="E2881" s="76">
        <v>67.000725000000003</v>
      </c>
      <c r="F2881" s="76">
        <v>53.874268000000001</v>
      </c>
      <c r="G2881" s="79">
        <v>1774000</v>
      </c>
    </row>
    <row r="2882" spans="1:7" x14ac:dyDescent="0.25">
      <c r="A2882" s="1" t="s">
        <v>3005</v>
      </c>
      <c r="B2882" s="76">
        <v>67.878653999999997</v>
      </c>
      <c r="C2882" s="76">
        <v>68.076194999999998</v>
      </c>
      <c r="D2882" s="76">
        <v>67.234840000000005</v>
      </c>
      <c r="E2882" s="76">
        <v>67.790863000000002</v>
      </c>
      <c r="F2882" s="76">
        <v>54.509616999999999</v>
      </c>
      <c r="G2882" s="79">
        <v>1149800</v>
      </c>
    </row>
    <row r="2883" spans="1:7" x14ac:dyDescent="0.25">
      <c r="A2883" s="1" t="s">
        <v>3006</v>
      </c>
      <c r="B2883" s="76">
        <v>67.315322999999907</v>
      </c>
      <c r="C2883" s="76">
        <v>67.483588999999995</v>
      </c>
      <c r="D2883" s="76">
        <v>65.947211999999993</v>
      </c>
      <c r="E2883" s="76">
        <v>66.532500999999996</v>
      </c>
      <c r="F2883" s="76">
        <v>53.497783999999903</v>
      </c>
      <c r="G2883" s="79">
        <v>1468600</v>
      </c>
    </row>
    <row r="2884" spans="1:7" x14ac:dyDescent="0.25">
      <c r="A2884" s="1" t="s">
        <v>3007</v>
      </c>
      <c r="B2884" s="76">
        <v>66.825142</v>
      </c>
      <c r="C2884" s="76">
        <v>67.468956000000006</v>
      </c>
      <c r="D2884" s="76">
        <v>65.888679999999994</v>
      </c>
      <c r="E2884" s="76">
        <v>66.927566999999996</v>
      </c>
      <c r="F2884" s="76">
        <v>53.815441</v>
      </c>
      <c r="G2884" s="79">
        <v>1671100</v>
      </c>
    </row>
    <row r="2885" spans="1:7" x14ac:dyDescent="0.25">
      <c r="A2885" s="1" t="s">
        <v>3008</v>
      </c>
      <c r="B2885" s="76">
        <v>67.461639000000005</v>
      </c>
      <c r="C2885" s="76">
        <v>67.746971000000002</v>
      </c>
      <c r="D2885" s="76">
        <v>66.649558999999996</v>
      </c>
      <c r="E2885" s="76">
        <v>66.927566999999996</v>
      </c>
      <c r="F2885" s="76">
        <v>53.815441</v>
      </c>
      <c r="G2885" s="79">
        <v>1742400</v>
      </c>
    </row>
    <row r="2886" spans="1:7" x14ac:dyDescent="0.25">
      <c r="A2886" s="1" t="s">
        <v>3009</v>
      </c>
      <c r="B2886" s="76">
        <v>66.591025999999999</v>
      </c>
      <c r="C2886" s="76">
        <v>68.383468999999906</v>
      </c>
      <c r="D2886" s="76">
        <v>66.583709999999996</v>
      </c>
      <c r="E2886" s="76">
        <v>67.776229999999998</v>
      </c>
      <c r="F2886" s="76">
        <v>54.497841000000001</v>
      </c>
      <c r="G2886" s="79">
        <v>1220500</v>
      </c>
    </row>
    <row r="2887" spans="1:7" x14ac:dyDescent="0.25">
      <c r="A2887" s="1" t="s">
        <v>3010</v>
      </c>
      <c r="B2887" s="76">
        <v>68.142036000000004</v>
      </c>
      <c r="C2887" s="76">
        <v>68.632216999999997</v>
      </c>
      <c r="D2887" s="76">
        <v>67.425064000000006</v>
      </c>
      <c r="E2887" s="76">
        <v>68.588318000000001</v>
      </c>
      <c r="F2887" s="76">
        <v>55.150829000000002</v>
      </c>
      <c r="G2887" s="79">
        <v>1543200</v>
      </c>
    </row>
    <row r="2888" spans="1:7" x14ac:dyDescent="0.25">
      <c r="A2888" s="1" t="s">
        <v>3011</v>
      </c>
      <c r="B2888" s="76">
        <v>68.229827999999998</v>
      </c>
      <c r="C2888" s="76">
        <v>68.968757999999994</v>
      </c>
      <c r="D2888" s="76">
        <v>68.163985999999994</v>
      </c>
      <c r="E2888" s="76">
        <v>68.222510999999997</v>
      </c>
      <c r="F2888" s="76">
        <v>54.856693</v>
      </c>
      <c r="G2888" s="79">
        <v>2130700</v>
      </c>
    </row>
    <row r="2889" spans="1:7" x14ac:dyDescent="0.25">
      <c r="A2889" s="1" t="s">
        <v>3012</v>
      </c>
      <c r="B2889" s="76">
        <v>67.242156999999906</v>
      </c>
      <c r="C2889" s="76">
        <v>67.242156999999906</v>
      </c>
      <c r="D2889" s="76">
        <v>65.932579000000004</v>
      </c>
      <c r="E2889" s="76">
        <v>66.261803</v>
      </c>
      <c r="F2889" s="76">
        <v>53.280127999999998</v>
      </c>
      <c r="G2889" s="79">
        <v>2448000</v>
      </c>
    </row>
    <row r="2890" spans="1:7" x14ac:dyDescent="0.25">
      <c r="A2890" s="1" t="s">
        <v>3013</v>
      </c>
      <c r="B2890" s="76">
        <v>66.452018999999893</v>
      </c>
      <c r="C2890" s="76">
        <v>66.869040999999996</v>
      </c>
      <c r="D2890" s="76">
        <v>65.881362999999993</v>
      </c>
      <c r="E2890" s="76">
        <v>66.334960999999893</v>
      </c>
      <c r="F2890" s="76">
        <v>53.3389319999999</v>
      </c>
      <c r="G2890" s="79">
        <v>2924300</v>
      </c>
    </row>
    <row r="2891" spans="1:7" x14ac:dyDescent="0.25">
      <c r="A2891" s="1" t="s">
        <v>3014</v>
      </c>
      <c r="B2891" s="76">
        <v>66.305701999999997</v>
      </c>
      <c r="C2891" s="76">
        <v>67.220206999999903</v>
      </c>
      <c r="D2891" s="76">
        <v>66.137428</v>
      </c>
      <c r="E2891" s="76">
        <v>66.993408000000002</v>
      </c>
      <c r="F2891" s="76">
        <v>53.868392999999998</v>
      </c>
      <c r="G2891" s="79">
        <v>1149200</v>
      </c>
    </row>
    <row r="2892" spans="1:7" x14ac:dyDescent="0.25">
      <c r="A2892" s="1" t="s">
        <v>3015</v>
      </c>
      <c r="B2892" s="76">
        <v>67.198265000000006</v>
      </c>
      <c r="C2892" s="76">
        <v>67.586014000000006</v>
      </c>
      <c r="D2892" s="76">
        <v>66.744667000000007</v>
      </c>
      <c r="E2892" s="76">
        <v>67.432372999999998</v>
      </c>
      <c r="F2892" s="76">
        <v>54.221359</v>
      </c>
      <c r="G2892" s="79">
        <v>978500</v>
      </c>
    </row>
    <row r="2893" spans="1:7" x14ac:dyDescent="0.25">
      <c r="A2893" s="1" t="s">
        <v>3016</v>
      </c>
      <c r="B2893" s="76">
        <v>67.761604000000005</v>
      </c>
      <c r="C2893" s="76">
        <v>68.434676999999994</v>
      </c>
      <c r="D2893" s="76">
        <v>67.520172000000002</v>
      </c>
      <c r="E2893" s="76">
        <v>68.207886000000002</v>
      </c>
      <c r="F2893" s="76">
        <v>54.844932999999997</v>
      </c>
      <c r="G2893" s="79">
        <v>1048200</v>
      </c>
    </row>
    <row r="2894" spans="1:7" x14ac:dyDescent="0.25">
      <c r="A2894" s="1" t="s">
        <v>3017</v>
      </c>
      <c r="B2894" s="76">
        <v>68.273726999999994</v>
      </c>
      <c r="C2894" s="76">
        <v>68.595633999999905</v>
      </c>
      <c r="D2894" s="76">
        <v>67.878653999999997</v>
      </c>
      <c r="E2894" s="76">
        <v>68.171302999999995</v>
      </c>
      <c r="F2894" s="76">
        <v>54.815525000000001</v>
      </c>
      <c r="G2894" s="79">
        <v>1263100</v>
      </c>
    </row>
    <row r="2895" spans="1:7" x14ac:dyDescent="0.25">
      <c r="A2895" s="1" t="s">
        <v>3018</v>
      </c>
      <c r="B2895" s="76">
        <v>68.142036000000004</v>
      </c>
      <c r="C2895" s="76">
        <v>69.539412999999996</v>
      </c>
      <c r="D2895" s="76">
        <v>67.988395999999995</v>
      </c>
      <c r="E2895" s="76">
        <v>69.400406000000004</v>
      </c>
      <c r="F2895" s="76">
        <v>55.803818</v>
      </c>
      <c r="G2895" s="79">
        <v>1437600</v>
      </c>
    </row>
    <row r="2896" spans="1:7" x14ac:dyDescent="0.25">
      <c r="A2896" s="1" t="s">
        <v>3019</v>
      </c>
      <c r="B2896" s="76">
        <v>69.473563999999996</v>
      </c>
      <c r="C2896" s="76">
        <v>70.088119999999904</v>
      </c>
      <c r="D2896" s="76">
        <v>68.800483999999997</v>
      </c>
      <c r="E2896" s="76">
        <v>69.810103999999995</v>
      </c>
      <c r="F2896" s="76">
        <v>56.133243999999998</v>
      </c>
      <c r="G2896" s="79">
        <v>1035600</v>
      </c>
    </row>
    <row r="2897" spans="1:7" x14ac:dyDescent="0.25">
      <c r="A2897" s="1" t="s">
        <v>3020</v>
      </c>
      <c r="B2897" s="76">
        <v>69.693046999999893</v>
      </c>
      <c r="C2897" s="76">
        <v>70.197861000000003</v>
      </c>
      <c r="D2897" s="76">
        <v>69.158974000000001</v>
      </c>
      <c r="E2897" s="76">
        <v>70.168593999999999</v>
      </c>
      <c r="F2897" s="76">
        <v>56.421508999999901</v>
      </c>
      <c r="G2897" s="79">
        <v>1024200</v>
      </c>
    </row>
    <row r="2898" spans="1:7" x14ac:dyDescent="0.25">
      <c r="A2898" s="1" t="s">
        <v>3021</v>
      </c>
      <c r="B2898" s="76">
        <v>70.570976000000002</v>
      </c>
      <c r="C2898" s="76">
        <v>70.966048999999998</v>
      </c>
      <c r="D2898" s="76">
        <v>70.417343000000002</v>
      </c>
      <c r="E2898" s="76">
        <v>70.929466000000005</v>
      </c>
      <c r="F2898" s="76">
        <v>57.033301999999999</v>
      </c>
      <c r="G2898" s="79">
        <v>1435900</v>
      </c>
    </row>
    <row r="2899" spans="1:7" x14ac:dyDescent="0.25">
      <c r="A2899" s="1" t="s">
        <v>3022</v>
      </c>
      <c r="B2899" s="76">
        <v>69.905212000000006</v>
      </c>
      <c r="C2899" s="76">
        <v>70.731933999999995</v>
      </c>
      <c r="D2899" s="76">
        <v>69.795470999999907</v>
      </c>
      <c r="E2899" s="76">
        <v>70.666083999999998</v>
      </c>
      <c r="F2899" s="76">
        <v>56.821548</v>
      </c>
      <c r="G2899" s="79">
        <v>901400</v>
      </c>
    </row>
    <row r="2900" spans="1:7" x14ac:dyDescent="0.25">
      <c r="A2900" s="1" t="s">
        <v>3023</v>
      </c>
      <c r="B2900" s="76">
        <v>69.766204999999999</v>
      </c>
      <c r="C2900" s="76">
        <v>70.029587000000006</v>
      </c>
      <c r="D2900" s="76">
        <v>69.019965999999997</v>
      </c>
      <c r="E2900" s="76">
        <v>69.202872999999997</v>
      </c>
      <c r="F2900" s="76">
        <v>55.644989000000002</v>
      </c>
      <c r="G2900" s="79">
        <v>1196100</v>
      </c>
    </row>
    <row r="2901" spans="1:7" x14ac:dyDescent="0.25">
      <c r="A2901" s="1" t="s">
        <v>3024</v>
      </c>
      <c r="B2901" s="76">
        <v>68.829750000000004</v>
      </c>
      <c r="C2901" s="76">
        <v>70.285651999999999</v>
      </c>
      <c r="D2901" s="76">
        <v>68.800483999999997</v>
      </c>
      <c r="E2901" s="76">
        <v>69.071181999999993</v>
      </c>
      <c r="F2901" s="76">
        <v>55.539093000000001</v>
      </c>
      <c r="G2901" s="79">
        <v>1651400</v>
      </c>
    </row>
    <row r="2902" spans="1:7" x14ac:dyDescent="0.25">
      <c r="A2902" s="1" t="s">
        <v>3025</v>
      </c>
      <c r="B2902" s="76">
        <v>69.400406000000004</v>
      </c>
      <c r="C2902" s="76">
        <v>69.502831</v>
      </c>
      <c r="D2902" s="76">
        <v>67.578696999999906</v>
      </c>
      <c r="E2902" s="76">
        <v>67.754288000000003</v>
      </c>
      <c r="F2902" s="76">
        <v>54.480198000000001</v>
      </c>
      <c r="G2902" s="79">
        <v>2061100</v>
      </c>
    </row>
    <row r="2903" spans="1:7" x14ac:dyDescent="0.25">
      <c r="A2903" s="1" t="s">
        <v>3026</v>
      </c>
      <c r="B2903" s="76">
        <v>68.127403000000001</v>
      </c>
      <c r="C2903" s="76">
        <v>68.471260000000001</v>
      </c>
      <c r="D2903" s="76">
        <v>67.366530999999995</v>
      </c>
      <c r="E2903" s="76">
        <v>67.600646999999995</v>
      </c>
      <c r="F2903" s="76">
        <v>54.356655000000003</v>
      </c>
      <c r="G2903" s="79">
        <v>1307500</v>
      </c>
    </row>
    <row r="2904" spans="1:7" x14ac:dyDescent="0.25">
      <c r="A2904" s="1" t="s">
        <v>3027</v>
      </c>
      <c r="B2904" s="76">
        <v>68.046927999999994</v>
      </c>
      <c r="C2904" s="76">
        <v>68.493209999999905</v>
      </c>
      <c r="D2904" s="76">
        <v>67.454323000000002</v>
      </c>
      <c r="E2904" s="76">
        <v>68.420051999999998</v>
      </c>
      <c r="F2904" s="76">
        <v>55.015518</v>
      </c>
      <c r="G2904" s="79">
        <v>1400500</v>
      </c>
    </row>
    <row r="2905" spans="1:7" x14ac:dyDescent="0.25">
      <c r="A2905" s="1" t="s">
        <v>3028</v>
      </c>
      <c r="B2905" s="76">
        <v>68.229827999999998</v>
      </c>
      <c r="C2905" s="76">
        <v>68.229827999999998</v>
      </c>
      <c r="D2905" s="76">
        <v>66.839775000000003</v>
      </c>
      <c r="E2905" s="76">
        <v>67.542113999999998</v>
      </c>
      <c r="F2905" s="76">
        <v>54.309581999999899</v>
      </c>
      <c r="G2905" s="79">
        <v>1210800</v>
      </c>
    </row>
    <row r="2906" spans="1:7" x14ac:dyDescent="0.25">
      <c r="A2906" s="1" t="s">
        <v>3029</v>
      </c>
      <c r="B2906" s="76">
        <v>67.805495999999906</v>
      </c>
      <c r="C2906" s="76">
        <v>68.793166999999997</v>
      </c>
      <c r="D2906" s="76">
        <v>67.337265000000002</v>
      </c>
      <c r="E2906" s="76">
        <v>68.683425999999997</v>
      </c>
      <c r="F2906" s="76">
        <v>55.227317999999997</v>
      </c>
      <c r="G2906" s="79">
        <v>1284400</v>
      </c>
    </row>
    <row r="2907" spans="1:7" x14ac:dyDescent="0.25">
      <c r="A2907" s="1" t="s">
        <v>3030</v>
      </c>
      <c r="B2907" s="76">
        <v>68.8078</v>
      </c>
      <c r="C2907" s="76">
        <v>70.073486000000003</v>
      </c>
      <c r="D2907" s="76">
        <v>68.573684999999998</v>
      </c>
      <c r="E2907" s="76">
        <v>69.934478999999996</v>
      </c>
      <c r="F2907" s="76">
        <v>56.233249999999998</v>
      </c>
      <c r="G2907" s="79">
        <v>1855900</v>
      </c>
    </row>
    <row r="2908" spans="1:7" x14ac:dyDescent="0.25">
      <c r="A2908" s="1" t="s">
        <v>3031</v>
      </c>
      <c r="B2908" s="76">
        <v>70.461235000000002</v>
      </c>
      <c r="C2908" s="76">
        <v>71.405013999999994</v>
      </c>
      <c r="D2908" s="76">
        <v>70.358809999999906</v>
      </c>
      <c r="E2908" s="76">
        <v>71.163581999999906</v>
      </c>
      <c r="F2908" s="76">
        <v>57.221557999999902</v>
      </c>
      <c r="G2908" s="79">
        <v>1926800</v>
      </c>
    </row>
    <row r="2909" spans="1:7" x14ac:dyDescent="0.25">
      <c r="A2909" s="1" t="s">
        <v>3032</v>
      </c>
      <c r="B2909" s="76">
        <v>71.134315000000001</v>
      </c>
      <c r="C2909" s="76">
        <v>72.260993999999997</v>
      </c>
      <c r="D2909" s="76">
        <v>70.870941000000002</v>
      </c>
      <c r="E2909" s="76">
        <v>72.136619999999994</v>
      </c>
      <c r="F2909" s="76">
        <v>58.003962999999999</v>
      </c>
      <c r="G2909" s="79">
        <v>1560600</v>
      </c>
    </row>
    <row r="2910" spans="1:7" x14ac:dyDescent="0.25">
      <c r="A2910" s="1" t="s">
        <v>3033</v>
      </c>
      <c r="B2910" s="76">
        <v>71.317222999999998</v>
      </c>
      <c r="C2910" s="76">
        <v>71.522071999999994</v>
      </c>
      <c r="D2910" s="76">
        <v>71.017257999999998</v>
      </c>
      <c r="E2910" s="76">
        <v>71.061156999999994</v>
      </c>
      <c r="F2910" s="76">
        <v>57.139201999999997</v>
      </c>
      <c r="G2910" s="79">
        <v>1463600</v>
      </c>
    </row>
    <row r="2911" spans="1:7" x14ac:dyDescent="0.25">
      <c r="A2911" s="1" t="s">
        <v>3034</v>
      </c>
      <c r="B2911" s="76">
        <v>71.002624999999995</v>
      </c>
      <c r="C2911" s="76">
        <v>71.061156999999994</v>
      </c>
      <c r="D2911" s="76">
        <v>70.271018999999995</v>
      </c>
      <c r="E2911" s="76">
        <v>70.797775000000001</v>
      </c>
      <c r="F2911" s="76">
        <v>56.927409999999902</v>
      </c>
      <c r="G2911" s="79">
        <v>1224600</v>
      </c>
    </row>
    <row r="2912" spans="1:7" x14ac:dyDescent="0.25">
      <c r="A2912" s="1" t="s">
        <v>3035</v>
      </c>
      <c r="B2912" s="76">
        <v>70.658767999999995</v>
      </c>
      <c r="C2912" s="76">
        <v>70.658767999999995</v>
      </c>
      <c r="D2912" s="76">
        <v>68.610268000000005</v>
      </c>
      <c r="E2912" s="76">
        <v>68.654160000000005</v>
      </c>
      <c r="F2912" s="76">
        <v>55.203772999999998</v>
      </c>
      <c r="G2912" s="79">
        <v>1987600</v>
      </c>
    </row>
    <row r="2913" spans="1:7" x14ac:dyDescent="0.25">
      <c r="A2913" s="1" t="s">
        <v>3036</v>
      </c>
      <c r="B2913" s="76">
        <v>68.895591999999994</v>
      </c>
      <c r="C2913" s="76">
        <v>69.173606999999905</v>
      </c>
      <c r="D2913" s="76">
        <v>67.673805000000002</v>
      </c>
      <c r="E2913" s="76">
        <v>68.566367999999997</v>
      </c>
      <c r="F2913" s="76">
        <v>55.133193999999897</v>
      </c>
      <c r="G2913" s="79">
        <v>1058400</v>
      </c>
    </row>
    <row r="2914" spans="1:7" x14ac:dyDescent="0.25">
      <c r="A2914" s="1" t="s">
        <v>3037</v>
      </c>
      <c r="B2914" s="76">
        <v>68.178618999999998</v>
      </c>
      <c r="C2914" s="76">
        <v>68.771216999999993</v>
      </c>
      <c r="D2914" s="76">
        <v>67.051940999999999</v>
      </c>
      <c r="E2914" s="76">
        <v>68.441993999999994</v>
      </c>
      <c r="F2914" s="76">
        <v>55.033168999999901</v>
      </c>
      <c r="G2914" s="79">
        <v>1615200</v>
      </c>
    </row>
    <row r="2915" spans="1:7" x14ac:dyDescent="0.25">
      <c r="A2915" s="1" t="s">
        <v>3038</v>
      </c>
      <c r="B2915" s="76">
        <v>69.319930999999997</v>
      </c>
      <c r="C2915" s="76">
        <v>69.561356000000004</v>
      </c>
      <c r="D2915" s="76">
        <v>66.686133999999996</v>
      </c>
      <c r="E2915" s="76">
        <v>67.534805000000006</v>
      </c>
      <c r="F2915" s="76">
        <v>54.303714999999997</v>
      </c>
      <c r="G2915" s="79">
        <v>2316700</v>
      </c>
    </row>
    <row r="2916" spans="1:7" x14ac:dyDescent="0.25">
      <c r="A2916" s="1" t="s">
        <v>3039</v>
      </c>
      <c r="B2916" s="76">
        <v>67.271422999999999</v>
      </c>
      <c r="C2916" s="76">
        <v>67.337265000000002</v>
      </c>
      <c r="D2916" s="76">
        <v>63.993816000000002</v>
      </c>
      <c r="E2916" s="76">
        <v>64.088927999999996</v>
      </c>
      <c r="F2916" s="76">
        <v>51.532940000000004</v>
      </c>
      <c r="G2916" s="79">
        <v>2431900</v>
      </c>
    </row>
    <row r="2917" spans="1:7" x14ac:dyDescent="0.25">
      <c r="A2917" s="1" t="s">
        <v>3040</v>
      </c>
      <c r="B2917" s="76">
        <v>64.125504000000006</v>
      </c>
      <c r="C2917" s="76">
        <v>64.213295000000002</v>
      </c>
      <c r="D2917" s="76">
        <v>61.894100000000002</v>
      </c>
      <c r="E2917" s="76">
        <v>63.664593000000004</v>
      </c>
      <c r="F2917" s="76">
        <v>51.191733999999997</v>
      </c>
      <c r="G2917" s="79">
        <v>2726800</v>
      </c>
    </row>
    <row r="2918" spans="1:7" x14ac:dyDescent="0.25">
      <c r="A2918" s="1" t="s">
        <v>3041</v>
      </c>
      <c r="B2918" s="76">
        <v>62.786662999999997</v>
      </c>
      <c r="C2918" s="76">
        <v>63.101253999999997</v>
      </c>
      <c r="D2918" s="76">
        <v>60.672314</v>
      </c>
      <c r="E2918" s="76">
        <v>60.804001</v>
      </c>
      <c r="F2918" s="76">
        <v>48.891582</v>
      </c>
      <c r="G2918" s="79">
        <v>3032800</v>
      </c>
    </row>
    <row r="2919" spans="1:7" x14ac:dyDescent="0.25">
      <c r="A2919" s="1" t="s">
        <v>3042</v>
      </c>
      <c r="B2919" s="76">
        <v>61.769725999999999</v>
      </c>
      <c r="C2919" s="76">
        <v>61.806305000000002</v>
      </c>
      <c r="D2919" s="76">
        <v>58.696967999999998</v>
      </c>
      <c r="E2919" s="76">
        <v>59.099353999999998</v>
      </c>
      <c r="F2919" s="76">
        <v>47.520896999999998</v>
      </c>
      <c r="G2919" s="79">
        <v>4219800</v>
      </c>
    </row>
    <row r="2920" spans="1:7" x14ac:dyDescent="0.25">
      <c r="A2920" s="1" t="s">
        <v>3043</v>
      </c>
      <c r="B2920" s="76">
        <v>57.402019999999901</v>
      </c>
      <c r="C2920" s="76">
        <v>57.599556</v>
      </c>
      <c r="D2920" s="76">
        <v>53.297694999999997</v>
      </c>
      <c r="E2920" s="76">
        <v>53.312328000000001</v>
      </c>
      <c r="F2920" s="76">
        <v>43.236946000000003</v>
      </c>
      <c r="G2920" s="79">
        <v>4992400</v>
      </c>
    </row>
    <row r="2921" spans="1:7" x14ac:dyDescent="0.25">
      <c r="A2921" s="1" t="s">
        <v>3044</v>
      </c>
      <c r="B2921" s="76">
        <v>54.007354999999997</v>
      </c>
      <c r="C2921" s="76">
        <v>58.228740999999999</v>
      </c>
      <c r="D2921" s="76">
        <v>53.509861000000001</v>
      </c>
      <c r="E2921" s="76">
        <v>58.155579000000003</v>
      </c>
      <c r="F2921" s="76">
        <v>47.164893999999997</v>
      </c>
      <c r="G2921" s="79">
        <v>4958800</v>
      </c>
    </row>
    <row r="2922" spans="1:7" x14ac:dyDescent="0.25">
      <c r="A2922" s="1" t="s">
        <v>3045</v>
      </c>
      <c r="B2922" s="76">
        <v>56.992320999999997</v>
      </c>
      <c r="C2922" s="76">
        <v>59.428576999999997</v>
      </c>
      <c r="D2922" s="76">
        <v>55.916854999999998</v>
      </c>
      <c r="E2922" s="76">
        <v>56.706992999999997</v>
      </c>
      <c r="F2922" s="76">
        <v>45.990062999999999</v>
      </c>
      <c r="G2922" s="79">
        <v>4418300</v>
      </c>
    </row>
    <row r="2923" spans="1:7" x14ac:dyDescent="0.25">
      <c r="A2923" s="1" t="s">
        <v>3046</v>
      </c>
      <c r="B2923" s="76">
        <v>57.087429</v>
      </c>
      <c r="C2923" s="76">
        <v>61.250281999999899</v>
      </c>
      <c r="D2923" s="76">
        <v>56.575302000000001</v>
      </c>
      <c r="E2923" s="76">
        <v>60.021178999999997</v>
      </c>
      <c r="F2923" s="76">
        <v>48.677909999999997</v>
      </c>
      <c r="G2923" s="79">
        <v>4019600</v>
      </c>
    </row>
    <row r="2924" spans="1:7" x14ac:dyDescent="0.25">
      <c r="A2924" s="1" t="s">
        <v>3047</v>
      </c>
      <c r="B2924" s="76">
        <v>60.072392000000001</v>
      </c>
      <c r="C2924" s="76">
        <v>61.542926999999999</v>
      </c>
      <c r="D2924" s="76">
        <v>59.604163999999997</v>
      </c>
      <c r="E2924" s="76">
        <v>60.438198</v>
      </c>
      <c r="F2924" s="76">
        <v>49.016128999999999</v>
      </c>
      <c r="G2924" s="79">
        <v>2083600</v>
      </c>
    </row>
    <row r="2925" spans="1:7" x14ac:dyDescent="0.25">
      <c r="A2925" s="1" t="s">
        <v>3048</v>
      </c>
      <c r="B2925" s="76">
        <v>60.928375000000003</v>
      </c>
      <c r="C2925" s="76">
        <v>62.472068999999998</v>
      </c>
      <c r="D2925" s="76">
        <v>60.730843</v>
      </c>
      <c r="E2925" s="76">
        <v>62.420856000000001</v>
      </c>
      <c r="F2925" s="76">
        <v>50.624080999999997</v>
      </c>
      <c r="G2925" s="79">
        <v>1775200</v>
      </c>
    </row>
    <row r="2926" spans="1:7" x14ac:dyDescent="0.25">
      <c r="A2926" s="1" t="s">
        <v>3049</v>
      </c>
      <c r="B2926" s="76">
        <v>61.630718000000002</v>
      </c>
      <c r="C2926" s="76">
        <v>62.435490000000001</v>
      </c>
      <c r="D2926" s="76">
        <v>61.038116000000002</v>
      </c>
      <c r="E2926" s="76">
        <v>61.608771999999902</v>
      </c>
      <c r="F2926" s="76">
        <v>49.965472999999903</v>
      </c>
      <c r="G2926" s="79">
        <v>1679500</v>
      </c>
    </row>
    <row r="2927" spans="1:7" x14ac:dyDescent="0.25">
      <c r="A2927" s="1" t="s">
        <v>3050</v>
      </c>
      <c r="B2927" s="76">
        <v>62.040420999999903</v>
      </c>
      <c r="C2927" s="76">
        <v>62.786662999999997</v>
      </c>
      <c r="D2927" s="76">
        <v>61.535609999999998</v>
      </c>
      <c r="E2927" s="76">
        <v>62.084316000000001</v>
      </c>
      <c r="F2927" s="76">
        <v>50.351143</v>
      </c>
      <c r="G2927" s="79">
        <v>1709000</v>
      </c>
    </row>
    <row r="2928" spans="1:7" x14ac:dyDescent="0.25">
      <c r="A2928" s="1" t="s">
        <v>3051</v>
      </c>
      <c r="B2928" s="76">
        <v>60.445515</v>
      </c>
      <c r="C2928" s="76">
        <v>60.767421999999897</v>
      </c>
      <c r="D2928" s="76">
        <v>58.418956999999899</v>
      </c>
      <c r="E2928" s="76">
        <v>59.106669999999902</v>
      </c>
      <c r="F2928" s="76">
        <v>47.936236999999998</v>
      </c>
      <c r="G2928" s="79">
        <v>3314500</v>
      </c>
    </row>
    <row r="2929" spans="1:7" x14ac:dyDescent="0.25">
      <c r="A2929" s="1" t="s">
        <v>3052</v>
      </c>
      <c r="B2929" s="76">
        <v>58.323848999999903</v>
      </c>
      <c r="C2929" s="76">
        <v>59.501739999999998</v>
      </c>
      <c r="D2929" s="76">
        <v>57.599556</v>
      </c>
      <c r="E2929" s="76">
        <v>57.811721999999897</v>
      </c>
      <c r="F2929" s="76">
        <v>46.886012999999998</v>
      </c>
      <c r="G2929" s="79">
        <v>2246800</v>
      </c>
    </row>
    <row r="2930" spans="1:7" x14ac:dyDescent="0.25">
      <c r="A2930" s="1" t="s">
        <v>3053</v>
      </c>
      <c r="B2930" s="76">
        <v>59.179828999999998</v>
      </c>
      <c r="C2930" s="76">
        <v>59.179828999999998</v>
      </c>
      <c r="D2930" s="76">
        <v>56.663097</v>
      </c>
      <c r="E2930" s="76">
        <v>57.592238999999999</v>
      </c>
      <c r="F2930" s="76">
        <v>46.708011999999997</v>
      </c>
      <c r="G2930" s="79">
        <v>2307700</v>
      </c>
    </row>
    <row r="2931" spans="1:7" x14ac:dyDescent="0.25">
      <c r="A2931" s="1" t="s">
        <v>3054</v>
      </c>
      <c r="B2931" s="76">
        <v>57.701981000000004</v>
      </c>
      <c r="C2931" s="76">
        <v>59.070087000000001</v>
      </c>
      <c r="D2931" s="76">
        <v>57.109378999999997</v>
      </c>
      <c r="E2931" s="76">
        <v>59.070087000000001</v>
      </c>
      <c r="F2931" s="76">
        <v>47.906562999999998</v>
      </c>
      <c r="G2931" s="79">
        <v>2103000</v>
      </c>
    </row>
    <row r="2932" spans="1:7" x14ac:dyDescent="0.25">
      <c r="A2932" s="1" t="s">
        <v>3055</v>
      </c>
      <c r="B2932" s="76">
        <v>58.901817000000001</v>
      </c>
      <c r="C2932" s="76">
        <v>59.991917000000001</v>
      </c>
      <c r="D2932" s="76">
        <v>57.884884</v>
      </c>
      <c r="E2932" s="76">
        <v>59.794379999999997</v>
      </c>
      <c r="F2932" s="76">
        <v>48.493983999999998</v>
      </c>
      <c r="G2932" s="79">
        <v>2151800</v>
      </c>
    </row>
    <row r="2933" spans="1:7" x14ac:dyDescent="0.25">
      <c r="A2933" s="1" t="s">
        <v>3056</v>
      </c>
      <c r="B2933" s="76">
        <v>59.794379999999997</v>
      </c>
      <c r="C2933" s="76">
        <v>60.833266999999999</v>
      </c>
      <c r="D2933" s="76">
        <v>58.448222999999999</v>
      </c>
      <c r="E2933" s="76">
        <v>59.135932999999902</v>
      </c>
      <c r="F2933" s="76">
        <v>47.959964999999997</v>
      </c>
      <c r="G2933" s="79">
        <v>2591600</v>
      </c>
    </row>
    <row r="2934" spans="1:7" x14ac:dyDescent="0.25">
      <c r="A2934" s="1" t="s">
        <v>3057</v>
      </c>
      <c r="B2934" s="76">
        <v>58.499434999999998</v>
      </c>
      <c r="C2934" s="76">
        <v>59.991917000000001</v>
      </c>
      <c r="D2934" s="76">
        <v>57.314228</v>
      </c>
      <c r="E2934" s="76">
        <v>59.911437999999997</v>
      </c>
      <c r="F2934" s="76">
        <v>48.588916999999903</v>
      </c>
      <c r="G2934" s="79">
        <v>1979300</v>
      </c>
    </row>
    <row r="2935" spans="1:7" x14ac:dyDescent="0.25">
      <c r="A2935" s="1" t="s">
        <v>3058</v>
      </c>
      <c r="B2935" s="76">
        <v>60.796683999999999</v>
      </c>
      <c r="C2935" s="76">
        <v>61.616089000000002</v>
      </c>
      <c r="D2935" s="76">
        <v>60.445515</v>
      </c>
      <c r="E2935" s="76">
        <v>61.550243000000002</v>
      </c>
      <c r="F2935" s="76">
        <v>49.918002999999999</v>
      </c>
      <c r="G2935" s="79">
        <v>1797200</v>
      </c>
    </row>
    <row r="2936" spans="1:7" x14ac:dyDescent="0.25">
      <c r="A2936" s="1" t="s">
        <v>3059</v>
      </c>
      <c r="B2936" s="76">
        <v>61.316127999999999</v>
      </c>
      <c r="C2936" s="76">
        <v>62.552546999999997</v>
      </c>
      <c r="D2936" s="76">
        <v>60.438198</v>
      </c>
      <c r="E2936" s="76">
        <v>62.216006999999998</v>
      </c>
      <c r="F2936" s="76">
        <v>50.457951000000001</v>
      </c>
      <c r="G2936" s="79">
        <v>1940500</v>
      </c>
    </row>
    <row r="2937" spans="1:7" x14ac:dyDescent="0.25">
      <c r="A2937" s="1" t="s">
        <v>3060</v>
      </c>
      <c r="B2937" s="76">
        <v>62.515965000000001</v>
      </c>
      <c r="C2937" s="76">
        <v>63.1597819999999</v>
      </c>
      <c r="D2937" s="76">
        <v>61.784358999999903</v>
      </c>
      <c r="E2937" s="76">
        <v>62.852505000000001</v>
      </c>
      <c r="F2937" s="76">
        <v>50.974154999999897</v>
      </c>
      <c r="G2937" s="79">
        <v>2195900</v>
      </c>
    </row>
    <row r="2938" spans="1:7" x14ac:dyDescent="0.25">
      <c r="A2938" s="1" t="s">
        <v>3061</v>
      </c>
      <c r="B2938" s="76">
        <v>63.064673999999997</v>
      </c>
      <c r="C2938" s="76">
        <v>63.371947999999897</v>
      </c>
      <c r="D2938" s="76">
        <v>62.011153999999998</v>
      </c>
      <c r="E2938" s="76">
        <v>62.450122999999998</v>
      </c>
      <c r="F2938" s="76">
        <v>50.647815999999999</v>
      </c>
      <c r="G2938" s="79">
        <v>2968900</v>
      </c>
    </row>
    <row r="2939" spans="1:7" x14ac:dyDescent="0.25">
      <c r="A2939" s="1" t="s">
        <v>3062</v>
      </c>
      <c r="B2939" s="76">
        <v>60.716208999999999</v>
      </c>
      <c r="C2939" s="76">
        <v>62.186740999999998</v>
      </c>
      <c r="D2939" s="76">
        <v>60.591834999999897</v>
      </c>
      <c r="E2939" s="76">
        <v>61.250281999999899</v>
      </c>
      <c r="F2939" s="76">
        <v>49.674731999999999</v>
      </c>
      <c r="G2939" s="79">
        <v>3046700</v>
      </c>
    </row>
    <row r="2940" spans="1:7" x14ac:dyDescent="0.25">
      <c r="A2940" s="1" t="s">
        <v>3063</v>
      </c>
      <c r="B2940" s="76">
        <v>60.006549999999997</v>
      </c>
      <c r="C2940" s="76">
        <v>61.777042000000002</v>
      </c>
      <c r="D2940" s="76">
        <v>59.9846</v>
      </c>
      <c r="E2940" s="76">
        <v>61.184437000000003</v>
      </c>
      <c r="F2940" s="76">
        <v>49.621326000000003</v>
      </c>
      <c r="G2940" s="79">
        <v>3498200</v>
      </c>
    </row>
    <row r="2941" spans="1:7" x14ac:dyDescent="0.25">
      <c r="A2941" s="1" t="s">
        <v>3064</v>
      </c>
      <c r="B2941" s="76">
        <v>62.216006999999998</v>
      </c>
      <c r="C2941" s="76">
        <v>63.620697</v>
      </c>
      <c r="D2941" s="76">
        <v>60.979588</v>
      </c>
      <c r="E2941" s="76">
        <v>63.525585</v>
      </c>
      <c r="F2941" s="76">
        <v>51.520022999999902</v>
      </c>
      <c r="G2941" s="79">
        <v>2812100</v>
      </c>
    </row>
    <row r="2942" spans="1:7" x14ac:dyDescent="0.25">
      <c r="A2942" s="1" t="s">
        <v>3065</v>
      </c>
      <c r="B2942" s="76">
        <v>62.837874999999997</v>
      </c>
      <c r="C2942" s="76">
        <v>63.657276000000003</v>
      </c>
      <c r="D2942" s="76">
        <v>62.625706000000001</v>
      </c>
      <c r="E2942" s="76">
        <v>62.859820999999997</v>
      </c>
      <c r="F2942" s="76">
        <v>50.980086999999997</v>
      </c>
      <c r="G2942" s="79">
        <v>2028800</v>
      </c>
    </row>
    <row r="2943" spans="1:7" x14ac:dyDescent="0.25">
      <c r="A2943" s="1" t="s">
        <v>3066</v>
      </c>
      <c r="B2943" s="76">
        <v>62.076999999999998</v>
      </c>
      <c r="C2943" s="76">
        <v>62.486702000000001</v>
      </c>
      <c r="D2943" s="76">
        <v>59.721221999999997</v>
      </c>
      <c r="E2943" s="76">
        <v>60.065075</v>
      </c>
      <c r="F2943" s="76">
        <v>48.713509000000002</v>
      </c>
      <c r="G2943" s="79">
        <v>2748500</v>
      </c>
    </row>
    <row r="2944" spans="1:7" x14ac:dyDescent="0.25">
      <c r="A2944" s="1" t="s">
        <v>3067</v>
      </c>
      <c r="B2944" s="76">
        <v>59.487105999999997</v>
      </c>
      <c r="C2944" s="76">
        <v>60.994220999999897</v>
      </c>
      <c r="D2944" s="76">
        <v>59.296886000000001</v>
      </c>
      <c r="E2944" s="76">
        <v>60.899108999999903</v>
      </c>
      <c r="F2944" s="76">
        <v>49.389927</v>
      </c>
      <c r="G2944" s="79">
        <v>2965600</v>
      </c>
    </row>
    <row r="2945" spans="1:7" x14ac:dyDescent="0.25">
      <c r="A2945" s="1" t="s">
        <v>3068</v>
      </c>
      <c r="B2945" s="76">
        <v>61.242966000000003</v>
      </c>
      <c r="C2945" s="76">
        <v>62.011153999999998</v>
      </c>
      <c r="D2945" s="76">
        <v>60.540622999999997</v>
      </c>
      <c r="E2945" s="76">
        <v>61.528293999999903</v>
      </c>
      <c r="F2945" s="76">
        <v>49.900199999999998</v>
      </c>
      <c r="G2945" s="79">
        <v>2661700</v>
      </c>
    </row>
    <row r="2946" spans="1:7" x14ac:dyDescent="0.25">
      <c r="A2946" s="1" t="s">
        <v>3069</v>
      </c>
      <c r="B2946" s="76">
        <v>61.894100000000002</v>
      </c>
      <c r="C2946" s="76">
        <v>62.216006999999998</v>
      </c>
      <c r="D2946" s="76">
        <v>60.738154999999999</v>
      </c>
      <c r="E2946" s="76">
        <v>61.696564000000002</v>
      </c>
      <c r="F2946" s="76">
        <v>50.036673999999998</v>
      </c>
      <c r="G2946" s="79">
        <v>2121600</v>
      </c>
    </row>
    <row r="2947" spans="1:7" x14ac:dyDescent="0.25">
      <c r="A2947" s="1" t="s">
        <v>3070</v>
      </c>
      <c r="B2947" s="76">
        <v>62.450122999999998</v>
      </c>
      <c r="C2947" s="76">
        <v>63.269523999999997</v>
      </c>
      <c r="D2947" s="76">
        <v>61.850200999999998</v>
      </c>
      <c r="E2947" s="76">
        <v>63.145148999999897</v>
      </c>
      <c r="F2947" s="76">
        <v>51.211490999999903</v>
      </c>
      <c r="G2947" s="79">
        <v>2464100</v>
      </c>
    </row>
    <row r="2948" spans="1:7" x14ac:dyDescent="0.25">
      <c r="A2948" s="1" t="s">
        <v>3071</v>
      </c>
      <c r="B2948" s="76">
        <v>63.364631999999901</v>
      </c>
      <c r="C2948" s="76">
        <v>63.832863000000003</v>
      </c>
      <c r="D2948" s="76">
        <v>61.945312999999999</v>
      </c>
      <c r="E2948" s="76">
        <v>62.925666999999997</v>
      </c>
      <c r="F2948" s="76">
        <v>51.033484999999999</v>
      </c>
      <c r="G2948" s="79">
        <v>7653800</v>
      </c>
    </row>
    <row r="2949" spans="1:7" x14ac:dyDescent="0.25">
      <c r="A2949" s="1" t="s">
        <v>3072</v>
      </c>
      <c r="B2949" s="76">
        <v>61.872149999999998</v>
      </c>
      <c r="C2949" s="76">
        <v>62.303798999999998</v>
      </c>
      <c r="D2949" s="76">
        <v>60.943007999999999</v>
      </c>
      <c r="E2949" s="76">
        <v>61.023482999999999</v>
      </c>
      <c r="F2949" s="76">
        <v>49.490803</v>
      </c>
      <c r="G2949" s="79">
        <v>1957400</v>
      </c>
    </row>
    <row r="2950" spans="1:7" x14ac:dyDescent="0.25">
      <c r="A2950" s="1" t="s">
        <v>3073</v>
      </c>
      <c r="B2950" s="76">
        <v>61.330760999999903</v>
      </c>
      <c r="C2950" s="76">
        <v>61.733142999999998</v>
      </c>
      <c r="D2950" s="76">
        <v>60.635731</v>
      </c>
      <c r="E2950" s="76">
        <v>61.038116000000002</v>
      </c>
      <c r="F2950" s="76">
        <v>49.502665999999998</v>
      </c>
      <c r="G2950" s="79">
        <v>1552400</v>
      </c>
    </row>
    <row r="2951" spans="1:7" x14ac:dyDescent="0.25">
      <c r="A2951" s="1" t="s">
        <v>3074</v>
      </c>
      <c r="B2951" s="76">
        <v>60.86253</v>
      </c>
      <c r="C2951" s="76">
        <v>61.089328999999999</v>
      </c>
      <c r="D2951" s="76">
        <v>57.862933999999903</v>
      </c>
      <c r="E2951" s="76">
        <v>57.965358999999999</v>
      </c>
      <c r="F2951" s="76">
        <v>47.010624</v>
      </c>
      <c r="G2951" s="79">
        <v>2701100</v>
      </c>
    </row>
    <row r="2952" spans="1:7" x14ac:dyDescent="0.25">
      <c r="A2952" s="1" t="s">
        <v>3075</v>
      </c>
      <c r="B2952" s="76">
        <v>57.014266999999997</v>
      </c>
      <c r="C2952" s="76">
        <v>57.555659999999897</v>
      </c>
      <c r="D2952" s="76">
        <v>56.107075000000002</v>
      </c>
      <c r="E2952" s="76">
        <v>56.882579999999997</v>
      </c>
      <c r="F2952" s="76">
        <v>46.132472999999997</v>
      </c>
      <c r="G2952" s="79">
        <v>4049600</v>
      </c>
    </row>
    <row r="2953" spans="1:7" x14ac:dyDescent="0.25">
      <c r="A2953" s="1" t="s">
        <v>3076</v>
      </c>
      <c r="B2953" s="76">
        <v>56.706992999999997</v>
      </c>
      <c r="C2953" s="76">
        <v>57.884884</v>
      </c>
      <c r="D2953" s="76">
        <v>56.048545999999902</v>
      </c>
      <c r="E2953" s="76">
        <v>57.482498</v>
      </c>
      <c r="F2953" s="76">
        <v>46.619014999999997</v>
      </c>
      <c r="G2953" s="79">
        <v>2608500</v>
      </c>
    </row>
    <row r="2954" spans="1:7" x14ac:dyDescent="0.25">
      <c r="A2954" s="1" t="s">
        <v>3077</v>
      </c>
      <c r="B2954" s="76">
        <v>57.482498</v>
      </c>
      <c r="C2954" s="76">
        <v>58.053153999999999</v>
      </c>
      <c r="D2954" s="76">
        <v>56.421664999999997</v>
      </c>
      <c r="E2954" s="76">
        <v>57.950729000000003</v>
      </c>
      <c r="F2954" s="76">
        <v>46.998756</v>
      </c>
      <c r="G2954" s="79">
        <v>1859800</v>
      </c>
    </row>
    <row r="2955" spans="1:7" x14ac:dyDescent="0.25">
      <c r="A2955" s="1" t="s">
        <v>3078</v>
      </c>
      <c r="B2955" s="76">
        <v>59.011558999999998</v>
      </c>
      <c r="C2955" s="76">
        <v>59.187144999999902</v>
      </c>
      <c r="D2955" s="76">
        <v>57.541027</v>
      </c>
      <c r="E2955" s="76">
        <v>57.797089</v>
      </c>
      <c r="F2955" s="76">
        <v>46.874148999999903</v>
      </c>
      <c r="G2955" s="79">
        <v>1981300</v>
      </c>
    </row>
    <row r="2956" spans="1:7" x14ac:dyDescent="0.25">
      <c r="A2956" s="1" t="s">
        <v>3079</v>
      </c>
      <c r="B2956" s="76">
        <v>58.104365999999999</v>
      </c>
      <c r="C2956" s="76">
        <v>58.660389000000002</v>
      </c>
      <c r="D2956" s="76">
        <v>56.472878000000001</v>
      </c>
      <c r="E2956" s="76">
        <v>56.582618999999902</v>
      </c>
      <c r="F2956" s="76">
        <v>45.889194000000003</v>
      </c>
      <c r="G2956" s="79">
        <v>2429300</v>
      </c>
    </row>
    <row r="2957" spans="1:7" x14ac:dyDescent="0.25">
      <c r="A2957" s="1" t="s">
        <v>3080</v>
      </c>
      <c r="B2957" s="76">
        <v>57.672718000000003</v>
      </c>
      <c r="C2957" s="76">
        <v>57.833672</v>
      </c>
      <c r="D2957" s="76">
        <v>56.253394999999998</v>
      </c>
      <c r="E2957" s="76">
        <v>56.831367</v>
      </c>
      <c r="F2957" s="76">
        <v>46.090938999999999</v>
      </c>
      <c r="G2957" s="79">
        <v>2704800</v>
      </c>
    </row>
    <row r="2958" spans="1:7" x14ac:dyDescent="0.25">
      <c r="A2958" s="1" t="s">
        <v>3081</v>
      </c>
      <c r="B2958" s="76">
        <v>56.194865999999998</v>
      </c>
      <c r="C2958" s="76">
        <v>57.153275000000001</v>
      </c>
      <c r="D2958" s="76">
        <v>54.5926439999999</v>
      </c>
      <c r="E2958" s="76">
        <v>54.5926439999999</v>
      </c>
      <c r="F2958" s="76">
        <v>44.275306999999998</v>
      </c>
      <c r="G2958" s="79">
        <v>2812200</v>
      </c>
    </row>
    <row r="2959" spans="1:7" x14ac:dyDescent="0.25">
      <c r="A2959" s="1" t="s">
        <v>3082</v>
      </c>
      <c r="B2959" s="76">
        <v>54.182941</v>
      </c>
      <c r="C2959" s="76">
        <v>54.797493000000003</v>
      </c>
      <c r="D2959" s="76">
        <v>51.585732</v>
      </c>
      <c r="E2959" s="76">
        <v>51.593047999999897</v>
      </c>
      <c r="F2959" s="76">
        <v>41.842601999999999</v>
      </c>
      <c r="G2959" s="79">
        <v>3558100</v>
      </c>
    </row>
    <row r="2960" spans="1:7" x14ac:dyDescent="0.25">
      <c r="A2960" s="1" t="s">
        <v>3083</v>
      </c>
      <c r="B2960" s="76">
        <v>50.905334000000003</v>
      </c>
      <c r="C2960" s="76">
        <v>53.195270999999998</v>
      </c>
      <c r="D2960" s="76">
        <v>50.210307999999998</v>
      </c>
      <c r="E2960" s="76">
        <v>52.741672999999999</v>
      </c>
      <c r="F2960" s="76">
        <v>42.774146999999999</v>
      </c>
      <c r="G2960" s="79">
        <v>4784000</v>
      </c>
    </row>
    <row r="2961" spans="1:7" x14ac:dyDescent="0.25">
      <c r="A2961" s="1" t="s">
        <v>3084</v>
      </c>
      <c r="B2961" s="76">
        <v>52.851413999999998</v>
      </c>
      <c r="C2961" s="76">
        <v>53.246482999999998</v>
      </c>
      <c r="D2961" s="76">
        <v>50.034720999999998</v>
      </c>
      <c r="E2961" s="76">
        <v>52.887996999999999</v>
      </c>
      <c r="F2961" s="76">
        <v>42.892821999999903</v>
      </c>
      <c r="G2961" s="79">
        <v>2663900</v>
      </c>
    </row>
    <row r="2962" spans="1:7" x14ac:dyDescent="0.25">
      <c r="A2962" s="1" t="s">
        <v>3085</v>
      </c>
      <c r="B2962" s="76">
        <v>52.844096999999998</v>
      </c>
      <c r="C2962" s="76">
        <v>53.802504999999996</v>
      </c>
      <c r="D2962" s="76">
        <v>51.768634999999897</v>
      </c>
      <c r="E2962" s="76">
        <v>53.700080999999997</v>
      </c>
      <c r="F2962" s="76">
        <v>43.551425999999999</v>
      </c>
      <c r="G2962" s="79">
        <v>3065400</v>
      </c>
    </row>
    <row r="2963" spans="1:7" x14ac:dyDescent="0.25">
      <c r="A2963" s="1" t="s">
        <v>3086</v>
      </c>
      <c r="B2963" s="76">
        <v>53.875667999999997</v>
      </c>
      <c r="C2963" s="76">
        <v>53.875667999999997</v>
      </c>
      <c r="D2963" s="76">
        <v>51.190661999999897</v>
      </c>
      <c r="E2963" s="76">
        <v>51.190661999999897</v>
      </c>
      <c r="F2963" s="76">
        <v>41.516258000000001</v>
      </c>
      <c r="G2963" s="79">
        <v>3745300</v>
      </c>
    </row>
    <row r="2964" spans="1:7" x14ac:dyDescent="0.25">
      <c r="A2964" s="1" t="s">
        <v>3087</v>
      </c>
      <c r="B2964" s="76">
        <v>52.339286999999999</v>
      </c>
      <c r="C2964" s="76">
        <v>54.285366000000003</v>
      </c>
      <c r="D2964" s="76">
        <v>52.127121000000002</v>
      </c>
      <c r="E2964" s="76">
        <v>54.263419999999897</v>
      </c>
      <c r="F2964" s="76">
        <v>44.008301000000003</v>
      </c>
      <c r="G2964" s="79">
        <v>2250100</v>
      </c>
    </row>
    <row r="2965" spans="1:7" x14ac:dyDescent="0.25">
      <c r="A2965" s="1" t="s">
        <v>3088</v>
      </c>
      <c r="B2965" s="76">
        <v>53.758609999999997</v>
      </c>
      <c r="C2965" s="76">
        <v>54.446323</v>
      </c>
      <c r="D2965" s="76">
        <v>53.048949999999998</v>
      </c>
      <c r="E2965" s="76">
        <v>53.626918999999901</v>
      </c>
      <c r="F2965" s="76">
        <v>43.492088000000003</v>
      </c>
      <c r="G2965" s="79">
        <v>1931100</v>
      </c>
    </row>
    <row r="2966" spans="1:7" x14ac:dyDescent="0.25">
      <c r="A2966" s="1" t="s">
        <v>3089</v>
      </c>
      <c r="B2966" s="76">
        <v>54.021988</v>
      </c>
      <c r="C2966" s="76">
        <v>55.097453999999999</v>
      </c>
      <c r="D2966" s="76">
        <v>53.429386000000001</v>
      </c>
      <c r="E2966" s="76">
        <v>54.460953000000003</v>
      </c>
      <c r="F2966" s="76">
        <v>44.168503000000001</v>
      </c>
      <c r="G2966" s="79">
        <v>2519400</v>
      </c>
    </row>
    <row r="2967" spans="1:7" x14ac:dyDescent="0.25">
      <c r="A2967" s="1" t="s">
        <v>3090</v>
      </c>
      <c r="B2967" s="76">
        <v>53.795189000000001</v>
      </c>
      <c r="C2967" s="76">
        <v>54.6731189999999</v>
      </c>
      <c r="D2967" s="76">
        <v>52.829467999999999</v>
      </c>
      <c r="E2967" s="76">
        <v>54.146361999999897</v>
      </c>
      <c r="F2967" s="76">
        <v>43.913353000000001</v>
      </c>
      <c r="G2967" s="79">
        <v>1903700</v>
      </c>
    </row>
    <row r="2968" spans="1:7" x14ac:dyDescent="0.25">
      <c r="A2968" s="1" t="s">
        <v>3091</v>
      </c>
      <c r="B2968" s="76">
        <v>54.826758999999903</v>
      </c>
      <c r="C2968" s="76">
        <v>55.858325999999998</v>
      </c>
      <c r="D2968" s="76">
        <v>54.475586</v>
      </c>
      <c r="E2968" s="76">
        <v>55.785164000000002</v>
      </c>
      <c r="F2968" s="76">
        <v>45.242455</v>
      </c>
      <c r="G2968" s="79">
        <v>2154600</v>
      </c>
    </row>
    <row r="2969" spans="1:7" x14ac:dyDescent="0.25">
      <c r="A2969" s="1" t="s">
        <v>3092</v>
      </c>
      <c r="B2969" s="76">
        <v>55.287669999999999</v>
      </c>
      <c r="C2969" s="76">
        <v>55.580314999999999</v>
      </c>
      <c r="D2969" s="76">
        <v>54.248787</v>
      </c>
      <c r="E2969" s="76">
        <v>54.395106999999904</v>
      </c>
      <c r="F2969" s="76">
        <v>44.115107999999999</v>
      </c>
      <c r="G2969" s="79">
        <v>2024800</v>
      </c>
    </row>
    <row r="2970" spans="1:7" x14ac:dyDescent="0.25">
      <c r="A2970" s="1" t="s">
        <v>3093</v>
      </c>
      <c r="B2970" s="76">
        <v>54.365844999999901</v>
      </c>
      <c r="C2970" s="76">
        <v>56.933791999999997</v>
      </c>
      <c r="D2970" s="76">
        <v>54.351211999999997</v>
      </c>
      <c r="E2970" s="76">
        <v>56.129020999999902</v>
      </c>
      <c r="F2970" s="76">
        <v>45.521320000000003</v>
      </c>
      <c r="G2970" s="79">
        <v>3016300</v>
      </c>
    </row>
    <row r="2971" spans="1:7" x14ac:dyDescent="0.25">
      <c r="A2971" s="1" t="s">
        <v>3094</v>
      </c>
      <c r="B2971" s="76">
        <v>56.019278999999997</v>
      </c>
      <c r="C2971" s="76">
        <v>56.282660999999997</v>
      </c>
      <c r="D2971" s="76">
        <v>54.877972</v>
      </c>
      <c r="E2971" s="76">
        <v>55.155982999999999</v>
      </c>
      <c r="F2971" s="76">
        <v>44.732185000000001</v>
      </c>
      <c r="G2971" s="79">
        <v>2372900</v>
      </c>
    </row>
    <row r="2972" spans="1:7" x14ac:dyDescent="0.25">
      <c r="A2972" s="1" t="s">
        <v>3095</v>
      </c>
      <c r="B2972" s="76">
        <v>55.302303000000002</v>
      </c>
      <c r="C2972" s="76">
        <v>56.114390999999998</v>
      </c>
      <c r="D2972" s="76">
        <v>54.439006999999997</v>
      </c>
      <c r="E2972" s="76">
        <v>56.063175000000001</v>
      </c>
      <c r="F2972" s="76">
        <v>45.467917999999997</v>
      </c>
      <c r="G2972" s="79">
        <v>2033600</v>
      </c>
    </row>
    <row r="2973" spans="1:7" x14ac:dyDescent="0.25">
      <c r="A2973" s="1" t="s">
        <v>3096</v>
      </c>
      <c r="B2973" s="76">
        <v>56.480193999999997</v>
      </c>
      <c r="C2973" s="76">
        <v>57.482498</v>
      </c>
      <c r="D2973" s="76">
        <v>56.414349000000001</v>
      </c>
      <c r="E2973" s="76">
        <v>57.431286</v>
      </c>
      <c r="F2973" s="76">
        <v>46.577472999999998</v>
      </c>
      <c r="G2973" s="79">
        <v>1875100</v>
      </c>
    </row>
    <row r="2974" spans="1:7" x14ac:dyDescent="0.25">
      <c r="A2974" s="1" t="s">
        <v>3097</v>
      </c>
      <c r="B2974" s="76">
        <v>57.475181999999997</v>
      </c>
      <c r="C2974" s="76">
        <v>59.194462000000001</v>
      </c>
      <c r="D2974" s="76">
        <v>57.314228</v>
      </c>
      <c r="E2974" s="76">
        <v>59.135932999999902</v>
      </c>
      <c r="F2974" s="76">
        <v>47.959964999999997</v>
      </c>
      <c r="G2974" s="79">
        <v>2313900</v>
      </c>
    </row>
    <row r="2975" spans="1:7" x14ac:dyDescent="0.25">
      <c r="A2975" s="1" t="s">
        <v>3098</v>
      </c>
      <c r="B2975" s="76">
        <v>58.528697999999999</v>
      </c>
      <c r="C2975" s="76">
        <v>58.835976000000002</v>
      </c>
      <c r="D2975" s="76">
        <v>57.819037999999999</v>
      </c>
      <c r="E2975" s="76">
        <v>58.001942</v>
      </c>
      <c r="F2975" s="76">
        <v>47.040295</v>
      </c>
      <c r="G2975" s="79">
        <v>2008900</v>
      </c>
    </row>
    <row r="2976" spans="1:7" x14ac:dyDescent="0.25">
      <c r="A2976" s="1" t="s">
        <v>3099</v>
      </c>
      <c r="B2976" s="76">
        <v>58.499434999999998</v>
      </c>
      <c r="C2976" s="76">
        <v>58.777446999999903</v>
      </c>
      <c r="D2976" s="76">
        <v>56.985004000000004</v>
      </c>
      <c r="E2976" s="76">
        <v>58.111682999999999</v>
      </c>
      <c r="F2976" s="76">
        <v>47.129292</v>
      </c>
      <c r="G2976" s="79">
        <v>2288000</v>
      </c>
    </row>
    <row r="2977" spans="1:7" x14ac:dyDescent="0.25">
      <c r="A2977" s="1" t="s">
        <v>3100</v>
      </c>
      <c r="B2977" s="76">
        <v>60.240662</v>
      </c>
      <c r="C2977" s="76">
        <v>60.950324999999999</v>
      </c>
      <c r="D2977" s="76">
        <v>59.333468999999901</v>
      </c>
      <c r="E2977" s="76">
        <v>60.482093999999996</v>
      </c>
      <c r="F2977" s="76">
        <v>49.051735000000001</v>
      </c>
      <c r="G2977" s="79">
        <v>3507000</v>
      </c>
    </row>
    <row r="2978" spans="1:7" x14ac:dyDescent="0.25">
      <c r="A2978" s="1" t="s">
        <v>3101</v>
      </c>
      <c r="B2978" s="76">
        <v>60.416247999999896</v>
      </c>
      <c r="C2978" s="76">
        <v>60.804001</v>
      </c>
      <c r="D2978" s="76">
        <v>59.816330000000001</v>
      </c>
      <c r="E2978" s="76">
        <v>60.804001</v>
      </c>
      <c r="F2978" s="76">
        <v>49.312804999999997</v>
      </c>
      <c r="G2978" s="79">
        <v>1824300</v>
      </c>
    </row>
    <row r="2979" spans="1:7" x14ac:dyDescent="0.25">
      <c r="A2979" s="1" t="s">
        <v>3102</v>
      </c>
      <c r="B2979" s="76">
        <v>59.809013</v>
      </c>
      <c r="C2979" s="76">
        <v>61.674618000000002</v>
      </c>
      <c r="D2979" s="76">
        <v>59.589531000000001</v>
      </c>
      <c r="E2979" s="76">
        <v>60.584518000000003</v>
      </c>
      <c r="F2979" s="76">
        <v>49.134791999999997</v>
      </c>
      <c r="G2979" s="79">
        <v>2067300</v>
      </c>
    </row>
    <row r="2980" spans="1:7" x14ac:dyDescent="0.25">
      <c r="A2980" s="1" t="s">
        <v>3103</v>
      </c>
      <c r="B2980" s="76">
        <v>58.543331000000002</v>
      </c>
      <c r="C2980" s="76">
        <v>59.794379999999997</v>
      </c>
      <c r="D2980" s="76">
        <v>58.192157999999999</v>
      </c>
      <c r="E2980" s="76">
        <v>58.214107999999896</v>
      </c>
      <c r="F2980" s="76">
        <v>47.212359999999997</v>
      </c>
      <c r="G2980" s="79">
        <v>2285700</v>
      </c>
    </row>
    <row r="2981" spans="1:7" x14ac:dyDescent="0.25">
      <c r="A2981" s="1" t="s">
        <v>3104</v>
      </c>
      <c r="B2981" s="76">
        <v>59.311519999999902</v>
      </c>
      <c r="C2981" s="76">
        <v>59.596848000000001</v>
      </c>
      <c r="D2981" s="76">
        <v>58.089732999999903</v>
      </c>
      <c r="E2981" s="76">
        <v>59.092036999999998</v>
      </c>
      <c r="F2981" s="76">
        <v>47.924365999999999</v>
      </c>
      <c r="G2981" s="79">
        <v>1901100</v>
      </c>
    </row>
    <row r="2982" spans="1:7" x14ac:dyDescent="0.25">
      <c r="A2982" s="1" t="s">
        <v>3105</v>
      </c>
      <c r="B2982" s="76">
        <v>60.013863000000001</v>
      </c>
      <c r="C2982" s="76">
        <v>60.547939</v>
      </c>
      <c r="D2982" s="76">
        <v>58.316531999999903</v>
      </c>
      <c r="E2982" s="76">
        <v>60.343086</v>
      </c>
      <c r="F2982" s="76">
        <v>48.938988000000002</v>
      </c>
      <c r="G2982" s="79">
        <v>1392700</v>
      </c>
    </row>
    <row r="2983" spans="1:7" x14ac:dyDescent="0.25">
      <c r="A2983" s="1" t="s">
        <v>3106</v>
      </c>
      <c r="B2983" s="76">
        <v>60.094341</v>
      </c>
      <c r="C2983" s="76">
        <v>60.094341</v>
      </c>
      <c r="D2983" s="76">
        <v>58.009253999999999</v>
      </c>
      <c r="E2983" s="76">
        <v>58.894505000000002</v>
      </c>
      <c r="F2983" s="76">
        <v>47.764167999999998</v>
      </c>
      <c r="G2983" s="79">
        <v>1951900</v>
      </c>
    </row>
    <row r="2984" spans="1:7" x14ac:dyDescent="0.25">
      <c r="A2984" s="1" t="s">
        <v>3107</v>
      </c>
      <c r="B2984" s="76">
        <v>58.828658999999902</v>
      </c>
      <c r="C2984" s="76">
        <v>59.574897999999997</v>
      </c>
      <c r="D2984" s="76">
        <v>58.360427999999999</v>
      </c>
      <c r="E2984" s="76">
        <v>59.545634999999997</v>
      </c>
      <c r="F2984" s="76">
        <v>48.292233000000003</v>
      </c>
      <c r="G2984" s="79">
        <v>1172100</v>
      </c>
    </row>
    <row r="2985" spans="1:7" x14ac:dyDescent="0.25">
      <c r="A2985" s="1" t="s">
        <v>3108</v>
      </c>
      <c r="B2985" s="76">
        <v>59.955333999999901</v>
      </c>
      <c r="C2985" s="76">
        <v>61.403918999999902</v>
      </c>
      <c r="D2985" s="76">
        <v>58.894505000000002</v>
      </c>
      <c r="E2985" s="76">
        <v>61.286864999999999</v>
      </c>
      <c r="F2985" s="76">
        <v>49.704394999999998</v>
      </c>
      <c r="G2985" s="79">
        <v>2118900</v>
      </c>
    </row>
    <row r="2986" spans="1:7" x14ac:dyDescent="0.25">
      <c r="A2986" s="1" t="s">
        <v>3109</v>
      </c>
      <c r="B2986" s="76">
        <v>59.611480999999998</v>
      </c>
      <c r="C2986" s="76">
        <v>59.860225999999997</v>
      </c>
      <c r="D2986" s="76">
        <v>57.804405000000003</v>
      </c>
      <c r="E2986" s="76">
        <v>58.038520999999903</v>
      </c>
      <c r="F2986" s="76">
        <v>47.460879999999896</v>
      </c>
      <c r="G2986" s="79">
        <v>2831700</v>
      </c>
    </row>
    <row r="2987" spans="1:7" x14ac:dyDescent="0.25">
      <c r="A2987" s="1" t="s">
        <v>3110</v>
      </c>
      <c r="B2987" s="76">
        <v>58.755496999999998</v>
      </c>
      <c r="C2987" s="76">
        <v>58.974978999999998</v>
      </c>
      <c r="D2987" s="76">
        <v>56.728943000000001</v>
      </c>
      <c r="E2987" s="76">
        <v>57.072795999999997</v>
      </c>
      <c r="F2987" s="76">
        <v>46.671157999999998</v>
      </c>
      <c r="G2987" s="79">
        <v>1875700</v>
      </c>
    </row>
    <row r="2988" spans="1:7" x14ac:dyDescent="0.25">
      <c r="A2988" s="1" t="s">
        <v>3111</v>
      </c>
      <c r="B2988" s="76">
        <v>57.877566999999999</v>
      </c>
      <c r="C2988" s="76">
        <v>58.645755999999999</v>
      </c>
      <c r="D2988" s="76">
        <v>57.584922999999897</v>
      </c>
      <c r="E2988" s="76">
        <v>58.514065000000002</v>
      </c>
      <c r="F2988" s="76">
        <v>47.849753999999997</v>
      </c>
      <c r="G2988" s="79">
        <v>1327700</v>
      </c>
    </row>
    <row r="2989" spans="1:7" x14ac:dyDescent="0.25">
      <c r="A2989" s="1" t="s">
        <v>3112</v>
      </c>
      <c r="B2989" s="76">
        <v>58.060471</v>
      </c>
      <c r="C2989" s="76">
        <v>58.126311999999999</v>
      </c>
      <c r="D2989" s="76">
        <v>56.706992999999997</v>
      </c>
      <c r="E2989" s="76">
        <v>56.919158999999901</v>
      </c>
      <c r="F2989" s="76">
        <v>46.545527999999997</v>
      </c>
      <c r="G2989" s="79">
        <v>1332600</v>
      </c>
    </row>
    <row r="2990" spans="1:7" x14ac:dyDescent="0.25">
      <c r="A2990" s="1" t="s">
        <v>3113</v>
      </c>
      <c r="B2990" s="76">
        <v>56.663097</v>
      </c>
      <c r="C2990" s="76">
        <v>57.877566999999999</v>
      </c>
      <c r="D2990" s="76">
        <v>56.385086000000001</v>
      </c>
      <c r="E2990" s="76">
        <v>57.497131000000003</v>
      </c>
      <c r="F2990" s="76">
        <v>47.018161999999997</v>
      </c>
      <c r="G2990" s="79">
        <v>1186000</v>
      </c>
    </row>
    <row r="2991" spans="1:7" x14ac:dyDescent="0.25">
      <c r="A2991" s="1" t="s">
        <v>3114</v>
      </c>
      <c r="B2991" s="76">
        <v>56.882579999999997</v>
      </c>
      <c r="C2991" s="76">
        <v>57.416652999999997</v>
      </c>
      <c r="D2991" s="76">
        <v>56.333874000000002</v>
      </c>
      <c r="E2991" s="76">
        <v>56.348503000000001</v>
      </c>
      <c r="F2991" s="76">
        <v>46.078876000000001</v>
      </c>
      <c r="G2991" s="79">
        <v>1885700</v>
      </c>
    </row>
    <row r="2992" spans="1:7" x14ac:dyDescent="0.25">
      <c r="A2992" s="1" t="s">
        <v>3115</v>
      </c>
      <c r="B2992" s="76">
        <v>56.187550000000002</v>
      </c>
      <c r="C2992" s="76">
        <v>56.589934999999997</v>
      </c>
      <c r="D2992" s="76">
        <v>54.877972</v>
      </c>
      <c r="E2992" s="76">
        <v>55.134032999999903</v>
      </c>
      <c r="F2992" s="76">
        <v>45.085738999999997</v>
      </c>
      <c r="G2992" s="79">
        <v>2028300</v>
      </c>
    </row>
    <row r="2993" spans="1:7" x14ac:dyDescent="0.25">
      <c r="A2993" s="1" t="s">
        <v>3116</v>
      </c>
      <c r="B2993" s="76">
        <v>55.572997999999998</v>
      </c>
      <c r="C2993" s="76">
        <v>55.748584999999999</v>
      </c>
      <c r="D2993" s="76">
        <v>54.578010999999996</v>
      </c>
      <c r="E2993" s="76">
        <v>55.404727999999999</v>
      </c>
      <c r="F2993" s="76">
        <v>45.307109999999902</v>
      </c>
      <c r="G2993" s="79">
        <v>1663300</v>
      </c>
    </row>
    <row r="2994" spans="1:7" x14ac:dyDescent="0.25">
      <c r="A2994" s="1" t="s">
        <v>3117</v>
      </c>
      <c r="B2994" s="76">
        <v>54.175624999999997</v>
      </c>
      <c r="C2994" s="76">
        <v>54.358528</v>
      </c>
      <c r="D2994" s="76">
        <v>53.495231999999902</v>
      </c>
      <c r="E2994" s="76">
        <v>53.590339999999998</v>
      </c>
      <c r="F2994" s="76">
        <v>43.823399000000002</v>
      </c>
      <c r="G2994" s="79">
        <v>1877100</v>
      </c>
    </row>
    <row r="2995" spans="1:7" x14ac:dyDescent="0.25">
      <c r="A2995" s="1" t="s">
        <v>3118</v>
      </c>
      <c r="B2995" s="76">
        <v>53.429386000000001</v>
      </c>
      <c r="C2995" s="76">
        <v>53.875667999999997</v>
      </c>
      <c r="D2995" s="76">
        <v>52.880679999999998</v>
      </c>
      <c r="E2995" s="76">
        <v>53.129424999999998</v>
      </c>
      <c r="F2995" s="76">
        <v>43.446475999999997</v>
      </c>
      <c r="G2995" s="79">
        <v>1419500</v>
      </c>
    </row>
    <row r="2996" spans="1:7" x14ac:dyDescent="0.25">
      <c r="A2996" s="1" t="s">
        <v>3119</v>
      </c>
      <c r="B2996" s="76">
        <v>52.573402000000002</v>
      </c>
      <c r="C2996" s="76">
        <v>52.719726999999999</v>
      </c>
      <c r="D2996" s="76">
        <v>51.351616</v>
      </c>
      <c r="E2996" s="76">
        <v>51.358932000000003</v>
      </c>
      <c r="F2996" s="76">
        <v>41.998665000000003</v>
      </c>
      <c r="G2996" s="79">
        <v>1603400</v>
      </c>
    </row>
    <row r="2997" spans="1:7" x14ac:dyDescent="0.25">
      <c r="A2997" s="1" t="s">
        <v>3120</v>
      </c>
      <c r="B2997" s="76">
        <v>51.388199</v>
      </c>
      <c r="C2997" s="76">
        <v>52.705092999999998</v>
      </c>
      <c r="D2997" s="76">
        <v>51.212612</v>
      </c>
      <c r="E2997" s="76">
        <v>51.746684999999999</v>
      </c>
      <c r="F2997" s="76">
        <v>42.315758000000002</v>
      </c>
      <c r="G2997" s="79">
        <v>748800</v>
      </c>
    </row>
    <row r="2998" spans="1:7" x14ac:dyDescent="0.25">
      <c r="A2998" s="1" t="s">
        <v>3121</v>
      </c>
      <c r="B2998" s="76">
        <v>53.524493999999997</v>
      </c>
      <c r="C2998" s="76">
        <v>53.634234999999997</v>
      </c>
      <c r="D2998" s="76">
        <v>52.288074000000002</v>
      </c>
      <c r="E2998" s="76">
        <v>52.705092999999998</v>
      </c>
      <c r="F2998" s="76">
        <v>43.099486999999897</v>
      </c>
      <c r="G2998" s="79">
        <v>2102200</v>
      </c>
    </row>
    <row r="2999" spans="1:7" x14ac:dyDescent="0.25">
      <c r="A2999" s="1" t="s">
        <v>3122</v>
      </c>
      <c r="B2999" s="76">
        <v>52.873362999999998</v>
      </c>
      <c r="C2999" s="76">
        <v>53.034317000000001</v>
      </c>
      <c r="D2999" s="76">
        <v>51.812531</v>
      </c>
      <c r="E2999" s="76">
        <v>52.017379999999903</v>
      </c>
      <c r="F2999" s="76">
        <v>42.537098</v>
      </c>
      <c r="G2999" s="79">
        <v>1755400</v>
      </c>
    </row>
    <row r="3000" spans="1:7" x14ac:dyDescent="0.25">
      <c r="A3000" s="1" t="s">
        <v>3123</v>
      </c>
      <c r="B3000" s="76">
        <v>53.773243000000001</v>
      </c>
      <c r="C3000" s="76">
        <v>54.578010999999996</v>
      </c>
      <c r="D3000" s="76">
        <v>53.224536999999998</v>
      </c>
      <c r="E3000" s="76">
        <v>54.4682689999999</v>
      </c>
      <c r="F3000" s="76">
        <v>44.541308999999998</v>
      </c>
      <c r="G3000" s="79">
        <v>2858500</v>
      </c>
    </row>
    <row r="3001" spans="1:7" x14ac:dyDescent="0.25">
      <c r="A3001" s="1" t="s">
        <v>3124</v>
      </c>
      <c r="B3001" s="76">
        <v>54.431690000000003</v>
      </c>
      <c r="C3001" s="76">
        <v>54.570693999999897</v>
      </c>
      <c r="D3001" s="76">
        <v>53.414752999999997</v>
      </c>
      <c r="E3001" s="76">
        <v>54.212207999999997</v>
      </c>
      <c r="F3001" s="76">
        <v>44.331927999999998</v>
      </c>
      <c r="G3001" s="79">
        <v>1527600</v>
      </c>
    </row>
    <row r="3002" spans="1:7" x14ac:dyDescent="0.25">
      <c r="A3002" s="1" t="s">
        <v>3125</v>
      </c>
      <c r="B3002" s="76">
        <v>54.724334999999897</v>
      </c>
      <c r="C3002" s="76">
        <v>54.951129999999999</v>
      </c>
      <c r="D3002" s="76">
        <v>54.000042000000001</v>
      </c>
      <c r="E3002" s="76">
        <v>54.139045999999901</v>
      </c>
      <c r="F3002" s="76">
        <v>44.272095</v>
      </c>
      <c r="G3002" s="79">
        <v>1741200</v>
      </c>
    </row>
    <row r="3003" spans="1:7" x14ac:dyDescent="0.25">
      <c r="A3003" s="1" t="s">
        <v>3126</v>
      </c>
      <c r="B3003" s="76">
        <v>54.907233999999903</v>
      </c>
      <c r="C3003" s="76">
        <v>55.024292000000003</v>
      </c>
      <c r="D3003" s="76">
        <v>54.095149999999997</v>
      </c>
      <c r="E3003" s="76">
        <v>54.475586</v>
      </c>
      <c r="F3003" s="76">
        <v>44.547290999999902</v>
      </c>
      <c r="G3003" s="79">
        <v>1563600</v>
      </c>
    </row>
    <row r="3004" spans="1:7" x14ac:dyDescent="0.25">
      <c r="A3004" s="1" t="s">
        <v>3127</v>
      </c>
      <c r="B3004" s="76">
        <v>54.4682689999999</v>
      </c>
      <c r="C3004" s="76">
        <v>54.702385</v>
      </c>
      <c r="D3004" s="76">
        <v>53.890301000000001</v>
      </c>
      <c r="E3004" s="76">
        <v>54.343894999999897</v>
      </c>
      <c r="F3004" s="76">
        <v>44.439616999999998</v>
      </c>
      <c r="G3004" s="79">
        <v>859600</v>
      </c>
    </row>
    <row r="3005" spans="1:7" x14ac:dyDescent="0.25">
      <c r="A3005" s="1" t="s">
        <v>3128</v>
      </c>
      <c r="B3005" s="76">
        <v>54.124412999999997</v>
      </c>
      <c r="C3005" s="76">
        <v>55.199879000000003</v>
      </c>
      <c r="D3005" s="76">
        <v>53.846401</v>
      </c>
      <c r="E3005" s="76">
        <v>55.053557999999903</v>
      </c>
      <c r="F3005" s="76">
        <v>45.019936000000001</v>
      </c>
      <c r="G3005" s="79">
        <v>1040400</v>
      </c>
    </row>
    <row r="3006" spans="1:7" x14ac:dyDescent="0.25">
      <c r="A3006" s="1" t="s">
        <v>3129</v>
      </c>
      <c r="B3006" s="76">
        <v>54.731646999999903</v>
      </c>
      <c r="C3006" s="76">
        <v>54.731646999999903</v>
      </c>
      <c r="D3006" s="76">
        <v>53.356223999999997</v>
      </c>
      <c r="E3006" s="76">
        <v>53.517178000000001</v>
      </c>
      <c r="F3006" s="76">
        <v>43.763565</v>
      </c>
      <c r="G3006" s="79">
        <v>1588800</v>
      </c>
    </row>
    <row r="3007" spans="1:7" x14ac:dyDescent="0.25">
      <c r="A3007" s="1" t="s">
        <v>3130</v>
      </c>
      <c r="B3007" s="76">
        <v>53.787872</v>
      </c>
      <c r="C3007" s="76">
        <v>54.687752000000003</v>
      </c>
      <c r="D3007" s="76">
        <v>53.392806999999998</v>
      </c>
      <c r="E3007" s="76">
        <v>54.453635999999896</v>
      </c>
      <c r="F3007" s="76">
        <v>44.529353999999998</v>
      </c>
      <c r="G3007" s="79">
        <v>1929700</v>
      </c>
    </row>
    <row r="3008" spans="1:7" x14ac:dyDescent="0.25">
      <c r="A3008" s="1" t="s">
        <v>3131</v>
      </c>
      <c r="B3008" s="76">
        <v>53.912247000000001</v>
      </c>
      <c r="C3008" s="76">
        <v>53.956142</v>
      </c>
      <c r="D3008" s="76">
        <v>52.566085999999999</v>
      </c>
      <c r="E3008" s="76">
        <v>52.924576000000002</v>
      </c>
      <c r="F3008" s="76">
        <v>43.278960999999903</v>
      </c>
      <c r="G3008" s="79">
        <v>1692800</v>
      </c>
    </row>
    <row r="3009" spans="1:7" x14ac:dyDescent="0.25">
      <c r="A3009" s="1" t="s">
        <v>3132</v>
      </c>
      <c r="B3009" s="76">
        <v>53.290379000000001</v>
      </c>
      <c r="C3009" s="76">
        <v>53.685448000000001</v>
      </c>
      <c r="D3009" s="76">
        <v>52.141753999999999</v>
      </c>
      <c r="E3009" s="76">
        <v>52.566085999999999</v>
      </c>
      <c r="F3009" s="76">
        <v>42.985805999999997</v>
      </c>
      <c r="G3009" s="79">
        <v>1621600</v>
      </c>
    </row>
    <row r="3010" spans="1:7" x14ac:dyDescent="0.25">
      <c r="A3010" s="1" t="s">
        <v>3133</v>
      </c>
      <c r="B3010" s="76">
        <v>52.149070999999999</v>
      </c>
      <c r="C3010" s="76">
        <v>53.268432999999902</v>
      </c>
      <c r="D3010" s="76">
        <v>52.083224999999999</v>
      </c>
      <c r="E3010" s="76">
        <v>52.961154999999998</v>
      </c>
      <c r="F3010" s="76">
        <v>43.308871999999901</v>
      </c>
      <c r="G3010" s="79">
        <v>1600400</v>
      </c>
    </row>
    <row r="3011" spans="1:7" x14ac:dyDescent="0.25">
      <c r="A3011" s="1" t="s">
        <v>3134</v>
      </c>
      <c r="B3011" s="76">
        <v>53.634234999999997</v>
      </c>
      <c r="C3011" s="76">
        <v>54.102466999999997</v>
      </c>
      <c r="D3011" s="76">
        <v>53.246482999999998</v>
      </c>
      <c r="E3011" s="76">
        <v>53.773243000000001</v>
      </c>
      <c r="F3011" s="76">
        <v>43.972965000000002</v>
      </c>
      <c r="G3011" s="79">
        <v>1584200</v>
      </c>
    </row>
    <row r="3012" spans="1:7" x14ac:dyDescent="0.25">
      <c r="A3012" s="1" t="s">
        <v>3135</v>
      </c>
      <c r="B3012" s="76">
        <v>54.102466999999997</v>
      </c>
      <c r="C3012" s="76">
        <v>54.819443</v>
      </c>
      <c r="D3012" s="76">
        <v>53.956142</v>
      </c>
      <c r="E3012" s="76">
        <v>54.307316</v>
      </c>
      <c r="F3012" s="76">
        <v>44.409690999999903</v>
      </c>
      <c r="G3012" s="79">
        <v>2259900</v>
      </c>
    </row>
    <row r="3013" spans="1:7" x14ac:dyDescent="0.25">
      <c r="A3013" s="1" t="s">
        <v>3136</v>
      </c>
      <c r="B3013" s="76">
        <v>54.307316</v>
      </c>
      <c r="C3013" s="76">
        <v>54.431690000000003</v>
      </c>
      <c r="D3013" s="76">
        <v>53.370856999999901</v>
      </c>
      <c r="E3013" s="76">
        <v>53.480598000000001</v>
      </c>
      <c r="F3013" s="76">
        <v>43.733646</v>
      </c>
      <c r="G3013" s="79">
        <v>1023200</v>
      </c>
    </row>
    <row r="3014" spans="1:7" x14ac:dyDescent="0.25">
      <c r="A3014" s="1" t="s">
        <v>3137</v>
      </c>
      <c r="B3014" s="76">
        <v>54.439006999999997</v>
      </c>
      <c r="C3014" s="76">
        <v>56.121704000000001</v>
      </c>
      <c r="D3014" s="76">
        <v>54.299999</v>
      </c>
      <c r="E3014" s="76">
        <v>55.975383999999998</v>
      </c>
      <c r="F3014" s="76">
        <v>45.773761999999998</v>
      </c>
      <c r="G3014" s="79">
        <v>1842500</v>
      </c>
    </row>
    <row r="3015" spans="1:7" x14ac:dyDescent="0.25">
      <c r="A3015" s="1" t="s">
        <v>3138</v>
      </c>
      <c r="B3015" s="76">
        <v>55.741267999999998</v>
      </c>
      <c r="C3015" s="76">
        <v>55.821746999999903</v>
      </c>
      <c r="D3015" s="76">
        <v>55.060875000000003</v>
      </c>
      <c r="E3015" s="76">
        <v>55.624209999999998</v>
      </c>
      <c r="F3015" s="76">
        <v>45.486587999999998</v>
      </c>
      <c r="G3015" s="79">
        <v>981200</v>
      </c>
    </row>
    <row r="3016" spans="1:7" x14ac:dyDescent="0.25">
      <c r="A3016" s="1" t="s">
        <v>3139</v>
      </c>
      <c r="B3016" s="76">
        <v>55.668109999999999</v>
      </c>
      <c r="C3016" s="76">
        <v>56.582618999999902</v>
      </c>
      <c r="D3016" s="76">
        <v>55.616897999999999</v>
      </c>
      <c r="E3016" s="76">
        <v>56.289974000000001</v>
      </c>
      <c r="F3016" s="76">
        <v>46.031005999999998</v>
      </c>
      <c r="G3016" s="79">
        <v>1189300</v>
      </c>
    </row>
    <row r="3017" spans="1:7" x14ac:dyDescent="0.25">
      <c r="A3017" s="1" t="s">
        <v>3140</v>
      </c>
      <c r="B3017" s="76">
        <v>56.428981999999998</v>
      </c>
      <c r="C3017" s="76">
        <v>56.597251999999997</v>
      </c>
      <c r="D3017" s="76">
        <v>55.814430000000002</v>
      </c>
      <c r="E3017" s="76">
        <v>56.407031999999901</v>
      </c>
      <c r="F3017" s="76">
        <v>46.126739999999998</v>
      </c>
      <c r="G3017" s="79">
        <v>725600</v>
      </c>
    </row>
    <row r="3018" spans="1:7" x14ac:dyDescent="0.25">
      <c r="A3018" s="1" t="s">
        <v>3141</v>
      </c>
      <c r="B3018" s="76">
        <v>56.289974000000001</v>
      </c>
      <c r="C3018" s="76">
        <v>56.706992999999997</v>
      </c>
      <c r="D3018" s="76">
        <v>55.851008999999998</v>
      </c>
      <c r="E3018" s="76">
        <v>56.289974000000001</v>
      </c>
      <c r="F3018" s="76">
        <v>46.031005999999998</v>
      </c>
      <c r="G3018" s="79">
        <v>801600</v>
      </c>
    </row>
    <row r="3019" spans="1:7" x14ac:dyDescent="0.25">
      <c r="A3019" s="1" t="s">
        <v>3142</v>
      </c>
      <c r="B3019" s="76">
        <v>56.209499000000001</v>
      </c>
      <c r="C3019" s="76">
        <v>56.333874000000002</v>
      </c>
      <c r="D3019" s="76">
        <v>55.368149000000003</v>
      </c>
      <c r="E3019" s="76">
        <v>55.463256999999899</v>
      </c>
      <c r="F3019" s="76">
        <v>45.354968999999997</v>
      </c>
      <c r="G3019" s="79">
        <v>1005400</v>
      </c>
    </row>
    <row r="3020" spans="1:7" x14ac:dyDescent="0.25">
      <c r="A3020" s="1" t="s">
        <v>3143</v>
      </c>
      <c r="B3020" s="76">
        <v>55.485206999999903</v>
      </c>
      <c r="C3020" s="76">
        <v>56.363135999999997</v>
      </c>
      <c r="D3020" s="76">
        <v>55.375464999999998</v>
      </c>
      <c r="E3020" s="76">
        <v>56.275344999999902</v>
      </c>
      <c r="F3020" s="76">
        <v>46.019050999999997</v>
      </c>
      <c r="G3020" s="79">
        <v>893000</v>
      </c>
    </row>
    <row r="3021" spans="1:7" x14ac:dyDescent="0.25">
      <c r="A3021" s="1" t="s">
        <v>3144</v>
      </c>
      <c r="B3021" s="76">
        <v>56.428981999999998</v>
      </c>
      <c r="C3021" s="76">
        <v>56.743572</v>
      </c>
      <c r="D3021" s="76">
        <v>55.982700000000001</v>
      </c>
      <c r="E3021" s="76">
        <v>56.231444999999901</v>
      </c>
      <c r="F3021" s="76">
        <v>45.983153999999999</v>
      </c>
      <c r="G3021" s="79">
        <v>1184600</v>
      </c>
    </row>
    <row r="3022" spans="1:7" x14ac:dyDescent="0.25">
      <c r="A3022" s="1" t="s">
        <v>3145</v>
      </c>
      <c r="B3022" s="76">
        <v>57.431286</v>
      </c>
      <c r="C3022" s="76">
        <v>58.126311999999999</v>
      </c>
      <c r="D3022" s="76">
        <v>56.311923999999998</v>
      </c>
      <c r="E3022" s="76">
        <v>56.728943000000001</v>
      </c>
      <c r="F3022" s="76">
        <v>46.389980000000001</v>
      </c>
      <c r="G3022" s="79">
        <v>1831500</v>
      </c>
    </row>
    <row r="3023" spans="1:7" x14ac:dyDescent="0.25">
      <c r="A3023" s="1" t="s">
        <v>3146</v>
      </c>
      <c r="B3023" s="76">
        <v>56.289974000000001</v>
      </c>
      <c r="C3023" s="76">
        <v>56.663097</v>
      </c>
      <c r="D3023" s="76">
        <v>55.404727999999999</v>
      </c>
      <c r="E3023" s="76">
        <v>55.433993999999899</v>
      </c>
      <c r="F3023" s="76">
        <v>45.331038999999997</v>
      </c>
      <c r="G3023" s="79">
        <v>1667700</v>
      </c>
    </row>
    <row r="3024" spans="1:7" x14ac:dyDescent="0.25">
      <c r="A3024" s="1" t="s">
        <v>3147</v>
      </c>
      <c r="B3024" s="76">
        <v>55.185245999999999</v>
      </c>
      <c r="C3024" s="76">
        <v>56.238762000000001</v>
      </c>
      <c r="D3024" s="76">
        <v>54.995029000000002</v>
      </c>
      <c r="E3024" s="76">
        <v>56.202182999999998</v>
      </c>
      <c r="F3024" s="76">
        <v>45.959212999999998</v>
      </c>
      <c r="G3024" s="79">
        <v>1572500</v>
      </c>
    </row>
    <row r="3025" spans="1:7" x14ac:dyDescent="0.25">
      <c r="A3025" s="1" t="s">
        <v>3148</v>
      </c>
      <c r="B3025" s="76">
        <v>56.216816000000001</v>
      </c>
      <c r="C3025" s="76">
        <v>56.619197999999997</v>
      </c>
      <c r="D3025" s="76">
        <v>55.872958999999902</v>
      </c>
      <c r="E3025" s="76">
        <v>56.289974000000001</v>
      </c>
      <c r="F3025" s="76">
        <v>46.031005999999998</v>
      </c>
      <c r="G3025" s="79">
        <v>1507700</v>
      </c>
    </row>
    <row r="3026" spans="1:7" x14ac:dyDescent="0.25">
      <c r="A3026" s="1" t="s">
        <v>3149</v>
      </c>
      <c r="B3026" s="76">
        <v>56.480193999999997</v>
      </c>
      <c r="C3026" s="76">
        <v>56.648463999999997</v>
      </c>
      <c r="D3026" s="76">
        <v>56.129020999999902</v>
      </c>
      <c r="E3026" s="76">
        <v>56.524090000000001</v>
      </c>
      <c r="F3026" s="76">
        <v>46.222465999999997</v>
      </c>
      <c r="G3026" s="79">
        <v>1095500</v>
      </c>
    </row>
    <row r="3027" spans="1:7" x14ac:dyDescent="0.25">
      <c r="A3027" s="1" t="s">
        <v>3150</v>
      </c>
      <c r="B3027" s="76">
        <v>57.0289</v>
      </c>
      <c r="C3027" s="76">
        <v>57.848300999999999</v>
      </c>
      <c r="D3027" s="76">
        <v>56.999637999999997</v>
      </c>
      <c r="E3027" s="76">
        <v>57.438602000000003</v>
      </c>
      <c r="F3027" s="76">
        <v>46.970306000000001</v>
      </c>
      <c r="G3027" s="79">
        <v>1750700</v>
      </c>
    </row>
    <row r="3028" spans="1:7" x14ac:dyDescent="0.25">
      <c r="A3028" s="1" t="s">
        <v>3151</v>
      </c>
      <c r="B3028" s="76">
        <v>57.321544999999901</v>
      </c>
      <c r="C3028" s="76">
        <v>58.155579000000003</v>
      </c>
      <c r="D3028" s="76">
        <v>57.0289</v>
      </c>
      <c r="E3028" s="76">
        <v>58.067782999999999</v>
      </c>
      <c r="F3028" s="76">
        <v>47.484809999999896</v>
      </c>
      <c r="G3028" s="79">
        <v>1038200</v>
      </c>
    </row>
    <row r="3029" spans="1:7" x14ac:dyDescent="0.25">
      <c r="A3029" s="1" t="s">
        <v>3152</v>
      </c>
      <c r="B3029" s="76">
        <v>57.789771999999999</v>
      </c>
      <c r="C3029" s="76">
        <v>58.236052999999998</v>
      </c>
      <c r="D3029" s="76">
        <v>57.175219999999896</v>
      </c>
      <c r="E3029" s="76">
        <v>57.672718000000003</v>
      </c>
      <c r="F3029" s="76">
        <v>47.161751000000002</v>
      </c>
      <c r="G3029" s="79">
        <v>1462400</v>
      </c>
    </row>
    <row r="3030" spans="1:7" x14ac:dyDescent="0.25">
      <c r="A3030" s="1" t="s">
        <v>3153</v>
      </c>
      <c r="B3030" s="76">
        <v>57.065479000000003</v>
      </c>
      <c r="C3030" s="76">
        <v>58.323848999999903</v>
      </c>
      <c r="D3030" s="76">
        <v>56.560673000000001</v>
      </c>
      <c r="E3030" s="76">
        <v>58.045836999999999</v>
      </c>
      <c r="F3030" s="76">
        <v>47.466873</v>
      </c>
      <c r="G3030" s="79">
        <v>1670900</v>
      </c>
    </row>
    <row r="3031" spans="1:7" x14ac:dyDescent="0.25">
      <c r="A3031" s="1" t="s">
        <v>3154</v>
      </c>
      <c r="B3031" s="76">
        <v>58.784762999999998</v>
      </c>
      <c r="C3031" s="76">
        <v>59.260306999999997</v>
      </c>
      <c r="D3031" s="76">
        <v>57.658085</v>
      </c>
      <c r="E3031" s="76">
        <v>57.73856</v>
      </c>
      <c r="F3031" s="76">
        <v>47.215590999999897</v>
      </c>
      <c r="G3031" s="79">
        <v>1471200</v>
      </c>
    </row>
    <row r="3032" spans="1:7" x14ac:dyDescent="0.25">
      <c r="A3032" s="1" t="s">
        <v>3155</v>
      </c>
      <c r="B3032" s="76">
        <v>57.562976999999997</v>
      </c>
      <c r="C3032" s="76">
        <v>58.565277000000002</v>
      </c>
      <c r="D3032" s="76">
        <v>57.562976999999997</v>
      </c>
      <c r="E3032" s="76">
        <v>58.557963999999998</v>
      </c>
      <c r="F3032" s="76">
        <v>47.885653999999903</v>
      </c>
      <c r="G3032" s="79">
        <v>1107000</v>
      </c>
    </row>
    <row r="3033" spans="1:7" x14ac:dyDescent="0.25">
      <c r="A3033" s="1" t="s">
        <v>3156</v>
      </c>
      <c r="B3033" s="76">
        <v>58.675018000000001</v>
      </c>
      <c r="C3033" s="76">
        <v>58.887188000000002</v>
      </c>
      <c r="D3033" s="76">
        <v>58.162894999999899</v>
      </c>
      <c r="E3033" s="76">
        <v>58.587226999999999</v>
      </c>
      <c r="F3033" s="76">
        <v>47.909587999999999</v>
      </c>
      <c r="G3033" s="79">
        <v>983900</v>
      </c>
    </row>
    <row r="3034" spans="1:7" x14ac:dyDescent="0.25">
      <c r="A3034" s="1" t="s">
        <v>3157</v>
      </c>
      <c r="B3034" s="76">
        <v>58.609177000000003</v>
      </c>
      <c r="C3034" s="76">
        <v>58.974978999999998</v>
      </c>
      <c r="D3034" s="76">
        <v>58.199474000000002</v>
      </c>
      <c r="E3034" s="76">
        <v>58.887188000000002</v>
      </c>
      <c r="F3034" s="76">
        <v>48.154876999999999</v>
      </c>
      <c r="G3034" s="79">
        <v>1532300</v>
      </c>
    </row>
    <row r="3035" spans="1:7" x14ac:dyDescent="0.25">
      <c r="A3035" s="1" t="s">
        <v>3158</v>
      </c>
      <c r="B3035" s="76">
        <v>58.821342000000001</v>
      </c>
      <c r="C3035" s="76">
        <v>59.231040999999998</v>
      </c>
      <c r="D3035" s="76">
        <v>58.572593999999903</v>
      </c>
      <c r="E3035" s="76">
        <v>59.026192000000002</v>
      </c>
      <c r="F3035" s="76">
        <v>48.268546999999998</v>
      </c>
      <c r="G3035" s="79">
        <v>1022800</v>
      </c>
    </row>
    <row r="3036" spans="1:7" x14ac:dyDescent="0.25">
      <c r="A3036" s="1" t="s">
        <v>3159</v>
      </c>
      <c r="B3036" s="76">
        <v>58.748179999999998</v>
      </c>
      <c r="C3036" s="76">
        <v>59.677321999999997</v>
      </c>
      <c r="D3036" s="76">
        <v>58.675018000000001</v>
      </c>
      <c r="E3036" s="76">
        <v>59.633426999999998</v>
      </c>
      <c r="F3036" s="76">
        <v>48.765106000000003</v>
      </c>
      <c r="G3036" s="79">
        <v>981400</v>
      </c>
    </row>
    <row r="3037" spans="1:7" x14ac:dyDescent="0.25">
      <c r="A3037" s="1" t="s">
        <v>3160</v>
      </c>
      <c r="B3037" s="76">
        <v>59.406627999999998</v>
      </c>
      <c r="C3037" s="76">
        <v>60.116290999999997</v>
      </c>
      <c r="D3037" s="76">
        <v>59.018875000000001</v>
      </c>
      <c r="E3037" s="76">
        <v>60.021178999999997</v>
      </c>
      <c r="F3037" s="76">
        <v>49.082194999999999</v>
      </c>
      <c r="G3037" s="79">
        <v>1201600</v>
      </c>
    </row>
    <row r="3038" spans="1:7" x14ac:dyDescent="0.25">
      <c r="A3038" s="1" t="s">
        <v>3161</v>
      </c>
      <c r="B3038" s="76">
        <v>59.509051999999997</v>
      </c>
      <c r="C3038" s="76">
        <v>60.343086</v>
      </c>
      <c r="D3038" s="76">
        <v>59.282256999999902</v>
      </c>
      <c r="E3038" s="76">
        <v>59.362731999999902</v>
      </c>
      <c r="F3038" s="76">
        <v>48.955489999999998</v>
      </c>
      <c r="G3038" s="79">
        <v>2105700</v>
      </c>
    </row>
    <row r="3039" spans="1:7" x14ac:dyDescent="0.25">
      <c r="A3039" s="1" t="s">
        <v>3162</v>
      </c>
      <c r="B3039" s="76">
        <v>59.231040999999998</v>
      </c>
      <c r="C3039" s="76">
        <v>59.560268000000001</v>
      </c>
      <c r="D3039" s="76">
        <v>58.828658999999902</v>
      </c>
      <c r="E3039" s="76">
        <v>59.274940000000001</v>
      </c>
      <c r="F3039" s="76">
        <v>48.883099000000001</v>
      </c>
      <c r="G3039" s="79">
        <v>1320700</v>
      </c>
    </row>
    <row r="3040" spans="1:7" x14ac:dyDescent="0.25">
      <c r="A3040" s="1" t="s">
        <v>3163</v>
      </c>
      <c r="B3040" s="76">
        <v>58.631122999999903</v>
      </c>
      <c r="C3040" s="76">
        <v>58.762813999999999</v>
      </c>
      <c r="D3040" s="76">
        <v>58.192157999999999</v>
      </c>
      <c r="E3040" s="76">
        <v>58.389693999999899</v>
      </c>
      <c r="F3040" s="76">
        <v>48.153053</v>
      </c>
      <c r="G3040" s="79">
        <v>1227700</v>
      </c>
    </row>
    <row r="3041" spans="1:7" x14ac:dyDescent="0.25">
      <c r="A3041" s="1" t="s">
        <v>3164</v>
      </c>
      <c r="B3041" s="76">
        <v>58.682334999999902</v>
      </c>
      <c r="C3041" s="76">
        <v>59.282256999999902</v>
      </c>
      <c r="D3041" s="76">
        <v>58.499434999999998</v>
      </c>
      <c r="E3041" s="76">
        <v>59.172516000000002</v>
      </c>
      <c r="F3041" s="76">
        <v>48.798625999999999</v>
      </c>
      <c r="G3041" s="79">
        <v>1976100</v>
      </c>
    </row>
    <row r="3042" spans="1:7" x14ac:dyDescent="0.25">
      <c r="A3042" s="1" t="s">
        <v>3165</v>
      </c>
      <c r="B3042" s="76">
        <v>59.523685</v>
      </c>
      <c r="C3042" s="76">
        <v>60.218716000000001</v>
      </c>
      <c r="D3042" s="76">
        <v>59.399310999999997</v>
      </c>
      <c r="E3042" s="76">
        <v>60.2040819999999</v>
      </c>
      <c r="F3042" s="76">
        <v>49.649334000000003</v>
      </c>
      <c r="G3042" s="79">
        <v>1762000</v>
      </c>
    </row>
    <row r="3043" spans="1:7" x14ac:dyDescent="0.25">
      <c r="A3043" s="1" t="s">
        <v>3166</v>
      </c>
      <c r="B3043" s="76">
        <v>60.291874</v>
      </c>
      <c r="C3043" s="76">
        <v>61.264915000000002</v>
      </c>
      <c r="D3043" s="76">
        <v>60.182132999999901</v>
      </c>
      <c r="E3043" s="76">
        <v>61.1478579999999</v>
      </c>
      <c r="F3043" s="76">
        <v>50.427658000000001</v>
      </c>
      <c r="G3043" s="79">
        <v>2303800</v>
      </c>
    </row>
    <row r="3044" spans="1:7" x14ac:dyDescent="0.25">
      <c r="A3044" s="1" t="s">
        <v>3167</v>
      </c>
      <c r="B3044" s="76">
        <v>61.755093000000002</v>
      </c>
      <c r="C3044" s="76">
        <v>62.925666999999997</v>
      </c>
      <c r="D3044" s="76">
        <v>61.411235999999903</v>
      </c>
      <c r="E3044" s="76">
        <v>62.925666999999997</v>
      </c>
      <c r="F3044" s="76">
        <v>51.893786999999897</v>
      </c>
      <c r="G3044" s="79">
        <v>2649700</v>
      </c>
    </row>
    <row r="3045" spans="1:7" x14ac:dyDescent="0.25">
      <c r="A3045" s="1" t="s">
        <v>3168</v>
      </c>
      <c r="B3045" s="76">
        <v>62.728133999999997</v>
      </c>
      <c r="C3045" s="76">
        <v>62.998829000000001</v>
      </c>
      <c r="D3045" s="76">
        <v>62.128211999999998</v>
      </c>
      <c r="E3045" s="76">
        <v>62.918349999999997</v>
      </c>
      <c r="F3045" s="76">
        <v>51.887752999999996</v>
      </c>
      <c r="G3045" s="79">
        <v>1808100</v>
      </c>
    </row>
    <row r="3046" spans="1:7" x14ac:dyDescent="0.25">
      <c r="A3046" s="1" t="s">
        <v>3169</v>
      </c>
      <c r="B3046" s="76">
        <v>62.625706000000001</v>
      </c>
      <c r="C3046" s="76">
        <v>63.071987</v>
      </c>
      <c r="D3046" s="76">
        <v>62.435490000000001</v>
      </c>
      <c r="E3046" s="76">
        <v>62.750079999999997</v>
      </c>
      <c r="F3046" s="76">
        <v>51.748981000000001</v>
      </c>
      <c r="G3046" s="79">
        <v>1253100</v>
      </c>
    </row>
    <row r="3047" spans="1:7" x14ac:dyDescent="0.25">
      <c r="A3047" s="1" t="s">
        <v>3170</v>
      </c>
      <c r="B3047" s="76">
        <v>62.918349999999997</v>
      </c>
      <c r="C3047" s="76">
        <v>62.998829000000001</v>
      </c>
      <c r="D3047" s="76">
        <v>62.003841000000001</v>
      </c>
      <c r="E3047" s="76">
        <v>62.720818000000001</v>
      </c>
      <c r="F3047" s="76">
        <v>51.724850000000004</v>
      </c>
      <c r="G3047" s="79">
        <v>993700</v>
      </c>
    </row>
    <row r="3048" spans="1:7" x14ac:dyDescent="0.25">
      <c r="A3048" s="1" t="s">
        <v>3171</v>
      </c>
      <c r="B3048" s="76">
        <v>62.742764000000001</v>
      </c>
      <c r="C3048" s="76">
        <v>62.867137999999997</v>
      </c>
      <c r="D3048" s="76">
        <v>61.601455999999999</v>
      </c>
      <c r="E3048" s="76">
        <v>61.638034999999903</v>
      </c>
      <c r="F3048" s="76">
        <v>50.831904999999999</v>
      </c>
      <c r="G3048" s="79">
        <v>2087300</v>
      </c>
    </row>
    <row r="3049" spans="1:7" x14ac:dyDescent="0.25">
      <c r="A3049" s="1" t="s">
        <v>3172</v>
      </c>
      <c r="B3049" s="76">
        <v>61.184437000000003</v>
      </c>
      <c r="C3049" s="76">
        <v>61.630718000000002</v>
      </c>
      <c r="D3049" s="76">
        <v>61.016167000000003</v>
      </c>
      <c r="E3049" s="76">
        <v>61.162491000000003</v>
      </c>
      <c r="F3049" s="76">
        <v>50.439728000000002</v>
      </c>
      <c r="G3049" s="79">
        <v>1361600</v>
      </c>
    </row>
    <row r="3050" spans="1:7" x14ac:dyDescent="0.25">
      <c r="A3050" s="1" t="s">
        <v>3173</v>
      </c>
      <c r="B3050" s="76">
        <v>61.791671999999998</v>
      </c>
      <c r="C3050" s="76">
        <v>62.252586000000001</v>
      </c>
      <c r="D3050" s="76">
        <v>61.659984999999999</v>
      </c>
      <c r="E3050" s="76">
        <v>62.084316000000001</v>
      </c>
      <c r="F3050" s="76">
        <v>51.199928</v>
      </c>
      <c r="G3050" s="79">
        <v>1428000</v>
      </c>
    </row>
    <row r="3051" spans="1:7" x14ac:dyDescent="0.25">
      <c r="A3051" s="1" t="s">
        <v>3174</v>
      </c>
      <c r="B3051" s="76">
        <v>62.040420999999903</v>
      </c>
      <c r="C3051" s="76">
        <v>62.040420999999903</v>
      </c>
      <c r="D3051" s="76">
        <v>60.964953999999999</v>
      </c>
      <c r="E3051" s="76">
        <v>61.264915000000002</v>
      </c>
      <c r="F3051" s="76">
        <v>50.524192999999997</v>
      </c>
      <c r="G3051" s="79">
        <v>1346700</v>
      </c>
    </row>
    <row r="3052" spans="1:7" x14ac:dyDescent="0.25">
      <c r="A3052" s="1" t="s">
        <v>3175</v>
      </c>
      <c r="B3052" s="76">
        <v>61.469765000000002</v>
      </c>
      <c r="C3052" s="76">
        <v>61.835570999999902</v>
      </c>
      <c r="D3052" s="76">
        <v>60.906424999999999</v>
      </c>
      <c r="E3052" s="76">
        <v>61.316127999999999</v>
      </c>
      <c r="F3052" s="76">
        <v>50.566437000000001</v>
      </c>
      <c r="G3052" s="79">
        <v>1148700</v>
      </c>
    </row>
    <row r="3053" spans="1:7" x14ac:dyDescent="0.25">
      <c r="A3053" s="1" t="s">
        <v>3176</v>
      </c>
      <c r="B3053" s="76">
        <v>61.608771999999902</v>
      </c>
      <c r="C3053" s="76">
        <v>62.603760000000001</v>
      </c>
      <c r="D3053" s="76">
        <v>61.323443999999903</v>
      </c>
      <c r="E3053" s="76">
        <v>62.325747999999997</v>
      </c>
      <c r="F3053" s="76">
        <v>51.399048000000001</v>
      </c>
      <c r="G3053" s="79">
        <v>1395700</v>
      </c>
    </row>
    <row r="3054" spans="1:7" x14ac:dyDescent="0.25">
      <c r="A3054" s="1" t="s">
        <v>3177</v>
      </c>
      <c r="B3054" s="76">
        <v>62.435490000000001</v>
      </c>
      <c r="C3054" s="76">
        <v>62.537914000000001</v>
      </c>
      <c r="D3054" s="76">
        <v>61.681930999999999</v>
      </c>
      <c r="E3054" s="76">
        <v>62.113582999999998</v>
      </c>
      <c r="F3054" s="76">
        <v>51.224074999999999</v>
      </c>
      <c r="G3054" s="79">
        <v>1441700</v>
      </c>
    </row>
    <row r="3055" spans="1:7" x14ac:dyDescent="0.25">
      <c r="A3055" s="1" t="s">
        <v>3178</v>
      </c>
      <c r="B3055" s="76">
        <v>62.281852999999998</v>
      </c>
      <c r="C3055" s="76">
        <v>62.296481999999997</v>
      </c>
      <c r="D3055" s="76">
        <v>61.447818999999903</v>
      </c>
      <c r="E3055" s="76">
        <v>61.733142999999998</v>
      </c>
      <c r="F3055" s="76">
        <v>50.910336000000001</v>
      </c>
      <c r="G3055" s="79">
        <v>1228500</v>
      </c>
    </row>
    <row r="3056" spans="1:7" x14ac:dyDescent="0.25">
      <c r="A3056" s="1" t="s">
        <v>3179</v>
      </c>
      <c r="B3056" s="76">
        <v>61.718513000000002</v>
      </c>
      <c r="C3056" s="76">
        <v>61.908729999999998</v>
      </c>
      <c r="D3056" s="76">
        <v>61.111279000000003</v>
      </c>
      <c r="E3056" s="76">
        <v>61.257598999999999</v>
      </c>
      <c r="F3056" s="76">
        <v>50.518161999999997</v>
      </c>
      <c r="G3056" s="79">
        <v>1192500</v>
      </c>
    </row>
    <row r="3057" spans="1:7" x14ac:dyDescent="0.25">
      <c r="A3057" s="1" t="s">
        <v>3180</v>
      </c>
      <c r="B3057" s="76">
        <v>61.111279000000003</v>
      </c>
      <c r="C3057" s="76">
        <v>61.857517000000001</v>
      </c>
      <c r="D3057" s="76">
        <v>60.825951000000003</v>
      </c>
      <c r="E3057" s="76">
        <v>61.850200999999998</v>
      </c>
      <c r="F3057" s="76">
        <v>51.006863000000003</v>
      </c>
      <c r="G3057" s="79">
        <v>1138200</v>
      </c>
    </row>
    <row r="3058" spans="1:7" x14ac:dyDescent="0.25">
      <c r="A3058" s="1" t="s">
        <v>3181</v>
      </c>
      <c r="B3058" s="76">
        <v>62.003841000000001</v>
      </c>
      <c r="C3058" s="76">
        <v>62.003841000000001</v>
      </c>
      <c r="D3058" s="76">
        <v>61.316127999999999</v>
      </c>
      <c r="E3058" s="76">
        <v>61.989207999999998</v>
      </c>
      <c r="F3058" s="76">
        <v>51.121510000000001</v>
      </c>
      <c r="G3058" s="79">
        <v>1241600</v>
      </c>
    </row>
    <row r="3059" spans="1:7" x14ac:dyDescent="0.25">
      <c r="A3059" s="1" t="s">
        <v>3182</v>
      </c>
      <c r="B3059" s="76">
        <v>61.681930999999999</v>
      </c>
      <c r="C3059" s="76">
        <v>61.820937999999998</v>
      </c>
      <c r="D3059" s="76">
        <v>61.155174000000002</v>
      </c>
      <c r="E3059" s="76">
        <v>61.608771999999902</v>
      </c>
      <c r="F3059" s="76">
        <v>50.807766000000001</v>
      </c>
      <c r="G3059" s="79">
        <v>972000</v>
      </c>
    </row>
    <row r="3060" spans="1:7" x14ac:dyDescent="0.25">
      <c r="A3060" s="1" t="s">
        <v>3183</v>
      </c>
      <c r="B3060" s="76">
        <v>61.601455999999999</v>
      </c>
      <c r="C3060" s="76">
        <v>61.601455999999999</v>
      </c>
      <c r="D3060" s="76">
        <v>60.101657999999901</v>
      </c>
      <c r="E3060" s="76">
        <v>60.2040819999999</v>
      </c>
      <c r="F3060" s="76">
        <v>49.649334000000003</v>
      </c>
      <c r="G3060" s="79">
        <v>2102400</v>
      </c>
    </row>
    <row r="3061" spans="1:7" x14ac:dyDescent="0.25">
      <c r="A3061" s="1" t="s">
        <v>3184</v>
      </c>
      <c r="B3061" s="76">
        <v>60.218716000000001</v>
      </c>
      <c r="C3061" s="76">
        <v>60.430881999999997</v>
      </c>
      <c r="D3061" s="76">
        <v>59.457839999999997</v>
      </c>
      <c r="E3061" s="76">
        <v>59.794379999999997</v>
      </c>
      <c r="F3061" s="76">
        <v>49.31147</v>
      </c>
      <c r="G3061" s="79">
        <v>2313200</v>
      </c>
    </row>
    <row r="3062" spans="1:7" x14ac:dyDescent="0.25">
      <c r="A3062" s="1" t="s">
        <v>3185</v>
      </c>
      <c r="B3062" s="76">
        <v>59.860225999999997</v>
      </c>
      <c r="C3062" s="76">
        <v>60.584518000000003</v>
      </c>
      <c r="D3062" s="76">
        <v>59.699272000000001</v>
      </c>
      <c r="E3062" s="76">
        <v>59.860225999999997</v>
      </c>
      <c r="F3062" s="76">
        <v>49.365768000000003</v>
      </c>
      <c r="G3062" s="79">
        <v>1588300</v>
      </c>
    </row>
    <row r="3063" spans="1:7" x14ac:dyDescent="0.25">
      <c r="A3063" s="1" t="s">
        <v>3186</v>
      </c>
      <c r="B3063" s="76">
        <v>59.926070999999901</v>
      </c>
      <c r="C3063" s="76">
        <v>60.094341</v>
      </c>
      <c r="D3063" s="76">
        <v>59.655375999999997</v>
      </c>
      <c r="E3063" s="76">
        <v>59.852908999999997</v>
      </c>
      <c r="F3063" s="76">
        <v>49.359729999999999</v>
      </c>
      <c r="G3063" s="79">
        <v>1217600</v>
      </c>
    </row>
    <row r="3064" spans="1:7" x14ac:dyDescent="0.25">
      <c r="A3064" s="1" t="s">
        <v>3187</v>
      </c>
      <c r="B3064" s="76">
        <v>59.106669999999902</v>
      </c>
      <c r="C3064" s="76">
        <v>59.640743000000001</v>
      </c>
      <c r="D3064" s="76">
        <v>58.916451000000002</v>
      </c>
      <c r="E3064" s="76">
        <v>59.428576999999997</v>
      </c>
      <c r="F3064" s="76">
        <v>49.009796000000001</v>
      </c>
      <c r="G3064" s="79">
        <v>1793800</v>
      </c>
    </row>
    <row r="3065" spans="1:7" x14ac:dyDescent="0.25">
      <c r="A3065" s="1" t="s">
        <v>3188</v>
      </c>
      <c r="B3065" s="76">
        <v>58.857921999999903</v>
      </c>
      <c r="C3065" s="76">
        <v>59.179828999999998</v>
      </c>
      <c r="D3065" s="76">
        <v>58.184840999999999</v>
      </c>
      <c r="E3065" s="76">
        <v>58.572593999999903</v>
      </c>
      <c r="F3065" s="76">
        <v>48.303882999999999</v>
      </c>
      <c r="G3065" s="79">
        <v>1938500</v>
      </c>
    </row>
    <row r="3066" spans="1:7" x14ac:dyDescent="0.25">
      <c r="A3066" s="1" t="s">
        <v>3189</v>
      </c>
      <c r="B3066" s="76">
        <v>58.777446999999903</v>
      </c>
      <c r="C3066" s="76">
        <v>59.333468999999901</v>
      </c>
      <c r="D3066" s="76">
        <v>58.126311999999999</v>
      </c>
      <c r="E3066" s="76">
        <v>59.201777999999997</v>
      </c>
      <c r="F3066" s="76">
        <v>48.822758</v>
      </c>
      <c r="G3066" s="79">
        <v>1428200</v>
      </c>
    </row>
    <row r="3067" spans="1:7" x14ac:dyDescent="0.25">
      <c r="A3067" s="1" t="s">
        <v>3190</v>
      </c>
      <c r="B3067" s="76">
        <v>58.974978999999998</v>
      </c>
      <c r="C3067" s="76">
        <v>59.179828999999998</v>
      </c>
      <c r="D3067" s="76">
        <v>58.382378000000003</v>
      </c>
      <c r="E3067" s="76">
        <v>58.455535999999903</v>
      </c>
      <c r="F3067" s="76">
        <v>48.207347999999897</v>
      </c>
      <c r="G3067" s="79">
        <v>1850600</v>
      </c>
    </row>
    <row r="3068" spans="1:7" x14ac:dyDescent="0.25">
      <c r="A3068" s="1" t="s">
        <v>3191</v>
      </c>
      <c r="B3068" s="76">
        <v>58.821342000000001</v>
      </c>
      <c r="C3068" s="76">
        <v>58.931083999999998</v>
      </c>
      <c r="D3068" s="76">
        <v>58.236052999999998</v>
      </c>
      <c r="E3068" s="76">
        <v>58.543331000000002</v>
      </c>
      <c r="F3068" s="76">
        <v>48.279755000000002</v>
      </c>
      <c r="G3068" s="79">
        <v>1295800</v>
      </c>
    </row>
    <row r="3069" spans="1:7" x14ac:dyDescent="0.25">
      <c r="A3069" s="1" t="s">
        <v>3192</v>
      </c>
      <c r="B3069" s="76">
        <v>58.616492999999998</v>
      </c>
      <c r="C3069" s="76">
        <v>59.384681999999998</v>
      </c>
      <c r="D3069" s="76">
        <v>58.550647999999903</v>
      </c>
      <c r="E3069" s="76">
        <v>58.953029999999998</v>
      </c>
      <c r="F3069" s="76">
        <v>48.617621999999997</v>
      </c>
      <c r="G3069" s="79">
        <v>1279300</v>
      </c>
    </row>
    <row r="3070" spans="1:7" x14ac:dyDescent="0.25">
      <c r="A3070" s="1" t="s">
        <v>3193</v>
      </c>
      <c r="B3070" s="76">
        <v>59.377364999999998</v>
      </c>
      <c r="C3070" s="76">
        <v>60.935692000000003</v>
      </c>
      <c r="D3070" s="76">
        <v>59.304203000000001</v>
      </c>
      <c r="E3070" s="76">
        <v>60.782055</v>
      </c>
      <c r="F3070" s="76">
        <v>50.125988</v>
      </c>
      <c r="G3070" s="79">
        <v>1963400</v>
      </c>
    </row>
    <row r="3071" spans="1:7" x14ac:dyDescent="0.25">
      <c r="A3071" s="1" t="s">
        <v>3194</v>
      </c>
      <c r="B3071" s="76">
        <v>60.804001</v>
      </c>
      <c r="C3071" s="76">
        <v>60.906424999999999</v>
      </c>
      <c r="D3071" s="76">
        <v>60.021178999999997</v>
      </c>
      <c r="E3071" s="76">
        <v>60.745471999999999</v>
      </c>
      <c r="F3071" s="76">
        <v>50.095813999999997</v>
      </c>
      <c r="G3071" s="79">
        <v>1525700</v>
      </c>
    </row>
    <row r="3072" spans="1:7" x14ac:dyDescent="0.25">
      <c r="A3072" s="1" t="s">
        <v>3195</v>
      </c>
      <c r="B3072" s="76">
        <v>60.730843</v>
      </c>
      <c r="C3072" s="76">
        <v>61.264915000000002</v>
      </c>
      <c r="D3072" s="76">
        <v>60.569884999999999</v>
      </c>
      <c r="E3072" s="76">
        <v>61.067379000000003</v>
      </c>
      <c r="F3072" s="76">
        <v>50.361294000000001</v>
      </c>
      <c r="G3072" s="79">
        <v>1959000</v>
      </c>
    </row>
    <row r="3073" spans="1:7" x14ac:dyDescent="0.25">
      <c r="A3073" s="1" t="s">
        <v>3196</v>
      </c>
      <c r="B3073" s="76">
        <v>61.272231999999903</v>
      </c>
      <c r="C3073" s="76">
        <v>61.3746569999999</v>
      </c>
      <c r="D3073" s="76">
        <v>60.906424999999999</v>
      </c>
      <c r="E3073" s="76">
        <v>61.323443999999903</v>
      </c>
      <c r="F3073" s="76">
        <v>50.572453000000003</v>
      </c>
      <c r="G3073" s="79">
        <v>2125500</v>
      </c>
    </row>
    <row r="3074" spans="1:7" x14ac:dyDescent="0.25">
      <c r="A3074" s="1" t="s">
        <v>3197</v>
      </c>
      <c r="B3074" s="76">
        <v>61.038116000000002</v>
      </c>
      <c r="C3074" s="76">
        <v>62.537914000000001</v>
      </c>
      <c r="D3074" s="76">
        <v>60.964953999999999</v>
      </c>
      <c r="E3074" s="76">
        <v>62.011153999999998</v>
      </c>
      <c r="F3074" s="76">
        <v>51.139609999999998</v>
      </c>
      <c r="G3074" s="79">
        <v>2235300</v>
      </c>
    </row>
    <row r="3075" spans="1:7" x14ac:dyDescent="0.25">
      <c r="A3075" s="1" t="s">
        <v>3198</v>
      </c>
      <c r="B3075" s="76">
        <v>61.616089000000002</v>
      </c>
      <c r="C3075" s="76">
        <v>62.450122999999998</v>
      </c>
      <c r="D3075" s="76">
        <v>61.447818999999903</v>
      </c>
      <c r="E3075" s="76">
        <v>62.076999999999998</v>
      </c>
      <c r="F3075" s="76">
        <v>51.193905000000001</v>
      </c>
      <c r="G3075" s="79">
        <v>1485900</v>
      </c>
    </row>
    <row r="3076" spans="1:7" x14ac:dyDescent="0.25">
      <c r="A3076" s="1" t="s">
        <v>3199</v>
      </c>
      <c r="B3076" s="76">
        <v>62.186740999999998</v>
      </c>
      <c r="C3076" s="76">
        <v>62.259903000000001</v>
      </c>
      <c r="D3076" s="76">
        <v>61.564877000000003</v>
      </c>
      <c r="E3076" s="76">
        <v>61.638034999999903</v>
      </c>
      <c r="F3076" s="76">
        <v>50.831904999999999</v>
      </c>
      <c r="G3076" s="79">
        <v>1446900</v>
      </c>
    </row>
    <row r="3077" spans="1:7" x14ac:dyDescent="0.25">
      <c r="A3077" s="1" t="s">
        <v>3200</v>
      </c>
      <c r="B3077" s="76">
        <v>61.301494999999903</v>
      </c>
      <c r="C3077" s="76">
        <v>61.652667999999998</v>
      </c>
      <c r="D3077" s="76">
        <v>60.708893000000003</v>
      </c>
      <c r="E3077" s="76">
        <v>61.008853999999999</v>
      </c>
      <c r="F3077" s="76">
        <v>50.313026000000001</v>
      </c>
      <c r="G3077" s="79">
        <v>1432300</v>
      </c>
    </row>
    <row r="3078" spans="1:7" x14ac:dyDescent="0.25">
      <c r="A3078" s="1" t="s">
        <v>3201</v>
      </c>
      <c r="B3078" s="76">
        <v>61.1478579999999</v>
      </c>
      <c r="C3078" s="76">
        <v>61.286864999999999</v>
      </c>
      <c r="D3078" s="76">
        <v>60.584518000000003</v>
      </c>
      <c r="E3078" s="76">
        <v>61.038116000000002</v>
      </c>
      <c r="F3078" s="76">
        <v>50.337158000000002</v>
      </c>
      <c r="G3078" s="79">
        <v>1435000</v>
      </c>
    </row>
    <row r="3079" spans="1:7" x14ac:dyDescent="0.25">
      <c r="A3079" s="1" t="s">
        <v>3202</v>
      </c>
      <c r="B3079" s="76">
        <v>61.681930999999999</v>
      </c>
      <c r="C3079" s="76">
        <v>61.725830000000002</v>
      </c>
      <c r="D3079" s="76">
        <v>61.103962000000003</v>
      </c>
      <c r="E3079" s="76">
        <v>61.550243000000002</v>
      </c>
      <c r="F3079" s="76">
        <v>50.759495000000001</v>
      </c>
      <c r="G3079" s="79">
        <v>1411200</v>
      </c>
    </row>
    <row r="3080" spans="1:7" x14ac:dyDescent="0.25">
      <c r="A3080" s="1" t="s">
        <v>3203</v>
      </c>
      <c r="B3080" s="76">
        <v>61.718513000000002</v>
      </c>
      <c r="C3080" s="76">
        <v>61.864833999999902</v>
      </c>
      <c r="D3080" s="76">
        <v>61.352706999999903</v>
      </c>
      <c r="E3080" s="76">
        <v>61.535609999999998</v>
      </c>
      <c r="F3080" s="76">
        <v>50.747436999999998</v>
      </c>
      <c r="G3080" s="79">
        <v>1024900</v>
      </c>
    </row>
    <row r="3081" spans="1:7" x14ac:dyDescent="0.25">
      <c r="A3081" s="1" t="s">
        <v>3204</v>
      </c>
      <c r="B3081" s="76">
        <v>61.418551999999998</v>
      </c>
      <c r="C3081" s="76">
        <v>61.550243000000002</v>
      </c>
      <c r="D3081" s="76">
        <v>60.540622999999997</v>
      </c>
      <c r="E3081" s="76">
        <v>61.125907999999903</v>
      </c>
      <c r="F3081" s="76">
        <v>50.409560999999997</v>
      </c>
      <c r="G3081" s="79">
        <v>1318800</v>
      </c>
    </row>
    <row r="3082" spans="1:7" x14ac:dyDescent="0.25">
      <c r="A3082" s="1" t="s">
        <v>3205</v>
      </c>
      <c r="B3082" s="76">
        <v>60.752789</v>
      </c>
      <c r="C3082" s="76">
        <v>61.169806999999899</v>
      </c>
      <c r="D3082" s="76">
        <v>60.189448999999897</v>
      </c>
      <c r="E3082" s="76">
        <v>61.052750000000003</v>
      </c>
      <c r="F3082" s="76">
        <v>50.349224</v>
      </c>
      <c r="G3082" s="79">
        <v>1107900</v>
      </c>
    </row>
    <row r="3083" spans="1:7" x14ac:dyDescent="0.25">
      <c r="A3083" s="1" t="s">
        <v>3206</v>
      </c>
      <c r="B3083" s="76">
        <v>61.235649000000002</v>
      </c>
      <c r="C3083" s="76">
        <v>61.725830000000002</v>
      </c>
      <c r="D3083" s="76">
        <v>61.125907999999903</v>
      </c>
      <c r="E3083" s="76">
        <v>61.601455999999999</v>
      </c>
      <c r="F3083" s="76">
        <v>50.801735000000001</v>
      </c>
      <c r="G3083" s="79">
        <v>1497100</v>
      </c>
    </row>
    <row r="3084" spans="1:7" x14ac:dyDescent="0.25">
      <c r="A3084" s="1" t="s">
        <v>3207</v>
      </c>
      <c r="B3084" s="76">
        <v>61.542926999999999</v>
      </c>
      <c r="C3084" s="76">
        <v>61.930678999999998</v>
      </c>
      <c r="D3084" s="76">
        <v>61.4551319999999</v>
      </c>
      <c r="E3084" s="76">
        <v>61.872149999999998</v>
      </c>
      <c r="F3084" s="76">
        <v>51.024956000000003</v>
      </c>
      <c r="G3084" s="79">
        <v>1430300</v>
      </c>
    </row>
    <row r="3085" spans="1:7" x14ac:dyDescent="0.25">
      <c r="A3085" s="1" t="s">
        <v>3208</v>
      </c>
      <c r="B3085" s="76">
        <v>61.674618000000002</v>
      </c>
      <c r="C3085" s="76">
        <v>61.813621999999903</v>
      </c>
      <c r="D3085" s="76">
        <v>61.206386999999999</v>
      </c>
      <c r="E3085" s="76">
        <v>61.564877000000003</v>
      </c>
      <c r="F3085" s="76">
        <v>50.771560999999998</v>
      </c>
      <c r="G3085" s="79">
        <v>1378000</v>
      </c>
    </row>
    <row r="3086" spans="1:7" x14ac:dyDescent="0.25">
      <c r="A3086" s="1" t="s">
        <v>3209</v>
      </c>
      <c r="B3086" s="76">
        <v>61.177119999999903</v>
      </c>
      <c r="C3086" s="76">
        <v>61.301494999999903</v>
      </c>
      <c r="D3086" s="76">
        <v>60.518673</v>
      </c>
      <c r="E3086" s="76">
        <v>60.606468</v>
      </c>
      <c r="F3086" s="76">
        <v>49.981181999999997</v>
      </c>
      <c r="G3086" s="79">
        <v>1008400</v>
      </c>
    </row>
    <row r="3087" spans="1:7" x14ac:dyDescent="0.25">
      <c r="A3087" s="1" t="s">
        <v>3210</v>
      </c>
      <c r="B3087" s="76">
        <v>60.365035999999897</v>
      </c>
      <c r="C3087" s="76">
        <v>60.730843</v>
      </c>
      <c r="D3087" s="76">
        <v>59.772433999999997</v>
      </c>
      <c r="E3087" s="76">
        <v>59.991917000000001</v>
      </c>
      <c r="F3087" s="76">
        <v>49.474373</v>
      </c>
      <c r="G3087" s="79">
        <v>981200</v>
      </c>
    </row>
    <row r="3088" spans="1:7" x14ac:dyDescent="0.25">
      <c r="A3088" s="1" t="s">
        <v>3211</v>
      </c>
      <c r="B3088" s="76">
        <v>59.121299999999998</v>
      </c>
      <c r="C3088" s="76">
        <v>59.421261000000001</v>
      </c>
      <c r="D3088" s="76">
        <v>58.806708999999998</v>
      </c>
      <c r="E3088" s="76">
        <v>59.201777999999997</v>
      </c>
      <c r="F3088" s="76">
        <v>48.822758</v>
      </c>
      <c r="G3088" s="79">
        <v>1104400</v>
      </c>
    </row>
    <row r="3089" spans="1:7" x14ac:dyDescent="0.25">
      <c r="A3089" s="1" t="s">
        <v>3212</v>
      </c>
      <c r="B3089" s="76">
        <v>59.172516000000002</v>
      </c>
      <c r="C3089" s="76">
        <v>59.377364999999998</v>
      </c>
      <c r="D3089" s="76">
        <v>57.936095999999999</v>
      </c>
      <c r="E3089" s="76">
        <v>58.038520999999903</v>
      </c>
      <c r="F3089" s="76">
        <v>47.863438000000002</v>
      </c>
      <c r="G3089" s="79">
        <v>2003000</v>
      </c>
    </row>
    <row r="3090" spans="1:7" x14ac:dyDescent="0.25">
      <c r="A3090" s="1" t="s">
        <v>3213</v>
      </c>
      <c r="B3090" s="76">
        <v>58.616492999999998</v>
      </c>
      <c r="C3090" s="76">
        <v>58.762813999999999</v>
      </c>
      <c r="D3090" s="76">
        <v>58.133628999999999</v>
      </c>
      <c r="E3090" s="76">
        <v>58.418956999999899</v>
      </c>
      <c r="F3090" s="76">
        <v>48.177184999999902</v>
      </c>
      <c r="G3090" s="79">
        <v>1104400</v>
      </c>
    </row>
    <row r="3091" spans="1:7" x14ac:dyDescent="0.25">
      <c r="A3091" s="1" t="s">
        <v>3214</v>
      </c>
      <c r="B3091" s="76">
        <v>58.389693999999899</v>
      </c>
      <c r="C3091" s="76">
        <v>59.282256999999902</v>
      </c>
      <c r="D3091" s="76">
        <v>58.162894999999899</v>
      </c>
      <c r="E3091" s="76">
        <v>59.282256999999902</v>
      </c>
      <c r="F3091" s="76">
        <v>48.889130000000002</v>
      </c>
      <c r="G3091" s="79">
        <v>1217600</v>
      </c>
    </row>
    <row r="3092" spans="1:7" x14ac:dyDescent="0.25">
      <c r="A3092" s="1" t="s">
        <v>3215</v>
      </c>
      <c r="B3092" s="76">
        <v>59.238357999999998</v>
      </c>
      <c r="C3092" s="76">
        <v>59.384681999999998</v>
      </c>
      <c r="D3092" s="76">
        <v>58.470168999999899</v>
      </c>
      <c r="E3092" s="76">
        <v>58.484802000000002</v>
      </c>
      <c r="F3092" s="76">
        <v>48.231487000000001</v>
      </c>
      <c r="G3092" s="79">
        <v>1334000</v>
      </c>
    </row>
    <row r="3093" spans="1:7" x14ac:dyDescent="0.25">
      <c r="A3093" s="1" t="s">
        <v>3216</v>
      </c>
      <c r="B3093" s="76">
        <v>59.991917000000001</v>
      </c>
      <c r="C3093" s="76">
        <v>61.008853999999999</v>
      </c>
      <c r="D3093" s="76">
        <v>59.223728000000001</v>
      </c>
      <c r="E3093" s="76">
        <v>60.101657999999901</v>
      </c>
      <c r="F3093" s="76">
        <v>49.564880000000002</v>
      </c>
      <c r="G3093" s="79">
        <v>3383200</v>
      </c>
    </row>
    <row r="3094" spans="1:7" x14ac:dyDescent="0.25">
      <c r="A3094" s="1" t="s">
        <v>3217</v>
      </c>
      <c r="B3094" s="76">
        <v>60.635731</v>
      </c>
      <c r="C3094" s="76">
        <v>61.074695999999904</v>
      </c>
      <c r="D3094" s="76">
        <v>60.145553999999997</v>
      </c>
      <c r="E3094" s="76">
        <v>60.833266999999999</v>
      </c>
      <c r="F3094" s="76">
        <v>50.168213000000002</v>
      </c>
      <c r="G3094" s="79">
        <v>1707900</v>
      </c>
    </row>
    <row r="3095" spans="1:7" x14ac:dyDescent="0.25">
      <c r="A3095" s="1" t="s">
        <v>3218</v>
      </c>
      <c r="B3095" s="76">
        <v>60.547939</v>
      </c>
      <c r="C3095" s="76">
        <v>61.067379000000003</v>
      </c>
      <c r="D3095" s="76">
        <v>60.430881999999997</v>
      </c>
      <c r="E3095" s="76">
        <v>60.767421999999897</v>
      </c>
      <c r="F3095" s="76">
        <v>50.113921999999903</v>
      </c>
      <c r="G3095" s="79">
        <v>1122900</v>
      </c>
    </row>
    <row r="3096" spans="1:7" x14ac:dyDescent="0.25">
      <c r="A3096" s="1" t="s">
        <v>3219</v>
      </c>
      <c r="B3096" s="76">
        <v>60.921059</v>
      </c>
      <c r="C3096" s="76">
        <v>61.067379000000003</v>
      </c>
      <c r="D3096" s="76">
        <v>60.467461</v>
      </c>
      <c r="E3096" s="76">
        <v>60.672314</v>
      </c>
      <c r="F3096" s="76">
        <v>50.035483999999997</v>
      </c>
      <c r="G3096" s="79">
        <v>1562000</v>
      </c>
    </row>
    <row r="3097" spans="1:7" x14ac:dyDescent="0.25">
      <c r="A3097" s="1" t="s">
        <v>3220</v>
      </c>
      <c r="B3097" s="76">
        <v>60.847896999999897</v>
      </c>
      <c r="C3097" s="76">
        <v>61.616089000000002</v>
      </c>
      <c r="D3097" s="76">
        <v>60.672314</v>
      </c>
      <c r="E3097" s="76">
        <v>61.213703000000002</v>
      </c>
      <c r="F3097" s="76">
        <v>50.481955999999997</v>
      </c>
      <c r="G3097" s="79">
        <v>1619000</v>
      </c>
    </row>
    <row r="3098" spans="1:7" x14ac:dyDescent="0.25">
      <c r="A3098" s="1" t="s">
        <v>3221</v>
      </c>
      <c r="B3098" s="76">
        <v>60.547939</v>
      </c>
      <c r="C3098" s="76">
        <v>60.957638000000003</v>
      </c>
      <c r="D3098" s="76">
        <v>60.226031999999996</v>
      </c>
      <c r="E3098" s="76">
        <v>60.562571999999903</v>
      </c>
      <c r="F3098" s="76">
        <v>49.944988000000002</v>
      </c>
      <c r="G3098" s="79">
        <v>2259400</v>
      </c>
    </row>
    <row r="3099" spans="1:7" x14ac:dyDescent="0.25">
      <c r="A3099" s="1" t="s">
        <v>3222</v>
      </c>
      <c r="B3099" s="76">
        <v>60.69426</v>
      </c>
      <c r="C3099" s="76">
        <v>61.923363000000002</v>
      </c>
      <c r="D3099" s="76">
        <v>60.650364000000003</v>
      </c>
      <c r="E3099" s="76">
        <v>61.886783999999999</v>
      </c>
      <c r="F3099" s="76">
        <v>51.037040999999903</v>
      </c>
      <c r="G3099" s="79">
        <v>1973000</v>
      </c>
    </row>
    <row r="3100" spans="1:7" x14ac:dyDescent="0.25">
      <c r="A3100" s="1" t="s">
        <v>3223</v>
      </c>
      <c r="B3100" s="76">
        <v>61.872149999999998</v>
      </c>
      <c r="C3100" s="76">
        <v>62.259903000000001</v>
      </c>
      <c r="D3100" s="76">
        <v>61.740458999999902</v>
      </c>
      <c r="E3100" s="76">
        <v>62.164794999999998</v>
      </c>
      <c r="F3100" s="76">
        <v>51.266319000000003</v>
      </c>
      <c r="G3100" s="79">
        <v>1735000</v>
      </c>
    </row>
    <row r="3101" spans="1:7" x14ac:dyDescent="0.25">
      <c r="A3101" s="1" t="s">
        <v>3224</v>
      </c>
      <c r="B3101" s="76">
        <v>61.930678999999998</v>
      </c>
      <c r="C3101" s="76">
        <v>62.596443000000001</v>
      </c>
      <c r="D3101" s="76">
        <v>61.630718000000002</v>
      </c>
      <c r="E3101" s="76">
        <v>62.450122999999998</v>
      </c>
      <c r="F3101" s="76">
        <v>51.501613999999996</v>
      </c>
      <c r="G3101" s="79">
        <v>1955200</v>
      </c>
    </row>
    <row r="3102" spans="1:7" x14ac:dyDescent="0.25">
      <c r="A3102" s="1" t="s">
        <v>3225</v>
      </c>
      <c r="B3102" s="76">
        <v>62.808608999999997</v>
      </c>
      <c r="C3102" s="76">
        <v>63.225628</v>
      </c>
      <c r="D3102" s="76">
        <v>62.355010999999998</v>
      </c>
      <c r="E3102" s="76">
        <v>62.918349999999997</v>
      </c>
      <c r="F3102" s="76">
        <v>51.887752999999996</v>
      </c>
      <c r="G3102" s="79">
        <v>1800000</v>
      </c>
    </row>
    <row r="3103" spans="1:7" x14ac:dyDescent="0.25">
      <c r="A3103" s="1" t="s">
        <v>3226</v>
      </c>
      <c r="B3103" s="76">
        <v>62.706183999999901</v>
      </c>
      <c r="C3103" s="76">
        <v>62.815925999999997</v>
      </c>
      <c r="D3103" s="76">
        <v>62.289164999999997</v>
      </c>
      <c r="E3103" s="76">
        <v>62.801291999999997</v>
      </c>
      <c r="F3103" s="76">
        <v>51.791221999999998</v>
      </c>
      <c r="G3103" s="79">
        <v>1598800</v>
      </c>
    </row>
    <row r="3104" spans="1:7" x14ac:dyDescent="0.25">
      <c r="A3104" s="1" t="s">
        <v>3227</v>
      </c>
      <c r="B3104" s="76">
        <v>63.050041</v>
      </c>
      <c r="C3104" s="76">
        <v>64.308410999999893</v>
      </c>
      <c r="D3104" s="76">
        <v>62.867137999999997</v>
      </c>
      <c r="E3104" s="76">
        <v>64.008445999999907</v>
      </c>
      <c r="F3104" s="76">
        <v>52.786738999999997</v>
      </c>
      <c r="G3104" s="79">
        <v>1690000</v>
      </c>
    </row>
    <row r="3105" spans="1:7" x14ac:dyDescent="0.25">
      <c r="A3105" s="1" t="s">
        <v>3228</v>
      </c>
      <c r="B3105" s="76">
        <v>63.693854999999999</v>
      </c>
      <c r="C3105" s="76">
        <v>64.169403000000003</v>
      </c>
      <c r="D3105" s="76">
        <v>63.108569999999901</v>
      </c>
      <c r="E3105" s="76">
        <v>64.088927999999996</v>
      </c>
      <c r="F3105" s="76">
        <v>52.853115000000003</v>
      </c>
      <c r="G3105" s="79">
        <v>1873800</v>
      </c>
    </row>
    <row r="3106" spans="1:7" x14ac:dyDescent="0.25">
      <c r="A3106" s="1" t="s">
        <v>3229</v>
      </c>
      <c r="B3106" s="76">
        <v>64.147452999999999</v>
      </c>
      <c r="C3106" s="76">
        <v>64.337668999999906</v>
      </c>
      <c r="D3106" s="76">
        <v>63.598746999999904</v>
      </c>
      <c r="E3106" s="76">
        <v>63.752383999999999</v>
      </c>
      <c r="F3106" s="76">
        <v>52.575572999999999</v>
      </c>
      <c r="G3106" s="79">
        <v>1680200</v>
      </c>
    </row>
    <row r="3107" spans="1:7" x14ac:dyDescent="0.25">
      <c r="A3107" s="1" t="s">
        <v>3230</v>
      </c>
      <c r="B3107" s="76">
        <v>63.423161</v>
      </c>
      <c r="C3107" s="76">
        <v>63.64996</v>
      </c>
      <c r="D3107" s="76">
        <v>62.911033999999901</v>
      </c>
      <c r="E3107" s="76">
        <v>63.123199</v>
      </c>
      <c r="F3107" s="76">
        <v>52.056683</v>
      </c>
      <c r="G3107" s="79">
        <v>1224100</v>
      </c>
    </row>
    <row r="3108" spans="1:7" x14ac:dyDescent="0.25">
      <c r="A3108" s="1" t="s">
        <v>3231</v>
      </c>
      <c r="B3108" s="76">
        <v>62.903717</v>
      </c>
      <c r="C3108" s="76">
        <v>64.359618999999995</v>
      </c>
      <c r="D3108" s="76">
        <v>62.735447000000001</v>
      </c>
      <c r="E3108" s="76">
        <v>64.045029</v>
      </c>
      <c r="F3108" s="76">
        <v>52.816906000000003</v>
      </c>
      <c r="G3108" s="79">
        <v>1184400</v>
      </c>
    </row>
    <row r="3109" spans="1:7" x14ac:dyDescent="0.25">
      <c r="A3109" s="1" t="s">
        <v>3232</v>
      </c>
      <c r="B3109" s="76">
        <v>63.876759</v>
      </c>
      <c r="C3109" s="76">
        <v>64.535209999999907</v>
      </c>
      <c r="D3109" s="76">
        <v>63.225628</v>
      </c>
      <c r="E3109" s="76">
        <v>64.432777000000002</v>
      </c>
      <c r="F3109" s="76">
        <v>53.136681000000003</v>
      </c>
      <c r="G3109" s="79">
        <v>1340500</v>
      </c>
    </row>
    <row r="3110" spans="1:7" x14ac:dyDescent="0.25">
      <c r="A3110" s="1" t="s">
        <v>3233</v>
      </c>
      <c r="B3110" s="76">
        <v>63.759701</v>
      </c>
      <c r="C3110" s="76">
        <v>64.747375000000005</v>
      </c>
      <c r="D3110" s="76">
        <v>63.628009999999897</v>
      </c>
      <c r="E3110" s="76">
        <v>64.257194999999996</v>
      </c>
      <c r="F3110" s="76">
        <v>52.991881999999997</v>
      </c>
      <c r="G3110" s="79">
        <v>1690600</v>
      </c>
    </row>
    <row r="3111" spans="1:7" x14ac:dyDescent="0.25">
      <c r="A3111" s="1" t="s">
        <v>3234</v>
      </c>
      <c r="B3111" s="76">
        <v>64.601050999999998</v>
      </c>
      <c r="C3111" s="76">
        <v>64.637633999999906</v>
      </c>
      <c r="D3111" s="76">
        <v>63.364631999999901</v>
      </c>
      <c r="E3111" s="76">
        <v>63.64996</v>
      </c>
      <c r="F3111" s="76">
        <v>52.906737999999997</v>
      </c>
      <c r="G3111" s="79">
        <v>1099100</v>
      </c>
    </row>
    <row r="3112" spans="1:7" x14ac:dyDescent="0.25">
      <c r="A3112" s="1" t="s">
        <v>3235</v>
      </c>
      <c r="B3112" s="76">
        <v>63.335368999999901</v>
      </c>
      <c r="C3112" s="76">
        <v>64.359618999999995</v>
      </c>
      <c r="D3112" s="76">
        <v>63.093936999999997</v>
      </c>
      <c r="E3112" s="76">
        <v>63.986499999999999</v>
      </c>
      <c r="F3112" s="76">
        <v>53.186478000000001</v>
      </c>
      <c r="G3112" s="79">
        <v>1192800</v>
      </c>
    </row>
    <row r="3113" spans="1:7" x14ac:dyDescent="0.25">
      <c r="A3113" s="1" t="s">
        <v>3236</v>
      </c>
      <c r="B3113" s="76">
        <v>63.291469999999997</v>
      </c>
      <c r="C3113" s="76">
        <v>64.176719999999904</v>
      </c>
      <c r="D3113" s="76">
        <v>63.203677999999996</v>
      </c>
      <c r="E3113" s="76">
        <v>63.657276000000003</v>
      </c>
      <c r="F3113" s="76">
        <v>52.912827</v>
      </c>
      <c r="G3113" s="79">
        <v>1679100</v>
      </c>
    </row>
    <row r="3114" spans="1:7" x14ac:dyDescent="0.25">
      <c r="A3114" s="1" t="s">
        <v>3237</v>
      </c>
      <c r="B3114" s="76">
        <v>63.547534999999897</v>
      </c>
      <c r="C3114" s="76">
        <v>63.686539000000003</v>
      </c>
      <c r="D3114" s="76">
        <v>62.889088000000001</v>
      </c>
      <c r="E3114" s="76">
        <v>63.196362000000001</v>
      </c>
      <c r="F3114" s="76">
        <v>52.529701000000003</v>
      </c>
      <c r="G3114" s="79">
        <v>1716700</v>
      </c>
    </row>
    <row r="3115" spans="1:7" x14ac:dyDescent="0.25">
      <c r="A3115" s="1" t="s">
        <v>3238</v>
      </c>
      <c r="B3115" s="76">
        <v>63.130516</v>
      </c>
      <c r="C3115" s="76">
        <v>63.130516</v>
      </c>
      <c r="D3115" s="76">
        <v>61.864833999999902</v>
      </c>
      <c r="E3115" s="76">
        <v>61.930678999999998</v>
      </c>
      <c r="F3115" s="76">
        <v>51.477657000000001</v>
      </c>
      <c r="G3115" s="79">
        <v>1930600</v>
      </c>
    </row>
    <row r="3116" spans="1:7" x14ac:dyDescent="0.25">
      <c r="A3116" s="1" t="s">
        <v>3239</v>
      </c>
      <c r="B3116" s="76">
        <v>61.842888000000002</v>
      </c>
      <c r="C3116" s="76">
        <v>61.937995999999998</v>
      </c>
      <c r="D3116" s="76">
        <v>60.313823999999997</v>
      </c>
      <c r="E3116" s="76">
        <v>60.313823999999997</v>
      </c>
      <c r="F3116" s="76">
        <v>50.133697999999903</v>
      </c>
      <c r="G3116" s="79">
        <v>1662700</v>
      </c>
    </row>
    <row r="3117" spans="1:7" x14ac:dyDescent="0.25">
      <c r="A3117" s="1" t="s">
        <v>3240</v>
      </c>
      <c r="B3117" s="76">
        <v>60.789368000000003</v>
      </c>
      <c r="C3117" s="76">
        <v>60.972270999999999</v>
      </c>
      <c r="D3117" s="76">
        <v>59.209094999999998</v>
      </c>
      <c r="E3117" s="76">
        <v>59.465156999999998</v>
      </c>
      <c r="F3117" s="76">
        <v>49.428280000000001</v>
      </c>
      <c r="G3117" s="79">
        <v>1905700</v>
      </c>
    </row>
    <row r="3118" spans="1:7" x14ac:dyDescent="0.25">
      <c r="A3118" s="1" t="s">
        <v>3241</v>
      </c>
      <c r="B3118" s="76">
        <v>59.604163999999997</v>
      </c>
      <c r="C3118" s="76">
        <v>60.745471999999999</v>
      </c>
      <c r="D3118" s="76">
        <v>59.516368999999997</v>
      </c>
      <c r="E3118" s="76">
        <v>60.613785</v>
      </c>
      <c r="F3118" s="76">
        <v>50.383021999999997</v>
      </c>
      <c r="G3118" s="79">
        <v>1358700</v>
      </c>
    </row>
    <row r="3119" spans="1:7" x14ac:dyDescent="0.25">
      <c r="A3119" s="1" t="s">
        <v>3242</v>
      </c>
      <c r="B3119" s="76">
        <v>60.869845999999903</v>
      </c>
      <c r="C3119" s="76">
        <v>61.060065999999999</v>
      </c>
      <c r="D3119" s="76">
        <v>60.299191</v>
      </c>
      <c r="E3119" s="76">
        <v>60.69426</v>
      </c>
      <c r="F3119" s="76">
        <v>50.449916999999999</v>
      </c>
      <c r="G3119" s="79">
        <v>1099900</v>
      </c>
    </row>
    <row r="3120" spans="1:7" x14ac:dyDescent="0.25">
      <c r="A3120" s="1" t="s">
        <v>3243</v>
      </c>
      <c r="B3120" s="76">
        <v>60.313823999999997</v>
      </c>
      <c r="C3120" s="76">
        <v>60.847896999999897</v>
      </c>
      <c r="D3120" s="76">
        <v>59.604163999999997</v>
      </c>
      <c r="E3120" s="76">
        <v>60.635731</v>
      </c>
      <c r="F3120" s="76">
        <v>50.401271999999999</v>
      </c>
      <c r="G3120" s="79">
        <v>1176800</v>
      </c>
    </row>
    <row r="3121" spans="1:7" x14ac:dyDescent="0.25">
      <c r="A3121" s="1" t="s">
        <v>3244</v>
      </c>
      <c r="B3121" s="76">
        <v>60.825951000000003</v>
      </c>
      <c r="C3121" s="76">
        <v>61.294178000000002</v>
      </c>
      <c r="D3121" s="76">
        <v>60.057761999999997</v>
      </c>
      <c r="E3121" s="76">
        <v>60.899108999999903</v>
      </c>
      <c r="F3121" s="76">
        <v>50.620193</v>
      </c>
      <c r="G3121" s="79">
        <v>770000</v>
      </c>
    </row>
    <row r="3122" spans="1:7" x14ac:dyDescent="0.25">
      <c r="A3122" s="1" t="s">
        <v>3245</v>
      </c>
      <c r="B3122" s="76">
        <v>60.891795999999999</v>
      </c>
      <c r="C3122" s="76">
        <v>61.1478579999999</v>
      </c>
      <c r="D3122" s="76">
        <v>60.504043999999901</v>
      </c>
      <c r="E3122" s="76">
        <v>60.796683999999999</v>
      </c>
      <c r="F3122" s="76">
        <v>50.535052999999998</v>
      </c>
      <c r="G3122" s="79">
        <v>1058000</v>
      </c>
    </row>
    <row r="3123" spans="1:7" x14ac:dyDescent="0.25">
      <c r="A3123" s="1" t="s">
        <v>3246</v>
      </c>
      <c r="B3123" s="76">
        <v>61.067379000000003</v>
      </c>
      <c r="C3123" s="76">
        <v>61.535609999999998</v>
      </c>
      <c r="D3123" s="76">
        <v>60.752789</v>
      </c>
      <c r="E3123" s="76">
        <v>61.425868999999899</v>
      </c>
      <c r="F3123" s="76">
        <v>51.058036999999999</v>
      </c>
      <c r="G3123" s="79">
        <v>1124300</v>
      </c>
    </row>
    <row r="3124" spans="1:7" x14ac:dyDescent="0.25">
      <c r="A3124" s="1" t="s">
        <v>3247</v>
      </c>
      <c r="B3124" s="76">
        <v>60.847896999999897</v>
      </c>
      <c r="C3124" s="76">
        <v>60.972270999999999</v>
      </c>
      <c r="D3124" s="76">
        <v>59.757801000000001</v>
      </c>
      <c r="E3124" s="76">
        <v>59.772433999999997</v>
      </c>
      <c r="F3124" s="76">
        <v>49.683684999999997</v>
      </c>
      <c r="G3124" s="79">
        <v>1486600</v>
      </c>
    </row>
    <row r="3125" spans="1:7" x14ac:dyDescent="0.25">
      <c r="A3125" s="1" t="s">
        <v>3248</v>
      </c>
      <c r="B3125" s="76">
        <v>59.750484</v>
      </c>
      <c r="C3125" s="76">
        <v>60.511355999999999</v>
      </c>
      <c r="D3125" s="76">
        <v>59.004245999999902</v>
      </c>
      <c r="E3125" s="76">
        <v>59.933388000000001</v>
      </c>
      <c r="F3125" s="76">
        <v>49.817478000000001</v>
      </c>
      <c r="G3125" s="79">
        <v>1698800</v>
      </c>
    </row>
    <row r="3126" spans="1:7" x14ac:dyDescent="0.25">
      <c r="A3126" s="1" t="s">
        <v>3249</v>
      </c>
      <c r="B3126" s="76">
        <v>59.121299999999998</v>
      </c>
      <c r="C3126" s="76">
        <v>59.421261000000001</v>
      </c>
      <c r="D3126" s="76">
        <v>58.440906999999903</v>
      </c>
      <c r="E3126" s="76">
        <v>58.550647999999903</v>
      </c>
      <c r="F3126" s="76">
        <v>48.668125000000003</v>
      </c>
      <c r="G3126" s="79">
        <v>1856900</v>
      </c>
    </row>
    <row r="3127" spans="1:7" x14ac:dyDescent="0.25">
      <c r="A3127" s="1" t="s">
        <v>3250</v>
      </c>
      <c r="B3127" s="76">
        <v>58.726233999999998</v>
      </c>
      <c r="C3127" s="76">
        <v>58.865237999999998</v>
      </c>
      <c r="D3127" s="76">
        <v>57.475181999999997</v>
      </c>
      <c r="E3127" s="76">
        <v>58.089732999999903</v>
      </c>
      <c r="F3127" s="76">
        <v>48.284999999999997</v>
      </c>
      <c r="G3127" s="79">
        <v>1573100</v>
      </c>
    </row>
    <row r="3128" spans="1:7" x14ac:dyDescent="0.25">
      <c r="A3128" s="1" t="s">
        <v>3251</v>
      </c>
      <c r="B3128" s="76">
        <v>57.943413</v>
      </c>
      <c r="C3128" s="76">
        <v>59.070087000000001</v>
      </c>
      <c r="D3128" s="76">
        <v>57.753193000000003</v>
      </c>
      <c r="E3128" s="76">
        <v>58.901817000000001</v>
      </c>
      <c r="F3128" s="76">
        <v>48.960011000000002</v>
      </c>
      <c r="G3128" s="79">
        <v>1170100</v>
      </c>
    </row>
    <row r="3129" spans="1:7" x14ac:dyDescent="0.25">
      <c r="A3129" s="1" t="s">
        <v>3252</v>
      </c>
      <c r="B3129" s="76">
        <v>59.648060000000001</v>
      </c>
      <c r="C3129" s="76">
        <v>60.079707999999997</v>
      </c>
      <c r="D3129" s="76">
        <v>58.477485999999999</v>
      </c>
      <c r="E3129" s="76">
        <v>60.079707999999997</v>
      </c>
      <c r="F3129" s="76">
        <v>49.939090999999998</v>
      </c>
      <c r="G3129" s="79">
        <v>1477200</v>
      </c>
    </row>
    <row r="3130" spans="1:7" x14ac:dyDescent="0.25">
      <c r="A3130" s="1" t="s">
        <v>3253</v>
      </c>
      <c r="B3130" s="76">
        <v>60.664997</v>
      </c>
      <c r="C3130" s="76">
        <v>60.723526</v>
      </c>
      <c r="D3130" s="76">
        <v>59.626109999999997</v>
      </c>
      <c r="E3130" s="76">
        <v>59.823646999999902</v>
      </c>
      <c r="F3130" s="76">
        <v>49.726261000000001</v>
      </c>
      <c r="G3130" s="79">
        <v>1605100</v>
      </c>
    </row>
    <row r="3131" spans="1:7" x14ac:dyDescent="0.25">
      <c r="A3131" s="1" t="s">
        <v>3254</v>
      </c>
      <c r="B3131" s="76">
        <v>59.662692999999997</v>
      </c>
      <c r="C3131" s="76">
        <v>60.504043999999901</v>
      </c>
      <c r="D3131" s="76">
        <v>59.662692999999997</v>
      </c>
      <c r="E3131" s="76">
        <v>60.4601439999999</v>
      </c>
      <c r="F3131" s="76">
        <v>50.255328999999897</v>
      </c>
      <c r="G3131" s="79">
        <v>1131100</v>
      </c>
    </row>
    <row r="3132" spans="1:7" x14ac:dyDescent="0.25">
      <c r="A3132" s="1" t="s">
        <v>3255</v>
      </c>
      <c r="B3132" s="76">
        <v>61.082011999999999</v>
      </c>
      <c r="C3132" s="76">
        <v>61.089328999999999</v>
      </c>
      <c r="D3132" s="76">
        <v>58.828658999999902</v>
      </c>
      <c r="E3132" s="76">
        <v>58.909133999999902</v>
      </c>
      <c r="F3132" s="76">
        <v>48.966087000000002</v>
      </c>
      <c r="G3132" s="79">
        <v>1620100</v>
      </c>
    </row>
    <row r="3133" spans="1:7" x14ac:dyDescent="0.25">
      <c r="A3133" s="1" t="s">
        <v>3256</v>
      </c>
      <c r="B3133" s="76">
        <v>58.601859999999903</v>
      </c>
      <c r="C3133" s="76">
        <v>59.267623999999998</v>
      </c>
      <c r="D3133" s="76">
        <v>58.038520999999903</v>
      </c>
      <c r="E3133" s="76">
        <v>58.982295999999998</v>
      </c>
      <c r="F3133" s="76">
        <v>49.026913</v>
      </c>
      <c r="G3133" s="79">
        <v>1767700</v>
      </c>
    </row>
    <row r="3134" spans="1:7" x14ac:dyDescent="0.25">
      <c r="A3134" s="1" t="s">
        <v>3257</v>
      </c>
      <c r="B3134" s="76">
        <v>58.623806000000002</v>
      </c>
      <c r="C3134" s="76">
        <v>59.501739999999998</v>
      </c>
      <c r="D3134" s="76">
        <v>58.294581999999998</v>
      </c>
      <c r="E3134" s="76">
        <v>58.572593999999903</v>
      </c>
      <c r="F3134" s="76">
        <v>48.686363</v>
      </c>
      <c r="G3134" s="79">
        <v>1392900</v>
      </c>
    </row>
    <row r="3135" spans="1:7" x14ac:dyDescent="0.25">
      <c r="A3135" s="1" t="s">
        <v>3258</v>
      </c>
      <c r="B3135" s="76">
        <v>58.821342000000001</v>
      </c>
      <c r="C3135" s="76">
        <v>59.684638999999997</v>
      </c>
      <c r="D3135" s="76">
        <v>58.653071999999902</v>
      </c>
      <c r="E3135" s="76">
        <v>59.435893999999998</v>
      </c>
      <c r="F3135" s="76">
        <v>49.403950000000002</v>
      </c>
      <c r="G3135" s="79">
        <v>1132500</v>
      </c>
    </row>
    <row r="3136" spans="1:7" x14ac:dyDescent="0.25">
      <c r="A3136" s="1" t="s">
        <v>3259</v>
      </c>
      <c r="B3136" s="76">
        <v>59.772433999999997</v>
      </c>
      <c r="C3136" s="76">
        <v>60.013863000000001</v>
      </c>
      <c r="D3136" s="76">
        <v>59.296886000000001</v>
      </c>
      <c r="E3136" s="76">
        <v>59.845592000000003</v>
      </c>
      <c r="F3136" s="76">
        <v>49.744495000000001</v>
      </c>
      <c r="G3136" s="79">
        <v>2269800</v>
      </c>
    </row>
    <row r="3137" spans="1:7" x14ac:dyDescent="0.25">
      <c r="A3137" s="1" t="s">
        <v>3260</v>
      </c>
      <c r="B3137" s="76">
        <v>59.574897999999997</v>
      </c>
      <c r="C3137" s="76">
        <v>60.708893000000003</v>
      </c>
      <c r="D3137" s="76">
        <v>59.516368999999997</v>
      </c>
      <c r="E3137" s="76">
        <v>60.467461</v>
      </c>
      <c r="F3137" s="76">
        <v>50.261409999999998</v>
      </c>
      <c r="G3137" s="79">
        <v>1057900</v>
      </c>
    </row>
    <row r="3138" spans="1:7" x14ac:dyDescent="0.25">
      <c r="A3138" s="1" t="s">
        <v>3261</v>
      </c>
      <c r="B3138" s="76">
        <v>60.723526</v>
      </c>
      <c r="C3138" s="76">
        <v>60.840584</v>
      </c>
      <c r="D3138" s="76">
        <v>60.255294999999997</v>
      </c>
      <c r="E3138" s="76">
        <v>60.474777000000003</v>
      </c>
      <c r="F3138" s="76">
        <v>50.267482999999999</v>
      </c>
      <c r="G3138" s="79">
        <v>1450600</v>
      </c>
    </row>
    <row r="3139" spans="1:7" x14ac:dyDescent="0.25">
      <c r="A3139" s="1" t="s">
        <v>3262</v>
      </c>
      <c r="B3139" s="76">
        <v>60.372352999999997</v>
      </c>
      <c r="C3139" s="76">
        <v>60.555256</v>
      </c>
      <c r="D3139" s="76">
        <v>59.713904999999997</v>
      </c>
      <c r="E3139" s="76">
        <v>60.145553999999997</v>
      </c>
      <c r="F3139" s="76">
        <v>49.993823999999996</v>
      </c>
      <c r="G3139" s="79">
        <v>2021800</v>
      </c>
    </row>
    <row r="3140" spans="1:7" x14ac:dyDescent="0.25">
      <c r="A3140" s="1" t="s">
        <v>3263</v>
      </c>
      <c r="B3140" s="76">
        <v>60.160187000000001</v>
      </c>
      <c r="C3140" s="76">
        <v>60.262611</v>
      </c>
      <c r="D3140" s="76">
        <v>58.960345999999902</v>
      </c>
      <c r="E3140" s="76">
        <v>59.062775000000002</v>
      </c>
      <c r="F3140" s="76">
        <v>49.093803000000001</v>
      </c>
      <c r="G3140" s="79">
        <v>1620100</v>
      </c>
    </row>
    <row r="3141" spans="1:7" x14ac:dyDescent="0.25">
      <c r="A3141" s="1" t="s">
        <v>3264</v>
      </c>
      <c r="B3141" s="76">
        <v>59.370049000000002</v>
      </c>
      <c r="C3141" s="76">
        <v>59.545634999999997</v>
      </c>
      <c r="D3141" s="76">
        <v>58.711601000000002</v>
      </c>
      <c r="E3141" s="76">
        <v>58.931083999999998</v>
      </c>
      <c r="F3141" s="76">
        <v>48.984344</v>
      </c>
      <c r="G3141" s="79">
        <v>1450800</v>
      </c>
    </row>
    <row r="3142" spans="1:7" x14ac:dyDescent="0.25">
      <c r="A3142" s="1" t="s">
        <v>3265</v>
      </c>
      <c r="B3142" s="76">
        <v>58.448222999999999</v>
      </c>
      <c r="C3142" s="76">
        <v>58.704284999999999</v>
      </c>
      <c r="D3142" s="76">
        <v>58.075099999999999</v>
      </c>
      <c r="E3142" s="76">
        <v>58.382378000000003</v>
      </c>
      <c r="F3142" s="76">
        <v>48.528270999999997</v>
      </c>
      <c r="G3142" s="79">
        <v>1019000</v>
      </c>
    </row>
    <row r="3143" spans="1:7" x14ac:dyDescent="0.25">
      <c r="A3143" s="1" t="s">
        <v>3266</v>
      </c>
      <c r="B3143" s="76">
        <v>58.477485999999999</v>
      </c>
      <c r="C3143" s="76">
        <v>58.894505000000002</v>
      </c>
      <c r="D3143" s="76">
        <v>58.236052999999998</v>
      </c>
      <c r="E3143" s="76">
        <v>58.762813999999999</v>
      </c>
      <c r="F3143" s="76">
        <v>48.844481999999999</v>
      </c>
      <c r="G3143" s="79">
        <v>1303200</v>
      </c>
    </row>
    <row r="3144" spans="1:7" x14ac:dyDescent="0.25">
      <c r="A3144" s="1" t="s">
        <v>3267</v>
      </c>
      <c r="B3144" s="76">
        <v>59.018875000000001</v>
      </c>
      <c r="C3144" s="76">
        <v>59.209094999999998</v>
      </c>
      <c r="D3144" s="76">
        <v>58.536014999999999</v>
      </c>
      <c r="E3144" s="76">
        <v>59.040824999999998</v>
      </c>
      <c r="F3144" s="76">
        <v>49.075564999999997</v>
      </c>
      <c r="G3144" s="79">
        <v>863300</v>
      </c>
    </row>
    <row r="3145" spans="1:7" x14ac:dyDescent="0.25">
      <c r="A3145" s="1" t="s">
        <v>3268</v>
      </c>
      <c r="B3145" s="76">
        <v>58.711601000000002</v>
      </c>
      <c r="C3145" s="76">
        <v>59.596848000000001</v>
      </c>
      <c r="D3145" s="76">
        <v>58.397006999999903</v>
      </c>
      <c r="E3145" s="76">
        <v>59.596848000000001</v>
      </c>
      <c r="F3145" s="76">
        <v>49.537742999999999</v>
      </c>
      <c r="G3145" s="79">
        <v>861600</v>
      </c>
    </row>
    <row r="3146" spans="1:7" x14ac:dyDescent="0.25">
      <c r="A3146" s="1" t="s">
        <v>3269</v>
      </c>
      <c r="B3146" s="76">
        <v>60.094341</v>
      </c>
      <c r="C3146" s="76">
        <v>61.440502000000002</v>
      </c>
      <c r="D3146" s="76">
        <v>60.028495999999997</v>
      </c>
      <c r="E3146" s="76">
        <v>61.440502000000002</v>
      </c>
      <c r="F3146" s="76">
        <v>51.070217</v>
      </c>
      <c r="G3146" s="79">
        <v>1534500</v>
      </c>
    </row>
    <row r="3147" spans="1:7" x14ac:dyDescent="0.25">
      <c r="A3147" s="1" t="s">
        <v>3270</v>
      </c>
      <c r="B3147" s="76">
        <v>61.250281999999899</v>
      </c>
      <c r="C3147" s="76">
        <v>61.813621999999903</v>
      </c>
      <c r="D3147" s="76">
        <v>60.606468</v>
      </c>
      <c r="E3147" s="76">
        <v>61.813621999999903</v>
      </c>
      <c r="F3147" s="76">
        <v>51.380352000000002</v>
      </c>
      <c r="G3147" s="79">
        <v>1655700</v>
      </c>
    </row>
    <row r="3148" spans="1:7" x14ac:dyDescent="0.25">
      <c r="A3148" s="1" t="s">
        <v>3271</v>
      </c>
      <c r="B3148" s="76">
        <v>61.842888000000002</v>
      </c>
      <c r="C3148" s="76">
        <v>62.398910999999998</v>
      </c>
      <c r="D3148" s="76">
        <v>61.696564000000002</v>
      </c>
      <c r="E3148" s="76">
        <v>62.011153999999998</v>
      </c>
      <c r="F3148" s="76">
        <v>51.544536999999998</v>
      </c>
      <c r="G3148" s="79">
        <v>1002800</v>
      </c>
    </row>
    <row r="3149" spans="1:7" x14ac:dyDescent="0.25">
      <c r="A3149" s="1" t="s">
        <v>3272</v>
      </c>
      <c r="B3149" s="76">
        <v>61.850200999999998</v>
      </c>
      <c r="C3149" s="76">
        <v>62.259903000000001</v>
      </c>
      <c r="D3149" s="76">
        <v>61.564877000000003</v>
      </c>
      <c r="E3149" s="76">
        <v>61.967257999999902</v>
      </c>
      <c r="F3149" s="76">
        <v>51.508057000000001</v>
      </c>
      <c r="G3149" s="79">
        <v>741600</v>
      </c>
    </row>
    <row r="3150" spans="1:7" x14ac:dyDescent="0.25">
      <c r="A3150" s="1" t="s">
        <v>3273</v>
      </c>
      <c r="B3150" s="76">
        <v>61.257598999999999</v>
      </c>
      <c r="C3150" s="76">
        <v>62.025787000000001</v>
      </c>
      <c r="D3150" s="76">
        <v>61.169806999999899</v>
      </c>
      <c r="E3150" s="76">
        <v>61.945312999999999</v>
      </c>
      <c r="F3150" s="76">
        <v>51.489826000000001</v>
      </c>
      <c r="G3150" s="79">
        <v>1000700</v>
      </c>
    </row>
    <row r="3151" spans="1:7" x14ac:dyDescent="0.25">
      <c r="A3151" s="1" t="s">
        <v>3274</v>
      </c>
      <c r="B3151" s="76">
        <v>61.820937999999998</v>
      </c>
      <c r="C3151" s="76">
        <v>61.937995999999998</v>
      </c>
      <c r="D3151" s="76">
        <v>61.389290000000003</v>
      </c>
      <c r="E3151" s="76">
        <v>61.857517000000001</v>
      </c>
      <c r="F3151" s="76">
        <v>51.416835999999897</v>
      </c>
      <c r="G3151" s="79">
        <v>1675400</v>
      </c>
    </row>
    <row r="3152" spans="1:7" x14ac:dyDescent="0.25">
      <c r="A3152" s="1" t="s">
        <v>3275</v>
      </c>
      <c r="B3152" s="76">
        <v>62.084316000000001</v>
      </c>
      <c r="C3152" s="76">
        <v>62.186740999999998</v>
      </c>
      <c r="D3152" s="76">
        <v>60.964953999999999</v>
      </c>
      <c r="E3152" s="76">
        <v>61.242966000000003</v>
      </c>
      <c r="F3152" s="76">
        <v>50.906025</v>
      </c>
      <c r="G3152" s="79">
        <v>1616100</v>
      </c>
    </row>
    <row r="3153" spans="1:7" x14ac:dyDescent="0.25">
      <c r="A3153" s="1" t="s">
        <v>3276</v>
      </c>
      <c r="B3153" s="76">
        <v>61.228335999999999</v>
      </c>
      <c r="C3153" s="76">
        <v>61.667301000000002</v>
      </c>
      <c r="D3153" s="76">
        <v>60.716208999999999</v>
      </c>
      <c r="E3153" s="76">
        <v>61.528293999999903</v>
      </c>
      <c r="F3153" s="76">
        <v>51.143188000000002</v>
      </c>
      <c r="G3153" s="79">
        <v>1444900</v>
      </c>
    </row>
    <row r="3154" spans="1:7" x14ac:dyDescent="0.25">
      <c r="A3154" s="1" t="s">
        <v>3277</v>
      </c>
      <c r="B3154" s="76">
        <v>60.752789</v>
      </c>
      <c r="C3154" s="76">
        <v>61.996524999999998</v>
      </c>
      <c r="D3154" s="76">
        <v>60.701576000000003</v>
      </c>
      <c r="E3154" s="76">
        <v>61.667301000000002</v>
      </c>
      <c r="F3154" s="76">
        <v>51.258735999999999</v>
      </c>
      <c r="G3154" s="79">
        <v>1437600</v>
      </c>
    </row>
    <row r="3155" spans="1:7" x14ac:dyDescent="0.25">
      <c r="A3155" s="1" t="s">
        <v>3278</v>
      </c>
      <c r="B3155" s="76">
        <v>61.806305000000002</v>
      </c>
      <c r="C3155" s="76">
        <v>62.808608999999997</v>
      </c>
      <c r="D3155" s="76">
        <v>61.608771999999902</v>
      </c>
      <c r="E3155" s="76">
        <v>62.801291999999997</v>
      </c>
      <c r="F3155" s="76">
        <v>52.201321</v>
      </c>
      <c r="G3155" s="79">
        <v>1642200</v>
      </c>
    </row>
    <row r="3156" spans="1:7" x14ac:dyDescent="0.25">
      <c r="A3156" s="1" t="s">
        <v>3279</v>
      </c>
      <c r="B3156" s="76">
        <v>62.845188</v>
      </c>
      <c r="C3156" s="76">
        <v>63.181728</v>
      </c>
      <c r="D3156" s="76">
        <v>62.369643999999901</v>
      </c>
      <c r="E3156" s="76">
        <v>62.903717</v>
      </c>
      <c r="F3156" s="76">
        <v>52.286448999999998</v>
      </c>
      <c r="G3156" s="79">
        <v>1078900</v>
      </c>
    </row>
    <row r="3157" spans="1:7" x14ac:dyDescent="0.25">
      <c r="A3157" s="1" t="s">
        <v>3280</v>
      </c>
      <c r="B3157" s="76">
        <v>62.932982999999901</v>
      </c>
      <c r="C3157" s="76">
        <v>63.328052999999997</v>
      </c>
      <c r="D3157" s="76">
        <v>62.347693999999997</v>
      </c>
      <c r="E3157" s="76">
        <v>63.247574</v>
      </c>
      <c r="F3157" s="76">
        <v>52.572272999999903</v>
      </c>
      <c r="G3157" s="79">
        <v>1022800</v>
      </c>
    </row>
    <row r="3158" spans="1:7" x14ac:dyDescent="0.25">
      <c r="A3158" s="1" t="s">
        <v>3281</v>
      </c>
      <c r="B3158" s="76">
        <v>63.0134579999999</v>
      </c>
      <c r="C3158" s="76">
        <v>63.254890000000003</v>
      </c>
      <c r="D3158" s="76">
        <v>62.347693999999997</v>
      </c>
      <c r="E3158" s="76">
        <v>62.618392999999998</v>
      </c>
      <c r="F3158" s="76">
        <v>52.049289999999999</v>
      </c>
      <c r="G3158" s="79">
        <v>824000</v>
      </c>
    </row>
    <row r="3159" spans="1:7" x14ac:dyDescent="0.25">
      <c r="A3159" s="1" t="s">
        <v>3282</v>
      </c>
      <c r="B3159" s="76">
        <v>62.647655</v>
      </c>
      <c r="C3159" s="76">
        <v>62.728133999999997</v>
      </c>
      <c r="D3159" s="76">
        <v>61.1478579999999</v>
      </c>
      <c r="E3159" s="76">
        <v>61.733142999999998</v>
      </c>
      <c r="F3159" s="76">
        <v>51.313460999999997</v>
      </c>
      <c r="G3159" s="79">
        <v>1425900</v>
      </c>
    </row>
    <row r="3160" spans="1:7" x14ac:dyDescent="0.25">
      <c r="A3160" s="1" t="s">
        <v>3283</v>
      </c>
      <c r="B3160" s="76">
        <v>61.616089000000002</v>
      </c>
      <c r="C3160" s="76">
        <v>61.967257999999902</v>
      </c>
      <c r="D3160" s="76">
        <v>60.913741999999999</v>
      </c>
      <c r="E3160" s="76">
        <v>61.074695999999904</v>
      </c>
      <c r="F3160" s="76">
        <v>50.766143999999997</v>
      </c>
      <c r="G3160" s="79">
        <v>1768000</v>
      </c>
    </row>
    <row r="3161" spans="1:7" x14ac:dyDescent="0.25">
      <c r="A3161" s="1" t="s">
        <v>3284</v>
      </c>
      <c r="B3161" s="76">
        <v>60.430881999999997</v>
      </c>
      <c r="C3161" s="76">
        <v>60.672314</v>
      </c>
      <c r="D3161" s="76">
        <v>59.962649999999996</v>
      </c>
      <c r="E3161" s="76">
        <v>60.255294999999997</v>
      </c>
      <c r="F3161" s="76">
        <v>50.085045000000001</v>
      </c>
      <c r="G3161" s="79">
        <v>992800</v>
      </c>
    </row>
    <row r="3162" spans="1:7" x14ac:dyDescent="0.25">
      <c r="A3162" s="1" t="s">
        <v>3285</v>
      </c>
      <c r="B3162" s="76">
        <v>60.167503000000004</v>
      </c>
      <c r="C3162" s="76">
        <v>60.394302000000003</v>
      </c>
      <c r="D3162" s="76">
        <v>59.187144999999902</v>
      </c>
      <c r="E3162" s="76">
        <v>59.691955999999998</v>
      </c>
      <c r="F3162" s="76">
        <v>49.616795000000003</v>
      </c>
      <c r="G3162" s="79">
        <v>1093500</v>
      </c>
    </row>
    <row r="3163" spans="1:7" x14ac:dyDescent="0.25">
      <c r="A3163" s="1" t="s">
        <v>3286</v>
      </c>
      <c r="B3163" s="76">
        <v>59.948020999999997</v>
      </c>
      <c r="C3163" s="76">
        <v>60.035812</v>
      </c>
      <c r="D3163" s="76">
        <v>59.209094999999998</v>
      </c>
      <c r="E3163" s="76">
        <v>59.582214</v>
      </c>
      <c r="F3163" s="76">
        <v>49.525570000000002</v>
      </c>
      <c r="G3163" s="79">
        <v>937800</v>
      </c>
    </row>
    <row r="3164" spans="1:7" x14ac:dyDescent="0.25">
      <c r="A3164" s="1" t="s">
        <v>3287</v>
      </c>
      <c r="B3164" s="76">
        <v>60.416247999999896</v>
      </c>
      <c r="C3164" s="76">
        <v>60.730843</v>
      </c>
      <c r="D3164" s="76">
        <v>59.889491999999997</v>
      </c>
      <c r="E3164" s="76">
        <v>60.445515</v>
      </c>
      <c r="F3164" s="76">
        <v>50.243155999999999</v>
      </c>
      <c r="G3164" s="79">
        <v>1493100</v>
      </c>
    </row>
    <row r="3165" spans="1:7" x14ac:dyDescent="0.25">
      <c r="A3165" s="1" t="s">
        <v>3288</v>
      </c>
      <c r="B3165" s="76">
        <v>60.730843</v>
      </c>
      <c r="C3165" s="76">
        <v>61.389290000000003</v>
      </c>
      <c r="D3165" s="76">
        <v>60.591834999999897</v>
      </c>
      <c r="E3165" s="76">
        <v>60.979588</v>
      </c>
      <c r="F3165" s="76">
        <v>50.687095999999997</v>
      </c>
      <c r="G3165" s="79">
        <v>1341000</v>
      </c>
    </row>
    <row r="3166" spans="1:7" x14ac:dyDescent="0.25">
      <c r="A3166" s="1" t="s">
        <v>3289</v>
      </c>
      <c r="B3166" s="76">
        <v>60.855212999999999</v>
      </c>
      <c r="C3166" s="76">
        <v>61.564877000000003</v>
      </c>
      <c r="D3166" s="76">
        <v>60.716208999999999</v>
      </c>
      <c r="E3166" s="76">
        <v>61.345390000000002</v>
      </c>
      <c r="F3166" s="76">
        <v>50.991153999999902</v>
      </c>
      <c r="G3166" s="79">
        <v>1047900</v>
      </c>
    </row>
    <row r="3167" spans="1:7" x14ac:dyDescent="0.25">
      <c r="A3167" s="1" t="s">
        <v>3290</v>
      </c>
      <c r="B3167" s="76">
        <v>61.294178000000002</v>
      </c>
      <c r="C3167" s="76">
        <v>61.323443999999903</v>
      </c>
      <c r="D3167" s="76">
        <v>60.86253</v>
      </c>
      <c r="E3167" s="76">
        <v>61.089328999999999</v>
      </c>
      <c r="F3167" s="76">
        <v>50.778304999999897</v>
      </c>
      <c r="G3167" s="79">
        <v>1350100</v>
      </c>
    </row>
    <row r="3168" spans="1:7" x14ac:dyDescent="0.25">
      <c r="A3168" s="1" t="s">
        <v>3291</v>
      </c>
      <c r="B3168" s="76">
        <v>61.389290000000003</v>
      </c>
      <c r="C3168" s="76">
        <v>61.952629000000002</v>
      </c>
      <c r="D3168" s="76">
        <v>61.082011999999999</v>
      </c>
      <c r="E3168" s="76">
        <v>61.3746569999999</v>
      </c>
      <c r="F3168" s="76">
        <v>51.015479999999997</v>
      </c>
      <c r="G3168" s="79">
        <v>1620500</v>
      </c>
    </row>
    <row r="3169" spans="1:7" x14ac:dyDescent="0.25">
      <c r="A3169" s="1" t="s">
        <v>3292</v>
      </c>
      <c r="B3169" s="76">
        <v>60.869845999999903</v>
      </c>
      <c r="C3169" s="76">
        <v>61.403918999999902</v>
      </c>
      <c r="D3169" s="76">
        <v>60.672314</v>
      </c>
      <c r="E3169" s="76">
        <v>61.403918999999902</v>
      </c>
      <c r="F3169" s="76">
        <v>51.039799000000002</v>
      </c>
      <c r="G3169" s="79">
        <v>1071000</v>
      </c>
    </row>
    <row r="3170" spans="1:7" x14ac:dyDescent="0.25">
      <c r="A3170" s="1" t="s">
        <v>3293</v>
      </c>
      <c r="B3170" s="76">
        <v>61.886783999999999</v>
      </c>
      <c r="C3170" s="76">
        <v>62.903717</v>
      </c>
      <c r="D3170" s="76">
        <v>61.835570999999902</v>
      </c>
      <c r="E3170" s="76">
        <v>62.662289000000001</v>
      </c>
      <c r="F3170" s="76">
        <v>52.085772999999897</v>
      </c>
      <c r="G3170" s="79">
        <v>1355300</v>
      </c>
    </row>
    <row r="3171" spans="1:7" x14ac:dyDescent="0.25">
      <c r="A3171" s="1" t="s">
        <v>3294</v>
      </c>
      <c r="B3171" s="76">
        <v>62.801291999999997</v>
      </c>
      <c r="C3171" s="76">
        <v>62.918349999999997</v>
      </c>
      <c r="D3171" s="76">
        <v>62.355010999999998</v>
      </c>
      <c r="E3171" s="76">
        <v>62.625706000000001</v>
      </c>
      <c r="F3171" s="76">
        <v>52.055359000000003</v>
      </c>
      <c r="G3171" s="79">
        <v>1105800</v>
      </c>
    </row>
    <row r="3172" spans="1:7" x14ac:dyDescent="0.25">
      <c r="A3172" s="1" t="s">
        <v>3295</v>
      </c>
      <c r="B3172" s="76">
        <v>62.647655</v>
      </c>
      <c r="C3172" s="76">
        <v>62.647655</v>
      </c>
      <c r="D3172" s="76">
        <v>60.979588</v>
      </c>
      <c r="E3172" s="76">
        <v>61.155174000000002</v>
      </c>
      <c r="F3172" s="76">
        <v>50.833038000000002</v>
      </c>
      <c r="G3172" s="79">
        <v>1756800</v>
      </c>
    </row>
    <row r="3173" spans="1:7" x14ac:dyDescent="0.25">
      <c r="A3173" s="1" t="s">
        <v>3296</v>
      </c>
      <c r="B3173" s="76">
        <v>60.760105000000003</v>
      </c>
      <c r="C3173" s="76">
        <v>60.760105000000003</v>
      </c>
      <c r="D3173" s="76">
        <v>59.428576999999997</v>
      </c>
      <c r="E3173" s="76">
        <v>59.699272000000001</v>
      </c>
      <c r="F3173" s="76">
        <v>50.035899999999998</v>
      </c>
      <c r="G3173" s="79">
        <v>1396200</v>
      </c>
    </row>
    <row r="3174" spans="1:7" x14ac:dyDescent="0.25">
      <c r="A3174" s="1" t="s">
        <v>3297</v>
      </c>
      <c r="B3174" s="76">
        <v>59.648060000000001</v>
      </c>
      <c r="C3174" s="76">
        <v>59.750484</v>
      </c>
      <c r="D3174" s="76">
        <v>58.411639999999998</v>
      </c>
      <c r="E3174" s="76">
        <v>58.536014999999999</v>
      </c>
      <c r="F3174" s="76">
        <v>49.060932000000001</v>
      </c>
      <c r="G3174" s="79">
        <v>2335200</v>
      </c>
    </row>
    <row r="3175" spans="1:7" x14ac:dyDescent="0.25">
      <c r="A3175" s="1" t="s">
        <v>3298</v>
      </c>
      <c r="B3175" s="76">
        <v>58.360427999999999</v>
      </c>
      <c r="C3175" s="76">
        <v>58.762813999999999</v>
      </c>
      <c r="D3175" s="76">
        <v>58.162894999999899</v>
      </c>
      <c r="E3175" s="76">
        <v>58.448222999999999</v>
      </c>
      <c r="F3175" s="76">
        <v>48.987358</v>
      </c>
      <c r="G3175" s="79">
        <v>1459000</v>
      </c>
    </row>
    <row r="3176" spans="1:7" x14ac:dyDescent="0.25">
      <c r="A3176" s="1" t="s">
        <v>3299</v>
      </c>
      <c r="B3176" s="76">
        <v>58.609177000000003</v>
      </c>
      <c r="C3176" s="76">
        <v>59.150565999999998</v>
      </c>
      <c r="D3176" s="76">
        <v>58.397006999999903</v>
      </c>
      <c r="E3176" s="76">
        <v>59.084720999999902</v>
      </c>
      <c r="F3176" s="76">
        <v>49.520823999999998</v>
      </c>
      <c r="G3176" s="79">
        <v>1231200</v>
      </c>
    </row>
    <row r="3177" spans="1:7" x14ac:dyDescent="0.25">
      <c r="A3177" s="1" t="s">
        <v>3300</v>
      </c>
      <c r="B3177" s="76">
        <v>59.172516000000002</v>
      </c>
      <c r="C3177" s="76">
        <v>59.545634999999997</v>
      </c>
      <c r="D3177" s="76">
        <v>58.872554999999998</v>
      </c>
      <c r="E3177" s="76">
        <v>59.274940000000001</v>
      </c>
      <c r="F3177" s="76">
        <v>49.680256</v>
      </c>
      <c r="G3177" s="79">
        <v>1549000</v>
      </c>
    </row>
    <row r="3178" spans="1:7" x14ac:dyDescent="0.25">
      <c r="A3178" s="1" t="s">
        <v>3301</v>
      </c>
      <c r="B3178" s="76">
        <v>59.113987000000002</v>
      </c>
      <c r="C3178" s="76">
        <v>59.684638999999997</v>
      </c>
      <c r="D3178" s="76">
        <v>59.055457999999902</v>
      </c>
      <c r="E3178" s="76">
        <v>59.567580999999997</v>
      </c>
      <c r="F3178" s="76">
        <v>49.925517999999997</v>
      </c>
      <c r="G3178" s="79">
        <v>944100</v>
      </c>
    </row>
    <row r="3179" spans="1:7" x14ac:dyDescent="0.25">
      <c r="A3179" s="1" t="s">
        <v>3302</v>
      </c>
      <c r="B3179" s="76">
        <v>59.626109999999997</v>
      </c>
      <c r="C3179" s="76">
        <v>59.882174999999997</v>
      </c>
      <c r="D3179" s="76">
        <v>59.172516000000002</v>
      </c>
      <c r="E3179" s="76">
        <v>59.750484</v>
      </c>
      <c r="F3179" s="76">
        <v>50.078814999999999</v>
      </c>
      <c r="G3179" s="79">
        <v>871200</v>
      </c>
    </row>
    <row r="3180" spans="1:7" x14ac:dyDescent="0.25">
      <c r="A3180" s="1" t="s">
        <v>3303</v>
      </c>
      <c r="B3180" s="76">
        <v>59.933388000000001</v>
      </c>
      <c r="C3180" s="76">
        <v>60.2333449999999</v>
      </c>
      <c r="D3180" s="76">
        <v>59.765118000000001</v>
      </c>
      <c r="E3180" s="76">
        <v>60.211399</v>
      </c>
      <c r="F3180" s="76">
        <v>50.465130000000002</v>
      </c>
      <c r="G3180" s="79">
        <v>1046300</v>
      </c>
    </row>
    <row r="3181" spans="1:7" x14ac:dyDescent="0.25">
      <c r="A3181" s="1" t="s">
        <v>3304</v>
      </c>
      <c r="B3181" s="76">
        <v>60.065075</v>
      </c>
      <c r="C3181" s="76">
        <v>60.152869999999901</v>
      </c>
      <c r="D3181" s="76">
        <v>59.391998000000001</v>
      </c>
      <c r="E3181" s="76">
        <v>59.809013</v>
      </c>
      <c r="F3181" s="76">
        <v>50.127879999999998</v>
      </c>
      <c r="G3181" s="79">
        <v>1005300</v>
      </c>
    </row>
    <row r="3182" spans="1:7" x14ac:dyDescent="0.25">
      <c r="A3182" s="1" t="s">
        <v>3305</v>
      </c>
      <c r="B3182" s="76">
        <v>59.911437999999997</v>
      </c>
      <c r="C3182" s="76">
        <v>60.657680999999997</v>
      </c>
      <c r="D3182" s="76">
        <v>59.845592000000003</v>
      </c>
      <c r="E3182" s="76">
        <v>60.621097999999897</v>
      </c>
      <c r="F3182" s="76">
        <v>50.808506000000001</v>
      </c>
      <c r="G3182" s="79">
        <v>1356500</v>
      </c>
    </row>
    <row r="3183" spans="1:7" x14ac:dyDescent="0.25">
      <c r="A3183" s="1" t="s">
        <v>3306</v>
      </c>
      <c r="B3183" s="76">
        <v>60.445515</v>
      </c>
      <c r="C3183" s="76">
        <v>60.504043999999901</v>
      </c>
      <c r="D3183" s="76">
        <v>59.501739999999998</v>
      </c>
      <c r="E3183" s="76">
        <v>60.277244999999901</v>
      </c>
      <c r="F3183" s="76">
        <v>50.520316999999999</v>
      </c>
      <c r="G3183" s="79">
        <v>1159900</v>
      </c>
    </row>
    <row r="3184" spans="1:7" x14ac:dyDescent="0.25">
      <c r="A3184" s="1" t="s">
        <v>3307</v>
      </c>
      <c r="B3184" s="76">
        <v>60.152869999999901</v>
      </c>
      <c r="C3184" s="76">
        <v>60.269928</v>
      </c>
      <c r="D3184" s="76">
        <v>59.531002000000001</v>
      </c>
      <c r="E3184" s="76">
        <v>59.684638999999997</v>
      </c>
      <c r="F3184" s="76">
        <v>50.023643</v>
      </c>
      <c r="G3184" s="79">
        <v>691900</v>
      </c>
    </row>
    <row r="3185" spans="1:7" x14ac:dyDescent="0.25">
      <c r="A3185" s="1" t="s">
        <v>3308</v>
      </c>
      <c r="B3185" s="76">
        <v>59.523685</v>
      </c>
      <c r="C3185" s="76">
        <v>60.160187000000001</v>
      </c>
      <c r="D3185" s="76">
        <v>59.326152999999998</v>
      </c>
      <c r="E3185" s="76">
        <v>60.065075</v>
      </c>
      <c r="F3185" s="76">
        <v>50.342486999999998</v>
      </c>
      <c r="G3185" s="79">
        <v>753700</v>
      </c>
    </row>
    <row r="3186" spans="1:7" x14ac:dyDescent="0.25">
      <c r="A3186" s="1" t="s">
        <v>3309</v>
      </c>
      <c r="B3186" s="76">
        <v>60.174819999999997</v>
      </c>
      <c r="C3186" s="76">
        <v>60.306506999999897</v>
      </c>
      <c r="D3186" s="76">
        <v>59.830962999999997</v>
      </c>
      <c r="E3186" s="76">
        <v>60.152869999999901</v>
      </c>
      <c r="F3186" s="76">
        <v>50.416077000000001</v>
      </c>
      <c r="G3186" s="79">
        <v>728700</v>
      </c>
    </row>
    <row r="3187" spans="1:7" x14ac:dyDescent="0.25">
      <c r="A3187" s="1" t="s">
        <v>3310</v>
      </c>
      <c r="B3187" s="76">
        <v>59.926070999999901</v>
      </c>
      <c r="C3187" s="76">
        <v>60.130919999999897</v>
      </c>
      <c r="D3187" s="76">
        <v>59.362731999999902</v>
      </c>
      <c r="E3187" s="76">
        <v>59.926070999999901</v>
      </c>
      <c r="F3187" s="76">
        <v>50.225985999999999</v>
      </c>
      <c r="G3187" s="79">
        <v>774000</v>
      </c>
    </row>
    <row r="3188" spans="1:7" x14ac:dyDescent="0.25">
      <c r="A3188" s="1" t="s">
        <v>3311</v>
      </c>
      <c r="B3188" s="76">
        <v>59.962649999999996</v>
      </c>
      <c r="C3188" s="76">
        <v>60.043129</v>
      </c>
      <c r="D3188" s="76">
        <v>59.487105999999997</v>
      </c>
      <c r="E3188" s="76">
        <v>59.896808999999998</v>
      </c>
      <c r="F3188" s="76">
        <v>50.201461999999999</v>
      </c>
      <c r="G3188" s="79">
        <v>835100</v>
      </c>
    </row>
    <row r="3189" spans="1:7" x14ac:dyDescent="0.25">
      <c r="A3189" s="1" t="s">
        <v>3312</v>
      </c>
      <c r="B3189" s="76">
        <v>59.545634999999997</v>
      </c>
      <c r="C3189" s="76">
        <v>59.626109999999997</v>
      </c>
      <c r="D3189" s="76">
        <v>58.953029999999998</v>
      </c>
      <c r="E3189" s="76">
        <v>59.121299999999998</v>
      </c>
      <c r="F3189" s="76">
        <v>49.551490999999999</v>
      </c>
      <c r="G3189" s="79">
        <v>1301900</v>
      </c>
    </row>
    <row r="3190" spans="1:7" x14ac:dyDescent="0.25">
      <c r="A3190" s="1" t="s">
        <v>3313</v>
      </c>
      <c r="B3190" s="76">
        <v>59.413943999999901</v>
      </c>
      <c r="C3190" s="76">
        <v>59.589531000000001</v>
      </c>
      <c r="D3190" s="76">
        <v>59.018875000000001</v>
      </c>
      <c r="E3190" s="76">
        <v>59.384681999999998</v>
      </c>
      <c r="F3190" s="76">
        <v>49.772235999999999</v>
      </c>
      <c r="G3190" s="79">
        <v>1659100</v>
      </c>
    </row>
    <row r="3191" spans="1:7" x14ac:dyDescent="0.25">
      <c r="A3191" s="1" t="s">
        <v>3314</v>
      </c>
      <c r="B3191" s="76">
        <v>59.413943999999901</v>
      </c>
      <c r="C3191" s="76">
        <v>59.538318999999902</v>
      </c>
      <c r="D3191" s="76">
        <v>58.799393000000002</v>
      </c>
      <c r="E3191" s="76">
        <v>59.516368999999997</v>
      </c>
      <c r="F3191" s="76">
        <v>49.882603000000003</v>
      </c>
      <c r="G3191" s="79">
        <v>1070000</v>
      </c>
    </row>
    <row r="3192" spans="1:7" x14ac:dyDescent="0.25">
      <c r="A3192" s="1" t="s">
        <v>3315</v>
      </c>
      <c r="B3192" s="76">
        <v>59.662692999999997</v>
      </c>
      <c r="C3192" s="76">
        <v>59.955333999999901</v>
      </c>
      <c r="D3192" s="76">
        <v>59.055457999999902</v>
      </c>
      <c r="E3192" s="76">
        <v>59.348098999999998</v>
      </c>
      <c r="F3192" s="76">
        <v>49.741562000000002</v>
      </c>
      <c r="G3192" s="79">
        <v>1002300</v>
      </c>
    </row>
    <row r="3193" spans="1:7" x14ac:dyDescent="0.25">
      <c r="A3193" s="1" t="s">
        <v>3316</v>
      </c>
      <c r="B3193" s="76">
        <v>59.626109999999997</v>
      </c>
      <c r="C3193" s="76">
        <v>59.926070999999901</v>
      </c>
      <c r="D3193" s="76">
        <v>59.494422999999998</v>
      </c>
      <c r="E3193" s="76">
        <v>59.713904999999997</v>
      </c>
      <c r="F3193" s="76">
        <v>50.048167999999997</v>
      </c>
      <c r="G3193" s="79">
        <v>1247800</v>
      </c>
    </row>
    <row r="3194" spans="1:7" x14ac:dyDescent="0.25">
      <c r="A3194" s="1" t="s">
        <v>3317</v>
      </c>
      <c r="B3194" s="76">
        <v>59.787064000000001</v>
      </c>
      <c r="C3194" s="76">
        <v>60.189448999999897</v>
      </c>
      <c r="D3194" s="76">
        <v>59.772433999999997</v>
      </c>
      <c r="E3194" s="76">
        <v>59.904120999999897</v>
      </c>
      <c r="F3194" s="76">
        <v>50.207591999999998</v>
      </c>
      <c r="G3194" s="79">
        <v>825800</v>
      </c>
    </row>
    <row r="3195" spans="1:7" x14ac:dyDescent="0.25">
      <c r="A3195" s="1" t="s">
        <v>3318</v>
      </c>
      <c r="B3195" s="76">
        <v>60.299191</v>
      </c>
      <c r="C3195" s="76">
        <v>60.299191</v>
      </c>
      <c r="D3195" s="76">
        <v>59.545634999999997</v>
      </c>
      <c r="E3195" s="76">
        <v>59.867542</v>
      </c>
      <c r="F3195" s="76">
        <v>50.176932999999998</v>
      </c>
      <c r="G3195" s="79">
        <v>983900</v>
      </c>
    </row>
    <row r="3196" spans="1:7" x14ac:dyDescent="0.25">
      <c r="A3196" s="1" t="s">
        <v>3319</v>
      </c>
      <c r="B3196" s="76">
        <v>59.867542</v>
      </c>
      <c r="C3196" s="76">
        <v>60.313823999999997</v>
      </c>
      <c r="D3196" s="76">
        <v>59.809013</v>
      </c>
      <c r="E3196" s="76">
        <v>60.269928</v>
      </c>
      <c r="F3196" s="76">
        <v>50.514183000000003</v>
      </c>
      <c r="G3196" s="79">
        <v>852000</v>
      </c>
    </row>
    <row r="3197" spans="1:7" x14ac:dyDescent="0.25">
      <c r="A3197" s="1" t="s">
        <v>3320</v>
      </c>
      <c r="B3197" s="76">
        <v>60.445515</v>
      </c>
      <c r="C3197" s="76">
        <v>60.635731</v>
      </c>
      <c r="D3197" s="76">
        <v>60.035812</v>
      </c>
      <c r="E3197" s="76">
        <v>60.452831000000003</v>
      </c>
      <c r="F3197" s="76">
        <v>50.667479999999998</v>
      </c>
      <c r="G3197" s="79">
        <v>905200</v>
      </c>
    </row>
    <row r="3198" spans="1:7" x14ac:dyDescent="0.25">
      <c r="A3198" s="1" t="s">
        <v>3321</v>
      </c>
      <c r="B3198" s="76">
        <v>60.430881999999997</v>
      </c>
      <c r="C3198" s="76">
        <v>61.762408999999998</v>
      </c>
      <c r="D3198" s="76">
        <v>60.291874</v>
      </c>
      <c r="E3198" s="76">
        <v>61.674618000000002</v>
      </c>
      <c r="F3198" s="76">
        <v>51.691497999999903</v>
      </c>
      <c r="G3198" s="79">
        <v>1284900</v>
      </c>
    </row>
    <row r="3199" spans="1:7" x14ac:dyDescent="0.25">
      <c r="A3199" s="1" t="s">
        <v>3322</v>
      </c>
      <c r="B3199" s="76">
        <v>61.872149999999998</v>
      </c>
      <c r="C3199" s="76">
        <v>62.611075999999997</v>
      </c>
      <c r="D3199" s="76">
        <v>61.674618000000002</v>
      </c>
      <c r="E3199" s="76">
        <v>62.274535999999998</v>
      </c>
      <c r="F3199" s="76">
        <v>52.194313000000001</v>
      </c>
      <c r="G3199" s="79">
        <v>1271800</v>
      </c>
    </row>
    <row r="3200" spans="1:7" x14ac:dyDescent="0.25">
      <c r="A3200" s="1" t="s">
        <v>3323</v>
      </c>
      <c r="B3200" s="76">
        <v>62.274535999999998</v>
      </c>
      <c r="C3200" s="76">
        <v>62.786662999999997</v>
      </c>
      <c r="D3200" s="76">
        <v>61.798988000000001</v>
      </c>
      <c r="E3200" s="76">
        <v>61.923363000000002</v>
      </c>
      <c r="F3200" s="76">
        <v>51.899985999999998</v>
      </c>
      <c r="G3200" s="79">
        <v>745900</v>
      </c>
    </row>
    <row r="3201" spans="1:7" x14ac:dyDescent="0.25">
      <c r="A3201" s="1" t="s">
        <v>3324</v>
      </c>
      <c r="B3201" s="76">
        <v>61.879466999999998</v>
      </c>
      <c r="C3201" s="76">
        <v>62.164794999999998</v>
      </c>
      <c r="D3201" s="76">
        <v>61.396605999999998</v>
      </c>
      <c r="E3201" s="76">
        <v>61.762408999999998</v>
      </c>
      <c r="F3201" s="76">
        <v>51.765087000000001</v>
      </c>
      <c r="G3201" s="79">
        <v>1011400</v>
      </c>
    </row>
    <row r="3202" spans="1:7" x14ac:dyDescent="0.25">
      <c r="A3202" s="1" t="s">
        <v>3325</v>
      </c>
      <c r="B3202" s="76">
        <v>61.681930999999999</v>
      </c>
      <c r="C3202" s="76">
        <v>61.894100000000002</v>
      </c>
      <c r="D3202" s="76">
        <v>61.294178000000002</v>
      </c>
      <c r="E3202" s="76">
        <v>61.294178000000002</v>
      </c>
      <c r="F3202" s="76">
        <v>51.37265</v>
      </c>
      <c r="G3202" s="79">
        <v>1213400</v>
      </c>
    </row>
    <row r="3203" spans="1:7" x14ac:dyDescent="0.25">
      <c r="A3203" s="1" t="s">
        <v>3326</v>
      </c>
      <c r="B3203" s="76">
        <v>60.994220999999897</v>
      </c>
      <c r="C3203" s="76">
        <v>60.994220999999897</v>
      </c>
      <c r="D3203" s="76">
        <v>59.816330000000001</v>
      </c>
      <c r="E3203" s="76">
        <v>60.445515</v>
      </c>
      <c r="F3203" s="76">
        <v>50.661346000000002</v>
      </c>
      <c r="G3203" s="79">
        <v>1975500</v>
      </c>
    </row>
    <row r="3204" spans="1:7" x14ac:dyDescent="0.25">
      <c r="A3204" s="1" t="s">
        <v>3327</v>
      </c>
      <c r="B3204" s="76">
        <v>60.811317000000003</v>
      </c>
      <c r="C3204" s="76">
        <v>60.877163000000003</v>
      </c>
      <c r="D3204" s="76">
        <v>60.218716000000001</v>
      </c>
      <c r="E3204" s="76">
        <v>60.226031999999996</v>
      </c>
      <c r="F3204" s="76">
        <v>50.477401999999998</v>
      </c>
      <c r="G3204" s="79">
        <v>5063200</v>
      </c>
    </row>
    <row r="3205" spans="1:7" x14ac:dyDescent="0.25">
      <c r="A3205" s="1" t="s">
        <v>3328</v>
      </c>
      <c r="B3205" s="76">
        <v>59.618797000000001</v>
      </c>
      <c r="C3205" s="76">
        <v>60.686942999999999</v>
      </c>
      <c r="D3205" s="76">
        <v>59.618797000000001</v>
      </c>
      <c r="E3205" s="76">
        <v>60.087024999999997</v>
      </c>
      <c r="F3205" s="76">
        <v>50.360889</v>
      </c>
      <c r="G3205" s="79">
        <v>1532400</v>
      </c>
    </row>
    <row r="3206" spans="1:7" x14ac:dyDescent="0.25">
      <c r="A3206" s="1" t="s">
        <v>3329</v>
      </c>
      <c r="B3206" s="76">
        <v>60.182132999999901</v>
      </c>
      <c r="C3206" s="76">
        <v>60.291874</v>
      </c>
      <c r="D3206" s="76">
        <v>59.128616000000001</v>
      </c>
      <c r="E3206" s="76">
        <v>59.267623999999998</v>
      </c>
      <c r="F3206" s="76">
        <v>49.674129000000001</v>
      </c>
      <c r="G3206" s="79">
        <v>2335200</v>
      </c>
    </row>
    <row r="3207" spans="1:7" x14ac:dyDescent="0.25">
      <c r="A3207" s="1" t="s">
        <v>3330</v>
      </c>
      <c r="B3207" s="76">
        <v>59.194462000000001</v>
      </c>
      <c r="C3207" s="76">
        <v>59.728538999999998</v>
      </c>
      <c r="D3207" s="76">
        <v>59.135932999999902</v>
      </c>
      <c r="E3207" s="76">
        <v>59.194462000000001</v>
      </c>
      <c r="F3207" s="76">
        <v>49.612792999999897</v>
      </c>
      <c r="G3207" s="79">
        <v>1847300</v>
      </c>
    </row>
    <row r="3208" spans="1:7" x14ac:dyDescent="0.25">
      <c r="A3208" s="1" t="s">
        <v>3331</v>
      </c>
      <c r="B3208" s="76">
        <v>59.406627999999998</v>
      </c>
      <c r="C3208" s="76">
        <v>59.874858999999901</v>
      </c>
      <c r="D3208" s="76">
        <v>59.106669999999902</v>
      </c>
      <c r="E3208" s="76">
        <v>59.560268000000001</v>
      </c>
      <c r="F3208" s="76">
        <v>49.919391999999903</v>
      </c>
      <c r="G3208" s="79">
        <v>1337900</v>
      </c>
    </row>
    <row r="3209" spans="1:7" x14ac:dyDescent="0.25">
      <c r="A3209" s="1" t="s">
        <v>3332</v>
      </c>
      <c r="B3209" s="76">
        <v>59.252991000000002</v>
      </c>
      <c r="C3209" s="76">
        <v>59.538318999999902</v>
      </c>
      <c r="D3209" s="76">
        <v>58.909133999999902</v>
      </c>
      <c r="E3209" s="76">
        <v>59.296886000000001</v>
      </c>
      <c r="F3209" s="76">
        <v>49.698642999999997</v>
      </c>
      <c r="G3209" s="79">
        <v>1503200</v>
      </c>
    </row>
    <row r="3210" spans="1:7" x14ac:dyDescent="0.25">
      <c r="A3210" s="1" t="s">
        <v>3333</v>
      </c>
      <c r="B3210" s="76">
        <v>59.531002000000001</v>
      </c>
      <c r="C3210" s="76">
        <v>59.531002000000001</v>
      </c>
      <c r="D3210" s="76">
        <v>58.236052999999998</v>
      </c>
      <c r="E3210" s="76">
        <v>58.740864000000002</v>
      </c>
      <c r="F3210" s="76">
        <v>49.232627999999998</v>
      </c>
      <c r="G3210" s="79">
        <v>1473600</v>
      </c>
    </row>
    <row r="3211" spans="1:7" x14ac:dyDescent="0.25">
      <c r="A3211" s="1" t="s">
        <v>3334</v>
      </c>
      <c r="B3211" s="76">
        <v>59.018875000000001</v>
      </c>
      <c r="C3211" s="76">
        <v>59.252991000000002</v>
      </c>
      <c r="D3211" s="76">
        <v>58.514065000000002</v>
      </c>
      <c r="E3211" s="76">
        <v>59.048141000000001</v>
      </c>
      <c r="F3211" s="76">
        <v>49.490165999999903</v>
      </c>
      <c r="G3211" s="79">
        <v>1372100</v>
      </c>
    </row>
    <row r="3212" spans="1:7" x14ac:dyDescent="0.25">
      <c r="A3212" s="1" t="s">
        <v>3335</v>
      </c>
      <c r="B3212" s="76">
        <v>59.209094999999998</v>
      </c>
      <c r="C3212" s="76">
        <v>59.852908999999997</v>
      </c>
      <c r="D3212" s="76">
        <v>58.865237999999998</v>
      </c>
      <c r="E3212" s="76">
        <v>58.974978999999998</v>
      </c>
      <c r="F3212" s="76">
        <v>49.428843999999998</v>
      </c>
      <c r="G3212" s="79">
        <v>1098100</v>
      </c>
    </row>
    <row r="3213" spans="1:7" x14ac:dyDescent="0.25">
      <c r="A3213" s="1" t="s">
        <v>3336</v>
      </c>
      <c r="B3213" s="76">
        <v>59.216411999999998</v>
      </c>
      <c r="C3213" s="76">
        <v>59.304203000000001</v>
      </c>
      <c r="D3213" s="76">
        <v>58.258003000000002</v>
      </c>
      <c r="E3213" s="76">
        <v>58.375060999999903</v>
      </c>
      <c r="F3213" s="76">
        <v>48.926037000000001</v>
      </c>
      <c r="G3213" s="79">
        <v>1207600</v>
      </c>
    </row>
    <row r="3214" spans="1:7" x14ac:dyDescent="0.25">
      <c r="A3214" s="1" t="s">
        <v>3337</v>
      </c>
      <c r="B3214" s="76">
        <v>58.682334999999902</v>
      </c>
      <c r="C3214" s="76">
        <v>58.989612999999999</v>
      </c>
      <c r="D3214" s="76">
        <v>58.331164999999999</v>
      </c>
      <c r="E3214" s="76">
        <v>58.528697999999999</v>
      </c>
      <c r="F3214" s="76">
        <v>49.054805999999999</v>
      </c>
      <c r="G3214" s="79">
        <v>1001600</v>
      </c>
    </row>
    <row r="3215" spans="1:7" x14ac:dyDescent="0.25">
      <c r="A3215" s="1" t="s">
        <v>3338</v>
      </c>
      <c r="B3215" s="76">
        <v>58.484802000000002</v>
      </c>
      <c r="C3215" s="76">
        <v>58.484802000000002</v>
      </c>
      <c r="D3215" s="76">
        <v>58.031204000000002</v>
      </c>
      <c r="E3215" s="76">
        <v>58.126311999999999</v>
      </c>
      <c r="F3215" s="76">
        <v>48.717556000000002</v>
      </c>
      <c r="G3215" s="79">
        <v>968000</v>
      </c>
    </row>
    <row r="3216" spans="1:7" x14ac:dyDescent="0.25">
      <c r="A3216" s="1" t="s">
        <v>3339</v>
      </c>
      <c r="B3216" s="76">
        <v>58.170211999999999</v>
      </c>
      <c r="C3216" s="76">
        <v>58.528697999999999</v>
      </c>
      <c r="D3216" s="76">
        <v>57.694664000000003</v>
      </c>
      <c r="E3216" s="76">
        <v>57.701981000000004</v>
      </c>
      <c r="F3216" s="76">
        <v>48.361908</v>
      </c>
      <c r="G3216" s="79">
        <v>970200</v>
      </c>
    </row>
    <row r="3217" spans="1:7" x14ac:dyDescent="0.25">
      <c r="A3217" s="1" t="s">
        <v>3340</v>
      </c>
      <c r="B3217" s="76">
        <v>57.884884</v>
      </c>
      <c r="C3217" s="76">
        <v>57.979992000000003</v>
      </c>
      <c r="D3217" s="76">
        <v>57.519077000000003</v>
      </c>
      <c r="E3217" s="76">
        <v>57.767825999999999</v>
      </c>
      <c r="F3217" s="76">
        <v>48.417095000000003</v>
      </c>
      <c r="G3217" s="79">
        <v>1036900</v>
      </c>
    </row>
    <row r="3218" spans="1:7" x14ac:dyDescent="0.25">
      <c r="A3218" s="1" t="s">
        <v>3341</v>
      </c>
      <c r="B3218" s="76">
        <v>58.075099999999999</v>
      </c>
      <c r="C3218" s="76">
        <v>58.258003000000002</v>
      </c>
      <c r="D3218" s="76">
        <v>57.760508999999999</v>
      </c>
      <c r="E3218" s="76">
        <v>57.811721999999897</v>
      </c>
      <c r="F3218" s="76">
        <v>48.453884000000002</v>
      </c>
      <c r="G3218" s="79">
        <v>926800</v>
      </c>
    </row>
    <row r="3219" spans="1:7" x14ac:dyDescent="0.25">
      <c r="A3219" s="1" t="s">
        <v>3342</v>
      </c>
      <c r="B3219" s="76">
        <v>57.782458999999903</v>
      </c>
      <c r="C3219" s="76">
        <v>58.279952999999999</v>
      </c>
      <c r="D3219" s="76">
        <v>57.328860999999897</v>
      </c>
      <c r="E3219" s="76">
        <v>57.4239689999999</v>
      </c>
      <c r="F3219" s="76">
        <v>48.128901999999997</v>
      </c>
      <c r="G3219" s="79">
        <v>744700</v>
      </c>
    </row>
    <row r="3220" spans="1:7" x14ac:dyDescent="0.25">
      <c r="A3220" s="1" t="s">
        <v>3343</v>
      </c>
      <c r="B3220" s="76">
        <v>57.4239689999999</v>
      </c>
      <c r="C3220" s="76">
        <v>57.687346999999903</v>
      </c>
      <c r="D3220" s="76">
        <v>57.080112</v>
      </c>
      <c r="E3220" s="76">
        <v>57.643452000000003</v>
      </c>
      <c r="F3220" s="76">
        <v>48.312854999999999</v>
      </c>
      <c r="G3220" s="79">
        <v>887800</v>
      </c>
    </row>
    <row r="3221" spans="1:7" x14ac:dyDescent="0.25">
      <c r="A3221" s="1" t="s">
        <v>3344</v>
      </c>
      <c r="B3221" s="76">
        <v>57.987308999999897</v>
      </c>
      <c r="C3221" s="76">
        <v>58.214107999999896</v>
      </c>
      <c r="D3221" s="76">
        <v>57.73856</v>
      </c>
      <c r="E3221" s="76">
        <v>58.016570999999999</v>
      </c>
      <c r="F3221" s="76">
        <v>48.625571999999998</v>
      </c>
      <c r="G3221" s="79">
        <v>1096500</v>
      </c>
    </row>
    <row r="3222" spans="1:7" x14ac:dyDescent="0.25">
      <c r="A3222" s="1" t="s">
        <v>3345</v>
      </c>
      <c r="B3222" s="76">
        <v>57.870251000000003</v>
      </c>
      <c r="C3222" s="76">
        <v>58.916451000000002</v>
      </c>
      <c r="D3222" s="76">
        <v>57.409335999999897</v>
      </c>
      <c r="E3222" s="76">
        <v>58.631122999999903</v>
      </c>
      <c r="F3222" s="76">
        <v>49.140647999999999</v>
      </c>
      <c r="G3222" s="79">
        <v>1884900</v>
      </c>
    </row>
    <row r="3223" spans="1:7" x14ac:dyDescent="0.25">
      <c r="A3223" s="1" t="s">
        <v>3346</v>
      </c>
      <c r="B3223" s="76">
        <v>58.631122999999903</v>
      </c>
      <c r="C3223" s="76">
        <v>60.247978000000003</v>
      </c>
      <c r="D3223" s="76">
        <v>58.631122999999903</v>
      </c>
      <c r="E3223" s="76">
        <v>60.2333449999999</v>
      </c>
      <c r="F3223" s="76">
        <v>50.483523999999903</v>
      </c>
      <c r="G3223" s="79">
        <v>3939800</v>
      </c>
    </row>
    <row r="3224" spans="1:7" x14ac:dyDescent="0.25">
      <c r="A3224" s="1" t="s">
        <v>3347</v>
      </c>
      <c r="B3224" s="76">
        <v>60.130919999999897</v>
      </c>
      <c r="C3224" s="76">
        <v>60.357718999999904</v>
      </c>
      <c r="D3224" s="76">
        <v>59.187144999999902</v>
      </c>
      <c r="E3224" s="76">
        <v>59.479790000000001</v>
      </c>
      <c r="F3224" s="76">
        <v>49.851951999999997</v>
      </c>
      <c r="G3224" s="79">
        <v>2061600</v>
      </c>
    </row>
    <row r="3225" spans="1:7" x14ac:dyDescent="0.25">
      <c r="A3225" s="1" t="s">
        <v>3348</v>
      </c>
      <c r="B3225" s="76">
        <v>59.209094999999998</v>
      </c>
      <c r="C3225" s="76">
        <v>59.567580999999997</v>
      </c>
      <c r="D3225" s="76">
        <v>58.909133999999902</v>
      </c>
      <c r="E3225" s="76">
        <v>59.560268000000001</v>
      </c>
      <c r="F3225" s="76">
        <v>49.919391999999903</v>
      </c>
      <c r="G3225" s="79">
        <v>1054500</v>
      </c>
    </row>
    <row r="3226" spans="1:7" x14ac:dyDescent="0.25">
      <c r="A3226" s="1" t="s">
        <v>3349</v>
      </c>
      <c r="B3226" s="76">
        <v>58.982295999999998</v>
      </c>
      <c r="C3226" s="76">
        <v>59.128616000000001</v>
      </c>
      <c r="D3226" s="76">
        <v>58.353110999999998</v>
      </c>
      <c r="E3226" s="76">
        <v>58.843288000000001</v>
      </c>
      <c r="F3226" s="76">
        <v>49.318469999999998</v>
      </c>
      <c r="G3226" s="79">
        <v>1268700</v>
      </c>
    </row>
    <row r="3227" spans="1:7" x14ac:dyDescent="0.25">
      <c r="A3227" s="1" t="s">
        <v>3350</v>
      </c>
      <c r="B3227" s="76">
        <v>58.887188000000002</v>
      </c>
      <c r="C3227" s="76">
        <v>59.179828999999998</v>
      </c>
      <c r="D3227" s="76">
        <v>58.243369999999999</v>
      </c>
      <c r="E3227" s="76">
        <v>58.594543000000002</v>
      </c>
      <c r="F3227" s="76">
        <v>49.109988999999999</v>
      </c>
      <c r="G3227" s="79">
        <v>1332700</v>
      </c>
    </row>
    <row r="3228" spans="1:7" x14ac:dyDescent="0.25">
      <c r="A3228" s="1" t="s">
        <v>3351</v>
      </c>
      <c r="B3228" s="76">
        <v>59.092036999999998</v>
      </c>
      <c r="C3228" s="76">
        <v>59.531002000000001</v>
      </c>
      <c r="D3228" s="76">
        <v>57.906829999999999</v>
      </c>
      <c r="E3228" s="76">
        <v>58.528697999999999</v>
      </c>
      <c r="F3228" s="76">
        <v>49.054805999999999</v>
      </c>
      <c r="G3228" s="79">
        <v>1564300</v>
      </c>
    </row>
    <row r="3229" spans="1:7" x14ac:dyDescent="0.25">
      <c r="A3229" s="1" t="s">
        <v>3352</v>
      </c>
      <c r="B3229" s="76">
        <v>58.484802000000002</v>
      </c>
      <c r="C3229" s="76">
        <v>58.536014999999999</v>
      </c>
      <c r="D3229" s="76">
        <v>57.687346999999903</v>
      </c>
      <c r="E3229" s="76">
        <v>58.375060999999903</v>
      </c>
      <c r="F3229" s="76">
        <v>48.926037000000001</v>
      </c>
      <c r="G3229" s="79">
        <v>1715600</v>
      </c>
    </row>
    <row r="3230" spans="1:7" x14ac:dyDescent="0.25">
      <c r="A3230" s="1" t="s">
        <v>3353</v>
      </c>
      <c r="B3230" s="76">
        <v>58.462851999999998</v>
      </c>
      <c r="C3230" s="76">
        <v>58.974978999999998</v>
      </c>
      <c r="D3230" s="76">
        <v>57.811721999999897</v>
      </c>
      <c r="E3230" s="76">
        <v>58.682334999999902</v>
      </c>
      <c r="F3230" s="76">
        <v>49.183574999999998</v>
      </c>
      <c r="G3230" s="79">
        <v>1579500</v>
      </c>
    </row>
    <row r="3231" spans="1:7" x14ac:dyDescent="0.25">
      <c r="A3231" s="1" t="s">
        <v>3354</v>
      </c>
      <c r="B3231" s="76">
        <v>58.631122999999903</v>
      </c>
      <c r="C3231" s="76">
        <v>59.457839999999997</v>
      </c>
      <c r="D3231" s="76">
        <v>58.265319999999903</v>
      </c>
      <c r="E3231" s="76">
        <v>59.209094999999998</v>
      </c>
      <c r="F3231" s="76">
        <v>49.625056999999998</v>
      </c>
      <c r="G3231" s="79">
        <v>1133200</v>
      </c>
    </row>
    <row r="3232" spans="1:7" x14ac:dyDescent="0.25">
      <c r="A3232" s="1" t="s">
        <v>3355</v>
      </c>
      <c r="B3232" s="76">
        <v>59.765118000000001</v>
      </c>
      <c r="C3232" s="76">
        <v>59.889491999999997</v>
      </c>
      <c r="D3232" s="76">
        <v>59.026192000000002</v>
      </c>
      <c r="E3232" s="76">
        <v>59.216411999999998</v>
      </c>
      <c r="F3232" s="76">
        <v>49.631194999999998</v>
      </c>
      <c r="G3232" s="79">
        <v>1496300</v>
      </c>
    </row>
    <row r="3233" spans="1:7" x14ac:dyDescent="0.25">
      <c r="A3233" s="1" t="s">
        <v>3356</v>
      </c>
      <c r="B3233" s="76">
        <v>58.762813999999999</v>
      </c>
      <c r="C3233" s="76">
        <v>59.121299999999998</v>
      </c>
      <c r="D3233" s="76">
        <v>58.133628999999999</v>
      </c>
      <c r="E3233" s="76">
        <v>58.440906999999903</v>
      </c>
      <c r="F3233" s="76">
        <v>48.98122</v>
      </c>
      <c r="G3233" s="79">
        <v>1128400</v>
      </c>
    </row>
    <row r="3234" spans="1:7" x14ac:dyDescent="0.25">
      <c r="A3234" s="1" t="s">
        <v>3357</v>
      </c>
      <c r="B3234" s="76">
        <v>58.594543000000002</v>
      </c>
      <c r="C3234" s="76">
        <v>58.938400000000001</v>
      </c>
      <c r="D3234" s="76">
        <v>58.045836999999999</v>
      </c>
      <c r="E3234" s="76">
        <v>58.799393000000002</v>
      </c>
      <c r="F3234" s="76">
        <v>49.281684999999896</v>
      </c>
      <c r="G3234" s="79">
        <v>965600</v>
      </c>
    </row>
    <row r="3235" spans="1:7" x14ac:dyDescent="0.25">
      <c r="A3235" s="1" t="s">
        <v>3358</v>
      </c>
      <c r="B3235" s="76">
        <v>58.104365999999999</v>
      </c>
      <c r="C3235" s="76">
        <v>58.316531999999903</v>
      </c>
      <c r="D3235" s="76">
        <v>57.562976999999997</v>
      </c>
      <c r="E3235" s="76">
        <v>57.723930000000003</v>
      </c>
      <c r="F3235" s="76">
        <v>48.799258999999999</v>
      </c>
      <c r="G3235" s="79">
        <v>1440600</v>
      </c>
    </row>
    <row r="3236" spans="1:7" x14ac:dyDescent="0.25">
      <c r="A3236" s="1" t="s">
        <v>3359</v>
      </c>
      <c r="B3236" s="76">
        <v>57.606873</v>
      </c>
      <c r="C3236" s="76">
        <v>58.001942</v>
      </c>
      <c r="D3236" s="76">
        <v>57.043532999999996</v>
      </c>
      <c r="E3236" s="76">
        <v>57.043532999999996</v>
      </c>
      <c r="F3236" s="76">
        <v>48.224059999999902</v>
      </c>
      <c r="G3236" s="79">
        <v>1331500</v>
      </c>
    </row>
    <row r="3237" spans="1:7" x14ac:dyDescent="0.25">
      <c r="A3237" s="1" t="s">
        <v>3360</v>
      </c>
      <c r="B3237" s="76">
        <v>56.816733999999997</v>
      </c>
      <c r="C3237" s="76">
        <v>57.402019999999901</v>
      </c>
      <c r="D3237" s="76">
        <v>56.546039999999998</v>
      </c>
      <c r="E3237" s="76">
        <v>56.567985999999998</v>
      </c>
      <c r="F3237" s="76">
        <v>47.822032999999998</v>
      </c>
      <c r="G3237" s="79">
        <v>1250500</v>
      </c>
    </row>
    <row r="3238" spans="1:7" x14ac:dyDescent="0.25">
      <c r="A3238" s="1" t="s">
        <v>3361</v>
      </c>
      <c r="B3238" s="76">
        <v>56.253394999999998</v>
      </c>
      <c r="C3238" s="76">
        <v>56.253394999999998</v>
      </c>
      <c r="D3238" s="76">
        <v>55.602263999999998</v>
      </c>
      <c r="E3238" s="76">
        <v>55.668109999999999</v>
      </c>
      <c r="F3238" s="76">
        <v>47.061283000000003</v>
      </c>
      <c r="G3238" s="79">
        <v>1150400</v>
      </c>
    </row>
    <row r="3239" spans="1:7" x14ac:dyDescent="0.25">
      <c r="A3239" s="1" t="s">
        <v>3362</v>
      </c>
      <c r="B3239" s="76">
        <v>55.324252999999999</v>
      </c>
      <c r="C3239" s="76">
        <v>55.946120999999998</v>
      </c>
      <c r="D3239" s="76">
        <v>55.192562000000002</v>
      </c>
      <c r="E3239" s="76">
        <v>55.265723999999999</v>
      </c>
      <c r="F3239" s="76">
        <v>46.721119000000002</v>
      </c>
      <c r="G3239" s="79">
        <v>937200</v>
      </c>
    </row>
    <row r="3240" spans="1:7" x14ac:dyDescent="0.25">
      <c r="A3240" s="1" t="s">
        <v>3363</v>
      </c>
      <c r="B3240" s="76">
        <v>55.360831999999903</v>
      </c>
      <c r="C3240" s="76">
        <v>55.485206999999903</v>
      </c>
      <c r="D3240" s="76">
        <v>54.007354999999997</v>
      </c>
      <c r="E3240" s="76">
        <v>54.109782999999901</v>
      </c>
      <c r="F3240" s="76">
        <v>45.743893</v>
      </c>
      <c r="G3240" s="79">
        <v>1120000</v>
      </c>
    </row>
    <row r="3241" spans="1:7" x14ac:dyDescent="0.25">
      <c r="A3241" s="1" t="s">
        <v>3364</v>
      </c>
      <c r="B3241" s="76">
        <v>54.153678999999997</v>
      </c>
      <c r="C3241" s="76">
        <v>54.534115</v>
      </c>
      <c r="D3241" s="76">
        <v>53.451331999999901</v>
      </c>
      <c r="E3241" s="76">
        <v>53.612288999999997</v>
      </c>
      <c r="F3241" s="76">
        <v>45.323318</v>
      </c>
      <c r="G3241" s="79">
        <v>1801700</v>
      </c>
    </row>
    <row r="3242" spans="1:7" x14ac:dyDescent="0.25">
      <c r="A3242" s="1" t="s">
        <v>3365</v>
      </c>
      <c r="B3242" s="76">
        <v>53.685448000000001</v>
      </c>
      <c r="C3242" s="76">
        <v>53.992725</v>
      </c>
      <c r="D3242" s="76">
        <v>53.144057999999902</v>
      </c>
      <c r="E3242" s="76">
        <v>53.575705999999997</v>
      </c>
      <c r="F3242" s="76">
        <v>45.292389</v>
      </c>
      <c r="G3242" s="79">
        <v>2030400</v>
      </c>
    </row>
    <row r="3243" spans="1:7" x14ac:dyDescent="0.25">
      <c r="A3243" s="1" t="s">
        <v>3366</v>
      </c>
      <c r="B3243" s="76">
        <v>54.095149999999997</v>
      </c>
      <c r="C3243" s="76">
        <v>54.621906000000003</v>
      </c>
      <c r="D3243" s="76">
        <v>54.000042000000001</v>
      </c>
      <c r="E3243" s="76">
        <v>54.402423999999897</v>
      </c>
      <c r="F3243" s="76">
        <v>45.991283000000003</v>
      </c>
      <c r="G3243" s="79">
        <v>1242300</v>
      </c>
    </row>
    <row r="3244" spans="1:7" x14ac:dyDescent="0.25">
      <c r="A3244" s="1" t="s">
        <v>3367</v>
      </c>
      <c r="B3244" s="76">
        <v>54.358528</v>
      </c>
      <c r="C3244" s="76">
        <v>54.702385</v>
      </c>
      <c r="D3244" s="76">
        <v>54.080517</v>
      </c>
      <c r="E3244" s="76">
        <v>54.702385</v>
      </c>
      <c r="F3244" s="76">
        <v>46.244877000000002</v>
      </c>
      <c r="G3244" s="79">
        <v>1426000</v>
      </c>
    </row>
    <row r="3245" spans="1:7" x14ac:dyDescent="0.25">
      <c r="A3245" s="1" t="s">
        <v>3368</v>
      </c>
      <c r="B3245" s="76">
        <v>54.812125999999999</v>
      </c>
      <c r="C3245" s="76">
        <v>54.885288000000003</v>
      </c>
      <c r="D3245" s="76">
        <v>54.234153999999997</v>
      </c>
      <c r="E3245" s="76">
        <v>54.782863999999996</v>
      </c>
      <c r="F3245" s="76">
        <v>46.312900999999997</v>
      </c>
      <c r="G3245" s="79">
        <v>985000</v>
      </c>
    </row>
    <row r="3246" spans="1:7" x14ac:dyDescent="0.25">
      <c r="A3246" s="1" t="s">
        <v>3369</v>
      </c>
      <c r="B3246" s="76">
        <v>55.082820999999903</v>
      </c>
      <c r="C3246" s="76">
        <v>55.507153000000002</v>
      </c>
      <c r="D3246" s="76">
        <v>54.475586</v>
      </c>
      <c r="E3246" s="76">
        <v>55.316935999999998</v>
      </c>
      <c r="F3246" s="76">
        <v>46.764403999999999</v>
      </c>
      <c r="G3246" s="79">
        <v>388800</v>
      </c>
    </row>
    <row r="3247" spans="1:7" x14ac:dyDescent="0.25">
      <c r="A3247" s="1" t="s">
        <v>3370</v>
      </c>
      <c r="B3247" s="76">
        <v>54.980395999999999</v>
      </c>
      <c r="C3247" s="76">
        <v>55.551051999999999</v>
      </c>
      <c r="D3247" s="76">
        <v>54.804809999999897</v>
      </c>
      <c r="E3247" s="76">
        <v>55.185245999999999</v>
      </c>
      <c r="F3247" s="76">
        <v>46.653079999999903</v>
      </c>
      <c r="G3247" s="79">
        <v>1193600</v>
      </c>
    </row>
    <row r="3248" spans="1:7" x14ac:dyDescent="0.25">
      <c r="A3248" s="1" t="s">
        <v>3371</v>
      </c>
      <c r="B3248" s="76">
        <v>54.899918</v>
      </c>
      <c r="C3248" s="76">
        <v>55.368149000000003</v>
      </c>
      <c r="D3248" s="76">
        <v>54.475586</v>
      </c>
      <c r="E3248" s="76">
        <v>54.856021999999903</v>
      </c>
      <c r="F3248" s="76">
        <v>46.374752000000001</v>
      </c>
      <c r="G3248" s="79">
        <v>1556900</v>
      </c>
    </row>
    <row r="3249" spans="1:7" x14ac:dyDescent="0.25">
      <c r="A3249" s="1" t="s">
        <v>3372</v>
      </c>
      <c r="B3249" s="76">
        <v>55.141350000000003</v>
      </c>
      <c r="C3249" s="76">
        <v>55.397410999999998</v>
      </c>
      <c r="D3249" s="76">
        <v>54.665806000000003</v>
      </c>
      <c r="E3249" s="76">
        <v>55.207194999999999</v>
      </c>
      <c r="F3249" s="76">
        <v>46.671634999999903</v>
      </c>
      <c r="G3249" s="79">
        <v>1276300</v>
      </c>
    </row>
    <row r="3250" spans="1:7" x14ac:dyDescent="0.25">
      <c r="A3250" s="1" t="s">
        <v>3373</v>
      </c>
      <c r="B3250" s="76">
        <v>55.485206999999903</v>
      </c>
      <c r="C3250" s="76">
        <v>55.594947999999903</v>
      </c>
      <c r="D3250" s="76">
        <v>55.016975000000002</v>
      </c>
      <c r="E3250" s="76">
        <v>55.485206999999903</v>
      </c>
      <c r="F3250" s="76">
        <v>46.906669999999998</v>
      </c>
      <c r="G3250" s="79">
        <v>1237900</v>
      </c>
    </row>
    <row r="3251" spans="1:7" x14ac:dyDescent="0.25">
      <c r="A3251" s="1" t="s">
        <v>3374</v>
      </c>
      <c r="B3251" s="76">
        <v>55.514468999999899</v>
      </c>
      <c r="C3251" s="76">
        <v>56.048545999999902</v>
      </c>
      <c r="D3251" s="76">
        <v>55.514468999999899</v>
      </c>
      <c r="E3251" s="76">
        <v>55.916854999999998</v>
      </c>
      <c r="F3251" s="76">
        <v>47.271571999999999</v>
      </c>
      <c r="G3251" s="79">
        <v>1725600</v>
      </c>
    </row>
    <row r="3252" spans="1:7" x14ac:dyDescent="0.25">
      <c r="A3252" s="1" t="s">
        <v>3375</v>
      </c>
      <c r="B3252" s="76">
        <v>56.150969999999901</v>
      </c>
      <c r="C3252" s="76">
        <v>56.538722999999997</v>
      </c>
      <c r="D3252" s="76">
        <v>55.916854999999998</v>
      </c>
      <c r="E3252" s="76">
        <v>56.092441999999998</v>
      </c>
      <c r="F3252" s="76">
        <v>47.420009999999998</v>
      </c>
      <c r="G3252" s="79">
        <v>1314400</v>
      </c>
    </row>
    <row r="3253" spans="1:7" x14ac:dyDescent="0.25">
      <c r="A3253" s="1" t="s">
        <v>3376</v>
      </c>
      <c r="B3253" s="76">
        <v>56.546039999999998</v>
      </c>
      <c r="C3253" s="76">
        <v>56.546039999999998</v>
      </c>
      <c r="D3253" s="76">
        <v>55.836379999999998</v>
      </c>
      <c r="E3253" s="76">
        <v>55.902221999999902</v>
      </c>
      <c r="F3253" s="76">
        <v>47.259197</v>
      </c>
      <c r="G3253" s="79">
        <v>1200800</v>
      </c>
    </row>
    <row r="3254" spans="1:7" x14ac:dyDescent="0.25">
      <c r="A3254" s="1" t="s">
        <v>3377</v>
      </c>
      <c r="B3254" s="76">
        <v>55.931488000000002</v>
      </c>
      <c r="C3254" s="76">
        <v>56.063175000000001</v>
      </c>
      <c r="D3254" s="76">
        <v>55.3315699999999</v>
      </c>
      <c r="E3254" s="76">
        <v>55.551051999999999</v>
      </c>
      <c r="F3254" s="76">
        <v>46.962330000000001</v>
      </c>
      <c r="G3254" s="79">
        <v>1324100</v>
      </c>
    </row>
    <row r="3255" spans="1:7" x14ac:dyDescent="0.25">
      <c r="A3255" s="1" t="s">
        <v>3378</v>
      </c>
      <c r="B3255" s="76">
        <v>54.965763000000003</v>
      </c>
      <c r="C3255" s="76">
        <v>55.419361000000002</v>
      </c>
      <c r="D3255" s="76">
        <v>54.885288000000003</v>
      </c>
      <c r="E3255" s="76">
        <v>55.346198999999999</v>
      </c>
      <c r="F3255" s="76">
        <v>47.413585999999903</v>
      </c>
      <c r="G3255" s="79">
        <v>1285600</v>
      </c>
    </row>
    <row r="3256" spans="1:7" x14ac:dyDescent="0.25">
      <c r="A3256" s="1" t="s">
        <v>3379</v>
      </c>
      <c r="B3256" s="76">
        <v>55.448627000000002</v>
      </c>
      <c r="C3256" s="76">
        <v>56.114390999999998</v>
      </c>
      <c r="D3256" s="76">
        <v>55.441310999999999</v>
      </c>
      <c r="E3256" s="76">
        <v>55.997333999999903</v>
      </c>
      <c r="F3256" s="76">
        <v>47.971393999999997</v>
      </c>
      <c r="G3256" s="79">
        <v>998400</v>
      </c>
    </row>
    <row r="3257" spans="1:7" x14ac:dyDescent="0.25">
      <c r="A3257" s="1" t="s">
        <v>3380</v>
      </c>
      <c r="B3257" s="76">
        <v>56.048545999999902</v>
      </c>
      <c r="C3257" s="76">
        <v>56.253394999999998</v>
      </c>
      <c r="D3257" s="76">
        <v>55.851008999999998</v>
      </c>
      <c r="E3257" s="76">
        <v>56.085124999999998</v>
      </c>
      <c r="F3257" s="76">
        <v>48.046607999999999</v>
      </c>
      <c r="G3257" s="79">
        <v>749600</v>
      </c>
    </row>
    <row r="3258" spans="1:7" x14ac:dyDescent="0.25">
      <c r="A3258" s="1" t="s">
        <v>3381</v>
      </c>
      <c r="B3258" s="76">
        <v>56.253394999999998</v>
      </c>
      <c r="C3258" s="76">
        <v>56.407031999999901</v>
      </c>
      <c r="D3258" s="76">
        <v>56.048545999999902</v>
      </c>
      <c r="E3258" s="76">
        <v>56.136336999999997</v>
      </c>
      <c r="F3258" s="76">
        <v>48.090472999999903</v>
      </c>
      <c r="G3258" s="79">
        <v>1043700</v>
      </c>
    </row>
    <row r="3259" spans="1:7" x14ac:dyDescent="0.25">
      <c r="A3259" s="1" t="s">
        <v>3382</v>
      </c>
      <c r="B3259" s="76">
        <v>56.202182999999998</v>
      </c>
      <c r="C3259" s="76">
        <v>56.363135999999997</v>
      </c>
      <c r="D3259" s="76">
        <v>55.792479999999998</v>
      </c>
      <c r="E3259" s="76">
        <v>56.180232999999902</v>
      </c>
      <c r="F3259" s="76">
        <v>48.128078000000002</v>
      </c>
      <c r="G3259" s="79">
        <v>1505400</v>
      </c>
    </row>
    <row r="3260" spans="1:7" x14ac:dyDescent="0.25">
      <c r="A3260" s="1" t="s">
        <v>3383</v>
      </c>
      <c r="B3260" s="76">
        <v>56.172919999999998</v>
      </c>
      <c r="C3260" s="76">
        <v>56.333874000000002</v>
      </c>
      <c r="D3260" s="76">
        <v>55.894908999999998</v>
      </c>
      <c r="E3260" s="76">
        <v>56.136336999999997</v>
      </c>
      <c r="F3260" s="76">
        <v>48.090472999999903</v>
      </c>
      <c r="G3260" s="79">
        <v>1113700</v>
      </c>
    </row>
    <row r="3261" spans="1:7" x14ac:dyDescent="0.25">
      <c r="A3261" s="1" t="s">
        <v>3384</v>
      </c>
      <c r="B3261" s="76">
        <v>56.275344999999902</v>
      </c>
      <c r="C3261" s="76">
        <v>56.575302000000001</v>
      </c>
      <c r="D3261" s="76">
        <v>56.041229000000001</v>
      </c>
      <c r="E3261" s="76">
        <v>56.538722999999997</v>
      </c>
      <c r="F3261" s="76">
        <v>48.435184</v>
      </c>
      <c r="G3261" s="79">
        <v>1446300</v>
      </c>
    </row>
    <row r="3262" spans="1:7" x14ac:dyDescent="0.25">
      <c r="A3262" s="1" t="s">
        <v>3385</v>
      </c>
      <c r="B3262" s="76">
        <v>56.780155000000001</v>
      </c>
      <c r="C3262" s="76">
        <v>57.189853999999997</v>
      </c>
      <c r="D3262" s="76">
        <v>56.516773000000001</v>
      </c>
      <c r="E3262" s="76">
        <v>57.189853999999997</v>
      </c>
      <c r="F3262" s="76">
        <v>48.992992000000001</v>
      </c>
      <c r="G3262" s="79">
        <v>1541100</v>
      </c>
    </row>
    <row r="3263" spans="1:7" x14ac:dyDescent="0.25">
      <c r="A3263" s="1" t="s">
        <v>3386</v>
      </c>
      <c r="B3263" s="76">
        <v>57.219119999999997</v>
      </c>
      <c r="C3263" s="76">
        <v>57.987308999999897</v>
      </c>
      <c r="D3263" s="76">
        <v>57.043532999999996</v>
      </c>
      <c r="E3263" s="76">
        <v>57.979992000000003</v>
      </c>
      <c r="F3263" s="76">
        <v>49.669884000000003</v>
      </c>
      <c r="G3263" s="79">
        <v>1963100</v>
      </c>
    </row>
    <row r="3264" spans="1:7" x14ac:dyDescent="0.25">
      <c r="A3264" s="1" t="s">
        <v>3387</v>
      </c>
      <c r="B3264" s="76">
        <v>57.870251000000003</v>
      </c>
      <c r="C3264" s="76">
        <v>58.075099999999999</v>
      </c>
      <c r="D3264" s="76">
        <v>57.4532319999999</v>
      </c>
      <c r="E3264" s="76">
        <v>58.038520999999903</v>
      </c>
      <c r="F3264" s="76">
        <v>49.720027999999999</v>
      </c>
      <c r="G3264" s="79">
        <v>1497800</v>
      </c>
    </row>
    <row r="3265" spans="1:7" x14ac:dyDescent="0.25">
      <c r="A3265" s="1" t="s">
        <v>3388</v>
      </c>
      <c r="B3265" s="76">
        <v>58.045836999999999</v>
      </c>
      <c r="C3265" s="76">
        <v>58.638438999999998</v>
      </c>
      <c r="D3265" s="76">
        <v>57.848300999999999</v>
      </c>
      <c r="E3265" s="76">
        <v>58.638438999999998</v>
      </c>
      <c r="F3265" s="76">
        <v>50.233963000000003</v>
      </c>
      <c r="G3265" s="79">
        <v>1118400</v>
      </c>
    </row>
    <row r="3266" spans="1:7" x14ac:dyDescent="0.25">
      <c r="A3266" s="1" t="s">
        <v>3389</v>
      </c>
      <c r="B3266" s="76">
        <v>58.184840999999999</v>
      </c>
      <c r="C3266" s="76">
        <v>58.565277000000002</v>
      </c>
      <c r="D3266" s="76">
        <v>58.031204000000002</v>
      </c>
      <c r="E3266" s="76">
        <v>58.353110999999998</v>
      </c>
      <c r="F3266" s="76">
        <v>49.989525</v>
      </c>
      <c r="G3266" s="79">
        <v>2021100</v>
      </c>
    </row>
    <row r="3267" spans="1:7" x14ac:dyDescent="0.25">
      <c r="A3267" s="1" t="s">
        <v>3390</v>
      </c>
      <c r="B3267" s="76">
        <v>58.279952999999999</v>
      </c>
      <c r="C3267" s="76">
        <v>58.601859999999903</v>
      </c>
      <c r="D3267" s="76">
        <v>57.840988000000003</v>
      </c>
      <c r="E3267" s="76">
        <v>58.331164999999999</v>
      </c>
      <c r="F3267" s="76">
        <v>49.970729999999897</v>
      </c>
      <c r="G3267" s="79">
        <v>451400</v>
      </c>
    </row>
    <row r="3268" spans="1:7" x14ac:dyDescent="0.25">
      <c r="A3268" s="1" t="s">
        <v>3391</v>
      </c>
      <c r="B3268" s="76">
        <v>58.404324000000003</v>
      </c>
      <c r="C3268" s="76">
        <v>58.404324000000003</v>
      </c>
      <c r="D3268" s="76">
        <v>57.658085</v>
      </c>
      <c r="E3268" s="76">
        <v>57.943413</v>
      </c>
      <c r="F3268" s="76">
        <v>49.638545999999998</v>
      </c>
      <c r="G3268" s="79">
        <v>850100</v>
      </c>
    </row>
    <row r="3269" spans="1:7" x14ac:dyDescent="0.25">
      <c r="A3269" s="1" t="s">
        <v>3392</v>
      </c>
      <c r="B3269" s="76">
        <v>58.023887999999999</v>
      </c>
      <c r="C3269" s="76">
        <v>58.382378000000003</v>
      </c>
      <c r="D3269" s="76">
        <v>57.672718000000003</v>
      </c>
      <c r="E3269" s="76">
        <v>58.192157999999999</v>
      </c>
      <c r="F3269" s="76">
        <v>49.851634999999902</v>
      </c>
      <c r="G3269" s="79">
        <v>978600</v>
      </c>
    </row>
    <row r="3270" spans="1:7" x14ac:dyDescent="0.25">
      <c r="A3270" s="1" t="s">
        <v>3393</v>
      </c>
      <c r="B3270" s="76">
        <v>57.848300999999999</v>
      </c>
      <c r="C3270" s="76">
        <v>58.214107999999896</v>
      </c>
      <c r="D3270" s="76">
        <v>57.782458999999903</v>
      </c>
      <c r="E3270" s="76">
        <v>57.994624999999999</v>
      </c>
      <c r="F3270" s="76">
        <v>49.682423</v>
      </c>
      <c r="G3270" s="79">
        <v>1475400</v>
      </c>
    </row>
    <row r="3271" spans="1:7" x14ac:dyDescent="0.25">
      <c r="A3271" s="1" t="s">
        <v>3394</v>
      </c>
      <c r="B3271" s="76">
        <v>57.797089</v>
      </c>
      <c r="C3271" s="76">
        <v>58.587226999999999</v>
      </c>
      <c r="D3271" s="76">
        <v>57.643452000000003</v>
      </c>
      <c r="E3271" s="76">
        <v>58.587226999999999</v>
      </c>
      <c r="F3271" s="76">
        <v>50.190097999999999</v>
      </c>
      <c r="G3271" s="79">
        <v>1094500</v>
      </c>
    </row>
    <row r="3272" spans="1:7" x14ac:dyDescent="0.25">
      <c r="A3272" s="1" t="s">
        <v>3395</v>
      </c>
      <c r="B3272" s="76">
        <v>59.487105999999997</v>
      </c>
      <c r="C3272" s="76">
        <v>59.509051999999997</v>
      </c>
      <c r="D3272" s="76">
        <v>58.740864000000002</v>
      </c>
      <c r="E3272" s="76">
        <v>59.201777999999997</v>
      </c>
      <c r="F3272" s="76">
        <v>50.716552999999998</v>
      </c>
      <c r="G3272" s="79">
        <v>1240500</v>
      </c>
    </row>
    <row r="3273" spans="1:7" x14ac:dyDescent="0.25">
      <c r="A3273" s="1" t="s">
        <v>3396</v>
      </c>
      <c r="B3273" s="76">
        <v>59.304203000000001</v>
      </c>
      <c r="C3273" s="76">
        <v>59.735850999999997</v>
      </c>
      <c r="D3273" s="76">
        <v>58.894505000000002</v>
      </c>
      <c r="E3273" s="76">
        <v>59.487105999999997</v>
      </c>
      <c r="F3273" s="76">
        <v>50.960991</v>
      </c>
      <c r="G3273" s="79">
        <v>1284700</v>
      </c>
    </row>
    <row r="3274" spans="1:7" x14ac:dyDescent="0.25">
      <c r="A3274" s="1" t="s">
        <v>3397</v>
      </c>
      <c r="B3274" s="76">
        <v>59.384681999999998</v>
      </c>
      <c r="C3274" s="76">
        <v>60.2040819999999</v>
      </c>
      <c r="D3274" s="76">
        <v>59.231040999999998</v>
      </c>
      <c r="E3274" s="76">
        <v>60.174819999999997</v>
      </c>
      <c r="F3274" s="76">
        <v>51.550133000000002</v>
      </c>
      <c r="G3274" s="79">
        <v>885700</v>
      </c>
    </row>
    <row r="3275" spans="1:7" x14ac:dyDescent="0.25">
      <c r="A3275" s="1" t="s">
        <v>3398</v>
      </c>
      <c r="B3275" s="76">
        <v>60.079707999999997</v>
      </c>
      <c r="C3275" s="76">
        <v>60.218716000000001</v>
      </c>
      <c r="D3275" s="76">
        <v>59.728538999999998</v>
      </c>
      <c r="E3275" s="76">
        <v>59.948020999999997</v>
      </c>
      <c r="F3275" s="76">
        <v>51.355839000000003</v>
      </c>
      <c r="G3275" s="79">
        <v>1075800</v>
      </c>
    </row>
    <row r="3276" spans="1:7" x14ac:dyDescent="0.25">
      <c r="A3276" s="1" t="s">
        <v>3399</v>
      </c>
      <c r="B3276" s="76">
        <v>59.918754999999997</v>
      </c>
      <c r="C3276" s="76">
        <v>60.079707999999997</v>
      </c>
      <c r="D3276" s="76">
        <v>59.318835999999997</v>
      </c>
      <c r="E3276" s="76">
        <v>59.355415000000001</v>
      </c>
      <c r="F3276" s="76">
        <v>50.848171000000001</v>
      </c>
      <c r="G3276" s="79">
        <v>1170400</v>
      </c>
    </row>
    <row r="3277" spans="1:7" x14ac:dyDescent="0.25">
      <c r="A3277" s="1" t="s">
        <v>3400</v>
      </c>
      <c r="B3277" s="76">
        <v>59.443210999999998</v>
      </c>
      <c r="C3277" s="76">
        <v>59.618797000000001</v>
      </c>
      <c r="D3277" s="76">
        <v>59.267623999999998</v>
      </c>
      <c r="E3277" s="76">
        <v>59.531002000000001</v>
      </c>
      <c r="F3277" s="76">
        <v>50.998589000000003</v>
      </c>
      <c r="G3277" s="79">
        <v>1456600</v>
      </c>
    </row>
    <row r="3278" spans="1:7" x14ac:dyDescent="0.25">
      <c r="A3278" s="1" t="s">
        <v>3401</v>
      </c>
      <c r="B3278" s="76">
        <v>59.889491999999997</v>
      </c>
      <c r="C3278" s="76">
        <v>59.969966999999997</v>
      </c>
      <c r="D3278" s="76">
        <v>59.165199000000001</v>
      </c>
      <c r="E3278" s="76">
        <v>59.296886000000001</v>
      </c>
      <c r="F3278" s="76">
        <v>50.798034999999999</v>
      </c>
      <c r="G3278" s="79">
        <v>1575100</v>
      </c>
    </row>
    <row r="3279" spans="1:7" x14ac:dyDescent="0.25">
      <c r="A3279" s="1" t="s">
        <v>3402</v>
      </c>
      <c r="B3279" s="76">
        <v>59.391998000000001</v>
      </c>
      <c r="C3279" s="76">
        <v>59.472473000000001</v>
      </c>
      <c r="D3279" s="76">
        <v>58.850605000000002</v>
      </c>
      <c r="E3279" s="76">
        <v>59.318835999999997</v>
      </c>
      <c r="F3279" s="76">
        <v>50.816833000000003</v>
      </c>
      <c r="G3279" s="79">
        <v>1421200</v>
      </c>
    </row>
    <row r="3280" spans="1:7" x14ac:dyDescent="0.25">
      <c r="A3280" s="1" t="s">
        <v>3403</v>
      </c>
      <c r="B3280" s="76">
        <v>59.340786000000001</v>
      </c>
      <c r="C3280" s="76">
        <v>60.357718999999904</v>
      </c>
      <c r="D3280" s="76">
        <v>59.245674000000001</v>
      </c>
      <c r="E3280" s="76">
        <v>60.291874</v>
      </c>
      <c r="F3280" s="76">
        <v>51.650410000000001</v>
      </c>
      <c r="G3280" s="79">
        <v>1058000</v>
      </c>
    </row>
    <row r="3281" spans="1:7" x14ac:dyDescent="0.25">
      <c r="A3281" s="1" t="s">
        <v>3404</v>
      </c>
      <c r="B3281" s="76">
        <v>60.145553999999997</v>
      </c>
      <c r="C3281" s="76">
        <v>60.584518000000003</v>
      </c>
      <c r="D3281" s="76">
        <v>59.933388000000001</v>
      </c>
      <c r="E3281" s="76">
        <v>60.52599</v>
      </c>
      <c r="F3281" s="76">
        <v>51.850963999999998</v>
      </c>
      <c r="G3281" s="79">
        <v>946700</v>
      </c>
    </row>
    <row r="3282" spans="1:7" x14ac:dyDescent="0.25">
      <c r="A3282" s="1" t="s">
        <v>3405</v>
      </c>
      <c r="B3282" s="76">
        <v>60.782055</v>
      </c>
      <c r="C3282" s="76">
        <v>61.023482999999999</v>
      </c>
      <c r="D3282" s="76">
        <v>60.408931999999901</v>
      </c>
      <c r="E3282" s="76">
        <v>60.840584</v>
      </c>
      <c r="F3282" s="76">
        <v>52.120483</v>
      </c>
      <c r="G3282" s="79">
        <v>1367400</v>
      </c>
    </row>
    <row r="3283" spans="1:7" x14ac:dyDescent="0.25">
      <c r="A3283" s="1" t="s">
        <v>3406</v>
      </c>
      <c r="B3283" s="76">
        <v>60.899108999999903</v>
      </c>
      <c r="C3283" s="76">
        <v>61.177119999999903</v>
      </c>
      <c r="D3283" s="76">
        <v>60.591834999999897</v>
      </c>
      <c r="E3283" s="76">
        <v>61.060065999999999</v>
      </c>
      <c r="F3283" s="76">
        <v>52.308490999999997</v>
      </c>
      <c r="G3283" s="79">
        <v>1042500</v>
      </c>
    </row>
    <row r="3284" spans="1:7" x14ac:dyDescent="0.25">
      <c r="A3284" s="1" t="s">
        <v>3407</v>
      </c>
      <c r="B3284" s="76">
        <v>61.586822999999903</v>
      </c>
      <c r="C3284" s="76">
        <v>61.945312999999999</v>
      </c>
      <c r="D3284" s="76">
        <v>61.096644999999903</v>
      </c>
      <c r="E3284" s="76">
        <v>61.916045999999902</v>
      </c>
      <c r="F3284" s="76">
        <v>53.041798</v>
      </c>
      <c r="G3284" s="79">
        <v>1682600</v>
      </c>
    </row>
    <row r="3285" spans="1:7" x14ac:dyDescent="0.25">
      <c r="A3285" s="1" t="s">
        <v>3408</v>
      </c>
      <c r="B3285" s="76">
        <v>61.725830000000002</v>
      </c>
      <c r="C3285" s="76">
        <v>62.025787000000001</v>
      </c>
      <c r="D3285" s="76">
        <v>61.586822999999903</v>
      </c>
      <c r="E3285" s="76">
        <v>62.011153999999998</v>
      </c>
      <c r="F3285" s="76">
        <v>53.123259999999902</v>
      </c>
      <c r="G3285" s="79">
        <v>927300</v>
      </c>
    </row>
    <row r="3286" spans="1:7" x14ac:dyDescent="0.25">
      <c r="A3286" s="1" t="s">
        <v>3409</v>
      </c>
      <c r="B3286" s="76">
        <v>61.820937999999998</v>
      </c>
      <c r="C3286" s="76">
        <v>62.259903000000001</v>
      </c>
      <c r="D3286" s="76">
        <v>61.747776000000002</v>
      </c>
      <c r="E3286" s="76">
        <v>62.040420999999903</v>
      </c>
      <c r="F3286" s="76">
        <v>53.148342</v>
      </c>
      <c r="G3286" s="79">
        <v>1039900</v>
      </c>
    </row>
    <row r="3287" spans="1:7" x14ac:dyDescent="0.25">
      <c r="A3287" s="1" t="s">
        <v>3410</v>
      </c>
      <c r="B3287" s="76">
        <v>61.740458999999902</v>
      </c>
      <c r="C3287" s="76">
        <v>62.047736999999998</v>
      </c>
      <c r="D3287" s="76">
        <v>61.520977000000002</v>
      </c>
      <c r="E3287" s="76">
        <v>62.018470999999998</v>
      </c>
      <c r="F3287" s="76">
        <v>53.590877999999996</v>
      </c>
      <c r="G3287" s="79">
        <v>1301100</v>
      </c>
    </row>
    <row r="3288" spans="1:7" x14ac:dyDescent="0.25">
      <c r="A3288" s="1" t="s">
        <v>3411</v>
      </c>
      <c r="B3288" s="76">
        <v>62.216006999999998</v>
      </c>
      <c r="C3288" s="76">
        <v>62.537914000000001</v>
      </c>
      <c r="D3288" s="76">
        <v>61.923363000000002</v>
      </c>
      <c r="E3288" s="76">
        <v>62.515965000000001</v>
      </c>
      <c r="F3288" s="76">
        <v>54.020763000000002</v>
      </c>
      <c r="G3288" s="79">
        <v>786000</v>
      </c>
    </row>
    <row r="3289" spans="1:7" x14ac:dyDescent="0.25">
      <c r="A3289" s="1" t="s">
        <v>3412</v>
      </c>
      <c r="B3289" s="76">
        <v>62.018470999999998</v>
      </c>
      <c r="C3289" s="76">
        <v>62.479385000000001</v>
      </c>
      <c r="D3289" s="76">
        <v>61.981892000000002</v>
      </c>
      <c r="E3289" s="76">
        <v>62.311115000000001</v>
      </c>
      <c r="F3289" s="76">
        <v>53.843753999999997</v>
      </c>
      <c r="G3289" s="79">
        <v>1034300</v>
      </c>
    </row>
    <row r="3290" spans="1:7" x14ac:dyDescent="0.25">
      <c r="A3290" s="1" t="s">
        <v>3413</v>
      </c>
      <c r="B3290" s="76">
        <v>62.252586000000001</v>
      </c>
      <c r="C3290" s="76">
        <v>62.706183999999901</v>
      </c>
      <c r="D3290" s="76">
        <v>62.223323999999998</v>
      </c>
      <c r="E3290" s="76">
        <v>62.654971999999901</v>
      </c>
      <c r="F3290" s="76">
        <v>54.140877000000003</v>
      </c>
      <c r="G3290" s="79">
        <v>1049800</v>
      </c>
    </row>
    <row r="3291" spans="1:7" x14ac:dyDescent="0.25">
      <c r="A3291" s="1" t="s">
        <v>3414</v>
      </c>
      <c r="B3291" s="76">
        <v>62.457436000000001</v>
      </c>
      <c r="C3291" s="76">
        <v>62.633021999999997</v>
      </c>
      <c r="D3291" s="76">
        <v>62.172111999999998</v>
      </c>
      <c r="E3291" s="76">
        <v>62.303798999999998</v>
      </c>
      <c r="F3291" s="76">
        <v>53.837432999999997</v>
      </c>
      <c r="G3291" s="79">
        <v>1983700</v>
      </c>
    </row>
    <row r="3292" spans="1:7" x14ac:dyDescent="0.25">
      <c r="A3292" s="1" t="s">
        <v>3415</v>
      </c>
      <c r="B3292" s="76">
        <v>62.296481999999997</v>
      </c>
      <c r="C3292" s="76">
        <v>62.369643999999901</v>
      </c>
      <c r="D3292" s="76">
        <v>61.725830000000002</v>
      </c>
      <c r="E3292" s="76">
        <v>61.791671999999998</v>
      </c>
      <c r="F3292" s="76">
        <v>53.394893999999901</v>
      </c>
      <c r="G3292" s="79">
        <v>1365400</v>
      </c>
    </row>
    <row r="3293" spans="1:7" x14ac:dyDescent="0.25">
      <c r="A3293" s="1" t="s">
        <v>3416</v>
      </c>
      <c r="B3293" s="76">
        <v>62.011153999999998</v>
      </c>
      <c r="C3293" s="76">
        <v>62.676921999999998</v>
      </c>
      <c r="D3293" s="76">
        <v>61.930678999999998</v>
      </c>
      <c r="E3293" s="76">
        <v>62.479385000000001</v>
      </c>
      <c r="F3293" s="76">
        <v>53.989146999999903</v>
      </c>
      <c r="G3293" s="79">
        <v>1437100</v>
      </c>
    </row>
    <row r="3294" spans="1:7" x14ac:dyDescent="0.25">
      <c r="A3294" s="1" t="s">
        <v>3417</v>
      </c>
      <c r="B3294" s="76">
        <v>62.091632999999902</v>
      </c>
      <c r="C3294" s="76">
        <v>62.501334999999997</v>
      </c>
      <c r="D3294" s="76">
        <v>61.652667999999998</v>
      </c>
      <c r="E3294" s="76">
        <v>61.813621999999903</v>
      </c>
      <c r="F3294" s="76">
        <v>53.413856999999901</v>
      </c>
      <c r="G3294" s="79">
        <v>1803700</v>
      </c>
    </row>
    <row r="3295" spans="1:7" x14ac:dyDescent="0.25">
      <c r="A3295" s="1" t="s">
        <v>3418</v>
      </c>
      <c r="B3295" s="76">
        <v>62.025787000000001</v>
      </c>
      <c r="C3295" s="76">
        <v>62.201374000000001</v>
      </c>
      <c r="D3295" s="76">
        <v>61.689246999999902</v>
      </c>
      <c r="E3295" s="76">
        <v>61.864833999999902</v>
      </c>
      <c r="F3295" s="76">
        <v>53.458110999999903</v>
      </c>
      <c r="G3295" s="79">
        <v>967700</v>
      </c>
    </row>
    <row r="3296" spans="1:7" x14ac:dyDescent="0.25">
      <c r="A3296" s="1" t="s">
        <v>3419</v>
      </c>
      <c r="B3296" s="76">
        <v>61.528293999999903</v>
      </c>
      <c r="C3296" s="76">
        <v>61.959941999999998</v>
      </c>
      <c r="D3296" s="76">
        <v>61.1478579999999</v>
      </c>
      <c r="E3296" s="76">
        <v>61.316127999999999</v>
      </c>
      <c r="F3296" s="76">
        <v>52.983970999999997</v>
      </c>
      <c r="G3296" s="79">
        <v>1424300</v>
      </c>
    </row>
    <row r="3297" spans="1:7" x14ac:dyDescent="0.25">
      <c r="A3297" s="1" t="s">
        <v>3420</v>
      </c>
      <c r="B3297" s="76">
        <v>61.3746569999999</v>
      </c>
      <c r="C3297" s="76">
        <v>61.469765000000002</v>
      </c>
      <c r="D3297" s="76">
        <v>60.847896999999897</v>
      </c>
      <c r="E3297" s="76">
        <v>60.928375000000003</v>
      </c>
      <c r="F3297" s="76">
        <v>52.648913999999998</v>
      </c>
      <c r="G3297" s="79">
        <v>1149900</v>
      </c>
    </row>
    <row r="3298" spans="1:7" x14ac:dyDescent="0.25">
      <c r="A3298" s="1" t="s">
        <v>3421</v>
      </c>
      <c r="B3298" s="76">
        <v>61.103962000000003</v>
      </c>
      <c r="C3298" s="76">
        <v>61.857517000000001</v>
      </c>
      <c r="D3298" s="76">
        <v>61.103962000000003</v>
      </c>
      <c r="E3298" s="76">
        <v>61.828254999999999</v>
      </c>
      <c r="F3298" s="76">
        <v>53.426494999999903</v>
      </c>
      <c r="G3298" s="79">
        <v>871000</v>
      </c>
    </row>
    <row r="3299" spans="1:7" x14ac:dyDescent="0.25">
      <c r="A3299" s="1" t="s">
        <v>3422</v>
      </c>
      <c r="B3299" s="76">
        <v>61.894100000000002</v>
      </c>
      <c r="C3299" s="76">
        <v>62.230640000000001</v>
      </c>
      <c r="D3299" s="76">
        <v>61.755093000000002</v>
      </c>
      <c r="E3299" s="76">
        <v>62.040420999999903</v>
      </c>
      <c r="F3299" s="76">
        <v>53.609839999999998</v>
      </c>
      <c r="G3299" s="79">
        <v>988000</v>
      </c>
    </row>
    <row r="3300" spans="1:7" x14ac:dyDescent="0.25">
      <c r="A3300" s="1" t="s">
        <v>3423</v>
      </c>
      <c r="B3300" s="76">
        <v>62.084316000000001</v>
      </c>
      <c r="C3300" s="76">
        <v>62.662289000000001</v>
      </c>
      <c r="D3300" s="76">
        <v>62.025787000000001</v>
      </c>
      <c r="E3300" s="76">
        <v>62.603760000000001</v>
      </c>
      <c r="F3300" s="76">
        <v>54.096629999999998</v>
      </c>
      <c r="G3300" s="79">
        <v>1162300</v>
      </c>
    </row>
    <row r="3301" spans="1:7" x14ac:dyDescent="0.25">
      <c r="A3301" s="1" t="s">
        <v>3424</v>
      </c>
      <c r="B3301" s="76">
        <v>62.647655</v>
      </c>
      <c r="C3301" s="76">
        <v>62.874454</v>
      </c>
      <c r="D3301" s="76">
        <v>62.479385000000001</v>
      </c>
      <c r="E3301" s="76">
        <v>62.618392999999998</v>
      </c>
      <c r="F3301" s="76">
        <v>54.109276000000001</v>
      </c>
      <c r="G3301" s="79">
        <v>1181800</v>
      </c>
    </row>
    <row r="3302" spans="1:7" x14ac:dyDescent="0.25">
      <c r="A3302" s="1" t="s">
        <v>3425</v>
      </c>
      <c r="B3302" s="76">
        <v>62.340381999999998</v>
      </c>
      <c r="C3302" s="76">
        <v>62.391593999999998</v>
      </c>
      <c r="D3302" s="76">
        <v>61.901412999999998</v>
      </c>
      <c r="E3302" s="76">
        <v>62.216006999999998</v>
      </c>
      <c r="F3302" s="76">
        <v>53.761561999999998</v>
      </c>
      <c r="G3302" s="79">
        <v>949900</v>
      </c>
    </row>
    <row r="3303" spans="1:7" x14ac:dyDescent="0.25">
      <c r="A3303" s="1" t="s">
        <v>3426</v>
      </c>
      <c r="B3303" s="76">
        <v>62.442805999999997</v>
      </c>
      <c r="C3303" s="76">
        <v>62.552546999999997</v>
      </c>
      <c r="D3303" s="76">
        <v>61.959941999999998</v>
      </c>
      <c r="E3303" s="76">
        <v>62.106265999999998</v>
      </c>
      <c r="F3303" s="76">
        <v>53.666739999999997</v>
      </c>
      <c r="G3303" s="79">
        <v>2509300</v>
      </c>
    </row>
    <row r="3304" spans="1:7" x14ac:dyDescent="0.25">
      <c r="A3304" s="1" t="s">
        <v>3427</v>
      </c>
      <c r="B3304" s="76">
        <v>62.135528999999998</v>
      </c>
      <c r="C3304" s="76">
        <v>62.735447000000001</v>
      </c>
      <c r="D3304" s="76">
        <v>62.084316000000001</v>
      </c>
      <c r="E3304" s="76">
        <v>62.735447000000001</v>
      </c>
      <c r="F3304" s="76">
        <v>54.210422999999999</v>
      </c>
      <c r="G3304" s="79">
        <v>1165300</v>
      </c>
    </row>
    <row r="3305" spans="1:7" x14ac:dyDescent="0.25">
      <c r="A3305" s="1" t="s">
        <v>3428</v>
      </c>
      <c r="B3305" s="76">
        <v>62.581809999999997</v>
      </c>
      <c r="C3305" s="76">
        <v>62.815925999999997</v>
      </c>
      <c r="D3305" s="76">
        <v>62.033104000000002</v>
      </c>
      <c r="E3305" s="76">
        <v>62.098948999999998</v>
      </c>
      <c r="F3305" s="76">
        <v>53.660404</v>
      </c>
      <c r="G3305" s="79">
        <v>1026200</v>
      </c>
    </row>
    <row r="3306" spans="1:7" x14ac:dyDescent="0.25">
      <c r="A3306" s="1" t="s">
        <v>3429</v>
      </c>
      <c r="B3306" s="76">
        <v>62.113582999999998</v>
      </c>
      <c r="C3306" s="76">
        <v>62.113582999999998</v>
      </c>
      <c r="D3306" s="76">
        <v>61.403918999999902</v>
      </c>
      <c r="E3306" s="76">
        <v>61.4551319999999</v>
      </c>
      <c r="F3306" s="76">
        <v>53.104080000000003</v>
      </c>
      <c r="G3306" s="79">
        <v>1165000</v>
      </c>
    </row>
    <row r="3307" spans="1:7" x14ac:dyDescent="0.25">
      <c r="A3307" s="1" t="s">
        <v>3430</v>
      </c>
      <c r="B3307" s="76">
        <v>61.718513000000002</v>
      </c>
      <c r="C3307" s="76">
        <v>62.442805999999997</v>
      </c>
      <c r="D3307" s="76">
        <v>61.681930999999999</v>
      </c>
      <c r="E3307" s="76">
        <v>62.435490000000001</v>
      </c>
      <c r="F3307" s="76">
        <v>53.951217999999997</v>
      </c>
      <c r="G3307" s="79">
        <v>839900</v>
      </c>
    </row>
    <row r="3308" spans="1:7" x14ac:dyDescent="0.25">
      <c r="A3308" s="1" t="s">
        <v>3431</v>
      </c>
      <c r="B3308" s="76">
        <v>62.684235000000001</v>
      </c>
      <c r="C3308" s="76">
        <v>62.859820999999997</v>
      </c>
      <c r="D3308" s="76">
        <v>60.760105000000003</v>
      </c>
      <c r="E3308" s="76">
        <v>60.767421999999897</v>
      </c>
      <c r="F3308" s="76">
        <v>52.509822999999997</v>
      </c>
      <c r="G3308" s="79">
        <v>1210700</v>
      </c>
    </row>
    <row r="3309" spans="1:7" x14ac:dyDescent="0.25">
      <c r="A3309" s="1" t="s">
        <v>3432</v>
      </c>
      <c r="B3309" s="76">
        <v>61.140540999999999</v>
      </c>
      <c r="C3309" s="76">
        <v>61.499031000000002</v>
      </c>
      <c r="D3309" s="76">
        <v>60.467461</v>
      </c>
      <c r="E3309" s="76">
        <v>60.723526</v>
      </c>
      <c r="F3309" s="76">
        <v>52.471885999999998</v>
      </c>
      <c r="G3309" s="79">
        <v>1414600</v>
      </c>
    </row>
    <row r="3310" spans="1:7" x14ac:dyDescent="0.25">
      <c r="A3310" s="1" t="s">
        <v>3433</v>
      </c>
      <c r="B3310" s="76">
        <v>60.255294999999997</v>
      </c>
      <c r="C3310" s="76">
        <v>60.950324999999999</v>
      </c>
      <c r="D3310" s="76">
        <v>59.691955999999998</v>
      </c>
      <c r="E3310" s="76">
        <v>60.489409999999999</v>
      </c>
      <c r="F3310" s="76">
        <v>52.269584999999999</v>
      </c>
      <c r="G3310" s="79">
        <v>2026600</v>
      </c>
    </row>
    <row r="3311" spans="1:7" x14ac:dyDescent="0.25">
      <c r="A3311" s="1" t="s">
        <v>3434</v>
      </c>
      <c r="B3311" s="76">
        <v>60.635731</v>
      </c>
      <c r="C3311" s="76">
        <v>60.913741999999999</v>
      </c>
      <c r="D3311" s="76">
        <v>58.682334999999902</v>
      </c>
      <c r="E3311" s="76">
        <v>58.682334999999902</v>
      </c>
      <c r="F3311" s="76">
        <v>50.708075999999998</v>
      </c>
      <c r="G3311" s="79">
        <v>5051000</v>
      </c>
    </row>
    <row r="3312" spans="1:7" x14ac:dyDescent="0.25">
      <c r="A3312" s="1" t="s">
        <v>3435</v>
      </c>
      <c r="B3312" s="76">
        <v>58.411639999999998</v>
      </c>
      <c r="C3312" s="76">
        <v>58.755496999999998</v>
      </c>
      <c r="D3312" s="76">
        <v>58.111682999999999</v>
      </c>
      <c r="E3312" s="76">
        <v>58.755496999999998</v>
      </c>
      <c r="F3312" s="76">
        <v>50.771309000000002</v>
      </c>
      <c r="G3312" s="79">
        <v>1778900</v>
      </c>
    </row>
    <row r="3313" spans="1:7" x14ac:dyDescent="0.25">
      <c r="A3313" s="1" t="s">
        <v>3436</v>
      </c>
      <c r="B3313" s="76">
        <v>59.113987000000002</v>
      </c>
      <c r="C3313" s="76">
        <v>59.735850999999997</v>
      </c>
      <c r="D3313" s="76">
        <v>58.894505000000002</v>
      </c>
      <c r="E3313" s="76">
        <v>59.523685</v>
      </c>
      <c r="F3313" s="76">
        <v>51.435101000000003</v>
      </c>
      <c r="G3313" s="79">
        <v>1551900</v>
      </c>
    </row>
    <row r="3314" spans="1:7" x14ac:dyDescent="0.25">
      <c r="A3314" s="1" t="s">
        <v>3437</v>
      </c>
      <c r="B3314" s="76">
        <v>59.940703999999997</v>
      </c>
      <c r="C3314" s="76">
        <v>61.711196999999999</v>
      </c>
      <c r="D3314" s="76">
        <v>59.889491999999997</v>
      </c>
      <c r="E3314" s="76">
        <v>61.535609999999998</v>
      </c>
      <c r="F3314" s="76">
        <v>53.173630000000003</v>
      </c>
      <c r="G3314" s="79">
        <v>3153700</v>
      </c>
    </row>
    <row r="3315" spans="1:7" x14ac:dyDescent="0.25">
      <c r="A3315" s="1" t="s">
        <v>3438</v>
      </c>
      <c r="B3315" s="76">
        <v>61.667301000000002</v>
      </c>
      <c r="C3315" s="76">
        <v>61.769725999999999</v>
      </c>
      <c r="D3315" s="76">
        <v>60.591834999999897</v>
      </c>
      <c r="E3315" s="76">
        <v>60.884480000000003</v>
      </c>
      <c r="F3315" s="76">
        <v>52.610984999999999</v>
      </c>
      <c r="G3315" s="79">
        <v>1195100</v>
      </c>
    </row>
    <row r="3316" spans="1:7" x14ac:dyDescent="0.25">
      <c r="A3316" s="1" t="s">
        <v>3439</v>
      </c>
      <c r="B3316" s="76">
        <v>60.855212999999999</v>
      </c>
      <c r="C3316" s="76">
        <v>61.177119999999903</v>
      </c>
      <c r="D3316" s="76">
        <v>60.613785</v>
      </c>
      <c r="E3316" s="76">
        <v>60.738154999999999</v>
      </c>
      <c r="F3316" s="76">
        <v>52.484535000000001</v>
      </c>
      <c r="G3316" s="79">
        <v>1597500</v>
      </c>
    </row>
    <row r="3317" spans="1:7" x14ac:dyDescent="0.25">
      <c r="A3317" s="1" t="s">
        <v>3440</v>
      </c>
      <c r="B3317" s="76">
        <v>61.294178000000002</v>
      </c>
      <c r="C3317" s="76">
        <v>61.791671999999998</v>
      </c>
      <c r="D3317" s="76">
        <v>61.089328999999999</v>
      </c>
      <c r="E3317" s="76">
        <v>61.630718000000002</v>
      </c>
      <c r="F3317" s="76">
        <v>53.255809999999997</v>
      </c>
      <c r="G3317" s="79">
        <v>1695800</v>
      </c>
    </row>
    <row r="3318" spans="1:7" x14ac:dyDescent="0.25">
      <c r="A3318" s="1" t="s">
        <v>3441</v>
      </c>
      <c r="B3318" s="76">
        <v>61.389290000000003</v>
      </c>
      <c r="C3318" s="76">
        <v>62.091632999999902</v>
      </c>
      <c r="D3318" s="76">
        <v>61.1478579999999</v>
      </c>
      <c r="E3318" s="76">
        <v>62.069682999999998</v>
      </c>
      <c r="F3318" s="76">
        <v>53.635131999999899</v>
      </c>
      <c r="G3318" s="79">
        <v>1465100</v>
      </c>
    </row>
    <row r="3319" spans="1:7" x14ac:dyDescent="0.25">
      <c r="A3319" s="1" t="s">
        <v>3442</v>
      </c>
      <c r="B3319" s="76">
        <v>61.967257999999902</v>
      </c>
      <c r="C3319" s="76">
        <v>62.055053999999998</v>
      </c>
      <c r="D3319" s="76">
        <v>61.125907999999903</v>
      </c>
      <c r="E3319" s="76">
        <v>61.191752999999999</v>
      </c>
      <c r="F3319" s="76">
        <v>52.876494999999998</v>
      </c>
      <c r="G3319" s="79">
        <v>1343500</v>
      </c>
    </row>
    <row r="3320" spans="1:7" x14ac:dyDescent="0.25">
      <c r="A3320" s="1" t="s">
        <v>3443</v>
      </c>
      <c r="B3320" s="76">
        <v>61.155174000000002</v>
      </c>
      <c r="C3320" s="76">
        <v>61.469765000000002</v>
      </c>
      <c r="D3320" s="76">
        <v>60.650364000000003</v>
      </c>
      <c r="E3320" s="76">
        <v>60.840584</v>
      </c>
      <c r="F3320" s="76">
        <v>52.573048</v>
      </c>
      <c r="G3320" s="79">
        <v>1231300</v>
      </c>
    </row>
    <row r="3321" spans="1:7" x14ac:dyDescent="0.25">
      <c r="A3321" s="1" t="s">
        <v>3444</v>
      </c>
      <c r="B3321" s="76">
        <v>60.972270999999999</v>
      </c>
      <c r="C3321" s="76">
        <v>61.206386999999999</v>
      </c>
      <c r="D3321" s="76">
        <v>60.789368000000003</v>
      </c>
      <c r="E3321" s="76">
        <v>60.994220999999897</v>
      </c>
      <c r="F3321" s="76">
        <v>52.705806999999901</v>
      </c>
      <c r="G3321" s="79">
        <v>1055500</v>
      </c>
    </row>
    <row r="3322" spans="1:7" x14ac:dyDescent="0.25">
      <c r="A3322" s="1" t="s">
        <v>3445</v>
      </c>
      <c r="B3322" s="76">
        <v>60.760105000000003</v>
      </c>
      <c r="C3322" s="76">
        <v>61.272231999999903</v>
      </c>
      <c r="D3322" s="76">
        <v>60.328456999999901</v>
      </c>
      <c r="E3322" s="76">
        <v>60.928375000000003</v>
      </c>
      <c r="F3322" s="76">
        <v>52.648913999999998</v>
      </c>
      <c r="G3322" s="79">
        <v>2888900</v>
      </c>
    </row>
    <row r="3323" spans="1:7" x14ac:dyDescent="0.25">
      <c r="A3323" s="1" t="s">
        <v>3446</v>
      </c>
      <c r="B3323" s="76">
        <v>60.489409999999999</v>
      </c>
      <c r="C3323" s="76">
        <v>60.818633999999903</v>
      </c>
      <c r="D3323" s="76">
        <v>60.152869999999901</v>
      </c>
      <c r="E3323" s="76">
        <v>60.496727</v>
      </c>
      <c r="F3323" s="76">
        <v>52.275917</v>
      </c>
      <c r="G3323" s="79">
        <v>1495900</v>
      </c>
    </row>
    <row r="3324" spans="1:7" x14ac:dyDescent="0.25">
      <c r="A3324" s="1" t="s">
        <v>3447</v>
      </c>
      <c r="B3324" s="76">
        <v>60.540622999999997</v>
      </c>
      <c r="C3324" s="76">
        <v>60.686942999999999</v>
      </c>
      <c r="D3324" s="76">
        <v>59.333468999999901</v>
      </c>
      <c r="E3324" s="76">
        <v>59.787064000000001</v>
      </c>
      <c r="F3324" s="76">
        <v>51.662681999999997</v>
      </c>
      <c r="G3324" s="79">
        <v>1989800</v>
      </c>
    </row>
    <row r="3325" spans="1:7" x14ac:dyDescent="0.25">
      <c r="A3325" s="1" t="s">
        <v>3448</v>
      </c>
      <c r="B3325" s="76">
        <v>60.065075</v>
      </c>
      <c r="C3325" s="76">
        <v>60.196765999999997</v>
      </c>
      <c r="D3325" s="76">
        <v>59.721221999999997</v>
      </c>
      <c r="E3325" s="76">
        <v>59.823646999999902</v>
      </c>
      <c r="F3325" s="76">
        <v>51.694297999999897</v>
      </c>
      <c r="G3325" s="79">
        <v>1384900</v>
      </c>
    </row>
    <row r="3326" spans="1:7" x14ac:dyDescent="0.25">
      <c r="A3326" s="1" t="s">
        <v>3449</v>
      </c>
      <c r="B3326" s="76">
        <v>59.472473000000001</v>
      </c>
      <c r="C3326" s="76">
        <v>59.955333999999901</v>
      </c>
      <c r="D3326" s="76">
        <v>59.472473000000001</v>
      </c>
      <c r="E3326" s="76">
        <v>59.611480999999998</v>
      </c>
      <c r="F3326" s="76">
        <v>51.510962999999997</v>
      </c>
      <c r="G3326" s="79">
        <v>1681800</v>
      </c>
    </row>
    <row r="3327" spans="1:7" x14ac:dyDescent="0.25">
      <c r="A3327" s="1" t="s">
        <v>3450</v>
      </c>
      <c r="B3327" s="76">
        <v>59.889491999999997</v>
      </c>
      <c r="C3327" s="76">
        <v>60.035812</v>
      </c>
      <c r="D3327" s="76">
        <v>59.472473000000001</v>
      </c>
      <c r="E3327" s="76">
        <v>59.691955999999998</v>
      </c>
      <c r="F3327" s="76">
        <v>51.580497999999999</v>
      </c>
      <c r="G3327" s="79">
        <v>842100</v>
      </c>
    </row>
    <row r="3328" spans="1:7" x14ac:dyDescent="0.25">
      <c r="A3328" s="1" t="s">
        <v>3451</v>
      </c>
      <c r="B3328" s="76">
        <v>59.838279999999997</v>
      </c>
      <c r="C3328" s="76">
        <v>59.940703999999997</v>
      </c>
      <c r="D3328" s="76">
        <v>59.428576999999997</v>
      </c>
      <c r="E3328" s="76">
        <v>59.640743000000001</v>
      </c>
      <c r="F3328" s="76">
        <v>51.536254999999997</v>
      </c>
      <c r="G3328" s="79">
        <v>1039900</v>
      </c>
    </row>
    <row r="3329" spans="1:7" x14ac:dyDescent="0.25">
      <c r="A3329" s="1" t="s">
        <v>3452</v>
      </c>
      <c r="B3329" s="76">
        <v>59.940703999999997</v>
      </c>
      <c r="C3329" s="76">
        <v>60.262611</v>
      </c>
      <c r="D3329" s="76">
        <v>59.911437999999997</v>
      </c>
      <c r="E3329" s="76">
        <v>60.2333449999999</v>
      </c>
      <c r="F3329" s="76">
        <v>52.048321000000001</v>
      </c>
      <c r="G3329" s="79">
        <v>867400</v>
      </c>
    </row>
    <row r="3330" spans="1:7" x14ac:dyDescent="0.25">
      <c r="A3330" s="1" t="s">
        <v>3453</v>
      </c>
      <c r="B3330" s="76">
        <v>59.874858999999901</v>
      </c>
      <c r="C3330" s="76">
        <v>61.162491000000003</v>
      </c>
      <c r="D3330" s="76">
        <v>59.538318999999902</v>
      </c>
      <c r="E3330" s="76">
        <v>61.052750000000003</v>
      </c>
      <c r="F3330" s="76">
        <v>52.756390000000003</v>
      </c>
      <c r="G3330" s="79">
        <v>1854800</v>
      </c>
    </row>
    <row r="3331" spans="1:7" x14ac:dyDescent="0.25">
      <c r="A3331" s="1" t="s">
        <v>3454</v>
      </c>
      <c r="B3331" s="76">
        <v>60.972270999999999</v>
      </c>
      <c r="C3331" s="76">
        <v>61.235649000000002</v>
      </c>
      <c r="D3331" s="76">
        <v>60.613785</v>
      </c>
      <c r="E3331" s="76">
        <v>61.191752999999999</v>
      </c>
      <c r="F3331" s="76">
        <v>52.876494999999998</v>
      </c>
      <c r="G3331" s="79">
        <v>1153400</v>
      </c>
    </row>
    <row r="3332" spans="1:7" x14ac:dyDescent="0.25">
      <c r="A3332" s="1" t="s">
        <v>3455</v>
      </c>
      <c r="B3332" s="76">
        <v>61.133223999999998</v>
      </c>
      <c r="C3332" s="76">
        <v>61.645350999999998</v>
      </c>
      <c r="D3332" s="76">
        <v>61.067379000000003</v>
      </c>
      <c r="E3332" s="76">
        <v>61.616089000000002</v>
      </c>
      <c r="F3332" s="76">
        <v>53.243167999999997</v>
      </c>
      <c r="G3332" s="79">
        <v>841800</v>
      </c>
    </row>
    <row r="3333" spans="1:7" x14ac:dyDescent="0.25">
      <c r="A3333" s="1" t="s">
        <v>3456</v>
      </c>
      <c r="B3333" s="76">
        <v>61.908729999999998</v>
      </c>
      <c r="C3333" s="76">
        <v>62.106265999999998</v>
      </c>
      <c r="D3333" s="76">
        <v>61.542926999999999</v>
      </c>
      <c r="E3333" s="76">
        <v>61.755093000000002</v>
      </c>
      <c r="F3333" s="76">
        <v>53.363292999999999</v>
      </c>
      <c r="G3333" s="79">
        <v>881000</v>
      </c>
    </row>
    <row r="3334" spans="1:7" x14ac:dyDescent="0.25">
      <c r="A3334" s="1" t="s">
        <v>3457</v>
      </c>
      <c r="B3334" s="76">
        <v>62.076999999999998</v>
      </c>
      <c r="C3334" s="76">
        <v>62.076999999999998</v>
      </c>
      <c r="D3334" s="76">
        <v>61.601455999999999</v>
      </c>
      <c r="E3334" s="76">
        <v>61.769725999999999</v>
      </c>
      <c r="F3334" s="76">
        <v>53.375931000000001</v>
      </c>
      <c r="G3334" s="79">
        <v>1150700</v>
      </c>
    </row>
    <row r="3335" spans="1:7" x14ac:dyDescent="0.25">
      <c r="A3335" s="1" t="s">
        <v>3458</v>
      </c>
      <c r="B3335" s="76">
        <v>62.508651999999998</v>
      </c>
      <c r="C3335" s="76">
        <v>63.876759</v>
      </c>
      <c r="D3335" s="76">
        <v>62.413539999999998</v>
      </c>
      <c r="E3335" s="76">
        <v>63.810912999999999</v>
      </c>
      <c r="F3335" s="76">
        <v>55.139743999999901</v>
      </c>
      <c r="G3335" s="79">
        <v>1847100</v>
      </c>
    </row>
    <row r="3336" spans="1:7" x14ac:dyDescent="0.25">
      <c r="A3336" s="1" t="s">
        <v>3459</v>
      </c>
      <c r="B3336" s="76">
        <v>63.174416000000001</v>
      </c>
      <c r="C3336" s="76">
        <v>63.642643</v>
      </c>
      <c r="D3336" s="76">
        <v>62.801291999999997</v>
      </c>
      <c r="E3336" s="76">
        <v>63.620697</v>
      </c>
      <c r="F3336" s="76">
        <v>54.975380000000001</v>
      </c>
      <c r="G3336" s="79">
        <v>890300</v>
      </c>
    </row>
    <row r="3337" spans="1:7" x14ac:dyDescent="0.25">
      <c r="A3337" s="1" t="s">
        <v>3460</v>
      </c>
      <c r="B3337" s="76">
        <v>63.474373</v>
      </c>
      <c r="C3337" s="76">
        <v>64.359618999999995</v>
      </c>
      <c r="D3337" s="76">
        <v>62.932982999999901</v>
      </c>
      <c r="E3337" s="76">
        <v>64.323036000000002</v>
      </c>
      <c r="F3337" s="76">
        <v>55.582267999999999</v>
      </c>
      <c r="G3337" s="79">
        <v>1183300</v>
      </c>
    </row>
    <row r="3338" spans="1:7" x14ac:dyDescent="0.25">
      <c r="A3338" s="1" t="s">
        <v>3461</v>
      </c>
      <c r="B3338" s="76">
        <v>64.323036000000002</v>
      </c>
      <c r="C3338" s="76">
        <v>64.323036000000002</v>
      </c>
      <c r="D3338" s="76">
        <v>63.203677999999996</v>
      </c>
      <c r="E3338" s="76">
        <v>63.503639</v>
      </c>
      <c r="F3338" s="76">
        <v>54.874214000000002</v>
      </c>
      <c r="G3338" s="79">
        <v>1087800</v>
      </c>
    </row>
    <row r="3339" spans="1:7" x14ac:dyDescent="0.25">
      <c r="A3339" s="1" t="s">
        <v>3462</v>
      </c>
      <c r="B3339" s="76">
        <v>63.525585</v>
      </c>
      <c r="C3339" s="76">
        <v>64.103554000000003</v>
      </c>
      <c r="D3339" s="76">
        <v>63.525585</v>
      </c>
      <c r="E3339" s="76">
        <v>63.693854999999999</v>
      </c>
      <c r="F3339" s="76">
        <v>55.038585999999903</v>
      </c>
      <c r="G3339" s="79">
        <v>1354400</v>
      </c>
    </row>
    <row r="3340" spans="1:7" x14ac:dyDescent="0.25">
      <c r="A3340" s="1" t="s">
        <v>3463</v>
      </c>
      <c r="B3340" s="76">
        <v>63.723121999999996</v>
      </c>
      <c r="C3340" s="76">
        <v>64.374251999999998</v>
      </c>
      <c r="D3340" s="76">
        <v>63.723121999999996</v>
      </c>
      <c r="E3340" s="76">
        <v>63.796280000000003</v>
      </c>
      <c r="F3340" s="76">
        <v>55.127102000000001</v>
      </c>
      <c r="G3340" s="79">
        <v>1503300</v>
      </c>
    </row>
    <row r="3341" spans="1:7" x14ac:dyDescent="0.25">
      <c r="A3341" s="1" t="s">
        <v>3464</v>
      </c>
      <c r="B3341" s="76">
        <v>63.715805000000003</v>
      </c>
      <c r="C3341" s="76">
        <v>64.052344999999903</v>
      </c>
      <c r="D3341" s="76">
        <v>63.628009999999897</v>
      </c>
      <c r="E3341" s="76">
        <v>63.949920999999897</v>
      </c>
      <c r="F3341" s="76">
        <v>55.259864999999998</v>
      </c>
      <c r="G3341" s="79">
        <v>1586300</v>
      </c>
    </row>
    <row r="3342" spans="1:7" x14ac:dyDescent="0.25">
      <c r="A3342" s="1" t="s">
        <v>3465</v>
      </c>
      <c r="B3342" s="76">
        <v>63.693854999999999</v>
      </c>
      <c r="C3342" s="76">
        <v>64.023078999999996</v>
      </c>
      <c r="D3342" s="76">
        <v>62.589126999999998</v>
      </c>
      <c r="E3342" s="76">
        <v>62.633021999999997</v>
      </c>
      <c r="F3342" s="76">
        <v>54.12191</v>
      </c>
      <c r="G3342" s="79">
        <v>1231900</v>
      </c>
    </row>
    <row r="3343" spans="1:7" x14ac:dyDescent="0.25">
      <c r="A3343" s="1" t="s">
        <v>3466</v>
      </c>
      <c r="B3343" s="76">
        <v>62.925666999999997</v>
      </c>
      <c r="C3343" s="76">
        <v>64.008445999999907</v>
      </c>
      <c r="D3343" s="76">
        <v>62.603760000000001</v>
      </c>
      <c r="E3343" s="76">
        <v>63.701172</v>
      </c>
      <c r="F3343" s="76">
        <v>55.044918000000003</v>
      </c>
      <c r="G3343" s="79">
        <v>1127900</v>
      </c>
    </row>
    <row r="3344" spans="1:7" x14ac:dyDescent="0.25">
      <c r="A3344" s="1" t="s">
        <v>3467</v>
      </c>
      <c r="B3344" s="76">
        <v>63.408526999999999</v>
      </c>
      <c r="C3344" s="76">
        <v>63.430477000000003</v>
      </c>
      <c r="D3344" s="76">
        <v>62.515965000000001</v>
      </c>
      <c r="E3344" s="76">
        <v>63.108569999999901</v>
      </c>
      <c r="F3344" s="76">
        <v>54.532844999999902</v>
      </c>
      <c r="G3344" s="79">
        <v>1599200</v>
      </c>
    </row>
    <row r="3345" spans="1:7" x14ac:dyDescent="0.25">
      <c r="A3345" s="1" t="s">
        <v>3468</v>
      </c>
      <c r="B3345" s="76">
        <v>63.101253999999997</v>
      </c>
      <c r="C3345" s="76">
        <v>63.130516</v>
      </c>
      <c r="D3345" s="76">
        <v>61.806305000000002</v>
      </c>
      <c r="E3345" s="76">
        <v>62.186740999999998</v>
      </c>
      <c r="F3345" s="76">
        <v>53.736279000000003</v>
      </c>
      <c r="G3345" s="79">
        <v>1428600</v>
      </c>
    </row>
    <row r="3346" spans="1:7" x14ac:dyDescent="0.25">
      <c r="A3346" s="1" t="s">
        <v>3469</v>
      </c>
      <c r="B3346" s="76">
        <v>62.494018999999902</v>
      </c>
      <c r="C3346" s="76">
        <v>63.203677999999996</v>
      </c>
      <c r="D3346" s="76">
        <v>62.303798999999998</v>
      </c>
      <c r="E3346" s="76">
        <v>62.932982999999901</v>
      </c>
      <c r="F3346" s="76">
        <v>54.381106999999901</v>
      </c>
      <c r="G3346" s="79">
        <v>1493900</v>
      </c>
    </row>
    <row r="3347" spans="1:7" x14ac:dyDescent="0.25">
      <c r="A3347" s="1" t="s">
        <v>3470</v>
      </c>
      <c r="B3347" s="76">
        <v>63.086619999999897</v>
      </c>
      <c r="C3347" s="76">
        <v>63.532902</v>
      </c>
      <c r="D3347" s="76">
        <v>62.669604999999997</v>
      </c>
      <c r="E3347" s="76">
        <v>63.342686</v>
      </c>
      <c r="F3347" s="76">
        <v>54.735142000000003</v>
      </c>
      <c r="G3347" s="79">
        <v>859600</v>
      </c>
    </row>
    <row r="3348" spans="1:7" x14ac:dyDescent="0.25">
      <c r="A3348" s="1" t="s">
        <v>3471</v>
      </c>
      <c r="B3348" s="76">
        <v>63.576796999999999</v>
      </c>
      <c r="C3348" s="76">
        <v>63.693854999999999</v>
      </c>
      <c r="D3348" s="76">
        <v>62.991512</v>
      </c>
      <c r="E3348" s="76">
        <v>63.474373</v>
      </c>
      <c r="F3348" s="76">
        <v>54.848927000000003</v>
      </c>
      <c r="G3348" s="79">
        <v>762000</v>
      </c>
    </row>
    <row r="3349" spans="1:7" x14ac:dyDescent="0.25">
      <c r="A3349" s="1" t="s">
        <v>3472</v>
      </c>
      <c r="B3349" s="76">
        <v>63.679221999999903</v>
      </c>
      <c r="C3349" s="76">
        <v>64.118187000000006</v>
      </c>
      <c r="D3349" s="76">
        <v>63.386581</v>
      </c>
      <c r="E3349" s="76">
        <v>63.752383999999999</v>
      </c>
      <c r="F3349" s="76">
        <v>55.089160999999997</v>
      </c>
      <c r="G3349" s="79">
        <v>734000</v>
      </c>
    </row>
    <row r="3350" spans="1:7" x14ac:dyDescent="0.25">
      <c r="A3350" s="1" t="s">
        <v>3473</v>
      </c>
      <c r="B3350" s="76">
        <v>63.620697</v>
      </c>
      <c r="C3350" s="76">
        <v>63.803595999999999</v>
      </c>
      <c r="D3350" s="76">
        <v>62.647655</v>
      </c>
      <c r="E3350" s="76">
        <v>63.313418999999897</v>
      </c>
      <c r="F3350" s="76">
        <v>54.709845999999999</v>
      </c>
      <c r="G3350" s="79">
        <v>803800</v>
      </c>
    </row>
    <row r="3351" spans="1:7" x14ac:dyDescent="0.25">
      <c r="A3351" s="1" t="s">
        <v>3474</v>
      </c>
      <c r="B3351" s="76">
        <v>63.320735999999997</v>
      </c>
      <c r="C3351" s="76">
        <v>63.701172</v>
      </c>
      <c r="D3351" s="76">
        <v>62.786662999999997</v>
      </c>
      <c r="E3351" s="76">
        <v>62.867137999999997</v>
      </c>
      <c r="F3351" s="76">
        <v>54.324210999999998</v>
      </c>
      <c r="G3351" s="79">
        <v>1089300</v>
      </c>
    </row>
    <row r="3352" spans="1:7" x14ac:dyDescent="0.25">
      <c r="A3352" s="1" t="s">
        <v>3475</v>
      </c>
      <c r="B3352" s="76">
        <v>63.079304</v>
      </c>
      <c r="C3352" s="76">
        <v>63.759701</v>
      </c>
      <c r="D3352" s="76">
        <v>62.764713</v>
      </c>
      <c r="E3352" s="76">
        <v>63.606064000000003</v>
      </c>
      <c r="F3352" s="76">
        <v>54.962738000000002</v>
      </c>
      <c r="G3352" s="79">
        <v>871700</v>
      </c>
    </row>
    <row r="3353" spans="1:7" x14ac:dyDescent="0.25">
      <c r="A3353" s="1" t="s">
        <v>3476</v>
      </c>
      <c r="B3353" s="76">
        <v>63.628009999999897</v>
      </c>
      <c r="C3353" s="76">
        <v>64.176719999999904</v>
      </c>
      <c r="D3353" s="76">
        <v>63.386581</v>
      </c>
      <c r="E3353" s="76">
        <v>64.059662000000003</v>
      </c>
      <c r="F3353" s="76">
        <v>55.354682999999902</v>
      </c>
      <c r="G3353" s="79">
        <v>1043800</v>
      </c>
    </row>
    <row r="3354" spans="1:7" x14ac:dyDescent="0.25">
      <c r="A3354" s="1" t="s">
        <v>3477</v>
      </c>
      <c r="B3354" s="76">
        <v>63.606064000000003</v>
      </c>
      <c r="C3354" s="76">
        <v>64.513260000000002</v>
      </c>
      <c r="D3354" s="76">
        <v>63.474373</v>
      </c>
      <c r="E3354" s="76">
        <v>63.942604000000003</v>
      </c>
      <c r="F3354" s="76">
        <v>55.253535999999997</v>
      </c>
      <c r="G3354" s="79">
        <v>1118700</v>
      </c>
    </row>
    <row r="3355" spans="1:7" x14ac:dyDescent="0.25">
      <c r="A3355" s="1" t="s">
        <v>3478</v>
      </c>
      <c r="B3355" s="76">
        <v>63.942604000000003</v>
      </c>
      <c r="C3355" s="76">
        <v>64.352303000000006</v>
      </c>
      <c r="D3355" s="76">
        <v>63.64996</v>
      </c>
      <c r="E3355" s="76">
        <v>63.832863000000003</v>
      </c>
      <c r="F3355" s="76">
        <v>55.158709999999999</v>
      </c>
      <c r="G3355" s="79">
        <v>910300</v>
      </c>
    </row>
    <row r="3356" spans="1:7" x14ac:dyDescent="0.25">
      <c r="A3356" s="1" t="s">
        <v>3479</v>
      </c>
      <c r="B3356" s="76">
        <v>64.184035999999907</v>
      </c>
      <c r="C3356" s="76">
        <v>64.315726999999995</v>
      </c>
      <c r="D3356" s="76">
        <v>63.584114</v>
      </c>
      <c r="E3356" s="76">
        <v>63.598746999999904</v>
      </c>
      <c r="F3356" s="76">
        <v>54.956406000000001</v>
      </c>
      <c r="G3356" s="79">
        <v>1051300</v>
      </c>
    </row>
    <row r="3357" spans="1:7" x14ac:dyDescent="0.25">
      <c r="A3357" s="1" t="s">
        <v>3480</v>
      </c>
      <c r="B3357" s="76">
        <v>63.510956</v>
      </c>
      <c r="C3357" s="76">
        <v>64.498626999999999</v>
      </c>
      <c r="D3357" s="76">
        <v>63.510956</v>
      </c>
      <c r="E3357" s="76">
        <v>64.264510999999999</v>
      </c>
      <c r="F3357" s="76">
        <v>55.531695999999997</v>
      </c>
      <c r="G3357" s="79">
        <v>1206400</v>
      </c>
    </row>
    <row r="3358" spans="1:7" x14ac:dyDescent="0.25">
      <c r="A3358" s="1" t="s">
        <v>3481</v>
      </c>
      <c r="B3358" s="76">
        <v>63.64996</v>
      </c>
      <c r="C3358" s="76">
        <v>63.64996</v>
      </c>
      <c r="D3358" s="76">
        <v>61.162491000000003</v>
      </c>
      <c r="E3358" s="76">
        <v>63.518268999999997</v>
      </c>
      <c r="F3358" s="76">
        <v>54.886856000000002</v>
      </c>
      <c r="G3358" s="79">
        <v>1499500</v>
      </c>
    </row>
    <row r="3359" spans="1:7" x14ac:dyDescent="0.25">
      <c r="A3359" s="1" t="s">
        <v>3482</v>
      </c>
      <c r="B3359" s="76">
        <v>63.481689000000003</v>
      </c>
      <c r="C3359" s="76">
        <v>64.213295000000002</v>
      </c>
      <c r="D3359" s="76">
        <v>63.371947999999897</v>
      </c>
      <c r="E3359" s="76">
        <v>63.964550000000003</v>
      </c>
      <c r="F3359" s="76">
        <v>55.272498999999897</v>
      </c>
      <c r="G3359" s="79">
        <v>1613900</v>
      </c>
    </row>
    <row r="3360" spans="1:7" x14ac:dyDescent="0.25">
      <c r="A3360" s="1" t="s">
        <v>3483</v>
      </c>
      <c r="B3360" s="76">
        <v>63.701172</v>
      </c>
      <c r="C3360" s="76">
        <v>64.008445999999907</v>
      </c>
      <c r="D3360" s="76">
        <v>62.859820999999997</v>
      </c>
      <c r="E3360" s="76">
        <v>63.035407999999997</v>
      </c>
      <c r="F3360" s="76">
        <v>54.928241999999997</v>
      </c>
      <c r="G3360" s="79">
        <v>1644800</v>
      </c>
    </row>
    <row r="3361" spans="1:7" x14ac:dyDescent="0.25">
      <c r="A3361" s="1" t="s">
        <v>3484</v>
      </c>
      <c r="B3361" s="76">
        <v>63.079304</v>
      </c>
      <c r="C3361" s="76">
        <v>63.247574</v>
      </c>
      <c r="D3361" s="76">
        <v>62.530597999999998</v>
      </c>
      <c r="E3361" s="76">
        <v>63.115887000000001</v>
      </c>
      <c r="F3361" s="76">
        <v>54.998359999999998</v>
      </c>
      <c r="G3361" s="79">
        <v>1541400</v>
      </c>
    </row>
    <row r="3362" spans="1:7" x14ac:dyDescent="0.25">
      <c r="A3362" s="1" t="s">
        <v>3485</v>
      </c>
      <c r="B3362" s="76">
        <v>63.232943999999897</v>
      </c>
      <c r="C3362" s="76">
        <v>63.481689000000003</v>
      </c>
      <c r="D3362" s="76">
        <v>62.903717</v>
      </c>
      <c r="E3362" s="76">
        <v>63.474373</v>
      </c>
      <c r="F3362" s="76">
        <v>55.310749000000001</v>
      </c>
      <c r="G3362" s="79">
        <v>1817400</v>
      </c>
    </row>
    <row r="3363" spans="1:7" x14ac:dyDescent="0.25">
      <c r="A3363" s="1" t="s">
        <v>3486</v>
      </c>
      <c r="B3363" s="76">
        <v>63.430477000000003</v>
      </c>
      <c r="C3363" s="76">
        <v>63.803595999999999</v>
      </c>
      <c r="D3363" s="76">
        <v>63.181728</v>
      </c>
      <c r="E3363" s="76">
        <v>63.642643</v>
      </c>
      <c r="F3363" s="76">
        <v>55.457374999999999</v>
      </c>
      <c r="G3363" s="79">
        <v>1562900</v>
      </c>
    </row>
    <row r="3364" spans="1:7" x14ac:dyDescent="0.25">
      <c r="A3364" s="1" t="s">
        <v>3487</v>
      </c>
      <c r="B3364" s="76">
        <v>63.510956</v>
      </c>
      <c r="C3364" s="76">
        <v>64.608367999999999</v>
      </c>
      <c r="D3364" s="76">
        <v>63.2402569999999</v>
      </c>
      <c r="E3364" s="76">
        <v>64.491309999999999</v>
      </c>
      <c r="F3364" s="76">
        <v>56.196899000000002</v>
      </c>
      <c r="G3364" s="79">
        <v>1711600</v>
      </c>
    </row>
    <row r="3365" spans="1:7" x14ac:dyDescent="0.25">
      <c r="A3365" s="1" t="s">
        <v>3488</v>
      </c>
      <c r="B3365" s="76">
        <v>64.330353000000002</v>
      </c>
      <c r="C3365" s="76">
        <v>64.754692000000006</v>
      </c>
      <c r="D3365" s="76">
        <v>63.927970999999999</v>
      </c>
      <c r="E3365" s="76">
        <v>64.081611999999893</v>
      </c>
      <c r="F3365" s="76">
        <v>55.839893000000004</v>
      </c>
      <c r="G3365" s="79">
        <v>1338900</v>
      </c>
    </row>
    <row r="3366" spans="1:7" x14ac:dyDescent="0.25">
      <c r="A3366" s="1" t="s">
        <v>3489</v>
      </c>
      <c r="B3366" s="76">
        <v>64.147452999999999</v>
      </c>
      <c r="C3366" s="76">
        <v>64.513260000000002</v>
      </c>
      <c r="D3366" s="76">
        <v>63.620697</v>
      </c>
      <c r="E3366" s="76">
        <v>63.986499999999999</v>
      </c>
      <c r="F3366" s="76">
        <v>55.757007999999999</v>
      </c>
      <c r="G3366" s="79">
        <v>1201900</v>
      </c>
    </row>
    <row r="3367" spans="1:7" x14ac:dyDescent="0.25">
      <c r="A3367" s="1" t="s">
        <v>3490</v>
      </c>
      <c r="B3367" s="76">
        <v>63.986499999999999</v>
      </c>
      <c r="C3367" s="76">
        <v>64.257194999999996</v>
      </c>
      <c r="D3367" s="76">
        <v>63.796280000000003</v>
      </c>
      <c r="E3367" s="76">
        <v>64.140136999999996</v>
      </c>
      <c r="F3367" s="76">
        <v>55.890884</v>
      </c>
      <c r="G3367" s="79">
        <v>1099200</v>
      </c>
    </row>
    <row r="3368" spans="1:7" x14ac:dyDescent="0.25">
      <c r="A3368" s="1" t="s">
        <v>3491</v>
      </c>
      <c r="B3368" s="76">
        <v>64.293777000000006</v>
      </c>
      <c r="C3368" s="76">
        <v>64.381568999999999</v>
      </c>
      <c r="D3368" s="76">
        <v>64.037711999999999</v>
      </c>
      <c r="E3368" s="76">
        <v>64.169403000000003</v>
      </c>
      <c r="F3368" s="76">
        <v>55.916381999999899</v>
      </c>
      <c r="G3368" s="79">
        <v>1036000</v>
      </c>
    </row>
    <row r="3369" spans="1:7" x14ac:dyDescent="0.25">
      <c r="A3369" s="1" t="s">
        <v>3492</v>
      </c>
      <c r="B3369" s="76">
        <v>64.162086000000002</v>
      </c>
      <c r="C3369" s="76">
        <v>64.915642000000005</v>
      </c>
      <c r="D3369" s="76">
        <v>62.318431999999902</v>
      </c>
      <c r="E3369" s="76">
        <v>62.676921999999998</v>
      </c>
      <c r="F3369" s="76">
        <v>54.615851999999997</v>
      </c>
      <c r="G3369" s="79">
        <v>1085500</v>
      </c>
    </row>
    <row r="3370" spans="1:7" x14ac:dyDescent="0.25">
      <c r="A3370" s="1" t="s">
        <v>3493</v>
      </c>
      <c r="B3370" s="76">
        <v>62.120899000000001</v>
      </c>
      <c r="C3370" s="76">
        <v>62.172111999999998</v>
      </c>
      <c r="D3370" s="76">
        <v>61.191752999999999</v>
      </c>
      <c r="E3370" s="76">
        <v>61.396605999999998</v>
      </c>
      <c r="F3370" s="76">
        <v>53.500209999999903</v>
      </c>
      <c r="G3370" s="79">
        <v>1765700</v>
      </c>
    </row>
    <row r="3371" spans="1:7" x14ac:dyDescent="0.25">
      <c r="A3371" s="1" t="s">
        <v>3494</v>
      </c>
      <c r="B3371" s="76">
        <v>61.199069999999899</v>
      </c>
      <c r="C3371" s="76">
        <v>61.791671999999998</v>
      </c>
      <c r="D3371" s="76">
        <v>60.511355999999999</v>
      </c>
      <c r="E3371" s="76">
        <v>61.652667999999998</v>
      </c>
      <c r="F3371" s="76">
        <v>53.723331000000002</v>
      </c>
      <c r="G3371" s="79">
        <v>1312800</v>
      </c>
    </row>
    <row r="3372" spans="1:7" x14ac:dyDescent="0.25">
      <c r="A3372" s="1" t="s">
        <v>3495</v>
      </c>
      <c r="B3372" s="76">
        <v>62.347693999999997</v>
      </c>
      <c r="C3372" s="76">
        <v>62.347693999999997</v>
      </c>
      <c r="D3372" s="76">
        <v>60.957638000000003</v>
      </c>
      <c r="E3372" s="76">
        <v>61.162491000000003</v>
      </c>
      <c r="F3372" s="76">
        <v>53.296195999999902</v>
      </c>
      <c r="G3372" s="79">
        <v>1714200</v>
      </c>
    </row>
    <row r="3373" spans="1:7" x14ac:dyDescent="0.25">
      <c r="A3373" s="1" t="s">
        <v>3496</v>
      </c>
      <c r="B3373" s="76">
        <v>60.811317000000003</v>
      </c>
      <c r="C3373" s="76">
        <v>60.950324999999999</v>
      </c>
      <c r="D3373" s="76">
        <v>59.882174999999997</v>
      </c>
      <c r="E3373" s="76">
        <v>60.496727</v>
      </c>
      <c r="F3373" s="76">
        <v>52.716060999999897</v>
      </c>
      <c r="G3373" s="79">
        <v>1487900</v>
      </c>
    </row>
    <row r="3374" spans="1:7" x14ac:dyDescent="0.25">
      <c r="A3374" s="1" t="s">
        <v>3497</v>
      </c>
      <c r="B3374" s="76">
        <v>60.569884999999999</v>
      </c>
      <c r="C3374" s="76">
        <v>60.921059</v>
      </c>
      <c r="D3374" s="76">
        <v>59.479790000000001</v>
      </c>
      <c r="E3374" s="76">
        <v>59.545634999999997</v>
      </c>
      <c r="F3374" s="76">
        <v>51.887298999999999</v>
      </c>
      <c r="G3374" s="79">
        <v>1453500</v>
      </c>
    </row>
    <row r="3375" spans="1:7" x14ac:dyDescent="0.25">
      <c r="A3375" s="1" t="s">
        <v>3498</v>
      </c>
      <c r="B3375" s="76">
        <v>59.260306999999997</v>
      </c>
      <c r="C3375" s="76">
        <v>59.940703999999997</v>
      </c>
      <c r="D3375" s="76">
        <v>58.492118999999903</v>
      </c>
      <c r="E3375" s="76">
        <v>58.492118999999903</v>
      </c>
      <c r="F3375" s="76">
        <v>50.969273000000001</v>
      </c>
      <c r="G3375" s="79">
        <v>1709800</v>
      </c>
    </row>
    <row r="3376" spans="1:7" x14ac:dyDescent="0.25">
      <c r="A3376" s="1" t="s">
        <v>3499</v>
      </c>
      <c r="B3376" s="76">
        <v>58.492118999999903</v>
      </c>
      <c r="C3376" s="76">
        <v>59.296886000000001</v>
      </c>
      <c r="D3376" s="76">
        <v>57.797089</v>
      </c>
      <c r="E3376" s="76">
        <v>59.128616000000001</v>
      </c>
      <c r="F3376" s="76">
        <v>51.523910999999998</v>
      </c>
      <c r="G3376" s="79">
        <v>1414800</v>
      </c>
    </row>
    <row r="3377" spans="1:7" x14ac:dyDescent="0.25">
      <c r="A3377" s="1" t="s">
        <v>3500</v>
      </c>
      <c r="B3377" s="76">
        <v>59.099353999999998</v>
      </c>
      <c r="C3377" s="76">
        <v>59.318835999999997</v>
      </c>
      <c r="D3377" s="76">
        <v>58.506751999999999</v>
      </c>
      <c r="E3377" s="76">
        <v>58.557963999999998</v>
      </c>
      <c r="F3377" s="76">
        <v>51.026653000000003</v>
      </c>
      <c r="G3377" s="79">
        <v>1374200</v>
      </c>
    </row>
    <row r="3378" spans="1:7" x14ac:dyDescent="0.25">
      <c r="A3378" s="1" t="s">
        <v>3501</v>
      </c>
      <c r="B3378" s="76">
        <v>58.492118999999903</v>
      </c>
      <c r="C3378" s="76">
        <v>58.653071999999902</v>
      </c>
      <c r="D3378" s="76">
        <v>57.636134999999904</v>
      </c>
      <c r="E3378" s="76">
        <v>57.950729000000003</v>
      </c>
      <c r="F3378" s="76">
        <v>50.497512999999998</v>
      </c>
      <c r="G3378" s="79">
        <v>1195800</v>
      </c>
    </row>
    <row r="3379" spans="1:7" x14ac:dyDescent="0.25">
      <c r="A3379" s="1" t="s">
        <v>3502</v>
      </c>
      <c r="B3379" s="76">
        <v>57.921463000000003</v>
      </c>
      <c r="C3379" s="76">
        <v>58.974978999999998</v>
      </c>
      <c r="D3379" s="76">
        <v>57.467865000000003</v>
      </c>
      <c r="E3379" s="76">
        <v>58.974978999999998</v>
      </c>
      <c r="F3379" s="76">
        <v>51.390029999999904</v>
      </c>
      <c r="G3379" s="79">
        <v>1225100</v>
      </c>
    </row>
    <row r="3380" spans="1:7" x14ac:dyDescent="0.25">
      <c r="A3380" s="1" t="s">
        <v>3503</v>
      </c>
      <c r="B3380" s="76">
        <v>58.960345999999902</v>
      </c>
      <c r="C3380" s="76">
        <v>59.955333999999901</v>
      </c>
      <c r="D3380" s="76">
        <v>58.770130000000002</v>
      </c>
      <c r="E3380" s="76">
        <v>59.618797000000001</v>
      </c>
      <c r="F3380" s="76">
        <v>51.951056999999999</v>
      </c>
      <c r="G3380" s="79">
        <v>2534000</v>
      </c>
    </row>
    <row r="3381" spans="1:7" x14ac:dyDescent="0.25">
      <c r="A3381" s="1" t="s">
        <v>3504</v>
      </c>
      <c r="B3381" s="76">
        <v>59.699272000000001</v>
      </c>
      <c r="C3381" s="76">
        <v>59.918754999999997</v>
      </c>
      <c r="D3381" s="76">
        <v>59.055457999999902</v>
      </c>
      <c r="E3381" s="76">
        <v>59.333468999999901</v>
      </c>
      <c r="F3381" s="76">
        <v>51.702418999999999</v>
      </c>
      <c r="G3381" s="79">
        <v>1692100</v>
      </c>
    </row>
    <row r="3382" spans="1:7" x14ac:dyDescent="0.25">
      <c r="A3382" s="1" t="s">
        <v>3505</v>
      </c>
      <c r="B3382" s="76">
        <v>58.872554999999998</v>
      </c>
      <c r="C3382" s="76">
        <v>59.113987000000002</v>
      </c>
      <c r="D3382" s="76">
        <v>58.192157999999999</v>
      </c>
      <c r="E3382" s="76">
        <v>58.418956999999899</v>
      </c>
      <c r="F3382" s="76">
        <v>50.905521</v>
      </c>
      <c r="G3382" s="79">
        <v>1728100</v>
      </c>
    </row>
    <row r="3383" spans="1:7" x14ac:dyDescent="0.25">
      <c r="A3383" s="1" t="s">
        <v>3506</v>
      </c>
      <c r="B3383" s="76">
        <v>58.960345999999902</v>
      </c>
      <c r="C3383" s="76">
        <v>59.040824999999998</v>
      </c>
      <c r="D3383" s="76">
        <v>57.848300999999999</v>
      </c>
      <c r="E3383" s="76">
        <v>58.082417</v>
      </c>
      <c r="F3383" s="76">
        <v>50.612273999999999</v>
      </c>
      <c r="G3383" s="79">
        <v>1226600</v>
      </c>
    </row>
    <row r="3384" spans="1:7" x14ac:dyDescent="0.25">
      <c r="A3384" s="1" t="s">
        <v>3507</v>
      </c>
      <c r="B3384" s="76">
        <v>58.023887999999999</v>
      </c>
      <c r="C3384" s="76">
        <v>60.438198</v>
      </c>
      <c r="D3384" s="76">
        <v>58.023887999999999</v>
      </c>
      <c r="E3384" s="76">
        <v>60.365035999999897</v>
      </c>
      <c r="F3384" s="76">
        <v>52.601317999999999</v>
      </c>
      <c r="G3384" s="79">
        <v>1512000</v>
      </c>
    </row>
    <row r="3385" spans="1:7" x14ac:dyDescent="0.25">
      <c r="A3385" s="1" t="s">
        <v>3508</v>
      </c>
      <c r="B3385" s="76">
        <v>60.196765999999997</v>
      </c>
      <c r="C3385" s="76">
        <v>61.345390000000002</v>
      </c>
      <c r="D3385" s="76">
        <v>59.882174999999997</v>
      </c>
      <c r="E3385" s="76">
        <v>60.613785</v>
      </c>
      <c r="F3385" s="76">
        <v>52.818057999999901</v>
      </c>
      <c r="G3385" s="79">
        <v>1761300</v>
      </c>
    </row>
    <row r="3386" spans="1:7" x14ac:dyDescent="0.25">
      <c r="A3386" s="1" t="s">
        <v>3509</v>
      </c>
      <c r="B3386" s="76">
        <v>60.913741999999999</v>
      </c>
      <c r="C3386" s="76">
        <v>61.689246999999902</v>
      </c>
      <c r="D3386" s="76">
        <v>60.562571999999903</v>
      </c>
      <c r="E3386" s="76">
        <v>60.855212999999999</v>
      </c>
      <c r="F3386" s="76">
        <v>53.028454000000004</v>
      </c>
      <c r="G3386" s="79">
        <v>1506700</v>
      </c>
    </row>
    <row r="3387" spans="1:7" x14ac:dyDescent="0.25">
      <c r="A3387" s="1" t="s">
        <v>3510</v>
      </c>
      <c r="B3387" s="76">
        <v>60.825951000000003</v>
      </c>
      <c r="C3387" s="76">
        <v>61.806305000000002</v>
      </c>
      <c r="D3387" s="76">
        <v>60.52599</v>
      </c>
      <c r="E3387" s="76">
        <v>61.447818999999903</v>
      </c>
      <c r="F3387" s="76">
        <v>53.544842000000003</v>
      </c>
      <c r="G3387" s="79">
        <v>1343400</v>
      </c>
    </row>
    <row r="3388" spans="1:7" x14ac:dyDescent="0.25">
      <c r="A3388" s="1" t="s">
        <v>3511</v>
      </c>
      <c r="B3388" s="76">
        <v>61.440502000000002</v>
      </c>
      <c r="C3388" s="76">
        <v>61.594138999999998</v>
      </c>
      <c r="D3388" s="76">
        <v>59.040824999999998</v>
      </c>
      <c r="E3388" s="76">
        <v>59.194462000000001</v>
      </c>
      <c r="F3388" s="76">
        <v>51.581291</v>
      </c>
      <c r="G3388" s="79">
        <v>1461800</v>
      </c>
    </row>
    <row r="3389" spans="1:7" x14ac:dyDescent="0.25">
      <c r="A3389" s="1" t="s">
        <v>3512</v>
      </c>
      <c r="B3389" s="76">
        <v>58.784762999999998</v>
      </c>
      <c r="C3389" s="76">
        <v>58.784762999999998</v>
      </c>
      <c r="D3389" s="76">
        <v>55.858325999999998</v>
      </c>
      <c r="E3389" s="76">
        <v>56.136336999999997</v>
      </c>
      <c r="F3389" s="76">
        <v>48.916477</v>
      </c>
      <c r="G3389" s="79">
        <v>1537600</v>
      </c>
    </row>
    <row r="3390" spans="1:7" x14ac:dyDescent="0.25">
      <c r="A3390" s="1" t="s">
        <v>3513</v>
      </c>
      <c r="B3390" s="76">
        <v>56.619197999999997</v>
      </c>
      <c r="C3390" s="76">
        <v>57.775143</v>
      </c>
      <c r="D3390" s="76">
        <v>56.150969999999901</v>
      </c>
      <c r="E3390" s="76">
        <v>57.306910999999999</v>
      </c>
      <c r="F3390" s="76">
        <v>49.936501</v>
      </c>
      <c r="G3390" s="79">
        <v>2758500</v>
      </c>
    </row>
    <row r="3391" spans="1:7" x14ac:dyDescent="0.25">
      <c r="A3391" s="1" t="s">
        <v>3514</v>
      </c>
      <c r="B3391" s="76">
        <v>56.626514</v>
      </c>
      <c r="C3391" s="76">
        <v>58.411639999999998</v>
      </c>
      <c r="D3391" s="76">
        <v>55.741267999999998</v>
      </c>
      <c r="E3391" s="76">
        <v>57.167907999999997</v>
      </c>
      <c r="F3391" s="76">
        <v>49.815371999999897</v>
      </c>
      <c r="G3391" s="79">
        <v>1692500</v>
      </c>
    </row>
    <row r="3392" spans="1:7" x14ac:dyDescent="0.25">
      <c r="A3392" s="1" t="s">
        <v>3515</v>
      </c>
      <c r="B3392" s="76">
        <v>57.628818999999901</v>
      </c>
      <c r="C3392" s="76">
        <v>58.345794999999903</v>
      </c>
      <c r="D3392" s="76">
        <v>56.824050999999997</v>
      </c>
      <c r="E3392" s="76">
        <v>57.936095999999999</v>
      </c>
      <c r="F3392" s="76">
        <v>50.484772</v>
      </c>
      <c r="G3392" s="79">
        <v>1687400</v>
      </c>
    </row>
    <row r="3393" spans="1:7" x14ac:dyDescent="0.25">
      <c r="A3393" s="1" t="s">
        <v>3516</v>
      </c>
      <c r="B3393" s="76">
        <v>58.506751999999999</v>
      </c>
      <c r="C3393" s="76">
        <v>59.231040999999998</v>
      </c>
      <c r="D3393" s="76">
        <v>58.492118999999903</v>
      </c>
      <c r="E3393" s="76">
        <v>58.967663000000002</v>
      </c>
      <c r="F3393" s="76">
        <v>51.383656000000002</v>
      </c>
      <c r="G3393" s="79">
        <v>1431100</v>
      </c>
    </row>
    <row r="3394" spans="1:7" x14ac:dyDescent="0.25">
      <c r="A3394" s="1" t="s">
        <v>3517</v>
      </c>
      <c r="B3394" s="76">
        <v>59.391998000000001</v>
      </c>
      <c r="C3394" s="76">
        <v>60.738154999999999</v>
      </c>
      <c r="D3394" s="76">
        <v>59.333468999999901</v>
      </c>
      <c r="E3394" s="76">
        <v>60.672314</v>
      </c>
      <c r="F3394" s="76">
        <v>52.869076</v>
      </c>
      <c r="G3394" s="79">
        <v>1248300</v>
      </c>
    </row>
    <row r="3395" spans="1:7" x14ac:dyDescent="0.25">
      <c r="A3395" s="1" t="s">
        <v>3518</v>
      </c>
      <c r="B3395" s="76">
        <v>60.489409999999999</v>
      </c>
      <c r="C3395" s="76">
        <v>61.052750000000003</v>
      </c>
      <c r="D3395" s="76">
        <v>59.962649999999996</v>
      </c>
      <c r="E3395" s="76">
        <v>60.613785</v>
      </c>
      <c r="F3395" s="76">
        <v>52.818057999999901</v>
      </c>
      <c r="G3395" s="79">
        <v>2056600</v>
      </c>
    </row>
    <row r="3396" spans="1:7" x14ac:dyDescent="0.25">
      <c r="A3396" s="1" t="s">
        <v>3519</v>
      </c>
      <c r="B3396" s="76">
        <v>60.86253</v>
      </c>
      <c r="C3396" s="76">
        <v>61.286864999999999</v>
      </c>
      <c r="D3396" s="76">
        <v>60.167503000000004</v>
      </c>
      <c r="E3396" s="76">
        <v>60.730843</v>
      </c>
      <c r="F3396" s="76">
        <v>52.920070999999901</v>
      </c>
      <c r="G3396" s="79">
        <v>1365500</v>
      </c>
    </row>
    <row r="3397" spans="1:7" x14ac:dyDescent="0.25">
      <c r="A3397" s="1" t="s">
        <v>3520</v>
      </c>
      <c r="B3397" s="76">
        <v>60.562571999999903</v>
      </c>
      <c r="C3397" s="76">
        <v>61.835570999999902</v>
      </c>
      <c r="D3397" s="76">
        <v>60.52599</v>
      </c>
      <c r="E3397" s="76">
        <v>61.828254999999999</v>
      </c>
      <c r="F3397" s="76">
        <v>53.876339000000002</v>
      </c>
      <c r="G3397" s="79">
        <v>1292000</v>
      </c>
    </row>
    <row r="3398" spans="1:7" x14ac:dyDescent="0.25">
      <c r="A3398" s="1" t="s">
        <v>3521</v>
      </c>
      <c r="B3398" s="76">
        <v>61.264915000000002</v>
      </c>
      <c r="C3398" s="76">
        <v>61.908729999999998</v>
      </c>
      <c r="D3398" s="76">
        <v>60.86253</v>
      </c>
      <c r="E3398" s="76">
        <v>61.564877000000003</v>
      </c>
      <c r="F3398" s="76">
        <v>53.646839</v>
      </c>
      <c r="G3398" s="79">
        <v>1244400</v>
      </c>
    </row>
    <row r="3399" spans="1:7" x14ac:dyDescent="0.25">
      <c r="A3399" s="1" t="s">
        <v>3522</v>
      </c>
      <c r="B3399" s="76">
        <v>61.477080999999998</v>
      </c>
      <c r="C3399" s="76">
        <v>61.820937999999998</v>
      </c>
      <c r="D3399" s="76">
        <v>60.708893000000003</v>
      </c>
      <c r="E3399" s="76">
        <v>61.777042000000002</v>
      </c>
      <c r="F3399" s="76">
        <v>53.831718000000002</v>
      </c>
      <c r="G3399" s="79">
        <v>1741900</v>
      </c>
    </row>
    <row r="3400" spans="1:7" x14ac:dyDescent="0.25">
      <c r="A3400" s="1" t="s">
        <v>3523</v>
      </c>
      <c r="B3400" s="76">
        <v>61.784358999999903</v>
      </c>
      <c r="C3400" s="76">
        <v>62.296481999999997</v>
      </c>
      <c r="D3400" s="76">
        <v>61.777042000000002</v>
      </c>
      <c r="E3400" s="76">
        <v>61.967257999999902</v>
      </c>
      <c r="F3400" s="76">
        <v>53.997475000000001</v>
      </c>
      <c r="G3400" s="79">
        <v>2117700</v>
      </c>
    </row>
    <row r="3401" spans="1:7" x14ac:dyDescent="0.25">
      <c r="A3401" s="1" t="s">
        <v>3524</v>
      </c>
      <c r="B3401" s="76">
        <v>62.267219999999902</v>
      </c>
      <c r="C3401" s="76">
        <v>62.903717</v>
      </c>
      <c r="D3401" s="76">
        <v>61.908729999999998</v>
      </c>
      <c r="E3401" s="76">
        <v>62.567177000000001</v>
      </c>
      <c r="F3401" s="76">
        <v>54.520226000000001</v>
      </c>
      <c r="G3401" s="79">
        <v>1661200</v>
      </c>
    </row>
    <row r="3402" spans="1:7" x14ac:dyDescent="0.25">
      <c r="A3402" s="1" t="s">
        <v>3525</v>
      </c>
      <c r="B3402" s="76">
        <v>62.333064999999998</v>
      </c>
      <c r="C3402" s="76">
        <v>62.757396999999997</v>
      </c>
      <c r="D3402" s="76">
        <v>61.864833999999902</v>
      </c>
      <c r="E3402" s="76">
        <v>62.530597999999998</v>
      </c>
      <c r="F3402" s="76">
        <v>54.488360999999998</v>
      </c>
      <c r="G3402" s="79">
        <v>1475000</v>
      </c>
    </row>
    <row r="3403" spans="1:7" x14ac:dyDescent="0.25">
      <c r="A3403" s="1" t="s">
        <v>3526</v>
      </c>
      <c r="B3403" s="76">
        <v>63.430477000000003</v>
      </c>
      <c r="C3403" s="76">
        <v>64.103554000000003</v>
      </c>
      <c r="D3403" s="76">
        <v>63.057357999999901</v>
      </c>
      <c r="E3403" s="76">
        <v>64.023078999999996</v>
      </c>
      <c r="F3403" s="76">
        <v>55.788887000000003</v>
      </c>
      <c r="G3403" s="79">
        <v>1530900</v>
      </c>
    </row>
    <row r="3404" spans="1:7" x14ac:dyDescent="0.25">
      <c r="A3404" s="1" t="s">
        <v>3527</v>
      </c>
      <c r="B3404" s="76">
        <v>64.198668999999995</v>
      </c>
      <c r="C3404" s="76">
        <v>64.198668999999995</v>
      </c>
      <c r="D3404" s="76">
        <v>63.028091000000003</v>
      </c>
      <c r="E3404" s="76">
        <v>63.620697</v>
      </c>
      <c r="F3404" s="76">
        <v>55.438258999999903</v>
      </c>
      <c r="G3404" s="79">
        <v>786100</v>
      </c>
    </row>
    <row r="3405" spans="1:7" x14ac:dyDescent="0.25">
      <c r="A3405" s="1" t="s">
        <v>3528</v>
      </c>
      <c r="B3405" s="76">
        <v>63.708488000000003</v>
      </c>
      <c r="C3405" s="76">
        <v>64.242560999999995</v>
      </c>
      <c r="D3405" s="76">
        <v>63.108569999999901</v>
      </c>
      <c r="E3405" s="76">
        <v>64.213295000000002</v>
      </c>
      <c r="F3405" s="76">
        <v>55.954628</v>
      </c>
      <c r="G3405" s="79">
        <v>818200</v>
      </c>
    </row>
    <row r="3406" spans="1:7" x14ac:dyDescent="0.25">
      <c r="A3406" s="1" t="s">
        <v>3529</v>
      </c>
      <c r="B3406" s="76">
        <v>64.249877999999995</v>
      </c>
      <c r="C3406" s="76">
        <v>64.381568999999999</v>
      </c>
      <c r="D3406" s="76">
        <v>63.745068000000003</v>
      </c>
      <c r="E3406" s="76">
        <v>63.854808999999896</v>
      </c>
      <c r="F3406" s="76">
        <v>55.642257999999998</v>
      </c>
      <c r="G3406" s="79">
        <v>806000</v>
      </c>
    </row>
    <row r="3407" spans="1:7" x14ac:dyDescent="0.25">
      <c r="A3407" s="1" t="s">
        <v>3530</v>
      </c>
      <c r="B3407" s="76">
        <v>64.264510999999999</v>
      </c>
      <c r="C3407" s="76">
        <v>64.374251999999998</v>
      </c>
      <c r="D3407" s="76">
        <v>63.913338000000003</v>
      </c>
      <c r="E3407" s="76">
        <v>64.066978000000006</v>
      </c>
      <c r="F3407" s="76">
        <v>55.827144999999902</v>
      </c>
      <c r="G3407" s="79">
        <v>693300</v>
      </c>
    </row>
    <row r="3408" spans="1:7" x14ac:dyDescent="0.25">
      <c r="A3408" s="1" t="s">
        <v>3531</v>
      </c>
      <c r="B3408" s="76">
        <v>64.301093999999907</v>
      </c>
      <c r="C3408" s="76">
        <v>65.076599000000002</v>
      </c>
      <c r="D3408" s="76">
        <v>64.066978000000006</v>
      </c>
      <c r="E3408" s="76">
        <v>64.901009000000002</v>
      </c>
      <c r="F3408" s="76">
        <v>56.553897999999997</v>
      </c>
      <c r="G3408" s="79">
        <v>657600</v>
      </c>
    </row>
    <row r="3409" spans="1:7" x14ac:dyDescent="0.25">
      <c r="A3409" s="1" t="s">
        <v>3532</v>
      </c>
      <c r="B3409" s="76">
        <v>64.703475999999995</v>
      </c>
      <c r="C3409" s="76">
        <v>65.076599000000002</v>
      </c>
      <c r="D3409" s="76">
        <v>64.542518999999999</v>
      </c>
      <c r="E3409" s="76">
        <v>64.681526000000005</v>
      </c>
      <c r="F3409" s="76">
        <v>56.362643999999896</v>
      </c>
      <c r="G3409" s="79">
        <v>1961300</v>
      </c>
    </row>
    <row r="3410" spans="1:7" x14ac:dyDescent="0.25">
      <c r="A3410" s="1" t="s">
        <v>3533</v>
      </c>
      <c r="B3410" s="76">
        <v>64.988799999999998</v>
      </c>
      <c r="C3410" s="76">
        <v>65.171706999999998</v>
      </c>
      <c r="D3410" s="76">
        <v>64.637633999999906</v>
      </c>
      <c r="E3410" s="76">
        <v>65.047332999999995</v>
      </c>
      <c r="F3410" s="76">
        <v>56.681404000000001</v>
      </c>
      <c r="G3410" s="79">
        <v>838900</v>
      </c>
    </row>
    <row r="3411" spans="1:7" x14ac:dyDescent="0.25">
      <c r="A3411" s="1" t="s">
        <v>3534</v>
      </c>
      <c r="B3411" s="76">
        <v>65.179023999999998</v>
      </c>
      <c r="C3411" s="76">
        <v>65.369240000000005</v>
      </c>
      <c r="D3411" s="76">
        <v>64.732742000000002</v>
      </c>
      <c r="E3411" s="76">
        <v>64.879058999999998</v>
      </c>
      <c r="F3411" s="76">
        <v>56.534775000000003</v>
      </c>
      <c r="G3411" s="79">
        <v>875700</v>
      </c>
    </row>
    <row r="3412" spans="1:7" x14ac:dyDescent="0.25">
      <c r="A3412" s="1" t="s">
        <v>3535</v>
      </c>
      <c r="B3412" s="76">
        <v>65.120491000000001</v>
      </c>
      <c r="C3412" s="76">
        <v>65.157073999999994</v>
      </c>
      <c r="D3412" s="76">
        <v>63.1597819999999</v>
      </c>
      <c r="E3412" s="76">
        <v>63.701172</v>
      </c>
      <c r="F3412" s="76">
        <v>55.508377000000003</v>
      </c>
      <c r="G3412" s="79">
        <v>1137200</v>
      </c>
    </row>
    <row r="3413" spans="1:7" x14ac:dyDescent="0.25">
      <c r="A3413" s="1" t="s">
        <v>3536</v>
      </c>
      <c r="B3413" s="76">
        <v>63.532902</v>
      </c>
      <c r="C3413" s="76">
        <v>63.920653999999999</v>
      </c>
      <c r="D3413" s="76">
        <v>63.079304</v>
      </c>
      <c r="E3413" s="76">
        <v>63.525585</v>
      </c>
      <c r="F3413" s="76">
        <v>55.355381000000001</v>
      </c>
      <c r="G3413" s="79">
        <v>916900</v>
      </c>
    </row>
    <row r="3414" spans="1:7" x14ac:dyDescent="0.25">
      <c r="A3414" s="1" t="s">
        <v>3537</v>
      </c>
      <c r="B3414" s="76">
        <v>63.291469999999997</v>
      </c>
      <c r="C3414" s="76">
        <v>64.059662000000003</v>
      </c>
      <c r="D3414" s="76">
        <v>63.086619999999897</v>
      </c>
      <c r="E3414" s="76">
        <v>64.037711999999999</v>
      </c>
      <c r="F3414" s="76">
        <v>55.801636000000002</v>
      </c>
      <c r="G3414" s="79">
        <v>653100</v>
      </c>
    </row>
    <row r="3415" spans="1:7" x14ac:dyDescent="0.25">
      <c r="A3415" s="1" t="s">
        <v>3538</v>
      </c>
      <c r="B3415" s="76">
        <v>63.774333999999897</v>
      </c>
      <c r="C3415" s="76">
        <v>63.906020999999903</v>
      </c>
      <c r="D3415" s="76">
        <v>63.269523999999997</v>
      </c>
      <c r="E3415" s="76">
        <v>63.598746999999904</v>
      </c>
      <c r="F3415" s="76">
        <v>55.419128000000001</v>
      </c>
      <c r="G3415" s="79">
        <v>791200</v>
      </c>
    </row>
    <row r="3416" spans="1:7" x14ac:dyDescent="0.25">
      <c r="A3416" s="1" t="s">
        <v>3539</v>
      </c>
      <c r="B3416" s="76">
        <v>63.957232999999903</v>
      </c>
      <c r="C3416" s="76">
        <v>64.140136999999996</v>
      </c>
      <c r="D3416" s="76">
        <v>62.793976000000001</v>
      </c>
      <c r="E3416" s="76">
        <v>63.035407999999997</v>
      </c>
      <c r="F3416" s="76">
        <v>54.928241999999997</v>
      </c>
      <c r="G3416" s="79">
        <v>1109600</v>
      </c>
    </row>
    <row r="3417" spans="1:7" x14ac:dyDescent="0.25">
      <c r="A3417" s="1" t="s">
        <v>3540</v>
      </c>
      <c r="B3417" s="76">
        <v>63.145148999999897</v>
      </c>
      <c r="C3417" s="76">
        <v>63.642643</v>
      </c>
      <c r="D3417" s="76">
        <v>61.111279000000003</v>
      </c>
      <c r="E3417" s="76">
        <v>62.047736999999998</v>
      </c>
      <c r="F3417" s="76">
        <v>54.067595999999902</v>
      </c>
      <c r="G3417" s="79">
        <v>2157700</v>
      </c>
    </row>
    <row r="3418" spans="1:7" x14ac:dyDescent="0.25">
      <c r="A3418" s="1" t="s">
        <v>3541</v>
      </c>
      <c r="B3418" s="76">
        <v>62.450122999999998</v>
      </c>
      <c r="C3418" s="76">
        <v>62.611075999999997</v>
      </c>
      <c r="D3418" s="76">
        <v>61.564877000000003</v>
      </c>
      <c r="E3418" s="76">
        <v>61.572189000000002</v>
      </c>
      <c r="F3418" s="76">
        <v>53.653213999999998</v>
      </c>
      <c r="G3418" s="79">
        <v>1453400</v>
      </c>
    </row>
    <row r="3419" spans="1:7" x14ac:dyDescent="0.25">
      <c r="A3419" s="1" t="s">
        <v>3542</v>
      </c>
      <c r="B3419" s="76">
        <v>61.616089000000002</v>
      </c>
      <c r="C3419" s="76">
        <v>62.003841000000001</v>
      </c>
      <c r="D3419" s="76">
        <v>60.979588</v>
      </c>
      <c r="E3419" s="76">
        <v>61.001536999999999</v>
      </c>
      <c r="F3419" s="76">
        <v>53.155951999999999</v>
      </c>
      <c r="G3419" s="79">
        <v>1102200</v>
      </c>
    </row>
    <row r="3420" spans="1:7" x14ac:dyDescent="0.25">
      <c r="A3420" s="1" t="s">
        <v>3543</v>
      </c>
      <c r="B3420" s="76">
        <v>61.001536999999999</v>
      </c>
      <c r="C3420" s="76">
        <v>61.616089000000002</v>
      </c>
      <c r="D3420" s="76">
        <v>60.738154999999999</v>
      </c>
      <c r="E3420" s="76">
        <v>61.177119999999903</v>
      </c>
      <c r="F3420" s="76">
        <v>53.308951999999998</v>
      </c>
      <c r="G3420" s="79">
        <v>1082300</v>
      </c>
    </row>
    <row r="3421" spans="1:7" x14ac:dyDescent="0.25">
      <c r="A3421" s="1" t="s">
        <v>3544</v>
      </c>
      <c r="B3421" s="76">
        <v>61.177119999999903</v>
      </c>
      <c r="C3421" s="76">
        <v>61.740458999999902</v>
      </c>
      <c r="D3421" s="76">
        <v>60.562571999999903</v>
      </c>
      <c r="E3421" s="76">
        <v>61.491714000000002</v>
      </c>
      <c r="F3421" s="76">
        <v>53.583087999999996</v>
      </c>
      <c r="G3421" s="79">
        <v>1749200</v>
      </c>
    </row>
    <row r="3422" spans="1:7" x14ac:dyDescent="0.25">
      <c r="A3422" s="1" t="s">
        <v>3545</v>
      </c>
      <c r="B3422" s="76">
        <v>61.323443999999903</v>
      </c>
      <c r="C3422" s="76">
        <v>62.047736999999998</v>
      </c>
      <c r="D3422" s="76">
        <v>60.855212999999999</v>
      </c>
      <c r="E3422" s="76">
        <v>62.003841000000001</v>
      </c>
      <c r="F3422" s="76">
        <v>54.029342999999997</v>
      </c>
      <c r="G3422" s="79">
        <v>1821200</v>
      </c>
    </row>
    <row r="3423" spans="1:7" x14ac:dyDescent="0.25">
      <c r="A3423" s="1" t="s">
        <v>3546</v>
      </c>
      <c r="B3423" s="76">
        <v>61.755093000000002</v>
      </c>
      <c r="C3423" s="76">
        <v>62.230640000000001</v>
      </c>
      <c r="D3423" s="76">
        <v>61.572189000000002</v>
      </c>
      <c r="E3423" s="76">
        <v>62.025787000000001</v>
      </c>
      <c r="F3423" s="76">
        <v>54.518062999999998</v>
      </c>
      <c r="G3423" s="79">
        <v>1575800</v>
      </c>
    </row>
    <row r="3424" spans="1:7" x14ac:dyDescent="0.25">
      <c r="A3424" s="1" t="s">
        <v>3547</v>
      </c>
      <c r="B3424" s="76">
        <v>61.989207999999998</v>
      </c>
      <c r="C3424" s="76">
        <v>62.435490000000001</v>
      </c>
      <c r="D3424" s="76">
        <v>61.872149999999998</v>
      </c>
      <c r="E3424" s="76">
        <v>62.120899000000001</v>
      </c>
      <c r="F3424" s="76">
        <v>54.601664999999997</v>
      </c>
      <c r="G3424" s="79">
        <v>1943600</v>
      </c>
    </row>
    <row r="3425" spans="1:7" x14ac:dyDescent="0.25">
      <c r="A3425" s="1" t="s">
        <v>3548</v>
      </c>
      <c r="B3425" s="76">
        <v>62.084316000000001</v>
      </c>
      <c r="C3425" s="76">
        <v>62.084316000000001</v>
      </c>
      <c r="D3425" s="76">
        <v>60.833266999999999</v>
      </c>
      <c r="E3425" s="76">
        <v>61.272231999999903</v>
      </c>
      <c r="F3425" s="76">
        <v>53.855716999999999</v>
      </c>
      <c r="G3425" s="79">
        <v>1463400</v>
      </c>
    </row>
    <row r="3426" spans="1:7" x14ac:dyDescent="0.25">
      <c r="A3426" s="1" t="s">
        <v>3549</v>
      </c>
      <c r="B3426" s="76">
        <v>61.272231999999903</v>
      </c>
      <c r="C3426" s="76">
        <v>61.294178000000002</v>
      </c>
      <c r="D3426" s="76">
        <v>60.357718999999904</v>
      </c>
      <c r="E3426" s="76">
        <v>60.899108999999903</v>
      </c>
      <c r="F3426" s="76">
        <v>53.527760000000001</v>
      </c>
      <c r="G3426" s="79">
        <v>1019800</v>
      </c>
    </row>
    <row r="3427" spans="1:7" x14ac:dyDescent="0.25">
      <c r="A3427" s="1" t="s">
        <v>3550</v>
      </c>
      <c r="B3427" s="76">
        <v>60.745471999999999</v>
      </c>
      <c r="C3427" s="76">
        <v>61.506347999999903</v>
      </c>
      <c r="D3427" s="76">
        <v>60.357718999999904</v>
      </c>
      <c r="E3427" s="76">
        <v>61.469765000000002</v>
      </c>
      <c r="F3427" s="76">
        <v>54.029339</v>
      </c>
      <c r="G3427" s="79">
        <v>1142500</v>
      </c>
    </row>
    <row r="3428" spans="1:7" x14ac:dyDescent="0.25">
      <c r="A3428" s="1" t="s">
        <v>3551</v>
      </c>
      <c r="B3428" s="76">
        <v>60.782055</v>
      </c>
      <c r="C3428" s="76">
        <v>60.818633999999903</v>
      </c>
      <c r="D3428" s="76">
        <v>59.948020999999997</v>
      </c>
      <c r="E3428" s="76">
        <v>60.606468</v>
      </c>
      <c r="F3428" s="76">
        <v>53.270538000000002</v>
      </c>
      <c r="G3428" s="79">
        <v>1377800</v>
      </c>
    </row>
    <row r="3429" spans="1:7" x14ac:dyDescent="0.25">
      <c r="A3429" s="1" t="s">
        <v>3552</v>
      </c>
      <c r="B3429" s="76">
        <v>60.423565000000004</v>
      </c>
      <c r="C3429" s="76">
        <v>60.804001</v>
      </c>
      <c r="D3429" s="76">
        <v>59.472473000000001</v>
      </c>
      <c r="E3429" s="76">
        <v>59.552951999999998</v>
      </c>
      <c r="F3429" s="76">
        <v>52.344551000000003</v>
      </c>
      <c r="G3429" s="79">
        <v>3092300</v>
      </c>
    </row>
    <row r="3430" spans="1:7" x14ac:dyDescent="0.25">
      <c r="A3430" s="1" t="s">
        <v>3553</v>
      </c>
      <c r="B3430" s="76">
        <v>59.245674000000001</v>
      </c>
      <c r="C3430" s="76">
        <v>59.501739999999998</v>
      </c>
      <c r="D3430" s="76">
        <v>58.206791000000003</v>
      </c>
      <c r="E3430" s="76">
        <v>58.221423999999999</v>
      </c>
      <c r="F3430" s="76">
        <v>51.174186999999897</v>
      </c>
      <c r="G3430" s="79">
        <v>1205600</v>
      </c>
    </row>
    <row r="3431" spans="1:7" x14ac:dyDescent="0.25">
      <c r="A3431" s="1" t="s">
        <v>3554</v>
      </c>
      <c r="B3431" s="76">
        <v>58.455535999999903</v>
      </c>
      <c r="C3431" s="76">
        <v>59.626109999999997</v>
      </c>
      <c r="D3431" s="76">
        <v>58.279952999999999</v>
      </c>
      <c r="E3431" s="76">
        <v>59.391998000000001</v>
      </c>
      <c r="F3431" s="76">
        <v>52.203074999999998</v>
      </c>
      <c r="G3431" s="79">
        <v>1150400</v>
      </c>
    </row>
    <row r="3432" spans="1:7" x14ac:dyDescent="0.25">
      <c r="A3432" s="1" t="s">
        <v>3555</v>
      </c>
      <c r="B3432" s="76">
        <v>59.165199000000001</v>
      </c>
      <c r="C3432" s="76">
        <v>60.255294999999997</v>
      </c>
      <c r="D3432" s="76">
        <v>58.623806000000002</v>
      </c>
      <c r="E3432" s="76">
        <v>59.304203000000001</v>
      </c>
      <c r="F3432" s="76">
        <v>52.125900000000001</v>
      </c>
      <c r="G3432" s="79">
        <v>990000</v>
      </c>
    </row>
    <row r="3433" spans="1:7" x14ac:dyDescent="0.25">
      <c r="A3433" s="1" t="s">
        <v>3556</v>
      </c>
      <c r="B3433" s="76">
        <v>59.333468999999901</v>
      </c>
      <c r="C3433" s="76">
        <v>60.087024999999997</v>
      </c>
      <c r="D3433" s="76">
        <v>58.909133999999902</v>
      </c>
      <c r="E3433" s="76">
        <v>59.9846</v>
      </c>
      <c r="F3433" s="76">
        <v>52.723945999999998</v>
      </c>
      <c r="G3433" s="79">
        <v>901300</v>
      </c>
    </row>
    <row r="3434" spans="1:7" x14ac:dyDescent="0.25">
      <c r="A3434" s="1" t="s">
        <v>3557</v>
      </c>
      <c r="B3434" s="76">
        <v>59.962649999999996</v>
      </c>
      <c r="C3434" s="76">
        <v>60.708893000000003</v>
      </c>
      <c r="D3434" s="76">
        <v>59.699272000000001</v>
      </c>
      <c r="E3434" s="76">
        <v>60.69426</v>
      </c>
      <c r="F3434" s="76">
        <v>53.347709999999999</v>
      </c>
      <c r="G3434" s="79">
        <v>1064800</v>
      </c>
    </row>
    <row r="3435" spans="1:7" x14ac:dyDescent="0.25">
      <c r="A3435" s="1" t="s">
        <v>3558</v>
      </c>
      <c r="B3435" s="76">
        <v>60.643046999999903</v>
      </c>
      <c r="C3435" s="76">
        <v>60.950324999999999</v>
      </c>
      <c r="D3435" s="76">
        <v>60.401615</v>
      </c>
      <c r="E3435" s="76">
        <v>60.701576000000003</v>
      </c>
      <c r="F3435" s="76">
        <v>53.354137000000001</v>
      </c>
      <c r="G3435" s="79">
        <v>707700</v>
      </c>
    </row>
    <row r="3436" spans="1:7" x14ac:dyDescent="0.25">
      <c r="A3436" s="1" t="s">
        <v>3559</v>
      </c>
      <c r="B3436" s="76">
        <v>60.043129</v>
      </c>
      <c r="C3436" s="76">
        <v>60.818633999999903</v>
      </c>
      <c r="D3436" s="76">
        <v>59.648060000000001</v>
      </c>
      <c r="E3436" s="76">
        <v>60.635731</v>
      </c>
      <c r="F3436" s="76">
        <v>53.296261000000001</v>
      </c>
      <c r="G3436" s="79">
        <v>905600</v>
      </c>
    </row>
    <row r="3437" spans="1:7" x14ac:dyDescent="0.25">
      <c r="A3437" s="1" t="s">
        <v>3560</v>
      </c>
      <c r="B3437" s="76">
        <v>60.745471999999999</v>
      </c>
      <c r="C3437" s="76">
        <v>60.884480000000003</v>
      </c>
      <c r="D3437" s="76">
        <v>60.079707999999997</v>
      </c>
      <c r="E3437" s="76">
        <v>60.343086</v>
      </c>
      <c r="F3437" s="76">
        <v>53.039035999999903</v>
      </c>
      <c r="G3437" s="79">
        <v>1001100</v>
      </c>
    </row>
    <row r="3438" spans="1:7" x14ac:dyDescent="0.25">
      <c r="A3438" s="1" t="s">
        <v>3561</v>
      </c>
      <c r="B3438" s="76">
        <v>60.211399</v>
      </c>
      <c r="C3438" s="76">
        <v>60.211399</v>
      </c>
      <c r="D3438" s="76">
        <v>59.260306999999997</v>
      </c>
      <c r="E3438" s="76">
        <v>59.845592000000003</v>
      </c>
      <c r="F3438" s="76">
        <v>52.601760999999897</v>
      </c>
      <c r="G3438" s="79">
        <v>749300</v>
      </c>
    </row>
    <row r="3439" spans="1:7" x14ac:dyDescent="0.25">
      <c r="A3439" s="1" t="s">
        <v>3562</v>
      </c>
      <c r="B3439" s="76">
        <v>60.028495999999997</v>
      </c>
      <c r="C3439" s="76">
        <v>60.2333449999999</v>
      </c>
      <c r="D3439" s="76">
        <v>59.289569999999998</v>
      </c>
      <c r="E3439" s="76">
        <v>59.479790000000001</v>
      </c>
      <c r="F3439" s="76">
        <v>52.280239000000002</v>
      </c>
      <c r="G3439" s="79">
        <v>980900</v>
      </c>
    </row>
    <row r="3440" spans="1:7" x14ac:dyDescent="0.25">
      <c r="A3440" s="1" t="s">
        <v>3563</v>
      </c>
      <c r="B3440" s="76">
        <v>60.043129</v>
      </c>
      <c r="C3440" s="76">
        <v>60.072392000000001</v>
      </c>
      <c r="D3440" s="76">
        <v>58.587226999999999</v>
      </c>
      <c r="E3440" s="76">
        <v>59.231040999999998</v>
      </c>
      <c r="F3440" s="76">
        <v>52.061596000000002</v>
      </c>
      <c r="G3440" s="79">
        <v>1411800</v>
      </c>
    </row>
    <row r="3441" spans="1:7" x14ac:dyDescent="0.25">
      <c r="A3441" s="1" t="s">
        <v>3564</v>
      </c>
      <c r="B3441" s="76">
        <v>59.113987000000002</v>
      </c>
      <c r="C3441" s="76">
        <v>60.079707999999997</v>
      </c>
      <c r="D3441" s="76">
        <v>58.667706000000003</v>
      </c>
      <c r="E3441" s="76">
        <v>59.640743000000001</v>
      </c>
      <c r="F3441" s="76">
        <v>52.421703000000001</v>
      </c>
      <c r="G3441" s="79">
        <v>1057000</v>
      </c>
    </row>
    <row r="3442" spans="1:7" x14ac:dyDescent="0.25">
      <c r="A3442" s="1" t="s">
        <v>3565</v>
      </c>
      <c r="B3442" s="76">
        <v>59.969966999999997</v>
      </c>
      <c r="C3442" s="76">
        <v>60.028495999999997</v>
      </c>
      <c r="D3442" s="76">
        <v>58.967663000000002</v>
      </c>
      <c r="E3442" s="76">
        <v>59.077404000000001</v>
      </c>
      <c r="F3442" s="76">
        <v>51.926558999999997</v>
      </c>
      <c r="G3442" s="79">
        <v>837000</v>
      </c>
    </row>
    <row r="3443" spans="1:7" x14ac:dyDescent="0.25">
      <c r="A3443" s="1" t="s">
        <v>3566</v>
      </c>
      <c r="B3443" s="76">
        <v>59.801696999999997</v>
      </c>
      <c r="C3443" s="76">
        <v>60.877163000000003</v>
      </c>
      <c r="D3443" s="76">
        <v>59.794379999999997</v>
      </c>
      <c r="E3443" s="76">
        <v>60.269928</v>
      </c>
      <c r="F3443" s="76">
        <v>52.974739</v>
      </c>
      <c r="G3443" s="79">
        <v>1139400</v>
      </c>
    </row>
    <row r="3444" spans="1:7" x14ac:dyDescent="0.25">
      <c r="A3444" s="1" t="s">
        <v>3567</v>
      </c>
      <c r="B3444" s="76">
        <v>60.328456999999901</v>
      </c>
      <c r="C3444" s="76">
        <v>61.857517000000001</v>
      </c>
      <c r="D3444" s="76">
        <v>60.211399</v>
      </c>
      <c r="E3444" s="76">
        <v>61.857517000000001</v>
      </c>
      <c r="F3444" s="76">
        <v>54.370158999999902</v>
      </c>
      <c r="G3444" s="79">
        <v>1112800</v>
      </c>
    </row>
    <row r="3445" spans="1:7" x14ac:dyDescent="0.25">
      <c r="A3445" s="1" t="s">
        <v>3568</v>
      </c>
      <c r="B3445" s="76">
        <v>62.333064999999998</v>
      </c>
      <c r="C3445" s="76">
        <v>62.369643999999901</v>
      </c>
      <c r="D3445" s="76">
        <v>61.089328999999999</v>
      </c>
      <c r="E3445" s="76">
        <v>61.659984999999999</v>
      </c>
      <c r="F3445" s="76">
        <v>54.196536999999999</v>
      </c>
      <c r="G3445" s="79">
        <v>844700</v>
      </c>
    </row>
    <row r="3446" spans="1:7" x14ac:dyDescent="0.25">
      <c r="A3446" s="1" t="s">
        <v>3569</v>
      </c>
      <c r="B3446" s="76">
        <v>61.499031000000002</v>
      </c>
      <c r="C3446" s="76">
        <v>62.472068999999998</v>
      </c>
      <c r="D3446" s="76">
        <v>61.499031000000002</v>
      </c>
      <c r="E3446" s="76">
        <v>62.303798999999998</v>
      </c>
      <c r="F3446" s="76">
        <v>54.762428</v>
      </c>
      <c r="G3446" s="79">
        <v>872000</v>
      </c>
    </row>
    <row r="3447" spans="1:7" x14ac:dyDescent="0.25">
      <c r="A3447" s="1" t="s">
        <v>3570</v>
      </c>
      <c r="B3447" s="76">
        <v>62.369643999999901</v>
      </c>
      <c r="C3447" s="76">
        <v>62.486702000000001</v>
      </c>
      <c r="D3447" s="76">
        <v>61.564877000000003</v>
      </c>
      <c r="E3447" s="76">
        <v>61.689246999999902</v>
      </c>
      <c r="F3447" s="76">
        <v>54.222262999999998</v>
      </c>
      <c r="G3447" s="79">
        <v>701500</v>
      </c>
    </row>
    <row r="3448" spans="1:7" x14ac:dyDescent="0.25">
      <c r="A3448" s="1" t="s">
        <v>3571</v>
      </c>
      <c r="B3448" s="76">
        <v>61.630718000000002</v>
      </c>
      <c r="C3448" s="76">
        <v>62.098948999999998</v>
      </c>
      <c r="D3448" s="76">
        <v>61.403918999999902</v>
      </c>
      <c r="E3448" s="76">
        <v>61.857517000000001</v>
      </c>
      <c r="F3448" s="76">
        <v>54.370158999999902</v>
      </c>
      <c r="G3448" s="79">
        <v>670700</v>
      </c>
    </row>
    <row r="3449" spans="1:7" x14ac:dyDescent="0.25">
      <c r="A3449" s="1" t="s">
        <v>3572</v>
      </c>
      <c r="B3449" s="76">
        <v>62.742764000000001</v>
      </c>
      <c r="C3449" s="76">
        <v>63.284156999999901</v>
      </c>
      <c r="D3449" s="76">
        <v>62.216006999999998</v>
      </c>
      <c r="E3449" s="76">
        <v>62.450122999999998</v>
      </c>
      <c r="F3449" s="76">
        <v>54.891029000000003</v>
      </c>
      <c r="G3449" s="79">
        <v>697700</v>
      </c>
    </row>
    <row r="3450" spans="1:7" x14ac:dyDescent="0.25">
      <c r="A3450" s="1" t="s">
        <v>3573</v>
      </c>
      <c r="B3450" s="76">
        <v>62.318431999999902</v>
      </c>
      <c r="C3450" s="76">
        <v>62.815925999999997</v>
      </c>
      <c r="D3450" s="76">
        <v>61.959941999999998</v>
      </c>
      <c r="E3450" s="76">
        <v>62.223323999999998</v>
      </c>
      <c r="F3450" s="76">
        <v>54.691681000000003</v>
      </c>
      <c r="G3450" s="79">
        <v>798200</v>
      </c>
    </row>
    <row r="3451" spans="1:7" x14ac:dyDescent="0.25">
      <c r="A3451" s="1" t="s">
        <v>3574</v>
      </c>
      <c r="B3451" s="76">
        <v>62.040420999999903</v>
      </c>
      <c r="C3451" s="76">
        <v>64.666893000000002</v>
      </c>
      <c r="D3451" s="76">
        <v>61.484397999999999</v>
      </c>
      <c r="E3451" s="76">
        <v>64.469359999999995</v>
      </c>
      <c r="F3451" s="76">
        <v>56.665866999999999</v>
      </c>
      <c r="G3451" s="79">
        <v>1757000</v>
      </c>
    </row>
    <row r="3452" spans="1:7" x14ac:dyDescent="0.25">
      <c r="A3452" s="1" t="s">
        <v>3575</v>
      </c>
      <c r="B3452" s="76">
        <v>64.425467999999995</v>
      </c>
      <c r="C3452" s="76">
        <v>65.281447999999997</v>
      </c>
      <c r="D3452" s="76">
        <v>64.374251999999998</v>
      </c>
      <c r="E3452" s="76">
        <v>64.864432999999906</v>
      </c>
      <c r="F3452" s="76">
        <v>57.013111000000002</v>
      </c>
      <c r="G3452" s="79">
        <v>1751700</v>
      </c>
    </row>
    <row r="3453" spans="1:7" x14ac:dyDescent="0.25">
      <c r="A3453" s="1" t="s">
        <v>3576</v>
      </c>
      <c r="B3453" s="76">
        <v>64.864432999999906</v>
      </c>
      <c r="C3453" s="76">
        <v>64.966858000000002</v>
      </c>
      <c r="D3453" s="76">
        <v>63.101253999999997</v>
      </c>
      <c r="E3453" s="76">
        <v>63.152465999999997</v>
      </c>
      <c r="F3453" s="76">
        <v>55.508366000000002</v>
      </c>
      <c r="G3453" s="79">
        <v>2241100</v>
      </c>
    </row>
    <row r="3454" spans="1:7" x14ac:dyDescent="0.25">
      <c r="A3454" s="1" t="s">
        <v>3577</v>
      </c>
      <c r="B3454" s="76">
        <v>62.764713</v>
      </c>
      <c r="C3454" s="76">
        <v>63.701172</v>
      </c>
      <c r="D3454" s="76">
        <v>62.691550999999997</v>
      </c>
      <c r="E3454" s="76">
        <v>62.940300000000001</v>
      </c>
      <c r="F3454" s="76">
        <v>55.321872999999997</v>
      </c>
      <c r="G3454" s="79">
        <v>992300</v>
      </c>
    </row>
    <row r="3455" spans="1:7" x14ac:dyDescent="0.25">
      <c r="A3455" s="1" t="s">
        <v>3578</v>
      </c>
      <c r="B3455" s="76">
        <v>62.918349999999997</v>
      </c>
      <c r="C3455" s="76">
        <v>63.0134579999999</v>
      </c>
      <c r="D3455" s="76">
        <v>61.894100000000002</v>
      </c>
      <c r="E3455" s="76">
        <v>61.959941999999998</v>
      </c>
      <c r="F3455" s="76">
        <v>54.460186</v>
      </c>
      <c r="G3455" s="79">
        <v>1129000</v>
      </c>
    </row>
    <row r="3456" spans="1:7" x14ac:dyDescent="0.25">
      <c r="A3456" s="1" t="s">
        <v>3579</v>
      </c>
      <c r="B3456" s="76">
        <v>61.916045999999902</v>
      </c>
      <c r="C3456" s="76">
        <v>62.662289000000001</v>
      </c>
      <c r="D3456" s="76">
        <v>61.513659999999902</v>
      </c>
      <c r="E3456" s="76">
        <v>61.747776000000002</v>
      </c>
      <c r="F3456" s="76">
        <v>54.273701000000003</v>
      </c>
      <c r="G3456" s="79">
        <v>992400</v>
      </c>
    </row>
    <row r="3457" spans="1:7" x14ac:dyDescent="0.25">
      <c r="A3457" s="1" t="s">
        <v>3580</v>
      </c>
      <c r="B3457" s="76">
        <v>61.952629000000002</v>
      </c>
      <c r="C3457" s="76">
        <v>62.362327999999998</v>
      </c>
      <c r="D3457" s="76">
        <v>61.696564000000002</v>
      </c>
      <c r="E3457" s="76">
        <v>62.333064999999998</v>
      </c>
      <c r="F3457" s="76">
        <v>54.788146999999903</v>
      </c>
      <c r="G3457" s="79">
        <v>964100</v>
      </c>
    </row>
    <row r="3458" spans="1:7" x14ac:dyDescent="0.25">
      <c r="A3458" s="1" t="s">
        <v>3581</v>
      </c>
      <c r="B3458" s="76">
        <v>62.011153999999998</v>
      </c>
      <c r="C3458" s="76">
        <v>62.245269999999998</v>
      </c>
      <c r="D3458" s="76">
        <v>61.250281999999899</v>
      </c>
      <c r="E3458" s="76">
        <v>61.755093000000002</v>
      </c>
      <c r="F3458" s="76">
        <v>54.280135999999999</v>
      </c>
      <c r="G3458" s="79">
        <v>991000</v>
      </c>
    </row>
    <row r="3459" spans="1:7" x14ac:dyDescent="0.25">
      <c r="A3459" s="1" t="s">
        <v>3582</v>
      </c>
      <c r="B3459" s="76">
        <v>61.638034999999903</v>
      </c>
      <c r="C3459" s="76">
        <v>62.464751999999997</v>
      </c>
      <c r="D3459" s="76">
        <v>61.316127999999999</v>
      </c>
      <c r="E3459" s="76">
        <v>61.499031000000002</v>
      </c>
      <c r="F3459" s="76">
        <v>54.055064999999999</v>
      </c>
      <c r="G3459" s="79">
        <v>1326300</v>
      </c>
    </row>
    <row r="3460" spans="1:7" x14ac:dyDescent="0.25">
      <c r="A3460" s="1" t="s">
        <v>3583</v>
      </c>
      <c r="B3460" s="76">
        <v>61.623401999999999</v>
      </c>
      <c r="C3460" s="76">
        <v>62.750079999999997</v>
      </c>
      <c r="D3460" s="76">
        <v>61.4551319999999</v>
      </c>
      <c r="E3460" s="76">
        <v>61.981892000000002</v>
      </c>
      <c r="F3460" s="76">
        <v>54.479481</v>
      </c>
      <c r="G3460" s="79">
        <v>1166400</v>
      </c>
    </row>
    <row r="3461" spans="1:7" x14ac:dyDescent="0.25">
      <c r="A3461" s="1" t="s">
        <v>3584</v>
      </c>
      <c r="B3461" s="76">
        <v>61.857517000000001</v>
      </c>
      <c r="C3461" s="76">
        <v>62.420856000000001</v>
      </c>
      <c r="D3461" s="76">
        <v>61.199069999999899</v>
      </c>
      <c r="E3461" s="76">
        <v>61.645350999999998</v>
      </c>
      <c r="F3461" s="76">
        <v>54.183673999999897</v>
      </c>
      <c r="G3461" s="79">
        <v>1366400</v>
      </c>
    </row>
    <row r="3462" spans="1:7" x14ac:dyDescent="0.25">
      <c r="A3462" s="1" t="s">
        <v>3585</v>
      </c>
      <c r="B3462" s="76">
        <v>61.645350999999998</v>
      </c>
      <c r="C3462" s="76">
        <v>61.784358999999903</v>
      </c>
      <c r="D3462" s="76">
        <v>60.52599</v>
      </c>
      <c r="E3462" s="76">
        <v>60.833266999999999</v>
      </c>
      <c r="F3462" s="76">
        <v>53.469887</v>
      </c>
      <c r="G3462" s="79">
        <v>1660400</v>
      </c>
    </row>
    <row r="3463" spans="1:7" x14ac:dyDescent="0.25">
      <c r="A3463" s="1" t="s">
        <v>3586</v>
      </c>
      <c r="B3463" s="76">
        <v>60.833266999999999</v>
      </c>
      <c r="C3463" s="76">
        <v>61.894100000000002</v>
      </c>
      <c r="D3463" s="76">
        <v>60.716208999999999</v>
      </c>
      <c r="E3463" s="76">
        <v>61.835570999999902</v>
      </c>
      <c r="F3463" s="76">
        <v>54.350879999999997</v>
      </c>
      <c r="G3463" s="79">
        <v>1242600</v>
      </c>
    </row>
    <row r="3464" spans="1:7" x14ac:dyDescent="0.25">
      <c r="A3464" s="1" t="s">
        <v>3587</v>
      </c>
      <c r="B3464" s="76">
        <v>61.1185949999999</v>
      </c>
      <c r="C3464" s="76">
        <v>61.872149999999998</v>
      </c>
      <c r="D3464" s="76">
        <v>60.928375000000003</v>
      </c>
      <c r="E3464" s="76">
        <v>61.740458999999902</v>
      </c>
      <c r="F3464" s="76">
        <v>54.267257999999998</v>
      </c>
      <c r="G3464" s="79">
        <v>855900</v>
      </c>
    </row>
    <row r="3465" spans="1:7" x14ac:dyDescent="0.25">
      <c r="A3465" s="1" t="s">
        <v>3588</v>
      </c>
      <c r="B3465" s="76">
        <v>61.616089000000002</v>
      </c>
      <c r="C3465" s="76">
        <v>61.981892000000002</v>
      </c>
      <c r="D3465" s="76">
        <v>61.140540999999999</v>
      </c>
      <c r="E3465" s="76">
        <v>61.242966000000003</v>
      </c>
      <c r="F3465" s="76">
        <v>53.829997999999897</v>
      </c>
      <c r="G3465" s="79">
        <v>1116600</v>
      </c>
    </row>
    <row r="3466" spans="1:7" x14ac:dyDescent="0.25">
      <c r="A3466" s="1" t="s">
        <v>3589</v>
      </c>
      <c r="B3466" s="76">
        <v>61.228335999999999</v>
      </c>
      <c r="C3466" s="76">
        <v>61.952629000000002</v>
      </c>
      <c r="D3466" s="76">
        <v>61.089328999999999</v>
      </c>
      <c r="E3466" s="76">
        <v>61.235649000000002</v>
      </c>
      <c r="F3466" s="76">
        <v>53.823558999999896</v>
      </c>
      <c r="G3466" s="79">
        <v>687800</v>
      </c>
    </row>
    <row r="3467" spans="1:7" x14ac:dyDescent="0.25">
      <c r="A3467" s="1" t="s">
        <v>3590</v>
      </c>
      <c r="B3467" s="76">
        <v>61.696564000000002</v>
      </c>
      <c r="C3467" s="76">
        <v>63.430477000000003</v>
      </c>
      <c r="D3467" s="76">
        <v>61.557559999999903</v>
      </c>
      <c r="E3467" s="76">
        <v>63.408526999999999</v>
      </c>
      <c r="F3467" s="76">
        <v>55.733437000000002</v>
      </c>
      <c r="G3467" s="79">
        <v>1349600</v>
      </c>
    </row>
    <row r="3468" spans="1:7" x14ac:dyDescent="0.25">
      <c r="A3468" s="1" t="s">
        <v>3591</v>
      </c>
      <c r="B3468" s="76">
        <v>62.940300000000001</v>
      </c>
      <c r="C3468" s="76">
        <v>63.606064000000003</v>
      </c>
      <c r="D3468" s="76">
        <v>62.713501000000001</v>
      </c>
      <c r="E3468" s="76">
        <v>63.591431</v>
      </c>
      <c r="F3468" s="76">
        <v>55.894199</v>
      </c>
      <c r="G3468" s="79">
        <v>968900</v>
      </c>
    </row>
    <row r="3469" spans="1:7" x14ac:dyDescent="0.25">
      <c r="A3469" s="1" t="s">
        <v>3592</v>
      </c>
      <c r="B3469" s="76">
        <v>63.27684</v>
      </c>
      <c r="C3469" s="76">
        <v>63.737751000000003</v>
      </c>
      <c r="D3469" s="76">
        <v>62.925666999999997</v>
      </c>
      <c r="E3469" s="76">
        <v>63.679221999999903</v>
      </c>
      <c r="F3469" s="76">
        <v>55.971359</v>
      </c>
      <c r="G3469" s="79">
        <v>863100</v>
      </c>
    </row>
    <row r="3470" spans="1:7" x14ac:dyDescent="0.25">
      <c r="A3470" s="1" t="s">
        <v>3593</v>
      </c>
      <c r="B3470" s="76">
        <v>63.2402569999999</v>
      </c>
      <c r="C3470" s="76">
        <v>63.935287000000002</v>
      </c>
      <c r="D3470" s="76">
        <v>63.101253999999997</v>
      </c>
      <c r="E3470" s="76">
        <v>63.218311</v>
      </c>
      <c r="F3470" s="76">
        <v>55.566246</v>
      </c>
      <c r="G3470" s="79">
        <v>810600</v>
      </c>
    </row>
    <row r="3471" spans="1:7" x14ac:dyDescent="0.25">
      <c r="A3471" s="1" t="s">
        <v>3594</v>
      </c>
      <c r="B3471" s="76">
        <v>63.584114</v>
      </c>
      <c r="C3471" s="76">
        <v>64.922957999999994</v>
      </c>
      <c r="D3471" s="76">
        <v>63.145148999999897</v>
      </c>
      <c r="E3471" s="76">
        <v>64.725425999999999</v>
      </c>
      <c r="F3471" s="76">
        <v>56.890923000000001</v>
      </c>
      <c r="G3471" s="79">
        <v>1082700</v>
      </c>
    </row>
    <row r="3472" spans="1:7" x14ac:dyDescent="0.25">
      <c r="A3472" s="1" t="s">
        <v>3595</v>
      </c>
      <c r="B3472" s="76">
        <v>64.491309999999999</v>
      </c>
      <c r="C3472" s="76">
        <v>65.552138999999997</v>
      </c>
      <c r="D3472" s="76">
        <v>64.198668999999995</v>
      </c>
      <c r="E3472" s="76">
        <v>65.435080999999997</v>
      </c>
      <c r="F3472" s="76">
        <v>57.514690000000002</v>
      </c>
      <c r="G3472" s="79">
        <v>952100</v>
      </c>
    </row>
    <row r="3473" spans="1:7" x14ac:dyDescent="0.25">
      <c r="A3473" s="1" t="s">
        <v>3596</v>
      </c>
      <c r="B3473" s="76">
        <v>65.647255000000001</v>
      </c>
      <c r="C3473" s="76">
        <v>65.647255000000001</v>
      </c>
      <c r="D3473" s="76">
        <v>64.623001000000002</v>
      </c>
      <c r="E3473" s="76">
        <v>65.179023999999998</v>
      </c>
      <c r="F3473" s="76">
        <v>57.289618999999902</v>
      </c>
      <c r="G3473" s="79">
        <v>1014100</v>
      </c>
    </row>
    <row r="3474" spans="1:7" x14ac:dyDescent="0.25">
      <c r="A3474" s="1" t="s">
        <v>3597</v>
      </c>
      <c r="B3474" s="76">
        <v>65.179023999999998</v>
      </c>
      <c r="C3474" s="76">
        <v>65.179023999999998</v>
      </c>
      <c r="D3474" s="76">
        <v>64.198668999999995</v>
      </c>
      <c r="E3474" s="76">
        <v>64.922957999999994</v>
      </c>
      <c r="F3474" s="76">
        <v>57.064556000000003</v>
      </c>
      <c r="G3474" s="79">
        <v>983900</v>
      </c>
    </row>
    <row r="3475" spans="1:7" x14ac:dyDescent="0.25">
      <c r="A3475" s="1" t="s">
        <v>3598</v>
      </c>
      <c r="B3475" s="76">
        <v>64.996116999999998</v>
      </c>
      <c r="C3475" s="76">
        <v>65.947211999999993</v>
      </c>
      <c r="D3475" s="76">
        <v>64.996116999999998</v>
      </c>
      <c r="E3475" s="76">
        <v>65.625304999999997</v>
      </c>
      <c r="F3475" s="76">
        <v>57.681885000000001</v>
      </c>
      <c r="G3475" s="79">
        <v>862800</v>
      </c>
    </row>
    <row r="3476" spans="1:7" x14ac:dyDescent="0.25">
      <c r="A3476" s="1" t="s">
        <v>3599</v>
      </c>
      <c r="B3476" s="76">
        <v>65.391189999999995</v>
      </c>
      <c r="C3476" s="76">
        <v>65.735045999999997</v>
      </c>
      <c r="D3476" s="76">
        <v>65.127808000000002</v>
      </c>
      <c r="E3476" s="76">
        <v>65.398505999999998</v>
      </c>
      <c r="F3476" s="76">
        <v>57.48254</v>
      </c>
      <c r="G3476" s="79">
        <v>1051700</v>
      </c>
    </row>
    <row r="3477" spans="1:7" x14ac:dyDescent="0.25">
      <c r="A3477" s="1" t="s">
        <v>3600</v>
      </c>
      <c r="B3477" s="76">
        <v>65.398505999999998</v>
      </c>
      <c r="C3477" s="76">
        <v>65.837470999999994</v>
      </c>
      <c r="D3477" s="76">
        <v>65.120491000000001</v>
      </c>
      <c r="E3477" s="76">
        <v>65.778937999999997</v>
      </c>
      <c r="F3477" s="76">
        <v>57.816920999999901</v>
      </c>
      <c r="G3477" s="79">
        <v>789300</v>
      </c>
    </row>
    <row r="3478" spans="1:7" x14ac:dyDescent="0.25">
      <c r="A3478" s="1" t="s">
        <v>3601</v>
      </c>
      <c r="B3478" s="76">
        <v>66.108161999999993</v>
      </c>
      <c r="C3478" s="76">
        <v>66.722717000000003</v>
      </c>
      <c r="D3478" s="76">
        <v>65.844787999999994</v>
      </c>
      <c r="E3478" s="76">
        <v>66.656868000000003</v>
      </c>
      <c r="F3478" s="76">
        <v>58.588580999999998</v>
      </c>
      <c r="G3478" s="79">
        <v>780700</v>
      </c>
    </row>
    <row r="3479" spans="1:7" x14ac:dyDescent="0.25">
      <c r="A3479" s="1" t="s">
        <v>3602</v>
      </c>
      <c r="B3479" s="76">
        <v>66.642241999999996</v>
      </c>
      <c r="C3479" s="76">
        <v>66.678818000000007</v>
      </c>
      <c r="D3479" s="76">
        <v>65.581406000000001</v>
      </c>
      <c r="E3479" s="76">
        <v>66.174010999999993</v>
      </c>
      <c r="F3479" s="76">
        <v>58.164172999999998</v>
      </c>
      <c r="G3479" s="79">
        <v>853400</v>
      </c>
    </row>
    <row r="3480" spans="1:7" x14ac:dyDescent="0.25">
      <c r="A3480" s="1" t="s">
        <v>3603</v>
      </c>
      <c r="B3480" s="76">
        <v>66.174010999999993</v>
      </c>
      <c r="C3480" s="76">
        <v>66.174010999999993</v>
      </c>
      <c r="D3480" s="76">
        <v>65.332656999999998</v>
      </c>
      <c r="E3480" s="76">
        <v>65.998420999999993</v>
      </c>
      <c r="F3480" s="76">
        <v>58.009841999999999</v>
      </c>
      <c r="G3480" s="79">
        <v>714200</v>
      </c>
    </row>
    <row r="3481" spans="1:7" x14ac:dyDescent="0.25">
      <c r="A3481" s="1" t="s">
        <v>3604</v>
      </c>
      <c r="B3481" s="76">
        <v>65.874045999999893</v>
      </c>
      <c r="C3481" s="76">
        <v>66.064269999999993</v>
      </c>
      <c r="D3481" s="76">
        <v>64.820533999999995</v>
      </c>
      <c r="E3481" s="76">
        <v>65.252181999999905</v>
      </c>
      <c r="F3481" s="76">
        <v>57.353928000000003</v>
      </c>
      <c r="G3481" s="79">
        <v>1071700</v>
      </c>
    </row>
    <row r="3482" spans="1:7" x14ac:dyDescent="0.25">
      <c r="A3482" s="1" t="s">
        <v>3605</v>
      </c>
      <c r="B3482" s="76">
        <v>65.318023999999994</v>
      </c>
      <c r="C3482" s="76">
        <v>65.68383</v>
      </c>
      <c r="D3482" s="76">
        <v>64.644951000000006</v>
      </c>
      <c r="E3482" s="76">
        <v>65.157073999999994</v>
      </c>
      <c r="F3482" s="76">
        <v>57.270347999999998</v>
      </c>
      <c r="G3482" s="79">
        <v>1171200</v>
      </c>
    </row>
    <row r="3483" spans="1:7" x14ac:dyDescent="0.25">
      <c r="A3483" s="1" t="s">
        <v>3606</v>
      </c>
      <c r="B3483" s="76">
        <v>65.596039000000005</v>
      </c>
      <c r="C3483" s="76">
        <v>66.02037</v>
      </c>
      <c r="D3483" s="76">
        <v>65.091231999999906</v>
      </c>
      <c r="E3483" s="76">
        <v>65.822838000000004</v>
      </c>
      <c r="F3483" s="76">
        <v>57.855502999999999</v>
      </c>
      <c r="G3483" s="79">
        <v>1147300</v>
      </c>
    </row>
    <row r="3484" spans="1:7" x14ac:dyDescent="0.25">
      <c r="A3484" s="1" t="s">
        <v>3607</v>
      </c>
      <c r="B3484" s="76">
        <v>65.844787999999994</v>
      </c>
      <c r="C3484" s="76">
        <v>66.298385999999994</v>
      </c>
      <c r="D3484" s="76">
        <v>65.427773000000002</v>
      </c>
      <c r="E3484" s="76">
        <v>66.174010999999993</v>
      </c>
      <c r="F3484" s="76">
        <v>58.164172999999998</v>
      </c>
      <c r="G3484" s="79">
        <v>1656700</v>
      </c>
    </row>
    <row r="3485" spans="1:7" x14ac:dyDescent="0.25">
      <c r="A3485" s="1" t="s">
        <v>3608</v>
      </c>
      <c r="B3485" s="76">
        <v>65.888679999999994</v>
      </c>
      <c r="C3485" s="76">
        <v>67.000725000000003</v>
      </c>
      <c r="D3485" s="76">
        <v>65.735045999999997</v>
      </c>
      <c r="E3485" s="76">
        <v>66.232535999999996</v>
      </c>
      <c r="F3485" s="76">
        <v>58.215626</v>
      </c>
      <c r="G3485" s="79">
        <v>1548600</v>
      </c>
    </row>
    <row r="3486" spans="1:7" x14ac:dyDescent="0.25">
      <c r="A3486" s="1" t="s">
        <v>3609</v>
      </c>
      <c r="B3486" s="76">
        <v>66.430068999999904</v>
      </c>
      <c r="C3486" s="76">
        <v>67.242156999999906</v>
      </c>
      <c r="D3486" s="76">
        <v>66.122794999999996</v>
      </c>
      <c r="E3486" s="76">
        <v>66.313018999999997</v>
      </c>
      <c r="F3486" s="76">
        <v>58.2863579999999</v>
      </c>
      <c r="G3486" s="79">
        <v>868900</v>
      </c>
    </row>
    <row r="3487" spans="1:7" x14ac:dyDescent="0.25">
      <c r="A3487" s="1" t="s">
        <v>3610</v>
      </c>
      <c r="B3487" s="76">
        <v>65.852103999999997</v>
      </c>
      <c r="C3487" s="76">
        <v>66.210587000000004</v>
      </c>
      <c r="D3487" s="76">
        <v>64.659576000000001</v>
      </c>
      <c r="E3487" s="76">
        <v>64.813216999999995</v>
      </c>
      <c r="F3487" s="76">
        <v>57.430622</v>
      </c>
      <c r="G3487" s="79">
        <v>1092900</v>
      </c>
    </row>
    <row r="3488" spans="1:7" x14ac:dyDescent="0.25">
      <c r="A3488" s="1" t="s">
        <v>3611</v>
      </c>
      <c r="B3488" s="76">
        <v>64.184035999999907</v>
      </c>
      <c r="C3488" s="76">
        <v>64.725425999999999</v>
      </c>
      <c r="D3488" s="76">
        <v>63.064673999999997</v>
      </c>
      <c r="E3488" s="76">
        <v>64.440093999999903</v>
      </c>
      <c r="F3488" s="76">
        <v>57.099997999999999</v>
      </c>
      <c r="G3488" s="79">
        <v>863500</v>
      </c>
    </row>
    <row r="3489" spans="1:7" x14ac:dyDescent="0.25">
      <c r="A3489" s="1" t="s">
        <v>3612</v>
      </c>
      <c r="B3489" s="76">
        <v>64.542518999999999</v>
      </c>
      <c r="C3489" s="76">
        <v>64.974174000000005</v>
      </c>
      <c r="D3489" s="76">
        <v>64.198668999999995</v>
      </c>
      <c r="E3489" s="76">
        <v>64.615684999999999</v>
      </c>
      <c r="F3489" s="76">
        <v>57.255595999999997</v>
      </c>
      <c r="G3489" s="79">
        <v>538200</v>
      </c>
    </row>
    <row r="3490" spans="1:7" x14ac:dyDescent="0.25">
      <c r="A3490" s="1" t="s">
        <v>3613</v>
      </c>
      <c r="B3490" s="76">
        <v>64.359618999999995</v>
      </c>
      <c r="C3490" s="76">
        <v>64.483993999999996</v>
      </c>
      <c r="D3490" s="76">
        <v>63.452427</v>
      </c>
      <c r="E3490" s="76">
        <v>64.293777000000006</v>
      </c>
      <c r="F3490" s="76">
        <v>56.970363999999996</v>
      </c>
      <c r="G3490" s="79">
        <v>857100</v>
      </c>
    </row>
    <row r="3491" spans="1:7" x14ac:dyDescent="0.25">
      <c r="A3491" s="1" t="s">
        <v>3614</v>
      </c>
      <c r="B3491" s="76">
        <v>64.154769999999999</v>
      </c>
      <c r="C3491" s="76">
        <v>64.937591999999995</v>
      </c>
      <c r="D3491" s="76">
        <v>63.671908999999999</v>
      </c>
      <c r="E3491" s="76">
        <v>64.871750000000006</v>
      </c>
      <c r="F3491" s="76">
        <v>57.482501999999997</v>
      </c>
      <c r="G3491" s="79">
        <v>1055500</v>
      </c>
    </row>
    <row r="3492" spans="1:7" x14ac:dyDescent="0.25">
      <c r="A3492" s="1" t="s">
        <v>3615</v>
      </c>
      <c r="B3492" s="76">
        <v>65.208281999999997</v>
      </c>
      <c r="C3492" s="76">
        <v>66.130111999999997</v>
      </c>
      <c r="D3492" s="76">
        <v>65.054648999999998</v>
      </c>
      <c r="E3492" s="76">
        <v>65.435080999999997</v>
      </c>
      <c r="F3492" s="76">
        <v>57.981655000000003</v>
      </c>
      <c r="G3492" s="79">
        <v>734000</v>
      </c>
    </row>
    <row r="3493" spans="1:7" x14ac:dyDescent="0.25">
      <c r="A3493" s="1" t="s">
        <v>3616</v>
      </c>
      <c r="B3493" s="76">
        <v>65.310715000000002</v>
      </c>
      <c r="C3493" s="76">
        <v>65.983795000000001</v>
      </c>
      <c r="D3493" s="76">
        <v>65.274131999999994</v>
      </c>
      <c r="E3493" s="76">
        <v>65.866737000000001</v>
      </c>
      <c r="F3493" s="76">
        <v>58.364154999999997</v>
      </c>
      <c r="G3493" s="79">
        <v>930000</v>
      </c>
    </row>
    <row r="3494" spans="1:7" x14ac:dyDescent="0.25">
      <c r="A3494" s="1" t="s">
        <v>3617</v>
      </c>
      <c r="B3494" s="76">
        <v>65.735045999999997</v>
      </c>
      <c r="C3494" s="76">
        <v>66.371544</v>
      </c>
      <c r="D3494" s="76">
        <v>65.435080999999997</v>
      </c>
      <c r="E3494" s="76">
        <v>65.676513999999997</v>
      </c>
      <c r="F3494" s="76">
        <v>58.195594999999997</v>
      </c>
      <c r="G3494" s="79">
        <v>1157300</v>
      </c>
    </row>
    <row r="3495" spans="1:7" x14ac:dyDescent="0.25">
      <c r="A3495" s="1" t="s">
        <v>3618</v>
      </c>
      <c r="B3495" s="76">
        <v>65.903312999999997</v>
      </c>
      <c r="C3495" s="76">
        <v>66.093536</v>
      </c>
      <c r="D3495" s="76">
        <v>65.040015999999994</v>
      </c>
      <c r="E3495" s="76">
        <v>65.252181999999905</v>
      </c>
      <c r="F3495" s="76">
        <v>57.819592</v>
      </c>
      <c r="G3495" s="79">
        <v>920000</v>
      </c>
    </row>
    <row r="3496" spans="1:7" x14ac:dyDescent="0.25">
      <c r="A3496" s="1" t="s">
        <v>3619</v>
      </c>
      <c r="B3496" s="76">
        <v>65.244865000000004</v>
      </c>
      <c r="C3496" s="76">
        <v>65.910629</v>
      </c>
      <c r="D3496" s="76">
        <v>64.308410999999893</v>
      </c>
      <c r="E3496" s="76">
        <v>64.710792999999995</v>
      </c>
      <c r="F3496" s="76">
        <v>57.339874000000002</v>
      </c>
      <c r="G3496" s="79">
        <v>908000</v>
      </c>
    </row>
    <row r="3497" spans="1:7" x14ac:dyDescent="0.25">
      <c r="A3497" s="1" t="s">
        <v>3620</v>
      </c>
      <c r="B3497" s="76">
        <v>64.579102000000006</v>
      </c>
      <c r="C3497" s="76">
        <v>65.808205000000001</v>
      </c>
      <c r="D3497" s="76">
        <v>64.579102000000006</v>
      </c>
      <c r="E3497" s="76">
        <v>65.669196999999997</v>
      </c>
      <c r="F3497" s="76">
        <v>58.189113999999996</v>
      </c>
      <c r="G3497" s="79">
        <v>969400</v>
      </c>
    </row>
    <row r="3498" spans="1:7" x14ac:dyDescent="0.25">
      <c r="A3498" s="1" t="s">
        <v>3621</v>
      </c>
      <c r="B3498" s="76">
        <v>65.617988999999994</v>
      </c>
      <c r="C3498" s="76">
        <v>65.822838000000004</v>
      </c>
      <c r="D3498" s="76">
        <v>65.252181999999905</v>
      </c>
      <c r="E3498" s="76">
        <v>65.800888</v>
      </c>
      <c r="F3498" s="76">
        <v>58.305797999999903</v>
      </c>
      <c r="G3498" s="79">
        <v>836300</v>
      </c>
    </row>
    <row r="3499" spans="1:7" x14ac:dyDescent="0.25">
      <c r="A3499" s="1" t="s">
        <v>3622</v>
      </c>
      <c r="B3499" s="76">
        <v>65.735045999999997</v>
      </c>
      <c r="C3499" s="76">
        <v>65.954528999999994</v>
      </c>
      <c r="D3499" s="76">
        <v>65.061965999999998</v>
      </c>
      <c r="E3499" s="76">
        <v>65.135124000000005</v>
      </c>
      <c r="F3499" s="76">
        <v>57.715869999999903</v>
      </c>
      <c r="G3499" s="79">
        <v>846500</v>
      </c>
    </row>
    <row r="3500" spans="1:7" x14ac:dyDescent="0.25">
      <c r="A3500" s="1" t="s">
        <v>3623</v>
      </c>
      <c r="B3500" s="76">
        <v>65.186340000000001</v>
      </c>
      <c r="C3500" s="76">
        <v>65.588722000000004</v>
      </c>
      <c r="D3500" s="76">
        <v>64.593734999999995</v>
      </c>
      <c r="E3500" s="76">
        <v>64.623001000000002</v>
      </c>
      <c r="F3500" s="76">
        <v>57.262073999999998</v>
      </c>
      <c r="G3500" s="79">
        <v>1206100</v>
      </c>
    </row>
    <row r="3501" spans="1:7" x14ac:dyDescent="0.25">
      <c r="A3501" s="1" t="s">
        <v>3624</v>
      </c>
      <c r="B3501" s="76">
        <v>64.813216999999995</v>
      </c>
      <c r="C3501" s="76">
        <v>65.325339999999997</v>
      </c>
      <c r="D3501" s="76">
        <v>64.696158999999994</v>
      </c>
      <c r="E3501" s="76">
        <v>65.230232000000001</v>
      </c>
      <c r="F3501" s="76">
        <v>57.800148</v>
      </c>
      <c r="G3501" s="79">
        <v>690600</v>
      </c>
    </row>
    <row r="3502" spans="1:7" x14ac:dyDescent="0.25">
      <c r="A3502" s="1" t="s">
        <v>3625</v>
      </c>
      <c r="B3502" s="76">
        <v>65.325339999999997</v>
      </c>
      <c r="C3502" s="76">
        <v>66.342277999999993</v>
      </c>
      <c r="D3502" s="76">
        <v>64.205985999999996</v>
      </c>
      <c r="E3502" s="76">
        <v>64.330353000000002</v>
      </c>
      <c r="F3502" s="76">
        <v>57.002768999999901</v>
      </c>
      <c r="G3502" s="79">
        <v>499000</v>
      </c>
    </row>
    <row r="3503" spans="1:7" x14ac:dyDescent="0.25">
      <c r="A3503" s="1" t="s">
        <v>3626</v>
      </c>
      <c r="B3503" s="76">
        <v>64.198668999999995</v>
      </c>
      <c r="C3503" s="76">
        <v>64.937591999999995</v>
      </c>
      <c r="D3503" s="76">
        <v>63.547534999999897</v>
      </c>
      <c r="E3503" s="76">
        <v>64.323036000000002</v>
      </c>
      <c r="F3503" s="76">
        <v>56.996288</v>
      </c>
      <c r="G3503" s="79">
        <v>799100</v>
      </c>
    </row>
    <row r="3504" spans="1:7" x14ac:dyDescent="0.25">
      <c r="A3504" s="1" t="s">
        <v>3627</v>
      </c>
      <c r="B3504" s="76">
        <v>64.462043999999906</v>
      </c>
      <c r="C3504" s="76">
        <v>65.471664000000004</v>
      </c>
      <c r="D3504" s="76">
        <v>64.337668999999906</v>
      </c>
      <c r="E3504" s="76">
        <v>65.098540999999997</v>
      </c>
      <c r="F3504" s="76">
        <v>57.683456</v>
      </c>
      <c r="G3504" s="79">
        <v>1392600</v>
      </c>
    </row>
    <row r="3505" spans="1:7" x14ac:dyDescent="0.25">
      <c r="A3505" s="1" t="s">
        <v>3628</v>
      </c>
      <c r="B3505" s="76">
        <v>64.732742000000002</v>
      </c>
      <c r="C3505" s="76">
        <v>65.771621999999994</v>
      </c>
      <c r="D3505" s="76">
        <v>64.505943000000002</v>
      </c>
      <c r="E3505" s="76">
        <v>65.610671999999994</v>
      </c>
      <c r="F3505" s="76">
        <v>58.137244999999901</v>
      </c>
      <c r="G3505" s="79">
        <v>1257700</v>
      </c>
    </row>
    <row r="3506" spans="1:7" x14ac:dyDescent="0.25">
      <c r="A3506" s="1" t="s">
        <v>3629</v>
      </c>
      <c r="B3506" s="76">
        <v>65.222915999999998</v>
      </c>
      <c r="C3506" s="76">
        <v>65.771621999999994</v>
      </c>
      <c r="D3506" s="76">
        <v>64.579102000000006</v>
      </c>
      <c r="E3506" s="76">
        <v>65.581406000000001</v>
      </c>
      <c r="F3506" s="76">
        <v>58.111317</v>
      </c>
      <c r="G3506" s="79">
        <v>1197700</v>
      </c>
    </row>
    <row r="3507" spans="1:7" x14ac:dyDescent="0.25">
      <c r="A3507" s="1" t="s">
        <v>3630</v>
      </c>
      <c r="B3507" s="76">
        <v>65.932579000000004</v>
      </c>
      <c r="C3507" s="76">
        <v>66.400809999999893</v>
      </c>
      <c r="D3507" s="76">
        <v>65.376555999999994</v>
      </c>
      <c r="E3507" s="76">
        <v>66.393493999999905</v>
      </c>
      <c r="F3507" s="76">
        <v>58.830893999999901</v>
      </c>
      <c r="G3507" s="79">
        <v>1033100</v>
      </c>
    </row>
    <row r="3508" spans="1:7" x14ac:dyDescent="0.25">
      <c r="A3508" s="1" t="s">
        <v>3631</v>
      </c>
      <c r="B3508" s="76">
        <v>66.576392999999996</v>
      </c>
      <c r="C3508" s="76">
        <v>66.656868000000003</v>
      </c>
      <c r="D3508" s="76">
        <v>65.844787999999994</v>
      </c>
      <c r="E3508" s="76">
        <v>66.203277999999997</v>
      </c>
      <c r="F3508" s="76">
        <v>58.662350000000004</v>
      </c>
      <c r="G3508" s="79">
        <v>1346100</v>
      </c>
    </row>
    <row r="3509" spans="1:7" x14ac:dyDescent="0.25">
      <c r="A3509" s="1" t="s">
        <v>3632</v>
      </c>
      <c r="B3509" s="76">
        <v>66.093536</v>
      </c>
      <c r="C3509" s="76">
        <v>66.561759999999893</v>
      </c>
      <c r="D3509" s="76">
        <v>65.903312999999997</v>
      </c>
      <c r="E3509" s="76">
        <v>66.217903000000007</v>
      </c>
      <c r="F3509" s="76">
        <v>58.675300999999997</v>
      </c>
      <c r="G3509" s="79">
        <v>1307800</v>
      </c>
    </row>
    <row r="3510" spans="1:7" x14ac:dyDescent="0.25">
      <c r="A3510" s="1" t="s">
        <v>3633</v>
      </c>
      <c r="B3510" s="76">
        <v>66.210587000000004</v>
      </c>
      <c r="C3510" s="76">
        <v>66.210587000000004</v>
      </c>
      <c r="D3510" s="76">
        <v>64.096237000000002</v>
      </c>
      <c r="E3510" s="76">
        <v>64.279143999999903</v>
      </c>
      <c r="F3510" s="76">
        <v>56.957389999999997</v>
      </c>
      <c r="G3510" s="79">
        <v>1039300</v>
      </c>
    </row>
    <row r="3511" spans="1:7" x14ac:dyDescent="0.25">
      <c r="A3511" s="1" t="s">
        <v>3634</v>
      </c>
      <c r="B3511" s="76">
        <v>64.308410999999893</v>
      </c>
      <c r="C3511" s="76">
        <v>64.601050999999998</v>
      </c>
      <c r="D3511" s="76">
        <v>63.525585</v>
      </c>
      <c r="E3511" s="76">
        <v>63.862124999999999</v>
      </c>
      <c r="F3511" s="76">
        <v>56.587879000000001</v>
      </c>
      <c r="G3511" s="79">
        <v>2133600</v>
      </c>
    </row>
    <row r="3512" spans="1:7" x14ac:dyDescent="0.25">
      <c r="A3512" s="1" t="s">
        <v>3635</v>
      </c>
      <c r="B3512" s="76">
        <v>63.957232999999903</v>
      </c>
      <c r="C3512" s="76">
        <v>64.776634000000001</v>
      </c>
      <c r="D3512" s="76">
        <v>63.628009999999897</v>
      </c>
      <c r="E3512" s="76">
        <v>64.432777000000002</v>
      </c>
      <c r="F3512" s="76">
        <v>57.093525</v>
      </c>
      <c r="G3512" s="79">
        <v>1023900</v>
      </c>
    </row>
    <row r="3513" spans="1:7" x14ac:dyDescent="0.25">
      <c r="A3513" s="1" t="s">
        <v>3636</v>
      </c>
      <c r="B3513" s="76">
        <v>64.498626999999999</v>
      </c>
      <c r="C3513" s="76">
        <v>64.542518999999999</v>
      </c>
      <c r="D3513" s="76">
        <v>63.869441999999999</v>
      </c>
      <c r="E3513" s="76">
        <v>64.213295000000002</v>
      </c>
      <c r="F3513" s="76">
        <v>56.899035999999903</v>
      </c>
      <c r="G3513" s="79">
        <v>1025600</v>
      </c>
    </row>
    <row r="3514" spans="1:7" x14ac:dyDescent="0.25">
      <c r="A3514" s="1" t="s">
        <v>3637</v>
      </c>
      <c r="B3514" s="76">
        <v>64.074294999999907</v>
      </c>
      <c r="C3514" s="76">
        <v>64.666893000000002</v>
      </c>
      <c r="D3514" s="76">
        <v>63.803595999999999</v>
      </c>
      <c r="E3514" s="76">
        <v>64.396202000000002</v>
      </c>
      <c r="F3514" s="76">
        <v>57.061115000000001</v>
      </c>
      <c r="G3514" s="79">
        <v>1018800</v>
      </c>
    </row>
    <row r="3515" spans="1:7" x14ac:dyDescent="0.25">
      <c r="A3515" s="1" t="s">
        <v>3638</v>
      </c>
      <c r="B3515" s="76">
        <v>64.571784999999906</v>
      </c>
      <c r="C3515" s="76">
        <v>65.925262000000004</v>
      </c>
      <c r="D3515" s="76">
        <v>63.759701</v>
      </c>
      <c r="E3515" s="76">
        <v>65.771621999999994</v>
      </c>
      <c r="F3515" s="76">
        <v>58.279868999999998</v>
      </c>
      <c r="G3515" s="79">
        <v>1813100</v>
      </c>
    </row>
    <row r="3516" spans="1:7" x14ac:dyDescent="0.25">
      <c r="A3516" s="1" t="s">
        <v>3639</v>
      </c>
      <c r="B3516" s="76">
        <v>65.471664000000004</v>
      </c>
      <c r="C3516" s="76">
        <v>65.625304999999997</v>
      </c>
      <c r="D3516" s="76">
        <v>64.615684999999999</v>
      </c>
      <c r="E3516" s="76">
        <v>64.820533999999995</v>
      </c>
      <c r="F3516" s="76">
        <v>57.437125999999999</v>
      </c>
      <c r="G3516" s="79">
        <v>1447700</v>
      </c>
    </row>
    <row r="3517" spans="1:7" x14ac:dyDescent="0.25">
      <c r="A3517" s="1" t="s">
        <v>3640</v>
      </c>
      <c r="B3517" s="76">
        <v>64.732742000000002</v>
      </c>
      <c r="C3517" s="76">
        <v>65.127808000000002</v>
      </c>
      <c r="D3517" s="76">
        <v>64.549835000000002</v>
      </c>
      <c r="E3517" s="76">
        <v>64.996116999999998</v>
      </c>
      <c r="F3517" s="76">
        <v>57.592692999999997</v>
      </c>
      <c r="G3517" s="79">
        <v>1475500</v>
      </c>
    </row>
    <row r="3518" spans="1:7" x14ac:dyDescent="0.25">
      <c r="A3518" s="1" t="s">
        <v>3641</v>
      </c>
      <c r="B3518" s="76">
        <v>65.157073999999994</v>
      </c>
      <c r="C3518" s="76">
        <v>65.735045999999997</v>
      </c>
      <c r="D3518" s="76">
        <v>64.944907999999998</v>
      </c>
      <c r="E3518" s="76">
        <v>65.193657000000002</v>
      </c>
      <c r="F3518" s="76">
        <v>57.767738000000001</v>
      </c>
      <c r="G3518" s="79">
        <v>1532600</v>
      </c>
    </row>
    <row r="3519" spans="1:7" x14ac:dyDescent="0.25">
      <c r="A3519" s="1" t="s">
        <v>3642</v>
      </c>
      <c r="B3519" s="76">
        <v>65.435080999999997</v>
      </c>
      <c r="C3519" s="76">
        <v>65.713096999999905</v>
      </c>
      <c r="D3519" s="76">
        <v>64.988799999999998</v>
      </c>
      <c r="E3519" s="76">
        <v>65.179023999999998</v>
      </c>
      <c r="F3519" s="76">
        <v>57.754771999999903</v>
      </c>
      <c r="G3519" s="79">
        <v>425300</v>
      </c>
    </row>
    <row r="3520" spans="1:7" x14ac:dyDescent="0.25">
      <c r="A3520" s="1" t="s">
        <v>3643</v>
      </c>
      <c r="B3520" s="76">
        <v>65.310715000000002</v>
      </c>
      <c r="C3520" s="76">
        <v>65.581406000000001</v>
      </c>
      <c r="D3520" s="76">
        <v>65.003433000000001</v>
      </c>
      <c r="E3520" s="76">
        <v>65.266814999999994</v>
      </c>
      <c r="F3520" s="76">
        <v>57.832560999999998</v>
      </c>
      <c r="G3520" s="79">
        <v>709700</v>
      </c>
    </row>
    <row r="3521" spans="1:7" x14ac:dyDescent="0.25">
      <c r="A3521" s="1" t="s">
        <v>3644</v>
      </c>
      <c r="B3521" s="76">
        <v>65.522880999999998</v>
      </c>
      <c r="C3521" s="76">
        <v>65.866737000000001</v>
      </c>
      <c r="D3521" s="76">
        <v>64.725425999999999</v>
      </c>
      <c r="E3521" s="76">
        <v>65.771621999999994</v>
      </c>
      <c r="F3521" s="76">
        <v>58.279868999999998</v>
      </c>
      <c r="G3521" s="79">
        <v>903100</v>
      </c>
    </row>
    <row r="3522" spans="1:7" x14ac:dyDescent="0.25">
      <c r="A3522" s="1" t="s">
        <v>3645</v>
      </c>
      <c r="B3522" s="76">
        <v>65.676513999999997</v>
      </c>
      <c r="C3522" s="76">
        <v>66.064269999999993</v>
      </c>
      <c r="D3522" s="76">
        <v>65.442397999999997</v>
      </c>
      <c r="E3522" s="76">
        <v>65.661879999999996</v>
      </c>
      <c r="F3522" s="76">
        <v>58.182625000000002</v>
      </c>
      <c r="G3522" s="79">
        <v>594700</v>
      </c>
    </row>
    <row r="3523" spans="1:7" x14ac:dyDescent="0.25">
      <c r="A3523" s="1" t="s">
        <v>3646</v>
      </c>
      <c r="B3523" s="76">
        <v>65.661879999999996</v>
      </c>
      <c r="C3523" s="76">
        <v>65.756996000000001</v>
      </c>
      <c r="D3523" s="76">
        <v>64.783951000000002</v>
      </c>
      <c r="E3523" s="76">
        <v>64.959541000000002</v>
      </c>
      <c r="F3523" s="76">
        <v>57.560287000000002</v>
      </c>
      <c r="G3523" s="79">
        <v>1419700</v>
      </c>
    </row>
    <row r="3524" spans="1:7" x14ac:dyDescent="0.25">
      <c r="A3524" s="1" t="s">
        <v>3647</v>
      </c>
      <c r="B3524" s="76">
        <v>65.230232000000001</v>
      </c>
      <c r="C3524" s="76">
        <v>65.325339999999997</v>
      </c>
      <c r="D3524" s="76">
        <v>64.249877999999995</v>
      </c>
      <c r="E3524" s="76">
        <v>64.849800000000002</v>
      </c>
      <c r="F3524" s="76">
        <v>57.463054999999997</v>
      </c>
      <c r="G3524" s="79">
        <v>1071400</v>
      </c>
    </row>
    <row r="3525" spans="1:7" x14ac:dyDescent="0.25">
      <c r="A3525" s="1" t="s">
        <v>3648</v>
      </c>
      <c r="B3525" s="76">
        <v>64.849800000000002</v>
      </c>
      <c r="C3525" s="76">
        <v>65.859420999999998</v>
      </c>
      <c r="D3525" s="76">
        <v>64.586417999999995</v>
      </c>
      <c r="E3525" s="76">
        <v>65.530197000000001</v>
      </c>
      <c r="F3525" s="76">
        <v>58.065956</v>
      </c>
      <c r="G3525" s="79">
        <v>879000</v>
      </c>
    </row>
    <row r="3526" spans="1:7" x14ac:dyDescent="0.25">
      <c r="A3526" s="1" t="s">
        <v>3649</v>
      </c>
      <c r="B3526" s="76">
        <v>65.654563999999993</v>
      </c>
      <c r="C3526" s="76">
        <v>65.756996000000001</v>
      </c>
      <c r="D3526" s="76">
        <v>64.996116999999998</v>
      </c>
      <c r="E3526" s="76">
        <v>65.288764999999998</v>
      </c>
      <c r="F3526" s="76">
        <v>57.852012999999999</v>
      </c>
      <c r="G3526" s="79">
        <v>967700</v>
      </c>
    </row>
    <row r="3527" spans="1:7" x14ac:dyDescent="0.25">
      <c r="A3527" s="1" t="s">
        <v>3650</v>
      </c>
      <c r="B3527" s="76">
        <v>65.288764999999998</v>
      </c>
      <c r="C3527" s="76">
        <v>66.334960999999893</v>
      </c>
      <c r="D3527" s="76">
        <v>65.222915999999998</v>
      </c>
      <c r="E3527" s="76">
        <v>66.210587000000004</v>
      </c>
      <c r="F3527" s="76">
        <v>58.668841999999998</v>
      </c>
      <c r="G3527" s="79">
        <v>1008800</v>
      </c>
    </row>
    <row r="3528" spans="1:7" x14ac:dyDescent="0.25">
      <c r="A3528" s="1" t="s">
        <v>3651</v>
      </c>
      <c r="B3528" s="76">
        <v>65.925262000000004</v>
      </c>
      <c r="C3528" s="76">
        <v>66.247169</v>
      </c>
      <c r="D3528" s="76">
        <v>65.310715000000002</v>
      </c>
      <c r="E3528" s="76">
        <v>65.764304999999993</v>
      </c>
      <c r="F3528" s="76">
        <v>58.273384</v>
      </c>
      <c r="G3528" s="79">
        <v>860200</v>
      </c>
    </row>
    <row r="3529" spans="1:7" x14ac:dyDescent="0.25">
      <c r="A3529" s="1" t="s">
        <v>3652</v>
      </c>
      <c r="B3529" s="76">
        <v>65.822838000000004</v>
      </c>
      <c r="C3529" s="76">
        <v>66.210587000000004</v>
      </c>
      <c r="D3529" s="76">
        <v>64.842483999999999</v>
      </c>
      <c r="E3529" s="76">
        <v>66.174010999999993</v>
      </c>
      <c r="F3529" s="76">
        <v>58.636414000000002</v>
      </c>
      <c r="G3529" s="79">
        <v>929900</v>
      </c>
    </row>
    <row r="3530" spans="1:7" x14ac:dyDescent="0.25">
      <c r="A3530" s="1" t="s">
        <v>3653</v>
      </c>
      <c r="B3530" s="76">
        <v>66.430068999999904</v>
      </c>
      <c r="C3530" s="76">
        <v>67.293373000000003</v>
      </c>
      <c r="D3530" s="76">
        <v>66.320328000000003</v>
      </c>
      <c r="E3530" s="76">
        <v>67.088523999999893</v>
      </c>
      <c r="F3530" s="76">
        <v>59.446769999999901</v>
      </c>
      <c r="G3530" s="79">
        <v>1317000</v>
      </c>
    </row>
    <row r="3531" spans="1:7" x14ac:dyDescent="0.25">
      <c r="A3531" s="1" t="s">
        <v>3654</v>
      </c>
      <c r="B3531" s="76">
        <v>66.737350000000006</v>
      </c>
      <c r="C3531" s="76">
        <v>67.403114000000002</v>
      </c>
      <c r="D3531" s="76">
        <v>66.291068999999993</v>
      </c>
      <c r="E3531" s="76">
        <v>66.532500999999996</v>
      </c>
      <c r="F3531" s="76">
        <v>58.954075000000003</v>
      </c>
      <c r="G3531" s="79">
        <v>957600</v>
      </c>
    </row>
    <row r="3532" spans="1:7" x14ac:dyDescent="0.25">
      <c r="A3532" s="1" t="s">
        <v>3655</v>
      </c>
      <c r="B3532" s="76">
        <v>66.605659000000003</v>
      </c>
      <c r="C3532" s="76">
        <v>67.161681999999999</v>
      </c>
      <c r="D3532" s="76">
        <v>66.466651999999996</v>
      </c>
      <c r="E3532" s="76">
        <v>66.956832999999904</v>
      </c>
      <c r="F3532" s="76">
        <v>59.330086000000001</v>
      </c>
      <c r="G3532" s="79">
        <v>840000</v>
      </c>
    </row>
    <row r="3533" spans="1:7" x14ac:dyDescent="0.25">
      <c r="A3533" s="1" t="s">
        <v>3656</v>
      </c>
      <c r="B3533" s="76">
        <v>66.890984000000003</v>
      </c>
      <c r="C3533" s="76">
        <v>67.600646999999995</v>
      </c>
      <c r="D3533" s="76">
        <v>66.890984000000003</v>
      </c>
      <c r="E3533" s="76">
        <v>67.315322999999907</v>
      </c>
      <c r="F3533" s="76">
        <v>59.647728000000001</v>
      </c>
      <c r="G3533" s="79">
        <v>864000</v>
      </c>
    </row>
    <row r="3534" spans="1:7" x14ac:dyDescent="0.25">
      <c r="A3534" s="1" t="s">
        <v>3657</v>
      </c>
      <c r="B3534" s="76">
        <v>67.300690000000003</v>
      </c>
      <c r="C3534" s="76">
        <v>67.849395999999999</v>
      </c>
      <c r="D3534" s="76">
        <v>67.212890999999999</v>
      </c>
      <c r="E3534" s="76">
        <v>67.725020999999998</v>
      </c>
      <c r="F3534" s="76">
        <v>60.010750000000002</v>
      </c>
      <c r="G3534" s="79">
        <v>663900</v>
      </c>
    </row>
    <row r="3535" spans="1:7" x14ac:dyDescent="0.25">
      <c r="A3535" s="1" t="s">
        <v>3658</v>
      </c>
      <c r="B3535" s="76">
        <v>67.951819999999998</v>
      </c>
      <c r="C3535" s="76">
        <v>67.966453999999999</v>
      </c>
      <c r="D3535" s="76">
        <v>66.912932999999995</v>
      </c>
      <c r="E3535" s="76">
        <v>67.147048999999996</v>
      </c>
      <c r="F3535" s="76">
        <v>59.498631000000003</v>
      </c>
      <c r="G3535" s="79">
        <v>1082400</v>
      </c>
    </row>
    <row r="3536" spans="1:7" x14ac:dyDescent="0.25">
      <c r="A3536" s="1" t="s">
        <v>3659</v>
      </c>
      <c r="B3536" s="76">
        <v>67.447006000000002</v>
      </c>
      <c r="C3536" s="76">
        <v>67.820128999999994</v>
      </c>
      <c r="D3536" s="76">
        <v>67.073891000000003</v>
      </c>
      <c r="E3536" s="76">
        <v>67.512855999999999</v>
      </c>
      <c r="F3536" s="76">
        <v>59.822764999999997</v>
      </c>
      <c r="G3536" s="79">
        <v>1334700</v>
      </c>
    </row>
    <row r="3537" spans="1:7" x14ac:dyDescent="0.25">
      <c r="A3537" s="1" t="s">
        <v>3660</v>
      </c>
      <c r="B3537" s="76">
        <v>67.805495999999906</v>
      </c>
      <c r="C3537" s="76">
        <v>68.661475999999993</v>
      </c>
      <c r="D3537" s="76">
        <v>67.725020999999998</v>
      </c>
      <c r="E3537" s="76">
        <v>68.259093999999905</v>
      </c>
      <c r="F3537" s="76">
        <v>60.484000999999999</v>
      </c>
      <c r="G3537" s="79">
        <v>854900</v>
      </c>
    </row>
    <row r="3538" spans="1:7" x14ac:dyDescent="0.25">
      <c r="A3538" s="1" t="s">
        <v>3661</v>
      </c>
      <c r="B3538" s="76">
        <v>67.168998999999999</v>
      </c>
      <c r="C3538" s="76">
        <v>67.439689999999999</v>
      </c>
      <c r="D3538" s="76">
        <v>66.861725000000007</v>
      </c>
      <c r="E3538" s="76">
        <v>67.110466000000002</v>
      </c>
      <c r="F3538" s="76">
        <v>59.935145999999897</v>
      </c>
      <c r="G3538" s="79">
        <v>865500</v>
      </c>
    </row>
    <row r="3539" spans="1:7" x14ac:dyDescent="0.25">
      <c r="A3539" s="1" t="s">
        <v>3662</v>
      </c>
      <c r="B3539" s="76">
        <v>66.649558999999996</v>
      </c>
      <c r="C3539" s="76">
        <v>66.927566999999996</v>
      </c>
      <c r="D3539" s="76">
        <v>65.676513999999997</v>
      </c>
      <c r="E3539" s="76">
        <v>66.02037</v>
      </c>
      <c r="F3539" s="76">
        <v>58.961604999999999</v>
      </c>
      <c r="G3539" s="79">
        <v>1255700</v>
      </c>
    </row>
    <row r="3540" spans="1:7" x14ac:dyDescent="0.25">
      <c r="A3540" s="1" t="s">
        <v>3663</v>
      </c>
      <c r="B3540" s="76">
        <v>65.639938000000001</v>
      </c>
      <c r="C3540" s="76">
        <v>66.627608999999893</v>
      </c>
      <c r="D3540" s="76">
        <v>65.361923000000004</v>
      </c>
      <c r="E3540" s="76">
        <v>66.056952999999993</v>
      </c>
      <c r="F3540" s="76">
        <v>58.994281999999998</v>
      </c>
      <c r="G3540" s="79">
        <v>1580500</v>
      </c>
    </row>
    <row r="3541" spans="1:7" x14ac:dyDescent="0.25">
      <c r="A3541" s="1" t="s">
        <v>3664</v>
      </c>
      <c r="B3541" s="76">
        <v>66.130111999999997</v>
      </c>
      <c r="C3541" s="76">
        <v>67.066574000000003</v>
      </c>
      <c r="D3541" s="76">
        <v>66.130111999999997</v>
      </c>
      <c r="E3541" s="76">
        <v>66.832458000000003</v>
      </c>
      <c r="F3541" s="76">
        <v>59.686873999999897</v>
      </c>
      <c r="G3541" s="79">
        <v>952400</v>
      </c>
    </row>
    <row r="3542" spans="1:7" x14ac:dyDescent="0.25">
      <c r="A3542" s="1" t="s">
        <v>3665</v>
      </c>
      <c r="B3542" s="76">
        <v>66.122794999999996</v>
      </c>
      <c r="C3542" s="76">
        <v>67.000725000000003</v>
      </c>
      <c r="D3542" s="76">
        <v>65.771621999999994</v>
      </c>
      <c r="E3542" s="76">
        <v>66.313018999999997</v>
      </c>
      <c r="F3542" s="76">
        <v>59.2229689999999</v>
      </c>
      <c r="G3542" s="79">
        <v>1662700</v>
      </c>
    </row>
    <row r="3543" spans="1:7" x14ac:dyDescent="0.25">
      <c r="A3543" s="1" t="s">
        <v>3666</v>
      </c>
      <c r="B3543" s="76">
        <v>66.890984000000003</v>
      </c>
      <c r="C3543" s="76">
        <v>67.410431000000003</v>
      </c>
      <c r="D3543" s="76">
        <v>66.730034000000003</v>
      </c>
      <c r="E3543" s="76">
        <v>66.854407999999907</v>
      </c>
      <c r="F3543" s="76">
        <v>59.706467000000004</v>
      </c>
      <c r="G3543" s="79">
        <v>2202100</v>
      </c>
    </row>
    <row r="3544" spans="1:7" x14ac:dyDescent="0.25">
      <c r="A3544" s="1" t="s">
        <v>3667</v>
      </c>
      <c r="B3544" s="76">
        <v>66.466651999999996</v>
      </c>
      <c r="C3544" s="76">
        <v>67.600646999999995</v>
      </c>
      <c r="D3544" s="76">
        <v>66.152061000000003</v>
      </c>
      <c r="E3544" s="76">
        <v>67.183631999999903</v>
      </c>
      <c r="F3544" s="76">
        <v>60.000495999999998</v>
      </c>
      <c r="G3544" s="79">
        <v>1596800</v>
      </c>
    </row>
    <row r="3545" spans="1:7" x14ac:dyDescent="0.25">
      <c r="A3545" s="1" t="s">
        <v>3668</v>
      </c>
      <c r="B3545" s="76">
        <v>67.249473999999907</v>
      </c>
      <c r="C3545" s="76">
        <v>67.425064000000006</v>
      </c>
      <c r="D3545" s="76">
        <v>65.735045999999997</v>
      </c>
      <c r="E3545" s="76">
        <v>65.991104000000007</v>
      </c>
      <c r="F3545" s="76">
        <v>58.935478000000003</v>
      </c>
      <c r="G3545" s="79">
        <v>1484000</v>
      </c>
    </row>
    <row r="3546" spans="1:7" x14ac:dyDescent="0.25">
      <c r="A3546" s="1" t="s">
        <v>3669</v>
      </c>
      <c r="B3546" s="76">
        <v>66.203277999999997</v>
      </c>
      <c r="C3546" s="76">
        <v>67.366530999999995</v>
      </c>
      <c r="D3546" s="76">
        <v>65.983795000000001</v>
      </c>
      <c r="E3546" s="76">
        <v>67.125099000000006</v>
      </c>
      <c r="F3546" s="76">
        <v>59.948231</v>
      </c>
      <c r="G3546" s="79">
        <v>1171300</v>
      </c>
    </row>
    <row r="3547" spans="1:7" x14ac:dyDescent="0.25">
      <c r="A3547" s="1" t="s">
        <v>3670</v>
      </c>
      <c r="B3547" s="76">
        <v>66.956832999999904</v>
      </c>
      <c r="C3547" s="76">
        <v>67.183631999999903</v>
      </c>
      <c r="D3547" s="76">
        <v>66.283752000000007</v>
      </c>
      <c r="E3547" s="76">
        <v>66.686133999999996</v>
      </c>
      <c r="F3547" s="76">
        <v>59.556193999999998</v>
      </c>
      <c r="G3547" s="79">
        <v>1255400</v>
      </c>
    </row>
    <row r="3548" spans="1:7" x14ac:dyDescent="0.25">
      <c r="A3548" s="1" t="s">
        <v>3671</v>
      </c>
      <c r="B3548" s="76">
        <v>66.737350000000006</v>
      </c>
      <c r="C3548" s="76">
        <v>68.032294999999905</v>
      </c>
      <c r="D3548" s="76">
        <v>66.605659000000003</v>
      </c>
      <c r="E3548" s="76">
        <v>67.966453999999999</v>
      </c>
      <c r="F3548" s="76">
        <v>60.699622999999903</v>
      </c>
      <c r="G3548" s="79">
        <v>1474800</v>
      </c>
    </row>
    <row r="3549" spans="1:7" x14ac:dyDescent="0.25">
      <c r="A3549" s="1" t="s">
        <v>3672</v>
      </c>
      <c r="B3549" s="76">
        <v>68.193252999999999</v>
      </c>
      <c r="C3549" s="76">
        <v>68.617583999999994</v>
      </c>
      <c r="D3549" s="76">
        <v>67.022675000000007</v>
      </c>
      <c r="E3549" s="76">
        <v>67.586014000000006</v>
      </c>
      <c r="F3549" s="76">
        <v>60.359859</v>
      </c>
      <c r="G3549" s="79">
        <v>1318500</v>
      </c>
    </row>
    <row r="3550" spans="1:7" x14ac:dyDescent="0.25">
      <c r="A3550" s="1" t="s">
        <v>3673</v>
      </c>
      <c r="B3550" s="76">
        <v>67.622596999999999</v>
      </c>
      <c r="C3550" s="76">
        <v>68.954123999999993</v>
      </c>
      <c r="D3550" s="76">
        <v>67.403114000000002</v>
      </c>
      <c r="E3550" s="76">
        <v>68.763908000000001</v>
      </c>
      <c r="F3550" s="76">
        <v>61.411818999999902</v>
      </c>
      <c r="G3550" s="79">
        <v>1067400</v>
      </c>
    </row>
    <row r="3551" spans="1:7" x14ac:dyDescent="0.25">
      <c r="A3551" s="1" t="s">
        <v>3674</v>
      </c>
      <c r="B3551" s="76">
        <v>68.617583999999994</v>
      </c>
      <c r="C3551" s="76">
        <v>69.773521000000002</v>
      </c>
      <c r="D3551" s="76">
        <v>68.420051999999998</v>
      </c>
      <c r="E3551" s="76">
        <v>69.422355999999994</v>
      </c>
      <c r="F3551" s="76">
        <v>61.999854999999997</v>
      </c>
      <c r="G3551" s="79">
        <v>957300</v>
      </c>
    </row>
    <row r="3552" spans="1:7" x14ac:dyDescent="0.25">
      <c r="A3552" s="1" t="s">
        <v>3675</v>
      </c>
      <c r="B3552" s="76">
        <v>69.495514</v>
      </c>
      <c r="C3552" s="76">
        <v>69.861319999999907</v>
      </c>
      <c r="D3552" s="76">
        <v>69.078498999999994</v>
      </c>
      <c r="E3552" s="76">
        <v>69.678413000000006</v>
      </c>
      <c r="F3552" s="76">
        <v>62.228530999999997</v>
      </c>
      <c r="G3552" s="79">
        <v>891400</v>
      </c>
    </row>
    <row r="3553" spans="1:7" x14ac:dyDescent="0.25">
      <c r="A3553" s="1" t="s">
        <v>3676</v>
      </c>
      <c r="B3553" s="76">
        <v>69.290665000000004</v>
      </c>
      <c r="C3553" s="76">
        <v>70.373443999999907</v>
      </c>
      <c r="D3553" s="76">
        <v>69.158974000000001</v>
      </c>
      <c r="E3553" s="76">
        <v>69.817420999999996</v>
      </c>
      <c r="F3553" s="76">
        <v>62.352679999999999</v>
      </c>
      <c r="G3553" s="79">
        <v>1144100</v>
      </c>
    </row>
    <row r="3554" spans="1:7" x14ac:dyDescent="0.25">
      <c r="A3554" s="1" t="s">
        <v>3677</v>
      </c>
      <c r="B3554" s="76">
        <v>69.744263000000004</v>
      </c>
      <c r="C3554" s="76">
        <v>70.439284999999998</v>
      </c>
      <c r="D3554" s="76">
        <v>69.663780000000003</v>
      </c>
      <c r="E3554" s="76">
        <v>70.014954000000003</v>
      </c>
      <c r="F3554" s="76">
        <v>62.529102000000002</v>
      </c>
      <c r="G3554" s="79">
        <v>810500</v>
      </c>
    </row>
    <row r="3555" spans="1:7" x14ac:dyDescent="0.25">
      <c r="A3555" s="1" t="s">
        <v>3678</v>
      </c>
      <c r="B3555" s="76">
        <v>70.146644999999907</v>
      </c>
      <c r="C3555" s="76">
        <v>70.278335999999996</v>
      </c>
      <c r="D3555" s="76">
        <v>69.510147000000003</v>
      </c>
      <c r="E3555" s="76">
        <v>70.271018999999995</v>
      </c>
      <c r="F3555" s="76">
        <v>62.757792999999999</v>
      </c>
      <c r="G3555" s="79">
        <v>844100</v>
      </c>
    </row>
    <row r="3556" spans="1:7" x14ac:dyDescent="0.25">
      <c r="A3556" s="1" t="s">
        <v>3679</v>
      </c>
      <c r="B3556" s="76">
        <v>69.919845999999893</v>
      </c>
      <c r="C3556" s="76">
        <v>70.731933999999995</v>
      </c>
      <c r="D3556" s="76">
        <v>69.839371</v>
      </c>
      <c r="E3556" s="76">
        <v>69.985694999999893</v>
      </c>
      <c r="F3556" s="76">
        <v>62.502979000000003</v>
      </c>
      <c r="G3556" s="79">
        <v>841700</v>
      </c>
    </row>
    <row r="3557" spans="1:7" x14ac:dyDescent="0.25">
      <c r="A3557" s="1" t="s">
        <v>3680</v>
      </c>
      <c r="B3557" s="76">
        <v>70.036902999999995</v>
      </c>
      <c r="C3557" s="76">
        <v>70.219802999999999</v>
      </c>
      <c r="D3557" s="76">
        <v>69.239448999999993</v>
      </c>
      <c r="E3557" s="76">
        <v>69.524780000000007</v>
      </c>
      <c r="F3557" s="76">
        <v>62.091343000000002</v>
      </c>
      <c r="G3557" s="79">
        <v>912300</v>
      </c>
    </row>
    <row r="3558" spans="1:7" x14ac:dyDescent="0.25">
      <c r="A3558" s="1" t="s">
        <v>3681</v>
      </c>
      <c r="B3558" s="76">
        <v>69.312613999999996</v>
      </c>
      <c r="C3558" s="76">
        <v>69.795470999999907</v>
      </c>
      <c r="D3558" s="76">
        <v>68.829750000000004</v>
      </c>
      <c r="E3558" s="76">
        <v>69.341872999999893</v>
      </c>
      <c r="F3558" s="76">
        <v>61.927985999999997</v>
      </c>
      <c r="G3558" s="79">
        <v>1728100</v>
      </c>
    </row>
    <row r="3559" spans="1:7" x14ac:dyDescent="0.25">
      <c r="A3559" s="1" t="s">
        <v>3682</v>
      </c>
      <c r="B3559" s="76">
        <v>69.480880999999997</v>
      </c>
      <c r="C3559" s="76">
        <v>70.117378000000002</v>
      </c>
      <c r="D3559" s="76">
        <v>69.210181999999904</v>
      </c>
      <c r="E3559" s="76">
        <v>69.239448999999993</v>
      </c>
      <c r="F3559" s="76">
        <v>61.836502000000003</v>
      </c>
      <c r="G3559" s="79">
        <v>1672400</v>
      </c>
    </row>
    <row r="3560" spans="1:7" x14ac:dyDescent="0.25">
      <c r="A3560" s="1" t="s">
        <v>3683</v>
      </c>
      <c r="B3560" s="76">
        <v>70.892882999999998</v>
      </c>
      <c r="C3560" s="76">
        <v>70.951415999999995</v>
      </c>
      <c r="D3560" s="76">
        <v>68.537109000000001</v>
      </c>
      <c r="E3560" s="76">
        <v>69.261398</v>
      </c>
      <c r="F3560" s="76">
        <v>61.856120999999902</v>
      </c>
      <c r="G3560" s="79">
        <v>1940400</v>
      </c>
    </row>
    <row r="3561" spans="1:7" x14ac:dyDescent="0.25">
      <c r="A3561" s="1" t="s">
        <v>3684</v>
      </c>
      <c r="B3561" s="76">
        <v>68.8078</v>
      </c>
      <c r="C3561" s="76">
        <v>69.517464000000004</v>
      </c>
      <c r="D3561" s="76">
        <v>68.617583999999994</v>
      </c>
      <c r="E3561" s="76">
        <v>69.232132000000007</v>
      </c>
      <c r="F3561" s="76">
        <v>61.829970999999901</v>
      </c>
      <c r="G3561" s="79">
        <v>1435300</v>
      </c>
    </row>
    <row r="3562" spans="1:7" x14ac:dyDescent="0.25">
      <c r="A3562" s="1" t="s">
        <v>3685</v>
      </c>
      <c r="B3562" s="76">
        <v>69.312613999999996</v>
      </c>
      <c r="C3562" s="76">
        <v>69.802788000000007</v>
      </c>
      <c r="D3562" s="76">
        <v>68.895591999999994</v>
      </c>
      <c r="E3562" s="76">
        <v>69.349189999999993</v>
      </c>
      <c r="F3562" s="76">
        <v>61.934508999999998</v>
      </c>
      <c r="G3562" s="79">
        <v>1219200</v>
      </c>
    </row>
    <row r="3563" spans="1:7" x14ac:dyDescent="0.25">
      <c r="A3563" s="1" t="s">
        <v>3686</v>
      </c>
      <c r="B3563" s="76">
        <v>69.371139999999997</v>
      </c>
      <c r="C3563" s="76">
        <v>70.556342999999998</v>
      </c>
      <c r="D3563" s="76">
        <v>69.224815000000007</v>
      </c>
      <c r="E3563" s="76">
        <v>70.446601999999999</v>
      </c>
      <c r="F3563" s="76">
        <v>62.914597000000001</v>
      </c>
      <c r="G3563" s="79">
        <v>2066700</v>
      </c>
    </row>
    <row r="3564" spans="1:7" x14ac:dyDescent="0.25">
      <c r="A3564" s="1" t="s">
        <v>3687</v>
      </c>
      <c r="B3564" s="76">
        <v>70.036902999999995</v>
      </c>
      <c r="C3564" s="76">
        <v>71.565963999999994</v>
      </c>
      <c r="D3564" s="76">
        <v>69.883262999999999</v>
      </c>
      <c r="E3564" s="76">
        <v>70.585608999999906</v>
      </c>
      <c r="F3564" s="76">
        <v>63.038745999999897</v>
      </c>
      <c r="G3564" s="79">
        <v>1170300</v>
      </c>
    </row>
    <row r="3565" spans="1:7" x14ac:dyDescent="0.25">
      <c r="A3565" s="1" t="s">
        <v>3688</v>
      </c>
      <c r="B3565" s="76">
        <v>71.251373000000001</v>
      </c>
      <c r="C3565" s="76">
        <v>71.939087000000001</v>
      </c>
      <c r="D3565" s="76">
        <v>71.053841000000006</v>
      </c>
      <c r="E3565" s="76">
        <v>71.865928999999994</v>
      </c>
      <c r="F3565" s="76">
        <v>64.182167000000007</v>
      </c>
      <c r="G3565" s="79">
        <v>1519000</v>
      </c>
    </row>
    <row r="3566" spans="1:7" x14ac:dyDescent="0.25">
      <c r="A3566" s="1" t="s">
        <v>3689</v>
      </c>
      <c r="B3566" s="76">
        <v>72.239043999999893</v>
      </c>
      <c r="C3566" s="76">
        <v>72.685326000000003</v>
      </c>
      <c r="D3566" s="76">
        <v>71.887870999999905</v>
      </c>
      <c r="E3566" s="76">
        <v>72.575583999999907</v>
      </c>
      <c r="F3566" s="76">
        <v>64.815970999999905</v>
      </c>
      <c r="G3566" s="79">
        <v>2055800</v>
      </c>
    </row>
    <row r="3567" spans="1:7" x14ac:dyDescent="0.25">
      <c r="A3567" s="1" t="s">
        <v>3690</v>
      </c>
      <c r="B3567" s="76">
        <v>72.831649999999996</v>
      </c>
      <c r="C3567" s="76">
        <v>72.992598999999998</v>
      </c>
      <c r="D3567" s="76">
        <v>72.231728000000004</v>
      </c>
      <c r="E3567" s="76">
        <v>72.597533999999996</v>
      </c>
      <c r="F3567" s="76">
        <v>64.835555999999997</v>
      </c>
      <c r="G3567" s="79">
        <v>1541400</v>
      </c>
    </row>
    <row r="3568" spans="1:7" x14ac:dyDescent="0.25">
      <c r="A3568" s="1" t="s">
        <v>3691</v>
      </c>
      <c r="B3568" s="76">
        <v>72.524376000000004</v>
      </c>
      <c r="C3568" s="76">
        <v>72.692642000000006</v>
      </c>
      <c r="D3568" s="76">
        <v>72.056145000000001</v>
      </c>
      <c r="E3568" s="76">
        <v>72.539008999999993</v>
      </c>
      <c r="F3568" s="76">
        <v>64.783294999999995</v>
      </c>
      <c r="G3568" s="79">
        <v>1879900</v>
      </c>
    </row>
    <row r="3569" spans="1:7" x14ac:dyDescent="0.25">
      <c r="A3569" s="1" t="s">
        <v>3692</v>
      </c>
      <c r="B3569" s="76">
        <v>72.582901000000007</v>
      </c>
      <c r="C3569" s="76">
        <v>72.699958999999893</v>
      </c>
      <c r="D3569" s="76">
        <v>72.019561999999993</v>
      </c>
      <c r="E3569" s="76">
        <v>72.385368</v>
      </c>
      <c r="F3569" s="76">
        <v>64.646072000000004</v>
      </c>
      <c r="G3569" s="79">
        <v>1283900</v>
      </c>
    </row>
    <row r="3570" spans="1:7" x14ac:dyDescent="0.25">
      <c r="A3570" s="1" t="s">
        <v>3693</v>
      </c>
      <c r="B3570" s="76">
        <v>72.465843000000007</v>
      </c>
      <c r="C3570" s="76">
        <v>73.175506999999996</v>
      </c>
      <c r="D3570" s="76">
        <v>72.319526999999994</v>
      </c>
      <c r="E3570" s="76">
        <v>72.641434000000004</v>
      </c>
      <c r="F3570" s="76">
        <v>64.874763000000002</v>
      </c>
      <c r="G3570" s="79">
        <v>1878400</v>
      </c>
    </row>
    <row r="3571" spans="1:7" x14ac:dyDescent="0.25">
      <c r="A3571" s="1" t="s">
        <v>3694</v>
      </c>
      <c r="B3571" s="76">
        <v>72.407318000000004</v>
      </c>
      <c r="C3571" s="76">
        <v>72.634117000000003</v>
      </c>
      <c r="D3571" s="76">
        <v>71.697654999999997</v>
      </c>
      <c r="E3571" s="76">
        <v>71.975669999999994</v>
      </c>
      <c r="F3571" s="76">
        <v>64.280174000000002</v>
      </c>
      <c r="G3571" s="79">
        <v>1808900</v>
      </c>
    </row>
    <row r="3572" spans="1:7" x14ac:dyDescent="0.25">
      <c r="A3572" s="1" t="s">
        <v>3695</v>
      </c>
      <c r="B3572" s="76">
        <v>72.334152000000003</v>
      </c>
      <c r="C3572" s="76">
        <v>72.334152000000003</v>
      </c>
      <c r="D3572" s="76">
        <v>71.507439000000005</v>
      </c>
      <c r="E3572" s="76">
        <v>71.529387999999997</v>
      </c>
      <c r="F3572" s="76">
        <v>63.881618000000003</v>
      </c>
      <c r="G3572" s="79">
        <v>1176500</v>
      </c>
    </row>
    <row r="3573" spans="1:7" x14ac:dyDescent="0.25">
      <c r="A3573" s="1" t="s">
        <v>3696</v>
      </c>
      <c r="B3573" s="76">
        <v>71.522071999999994</v>
      </c>
      <c r="C3573" s="76">
        <v>72.121985999999893</v>
      </c>
      <c r="D3573" s="76">
        <v>71.331847999999994</v>
      </c>
      <c r="E3573" s="76">
        <v>71.368431000000001</v>
      </c>
      <c r="F3573" s="76">
        <v>63.737868999999897</v>
      </c>
      <c r="G3573" s="79">
        <v>883100</v>
      </c>
    </row>
    <row r="3574" spans="1:7" x14ac:dyDescent="0.25">
      <c r="A3574" s="1" t="s">
        <v>3697</v>
      </c>
      <c r="B3574" s="76">
        <v>71.602547000000001</v>
      </c>
      <c r="C3574" s="76">
        <v>71.975669999999994</v>
      </c>
      <c r="D3574" s="76">
        <v>71.185531999999995</v>
      </c>
      <c r="E3574" s="76">
        <v>71.368431000000001</v>
      </c>
      <c r="F3574" s="76">
        <v>63.737868999999897</v>
      </c>
      <c r="G3574" s="79">
        <v>1212400</v>
      </c>
    </row>
    <row r="3575" spans="1:7" x14ac:dyDescent="0.25">
      <c r="A3575" s="1" t="s">
        <v>3698</v>
      </c>
      <c r="B3575" s="76">
        <v>71.405013999999994</v>
      </c>
      <c r="C3575" s="76">
        <v>72.195151999999993</v>
      </c>
      <c r="D3575" s="76">
        <v>71.229423999999995</v>
      </c>
      <c r="E3575" s="76">
        <v>72.187836000000004</v>
      </c>
      <c r="F3575" s="76">
        <v>64.469666000000004</v>
      </c>
      <c r="G3575" s="79">
        <v>1514200</v>
      </c>
    </row>
    <row r="3576" spans="1:7" x14ac:dyDescent="0.25">
      <c r="A3576" s="1" t="s">
        <v>3699</v>
      </c>
      <c r="B3576" s="76">
        <v>72.239043999999893</v>
      </c>
      <c r="C3576" s="76">
        <v>72.714591999999996</v>
      </c>
      <c r="D3576" s="76">
        <v>70.373443999999907</v>
      </c>
      <c r="E3576" s="76">
        <v>70.673400999999998</v>
      </c>
      <c r="F3576" s="76">
        <v>63.117156999999899</v>
      </c>
      <c r="G3576" s="79">
        <v>1879300</v>
      </c>
    </row>
    <row r="3577" spans="1:7" x14ac:dyDescent="0.25">
      <c r="A3577" s="1" t="s">
        <v>3700</v>
      </c>
      <c r="B3577" s="76">
        <v>70.658767999999995</v>
      </c>
      <c r="C3577" s="76">
        <v>71.851294999999993</v>
      </c>
      <c r="D3577" s="76">
        <v>70.153960999999995</v>
      </c>
      <c r="E3577" s="76">
        <v>71.843979000000004</v>
      </c>
      <c r="F3577" s="76">
        <v>64.162566999999996</v>
      </c>
      <c r="G3577" s="79">
        <v>1589500</v>
      </c>
    </row>
    <row r="3578" spans="1:7" x14ac:dyDescent="0.25">
      <c r="A3578" s="1" t="s">
        <v>3701</v>
      </c>
      <c r="B3578" s="76">
        <v>72.392685</v>
      </c>
      <c r="C3578" s="76">
        <v>72.509743</v>
      </c>
      <c r="D3578" s="76">
        <v>71.748870999999994</v>
      </c>
      <c r="E3578" s="76">
        <v>71.961037000000005</v>
      </c>
      <c r="F3578" s="76">
        <v>64.267112999999995</v>
      </c>
      <c r="G3578" s="79">
        <v>1755400</v>
      </c>
    </row>
    <row r="3579" spans="1:7" x14ac:dyDescent="0.25">
      <c r="A3579" s="1" t="s">
        <v>3702</v>
      </c>
      <c r="B3579" s="76">
        <v>72.165886</v>
      </c>
      <c r="C3579" s="76">
        <v>72.209784999999997</v>
      </c>
      <c r="D3579" s="76">
        <v>70.892882999999998</v>
      </c>
      <c r="E3579" s="76">
        <v>71.441588999999993</v>
      </c>
      <c r="F3579" s="76">
        <v>63.803215000000002</v>
      </c>
      <c r="G3579" s="79">
        <v>1360500</v>
      </c>
    </row>
    <row r="3580" spans="1:7" x14ac:dyDescent="0.25">
      <c r="A3580" s="1" t="s">
        <v>3703</v>
      </c>
      <c r="B3580" s="76">
        <v>71.748870999999994</v>
      </c>
      <c r="C3580" s="76">
        <v>71.887870999999905</v>
      </c>
      <c r="D3580" s="76">
        <v>71.287955999999994</v>
      </c>
      <c r="E3580" s="76">
        <v>71.653762999999998</v>
      </c>
      <c r="F3580" s="76">
        <v>63.992702000000001</v>
      </c>
      <c r="G3580" s="79">
        <v>1091300</v>
      </c>
    </row>
    <row r="3581" spans="1:7" x14ac:dyDescent="0.25">
      <c r="A3581" s="1" t="s">
        <v>3704</v>
      </c>
      <c r="B3581" s="76">
        <v>71.763503999999998</v>
      </c>
      <c r="C3581" s="76">
        <v>71.887870999999905</v>
      </c>
      <c r="D3581" s="76">
        <v>70.739249999999998</v>
      </c>
      <c r="E3581" s="76">
        <v>70.739249999999998</v>
      </c>
      <c r="F3581" s="76">
        <v>63.175948999999903</v>
      </c>
      <c r="G3581" s="79">
        <v>1211900</v>
      </c>
    </row>
    <row r="3582" spans="1:7" x14ac:dyDescent="0.25">
      <c r="A3582" s="1" t="s">
        <v>3705</v>
      </c>
      <c r="B3582" s="76">
        <v>70.680717000000001</v>
      </c>
      <c r="C3582" s="76">
        <v>71.339164999999994</v>
      </c>
      <c r="D3582" s="76">
        <v>70.490500999999995</v>
      </c>
      <c r="E3582" s="76">
        <v>70.870941000000002</v>
      </c>
      <c r="F3582" s="76">
        <v>63.293564000000003</v>
      </c>
      <c r="G3582" s="79">
        <v>1313700</v>
      </c>
    </row>
    <row r="3583" spans="1:7" x14ac:dyDescent="0.25">
      <c r="A3583" s="1" t="s">
        <v>3706</v>
      </c>
      <c r="B3583" s="76">
        <v>71.200164999999998</v>
      </c>
      <c r="C3583" s="76">
        <v>71.93177</v>
      </c>
      <c r="D3583" s="76">
        <v>71.031891000000002</v>
      </c>
      <c r="E3583" s="76">
        <v>71.770813000000004</v>
      </c>
      <c r="F3583" s="76">
        <v>64.097236999999893</v>
      </c>
      <c r="G3583" s="79">
        <v>1470300</v>
      </c>
    </row>
    <row r="3584" spans="1:7" x14ac:dyDescent="0.25">
      <c r="A3584" s="1" t="s">
        <v>3707</v>
      </c>
      <c r="B3584" s="76">
        <v>72.085410999999993</v>
      </c>
      <c r="C3584" s="76">
        <v>72.275627</v>
      </c>
      <c r="D3584" s="76">
        <v>71.295272999999995</v>
      </c>
      <c r="E3584" s="76">
        <v>72.107353000000003</v>
      </c>
      <c r="F3584" s="76">
        <v>64.397789000000003</v>
      </c>
      <c r="G3584" s="79">
        <v>1215200</v>
      </c>
    </row>
    <row r="3585" spans="1:7" x14ac:dyDescent="0.25">
      <c r="A3585" s="1" t="s">
        <v>3708</v>
      </c>
      <c r="B3585" s="76">
        <v>72.151252999999997</v>
      </c>
      <c r="C3585" s="76">
        <v>72.809700000000007</v>
      </c>
      <c r="D3585" s="76">
        <v>71.770813000000004</v>
      </c>
      <c r="E3585" s="76">
        <v>72.751175000000003</v>
      </c>
      <c r="F3585" s="76">
        <v>64.972778000000005</v>
      </c>
      <c r="G3585" s="79">
        <v>1065800</v>
      </c>
    </row>
    <row r="3586" spans="1:7" x14ac:dyDescent="0.25">
      <c r="A3586" s="1" t="s">
        <v>3709</v>
      </c>
      <c r="B3586" s="76">
        <v>72.590217999999993</v>
      </c>
      <c r="C3586" s="76">
        <v>72.8536</v>
      </c>
      <c r="D3586" s="76">
        <v>72.341468999999904</v>
      </c>
      <c r="E3586" s="76">
        <v>72.597533999999996</v>
      </c>
      <c r="F3586" s="76">
        <v>64.835555999999997</v>
      </c>
      <c r="G3586" s="79">
        <v>1224100</v>
      </c>
    </row>
    <row r="3587" spans="1:7" x14ac:dyDescent="0.25">
      <c r="A3587" s="1" t="s">
        <v>3710</v>
      </c>
      <c r="B3587" s="76">
        <v>72.787750000000003</v>
      </c>
      <c r="C3587" s="76">
        <v>72.846283</v>
      </c>
      <c r="D3587" s="76">
        <v>72.158569</v>
      </c>
      <c r="E3587" s="76">
        <v>72.568268000000003</v>
      </c>
      <c r="F3587" s="76">
        <v>64.80941</v>
      </c>
      <c r="G3587" s="79">
        <v>848500</v>
      </c>
    </row>
    <row r="3588" spans="1:7" x14ac:dyDescent="0.25">
      <c r="A3588" s="1" t="s">
        <v>3711</v>
      </c>
      <c r="B3588" s="76">
        <v>73.007232999999999</v>
      </c>
      <c r="C3588" s="76">
        <v>73.153556999999907</v>
      </c>
      <c r="D3588" s="76">
        <v>72.246360999999993</v>
      </c>
      <c r="E3588" s="76">
        <v>72.546317999999999</v>
      </c>
      <c r="F3588" s="76">
        <v>64.789810000000003</v>
      </c>
      <c r="G3588" s="79">
        <v>1130000</v>
      </c>
    </row>
    <row r="3589" spans="1:7" x14ac:dyDescent="0.25">
      <c r="A3589" s="1" t="s">
        <v>3712</v>
      </c>
      <c r="B3589" s="76">
        <v>72.612166999999999</v>
      </c>
      <c r="C3589" s="76">
        <v>73.153556999999907</v>
      </c>
      <c r="D3589" s="76">
        <v>72.539008999999993</v>
      </c>
      <c r="E3589" s="76">
        <v>72.670692000000003</v>
      </c>
      <c r="F3589" s="76">
        <v>64.900886999999997</v>
      </c>
      <c r="G3589" s="79">
        <v>1083900</v>
      </c>
    </row>
    <row r="3590" spans="1:7" x14ac:dyDescent="0.25">
      <c r="A3590" s="1" t="s">
        <v>3713</v>
      </c>
      <c r="B3590" s="76">
        <v>72.692642000000006</v>
      </c>
      <c r="C3590" s="76">
        <v>73.387671999999995</v>
      </c>
      <c r="D3590" s="76">
        <v>72.085410999999993</v>
      </c>
      <c r="E3590" s="76">
        <v>73.351089000000002</v>
      </c>
      <c r="F3590" s="76">
        <v>65.508553000000006</v>
      </c>
      <c r="G3590" s="79">
        <v>1347300</v>
      </c>
    </row>
    <row r="3591" spans="1:7" x14ac:dyDescent="0.25">
      <c r="A3591" s="1" t="s">
        <v>3714</v>
      </c>
      <c r="B3591" s="76">
        <v>73.343772999999999</v>
      </c>
      <c r="C3591" s="76">
        <v>73.475464000000002</v>
      </c>
      <c r="D3591" s="76">
        <v>72.246360999999993</v>
      </c>
      <c r="E3591" s="76">
        <v>72.641434000000004</v>
      </c>
      <c r="F3591" s="76">
        <v>64.874763000000002</v>
      </c>
      <c r="G3591" s="79">
        <v>1337900</v>
      </c>
    </row>
    <row r="3592" spans="1:7" x14ac:dyDescent="0.25">
      <c r="A3592" s="1" t="s">
        <v>3715</v>
      </c>
      <c r="B3592" s="76">
        <v>72.802382999999907</v>
      </c>
      <c r="C3592" s="76">
        <v>73.270615000000006</v>
      </c>
      <c r="D3592" s="76">
        <v>71.522071999999994</v>
      </c>
      <c r="E3592" s="76">
        <v>71.917136999999997</v>
      </c>
      <c r="F3592" s="76">
        <v>64.227897999999996</v>
      </c>
      <c r="G3592" s="79">
        <v>1624600</v>
      </c>
    </row>
    <row r="3593" spans="1:7" x14ac:dyDescent="0.25">
      <c r="A3593" s="1" t="s">
        <v>3716</v>
      </c>
      <c r="B3593" s="76">
        <v>71.690337999999997</v>
      </c>
      <c r="C3593" s="76">
        <v>72.253676999999996</v>
      </c>
      <c r="D3593" s="76">
        <v>71.492805000000004</v>
      </c>
      <c r="E3593" s="76">
        <v>71.807395999999997</v>
      </c>
      <c r="F3593" s="76">
        <v>64.129882999999893</v>
      </c>
      <c r="G3593" s="79">
        <v>1060500</v>
      </c>
    </row>
    <row r="3594" spans="1:7" x14ac:dyDescent="0.25">
      <c r="A3594" s="1" t="s">
        <v>3717</v>
      </c>
      <c r="B3594" s="76">
        <v>72.407318000000004</v>
      </c>
      <c r="C3594" s="76">
        <v>72.407318000000004</v>
      </c>
      <c r="D3594" s="76">
        <v>70.914833000000002</v>
      </c>
      <c r="E3594" s="76">
        <v>71.492805000000004</v>
      </c>
      <c r="F3594" s="76">
        <v>63.848934</v>
      </c>
      <c r="G3594" s="79">
        <v>1632000</v>
      </c>
    </row>
    <row r="3595" spans="1:7" x14ac:dyDescent="0.25">
      <c r="A3595" s="1" t="s">
        <v>3718</v>
      </c>
      <c r="B3595" s="76">
        <v>71.763503999999998</v>
      </c>
      <c r="C3595" s="76">
        <v>72.590217999999993</v>
      </c>
      <c r="D3595" s="76">
        <v>71.551331000000005</v>
      </c>
      <c r="E3595" s="76">
        <v>72.568268000000003</v>
      </c>
      <c r="F3595" s="76">
        <v>64.80941</v>
      </c>
      <c r="G3595" s="79">
        <v>1142500</v>
      </c>
    </row>
    <row r="3596" spans="1:7" x14ac:dyDescent="0.25">
      <c r="A3596" s="1" t="s">
        <v>3719</v>
      </c>
      <c r="B3596" s="76">
        <v>72.824332999999996</v>
      </c>
      <c r="C3596" s="76">
        <v>73.460830999999999</v>
      </c>
      <c r="D3596" s="76">
        <v>72.370734999999996</v>
      </c>
      <c r="E3596" s="76">
        <v>73.358406000000002</v>
      </c>
      <c r="F3596" s="76">
        <v>65.515075999999993</v>
      </c>
      <c r="G3596" s="79">
        <v>1220900</v>
      </c>
    </row>
    <row r="3597" spans="1:7" x14ac:dyDescent="0.25">
      <c r="A3597" s="1" t="s">
        <v>3720</v>
      </c>
      <c r="B3597" s="76">
        <v>73.358406000000002</v>
      </c>
      <c r="C3597" s="76">
        <v>73.585205000000002</v>
      </c>
      <c r="D3597" s="76">
        <v>73.029181999999906</v>
      </c>
      <c r="E3597" s="76">
        <v>73.541313000000002</v>
      </c>
      <c r="F3597" s="76">
        <v>65.678421</v>
      </c>
      <c r="G3597" s="79">
        <v>1387000</v>
      </c>
    </row>
    <row r="3598" spans="1:7" x14ac:dyDescent="0.25">
      <c r="A3598" s="1" t="s">
        <v>3721</v>
      </c>
      <c r="B3598" s="76">
        <v>73.468147000000002</v>
      </c>
      <c r="C3598" s="76">
        <v>73.760795999999999</v>
      </c>
      <c r="D3598" s="76">
        <v>73.109656999999999</v>
      </c>
      <c r="E3598" s="76">
        <v>73.548621999999995</v>
      </c>
      <c r="F3598" s="76">
        <v>65.684958999999907</v>
      </c>
      <c r="G3598" s="79">
        <v>1338700</v>
      </c>
    </row>
    <row r="3599" spans="1:7" x14ac:dyDescent="0.25">
      <c r="A3599" s="1" t="s">
        <v>3722</v>
      </c>
      <c r="B3599" s="76">
        <v>73.387671999999995</v>
      </c>
      <c r="C3599" s="76">
        <v>74.148544000000001</v>
      </c>
      <c r="D3599" s="76">
        <v>73.043816000000007</v>
      </c>
      <c r="E3599" s="76">
        <v>74.046120000000002</v>
      </c>
      <c r="F3599" s="76">
        <v>66.129242000000005</v>
      </c>
      <c r="G3599" s="79">
        <v>990300</v>
      </c>
    </row>
    <row r="3600" spans="1:7" x14ac:dyDescent="0.25">
      <c r="A3600" s="1" t="s">
        <v>3723</v>
      </c>
      <c r="B3600" s="76">
        <v>73.885161999999994</v>
      </c>
      <c r="C3600" s="76">
        <v>73.987594999999999</v>
      </c>
      <c r="D3600" s="76">
        <v>73.453513999999998</v>
      </c>
      <c r="E3600" s="76">
        <v>73.899795999999995</v>
      </c>
      <c r="F3600" s="76">
        <v>65.998588999999996</v>
      </c>
      <c r="G3600" s="79">
        <v>1182000</v>
      </c>
    </row>
    <row r="3601" spans="1:7" x14ac:dyDescent="0.25">
      <c r="A3601" s="1" t="s">
        <v>3724</v>
      </c>
      <c r="B3601" s="76">
        <v>74.024169999999998</v>
      </c>
      <c r="C3601" s="76">
        <v>74.111960999999994</v>
      </c>
      <c r="D3601" s="76">
        <v>73.614470999999995</v>
      </c>
      <c r="E3601" s="76">
        <v>73.907111999999998</v>
      </c>
      <c r="F3601" s="76">
        <v>66.005111999999997</v>
      </c>
      <c r="G3601" s="79">
        <v>1017600</v>
      </c>
    </row>
    <row r="3602" spans="1:7" x14ac:dyDescent="0.25">
      <c r="A3602" s="1" t="s">
        <v>3725</v>
      </c>
      <c r="B3602" s="76">
        <v>73.892478999999994</v>
      </c>
      <c r="C3602" s="76">
        <v>73.914428999999998</v>
      </c>
      <c r="D3602" s="76">
        <v>72.795067000000003</v>
      </c>
      <c r="E3602" s="76">
        <v>73.716895999999906</v>
      </c>
      <c r="F3602" s="76">
        <v>65.835235999999995</v>
      </c>
      <c r="G3602" s="79">
        <v>637800</v>
      </c>
    </row>
    <row r="3603" spans="1:7" x14ac:dyDescent="0.25">
      <c r="A3603" s="1" t="s">
        <v>3726</v>
      </c>
      <c r="B3603" s="76">
        <v>74.090018999999998</v>
      </c>
      <c r="C3603" s="76">
        <v>74.719200000000001</v>
      </c>
      <c r="D3603" s="76">
        <v>73.790053999999998</v>
      </c>
      <c r="E3603" s="76">
        <v>74.572875999999994</v>
      </c>
      <c r="F3603" s="76">
        <v>66.599686000000005</v>
      </c>
      <c r="G3603" s="79">
        <v>1061500</v>
      </c>
    </row>
    <row r="3604" spans="1:7" x14ac:dyDescent="0.25">
      <c r="A3604" s="1" t="s">
        <v>3727</v>
      </c>
      <c r="B3604" s="76">
        <v>74.924048999999997</v>
      </c>
      <c r="C3604" s="76">
        <v>74.997208000000001</v>
      </c>
      <c r="D3604" s="76">
        <v>74.272918999999902</v>
      </c>
      <c r="E3604" s="76">
        <v>74.609459000000001</v>
      </c>
      <c r="F3604" s="76">
        <v>66.632369999999995</v>
      </c>
      <c r="G3604" s="79">
        <v>1135900</v>
      </c>
    </row>
    <row r="3605" spans="1:7" x14ac:dyDescent="0.25">
      <c r="A3605" s="1" t="s">
        <v>3728</v>
      </c>
      <c r="B3605" s="76">
        <v>74.455817999999994</v>
      </c>
      <c r="C3605" s="76">
        <v>75.085006999999905</v>
      </c>
      <c r="D3605" s="76">
        <v>74.170493999999906</v>
      </c>
      <c r="E3605" s="76">
        <v>75.063057000000001</v>
      </c>
      <c r="F3605" s="76">
        <v>67.037459999999996</v>
      </c>
      <c r="G3605" s="79">
        <v>811300</v>
      </c>
    </row>
    <row r="3606" spans="1:7" x14ac:dyDescent="0.25">
      <c r="A3606" s="1" t="s">
        <v>3729</v>
      </c>
      <c r="B3606" s="76">
        <v>75.092322999999993</v>
      </c>
      <c r="C3606" s="76">
        <v>75.531288000000004</v>
      </c>
      <c r="D3606" s="76">
        <v>74.514351000000005</v>
      </c>
      <c r="E3606" s="76">
        <v>75.472755000000006</v>
      </c>
      <c r="F3606" s="76">
        <v>67.403366000000005</v>
      </c>
      <c r="G3606" s="79">
        <v>743800</v>
      </c>
    </row>
    <row r="3607" spans="1:7" x14ac:dyDescent="0.25">
      <c r="A3607" s="1" t="s">
        <v>3730</v>
      </c>
      <c r="B3607" s="76">
        <v>75.282539</v>
      </c>
      <c r="C3607" s="76">
        <v>76.123885999999999</v>
      </c>
      <c r="D3607" s="76">
        <v>74.960631999999904</v>
      </c>
      <c r="E3607" s="76">
        <v>75.589813000000007</v>
      </c>
      <c r="F3607" s="76">
        <v>67.507912000000005</v>
      </c>
      <c r="G3607" s="79">
        <v>989100</v>
      </c>
    </row>
    <row r="3608" spans="1:7" x14ac:dyDescent="0.25">
      <c r="A3608" s="1" t="s">
        <v>3731</v>
      </c>
      <c r="B3608" s="76">
        <v>75.560547</v>
      </c>
      <c r="C3608" s="76">
        <v>75.845878999999996</v>
      </c>
      <c r="D3608" s="76">
        <v>75.136215000000007</v>
      </c>
      <c r="E3608" s="76">
        <v>75.750771</v>
      </c>
      <c r="F3608" s="76">
        <v>67.651671999999905</v>
      </c>
      <c r="G3608" s="79">
        <v>871000</v>
      </c>
    </row>
    <row r="3609" spans="1:7" x14ac:dyDescent="0.25">
      <c r="A3609" s="1" t="s">
        <v>3732</v>
      </c>
      <c r="B3609" s="76">
        <v>74.726517000000001</v>
      </c>
      <c r="C3609" s="76">
        <v>76.072677999999996</v>
      </c>
      <c r="D3609" s="76">
        <v>74.726517000000001</v>
      </c>
      <c r="E3609" s="76">
        <v>75.721503999999996</v>
      </c>
      <c r="F3609" s="76">
        <v>67.625525999999994</v>
      </c>
      <c r="G3609" s="79">
        <v>1116400</v>
      </c>
    </row>
    <row r="3610" spans="1:7" x14ac:dyDescent="0.25">
      <c r="A3610" s="1" t="s">
        <v>3733</v>
      </c>
      <c r="B3610" s="76">
        <v>75.984886000000003</v>
      </c>
      <c r="C3610" s="76">
        <v>77.126189999999994</v>
      </c>
      <c r="D3610" s="76">
        <v>75.904404</v>
      </c>
      <c r="E3610" s="76">
        <v>76.965239999999994</v>
      </c>
      <c r="F3610" s="76">
        <v>68.736281999999903</v>
      </c>
      <c r="G3610" s="79">
        <v>1252300</v>
      </c>
    </row>
    <row r="3611" spans="1:7" x14ac:dyDescent="0.25">
      <c r="A3611" s="1" t="s">
        <v>3734</v>
      </c>
      <c r="B3611" s="76">
        <v>76.570167999999995</v>
      </c>
      <c r="C3611" s="76">
        <v>77.199355999999995</v>
      </c>
      <c r="D3611" s="76">
        <v>76.401900999999995</v>
      </c>
      <c r="E3611" s="76">
        <v>76.848182999999906</v>
      </c>
      <c r="F3611" s="76">
        <v>69.111289999999997</v>
      </c>
      <c r="G3611" s="79">
        <v>1268700</v>
      </c>
    </row>
    <row r="3612" spans="1:7" x14ac:dyDescent="0.25">
      <c r="A3612" s="1" t="s">
        <v>3735</v>
      </c>
      <c r="B3612" s="76">
        <v>77.126189999999994</v>
      </c>
      <c r="C3612" s="76">
        <v>77.316413999999995</v>
      </c>
      <c r="D3612" s="76">
        <v>76.657966999999999</v>
      </c>
      <c r="E3612" s="76">
        <v>77.170090000000002</v>
      </c>
      <c r="F3612" s="76">
        <v>69.400809999999893</v>
      </c>
      <c r="G3612" s="79">
        <v>1369500</v>
      </c>
    </row>
    <row r="3613" spans="1:7" x14ac:dyDescent="0.25">
      <c r="A3613" s="1" t="s">
        <v>3736</v>
      </c>
      <c r="B3613" s="76">
        <v>77.301781000000005</v>
      </c>
      <c r="C3613" s="76">
        <v>77.565155000000004</v>
      </c>
      <c r="D3613" s="76">
        <v>77.162773000000001</v>
      </c>
      <c r="E3613" s="76">
        <v>77.521263000000005</v>
      </c>
      <c r="F3613" s="76">
        <v>69.716620999999904</v>
      </c>
      <c r="G3613" s="79">
        <v>767100</v>
      </c>
    </row>
    <row r="3614" spans="1:7" x14ac:dyDescent="0.25">
      <c r="A3614" s="1" t="s">
        <v>3737</v>
      </c>
      <c r="B3614" s="76">
        <v>77.550522000000001</v>
      </c>
      <c r="C3614" s="76">
        <v>78.026069999999905</v>
      </c>
      <c r="D3614" s="76">
        <v>76.723807999999906</v>
      </c>
      <c r="E3614" s="76">
        <v>76.987189999999998</v>
      </c>
      <c r="F3614" s="76">
        <v>69.236312999999996</v>
      </c>
      <c r="G3614" s="79">
        <v>1140800</v>
      </c>
    </row>
    <row r="3615" spans="1:7" x14ac:dyDescent="0.25">
      <c r="A3615" s="1" t="s">
        <v>3738</v>
      </c>
      <c r="B3615" s="76">
        <v>77.016448999999994</v>
      </c>
      <c r="C3615" s="76">
        <v>77.565155000000004</v>
      </c>
      <c r="D3615" s="76">
        <v>76.650649999999999</v>
      </c>
      <c r="E3615" s="76">
        <v>77.360305999999994</v>
      </c>
      <c r="F3615" s="76">
        <v>69.571877000000001</v>
      </c>
      <c r="G3615" s="79">
        <v>949500</v>
      </c>
    </row>
    <row r="3616" spans="1:7" x14ac:dyDescent="0.25">
      <c r="A3616" s="1" t="s">
        <v>3739</v>
      </c>
      <c r="B3616" s="76">
        <v>77.111556999999905</v>
      </c>
      <c r="C3616" s="76">
        <v>77.389572000000001</v>
      </c>
      <c r="D3616" s="76">
        <v>76.533591999999999</v>
      </c>
      <c r="E3616" s="76">
        <v>77.199355999999995</v>
      </c>
      <c r="F3616" s="76">
        <v>69.427123999999907</v>
      </c>
      <c r="G3616" s="79">
        <v>827700</v>
      </c>
    </row>
    <row r="3617" spans="1:7" x14ac:dyDescent="0.25">
      <c r="A3617" s="1" t="s">
        <v>3740</v>
      </c>
      <c r="B3617" s="76">
        <v>77.082297999999994</v>
      </c>
      <c r="C3617" s="76">
        <v>77.455414000000005</v>
      </c>
      <c r="D3617" s="76">
        <v>76.628699999999995</v>
      </c>
      <c r="E3617" s="76">
        <v>77.433471999999995</v>
      </c>
      <c r="F3617" s="76">
        <v>69.637671999999995</v>
      </c>
      <c r="G3617" s="79">
        <v>1093500</v>
      </c>
    </row>
    <row r="3618" spans="1:7" x14ac:dyDescent="0.25">
      <c r="A3618" s="1" t="s">
        <v>3741</v>
      </c>
      <c r="B3618" s="76">
        <v>77.243247999999994</v>
      </c>
      <c r="C3618" s="76">
        <v>77.243247999999994</v>
      </c>
      <c r="D3618" s="76">
        <v>76.540908999999999</v>
      </c>
      <c r="E3618" s="76">
        <v>77.104240000000004</v>
      </c>
      <c r="F3618" s="76">
        <v>69.341590999999994</v>
      </c>
      <c r="G3618" s="79">
        <v>847700</v>
      </c>
    </row>
    <row r="3619" spans="1:7" x14ac:dyDescent="0.25">
      <c r="A3619" s="1" t="s">
        <v>3742</v>
      </c>
      <c r="B3619" s="76">
        <v>77.104240000000004</v>
      </c>
      <c r="C3619" s="76">
        <v>77.396889000000002</v>
      </c>
      <c r="D3619" s="76">
        <v>76.511641999999995</v>
      </c>
      <c r="E3619" s="76">
        <v>76.921340999999998</v>
      </c>
      <c r="F3619" s="76">
        <v>69.177109000000002</v>
      </c>
      <c r="G3619" s="79">
        <v>560700</v>
      </c>
    </row>
    <row r="3620" spans="1:7" x14ac:dyDescent="0.25">
      <c r="A3620" s="1" t="s">
        <v>3743</v>
      </c>
      <c r="B3620" s="76">
        <v>77.089614999999995</v>
      </c>
      <c r="C3620" s="76">
        <v>77.484679999999997</v>
      </c>
      <c r="D3620" s="76">
        <v>76.431168</v>
      </c>
      <c r="E3620" s="76">
        <v>76.716492000000002</v>
      </c>
      <c r="F3620" s="76">
        <v>68.992874</v>
      </c>
      <c r="G3620" s="79">
        <v>624100</v>
      </c>
    </row>
    <row r="3621" spans="1:7" x14ac:dyDescent="0.25">
      <c r="A3621" s="1" t="s">
        <v>3744</v>
      </c>
      <c r="B3621" s="76">
        <v>76.833549000000005</v>
      </c>
      <c r="C3621" s="76">
        <v>77.074981999999906</v>
      </c>
      <c r="D3621" s="76">
        <v>76.292159999999996</v>
      </c>
      <c r="E3621" s="76">
        <v>76.343368999999996</v>
      </c>
      <c r="F3621" s="76">
        <v>68.657318000000004</v>
      </c>
      <c r="G3621" s="79">
        <v>907200</v>
      </c>
    </row>
    <row r="3622" spans="1:7" x14ac:dyDescent="0.25">
      <c r="A3622" s="1" t="s">
        <v>3745</v>
      </c>
      <c r="B3622" s="76">
        <v>76.606750000000005</v>
      </c>
      <c r="C3622" s="76">
        <v>77.228615000000005</v>
      </c>
      <c r="D3622" s="76">
        <v>76.570167999999995</v>
      </c>
      <c r="E3622" s="76">
        <v>77.053032000000002</v>
      </c>
      <c r="F3622" s="76">
        <v>69.295524999999998</v>
      </c>
      <c r="G3622" s="79">
        <v>697800</v>
      </c>
    </row>
    <row r="3623" spans="1:7" x14ac:dyDescent="0.25">
      <c r="A3623" s="1" t="s">
        <v>3746</v>
      </c>
      <c r="B3623" s="76">
        <v>77.184722999999906</v>
      </c>
      <c r="C3623" s="76">
        <v>77.945594999999997</v>
      </c>
      <c r="D3623" s="76">
        <v>77.038398999999998</v>
      </c>
      <c r="E3623" s="76">
        <v>77.945594999999997</v>
      </c>
      <c r="F3623" s="76">
        <v>70.098220999999995</v>
      </c>
      <c r="G3623" s="79">
        <v>818900</v>
      </c>
    </row>
    <row r="3624" spans="1:7" x14ac:dyDescent="0.25">
      <c r="A3624" s="1" t="s">
        <v>3747</v>
      </c>
      <c r="B3624" s="76">
        <v>77.784637000000004</v>
      </c>
      <c r="C3624" s="76">
        <v>77.967545000000001</v>
      </c>
      <c r="D3624" s="76">
        <v>76.818916000000002</v>
      </c>
      <c r="E3624" s="76">
        <v>77.674895999999904</v>
      </c>
      <c r="F3624" s="76">
        <v>69.854782</v>
      </c>
      <c r="G3624" s="79">
        <v>1077400</v>
      </c>
    </row>
    <row r="3625" spans="1:7" x14ac:dyDescent="0.25">
      <c r="A3625" s="1" t="s">
        <v>3748</v>
      </c>
      <c r="B3625" s="76">
        <v>77.623688000000001</v>
      </c>
      <c r="C3625" s="76">
        <v>77.923644999999993</v>
      </c>
      <c r="D3625" s="76">
        <v>77.272514000000001</v>
      </c>
      <c r="E3625" s="76">
        <v>77.879752999999994</v>
      </c>
      <c r="F3625" s="76">
        <v>70.039031999999906</v>
      </c>
      <c r="G3625" s="79">
        <v>500700</v>
      </c>
    </row>
    <row r="3626" spans="1:7" x14ac:dyDescent="0.25">
      <c r="A3626" s="1" t="s">
        <v>3749</v>
      </c>
      <c r="B3626" s="76">
        <v>77.821219999999997</v>
      </c>
      <c r="C3626" s="76">
        <v>78.567458999999999</v>
      </c>
      <c r="D3626" s="76">
        <v>77.821219999999997</v>
      </c>
      <c r="E3626" s="76">
        <v>78.34066</v>
      </c>
      <c r="F3626" s="76">
        <v>70.453536999999997</v>
      </c>
      <c r="G3626" s="79">
        <v>1346800</v>
      </c>
    </row>
    <row r="3627" spans="1:7" x14ac:dyDescent="0.25">
      <c r="A3627" s="1" t="s">
        <v>3750</v>
      </c>
      <c r="B3627" s="76">
        <v>78.494300999999993</v>
      </c>
      <c r="C3627" s="76">
        <v>78.962531999999996</v>
      </c>
      <c r="D3627" s="76">
        <v>78.34066</v>
      </c>
      <c r="E3627" s="76">
        <v>78.662566999999996</v>
      </c>
      <c r="F3627" s="76">
        <v>70.743033999999994</v>
      </c>
      <c r="G3627" s="79">
        <v>904600</v>
      </c>
    </row>
    <row r="3628" spans="1:7" x14ac:dyDescent="0.25">
      <c r="A3628" s="1" t="s">
        <v>3751</v>
      </c>
      <c r="B3628" s="76">
        <v>78.501616999999996</v>
      </c>
      <c r="C3628" s="76">
        <v>78.647942</v>
      </c>
      <c r="D3628" s="76">
        <v>78.091918999999905</v>
      </c>
      <c r="E3628" s="76">
        <v>78.150443999999993</v>
      </c>
      <c r="F3628" s="76">
        <v>70.282463000000007</v>
      </c>
      <c r="G3628" s="79">
        <v>993300</v>
      </c>
    </row>
    <row r="3629" spans="1:7" x14ac:dyDescent="0.25">
      <c r="A3629" s="1" t="s">
        <v>3752</v>
      </c>
      <c r="B3629" s="76">
        <v>77.923644999999993</v>
      </c>
      <c r="C3629" s="76">
        <v>78.369926000000007</v>
      </c>
      <c r="D3629" s="76">
        <v>77.762694999999994</v>
      </c>
      <c r="E3629" s="76">
        <v>78.216285999999997</v>
      </c>
      <c r="F3629" s="76">
        <v>70.341667000000001</v>
      </c>
      <c r="G3629" s="79">
        <v>803400</v>
      </c>
    </row>
    <row r="3630" spans="1:7" x14ac:dyDescent="0.25">
      <c r="A3630" s="1" t="s">
        <v>3753</v>
      </c>
      <c r="B3630" s="76">
        <v>78.333343999999997</v>
      </c>
      <c r="C3630" s="76">
        <v>79.577079999999995</v>
      </c>
      <c r="D3630" s="76">
        <v>78.077286000000001</v>
      </c>
      <c r="E3630" s="76">
        <v>79.518555000000006</v>
      </c>
      <c r="F3630" s="76">
        <v>71.512833000000001</v>
      </c>
      <c r="G3630" s="79">
        <v>1123400</v>
      </c>
    </row>
    <row r="3631" spans="1:7" x14ac:dyDescent="0.25">
      <c r="A3631" s="1" t="s">
        <v>3754</v>
      </c>
      <c r="B3631" s="76">
        <v>79.752669999999995</v>
      </c>
      <c r="C3631" s="76">
        <v>79.752669999999995</v>
      </c>
      <c r="D3631" s="76">
        <v>78.852790999999996</v>
      </c>
      <c r="E3631" s="76">
        <v>78.969848999999996</v>
      </c>
      <c r="F3631" s="76">
        <v>71.019379000000001</v>
      </c>
      <c r="G3631" s="79">
        <v>1054500</v>
      </c>
    </row>
    <row r="3632" spans="1:7" x14ac:dyDescent="0.25">
      <c r="A3632" s="1" t="s">
        <v>3755</v>
      </c>
      <c r="B3632" s="76">
        <v>78.860106999999999</v>
      </c>
      <c r="C3632" s="76">
        <v>79.255172999999999</v>
      </c>
      <c r="D3632" s="76">
        <v>77.828536999999997</v>
      </c>
      <c r="E3632" s="76">
        <v>77.879752999999994</v>
      </c>
      <c r="F3632" s="76">
        <v>70.039031999999906</v>
      </c>
      <c r="G3632" s="79">
        <v>1382800</v>
      </c>
    </row>
    <row r="3633" spans="1:7" x14ac:dyDescent="0.25">
      <c r="A3633" s="1" t="s">
        <v>3756</v>
      </c>
      <c r="B3633" s="76">
        <v>77.843170000000001</v>
      </c>
      <c r="C3633" s="76">
        <v>78.172393999999997</v>
      </c>
      <c r="D3633" s="76">
        <v>77.045715000000001</v>
      </c>
      <c r="E3633" s="76">
        <v>77.265197999999998</v>
      </c>
      <c r="F3633" s="76">
        <v>69.486358999999993</v>
      </c>
      <c r="G3633" s="79">
        <v>1348000</v>
      </c>
    </row>
    <row r="3634" spans="1:7" x14ac:dyDescent="0.25">
      <c r="A3634" s="1" t="s">
        <v>3757</v>
      </c>
      <c r="B3634" s="76">
        <v>77.228615000000005</v>
      </c>
      <c r="C3634" s="76">
        <v>77.543212999999994</v>
      </c>
      <c r="D3634" s="76">
        <v>76.833549000000005</v>
      </c>
      <c r="E3634" s="76">
        <v>77.074981999999906</v>
      </c>
      <c r="F3634" s="76">
        <v>69.315262000000004</v>
      </c>
      <c r="G3634" s="79">
        <v>798400</v>
      </c>
    </row>
    <row r="3635" spans="1:7" x14ac:dyDescent="0.25">
      <c r="A3635" s="1" t="s">
        <v>3758</v>
      </c>
      <c r="B3635" s="76">
        <v>76.950606999999906</v>
      </c>
      <c r="C3635" s="76">
        <v>77.140822999999997</v>
      </c>
      <c r="D3635" s="76">
        <v>76.314109999999999</v>
      </c>
      <c r="E3635" s="76">
        <v>76.482376000000002</v>
      </c>
      <c r="F3635" s="76">
        <v>68.782325999999998</v>
      </c>
      <c r="G3635" s="79">
        <v>1013600</v>
      </c>
    </row>
    <row r="3636" spans="1:7" x14ac:dyDescent="0.25">
      <c r="A3636" s="1" t="s">
        <v>3759</v>
      </c>
      <c r="B3636" s="76">
        <v>76.643332999999998</v>
      </c>
      <c r="C3636" s="76">
        <v>76.709175000000002</v>
      </c>
      <c r="D3636" s="76">
        <v>76.101943999999904</v>
      </c>
      <c r="E3636" s="76">
        <v>76.453109999999995</v>
      </c>
      <c r="F3636" s="76">
        <v>68.755996999999994</v>
      </c>
      <c r="G3636" s="79">
        <v>1214600</v>
      </c>
    </row>
    <row r="3637" spans="1:7" x14ac:dyDescent="0.25">
      <c r="A3637" s="1" t="s">
        <v>3760</v>
      </c>
      <c r="B3637" s="76">
        <v>76.467742999999999</v>
      </c>
      <c r="C3637" s="76">
        <v>76.906707999999995</v>
      </c>
      <c r="D3637" s="76">
        <v>76.167785999999893</v>
      </c>
      <c r="E3637" s="76">
        <v>76.270209999999906</v>
      </c>
      <c r="F3637" s="76">
        <v>68.591530000000006</v>
      </c>
      <c r="G3637" s="79">
        <v>1062800</v>
      </c>
    </row>
    <row r="3638" spans="1:7" x14ac:dyDescent="0.25">
      <c r="A3638" s="1" t="s">
        <v>3761</v>
      </c>
      <c r="B3638" s="76">
        <v>76.153152000000006</v>
      </c>
      <c r="C3638" s="76">
        <v>76.665276000000006</v>
      </c>
      <c r="D3638" s="76">
        <v>75.911719999999903</v>
      </c>
      <c r="E3638" s="76">
        <v>76.540908999999999</v>
      </c>
      <c r="F3638" s="76">
        <v>68.834983999999906</v>
      </c>
      <c r="G3638" s="79">
        <v>1292700</v>
      </c>
    </row>
    <row r="3639" spans="1:7" x14ac:dyDescent="0.25">
      <c r="A3639" s="1" t="s">
        <v>3762</v>
      </c>
      <c r="B3639" s="76">
        <v>76.518958999999995</v>
      </c>
      <c r="C3639" s="76">
        <v>77.001816000000005</v>
      </c>
      <c r="D3639" s="76">
        <v>76.101943999999904</v>
      </c>
      <c r="E3639" s="76">
        <v>76.833549000000005</v>
      </c>
      <c r="F3639" s="76">
        <v>69.098145000000002</v>
      </c>
      <c r="G3639" s="79">
        <v>1783500</v>
      </c>
    </row>
    <row r="3640" spans="1:7" x14ac:dyDescent="0.25">
      <c r="A3640" s="1" t="s">
        <v>3763</v>
      </c>
      <c r="B3640" s="76">
        <v>76.928657999999999</v>
      </c>
      <c r="C3640" s="76">
        <v>77.806586999999993</v>
      </c>
      <c r="D3640" s="76">
        <v>76.701858999999999</v>
      </c>
      <c r="E3640" s="76">
        <v>77.806586999999993</v>
      </c>
      <c r="F3640" s="76">
        <v>69.973213000000001</v>
      </c>
      <c r="G3640" s="79">
        <v>1417400</v>
      </c>
    </row>
    <row r="3641" spans="1:7" x14ac:dyDescent="0.25">
      <c r="A3641" s="1" t="s">
        <v>3764</v>
      </c>
      <c r="B3641" s="76">
        <v>77.601737999999997</v>
      </c>
      <c r="C3641" s="76">
        <v>78.033385999999993</v>
      </c>
      <c r="D3641" s="76">
        <v>77.111556999999905</v>
      </c>
      <c r="E3641" s="76">
        <v>77.982178000000005</v>
      </c>
      <c r="F3641" s="76">
        <v>70.131141999999997</v>
      </c>
      <c r="G3641" s="79">
        <v>1394200</v>
      </c>
    </row>
    <row r="3642" spans="1:7" x14ac:dyDescent="0.25">
      <c r="A3642" s="1" t="s">
        <v>3765</v>
      </c>
      <c r="B3642" s="76">
        <v>77.938277999999997</v>
      </c>
      <c r="C3642" s="76">
        <v>78.230919</v>
      </c>
      <c r="D3642" s="76">
        <v>77.660263</v>
      </c>
      <c r="E3642" s="76">
        <v>77.799270999999905</v>
      </c>
      <c r="F3642" s="76">
        <v>69.966637000000006</v>
      </c>
      <c r="G3642" s="79">
        <v>861700</v>
      </c>
    </row>
    <row r="3643" spans="1:7" x14ac:dyDescent="0.25">
      <c r="A3643" s="1" t="s">
        <v>3766</v>
      </c>
      <c r="B3643" s="76">
        <v>77.704162999999994</v>
      </c>
      <c r="C3643" s="76">
        <v>78.033385999999993</v>
      </c>
      <c r="D3643" s="76">
        <v>77.462729999999993</v>
      </c>
      <c r="E3643" s="76">
        <v>77.696845999999994</v>
      </c>
      <c r="F3643" s="76">
        <v>69.874527</v>
      </c>
      <c r="G3643" s="79">
        <v>658000</v>
      </c>
    </row>
    <row r="3644" spans="1:7" x14ac:dyDescent="0.25">
      <c r="A3644" s="1" t="s">
        <v>3767</v>
      </c>
      <c r="B3644" s="76">
        <v>77.667580000000001</v>
      </c>
      <c r="C3644" s="76">
        <v>77.857803000000004</v>
      </c>
      <c r="D3644" s="76">
        <v>77.484679999999997</v>
      </c>
      <c r="E3644" s="76">
        <v>77.791954000000004</v>
      </c>
      <c r="F3644" s="76">
        <v>69.960052000000005</v>
      </c>
      <c r="G3644" s="79">
        <v>895300</v>
      </c>
    </row>
    <row r="3645" spans="1:7" x14ac:dyDescent="0.25">
      <c r="A3645" s="1" t="s">
        <v>3768</v>
      </c>
      <c r="B3645" s="76">
        <v>77.791954000000004</v>
      </c>
      <c r="C3645" s="76">
        <v>77.872437000000005</v>
      </c>
      <c r="D3645" s="76">
        <v>77.155456999999998</v>
      </c>
      <c r="E3645" s="76">
        <v>77.455414000000005</v>
      </c>
      <c r="F3645" s="76">
        <v>69.657387</v>
      </c>
      <c r="G3645" s="79">
        <v>883300</v>
      </c>
    </row>
    <row r="3646" spans="1:7" x14ac:dyDescent="0.25">
      <c r="A3646" s="1" t="s">
        <v>3769</v>
      </c>
      <c r="B3646" s="76">
        <v>77.506630000000001</v>
      </c>
      <c r="C3646" s="76">
        <v>78.633308</v>
      </c>
      <c r="D3646" s="76">
        <v>77.484679999999997</v>
      </c>
      <c r="E3646" s="76">
        <v>78.538200000000003</v>
      </c>
      <c r="F3646" s="76">
        <v>70.631180000000001</v>
      </c>
      <c r="G3646" s="79">
        <v>1586600</v>
      </c>
    </row>
    <row r="3647" spans="1:7" x14ac:dyDescent="0.25">
      <c r="A3647" s="1" t="s">
        <v>3770</v>
      </c>
      <c r="B3647" s="76">
        <v>78.384559999999993</v>
      </c>
      <c r="C3647" s="76">
        <v>78.574776</v>
      </c>
      <c r="D3647" s="76">
        <v>77.360305999999994</v>
      </c>
      <c r="E3647" s="76">
        <v>78.084602000000004</v>
      </c>
      <c r="F3647" s="76">
        <v>70.223251000000005</v>
      </c>
      <c r="G3647" s="79">
        <v>1206000</v>
      </c>
    </row>
    <row r="3648" spans="1:7" x14ac:dyDescent="0.25">
      <c r="A3648" s="1" t="s">
        <v>3771</v>
      </c>
      <c r="B3648" s="76">
        <v>77.938277999999997</v>
      </c>
      <c r="C3648" s="76">
        <v>79.833145000000002</v>
      </c>
      <c r="D3648" s="76">
        <v>77.331039000000004</v>
      </c>
      <c r="E3648" s="76">
        <v>78.069969</v>
      </c>
      <c r="F3648" s="76">
        <v>70.210098000000002</v>
      </c>
      <c r="G3648" s="79">
        <v>1082900</v>
      </c>
    </row>
    <row r="3649" spans="1:7" x14ac:dyDescent="0.25">
      <c r="A3649" s="1" t="s">
        <v>3772</v>
      </c>
      <c r="B3649" s="76">
        <v>77.974861000000004</v>
      </c>
      <c r="C3649" s="76">
        <v>78.17971</v>
      </c>
      <c r="D3649" s="76">
        <v>77.426154999999994</v>
      </c>
      <c r="E3649" s="76">
        <v>78.128493999999904</v>
      </c>
      <c r="F3649" s="76">
        <v>70.262710999999996</v>
      </c>
      <c r="G3649" s="79">
        <v>713100</v>
      </c>
    </row>
    <row r="3650" spans="1:7" x14ac:dyDescent="0.25">
      <c r="A3650" s="1" t="s">
        <v>3773</v>
      </c>
      <c r="B3650" s="76">
        <v>77.879752999999994</v>
      </c>
      <c r="C3650" s="76">
        <v>77.894379000000001</v>
      </c>
      <c r="D3650" s="76">
        <v>76.957924000000006</v>
      </c>
      <c r="E3650" s="76">
        <v>77.513947000000002</v>
      </c>
      <c r="F3650" s="76">
        <v>69.710037</v>
      </c>
      <c r="G3650" s="79">
        <v>817200</v>
      </c>
    </row>
    <row r="3651" spans="1:7" x14ac:dyDescent="0.25">
      <c r="A3651" s="1" t="s">
        <v>3774</v>
      </c>
      <c r="B3651" s="76">
        <v>77.543212999999994</v>
      </c>
      <c r="C3651" s="76">
        <v>78.033385999999993</v>
      </c>
      <c r="D3651" s="76">
        <v>77.243247999999994</v>
      </c>
      <c r="E3651" s="76">
        <v>77.484679999999997</v>
      </c>
      <c r="F3651" s="76">
        <v>69.683723000000001</v>
      </c>
      <c r="G3651" s="79">
        <v>827600</v>
      </c>
    </row>
    <row r="3652" spans="1:7" x14ac:dyDescent="0.25">
      <c r="A3652" s="1" t="s">
        <v>3775</v>
      </c>
      <c r="B3652" s="76">
        <v>77.565155000000004</v>
      </c>
      <c r="C3652" s="76">
        <v>77.813903999999994</v>
      </c>
      <c r="D3652" s="76">
        <v>77.228615000000005</v>
      </c>
      <c r="E3652" s="76">
        <v>77.718795999999998</v>
      </c>
      <c r="F3652" s="76">
        <v>69.894256999999996</v>
      </c>
      <c r="G3652" s="79">
        <v>961400</v>
      </c>
    </row>
    <row r="3653" spans="1:7" x14ac:dyDescent="0.25">
      <c r="A3653" s="1" t="s">
        <v>3776</v>
      </c>
      <c r="B3653" s="76">
        <v>77.850487000000001</v>
      </c>
      <c r="C3653" s="76">
        <v>77.967545000000001</v>
      </c>
      <c r="D3653" s="76">
        <v>77.199355999999995</v>
      </c>
      <c r="E3653" s="76">
        <v>77.821219999999997</v>
      </c>
      <c r="F3653" s="76">
        <v>69.986366000000004</v>
      </c>
      <c r="G3653" s="79">
        <v>620400</v>
      </c>
    </row>
    <row r="3654" spans="1:7" x14ac:dyDescent="0.25">
      <c r="A3654" s="1" t="s">
        <v>3777</v>
      </c>
      <c r="B3654" s="76">
        <v>77.455414000000005</v>
      </c>
      <c r="C3654" s="76">
        <v>77.989493999999993</v>
      </c>
      <c r="D3654" s="76">
        <v>77.206672999999995</v>
      </c>
      <c r="E3654" s="76">
        <v>77.594420999999997</v>
      </c>
      <c r="F3654" s="76">
        <v>69.782416999999995</v>
      </c>
      <c r="G3654" s="79">
        <v>779400</v>
      </c>
    </row>
    <row r="3655" spans="1:7" x14ac:dyDescent="0.25">
      <c r="A3655" s="1" t="s">
        <v>3778</v>
      </c>
      <c r="B3655" s="76">
        <v>77.682213000000004</v>
      </c>
      <c r="C3655" s="76">
        <v>78.165076999999997</v>
      </c>
      <c r="D3655" s="76">
        <v>77.477363999999994</v>
      </c>
      <c r="E3655" s="76">
        <v>77.960228000000001</v>
      </c>
      <c r="F3655" s="76">
        <v>70.111389000000003</v>
      </c>
      <c r="G3655" s="79">
        <v>798000</v>
      </c>
    </row>
    <row r="3656" spans="1:7" x14ac:dyDescent="0.25">
      <c r="A3656" s="1" t="s">
        <v>3779</v>
      </c>
      <c r="B3656" s="76">
        <v>78.187027</v>
      </c>
      <c r="C3656" s="76">
        <v>78.421143000000001</v>
      </c>
      <c r="D3656" s="76">
        <v>77.806586999999993</v>
      </c>
      <c r="E3656" s="76">
        <v>78.267501999999993</v>
      </c>
      <c r="F3656" s="76">
        <v>70.387726000000001</v>
      </c>
      <c r="G3656" s="79">
        <v>725000</v>
      </c>
    </row>
    <row r="3657" spans="1:7" x14ac:dyDescent="0.25">
      <c r="A3657" s="1" t="s">
        <v>3780</v>
      </c>
      <c r="B3657" s="76">
        <v>78.128493999999904</v>
      </c>
      <c r="C3657" s="76">
        <v>78.465034000000003</v>
      </c>
      <c r="D3657" s="76">
        <v>77.850487000000001</v>
      </c>
      <c r="E3657" s="76">
        <v>78.282134999999997</v>
      </c>
      <c r="F3657" s="76">
        <v>70.400893999999994</v>
      </c>
      <c r="G3657" s="79">
        <v>602400</v>
      </c>
    </row>
    <row r="3658" spans="1:7" x14ac:dyDescent="0.25">
      <c r="A3658" s="1" t="s">
        <v>3781</v>
      </c>
      <c r="B3658" s="76">
        <v>78.413826</v>
      </c>
      <c r="C3658" s="76">
        <v>78.786941999999996</v>
      </c>
      <c r="D3658" s="76">
        <v>78.033385999999993</v>
      </c>
      <c r="E3658" s="76">
        <v>78.662566999999996</v>
      </c>
      <c r="F3658" s="76">
        <v>70.743033999999994</v>
      </c>
      <c r="G3658" s="79">
        <v>753200</v>
      </c>
    </row>
    <row r="3659" spans="1:7" x14ac:dyDescent="0.25">
      <c r="A3659" s="1" t="s">
        <v>3782</v>
      </c>
      <c r="B3659" s="76">
        <v>78.245552000000004</v>
      </c>
      <c r="C3659" s="76">
        <v>78.494300999999993</v>
      </c>
      <c r="D3659" s="76">
        <v>77.513947000000002</v>
      </c>
      <c r="E3659" s="76">
        <v>77.528580000000005</v>
      </c>
      <c r="F3659" s="76">
        <v>69.723197999999996</v>
      </c>
      <c r="G3659" s="79">
        <v>1072700</v>
      </c>
    </row>
    <row r="3660" spans="1:7" x14ac:dyDescent="0.25">
      <c r="A3660" s="1" t="s">
        <v>3783</v>
      </c>
      <c r="B3660" s="76">
        <v>77.755379000000005</v>
      </c>
      <c r="C3660" s="76">
        <v>78.633308</v>
      </c>
      <c r="D3660" s="76">
        <v>77.433471999999995</v>
      </c>
      <c r="E3660" s="76">
        <v>78.633308</v>
      </c>
      <c r="F3660" s="76">
        <v>70.716712999999999</v>
      </c>
      <c r="G3660" s="79">
        <v>973500</v>
      </c>
    </row>
    <row r="3661" spans="1:7" x14ac:dyDescent="0.25">
      <c r="A3661" s="1" t="s">
        <v>3784</v>
      </c>
      <c r="B3661" s="76">
        <v>78.530884</v>
      </c>
      <c r="C3661" s="76">
        <v>78.560142999999997</v>
      </c>
      <c r="D3661" s="76">
        <v>78.040702999999993</v>
      </c>
      <c r="E3661" s="76">
        <v>78.252868999999905</v>
      </c>
      <c r="F3661" s="76">
        <v>70.374579999999995</v>
      </c>
      <c r="G3661" s="79">
        <v>484700</v>
      </c>
    </row>
    <row r="3662" spans="1:7" x14ac:dyDescent="0.25">
      <c r="A3662" s="1" t="s">
        <v>3785</v>
      </c>
      <c r="B3662" s="76">
        <v>78.735732999999996</v>
      </c>
      <c r="C3662" s="76">
        <v>79.160065000000003</v>
      </c>
      <c r="D3662" s="76">
        <v>78.538200000000003</v>
      </c>
      <c r="E3662" s="76">
        <v>78.977164999999999</v>
      </c>
      <c r="F3662" s="76">
        <v>71.025948</v>
      </c>
      <c r="G3662" s="79">
        <v>659100</v>
      </c>
    </row>
    <row r="3663" spans="1:7" x14ac:dyDescent="0.25">
      <c r="A3663" s="1" t="s">
        <v>3786</v>
      </c>
      <c r="B3663" s="76">
        <v>78.889365999999995</v>
      </c>
      <c r="C3663" s="76">
        <v>79.233222999999995</v>
      </c>
      <c r="D3663" s="76">
        <v>78.706467000000004</v>
      </c>
      <c r="E3663" s="76">
        <v>79.174697999999907</v>
      </c>
      <c r="F3663" s="76">
        <v>71.203582999999995</v>
      </c>
      <c r="G3663" s="79">
        <v>516000</v>
      </c>
    </row>
    <row r="3664" spans="1:7" x14ac:dyDescent="0.25">
      <c r="A3664" s="1" t="s">
        <v>3787</v>
      </c>
      <c r="B3664" s="76">
        <v>79.203963999999999</v>
      </c>
      <c r="C3664" s="76">
        <v>79.525870999999995</v>
      </c>
      <c r="D3664" s="76">
        <v>78.823524000000006</v>
      </c>
      <c r="E3664" s="76">
        <v>79.452704999999995</v>
      </c>
      <c r="F3664" s="76">
        <v>71.453598</v>
      </c>
      <c r="G3664" s="79">
        <v>1360900</v>
      </c>
    </row>
    <row r="3665" spans="1:7" x14ac:dyDescent="0.25">
      <c r="A3665" s="1" t="s">
        <v>3788</v>
      </c>
      <c r="B3665" s="76">
        <v>79.050322999999906</v>
      </c>
      <c r="C3665" s="76">
        <v>79.240539999999996</v>
      </c>
      <c r="D3665" s="76">
        <v>78.347977</v>
      </c>
      <c r="E3665" s="76">
        <v>78.530884</v>
      </c>
      <c r="F3665" s="76">
        <v>70.624588000000003</v>
      </c>
      <c r="G3665" s="79">
        <v>870100</v>
      </c>
    </row>
    <row r="3666" spans="1:7" x14ac:dyDescent="0.25">
      <c r="A3666" s="1" t="s">
        <v>3789</v>
      </c>
      <c r="B3666" s="76">
        <v>78.34066</v>
      </c>
      <c r="C3666" s="76">
        <v>78.838157999999893</v>
      </c>
      <c r="D3666" s="76">
        <v>78.34066</v>
      </c>
      <c r="E3666" s="76">
        <v>78.516250999999997</v>
      </c>
      <c r="F3666" s="76">
        <v>70.611442999999994</v>
      </c>
      <c r="G3666" s="79">
        <v>1070100</v>
      </c>
    </row>
    <row r="3667" spans="1:7" x14ac:dyDescent="0.25">
      <c r="A3667" s="1" t="s">
        <v>3790</v>
      </c>
      <c r="B3667" s="76">
        <v>78.494300999999993</v>
      </c>
      <c r="C3667" s="76">
        <v>78.677199999999999</v>
      </c>
      <c r="D3667" s="76">
        <v>77.989493999999993</v>
      </c>
      <c r="E3667" s="76">
        <v>78.157760999999994</v>
      </c>
      <c r="F3667" s="76">
        <v>70.289031999999906</v>
      </c>
      <c r="G3667" s="79">
        <v>1138300</v>
      </c>
    </row>
    <row r="3668" spans="1:7" x14ac:dyDescent="0.25">
      <c r="A3668" s="1" t="s">
        <v>3791</v>
      </c>
      <c r="B3668" s="76">
        <v>78.304085000000001</v>
      </c>
      <c r="C3668" s="76">
        <v>78.808891000000003</v>
      </c>
      <c r="D3668" s="76">
        <v>77.960228000000001</v>
      </c>
      <c r="E3668" s="76">
        <v>78.377243000000007</v>
      </c>
      <c r="F3668" s="76">
        <v>70.486419999999995</v>
      </c>
      <c r="G3668" s="79">
        <v>1224300</v>
      </c>
    </row>
    <row r="3669" spans="1:7" x14ac:dyDescent="0.25">
      <c r="A3669" s="1" t="s">
        <v>3792</v>
      </c>
      <c r="B3669" s="76">
        <v>77.828536999999997</v>
      </c>
      <c r="C3669" s="76">
        <v>78.326026999999996</v>
      </c>
      <c r="D3669" s="76">
        <v>77.506630000000001</v>
      </c>
      <c r="E3669" s="76">
        <v>77.565155000000004</v>
      </c>
      <c r="F3669" s="76">
        <v>69.756095999999999</v>
      </c>
      <c r="G3669" s="79">
        <v>1221500</v>
      </c>
    </row>
    <row r="3670" spans="1:7" x14ac:dyDescent="0.25">
      <c r="A3670" s="1" t="s">
        <v>3793</v>
      </c>
      <c r="B3670" s="76">
        <v>77.557838000000004</v>
      </c>
      <c r="C3670" s="76">
        <v>78.099236000000005</v>
      </c>
      <c r="D3670" s="76">
        <v>76.877448999999999</v>
      </c>
      <c r="E3670" s="76">
        <v>76.914023999999998</v>
      </c>
      <c r="F3670" s="76">
        <v>69.170508999999996</v>
      </c>
      <c r="G3670" s="79">
        <v>1281300</v>
      </c>
    </row>
    <row r="3671" spans="1:7" x14ac:dyDescent="0.25">
      <c r="A3671" s="1" t="s">
        <v>3794</v>
      </c>
      <c r="B3671" s="76">
        <v>76.950606999999906</v>
      </c>
      <c r="C3671" s="76">
        <v>77.696845999999994</v>
      </c>
      <c r="D3671" s="76">
        <v>76.533591999999999</v>
      </c>
      <c r="E3671" s="76">
        <v>77.418839000000006</v>
      </c>
      <c r="F3671" s="76">
        <v>69.624504000000002</v>
      </c>
      <c r="G3671" s="79">
        <v>1176900</v>
      </c>
    </row>
    <row r="3672" spans="1:7" x14ac:dyDescent="0.25">
      <c r="A3672" s="1" t="s">
        <v>3795</v>
      </c>
      <c r="B3672" s="76">
        <v>76.767707999999999</v>
      </c>
      <c r="C3672" s="76">
        <v>77.587104999999994</v>
      </c>
      <c r="D3672" s="76">
        <v>76.438477000000006</v>
      </c>
      <c r="E3672" s="76">
        <v>76.914023999999998</v>
      </c>
      <c r="F3672" s="76">
        <v>69.170508999999996</v>
      </c>
      <c r="G3672" s="79">
        <v>1248900</v>
      </c>
    </row>
    <row r="3673" spans="1:7" x14ac:dyDescent="0.25">
      <c r="A3673" s="1" t="s">
        <v>3796</v>
      </c>
      <c r="B3673" s="76">
        <v>76.840866000000005</v>
      </c>
      <c r="C3673" s="76">
        <v>77.265197999999998</v>
      </c>
      <c r="D3673" s="76">
        <v>76.592117000000002</v>
      </c>
      <c r="E3673" s="76">
        <v>76.657966999999999</v>
      </c>
      <c r="F3673" s="76">
        <v>68.940230999999997</v>
      </c>
      <c r="G3673" s="79">
        <v>998800</v>
      </c>
    </row>
    <row r="3674" spans="1:7" x14ac:dyDescent="0.25">
      <c r="A3674" s="1" t="s">
        <v>3797</v>
      </c>
      <c r="B3674" s="76">
        <v>76.306792999999999</v>
      </c>
      <c r="C3674" s="76">
        <v>76.972556999999995</v>
      </c>
      <c r="D3674" s="76">
        <v>75.940986999999893</v>
      </c>
      <c r="E3674" s="76">
        <v>76.138518999999903</v>
      </c>
      <c r="F3674" s="76">
        <v>68.953484000000003</v>
      </c>
      <c r="G3674" s="79">
        <v>765700</v>
      </c>
    </row>
    <row r="3675" spans="1:7" x14ac:dyDescent="0.25">
      <c r="A3675" s="1" t="s">
        <v>3798</v>
      </c>
      <c r="B3675" s="76">
        <v>76.387268000000006</v>
      </c>
      <c r="C3675" s="76">
        <v>76.643332999999998</v>
      </c>
      <c r="D3675" s="76">
        <v>75.794662000000002</v>
      </c>
      <c r="E3675" s="76">
        <v>76.621383999999907</v>
      </c>
      <c r="F3675" s="76">
        <v>69.390777999999997</v>
      </c>
      <c r="G3675" s="79">
        <v>844400</v>
      </c>
    </row>
    <row r="3676" spans="1:7" x14ac:dyDescent="0.25">
      <c r="A3676" s="1" t="s">
        <v>3799</v>
      </c>
      <c r="B3676" s="76">
        <v>76.840866000000005</v>
      </c>
      <c r="C3676" s="76">
        <v>77.528580000000005</v>
      </c>
      <c r="D3676" s="76">
        <v>76.643332999999998</v>
      </c>
      <c r="E3676" s="76">
        <v>76.972556999999995</v>
      </c>
      <c r="F3676" s="76">
        <v>69.708816999999996</v>
      </c>
      <c r="G3676" s="79">
        <v>862400</v>
      </c>
    </row>
    <row r="3677" spans="1:7" x14ac:dyDescent="0.25">
      <c r="A3677" s="1" t="s">
        <v>3800</v>
      </c>
      <c r="B3677" s="76">
        <v>77.045715000000001</v>
      </c>
      <c r="C3677" s="76">
        <v>77.345673000000005</v>
      </c>
      <c r="D3677" s="76">
        <v>76.796966999999995</v>
      </c>
      <c r="E3677" s="76">
        <v>77.038398999999998</v>
      </c>
      <c r="F3677" s="76">
        <v>69.768439999999998</v>
      </c>
      <c r="G3677" s="79">
        <v>935300</v>
      </c>
    </row>
    <row r="3678" spans="1:7" x14ac:dyDescent="0.25">
      <c r="A3678" s="1" t="s">
        <v>3801</v>
      </c>
      <c r="B3678" s="76">
        <v>77.309096999999994</v>
      </c>
      <c r="C3678" s="76">
        <v>78.201660000000004</v>
      </c>
      <c r="D3678" s="76">
        <v>77.089614999999995</v>
      </c>
      <c r="E3678" s="76">
        <v>77.996803</v>
      </c>
      <c r="F3678" s="76">
        <v>70.636391000000003</v>
      </c>
      <c r="G3678" s="79">
        <v>1017700</v>
      </c>
    </row>
    <row r="3679" spans="1:7" x14ac:dyDescent="0.25">
      <c r="A3679" s="1" t="s">
        <v>3802</v>
      </c>
      <c r="B3679" s="76">
        <v>78.216285999999997</v>
      </c>
      <c r="C3679" s="76">
        <v>78.333343999999997</v>
      </c>
      <c r="D3679" s="76">
        <v>77.491996999999998</v>
      </c>
      <c r="E3679" s="76">
        <v>77.631004000000004</v>
      </c>
      <c r="F3679" s="76">
        <v>70.305121999999997</v>
      </c>
      <c r="G3679" s="79">
        <v>893000</v>
      </c>
    </row>
    <row r="3680" spans="1:7" x14ac:dyDescent="0.25">
      <c r="A3680" s="1" t="s">
        <v>3803</v>
      </c>
      <c r="B3680" s="76">
        <v>77.835853999999998</v>
      </c>
      <c r="C3680" s="76">
        <v>78.099236000000005</v>
      </c>
      <c r="D3680" s="76">
        <v>76.943291000000002</v>
      </c>
      <c r="E3680" s="76">
        <v>77.221298000000004</v>
      </c>
      <c r="F3680" s="76">
        <v>69.934089999999998</v>
      </c>
      <c r="G3680" s="79">
        <v>2733500</v>
      </c>
    </row>
    <row r="3681" spans="1:7" x14ac:dyDescent="0.25">
      <c r="A3681" s="1" t="s">
        <v>3804</v>
      </c>
      <c r="B3681" s="76">
        <v>77.667580000000001</v>
      </c>
      <c r="C3681" s="76">
        <v>77.799270999999905</v>
      </c>
      <c r="D3681" s="76">
        <v>77.250564999999995</v>
      </c>
      <c r="E3681" s="76">
        <v>77.777321000000001</v>
      </c>
      <c r="F3681" s="76">
        <v>70.437629999999999</v>
      </c>
      <c r="G3681" s="79">
        <v>1602700</v>
      </c>
    </row>
    <row r="3682" spans="1:7" x14ac:dyDescent="0.25">
      <c r="A3682" s="1" t="s">
        <v>3805</v>
      </c>
      <c r="B3682" s="76">
        <v>77.909012000000004</v>
      </c>
      <c r="C3682" s="76">
        <v>78.143127000000007</v>
      </c>
      <c r="D3682" s="76">
        <v>77.440781000000001</v>
      </c>
      <c r="E3682" s="76">
        <v>77.865119999999905</v>
      </c>
      <c r="F3682" s="76">
        <v>70.517143000000004</v>
      </c>
      <c r="G3682" s="79">
        <v>1143000</v>
      </c>
    </row>
    <row r="3683" spans="1:7" x14ac:dyDescent="0.25">
      <c r="A3683" s="1" t="s">
        <v>3806</v>
      </c>
      <c r="B3683" s="76">
        <v>77.638320999999905</v>
      </c>
      <c r="C3683" s="76">
        <v>78.486983999999893</v>
      </c>
      <c r="D3683" s="76">
        <v>77.199355999999995</v>
      </c>
      <c r="E3683" s="76">
        <v>78.260184999999893</v>
      </c>
      <c r="F3683" s="76">
        <v>70.874938999999998</v>
      </c>
      <c r="G3683" s="79">
        <v>842100</v>
      </c>
    </row>
    <row r="3684" spans="1:7" x14ac:dyDescent="0.25">
      <c r="A3684" s="1" t="s">
        <v>3807</v>
      </c>
      <c r="B3684" s="76">
        <v>78.296768</v>
      </c>
      <c r="C3684" s="76">
        <v>78.560142999999997</v>
      </c>
      <c r="D3684" s="76">
        <v>77.960228000000001</v>
      </c>
      <c r="E3684" s="76">
        <v>78.011436000000003</v>
      </c>
      <c r="F3684" s="76">
        <v>70.649665999999996</v>
      </c>
      <c r="G3684" s="79">
        <v>969600</v>
      </c>
    </row>
    <row r="3685" spans="1:7" x14ac:dyDescent="0.25">
      <c r="A3685" s="1" t="s">
        <v>3808</v>
      </c>
      <c r="B3685" s="76">
        <v>77.916327999999993</v>
      </c>
      <c r="C3685" s="76">
        <v>78.084602000000004</v>
      </c>
      <c r="D3685" s="76">
        <v>77.038398999999998</v>
      </c>
      <c r="E3685" s="76">
        <v>77.213988999999998</v>
      </c>
      <c r="F3685" s="76">
        <v>69.927466999999993</v>
      </c>
      <c r="G3685" s="79">
        <v>853900</v>
      </c>
    </row>
    <row r="3686" spans="1:7" x14ac:dyDescent="0.25">
      <c r="A3686" s="1" t="s">
        <v>3809</v>
      </c>
      <c r="B3686" s="76">
        <v>77.623688000000001</v>
      </c>
      <c r="C3686" s="76">
        <v>77.623688000000001</v>
      </c>
      <c r="D3686" s="76">
        <v>76.643332999999998</v>
      </c>
      <c r="E3686" s="76">
        <v>76.884757999999906</v>
      </c>
      <c r="F3686" s="76">
        <v>69.629311000000001</v>
      </c>
      <c r="G3686" s="79">
        <v>800800</v>
      </c>
    </row>
    <row r="3687" spans="1:7" x14ac:dyDescent="0.25">
      <c r="A3687" s="1" t="s">
        <v>3810</v>
      </c>
      <c r="B3687" s="76">
        <v>77.016448999999994</v>
      </c>
      <c r="C3687" s="76">
        <v>77.352988999999994</v>
      </c>
      <c r="D3687" s="76">
        <v>76.709175000000002</v>
      </c>
      <c r="E3687" s="76">
        <v>76.826233000000002</v>
      </c>
      <c r="F3687" s="76">
        <v>69.576301999999998</v>
      </c>
      <c r="G3687" s="79">
        <v>744100</v>
      </c>
    </row>
    <row r="3688" spans="1:7" x14ac:dyDescent="0.25">
      <c r="A3688" s="1" t="s">
        <v>3811</v>
      </c>
      <c r="B3688" s="76">
        <v>76.906707999999995</v>
      </c>
      <c r="C3688" s="76">
        <v>77.206672999999995</v>
      </c>
      <c r="D3688" s="76">
        <v>76.811599999999999</v>
      </c>
      <c r="E3688" s="76">
        <v>77.082297999999994</v>
      </c>
      <c r="F3688" s="76">
        <v>69.808196999999893</v>
      </c>
      <c r="G3688" s="79">
        <v>741500</v>
      </c>
    </row>
    <row r="3689" spans="1:7" x14ac:dyDescent="0.25">
      <c r="A3689" s="1" t="s">
        <v>3812</v>
      </c>
      <c r="B3689" s="76">
        <v>76.921340999999998</v>
      </c>
      <c r="C3689" s="76">
        <v>77.331039000000004</v>
      </c>
      <c r="D3689" s="76">
        <v>76.767707999999999</v>
      </c>
      <c r="E3689" s="76">
        <v>77.126189999999994</v>
      </c>
      <c r="F3689" s="76">
        <v>69.847938999999997</v>
      </c>
      <c r="G3689" s="79">
        <v>698000</v>
      </c>
    </row>
    <row r="3690" spans="1:7" x14ac:dyDescent="0.25">
      <c r="A3690" s="1" t="s">
        <v>3813</v>
      </c>
      <c r="B3690" s="76">
        <v>77.367621999999997</v>
      </c>
      <c r="C3690" s="76">
        <v>77.477363999999994</v>
      </c>
      <c r="D3690" s="76">
        <v>77.031081999999998</v>
      </c>
      <c r="E3690" s="76">
        <v>77.455414000000005</v>
      </c>
      <c r="F3690" s="76">
        <v>70.146094999999903</v>
      </c>
      <c r="G3690" s="79">
        <v>930200</v>
      </c>
    </row>
    <row r="3691" spans="1:7" x14ac:dyDescent="0.25">
      <c r="A3691" s="1" t="s">
        <v>3814</v>
      </c>
      <c r="B3691" s="76">
        <v>77.550522000000001</v>
      </c>
      <c r="C3691" s="76">
        <v>78.018753000000004</v>
      </c>
      <c r="D3691" s="76">
        <v>77.345673000000005</v>
      </c>
      <c r="E3691" s="76">
        <v>78.00412</v>
      </c>
      <c r="F3691" s="76">
        <v>70.643043999999904</v>
      </c>
      <c r="G3691" s="79">
        <v>1427500</v>
      </c>
    </row>
    <row r="3692" spans="1:7" x14ac:dyDescent="0.25">
      <c r="A3692" s="1" t="s">
        <v>3815</v>
      </c>
      <c r="B3692" s="76">
        <v>78.011436000000003</v>
      </c>
      <c r="C3692" s="76">
        <v>78.582092000000003</v>
      </c>
      <c r="D3692" s="76">
        <v>77.879752999999994</v>
      </c>
      <c r="E3692" s="76">
        <v>78.355293000000003</v>
      </c>
      <c r="F3692" s="76">
        <v>70.961060000000003</v>
      </c>
      <c r="G3692" s="79">
        <v>1227000</v>
      </c>
    </row>
    <row r="3693" spans="1:7" x14ac:dyDescent="0.25">
      <c r="A3693" s="1" t="s">
        <v>3816</v>
      </c>
      <c r="B3693" s="76">
        <v>78.267501999999993</v>
      </c>
      <c r="C3693" s="76">
        <v>78.860106999999999</v>
      </c>
      <c r="D3693" s="76">
        <v>77.901694999999904</v>
      </c>
      <c r="E3693" s="76">
        <v>78.187027</v>
      </c>
      <c r="F3693" s="76">
        <v>70.808669999999907</v>
      </c>
      <c r="G3693" s="79">
        <v>1335100</v>
      </c>
    </row>
    <row r="3694" spans="1:7" x14ac:dyDescent="0.25">
      <c r="A3694" s="1" t="s">
        <v>3817</v>
      </c>
      <c r="B3694" s="76">
        <v>78.069969</v>
      </c>
      <c r="C3694" s="76">
        <v>78.955214999999995</v>
      </c>
      <c r="D3694" s="76">
        <v>77.850487000000001</v>
      </c>
      <c r="E3694" s="76">
        <v>78.852790999999996</v>
      </c>
      <c r="F3694" s="76">
        <v>71.411629000000005</v>
      </c>
      <c r="G3694" s="79">
        <v>943600</v>
      </c>
    </row>
    <row r="3695" spans="1:7" x14ac:dyDescent="0.25">
      <c r="A3695" s="1" t="s">
        <v>3818</v>
      </c>
      <c r="B3695" s="76">
        <v>78.852790999999996</v>
      </c>
      <c r="C3695" s="76">
        <v>79.086905999999999</v>
      </c>
      <c r="D3695" s="76">
        <v>78.596725000000006</v>
      </c>
      <c r="E3695" s="76">
        <v>78.845473999999996</v>
      </c>
      <c r="F3695" s="76">
        <v>71.405013999999994</v>
      </c>
      <c r="G3695" s="79">
        <v>717700</v>
      </c>
    </row>
    <row r="3696" spans="1:7" x14ac:dyDescent="0.25">
      <c r="A3696" s="1" t="s">
        <v>3819</v>
      </c>
      <c r="B3696" s="76">
        <v>78.684517</v>
      </c>
      <c r="C3696" s="76">
        <v>78.852790999999996</v>
      </c>
      <c r="D3696" s="76">
        <v>77.996803</v>
      </c>
      <c r="E3696" s="76">
        <v>78.187027</v>
      </c>
      <c r="F3696" s="76">
        <v>70.808669999999907</v>
      </c>
      <c r="G3696" s="79">
        <v>724400</v>
      </c>
    </row>
    <row r="3697" spans="1:7" x14ac:dyDescent="0.25">
      <c r="A3697" s="1" t="s">
        <v>3820</v>
      </c>
      <c r="B3697" s="76">
        <v>77.989493999999993</v>
      </c>
      <c r="C3697" s="76">
        <v>78.040702999999993</v>
      </c>
      <c r="D3697" s="76">
        <v>76.987189999999998</v>
      </c>
      <c r="E3697" s="76">
        <v>77.104240000000004</v>
      </c>
      <c r="F3697" s="76">
        <v>69.828071999999906</v>
      </c>
      <c r="G3697" s="79">
        <v>880700</v>
      </c>
    </row>
    <row r="3698" spans="1:7" x14ac:dyDescent="0.25">
      <c r="A3698" s="1" t="s">
        <v>3821</v>
      </c>
      <c r="B3698" s="76">
        <v>77.038398999999998</v>
      </c>
      <c r="C3698" s="76">
        <v>77.433471999999995</v>
      </c>
      <c r="D3698" s="76">
        <v>76.687224999999998</v>
      </c>
      <c r="E3698" s="76">
        <v>77.272514000000001</v>
      </c>
      <c r="F3698" s="76">
        <v>69.980461000000005</v>
      </c>
      <c r="G3698" s="79">
        <v>801800</v>
      </c>
    </row>
    <row r="3699" spans="1:7" x14ac:dyDescent="0.25">
      <c r="A3699" s="1" t="s">
        <v>3822</v>
      </c>
      <c r="B3699" s="76">
        <v>76.979873999999995</v>
      </c>
      <c r="C3699" s="76">
        <v>76.979873999999995</v>
      </c>
      <c r="D3699" s="76">
        <v>74.602142000000001</v>
      </c>
      <c r="E3699" s="76">
        <v>75.158164999999997</v>
      </c>
      <c r="F3699" s="76">
        <v>68.065658999999997</v>
      </c>
      <c r="G3699" s="79">
        <v>1509400</v>
      </c>
    </row>
    <row r="3700" spans="1:7" x14ac:dyDescent="0.25">
      <c r="A3700" s="1" t="s">
        <v>3823</v>
      </c>
      <c r="B3700" s="76">
        <v>75.063057000000001</v>
      </c>
      <c r="C3700" s="76">
        <v>75.604445999999996</v>
      </c>
      <c r="D3700" s="76">
        <v>74.587508999999997</v>
      </c>
      <c r="E3700" s="76">
        <v>74.894782999999904</v>
      </c>
      <c r="F3700" s="76">
        <v>67.827117999999999</v>
      </c>
      <c r="G3700" s="79">
        <v>912800</v>
      </c>
    </row>
    <row r="3701" spans="1:7" x14ac:dyDescent="0.25">
      <c r="A3701" s="1" t="s">
        <v>3824</v>
      </c>
      <c r="B3701" s="76">
        <v>74.909415999999993</v>
      </c>
      <c r="C3701" s="76">
        <v>75.831244999999996</v>
      </c>
      <c r="D3701" s="76">
        <v>74.733832999999905</v>
      </c>
      <c r="E3701" s="76">
        <v>75.582497000000004</v>
      </c>
      <c r="F3701" s="76">
        <v>68.449928</v>
      </c>
      <c r="G3701" s="79">
        <v>860100</v>
      </c>
    </row>
    <row r="3702" spans="1:7" x14ac:dyDescent="0.25">
      <c r="A3702" s="1" t="s">
        <v>3825</v>
      </c>
      <c r="B3702" s="76">
        <v>75.794662000000002</v>
      </c>
      <c r="C3702" s="76">
        <v>76.475059999999999</v>
      </c>
      <c r="D3702" s="76">
        <v>75.363014000000007</v>
      </c>
      <c r="E3702" s="76">
        <v>75.721503999999996</v>
      </c>
      <c r="F3702" s="76">
        <v>68.575828999999999</v>
      </c>
      <c r="G3702" s="79">
        <v>1058400</v>
      </c>
    </row>
    <row r="3703" spans="1:7" x14ac:dyDescent="0.25">
      <c r="A3703" s="1" t="s">
        <v>3826</v>
      </c>
      <c r="B3703" s="76">
        <v>75.992194999999995</v>
      </c>
      <c r="C3703" s="76">
        <v>76.226310999999995</v>
      </c>
      <c r="D3703" s="76">
        <v>75.077690000000004</v>
      </c>
      <c r="E3703" s="76">
        <v>75.114265000000003</v>
      </c>
      <c r="F3703" s="76">
        <v>68.025886999999997</v>
      </c>
      <c r="G3703" s="79">
        <v>1544100</v>
      </c>
    </row>
    <row r="3704" spans="1:7" x14ac:dyDescent="0.25">
      <c r="A3704" s="1" t="s">
        <v>3827</v>
      </c>
      <c r="B3704" s="76">
        <v>75.443489</v>
      </c>
      <c r="C3704" s="76">
        <v>75.692238000000003</v>
      </c>
      <c r="D3704" s="76">
        <v>74.302184999999994</v>
      </c>
      <c r="E3704" s="76">
        <v>74.748465999999993</v>
      </c>
      <c r="F3704" s="76">
        <v>67.694610999999995</v>
      </c>
      <c r="G3704" s="79">
        <v>2085600</v>
      </c>
    </row>
    <row r="3705" spans="1:7" x14ac:dyDescent="0.25">
      <c r="A3705" s="1" t="s">
        <v>3828</v>
      </c>
      <c r="B3705" s="76">
        <v>74.719200000000001</v>
      </c>
      <c r="C3705" s="76">
        <v>74.828941</v>
      </c>
      <c r="D3705" s="76">
        <v>73.994904000000005</v>
      </c>
      <c r="E3705" s="76">
        <v>74.016852999999998</v>
      </c>
      <c r="F3705" s="76">
        <v>67.032036000000005</v>
      </c>
      <c r="G3705" s="79">
        <v>1078500</v>
      </c>
    </row>
    <row r="3706" spans="1:7" x14ac:dyDescent="0.25">
      <c r="A3706" s="1" t="s">
        <v>3829</v>
      </c>
      <c r="B3706" s="76">
        <v>74.009536999999995</v>
      </c>
      <c r="C3706" s="76">
        <v>74.316817999999998</v>
      </c>
      <c r="D3706" s="76">
        <v>73.307198</v>
      </c>
      <c r="E3706" s="76">
        <v>73.387671999999995</v>
      </c>
      <c r="F3706" s="76">
        <v>66.462226999999999</v>
      </c>
      <c r="G3706" s="79">
        <v>1185800</v>
      </c>
    </row>
    <row r="3707" spans="1:7" x14ac:dyDescent="0.25">
      <c r="A3707" s="1" t="s">
        <v>3830</v>
      </c>
      <c r="B3707" s="76">
        <v>73.248665000000003</v>
      </c>
      <c r="C3707" s="76">
        <v>74.397293000000005</v>
      </c>
      <c r="D3707" s="76">
        <v>72.977974000000003</v>
      </c>
      <c r="E3707" s="76">
        <v>73.182822999999999</v>
      </c>
      <c r="F3707" s="76">
        <v>66.276694999999904</v>
      </c>
      <c r="G3707" s="79">
        <v>1251600</v>
      </c>
    </row>
    <row r="3708" spans="1:7" x14ac:dyDescent="0.25">
      <c r="A3708" s="1" t="s">
        <v>3831</v>
      </c>
      <c r="B3708" s="76">
        <v>73.168189999999996</v>
      </c>
      <c r="C3708" s="76">
        <v>73.643737999999999</v>
      </c>
      <c r="D3708" s="76">
        <v>72.802382999999907</v>
      </c>
      <c r="E3708" s="76">
        <v>72.992598999999998</v>
      </c>
      <c r="F3708" s="76">
        <v>66.104445999999996</v>
      </c>
      <c r="G3708" s="79">
        <v>1189500</v>
      </c>
    </row>
    <row r="3709" spans="1:7" x14ac:dyDescent="0.25">
      <c r="A3709" s="1" t="s">
        <v>3832</v>
      </c>
      <c r="B3709" s="76">
        <v>72.977974000000003</v>
      </c>
      <c r="C3709" s="76">
        <v>73.841269999999994</v>
      </c>
      <c r="D3709" s="76">
        <v>72.619484</v>
      </c>
      <c r="E3709" s="76">
        <v>73.716895999999906</v>
      </c>
      <c r="F3709" s="76">
        <v>66.760384000000002</v>
      </c>
      <c r="G3709" s="79">
        <v>739600</v>
      </c>
    </row>
    <row r="3710" spans="1:7" x14ac:dyDescent="0.25">
      <c r="A3710" s="1" t="s">
        <v>3833</v>
      </c>
      <c r="B3710" s="76">
        <v>73.512046999999995</v>
      </c>
      <c r="C3710" s="76">
        <v>73.570571999999999</v>
      </c>
      <c r="D3710" s="76">
        <v>72.882857999999999</v>
      </c>
      <c r="E3710" s="76">
        <v>73.490096999999906</v>
      </c>
      <c r="F3710" s="76">
        <v>66.554992999999996</v>
      </c>
      <c r="G3710" s="79">
        <v>852200</v>
      </c>
    </row>
    <row r="3711" spans="1:7" x14ac:dyDescent="0.25">
      <c r="A3711" s="1" t="s">
        <v>3834</v>
      </c>
      <c r="B3711" s="76">
        <v>73.599838000000005</v>
      </c>
      <c r="C3711" s="76">
        <v>73.855903999999995</v>
      </c>
      <c r="D3711" s="76">
        <v>72.948707999999996</v>
      </c>
      <c r="E3711" s="76">
        <v>73.131606999999903</v>
      </c>
      <c r="F3711" s="76">
        <v>66.230331000000007</v>
      </c>
      <c r="G3711" s="79">
        <v>976100</v>
      </c>
    </row>
    <row r="3712" spans="1:7" x14ac:dyDescent="0.25">
      <c r="A3712" s="1" t="s">
        <v>3835</v>
      </c>
      <c r="B3712" s="76">
        <v>72.999915999999999</v>
      </c>
      <c r="C3712" s="76">
        <v>73.636420999999999</v>
      </c>
      <c r="D3712" s="76">
        <v>72.612166999999999</v>
      </c>
      <c r="E3712" s="76">
        <v>72.992598999999998</v>
      </c>
      <c r="F3712" s="76">
        <v>66.104445999999996</v>
      </c>
      <c r="G3712" s="79">
        <v>1122500</v>
      </c>
    </row>
    <row r="3713" spans="1:7" x14ac:dyDescent="0.25">
      <c r="A3713" s="1" t="s">
        <v>3836</v>
      </c>
      <c r="B3713" s="76">
        <v>72.992598999999998</v>
      </c>
      <c r="C3713" s="76">
        <v>73.343772999999999</v>
      </c>
      <c r="D3713" s="76">
        <v>72.370734999999996</v>
      </c>
      <c r="E3713" s="76">
        <v>72.860916000000003</v>
      </c>
      <c r="F3713" s="76">
        <v>65.985175999999996</v>
      </c>
      <c r="G3713" s="79">
        <v>948900</v>
      </c>
    </row>
    <row r="3714" spans="1:7" x14ac:dyDescent="0.25">
      <c r="A3714" s="1" t="s">
        <v>3837</v>
      </c>
      <c r="B3714" s="76">
        <v>73.095031999999904</v>
      </c>
      <c r="C3714" s="76">
        <v>73.270615000000006</v>
      </c>
      <c r="D3714" s="76">
        <v>72.663376</v>
      </c>
      <c r="E3714" s="76">
        <v>73.029181999999906</v>
      </c>
      <c r="F3714" s="76">
        <v>66.137566000000007</v>
      </c>
      <c r="G3714" s="79">
        <v>853200</v>
      </c>
    </row>
    <row r="3715" spans="1:7" x14ac:dyDescent="0.25">
      <c r="A3715" s="1" t="s">
        <v>3838</v>
      </c>
      <c r="B3715" s="76">
        <v>73.175506999999996</v>
      </c>
      <c r="C3715" s="76">
        <v>73.533996999999999</v>
      </c>
      <c r="D3715" s="76">
        <v>72.729225</v>
      </c>
      <c r="E3715" s="76">
        <v>72.904808000000003</v>
      </c>
      <c r="F3715" s="76">
        <v>66.024924999999996</v>
      </c>
      <c r="G3715" s="79">
        <v>807800</v>
      </c>
    </row>
    <row r="3716" spans="1:7" x14ac:dyDescent="0.25">
      <c r="A3716" s="1" t="s">
        <v>3839</v>
      </c>
      <c r="B3716" s="76">
        <v>72.721908999999997</v>
      </c>
      <c r="C3716" s="76">
        <v>72.875548999999907</v>
      </c>
      <c r="D3716" s="76">
        <v>71.939087000000001</v>
      </c>
      <c r="E3716" s="76">
        <v>71.961037000000005</v>
      </c>
      <c r="F3716" s="76">
        <v>65.170226999999997</v>
      </c>
      <c r="G3716" s="79">
        <v>1369500</v>
      </c>
    </row>
    <row r="3717" spans="1:7" x14ac:dyDescent="0.25">
      <c r="A3717" s="1" t="s">
        <v>3840</v>
      </c>
      <c r="B3717" s="76">
        <v>71.953719999999905</v>
      </c>
      <c r="C3717" s="76">
        <v>73.687629999999999</v>
      </c>
      <c r="D3717" s="76">
        <v>71.895186999999893</v>
      </c>
      <c r="E3717" s="76">
        <v>73.453513999999998</v>
      </c>
      <c r="F3717" s="76">
        <v>66.521843000000004</v>
      </c>
      <c r="G3717" s="79">
        <v>1802400</v>
      </c>
    </row>
    <row r="3718" spans="1:7" x14ac:dyDescent="0.25">
      <c r="A3718" s="1" t="s">
        <v>3841</v>
      </c>
      <c r="B3718" s="76">
        <v>73.504729999999995</v>
      </c>
      <c r="C3718" s="76">
        <v>74.814307999999997</v>
      </c>
      <c r="D3718" s="76">
        <v>73.226714999999999</v>
      </c>
      <c r="E3718" s="76">
        <v>74.368026999999998</v>
      </c>
      <c r="F3718" s="76">
        <v>67.350075000000004</v>
      </c>
      <c r="G3718" s="79">
        <v>2285000</v>
      </c>
    </row>
    <row r="3719" spans="1:7" x14ac:dyDescent="0.25">
      <c r="A3719" s="1" t="s">
        <v>3842</v>
      </c>
      <c r="B3719" s="76">
        <v>74.558243000000004</v>
      </c>
      <c r="C3719" s="76">
        <v>76.116569999999996</v>
      </c>
      <c r="D3719" s="76">
        <v>74.075385999999995</v>
      </c>
      <c r="E3719" s="76">
        <v>74.997208000000001</v>
      </c>
      <c r="F3719" s="76">
        <v>67.919867999999994</v>
      </c>
      <c r="G3719" s="79">
        <v>3393500</v>
      </c>
    </row>
    <row r="3720" spans="1:7" x14ac:dyDescent="0.25">
      <c r="A3720" s="1" t="s">
        <v>3843</v>
      </c>
      <c r="B3720" s="76">
        <v>74.982581999999994</v>
      </c>
      <c r="C3720" s="76">
        <v>75.772712999999996</v>
      </c>
      <c r="D3720" s="76">
        <v>74.624092000000005</v>
      </c>
      <c r="E3720" s="76">
        <v>74.660667000000004</v>
      </c>
      <c r="F3720" s="76">
        <v>67.615088999999998</v>
      </c>
      <c r="G3720" s="79">
        <v>889200</v>
      </c>
    </row>
    <row r="3721" spans="1:7" x14ac:dyDescent="0.25">
      <c r="A3721" s="1" t="s">
        <v>3844</v>
      </c>
      <c r="B3721" s="76">
        <v>74.887466000000003</v>
      </c>
      <c r="C3721" s="76">
        <v>76.679908999999995</v>
      </c>
      <c r="D3721" s="76">
        <v>74.660667000000004</v>
      </c>
      <c r="E3721" s="76">
        <v>76.145836000000003</v>
      </c>
      <c r="F3721" s="76">
        <v>68.960105999999996</v>
      </c>
      <c r="G3721" s="79">
        <v>1016600</v>
      </c>
    </row>
    <row r="3722" spans="1:7" x14ac:dyDescent="0.25">
      <c r="A3722" s="1" t="s">
        <v>3845</v>
      </c>
      <c r="B3722" s="76">
        <v>75.897086999999999</v>
      </c>
      <c r="C3722" s="76">
        <v>76.497008999999906</v>
      </c>
      <c r="D3722" s="76">
        <v>74.924048999999997</v>
      </c>
      <c r="E3722" s="76">
        <v>75.589813000000007</v>
      </c>
      <c r="F3722" s="76">
        <v>68.456565999999995</v>
      </c>
      <c r="G3722" s="79">
        <v>2242800</v>
      </c>
    </row>
    <row r="3723" spans="1:7" x14ac:dyDescent="0.25">
      <c r="A3723" s="1" t="s">
        <v>3846</v>
      </c>
      <c r="B3723" s="76">
        <v>74.755782999999994</v>
      </c>
      <c r="C3723" s="76">
        <v>76.211685000000003</v>
      </c>
      <c r="D3723" s="76">
        <v>74.704566999999997</v>
      </c>
      <c r="E3723" s="76">
        <v>75.919037000000003</v>
      </c>
      <c r="F3723" s="76">
        <v>68.754715000000004</v>
      </c>
      <c r="G3723" s="79">
        <v>1097700</v>
      </c>
    </row>
    <row r="3724" spans="1:7" x14ac:dyDescent="0.25">
      <c r="A3724" s="1" t="s">
        <v>3847</v>
      </c>
      <c r="B3724" s="76">
        <v>76.555533999999994</v>
      </c>
      <c r="C3724" s="76">
        <v>76.775017000000005</v>
      </c>
      <c r="D3724" s="76">
        <v>75.670287999999999</v>
      </c>
      <c r="E3724" s="76">
        <v>76.577483999999998</v>
      </c>
      <c r="F3724" s="76">
        <v>69.351027999999999</v>
      </c>
      <c r="G3724" s="79">
        <v>1385200</v>
      </c>
    </row>
    <row r="3725" spans="1:7" x14ac:dyDescent="0.25">
      <c r="A3725" s="1" t="s">
        <v>3848</v>
      </c>
      <c r="B3725" s="76">
        <v>76.350684999999999</v>
      </c>
      <c r="C3725" s="76">
        <v>77.550522000000001</v>
      </c>
      <c r="D3725" s="76">
        <v>76.218993999999995</v>
      </c>
      <c r="E3725" s="76">
        <v>77.535895999999994</v>
      </c>
      <c r="F3725" s="76">
        <v>70.219002000000003</v>
      </c>
      <c r="G3725" s="79">
        <v>913000</v>
      </c>
    </row>
    <row r="3726" spans="1:7" x14ac:dyDescent="0.25">
      <c r="A3726" s="1" t="s">
        <v>3849</v>
      </c>
      <c r="B3726" s="76">
        <v>77.828536999999997</v>
      </c>
      <c r="C3726" s="76">
        <v>78.311401000000004</v>
      </c>
      <c r="D3726" s="76">
        <v>77.199355999999995</v>
      </c>
      <c r="E3726" s="76">
        <v>78.282134999999997</v>
      </c>
      <c r="F3726" s="76">
        <v>70.894813999999997</v>
      </c>
      <c r="G3726" s="79">
        <v>886900</v>
      </c>
    </row>
    <row r="3727" spans="1:7" x14ac:dyDescent="0.25">
      <c r="A3727" s="1" t="s">
        <v>3850</v>
      </c>
      <c r="B3727" s="76">
        <v>78.311401000000004</v>
      </c>
      <c r="C3727" s="76">
        <v>78.640625</v>
      </c>
      <c r="D3727" s="76">
        <v>77.952911</v>
      </c>
      <c r="E3727" s="76">
        <v>78.238235000000003</v>
      </c>
      <c r="F3727" s="76">
        <v>70.855063999999999</v>
      </c>
      <c r="G3727" s="79">
        <v>1160300</v>
      </c>
    </row>
    <row r="3728" spans="1:7" x14ac:dyDescent="0.25">
      <c r="A3728" s="1" t="s">
        <v>3851</v>
      </c>
      <c r="B3728" s="76">
        <v>78.640625</v>
      </c>
      <c r="C3728" s="76">
        <v>79.006423999999996</v>
      </c>
      <c r="D3728" s="76">
        <v>77.784637000000004</v>
      </c>
      <c r="E3728" s="76">
        <v>78.691833000000003</v>
      </c>
      <c r="F3728" s="76">
        <v>71.265854000000004</v>
      </c>
      <c r="G3728" s="79">
        <v>1459900</v>
      </c>
    </row>
    <row r="3729" spans="1:7" x14ac:dyDescent="0.25">
      <c r="A3729" s="1" t="s">
        <v>3852</v>
      </c>
      <c r="B3729" s="76">
        <v>78.801575</v>
      </c>
      <c r="C3729" s="76">
        <v>79.057640000000006</v>
      </c>
      <c r="D3729" s="76">
        <v>77.916327999999993</v>
      </c>
      <c r="E3729" s="76">
        <v>78.589409000000003</v>
      </c>
      <c r="F3729" s="76">
        <v>71.173079999999999</v>
      </c>
      <c r="G3729" s="79">
        <v>782400</v>
      </c>
    </row>
    <row r="3730" spans="1:7" x14ac:dyDescent="0.25">
      <c r="A3730" s="1" t="s">
        <v>3853</v>
      </c>
      <c r="B3730" s="76">
        <v>78.618674999999996</v>
      </c>
      <c r="C3730" s="76">
        <v>79.138114999999999</v>
      </c>
      <c r="D3730" s="76">
        <v>78.267501999999993</v>
      </c>
      <c r="E3730" s="76">
        <v>79.079589999999996</v>
      </c>
      <c r="F3730" s="76">
        <v>71.617012000000003</v>
      </c>
      <c r="G3730" s="79">
        <v>901900</v>
      </c>
    </row>
    <row r="3731" spans="1:7" x14ac:dyDescent="0.25">
      <c r="A3731" s="1" t="s">
        <v>3854</v>
      </c>
      <c r="B3731" s="76">
        <v>79.321021999999999</v>
      </c>
      <c r="C3731" s="76">
        <v>79.321021999999999</v>
      </c>
      <c r="D3731" s="76">
        <v>78.406509</v>
      </c>
      <c r="E3731" s="76">
        <v>78.794257999999999</v>
      </c>
      <c r="F3731" s="76">
        <v>71.358620000000002</v>
      </c>
      <c r="G3731" s="79">
        <v>1010500</v>
      </c>
    </row>
    <row r="3732" spans="1:7" x14ac:dyDescent="0.25">
      <c r="A3732" s="1" t="s">
        <v>3855</v>
      </c>
      <c r="B3732" s="76">
        <v>78.647942</v>
      </c>
      <c r="C3732" s="76">
        <v>78.977164999999999</v>
      </c>
      <c r="D3732" s="76">
        <v>77.652953999999994</v>
      </c>
      <c r="E3732" s="76">
        <v>78.099236000000005</v>
      </c>
      <c r="F3732" s="76">
        <v>70.729171999999906</v>
      </c>
      <c r="G3732" s="79">
        <v>1494400</v>
      </c>
    </row>
    <row r="3733" spans="1:7" x14ac:dyDescent="0.25">
      <c r="A3733" s="1" t="s">
        <v>3856</v>
      </c>
      <c r="B3733" s="76">
        <v>77.894379000000001</v>
      </c>
      <c r="C3733" s="76">
        <v>78.772307999999995</v>
      </c>
      <c r="D3733" s="76">
        <v>68.105452999999997</v>
      </c>
      <c r="E3733" s="76">
        <v>78.721100000000007</v>
      </c>
      <c r="F3733" s="76">
        <v>71.292335999999906</v>
      </c>
      <c r="G3733" s="79">
        <v>1533400</v>
      </c>
    </row>
    <row r="3734" spans="1:7" x14ac:dyDescent="0.25">
      <c r="A3734" s="1" t="s">
        <v>3857</v>
      </c>
      <c r="B3734" s="76">
        <v>79.357596999999998</v>
      </c>
      <c r="C3734" s="76">
        <v>80.213584999999995</v>
      </c>
      <c r="D3734" s="76">
        <v>78.721100000000007</v>
      </c>
      <c r="E3734" s="76">
        <v>80.096526999999995</v>
      </c>
      <c r="F3734" s="76">
        <v>72.537970999999999</v>
      </c>
      <c r="G3734" s="79">
        <v>1887300</v>
      </c>
    </row>
    <row r="3735" spans="1:7" x14ac:dyDescent="0.25">
      <c r="A3735" s="1" t="s">
        <v>3858</v>
      </c>
      <c r="B3735" s="76">
        <v>79.994095000000002</v>
      </c>
      <c r="C3735" s="76">
        <v>81.215889000000004</v>
      </c>
      <c r="D3735" s="76">
        <v>79.877044999999995</v>
      </c>
      <c r="E3735" s="76">
        <v>81.076881</v>
      </c>
      <c r="F3735" s="76">
        <v>73.425826999999998</v>
      </c>
      <c r="G3735" s="79">
        <v>1612800</v>
      </c>
    </row>
    <row r="3736" spans="1:7" x14ac:dyDescent="0.25">
      <c r="A3736" s="1" t="s">
        <v>3859</v>
      </c>
      <c r="B3736" s="76">
        <v>80.711074999999994</v>
      </c>
      <c r="C3736" s="76">
        <v>81.552421999999893</v>
      </c>
      <c r="D3736" s="76">
        <v>80.294060000000002</v>
      </c>
      <c r="E3736" s="76">
        <v>81.325630000000004</v>
      </c>
      <c r="F3736" s="76">
        <v>73.651084999999995</v>
      </c>
      <c r="G3736" s="79">
        <v>1561600</v>
      </c>
    </row>
    <row r="3737" spans="1:7" x14ac:dyDescent="0.25">
      <c r="A3737" s="1" t="s">
        <v>3860</v>
      </c>
      <c r="B3737" s="76">
        <v>81.428055000000001</v>
      </c>
      <c r="C3737" s="76">
        <v>81.962128000000007</v>
      </c>
      <c r="D3737" s="76">
        <v>80.872031999999905</v>
      </c>
      <c r="E3737" s="76">
        <v>81.793853999999996</v>
      </c>
      <c r="F3737" s="76">
        <v>74.075142</v>
      </c>
      <c r="G3737" s="79">
        <v>1671400</v>
      </c>
    </row>
    <row r="3738" spans="1:7" x14ac:dyDescent="0.25">
      <c r="A3738" s="1" t="s">
        <v>3861</v>
      </c>
      <c r="B3738" s="76">
        <v>81.274413999999993</v>
      </c>
      <c r="C3738" s="76">
        <v>81.274413999999993</v>
      </c>
      <c r="D3738" s="76">
        <v>80.381850999999997</v>
      </c>
      <c r="E3738" s="76">
        <v>80.572067000000004</v>
      </c>
      <c r="F3738" s="76">
        <v>73.448211999999998</v>
      </c>
      <c r="G3738" s="79">
        <v>2039600</v>
      </c>
    </row>
    <row r="3739" spans="1:7" x14ac:dyDescent="0.25">
      <c r="A3739" s="1" t="s">
        <v>3862</v>
      </c>
      <c r="B3739" s="76">
        <v>80.608649999999997</v>
      </c>
      <c r="C3739" s="76">
        <v>80.674492000000001</v>
      </c>
      <c r="D3739" s="76">
        <v>79.708770999999999</v>
      </c>
      <c r="E3739" s="76">
        <v>79.767302999999998</v>
      </c>
      <c r="F3739" s="76">
        <v>72.714614999999995</v>
      </c>
      <c r="G3739" s="79">
        <v>1279400</v>
      </c>
    </row>
    <row r="3740" spans="1:7" x14ac:dyDescent="0.25">
      <c r="A3740" s="1" t="s">
        <v>3863</v>
      </c>
      <c r="B3740" s="76">
        <v>79.606346000000002</v>
      </c>
      <c r="C3740" s="76">
        <v>80.140418999999994</v>
      </c>
      <c r="D3740" s="76">
        <v>79.584395999999998</v>
      </c>
      <c r="E3740" s="76">
        <v>79.891669999999905</v>
      </c>
      <c r="F3740" s="76">
        <v>72.827972000000003</v>
      </c>
      <c r="G3740" s="79">
        <v>1165500</v>
      </c>
    </row>
    <row r="3741" spans="1:7" x14ac:dyDescent="0.25">
      <c r="A3741" s="1" t="s">
        <v>3864</v>
      </c>
      <c r="B3741" s="76">
        <v>80.162368999999998</v>
      </c>
      <c r="C3741" s="76">
        <v>80.272109999999998</v>
      </c>
      <c r="D3741" s="76">
        <v>79.321021999999999</v>
      </c>
      <c r="E3741" s="76">
        <v>79.460021999999995</v>
      </c>
      <c r="F3741" s="76">
        <v>72.434494000000001</v>
      </c>
      <c r="G3741" s="79">
        <v>740500</v>
      </c>
    </row>
    <row r="3742" spans="1:7" x14ac:dyDescent="0.25">
      <c r="A3742" s="1" t="s">
        <v>3865</v>
      </c>
      <c r="B3742" s="76">
        <v>79.386864000000003</v>
      </c>
      <c r="C3742" s="76">
        <v>79.467338999999996</v>
      </c>
      <c r="D3742" s="76">
        <v>78.435776000000004</v>
      </c>
      <c r="E3742" s="76">
        <v>78.662566999999996</v>
      </c>
      <c r="F3742" s="76">
        <v>71.707557999999906</v>
      </c>
      <c r="G3742" s="79">
        <v>845400</v>
      </c>
    </row>
    <row r="3743" spans="1:7" x14ac:dyDescent="0.25">
      <c r="A3743" s="1" t="s">
        <v>3866</v>
      </c>
      <c r="B3743" s="76">
        <v>78.925949000000003</v>
      </c>
      <c r="C3743" s="76">
        <v>79.445389000000006</v>
      </c>
      <c r="D3743" s="76">
        <v>78.604042000000007</v>
      </c>
      <c r="E3743" s="76">
        <v>79.123481999999996</v>
      </c>
      <c r="F3743" s="76">
        <v>72.127716000000007</v>
      </c>
      <c r="G3743" s="79">
        <v>790700</v>
      </c>
    </row>
    <row r="3744" spans="1:7" x14ac:dyDescent="0.25">
      <c r="A3744" s="1" t="s">
        <v>3867</v>
      </c>
      <c r="B3744" s="76">
        <v>79.174697999999907</v>
      </c>
      <c r="C3744" s="76">
        <v>79.738037000000006</v>
      </c>
      <c r="D3744" s="76">
        <v>78.450400999999999</v>
      </c>
      <c r="E3744" s="76">
        <v>78.706467000000004</v>
      </c>
      <c r="F3744" s="76">
        <v>71.747566000000006</v>
      </c>
      <c r="G3744" s="79">
        <v>838100</v>
      </c>
    </row>
    <row r="3745" spans="1:7" x14ac:dyDescent="0.25">
      <c r="A3745" s="1" t="s">
        <v>3868</v>
      </c>
      <c r="B3745" s="76">
        <v>78.735732999999996</v>
      </c>
      <c r="C3745" s="76">
        <v>79.357596999999998</v>
      </c>
      <c r="D3745" s="76">
        <v>78.516250999999997</v>
      </c>
      <c r="E3745" s="76">
        <v>79.050322999999906</v>
      </c>
      <c r="F3745" s="76">
        <v>72.061019999999999</v>
      </c>
      <c r="G3745" s="79">
        <v>1132000</v>
      </c>
    </row>
    <row r="3746" spans="1:7" x14ac:dyDescent="0.25">
      <c r="A3746" s="1" t="s">
        <v>3869</v>
      </c>
      <c r="B3746" s="76">
        <v>79.006423999999996</v>
      </c>
      <c r="C3746" s="76">
        <v>80.037993999999998</v>
      </c>
      <c r="D3746" s="76">
        <v>78.786941999999996</v>
      </c>
      <c r="E3746" s="76">
        <v>79.891669999999905</v>
      </c>
      <c r="F3746" s="76">
        <v>72.827972000000003</v>
      </c>
      <c r="G3746" s="79">
        <v>1025100</v>
      </c>
    </row>
    <row r="3747" spans="1:7" x14ac:dyDescent="0.25">
      <c r="A3747" s="1" t="s">
        <v>3870</v>
      </c>
      <c r="B3747" s="76">
        <v>79.642928999999995</v>
      </c>
      <c r="C3747" s="76">
        <v>80.389167999999998</v>
      </c>
      <c r="D3747" s="76">
        <v>79.306388999999996</v>
      </c>
      <c r="E3747" s="76">
        <v>79.730721000000003</v>
      </c>
      <c r="F3747" s="76">
        <v>72.681267000000005</v>
      </c>
      <c r="G3747" s="79">
        <v>1316300</v>
      </c>
    </row>
    <row r="3748" spans="1:7" x14ac:dyDescent="0.25">
      <c r="A3748" s="1" t="s">
        <v>3871</v>
      </c>
      <c r="B3748" s="76">
        <v>79.664870999999906</v>
      </c>
      <c r="C3748" s="76">
        <v>79.957520000000002</v>
      </c>
      <c r="D3748" s="76">
        <v>79.335647999999907</v>
      </c>
      <c r="E3748" s="76">
        <v>79.803878999999995</v>
      </c>
      <c r="F3748" s="76">
        <v>72.747947999999994</v>
      </c>
      <c r="G3748" s="79">
        <v>1435400</v>
      </c>
    </row>
    <row r="3749" spans="1:7" x14ac:dyDescent="0.25">
      <c r="A3749" s="1" t="s">
        <v>3872</v>
      </c>
      <c r="B3749" s="76">
        <v>80.279426999999998</v>
      </c>
      <c r="C3749" s="76">
        <v>80.967140000000001</v>
      </c>
      <c r="D3749" s="76">
        <v>79.716087000000002</v>
      </c>
      <c r="E3749" s="76">
        <v>80.915924000000004</v>
      </c>
      <c r="F3749" s="76">
        <v>73.761664999999994</v>
      </c>
      <c r="G3749" s="79">
        <v>1713200</v>
      </c>
    </row>
    <row r="3750" spans="1:7" x14ac:dyDescent="0.25">
      <c r="A3750" s="1" t="s">
        <v>3873</v>
      </c>
      <c r="B3750" s="76">
        <v>81.208572000000004</v>
      </c>
      <c r="C3750" s="76">
        <v>81.493895999999907</v>
      </c>
      <c r="D3750" s="76">
        <v>80.762291000000005</v>
      </c>
      <c r="E3750" s="76">
        <v>81.120773</v>
      </c>
      <c r="F3750" s="76">
        <v>73.948409999999996</v>
      </c>
      <c r="G3750" s="79">
        <v>1342100</v>
      </c>
    </row>
    <row r="3751" spans="1:7" x14ac:dyDescent="0.25">
      <c r="A3751" s="1" t="s">
        <v>3874</v>
      </c>
      <c r="B3751" s="76">
        <v>81.252464000000003</v>
      </c>
      <c r="C3751" s="76">
        <v>81.384155000000007</v>
      </c>
      <c r="D3751" s="76">
        <v>80.886657999999997</v>
      </c>
      <c r="E3751" s="76">
        <v>81.018349000000001</v>
      </c>
      <c r="F3751" s="76">
        <v>73.855048999999994</v>
      </c>
      <c r="G3751" s="79">
        <v>1588800</v>
      </c>
    </row>
    <row r="3752" spans="1:7" x14ac:dyDescent="0.25">
      <c r="A3752" s="1" t="s">
        <v>3875</v>
      </c>
      <c r="B3752" s="76">
        <v>81.113456999999997</v>
      </c>
      <c r="C3752" s="76">
        <v>81.523162999999997</v>
      </c>
      <c r="D3752" s="76">
        <v>80.879349000000005</v>
      </c>
      <c r="E3752" s="76">
        <v>81.245148</v>
      </c>
      <c r="F3752" s="76">
        <v>74.061797999999996</v>
      </c>
      <c r="G3752" s="79">
        <v>896500</v>
      </c>
    </row>
    <row r="3753" spans="1:7" x14ac:dyDescent="0.25">
      <c r="A3753" s="1" t="s">
        <v>3876</v>
      </c>
      <c r="B3753" s="76">
        <v>81.113456999999997</v>
      </c>
      <c r="C3753" s="76">
        <v>82.305983999999995</v>
      </c>
      <c r="D3753" s="76">
        <v>81.113456999999997</v>
      </c>
      <c r="E3753" s="76">
        <v>81.618270999999993</v>
      </c>
      <c r="F3753" s="76">
        <v>74.401916999999997</v>
      </c>
      <c r="G3753" s="79">
        <v>696800</v>
      </c>
    </row>
    <row r="3754" spans="1:7" x14ac:dyDescent="0.25">
      <c r="A3754" s="1" t="s">
        <v>3877</v>
      </c>
      <c r="B3754" s="76">
        <v>81.471947</v>
      </c>
      <c r="C3754" s="76">
        <v>82.488883999999999</v>
      </c>
      <c r="D3754" s="76">
        <v>81.142723000000004</v>
      </c>
      <c r="E3754" s="76">
        <v>82.020652999999996</v>
      </c>
      <c r="F3754" s="76">
        <v>74.768730000000005</v>
      </c>
      <c r="G3754" s="79">
        <v>1366600</v>
      </c>
    </row>
    <row r="3755" spans="1:7" x14ac:dyDescent="0.25">
      <c r="A3755" s="1" t="s">
        <v>3878</v>
      </c>
      <c r="B3755" s="76">
        <v>81.991394</v>
      </c>
      <c r="C3755" s="76">
        <v>82.540099999999995</v>
      </c>
      <c r="D3755" s="76">
        <v>81.486580000000004</v>
      </c>
      <c r="E3755" s="76">
        <v>82.525467000000006</v>
      </c>
      <c r="F3755" s="76">
        <v>75.228904999999997</v>
      </c>
      <c r="G3755" s="79">
        <v>1099900</v>
      </c>
    </row>
    <row r="3756" spans="1:7" x14ac:dyDescent="0.25">
      <c r="A3756" s="1" t="s">
        <v>3879</v>
      </c>
      <c r="B3756" s="76">
        <v>82.379142999999999</v>
      </c>
      <c r="C3756" s="76">
        <v>82.459618000000006</v>
      </c>
      <c r="D3756" s="76">
        <v>81.530479</v>
      </c>
      <c r="E3756" s="76">
        <v>82.064552000000006</v>
      </c>
      <c r="F3756" s="76">
        <v>74.808745999999999</v>
      </c>
      <c r="G3756" s="79">
        <v>1130700</v>
      </c>
    </row>
    <row r="3757" spans="1:7" x14ac:dyDescent="0.25">
      <c r="A3757" s="1" t="s">
        <v>3880</v>
      </c>
      <c r="B3757" s="76">
        <v>81.984076999999999</v>
      </c>
      <c r="C3757" s="76">
        <v>82.766898999999995</v>
      </c>
      <c r="D3757" s="76">
        <v>81.706062000000003</v>
      </c>
      <c r="E3757" s="76">
        <v>82.562042000000005</v>
      </c>
      <c r="F3757" s="76">
        <v>75.262259999999998</v>
      </c>
      <c r="G3757" s="79">
        <v>976100</v>
      </c>
    </row>
    <row r="3758" spans="1:7" x14ac:dyDescent="0.25">
      <c r="A3758" s="1" t="s">
        <v>3881</v>
      </c>
      <c r="B3758" s="76">
        <v>82.262084999999999</v>
      </c>
      <c r="C3758" s="76">
        <v>82.664467000000002</v>
      </c>
      <c r="D3758" s="76">
        <v>81.713379000000003</v>
      </c>
      <c r="E3758" s="76">
        <v>82.562042000000005</v>
      </c>
      <c r="F3758" s="76">
        <v>75.262259999999998</v>
      </c>
      <c r="G3758" s="79">
        <v>971700</v>
      </c>
    </row>
    <row r="3759" spans="1:7" x14ac:dyDescent="0.25">
      <c r="A3759" s="1" t="s">
        <v>3882</v>
      </c>
      <c r="B3759" s="76">
        <v>82.759582999999907</v>
      </c>
      <c r="C3759" s="76">
        <v>83.447288999999998</v>
      </c>
      <c r="D3759" s="76">
        <v>82.547416999999996</v>
      </c>
      <c r="E3759" s="76">
        <v>82.810790999999995</v>
      </c>
      <c r="F3759" s="76">
        <v>75.489013999999997</v>
      </c>
      <c r="G3759" s="79">
        <v>832700</v>
      </c>
    </row>
    <row r="3760" spans="1:7" x14ac:dyDescent="0.25">
      <c r="A3760" s="1" t="s">
        <v>3883</v>
      </c>
      <c r="B3760" s="76">
        <v>82.123076999999995</v>
      </c>
      <c r="C3760" s="76">
        <v>84.069159999999997</v>
      </c>
      <c r="D3760" s="76">
        <v>82.042603</v>
      </c>
      <c r="E3760" s="76">
        <v>83.578979000000004</v>
      </c>
      <c r="F3760" s="76">
        <v>76.189269999999993</v>
      </c>
      <c r="G3760" s="79">
        <v>1308900</v>
      </c>
    </row>
    <row r="3761" spans="1:7" x14ac:dyDescent="0.25">
      <c r="A3761" s="1" t="s">
        <v>3884</v>
      </c>
      <c r="B3761" s="76">
        <v>83.520454000000001</v>
      </c>
      <c r="C3761" s="76">
        <v>83.791145</v>
      </c>
      <c r="D3761" s="76">
        <v>82.971748000000005</v>
      </c>
      <c r="E3761" s="76">
        <v>83.315605000000005</v>
      </c>
      <c r="F3761" s="76">
        <v>75.949196000000001</v>
      </c>
      <c r="G3761" s="79">
        <v>945900</v>
      </c>
    </row>
    <row r="3762" spans="1:7" x14ac:dyDescent="0.25">
      <c r="A3762" s="1" t="s">
        <v>3885</v>
      </c>
      <c r="B3762" s="76">
        <v>83.637512000000001</v>
      </c>
      <c r="C3762" s="76">
        <v>84.025261</v>
      </c>
      <c r="D3762" s="76">
        <v>83.103438999999995</v>
      </c>
      <c r="E3762" s="76">
        <v>83.227806000000001</v>
      </c>
      <c r="F3762" s="76">
        <v>75.869156000000004</v>
      </c>
      <c r="G3762" s="79">
        <v>932600</v>
      </c>
    </row>
    <row r="3763" spans="1:7" x14ac:dyDescent="0.25">
      <c r="A3763" s="1" t="s">
        <v>3886</v>
      </c>
      <c r="B3763" s="76">
        <v>83.001007000000001</v>
      </c>
      <c r="C3763" s="76">
        <v>83.783828999999997</v>
      </c>
      <c r="D3763" s="76">
        <v>82.766898999999995</v>
      </c>
      <c r="E3763" s="76">
        <v>82.847374000000002</v>
      </c>
      <c r="F3763" s="76">
        <v>75.522368999999998</v>
      </c>
      <c r="G3763" s="79">
        <v>1079200</v>
      </c>
    </row>
    <row r="3764" spans="1:7" x14ac:dyDescent="0.25">
      <c r="A3764" s="1" t="s">
        <v>3887</v>
      </c>
      <c r="B3764" s="76">
        <v>83.125381000000004</v>
      </c>
      <c r="C3764" s="76">
        <v>83.271705999999995</v>
      </c>
      <c r="D3764" s="76">
        <v>81.552421999999893</v>
      </c>
      <c r="E3764" s="76">
        <v>82.101134999999999</v>
      </c>
      <c r="F3764" s="76">
        <v>74.842109999999906</v>
      </c>
      <c r="G3764" s="79">
        <v>1141400</v>
      </c>
    </row>
    <row r="3765" spans="1:7" x14ac:dyDescent="0.25">
      <c r="A3765" s="1" t="s">
        <v>3888</v>
      </c>
      <c r="B3765" s="76">
        <v>82.057236000000003</v>
      </c>
      <c r="C3765" s="76">
        <v>82.715682999999999</v>
      </c>
      <c r="D3765" s="76">
        <v>81.501213000000007</v>
      </c>
      <c r="E3765" s="76">
        <v>81.793853999999996</v>
      </c>
      <c r="F3765" s="76">
        <v>74.561981000000003</v>
      </c>
      <c r="G3765" s="79">
        <v>1386600</v>
      </c>
    </row>
    <row r="3766" spans="1:7" x14ac:dyDescent="0.25">
      <c r="A3766" s="1" t="s">
        <v>3889</v>
      </c>
      <c r="B3766" s="76">
        <v>81.654854</v>
      </c>
      <c r="C3766" s="76">
        <v>83.900886999999997</v>
      </c>
      <c r="D3766" s="76">
        <v>81.654854</v>
      </c>
      <c r="E3766" s="76">
        <v>83.761887000000002</v>
      </c>
      <c r="F3766" s="76">
        <v>76.356003000000001</v>
      </c>
      <c r="G3766" s="79">
        <v>1192800</v>
      </c>
    </row>
    <row r="3767" spans="1:7" x14ac:dyDescent="0.25">
      <c r="A3767" s="1" t="s">
        <v>3890</v>
      </c>
      <c r="B3767" s="76">
        <v>84.156952000000004</v>
      </c>
      <c r="C3767" s="76">
        <v>85.327529999999996</v>
      </c>
      <c r="D3767" s="76">
        <v>83.805779000000001</v>
      </c>
      <c r="E3767" s="76">
        <v>85.298264000000003</v>
      </c>
      <c r="F3767" s="76">
        <v>77.756561000000005</v>
      </c>
      <c r="G3767" s="79">
        <v>1159100</v>
      </c>
    </row>
    <row r="3768" spans="1:7" x14ac:dyDescent="0.25">
      <c r="A3768" s="1" t="s">
        <v>3891</v>
      </c>
      <c r="B3768" s="76">
        <v>85.825019999999995</v>
      </c>
      <c r="C3768" s="76">
        <v>85.868918999999906</v>
      </c>
      <c r="D3768" s="76">
        <v>84.566649999999996</v>
      </c>
      <c r="E3768" s="76">
        <v>84.837349000000003</v>
      </c>
      <c r="F3768" s="76">
        <v>77.336380000000005</v>
      </c>
      <c r="G3768" s="79">
        <v>2109700</v>
      </c>
    </row>
    <row r="3769" spans="1:7" x14ac:dyDescent="0.25">
      <c r="A3769" s="1" t="s">
        <v>3892</v>
      </c>
      <c r="B3769" s="76">
        <v>85.144622999999996</v>
      </c>
      <c r="C3769" s="76">
        <v>86.359093000000001</v>
      </c>
      <c r="D3769" s="76">
        <v>84.939774</v>
      </c>
      <c r="E3769" s="76">
        <v>86.285933999999997</v>
      </c>
      <c r="F3769" s="76">
        <v>78.656891000000002</v>
      </c>
      <c r="G3769" s="79">
        <v>1007700</v>
      </c>
    </row>
    <row r="3770" spans="1:7" x14ac:dyDescent="0.25">
      <c r="A3770" s="1" t="s">
        <v>3893</v>
      </c>
      <c r="B3770" s="76">
        <v>86.622474999999994</v>
      </c>
      <c r="C3770" s="76">
        <v>86.856589999999997</v>
      </c>
      <c r="D3770" s="76">
        <v>85.942077999999995</v>
      </c>
      <c r="E3770" s="76">
        <v>86.659058000000002</v>
      </c>
      <c r="F3770" s="76">
        <v>78.997017</v>
      </c>
      <c r="G3770" s="79">
        <v>916400</v>
      </c>
    </row>
    <row r="3771" spans="1:7" x14ac:dyDescent="0.25">
      <c r="A3771" s="1" t="s">
        <v>3894</v>
      </c>
      <c r="B3771" s="76">
        <v>86.893165999999994</v>
      </c>
      <c r="C3771" s="76">
        <v>87.090705999999997</v>
      </c>
      <c r="D3771" s="76">
        <v>85.993293999999906</v>
      </c>
      <c r="E3771" s="76">
        <v>85.993293999999906</v>
      </c>
      <c r="F3771" s="76">
        <v>78.390136999999996</v>
      </c>
      <c r="G3771" s="79">
        <v>635800</v>
      </c>
    </row>
    <row r="3772" spans="1:7" x14ac:dyDescent="0.25">
      <c r="A3772" s="1" t="s">
        <v>3895</v>
      </c>
      <c r="B3772" s="76">
        <v>86.044501999999994</v>
      </c>
      <c r="C3772" s="76">
        <v>86.878540000000001</v>
      </c>
      <c r="D3772" s="76">
        <v>85.832335999999998</v>
      </c>
      <c r="E3772" s="76">
        <v>86.542000000000002</v>
      </c>
      <c r="F3772" s="76">
        <v>78.890304999999998</v>
      </c>
      <c r="G3772" s="79">
        <v>745000</v>
      </c>
    </row>
    <row r="3773" spans="1:7" x14ac:dyDescent="0.25">
      <c r="A3773" s="1" t="s">
        <v>3896</v>
      </c>
      <c r="B3773" s="76">
        <v>86.498099999999994</v>
      </c>
      <c r="C3773" s="76">
        <v>87.258972</v>
      </c>
      <c r="D3773" s="76">
        <v>86.366408999999905</v>
      </c>
      <c r="E3773" s="76">
        <v>87.134597999999997</v>
      </c>
      <c r="F3773" s="76">
        <v>79.430510999999996</v>
      </c>
      <c r="G3773" s="79">
        <v>957100</v>
      </c>
    </row>
    <row r="3774" spans="1:7" x14ac:dyDescent="0.25">
      <c r="A3774" s="1" t="s">
        <v>3897</v>
      </c>
      <c r="B3774" s="76">
        <v>87.083388999999997</v>
      </c>
      <c r="C3774" s="76">
        <v>87.778412000000003</v>
      </c>
      <c r="D3774" s="76">
        <v>86.673682999999997</v>
      </c>
      <c r="E3774" s="76">
        <v>87.258972</v>
      </c>
      <c r="F3774" s="76">
        <v>79.543899999999994</v>
      </c>
      <c r="G3774" s="79">
        <v>846000</v>
      </c>
    </row>
    <row r="3775" spans="1:7" x14ac:dyDescent="0.25">
      <c r="A3775" s="1" t="s">
        <v>3898</v>
      </c>
      <c r="B3775" s="76">
        <v>87.288291999999998</v>
      </c>
      <c r="C3775" s="76">
        <v>87.961371999999997</v>
      </c>
      <c r="D3775" s="76">
        <v>85.964080999999993</v>
      </c>
      <c r="E3775" s="76">
        <v>86.117714000000007</v>
      </c>
      <c r="F3775" s="76">
        <v>78.503540000000001</v>
      </c>
      <c r="G3775" s="79">
        <v>963000</v>
      </c>
    </row>
    <row r="3776" spans="1:7" x14ac:dyDescent="0.25">
      <c r="A3776" s="1" t="s">
        <v>3899</v>
      </c>
      <c r="B3776" s="76">
        <v>86.593261999999996</v>
      </c>
      <c r="C3776" s="76">
        <v>87.419983000000002</v>
      </c>
      <c r="D3776" s="76">
        <v>86.110396999999907</v>
      </c>
      <c r="E3776" s="76">
        <v>87.332183999999998</v>
      </c>
      <c r="F3776" s="76">
        <v>79.610641000000001</v>
      </c>
      <c r="G3776" s="79">
        <v>586000</v>
      </c>
    </row>
    <row r="3777" spans="1:7" x14ac:dyDescent="0.25">
      <c r="A3777" s="1" t="s">
        <v>3900</v>
      </c>
      <c r="B3777" s="76">
        <v>86.878585999999999</v>
      </c>
      <c r="C3777" s="76">
        <v>87.866264000000001</v>
      </c>
      <c r="D3777" s="76">
        <v>86.783478000000002</v>
      </c>
      <c r="E3777" s="76">
        <v>87.551665999999997</v>
      </c>
      <c r="F3777" s="76">
        <v>79.810715000000002</v>
      </c>
      <c r="G3777" s="79">
        <v>729500</v>
      </c>
    </row>
    <row r="3778" spans="1:7" x14ac:dyDescent="0.25">
      <c r="A3778" s="1" t="s">
        <v>3901</v>
      </c>
      <c r="B3778" s="76">
        <v>87.683357000000001</v>
      </c>
      <c r="C3778" s="76">
        <v>88.634452999999993</v>
      </c>
      <c r="D3778" s="76">
        <v>87.573616000000001</v>
      </c>
      <c r="E3778" s="76">
        <v>88.261330000000001</v>
      </c>
      <c r="F3778" s="76">
        <v>80.457633999999999</v>
      </c>
      <c r="G3778" s="79">
        <v>1180900</v>
      </c>
    </row>
    <row r="3779" spans="1:7" x14ac:dyDescent="0.25">
      <c r="A3779" s="1" t="s">
        <v>3902</v>
      </c>
      <c r="B3779" s="76">
        <v>88.868567999999996</v>
      </c>
      <c r="C3779" s="76">
        <v>90.236678999999995</v>
      </c>
      <c r="D3779" s="76">
        <v>88.049164000000005</v>
      </c>
      <c r="E3779" s="76">
        <v>90.126937999999996</v>
      </c>
      <c r="F3779" s="76">
        <v>82.158302000000006</v>
      </c>
      <c r="G3779" s="79">
        <v>928300</v>
      </c>
    </row>
    <row r="3780" spans="1:7" x14ac:dyDescent="0.25">
      <c r="A3780" s="1" t="s">
        <v>3903</v>
      </c>
      <c r="B3780" s="76">
        <v>90.324471000000003</v>
      </c>
      <c r="C3780" s="76">
        <v>90.843909999999994</v>
      </c>
      <c r="D3780" s="76">
        <v>89.658706999999893</v>
      </c>
      <c r="E3780" s="76">
        <v>90.434212000000002</v>
      </c>
      <c r="F3780" s="76">
        <v>82.438393000000005</v>
      </c>
      <c r="G3780" s="79">
        <v>642300</v>
      </c>
    </row>
    <row r="3781" spans="1:7" x14ac:dyDescent="0.25">
      <c r="A3781" s="1" t="s">
        <v>3904</v>
      </c>
      <c r="B3781" s="76">
        <v>90.434212000000002</v>
      </c>
      <c r="C3781" s="76">
        <v>91.078025999999994</v>
      </c>
      <c r="D3781" s="76">
        <v>89.900138999999996</v>
      </c>
      <c r="E3781" s="76">
        <v>90.426895000000002</v>
      </c>
      <c r="F3781" s="76">
        <v>82.431717000000006</v>
      </c>
      <c r="G3781" s="79">
        <v>655800</v>
      </c>
    </row>
    <row r="3782" spans="1:7" x14ac:dyDescent="0.25">
      <c r="A3782" s="1" t="s">
        <v>3905</v>
      </c>
      <c r="B3782" s="76">
        <v>90.565903000000006</v>
      </c>
      <c r="C3782" s="76">
        <v>91.224350000000001</v>
      </c>
      <c r="D3782" s="76">
        <v>90.514686999999995</v>
      </c>
      <c r="E3782" s="76">
        <v>91.019501000000005</v>
      </c>
      <c r="F3782" s="76">
        <v>82.971947</v>
      </c>
      <c r="G3782" s="79">
        <v>615300</v>
      </c>
    </row>
    <row r="3783" spans="1:7" x14ac:dyDescent="0.25">
      <c r="A3783" s="1" t="s">
        <v>3906</v>
      </c>
      <c r="B3783" s="76">
        <v>91.392616000000004</v>
      </c>
      <c r="C3783" s="76">
        <v>91.853531000000004</v>
      </c>
      <c r="D3783" s="76">
        <v>90.317154000000002</v>
      </c>
      <c r="E3783" s="76">
        <v>90.829277000000005</v>
      </c>
      <c r="F3783" s="76">
        <v>82.798537999999994</v>
      </c>
      <c r="G3783" s="79">
        <v>700300</v>
      </c>
    </row>
    <row r="3784" spans="1:7" x14ac:dyDescent="0.25">
      <c r="A3784" s="1" t="s">
        <v>3907</v>
      </c>
      <c r="B3784" s="76">
        <v>90.478104000000002</v>
      </c>
      <c r="C3784" s="76">
        <v>91.399932999999905</v>
      </c>
      <c r="D3784" s="76">
        <v>90.002562999999995</v>
      </c>
      <c r="E3784" s="76">
        <v>91.217033000000001</v>
      </c>
      <c r="F3784" s="76">
        <v>83.152000000000001</v>
      </c>
      <c r="G3784" s="79">
        <v>921300</v>
      </c>
    </row>
    <row r="3785" spans="1:7" x14ac:dyDescent="0.25">
      <c r="A3785" s="1" t="s">
        <v>3908</v>
      </c>
      <c r="B3785" s="76">
        <v>91.553573999999998</v>
      </c>
      <c r="C3785" s="76">
        <v>92.636353</v>
      </c>
      <c r="D3785" s="76">
        <v>91.136558999999906</v>
      </c>
      <c r="E3785" s="76">
        <v>92.182755</v>
      </c>
      <c r="F3785" s="76">
        <v>84.032341000000002</v>
      </c>
      <c r="G3785" s="79">
        <v>1467700</v>
      </c>
    </row>
    <row r="3786" spans="1:7" x14ac:dyDescent="0.25">
      <c r="A3786" s="1" t="s">
        <v>3909</v>
      </c>
      <c r="B3786" s="76">
        <v>93.330635000000001</v>
      </c>
      <c r="C3786" s="76">
        <v>93.556991999999994</v>
      </c>
      <c r="D3786" s="76">
        <v>91.188361999999998</v>
      </c>
      <c r="E3786" s="76">
        <v>92.376716999999999</v>
      </c>
      <c r="F3786" s="76">
        <v>84.209166999999994</v>
      </c>
      <c r="G3786" s="79">
        <v>1430800</v>
      </c>
    </row>
    <row r="3787" spans="1:7" x14ac:dyDescent="0.25">
      <c r="A3787" s="1" t="s">
        <v>3910</v>
      </c>
      <c r="B3787" s="76">
        <v>92.86985</v>
      </c>
      <c r="C3787" s="76">
        <v>93.371055999999996</v>
      </c>
      <c r="D3787" s="76">
        <v>91.180274999999995</v>
      </c>
      <c r="E3787" s="76">
        <v>91.624900999999994</v>
      </c>
      <c r="F3787" s="76">
        <v>83.523810999999995</v>
      </c>
      <c r="G3787" s="79">
        <v>1102400</v>
      </c>
    </row>
    <row r="3788" spans="1:7" x14ac:dyDescent="0.25">
      <c r="A3788" s="1" t="s">
        <v>3911</v>
      </c>
      <c r="B3788" s="76">
        <v>90.873076999999995</v>
      </c>
      <c r="C3788" s="76">
        <v>91.527893000000006</v>
      </c>
      <c r="D3788" s="76">
        <v>89.943413000000007</v>
      </c>
      <c r="E3788" s="76">
        <v>90.873076999999995</v>
      </c>
      <c r="F3788" s="76">
        <v>82.838454999999996</v>
      </c>
      <c r="G3788" s="79">
        <v>876000</v>
      </c>
    </row>
    <row r="3789" spans="1:7" x14ac:dyDescent="0.25">
      <c r="A3789" s="1" t="s">
        <v>3912</v>
      </c>
      <c r="B3789" s="76">
        <v>90.953918000000002</v>
      </c>
      <c r="C3789" s="76">
        <v>92.805176000000003</v>
      </c>
      <c r="D3789" s="76">
        <v>90.953918000000002</v>
      </c>
      <c r="E3789" s="76">
        <v>92.708168000000001</v>
      </c>
      <c r="F3789" s="76">
        <v>84.511306999999903</v>
      </c>
      <c r="G3789" s="79">
        <v>821000</v>
      </c>
    </row>
    <row r="3790" spans="1:7" x14ac:dyDescent="0.25">
      <c r="A3790" s="1" t="s">
        <v>3913</v>
      </c>
      <c r="B3790" s="76">
        <v>92.845596</v>
      </c>
      <c r="C3790" s="76">
        <v>92.902183999999906</v>
      </c>
      <c r="D3790" s="76">
        <v>92.126114000000001</v>
      </c>
      <c r="E3790" s="76">
        <v>92.400970000000001</v>
      </c>
      <c r="F3790" s="76">
        <v>84.231269999999995</v>
      </c>
      <c r="G3790" s="79">
        <v>575000</v>
      </c>
    </row>
    <row r="3791" spans="1:7" x14ac:dyDescent="0.25">
      <c r="A3791" s="1" t="s">
        <v>3914</v>
      </c>
      <c r="B3791" s="76">
        <v>92.287796</v>
      </c>
      <c r="C3791" s="76">
        <v>92.772835000000001</v>
      </c>
      <c r="D3791" s="76">
        <v>91.851249999999993</v>
      </c>
      <c r="E3791" s="76">
        <v>92.764754999999994</v>
      </c>
      <c r="F3791" s="76">
        <v>84.562888999999998</v>
      </c>
      <c r="G3791" s="79">
        <v>648800</v>
      </c>
    </row>
    <row r="3792" spans="1:7" x14ac:dyDescent="0.25">
      <c r="A3792" s="1" t="s">
        <v>3915</v>
      </c>
      <c r="B3792" s="76">
        <v>92.271621999999994</v>
      </c>
      <c r="C3792" s="76">
        <v>92.886016999999995</v>
      </c>
      <c r="D3792" s="76">
        <v>91.988686000000001</v>
      </c>
      <c r="E3792" s="76">
        <v>92.376716999999999</v>
      </c>
      <c r="F3792" s="76">
        <v>84.209166999999994</v>
      </c>
      <c r="G3792" s="79">
        <v>630600</v>
      </c>
    </row>
    <row r="3793" spans="1:7" x14ac:dyDescent="0.25">
      <c r="A3793" s="1" t="s">
        <v>3916</v>
      </c>
      <c r="B3793" s="76">
        <v>92.554564999999997</v>
      </c>
      <c r="C3793" s="76">
        <v>92.958770999999999</v>
      </c>
      <c r="D3793" s="76">
        <v>91.406631000000004</v>
      </c>
      <c r="E3793" s="76">
        <v>91.414710999999997</v>
      </c>
      <c r="F3793" s="76">
        <v>83.332222000000002</v>
      </c>
      <c r="G3793" s="79">
        <v>894100</v>
      </c>
    </row>
    <row r="3794" spans="1:7" x14ac:dyDescent="0.25">
      <c r="A3794" s="1" t="s">
        <v>3917</v>
      </c>
      <c r="B3794" s="76">
        <v>90.913498000000004</v>
      </c>
      <c r="C3794" s="76">
        <v>91.220694999999907</v>
      </c>
      <c r="D3794" s="76">
        <v>90.282944000000001</v>
      </c>
      <c r="E3794" s="76">
        <v>90.978172000000001</v>
      </c>
      <c r="F3794" s="76">
        <v>83.509788999999998</v>
      </c>
      <c r="G3794" s="79">
        <v>720700</v>
      </c>
    </row>
    <row r="3795" spans="1:7" x14ac:dyDescent="0.25">
      <c r="A3795" s="1" t="s">
        <v>3918</v>
      </c>
      <c r="B3795" s="76">
        <v>90.533546000000001</v>
      </c>
      <c r="C3795" s="76">
        <v>91.139854</v>
      </c>
      <c r="D3795" s="76">
        <v>89.223929999999996</v>
      </c>
      <c r="E3795" s="76">
        <v>89.280518000000001</v>
      </c>
      <c r="F3795" s="76">
        <v>81.951484999999906</v>
      </c>
      <c r="G3795" s="79">
        <v>1279500</v>
      </c>
    </row>
    <row r="3796" spans="1:7" x14ac:dyDescent="0.25">
      <c r="A3796" s="1" t="s">
        <v>3919</v>
      </c>
      <c r="B3796" s="76">
        <v>89.329025000000001</v>
      </c>
      <c r="C3796" s="76">
        <v>89.935326000000003</v>
      </c>
      <c r="D3796" s="76">
        <v>88.011313999999999</v>
      </c>
      <c r="E3796" s="76">
        <v>89.773643000000007</v>
      </c>
      <c r="F3796" s="76">
        <v>82.404143999999903</v>
      </c>
      <c r="G3796" s="79">
        <v>995200</v>
      </c>
    </row>
    <row r="3797" spans="1:7" x14ac:dyDescent="0.25">
      <c r="A3797" s="1" t="s">
        <v>3920</v>
      </c>
      <c r="B3797" s="76">
        <v>89.555374</v>
      </c>
      <c r="C3797" s="76">
        <v>90.565887000000004</v>
      </c>
      <c r="D3797" s="76">
        <v>88.973320000000001</v>
      </c>
      <c r="E3797" s="76">
        <v>90.549720999999906</v>
      </c>
      <c r="F3797" s="76">
        <v>83.116507999999996</v>
      </c>
      <c r="G3797" s="79">
        <v>747400</v>
      </c>
    </row>
    <row r="3798" spans="1:7" x14ac:dyDescent="0.25">
      <c r="A3798" s="1" t="s">
        <v>3921</v>
      </c>
      <c r="B3798" s="76">
        <v>90.501213000000007</v>
      </c>
      <c r="C3798" s="76">
        <v>90.622474999999994</v>
      </c>
      <c r="D3798" s="76">
        <v>89.620048999999995</v>
      </c>
      <c r="E3798" s="76">
        <v>90.202102999999994</v>
      </c>
      <c r="F3798" s="76">
        <v>82.797432000000001</v>
      </c>
      <c r="G3798" s="79">
        <v>622000</v>
      </c>
    </row>
    <row r="3799" spans="1:7" x14ac:dyDescent="0.25">
      <c r="A3799" s="1" t="s">
        <v>3922</v>
      </c>
      <c r="B3799" s="76">
        <v>90.509299999999996</v>
      </c>
      <c r="C3799" s="76">
        <v>92.223122000000004</v>
      </c>
      <c r="D3799" s="76">
        <v>90.137428</v>
      </c>
      <c r="E3799" s="76">
        <v>92.134192999999996</v>
      </c>
      <c r="F3799" s="76">
        <v>84.570908000000003</v>
      </c>
      <c r="G3799" s="79">
        <v>870700</v>
      </c>
    </row>
    <row r="3800" spans="1:7" x14ac:dyDescent="0.25">
      <c r="A3800" s="1" t="s">
        <v>3923</v>
      </c>
      <c r="B3800" s="76">
        <v>91.705742000000001</v>
      </c>
      <c r="C3800" s="76">
        <v>91.738074999999995</v>
      </c>
      <c r="D3800" s="76">
        <v>90.452704999999995</v>
      </c>
      <c r="E3800" s="76">
        <v>91.059012999999993</v>
      </c>
      <c r="F3800" s="76">
        <v>83.583991999999995</v>
      </c>
      <c r="G3800" s="79">
        <v>1732100</v>
      </c>
    </row>
    <row r="3801" spans="1:7" x14ac:dyDescent="0.25">
      <c r="A3801" s="1" t="s">
        <v>3924</v>
      </c>
      <c r="B3801" s="76">
        <v>90.889251999999999</v>
      </c>
      <c r="C3801" s="76">
        <v>91.608733999999998</v>
      </c>
      <c r="D3801" s="76">
        <v>90.767989999999998</v>
      </c>
      <c r="E3801" s="76">
        <v>90.816490000000002</v>
      </c>
      <c r="F3801" s="76">
        <v>83.361381999999907</v>
      </c>
      <c r="G3801" s="79">
        <v>804300</v>
      </c>
    </row>
    <row r="3802" spans="1:7" x14ac:dyDescent="0.25">
      <c r="A3802" s="1" t="s">
        <v>3925</v>
      </c>
      <c r="B3802" s="76">
        <v>90.937752000000003</v>
      </c>
      <c r="C3802" s="76">
        <v>91.754242000000005</v>
      </c>
      <c r="D3802" s="76">
        <v>90.541634000000002</v>
      </c>
      <c r="E3802" s="76">
        <v>91.358124000000004</v>
      </c>
      <c r="F3802" s="76">
        <v>83.858551000000006</v>
      </c>
      <c r="G3802" s="79">
        <v>1163000</v>
      </c>
    </row>
    <row r="3803" spans="1:7" x14ac:dyDescent="0.25">
      <c r="A3803" s="1" t="s">
        <v>3926</v>
      </c>
      <c r="B3803" s="76">
        <v>91.827003000000005</v>
      </c>
      <c r="C3803" s="76">
        <v>92.012931999999907</v>
      </c>
      <c r="D3803" s="76">
        <v>90.404205000000005</v>
      </c>
      <c r="E3803" s="76">
        <v>91.091346999999999</v>
      </c>
      <c r="F3803" s="76">
        <v>83.613669999999999</v>
      </c>
      <c r="G3803" s="79">
        <v>544600</v>
      </c>
    </row>
    <row r="3804" spans="1:7" x14ac:dyDescent="0.25">
      <c r="A3804" s="1" t="s">
        <v>3927</v>
      </c>
      <c r="B3804" s="76">
        <v>91.188361999999998</v>
      </c>
      <c r="C3804" s="76">
        <v>92.118026999999998</v>
      </c>
      <c r="D3804" s="76">
        <v>90.670974999999999</v>
      </c>
      <c r="E3804" s="76">
        <v>91.915924000000004</v>
      </c>
      <c r="F3804" s="76">
        <v>84.370566999999994</v>
      </c>
      <c r="G3804" s="79">
        <v>522900</v>
      </c>
    </row>
    <row r="3805" spans="1:7" x14ac:dyDescent="0.25">
      <c r="A3805" s="1" t="s">
        <v>3928</v>
      </c>
      <c r="B3805" s="76">
        <v>91.818916000000002</v>
      </c>
      <c r="C3805" s="76">
        <v>92.037186000000005</v>
      </c>
      <c r="D3805" s="76">
        <v>90.856910999999997</v>
      </c>
      <c r="E3805" s="76">
        <v>91.317702999999995</v>
      </c>
      <c r="F3805" s="76">
        <v>83.821442000000005</v>
      </c>
      <c r="G3805" s="79">
        <v>556700</v>
      </c>
    </row>
    <row r="3806" spans="1:7" x14ac:dyDescent="0.25">
      <c r="A3806" s="1" t="s">
        <v>3929</v>
      </c>
      <c r="B3806" s="76">
        <v>91.236862000000002</v>
      </c>
      <c r="C3806" s="76">
        <v>92.093772999999999</v>
      </c>
      <c r="D3806" s="76">
        <v>90.881164999999996</v>
      </c>
      <c r="E3806" s="76">
        <v>91.253028999999998</v>
      </c>
      <c r="F3806" s="76">
        <v>83.762084999999999</v>
      </c>
      <c r="G3806" s="79">
        <v>760700</v>
      </c>
    </row>
    <row r="3807" spans="1:7" x14ac:dyDescent="0.25">
      <c r="A3807" s="1" t="s">
        <v>3930</v>
      </c>
      <c r="B3807" s="76">
        <v>91.28537</v>
      </c>
      <c r="C3807" s="76">
        <v>92.279708999999997</v>
      </c>
      <c r="D3807" s="76">
        <v>90.590133999999907</v>
      </c>
      <c r="E3807" s="76">
        <v>92.126114000000001</v>
      </c>
      <c r="F3807" s="76">
        <v>84.563491999999997</v>
      </c>
      <c r="G3807" s="79">
        <v>650600</v>
      </c>
    </row>
    <row r="3808" spans="1:7" x14ac:dyDescent="0.25">
      <c r="A3808" s="1" t="s">
        <v>3931</v>
      </c>
      <c r="B3808" s="76">
        <v>91.754242000000005</v>
      </c>
      <c r="C3808" s="76">
        <v>91.778495999999905</v>
      </c>
      <c r="D3808" s="76">
        <v>89.490700000000004</v>
      </c>
      <c r="E3808" s="76">
        <v>89.943413000000007</v>
      </c>
      <c r="F3808" s="76">
        <v>82.559958999999907</v>
      </c>
      <c r="G3808" s="79">
        <v>1142100</v>
      </c>
    </row>
    <row r="3809" spans="1:7" x14ac:dyDescent="0.25">
      <c r="A3809" s="1" t="s">
        <v>3932</v>
      </c>
      <c r="B3809" s="76">
        <v>89.668555999999995</v>
      </c>
      <c r="C3809" s="76">
        <v>91.107520999999906</v>
      </c>
      <c r="D3809" s="76">
        <v>89.474532999999994</v>
      </c>
      <c r="E3809" s="76">
        <v>90.937752000000003</v>
      </c>
      <c r="F3809" s="76">
        <v>83.472672000000003</v>
      </c>
      <c r="G3809" s="79">
        <v>1009000</v>
      </c>
    </row>
    <row r="3810" spans="1:7" x14ac:dyDescent="0.25">
      <c r="A3810" s="1" t="s">
        <v>3933</v>
      </c>
      <c r="B3810" s="76">
        <v>91.28537</v>
      </c>
      <c r="C3810" s="76">
        <v>91.584479999999999</v>
      </c>
      <c r="D3810" s="76">
        <v>90.485045999999997</v>
      </c>
      <c r="E3810" s="76">
        <v>91.479384999999994</v>
      </c>
      <c r="F3810" s="76">
        <v>83.969841000000002</v>
      </c>
      <c r="G3810" s="79">
        <v>542800</v>
      </c>
    </row>
    <row r="3811" spans="1:7" x14ac:dyDescent="0.25">
      <c r="A3811" s="1" t="s">
        <v>3934</v>
      </c>
      <c r="B3811" s="76">
        <v>91.083267000000006</v>
      </c>
      <c r="C3811" s="76">
        <v>91.584479999999999</v>
      </c>
      <c r="D3811" s="76">
        <v>89.256264000000002</v>
      </c>
      <c r="E3811" s="76">
        <v>89.773643000000007</v>
      </c>
      <c r="F3811" s="76">
        <v>82.404143999999903</v>
      </c>
      <c r="G3811" s="79">
        <v>832300</v>
      </c>
    </row>
    <row r="3812" spans="1:7" x14ac:dyDescent="0.25">
      <c r="A3812" s="1" t="s">
        <v>3935</v>
      </c>
      <c r="B3812" s="76">
        <v>89.733222999999995</v>
      </c>
      <c r="C3812" s="76">
        <v>90.5578</v>
      </c>
      <c r="D3812" s="76">
        <v>89.102668999999906</v>
      </c>
      <c r="E3812" s="76">
        <v>89.288605000000004</v>
      </c>
      <c r="F3812" s="76">
        <v>81.958922999999999</v>
      </c>
      <c r="G3812" s="79">
        <v>906200</v>
      </c>
    </row>
    <row r="3813" spans="1:7" x14ac:dyDescent="0.25">
      <c r="A3813" s="1" t="s">
        <v>3936</v>
      </c>
      <c r="B3813" s="76">
        <v>89.102668999999906</v>
      </c>
      <c r="C3813" s="76">
        <v>89.240096999999906</v>
      </c>
      <c r="D3813" s="76">
        <v>88.261925000000005</v>
      </c>
      <c r="E3813" s="76">
        <v>88.423606999999905</v>
      </c>
      <c r="F3813" s="76">
        <v>81.164924999999997</v>
      </c>
      <c r="G3813" s="79">
        <v>646300</v>
      </c>
    </row>
    <row r="3814" spans="1:7" x14ac:dyDescent="0.25">
      <c r="A3814" s="1" t="s">
        <v>3937</v>
      </c>
      <c r="B3814" s="76">
        <v>88.577202</v>
      </c>
      <c r="C3814" s="76">
        <v>89.377525000000006</v>
      </c>
      <c r="D3814" s="76">
        <v>88.043655000000001</v>
      </c>
      <c r="E3814" s="76">
        <v>88.957153000000005</v>
      </c>
      <c r="F3814" s="76">
        <v>81.654670999999993</v>
      </c>
      <c r="G3814" s="79">
        <v>837500</v>
      </c>
    </row>
    <row r="3815" spans="1:7" x14ac:dyDescent="0.25">
      <c r="A3815" s="1" t="s">
        <v>3938</v>
      </c>
      <c r="B3815" s="76">
        <v>89.191588999999993</v>
      </c>
      <c r="C3815" s="76">
        <v>90.396118000000001</v>
      </c>
      <c r="D3815" s="76">
        <v>88.932899000000006</v>
      </c>
      <c r="E3815" s="76">
        <v>89.717055999999999</v>
      </c>
      <c r="F3815" s="76">
        <v>82.352187999999998</v>
      </c>
      <c r="G3815" s="79">
        <v>564800</v>
      </c>
    </row>
    <row r="3816" spans="1:7" x14ac:dyDescent="0.25">
      <c r="A3816" s="1" t="s">
        <v>3939</v>
      </c>
      <c r="B3816" s="76">
        <v>89.498786999999993</v>
      </c>
      <c r="C3816" s="76">
        <v>90.024253999999999</v>
      </c>
      <c r="D3816" s="76">
        <v>88.666129999999995</v>
      </c>
      <c r="E3816" s="76">
        <v>89.458365999999998</v>
      </c>
      <c r="F3816" s="76">
        <v>82.114745999999997</v>
      </c>
      <c r="G3816" s="79">
        <v>575000</v>
      </c>
    </row>
    <row r="3817" spans="1:7" x14ac:dyDescent="0.25">
      <c r="A3817" s="1" t="s">
        <v>3940</v>
      </c>
      <c r="B3817" s="76">
        <v>89.296683999999999</v>
      </c>
      <c r="C3817" s="76">
        <v>89.434112999999996</v>
      </c>
      <c r="D3817" s="76">
        <v>87.679870999999906</v>
      </c>
      <c r="E3817" s="76">
        <v>87.857718999999904</v>
      </c>
      <c r="F3817" s="76">
        <v>80.645493000000002</v>
      </c>
      <c r="G3817" s="79">
        <v>800200</v>
      </c>
    </row>
    <row r="3818" spans="1:7" x14ac:dyDescent="0.25">
      <c r="A3818" s="1" t="s">
        <v>3941</v>
      </c>
      <c r="B3818" s="76">
        <v>88.407439999999994</v>
      </c>
      <c r="C3818" s="76">
        <v>89.094581999999903</v>
      </c>
      <c r="D3818" s="76">
        <v>88.067909</v>
      </c>
      <c r="E3818" s="76">
        <v>88.253838000000002</v>
      </c>
      <c r="F3818" s="76">
        <v>81.009086999999994</v>
      </c>
      <c r="G3818" s="79">
        <v>1028200</v>
      </c>
    </row>
    <row r="3819" spans="1:7" x14ac:dyDescent="0.25">
      <c r="A3819" s="1" t="s">
        <v>3942</v>
      </c>
      <c r="B3819" s="76">
        <v>86.879547000000002</v>
      </c>
      <c r="C3819" s="76">
        <v>86.879547000000002</v>
      </c>
      <c r="D3819" s="76">
        <v>84.502831</v>
      </c>
      <c r="E3819" s="76">
        <v>84.616005000000001</v>
      </c>
      <c r="F3819" s="76">
        <v>77.669883999999996</v>
      </c>
      <c r="G3819" s="79">
        <v>1297300</v>
      </c>
    </row>
    <row r="3820" spans="1:7" x14ac:dyDescent="0.25">
      <c r="A3820" s="1" t="s">
        <v>3943</v>
      </c>
      <c r="B3820" s="76">
        <v>85.189980000000006</v>
      </c>
      <c r="C3820" s="76">
        <v>85.763947000000002</v>
      </c>
      <c r="D3820" s="76">
        <v>84.801940999999999</v>
      </c>
      <c r="E3820" s="76">
        <v>85.117217999999994</v>
      </c>
      <c r="F3820" s="76">
        <v>78.129951000000005</v>
      </c>
      <c r="G3820" s="79">
        <v>871000</v>
      </c>
    </row>
    <row r="3821" spans="1:7" x14ac:dyDescent="0.25">
      <c r="A3821" s="1" t="s">
        <v>3944</v>
      </c>
      <c r="B3821" s="76">
        <v>85.036377000000002</v>
      </c>
      <c r="C3821" s="76">
        <v>85.424415999999994</v>
      </c>
      <c r="D3821" s="76">
        <v>84.430068999999904</v>
      </c>
      <c r="E3821" s="76">
        <v>84.446242999999996</v>
      </c>
      <c r="F3821" s="76">
        <v>77.514076000000003</v>
      </c>
      <c r="G3821" s="79">
        <v>969200</v>
      </c>
    </row>
    <row r="3822" spans="1:7" x14ac:dyDescent="0.25">
      <c r="A3822" s="1" t="s">
        <v>3945</v>
      </c>
      <c r="B3822" s="76">
        <v>84.236052999999998</v>
      </c>
      <c r="C3822" s="76">
        <v>85.020209999999906</v>
      </c>
      <c r="D3822" s="76">
        <v>84.163300000000007</v>
      </c>
      <c r="E3822" s="76">
        <v>84.543250999999998</v>
      </c>
      <c r="F3822" s="76">
        <v>77.603118999999893</v>
      </c>
      <c r="G3822" s="79">
        <v>1152000</v>
      </c>
    </row>
    <row r="3823" spans="1:7" x14ac:dyDescent="0.25">
      <c r="A3823" s="1" t="s">
        <v>3946</v>
      </c>
      <c r="B3823" s="76">
        <v>84.955535999999995</v>
      </c>
      <c r="C3823" s="76">
        <v>86.103476999999998</v>
      </c>
      <c r="D3823" s="76">
        <v>84.907036000000005</v>
      </c>
      <c r="E3823" s="76">
        <v>85.885207999999906</v>
      </c>
      <c r="F3823" s="76">
        <v>78.834907999999999</v>
      </c>
      <c r="G3823" s="79">
        <v>908200</v>
      </c>
    </row>
    <row r="3824" spans="1:7" x14ac:dyDescent="0.25">
      <c r="A3824" s="1" t="s">
        <v>3947</v>
      </c>
      <c r="B3824" s="76">
        <v>85.901375000000002</v>
      </c>
      <c r="C3824" s="76">
        <v>85.974129000000005</v>
      </c>
      <c r="D3824" s="76">
        <v>84.995956000000007</v>
      </c>
      <c r="E3824" s="76">
        <v>85.497169</v>
      </c>
      <c r="F3824" s="76">
        <v>78.478721999999905</v>
      </c>
      <c r="G3824" s="79">
        <v>808500</v>
      </c>
    </row>
    <row r="3825" spans="1:7" x14ac:dyDescent="0.25">
      <c r="A3825" s="1" t="s">
        <v>3948</v>
      </c>
      <c r="B3825" s="76">
        <v>85.763947000000002</v>
      </c>
      <c r="C3825" s="76">
        <v>86.653191000000007</v>
      </c>
      <c r="D3825" s="76">
        <v>85.424415999999994</v>
      </c>
      <c r="E3825" s="76">
        <v>86.224739</v>
      </c>
      <c r="F3825" s="76">
        <v>79.146568000000002</v>
      </c>
      <c r="G3825" s="79">
        <v>832400</v>
      </c>
    </row>
    <row r="3826" spans="1:7" x14ac:dyDescent="0.25">
      <c r="A3826" s="1" t="s">
        <v>3949</v>
      </c>
      <c r="B3826" s="76">
        <v>86.006469999999993</v>
      </c>
      <c r="C3826" s="76">
        <v>86.677443999999994</v>
      </c>
      <c r="D3826" s="76">
        <v>85.731605999999999</v>
      </c>
      <c r="E3826" s="76">
        <v>86.410667000000004</v>
      </c>
      <c r="F3826" s="76">
        <v>79.317229999999995</v>
      </c>
      <c r="G3826" s="79">
        <v>754400</v>
      </c>
    </row>
    <row r="3827" spans="1:7" x14ac:dyDescent="0.25">
      <c r="A3827" s="1" t="s">
        <v>3950</v>
      </c>
      <c r="B3827" s="76">
        <v>86.289412999999996</v>
      </c>
      <c r="C3827" s="76">
        <v>88.512527000000006</v>
      </c>
      <c r="D3827" s="76">
        <v>85.844787999999994</v>
      </c>
      <c r="E3827" s="76">
        <v>88.027489000000003</v>
      </c>
      <c r="F3827" s="76">
        <v>80.801331000000005</v>
      </c>
      <c r="G3827" s="79">
        <v>669000</v>
      </c>
    </row>
    <row r="3828" spans="1:7" x14ac:dyDescent="0.25">
      <c r="A3828" s="1" t="s">
        <v>3951</v>
      </c>
      <c r="B3828" s="76">
        <v>87.696037000000004</v>
      </c>
      <c r="C3828" s="76">
        <v>88.658043000000006</v>
      </c>
      <c r="D3828" s="76">
        <v>87.356505999999996</v>
      </c>
      <c r="E3828" s="76">
        <v>88.156829999999999</v>
      </c>
      <c r="F3828" s="76">
        <v>80.920051999999998</v>
      </c>
      <c r="G3828" s="79">
        <v>941500</v>
      </c>
    </row>
    <row r="3829" spans="1:7" x14ac:dyDescent="0.25">
      <c r="A3829" s="1" t="s">
        <v>3952</v>
      </c>
      <c r="B3829" s="76">
        <v>88.391266000000002</v>
      </c>
      <c r="C3829" s="76">
        <v>91.875504000000006</v>
      </c>
      <c r="D3829" s="76">
        <v>87.898139999999998</v>
      </c>
      <c r="E3829" s="76">
        <v>91.705742000000001</v>
      </c>
      <c r="F3829" s="76">
        <v>84.177619999999905</v>
      </c>
      <c r="G3829" s="79">
        <v>1683000</v>
      </c>
    </row>
    <row r="3830" spans="1:7" x14ac:dyDescent="0.25">
      <c r="A3830" s="1" t="s">
        <v>3953</v>
      </c>
      <c r="B3830" s="76">
        <v>91.632980000000003</v>
      </c>
      <c r="C3830" s="76">
        <v>92.174614000000005</v>
      </c>
      <c r="D3830" s="76">
        <v>91.026679999999999</v>
      </c>
      <c r="E3830" s="76">
        <v>91.576392999999996</v>
      </c>
      <c r="F3830" s="76">
        <v>84.058891000000003</v>
      </c>
      <c r="G3830" s="79">
        <v>1147800</v>
      </c>
    </row>
    <row r="3831" spans="1:7" x14ac:dyDescent="0.25">
      <c r="A3831" s="1" t="s">
        <v>3954</v>
      </c>
      <c r="B3831" s="76">
        <v>91.269203000000005</v>
      </c>
      <c r="C3831" s="76">
        <v>91.495552000000004</v>
      </c>
      <c r="D3831" s="76">
        <v>90.767989999999998</v>
      </c>
      <c r="E3831" s="76">
        <v>90.913498000000004</v>
      </c>
      <c r="F3831" s="76">
        <v>83.450431999999907</v>
      </c>
      <c r="G3831" s="79">
        <v>840500</v>
      </c>
    </row>
    <row r="3832" spans="1:7" x14ac:dyDescent="0.25">
      <c r="A3832" s="1" t="s">
        <v>3955</v>
      </c>
      <c r="B3832" s="76">
        <v>91.059012999999993</v>
      </c>
      <c r="C3832" s="76">
        <v>91.398544000000001</v>
      </c>
      <c r="D3832" s="76">
        <v>89.126923000000005</v>
      </c>
      <c r="E3832" s="76">
        <v>89.215843000000007</v>
      </c>
      <c r="F3832" s="76">
        <v>81.892135999999994</v>
      </c>
      <c r="G3832" s="79">
        <v>803900</v>
      </c>
    </row>
    <row r="3833" spans="1:7" x14ac:dyDescent="0.25">
      <c r="A3833" s="1" t="s">
        <v>3956</v>
      </c>
      <c r="B3833" s="76">
        <v>88.924819999999997</v>
      </c>
      <c r="C3833" s="76">
        <v>89.523041000000006</v>
      </c>
      <c r="D3833" s="76">
        <v>88.358931999999996</v>
      </c>
      <c r="E3833" s="76">
        <v>89.143089000000003</v>
      </c>
      <c r="F3833" s="76">
        <v>81.825347999999906</v>
      </c>
      <c r="G3833" s="79">
        <v>804500</v>
      </c>
    </row>
    <row r="3834" spans="1:7" x14ac:dyDescent="0.25">
      <c r="A3834" s="1" t="s">
        <v>3957</v>
      </c>
      <c r="B3834" s="76">
        <v>89.046081999999998</v>
      </c>
      <c r="C3834" s="76">
        <v>89.757476999999994</v>
      </c>
      <c r="D3834" s="76">
        <v>88.835892000000001</v>
      </c>
      <c r="E3834" s="76">
        <v>89.684722999999906</v>
      </c>
      <c r="F3834" s="76">
        <v>82.322509999999994</v>
      </c>
      <c r="G3834" s="79">
        <v>896300</v>
      </c>
    </row>
    <row r="3835" spans="1:7" x14ac:dyDescent="0.25">
      <c r="A3835" s="1" t="s">
        <v>3958</v>
      </c>
      <c r="B3835" s="76">
        <v>90.072754000000003</v>
      </c>
      <c r="C3835" s="76">
        <v>91.050926000000004</v>
      </c>
      <c r="D3835" s="76">
        <v>89.337104999999994</v>
      </c>
      <c r="E3835" s="76">
        <v>90.824577000000005</v>
      </c>
      <c r="F3835" s="76">
        <v>83.368797000000001</v>
      </c>
      <c r="G3835" s="79">
        <v>719800</v>
      </c>
    </row>
    <row r="3836" spans="1:7" x14ac:dyDescent="0.25">
      <c r="A3836" s="1" t="s">
        <v>3959</v>
      </c>
      <c r="B3836" s="76">
        <v>90.598220999999995</v>
      </c>
      <c r="C3836" s="76">
        <v>91.050926000000004</v>
      </c>
      <c r="D3836" s="76">
        <v>90.137428</v>
      </c>
      <c r="E3836" s="76">
        <v>90.541634000000002</v>
      </c>
      <c r="F3836" s="76">
        <v>83.109084999999993</v>
      </c>
      <c r="G3836" s="79">
        <v>1693700</v>
      </c>
    </row>
    <row r="3837" spans="1:7" x14ac:dyDescent="0.25">
      <c r="A3837" s="1" t="s">
        <v>3960</v>
      </c>
      <c r="B3837" s="76">
        <v>90.501213000000007</v>
      </c>
      <c r="C3837" s="76">
        <v>90.501213000000007</v>
      </c>
      <c r="D3837" s="76">
        <v>88.827811999999994</v>
      </c>
      <c r="E3837" s="76">
        <v>89.167343000000002</v>
      </c>
      <c r="F3837" s="76">
        <v>81.847610000000003</v>
      </c>
      <c r="G3837" s="79">
        <v>1035200</v>
      </c>
    </row>
    <row r="3838" spans="1:7" x14ac:dyDescent="0.25">
      <c r="A3838" s="1" t="s">
        <v>3961</v>
      </c>
      <c r="B3838" s="76">
        <v>88.932899000000006</v>
      </c>
      <c r="C3838" s="76">
        <v>90.501213000000007</v>
      </c>
      <c r="D3838" s="76">
        <v>88.835892000000001</v>
      </c>
      <c r="E3838" s="76">
        <v>89.902991999999998</v>
      </c>
      <c r="F3838" s="76">
        <v>82.522873000000004</v>
      </c>
      <c r="G3838" s="79">
        <v>470200</v>
      </c>
    </row>
    <row r="3839" spans="1:7" x14ac:dyDescent="0.25">
      <c r="A3839" s="1" t="s">
        <v>3962</v>
      </c>
      <c r="B3839" s="76">
        <v>90.008087000000003</v>
      </c>
      <c r="C3839" s="76">
        <v>91.447051999999999</v>
      </c>
      <c r="D3839" s="76">
        <v>89.951492000000002</v>
      </c>
      <c r="E3839" s="76">
        <v>91.042846999999995</v>
      </c>
      <c r="F3839" s="76">
        <v>83.569153</v>
      </c>
      <c r="G3839" s="79">
        <v>615700</v>
      </c>
    </row>
    <row r="3840" spans="1:7" x14ac:dyDescent="0.25">
      <c r="A3840" s="1" t="s">
        <v>3963</v>
      </c>
      <c r="B3840" s="76">
        <v>90.970084999999997</v>
      </c>
      <c r="C3840" s="76">
        <v>90.970084999999997</v>
      </c>
      <c r="D3840" s="76">
        <v>89.021827999999999</v>
      </c>
      <c r="E3840" s="76">
        <v>89.021827999999999</v>
      </c>
      <c r="F3840" s="76">
        <v>81.71405</v>
      </c>
      <c r="G3840" s="79">
        <v>715400</v>
      </c>
    </row>
    <row r="3841" spans="1:7" x14ac:dyDescent="0.25">
      <c r="A3841" s="1" t="s">
        <v>3964</v>
      </c>
      <c r="B3841" s="76">
        <v>89.013740999999996</v>
      </c>
      <c r="C3841" s="76">
        <v>89.514954000000003</v>
      </c>
      <c r="D3841" s="76">
        <v>88.552948000000001</v>
      </c>
      <c r="E3841" s="76">
        <v>88.71463</v>
      </c>
      <c r="F3841" s="76">
        <v>81.432052999999996</v>
      </c>
      <c r="G3841" s="79">
        <v>610000</v>
      </c>
    </row>
    <row r="3842" spans="1:7" x14ac:dyDescent="0.25">
      <c r="A3842" s="1" t="s">
        <v>3965</v>
      </c>
      <c r="B3842" s="76">
        <v>88.625709999999998</v>
      </c>
      <c r="C3842" s="76">
        <v>88.658043000000006</v>
      </c>
      <c r="D3842" s="76">
        <v>86.224739</v>
      </c>
      <c r="E3842" s="76">
        <v>86.612769999999998</v>
      </c>
      <c r="F3842" s="76">
        <v>79.502746999999999</v>
      </c>
      <c r="G3842" s="79">
        <v>1215000</v>
      </c>
    </row>
    <row r="3843" spans="1:7" x14ac:dyDescent="0.25">
      <c r="A3843" s="1" t="s">
        <v>3966</v>
      </c>
      <c r="B3843" s="76">
        <v>87.13015</v>
      </c>
      <c r="C3843" s="76">
        <v>87.873885999999999</v>
      </c>
      <c r="D3843" s="76">
        <v>86.540015999999994</v>
      </c>
      <c r="E3843" s="76">
        <v>86.839127000000005</v>
      </c>
      <c r="F3843" s="76">
        <v>79.710517999999993</v>
      </c>
      <c r="G3843" s="79">
        <v>763600</v>
      </c>
    </row>
    <row r="3844" spans="1:7" x14ac:dyDescent="0.25">
      <c r="A3844" s="1" t="s">
        <v>3967</v>
      </c>
      <c r="B3844" s="76">
        <v>86.903801000000001</v>
      </c>
      <c r="C3844" s="76">
        <v>87.025063000000003</v>
      </c>
      <c r="D3844" s="76">
        <v>86.628943999999905</v>
      </c>
      <c r="E3844" s="76">
        <v>86.693611000000004</v>
      </c>
      <c r="F3844" s="76">
        <v>79.576942000000003</v>
      </c>
      <c r="G3844" s="79">
        <v>698100</v>
      </c>
    </row>
    <row r="3845" spans="1:7" x14ac:dyDescent="0.25">
      <c r="A3845" s="1" t="s">
        <v>3968</v>
      </c>
      <c r="B3845" s="76">
        <v>86.709784999999997</v>
      </c>
      <c r="C3845" s="76">
        <v>88.067909</v>
      </c>
      <c r="D3845" s="76">
        <v>86.669364999999999</v>
      </c>
      <c r="E3845" s="76">
        <v>87.558608999999905</v>
      </c>
      <c r="F3845" s="76">
        <v>80.370933999999906</v>
      </c>
      <c r="G3845" s="79">
        <v>701600</v>
      </c>
    </row>
    <row r="3846" spans="1:7" x14ac:dyDescent="0.25">
      <c r="A3846" s="1" t="s">
        <v>3969</v>
      </c>
      <c r="B3846" s="76">
        <v>87.485855000000001</v>
      </c>
      <c r="C3846" s="76">
        <v>87.906227000000001</v>
      </c>
      <c r="D3846" s="76">
        <v>86.847213999999994</v>
      </c>
      <c r="E3846" s="76">
        <v>86.895713999999998</v>
      </c>
      <c r="F3846" s="76">
        <v>79.762466000000003</v>
      </c>
      <c r="G3846" s="79">
        <v>717100</v>
      </c>
    </row>
    <row r="3847" spans="1:7" x14ac:dyDescent="0.25">
      <c r="A3847" s="1" t="s">
        <v>3970</v>
      </c>
      <c r="B3847" s="76">
        <v>86.588523999999893</v>
      </c>
      <c r="C3847" s="76">
        <v>87.607117000000002</v>
      </c>
      <c r="D3847" s="76">
        <v>86.265159999999995</v>
      </c>
      <c r="E3847" s="76">
        <v>87.025063000000003</v>
      </c>
      <c r="F3847" s="76">
        <v>79.881194999999906</v>
      </c>
      <c r="G3847" s="79">
        <v>389100</v>
      </c>
    </row>
    <row r="3848" spans="1:7" x14ac:dyDescent="0.25">
      <c r="A3848" s="1" t="s">
        <v>3971</v>
      </c>
      <c r="B3848" s="76">
        <v>86.750197999999997</v>
      </c>
      <c r="C3848" s="76">
        <v>87.437347000000003</v>
      </c>
      <c r="D3848" s="76">
        <v>85.933707999999996</v>
      </c>
      <c r="E3848" s="76">
        <v>86.491507999999996</v>
      </c>
      <c r="F3848" s="76">
        <v>79.391434000000004</v>
      </c>
      <c r="G3848" s="79">
        <v>489800</v>
      </c>
    </row>
    <row r="3849" spans="1:7" x14ac:dyDescent="0.25">
      <c r="A3849" s="1" t="s">
        <v>3972</v>
      </c>
      <c r="B3849" s="76">
        <v>86.612769999999998</v>
      </c>
      <c r="C3849" s="76">
        <v>87.097815999999995</v>
      </c>
      <c r="D3849" s="76">
        <v>86.103476999999998</v>
      </c>
      <c r="E3849" s="76">
        <v>86.329833999999906</v>
      </c>
      <c r="F3849" s="76">
        <v>79.243033999999994</v>
      </c>
      <c r="G3849" s="79">
        <v>367200</v>
      </c>
    </row>
    <row r="3850" spans="1:7" x14ac:dyDescent="0.25">
      <c r="A3850" s="1" t="s">
        <v>3973</v>
      </c>
      <c r="B3850" s="76">
        <v>86.523848999999998</v>
      </c>
      <c r="C3850" s="76">
        <v>87.194823999999997</v>
      </c>
      <c r="D3850" s="76">
        <v>86.305580000000006</v>
      </c>
      <c r="E3850" s="76">
        <v>86.499595999999997</v>
      </c>
      <c r="F3850" s="76">
        <v>79.398848999999998</v>
      </c>
      <c r="G3850" s="79">
        <v>590700</v>
      </c>
    </row>
    <row r="3851" spans="1:7" x14ac:dyDescent="0.25">
      <c r="A3851" s="1" t="s">
        <v>3974</v>
      </c>
      <c r="B3851" s="76">
        <v>86.483429000000001</v>
      </c>
      <c r="C3851" s="76">
        <v>87.154404</v>
      </c>
      <c r="D3851" s="76">
        <v>86.087311</v>
      </c>
      <c r="E3851" s="76">
        <v>86.596603000000002</v>
      </c>
      <c r="F3851" s="76">
        <v>79.487892000000002</v>
      </c>
      <c r="G3851" s="79">
        <v>450100</v>
      </c>
    </row>
    <row r="3852" spans="1:7" x14ac:dyDescent="0.25">
      <c r="A3852" s="1" t="s">
        <v>3975</v>
      </c>
      <c r="B3852" s="76">
        <v>86.540015999999994</v>
      </c>
      <c r="C3852" s="76">
        <v>86.806792999999999</v>
      </c>
      <c r="D3852" s="76">
        <v>86.022636000000006</v>
      </c>
      <c r="E3852" s="76">
        <v>86.451087999999999</v>
      </c>
      <c r="F3852" s="76">
        <v>79.354331999999999</v>
      </c>
      <c r="G3852" s="79">
        <v>451900</v>
      </c>
    </row>
    <row r="3853" spans="1:7" x14ac:dyDescent="0.25">
      <c r="A3853" s="1" t="s">
        <v>3976</v>
      </c>
      <c r="B3853" s="76">
        <v>86.515761999999995</v>
      </c>
      <c r="C3853" s="76">
        <v>87.477767999999998</v>
      </c>
      <c r="D3853" s="76">
        <v>86.346001000000001</v>
      </c>
      <c r="E3853" s="76">
        <v>86.871459999999999</v>
      </c>
      <c r="F3853" s="76">
        <v>79.740181000000007</v>
      </c>
      <c r="G3853" s="79">
        <v>449500</v>
      </c>
    </row>
    <row r="3854" spans="1:7" x14ac:dyDescent="0.25">
      <c r="A3854" s="1" t="s">
        <v>3977</v>
      </c>
      <c r="B3854" s="76">
        <v>87.113982999999905</v>
      </c>
      <c r="C3854" s="76">
        <v>87.566695999999993</v>
      </c>
      <c r="D3854" s="76">
        <v>86.717865000000003</v>
      </c>
      <c r="E3854" s="76">
        <v>87.016975000000002</v>
      </c>
      <c r="F3854" s="76">
        <v>79.873778999999999</v>
      </c>
      <c r="G3854" s="79">
        <v>358700</v>
      </c>
    </row>
    <row r="3855" spans="1:7" x14ac:dyDescent="0.25">
      <c r="A3855" s="1" t="s">
        <v>3978</v>
      </c>
      <c r="B3855" s="76">
        <v>86.709784999999997</v>
      </c>
      <c r="C3855" s="76">
        <v>87.154404</v>
      </c>
      <c r="D3855" s="76">
        <v>86.046890000000005</v>
      </c>
      <c r="E3855" s="76">
        <v>86.863380000000006</v>
      </c>
      <c r="F3855" s="76">
        <v>79.732795999999993</v>
      </c>
      <c r="G3855" s="79">
        <v>454800</v>
      </c>
    </row>
    <row r="3856" spans="1:7" x14ac:dyDescent="0.25">
      <c r="A3856" s="1" t="s">
        <v>3979</v>
      </c>
      <c r="B3856" s="76">
        <v>86.168152000000006</v>
      </c>
      <c r="C3856" s="76">
        <v>86.362166999999999</v>
      </c>
      <c r="D3856" s="76">
        <v>85.028296999999995</v>
      </c>
      <c r="E3856" s="76">
        <v>85.149558999999996</v>
      </c>
      <c r="F3856" s="76">
        <v>78.159653000000006</v>
      </c>
      <c r="G3856" s="79">
        <v>620700</v>
      </c>
    </row>
    <row r="3857" spans="1:7" x14ac:dyDescent="0.25">
      <c r="A3857" s="1" t="s">
        <v>3980</v>
      </c>
      <c r="B3857" s="76">
        <v>84.753433000000001</v>
      </c>
      <c r="C3857" s="76">
        <v>84.882781999999906</v>
      </c>
      <c r="D3857" s="76">
        <v>83.160872999999995</v>
      </c>
      <c r="E3857" s="76">
        <v>83.662086000000002</v>
      </c>
      <c r="F3857" s="76">
        <v>76.794265999999993</v>
      </c>
      <c r="G3857" s="79">
        <v>771400</v>
      </c>
    </row>
    <row r="3858" spans="1:7" x14ac:dyDescent="0.25">
      <c r="A3858" s="1" t="s">
        <v>3981</v>
      </c>
      <c r="B3858" s="76">
        <v>84.236052999999998</v>
      </c>
      <c r="C3858" s="76">
        <v>85.117217999999994</v>
      </c>
      <c r="D3858" s="76">
        <v>83.977363999999994</v>
      </c>
      <c r="E3858" s="76">
        <v>84.478577000000001</v>
      </c>
      <c r="F3858" s="76">
        <v>77.543731999999906</v>
      </c>
      <c r="G3858" s="79">
        <v>829200</v>
      </c>
    </row>
    <row r="3859" spans="1:7" x14ac:dyDescent="0.25">
      <c r="A3859" s="1" t="s">
        <v>3982</v>
      </c>
      <c r="B3859" s="76">
        <v>84.680678999999998</v>
      </c>
      <c r="C3859" s="76">
        <v>85.286986999999996</v>
      </c>
      <c r="D3859" s="76">
        <v>84.349236000000005</v>
      </c>
      <c r="E3859" s="76">
        <v>84.551331000000005</v>
      </c>
      <c r="F3859" s="76">
        <v>77.610527000000005</v>
      </c>
      <c r="G3859" s="79">
        <v>574500</v>
      </c>
    </row>
    <row r="3860" spans="1:7" x14ac:dyDescent="0.25">
      <c r="A3860" s="1" t="s">
        <v>3983</v>
      </c>
      <c r="B3860" s="76">
        <v>81.164107999999999</v>
      </c>
      <c r="C3860" s="76">
        <v>83.128540000000001</v>
      </c>
      <c r="D3860" s="76">
        <v>79.628135999999998</v>
      </c>
      <c r="E3860" s="76">
        <v>81.430878000000007</v>
      </c>
      <c r="F3860" s="76">
        <v>74.746223000000001</v>
      </c>
      <c r="G3860" s="79">
        <v>1191000</v>
      </c>
    </row>
    <row r="3861" spans="1:7" x14ac:dyDescent="0.25">
      <c r="A3861" s="1" t="s">
        <v>3984</v>
      </c>
      <c r="B3861" s="76">
        <v>81.422798</v>
      </c>
      <c r="C3861" s="76">
        <v>81.608733999999998</v>
      </c>
      <c r="D3861" s="76">
        <v>80.371864000000002</v>
      </c>
      <c r="E3861" s="76">
        <v>80.953918000000002</v>
      </c>
      <c r="F3861" s="76">
        <v>74.308433999999906</v>
      </c>
      <c r="G3861" s="79">
        <v>596200</v>
      </c>
    </row>
    <row r="3862" spans="1:7" x14ac:dyDescent="0.25">
      <c r="A3862" s="1" t="s">
        <v>3985</v>
      </c>
      <c r="B3862" s="76">
        <v>81.244949000000005</v>
      </c>
      <c r="C3862" s="76">
        <v>82.635406000000003</v>
      </c>
      <c r="D3862" s="76">
        <v>80.953918000000002</v>
      </c>
      <c r="E3862" s="76">
        <v>82.037186000000005</v>
      </c>
      <c r="F3862" s="76">
        <v>75.302764999999994</v>
      </c>
      <c r="G3862" s="79">
        <v>727300</v>
      </c>
    </row>
    <row r="3863" spans="1:7" x14ac:dyDescent="0.25">
      <c r="A3863" s="1" t="s">
        <v>3986</v>
      </c>
      <c r="B3863" s="76">
        <v>82.603072999999995</v>
      </c>
      <c r="C3863" s="76">
        <v>83.977363999999994</v>
      </c>
      <c r="D3863" s="76">
        <v>82.603072999999995</v>
      </c>
      <c r="E3863" s="76">
        <v>83.177040000000005</v>
      </c>
      <c r="F3863" s="76">
        <v>76.939910999999995</v>
      </c>
      <c r="G3863" s="79">
        <v>613000</v>
      </c>
    </row>
    <row r="3864" spans="1:7" x14ac:dyDescent="0.25">
      <c r="A3864" s="1" t="s">
        <v>3987</v>
      </c>
      <c r="B3864" s="76">
        <v>82.845596</v>
      </c>
      <c r="C3864" s="76">
        <v>83.241714000000002</v>
      </c>
      <c r="D3864" s="76">
        <v>81.261116000000001</v>
      </c>
      <c r="E3864" s="76">
        <v>81.544060000000002</v>
      </c>
      <c r="F3864" s="76">
        <v>75.429374999999993</v>
      </c>
      <c r="G3864" s="79">
        <v>498400</v>
      </c>
    </row>
    <row r="3865" spans="1:7" x14ac:dyDescent="0.25">
      <c r="A3865" s="1" t="s">
        <v>3988</v>
      </c>
      <c r="B3865" s="76">
        <v>81.002426</v>
      </c>
      <c r="C3865" s="76">
        <v>82.101860000000002</v>
      </c>
      <c r="D3865" s="76">
        <v>80.549720999999906</v>
      </c>
      <c r="E3865" s="76">
        <v>81.608733999999998</v>
      </c>
      <c r="F3865" s="76">
        <v>75.489204000000001</v>
      </c>
      <c r="G3865" s="79">
        <v>501900</v>
      </c>
    </row>
    <row r="3866" spans="1:7" x14ac:dyDescent="0.25">
      <c r="A3866" s="1" t="s">
        <v>3989</v>
      </c>
      <c r="B3866" s="76">
        <v>81.915924000000004</v>
      </c>
      <c r="C3866" s="76">
        <v>82.635406000000003</v>
      </c>
      <c r="D3866" s="76">
        <v>80.590133999999907</v>
      </c>
      <c r="E3866" s="76">
        <v>80.808410999999893</v>
      </c>
      <c r="F3866" s="76">
        <v>74.748893999999893</v>
      </c>
      <c r="G3866" s="79">
        <v>631600</v>
      </c>
    </row>
    <row r="3867" spans="1:7" x14ac:dyDescent="0.25">
      <c r="A3867" s="1" t="s">
        <v>3990</v>
      </c>
      <c r="B3867" s="76">
        <v>81.244949000000005</v>
      </c>
      <c r="C3867" s="76">
        <v>82.457557999999906</v>
      </c>
      <c r="D3867" s="76">
        <v>81.131766999999996</v>
      </c>
      <c r="E3867" s="76">
        <v>82.360550000000003</v>
      </c>
      <c r="F3867" s="76">
        <v>76.184646999999998</v>
      </c>
      <c r="G3867" s="79">
        <v>502700</v>
      </c>
    </row>
    <row r="3868" spans="1:7" x14ac:dyDescent="0.25">
      <c r="A3868" s="1" t="s">
        <v>3991</v>
      </c>
      <c r="B3868" s="76">
        <v>82.659660000000002</v>
      </c>
      <c r="C3868" s="76">
        <v>83.492317</v>
      </c>
      <c r="D3868" s="76">
        <v>82.312042000000005</v>
      </c>
      <c r="E3868" s="76">
        <v>83.039612000000005</v>
      </c>
      <c r="F3868" s="76">
        <v>76.812775000000002</v>
      </c>
      <c r="G3868" s="79">
        <v>703000</v>
      </c>
    </row>
    <row r="3869" spans="1:7" x14ac:dyDescent="0.25">
      <c r="A3869" s="1" t="s">
        <v>3992</v>
      </c>
      <c r="B3869" s="76">
        <v>82.780922000000004</v>
      </c>
      <c r="C3869" s="76">
        <v>83.055779000000001</v>
      </c>
      <c r="D3869" s="76">
        <v>81.980598000000001</v>
      </c>
      <c r="E3869" s="76">
        <v>82.312042000000005</v>
      </c>
      <c r="F3869" s="76">
        <v>76.139770999999996</v>
      </c>
      <c r="G3869" s="79">
        <v>620700</v>
      </c>
    </row>
    <row r="3870" spans="1:7" x14ac:dyDescent="0.25">
      <c r="A3870" s="1" t="s">
        <v>3993</v>
      </c>
      <c r="B3870" s="76">
        <v>82.101860000000002</v>
      </c>
      <c r="C3870" s="76">
        <v>82.764754999999994</v>
      </c>
      <c r="D3870" s="76">
        <v>81.778495999999905</v>
      </c>
      <c r="E3870" s="76">
        <v>82.514144999999999</v>
      </c>
      <c r="F3870" s="76">
        <v>76.326729</v>
      </c>
      <c r="G3870" s="79">
        <v>883200</v>
      </c>
    </row>
    <row r="3871" spans="1:7" x14ac:dyDescent="0.25">
      <c r="A3871" s="1" t="s">
        <v>3994</v>
      </c>
      <c r="B3871" s="76">
        <v>82.514144999999999</v>
      </c>
      <c r="C3871" s="76">
        <v>83.532737999999995</v>
      </c>
      <c r="D3871" s="76">
        <v>82.336295999999905</v>
      </c>
      <c r="E3871" s="76">
        <v>82.918350000000004</v>
      </c>
      <c r="F3871" s="76">
        <v>76.700622999999993</v>
      </c>
      <c r="G3871" s="79">
        <v>679200</v>
      </c>
    </row>
    <row r="3872" spans="1:7" x14ac:dyDescent="0.25">
      <c r="A3872" s="1" t="s">
        <v>3995</v>
      </c>
      <c r="B3872" s="76">
        <v>82.966858000000002</v>
      </c>
      <c r="C3872" s="76">
        <v>83.241714000000002</v>
      </c>
      <c r="D3872" s="76">
        <v>82.425224</v>
      </c>
      <c r="E3872" s="76">
        <v>82.659660000000002</v>
      </c>
      <c r="F3872" s="76">
        <v>76.461318999999904</v>
      </c>
      <c r="G3872" s="79">
        <v>707600</v>
      </c>
    </row>
    <row r="3873" spans="1:7" x14ac:dyDescent="0.25">
      <c r="A3873" s="1" t="s">
        <v>3996</v>
      </c>
      <c r="B3873" s="76">
        <v>82.409058000000002</v>
      </c>
      <c r="C3873" s="76">
        <v>83.419562999999997</v>
      </c>
      <c r="D3873" s="76">
        <v>82.109946999999906</v>
      </c>
      <c r="E3873" s="76">
        <v>82.667746999999906</v>
      </c>
      <c r="F3873" s="76">
        <v>76.468795999999998</v>
      </c>
      <c r="G3873" s="79">
        <v>405000</v>
      </c>
    </row>
    <row r="3874" spans="1:7" x14ac:dyDescent="0.25">
      <c r="A3874" s="1" t="s">
        <v>3997</v>
      </c>
      <c r="B3874" s="76">
        <v>82.562652999999997</v>
      </c>
      <c r="C3874" s="76">
        <v>82.659660000000002</v>
      </c>
      <c r="D3874" s="76">
        <v>81.568314000000001</v>
      </c>
      <c r="E3874" s="76">
        <v>81.746161999999998</v>
      </c>
      <c r="F3874" s="76">
        <v>75.616332999999997</v>
      </c>
      <c r="G3874" s="79">
        <v>560200</v>
      </c>
    </row>
    <row r="3875" spans="1:7" x14ac:dyDescent="0.25">
      <c r="A3875" s="1" t="s">
        <v>3998</v>
      </c>
      <c r="B3875" s="76">
        <v>82.077606000000003</v>
      </c>
      <c r="C3875" s="76">
        <v>82.554564999999997</v>
      </c>
      <c r="D3875" s="76">
        <v>81.810828999999998</v>
      </c>
      <c r="E3875" s="76">
        <v>82.392882999999998</v>
      </c>
      <c r="F3875" s="76">
        <v>76.214561000000003</v>
      </c>
      <c r="G3875" s="79">
        <v>529300</v>
      </c>
    </row>
    <row r="3876" spans="1:7" x14ac:dyDescent="0.25">
      <c r="A3876" s="1" t="s">
        <v>3999</v>
      </c>
      <c r="B3876" s="76">
        <v>82.603072999999995</v>
      </c>
      <c r="C3876" s="76">
        <v>82.797089</v>
      </c>
      <c r="D3876" s="76">
        <v>81.576392999999996</v>
      </c>
      <c r="E3876" s="76">
        <v>81.964431999999903</v>
      </c>
      <c r="F3876" s="76">
        <v>75.81823</v>
      </c>
      <c r="G3876" s="79">
        <v>464700</v>
      </c>
    </row>
    <row r="3877" spans="1:7" x14ac:dyDescent="0.25">
      <c r="A3877" s="1" t="s">
        <v>4000</v>
      </c>
      <c r="B3877" s="76">
        <v>81.964431999999903</v>
      </c>
      <c r="C3877" s="76">
        <v>82.336295999999905</v>
      </c>
      <c r="D3877" s="76">
        <v>80.501213000000007</v>
      </c>
      <c r="E3877" s="76">
        <v>80.751816000000005</v>
      </c>
      <c r="F3877" s="76">
        <v>74.696547999999893</v>
      </c>
      <c r="G3877" s="79">
        <v>1763900</v>
      </c>
    </row>
    <row r="3878" spans="1:7" x14ac:dyDescent="0.25">
      <c r="A3878" s="1" t="s">
        <v>4001</v>
      </c>
      <c r="B3878" s="76">
        <v>80.840744000000001</v>
      </c>
      <c r="C3878" s="76">
        <v>82.045272999999995</v>
      </c>
      <c r="D3878" s="76">
        <v>80.606307999999999</v>
      </c>
      <c r="E3878" s="76">
        <v>81.689575000000005</v>
      </c>
      <c r="F3878" s="76">
        <v>75.563987999999995</v>
      </c>
      <c r="G3878" s="79">
        <v>849000</v>
      </c>
    </row>
    <row r="3879" spans="1:7" x14ac:dyDescent="0.25">
      <c r="A3879" s="1" t="s">
        <v>4002</v>
      </c>
      <c r="B3879" s="76">
        <v>81.414710999999997</v>
      </c>
      <c r="C3879" s="76">
        <v>81.455131999999907</v>
      </c>
      <c r="D3879" s="76">
        <v>80.436538999999996</v>
      </c>
      <c r="E3879" s="76">
        <v>81.018592999999996</v>
      </c>
      <c r="F3879" s="76">
        <v>74.943306000000007</v>
      </c>
      <c r="G3879" s="79">
        <v>712800</v>
      </c>
    </row>
    <row r="3880" spans="1:7" x14ac:dyDescent="0.25">
      <c r="A3880" s="1" t="s">
        <v>4003</v>
      </c>
      <c r="B3880" s="76">
        <v>81.018592999999996</v>
      </c>
      <c r="C3880" s="76">
        <v>81.309623999999999</v>
      </c>
      <c r="D3880" s="76">
        <v>79.911071999999905</v>
      </c>
      <c r="E3880" s="76">
        <v>80.331443999999905</v>
      </c>
      <c r="F3880" s="76">
        <v>74.307693</v>
      </c>
      <c r="G3880" s="79">
        <v>938300</v>
      </c>
    </row>
    <row r="3881" spans="1:7" x14ac:dyDescent="0.25">
      <c r="A3881" s="1" t="s">
        <v>4004</v>
      </c>
      <c r="B3881" s="76">
        <v>80.331443999999905</v>
      </c>
      <c r="C3881" s="76">
        <v>80.776069999999905</v>
      </c>
      <c r="D3881" s="76">
        <v>79.725143000000003</v>
      </c>
      <c r="E3881" s="76">
        <v>80.436538999999996</v>
      </c>
      <c r="F3881" s="76">
        <v>74.404915000000003</v>
      </c>
      <c r="G3881" s="79">
        <v>758600</v>
      </c>
    </row>
    <row r="3882" spans="1:7" x14ac:dyDescent="0.25">
      <c r="A3882" s="1" t="s">
        <v>4005</v>
      </c>
      <c r="B3882" s="76">
        <v>79.830230999999998</v>
      </c>
      <c r="C3882" s="76">
        <v>80.169768999999903</v>
      </c>
      <c r="D3882" s="76">
        <v>79.005661000000003</v>
      </c>
      <c r="E3882" s="76">
        <v>79.377525000000006</v>
      </c>
      <c r="F3882" s="76">
        <v>73.425301000000005</v>
      </c>
      <c r="G3882" s="79">
        <v>1061300</v>
      </c>
    </row>
    <row r="3883" spans="1:7" x14ac:dyDescent="0.25">
      <c r="A3883" s="1" t="s">
        <v>4006</v>
      </c>
      <c r="B3883" s="76">
        <v>79.199676999999994</v>
      </c>
      <c r="C3883" s="76">
        <v>79.571540999999996</v>
      </c>
      <c r="D3883" s="76">
        <v>78.908653000000001</v>
      </c>
      <c r="E3883" s="76">
        <v>79.054160999999993</v>
      </c>
      <c r="F3883" s="76">
        <v>73.126182999999997</v>
      </c>
      <c r="G3883" s="79">
        <v>573600</v>
      </c>
    </row>
    <row r="3884" spans="1:7" x14ac:dyDescent="0.25">
      <c r="A3884" s="1" t="s">
        <v>4007</v>
      </c>
      <c r="B3884" s="76">
        <v>78.981406999999905</v>
      </c>
      <c r="C3884" s="76">
        <v>79.280518000000001</v>
      </c>
      <c r="D3884" s="76">
        <v>78.520615000000006</v>
      </c>
      <c r="E3884" s="76">
        <v>78.658043000000006</v>
      </c>
      <c r="F3884" s="76">
        <v>72.759765999999999</v>
      </c>
      <c r="G3884" s="79">
        <v>502800</v>
      </c>
    </row>
    <row r="3885" spans="1:7" x14ac:dyDescent="0.25">
      <c r="A3885" s="1" t="s">
        <v>4008</v>
      </c>
      <c r="B3885" s="76">
        <v>78.803557999999995</v>
      </c>
      <c r="C3885" s="76">
        <v>80.420372</v>
      </c>
      <c r="D3885" s="76">
        <v>78.407439999999994</v>
      </c>
      <c r="E3885" s="76">
        <v>79.426032999999904</v>
      </c>
      <c r="F3885" s="76">
        <v>73.470177000000007</v>
      </c>
      <c r="G3885" s="79">
        <v>777800</v>
      </c>
    </row>
    <row r="3886" spans="1:7" x14ac:dyDescent="0.25">
      <c r="A3886" s="1" t="s">
        <v>4009</v>
      </c>
      <c r="B3886" s="76">
        <v>79.717055999999999</v>
      </c>
      <c r="C3886" s="76">
        <v>79.959579000000005</v>
      </c>
      <c r="D3886" s="76">
        <v>79.393692000000001</v>
      </c>
      <c r="E3886" s="76">
        <v>79.514954000000003</v>
      </c>
      <c r="F3886" s="76">
        <v>73.552421999999893</v>
      </c>
      <c r="G3886" s="79">
        <v>601800</v>
      </c>
    </row>
    <row r="3887" spans="1:7" x14ac:dyDescent="0.25">
      <c r="A3887" s="1" t="s">
        <v>4010</v>
      </c>
      <c r="B3887" s="76">
        <v>79.369445999999996</v>
      </c>
      <c r="C3887" s="76">
        <v>79.652381999999903</v>
      </c>
      <c r="D3887" s="76">
        <v>78.900565999999998</v>
      </c>
      <c r="E3887" s="76">
        <v>79.248183999999995</v>
      </c>
      <c r="F3887" s="76">
        <v>73.305655999999999</v>
      </c>
      <c r="G3887" s="79">
        <v>563200</v>
      </c>
    </row>
    <row r="3888" spans="1:7" x14ac:dyDescent="0.25">
      <c r="A3888" s="1" t="s">
        <v>4011</v>
      </c>
      <c r="B3888" s="76">
        <v>79.062247999999997</v>
      </c>
      <c r="C3888" s="76">
        <v>79.506873999999996</v>
      </c>
      <c r="D3888" s="76">
        <v>78.779304999999994</v>
      </c>
      <c r="E3888" s="76">
        <v>79.005661000000003</v>
      </c>
      <c r="F3888" s="76">
        <v>73.081322</v>
      </c>
      <c r="G3888" s="79">
        <v>1032300</v>
      </c>
    </row>
    <row r="3889" spans="1:7" x14ac:dyDescent="0.25">
      <c r="A3889" s="1" t="s">
        <v>4012</v>
      </c>
      <c r="B3889" s="76">
        <v>79.054160999999993</v>
      </c>
      <c r="C3889" s="76">
        <v>79.789817999999997</v>
      </c>
      <c r="D3889" s="76">
        <v>78.860146</v>
      </c>
      <c r="E3889" s="76">
        <v>79.595794999999995</v>
      </c>
      <c r="F3889" s="76">
        <v>73.627205000000004</v>
      </c>
      <c r="G3889" s="79">
        <v>517000</v>
      </c>
    </row>
    <row r="3890" spans="1:7" x14ac:dyDescent="0.25">
      <c r="A3890" s="1" t="s">
        <v>4013</v>
      </c>
      <c r="B3890" s="76">
        <v>79.587715000000003</v>
      </c>
      <c r="C3890" s="76">
        <v>80.476958999999994</v>
      </c>
      <c r="D3890" s="76">
        <v>78.924819999999997</v>
      </c>
      <c r="E3890" s="76">
        <v>80.274856999999997</v>
      </c>
      <c r="F3890" s="76">
        <v>74.255341000000001</v>
      </c>
      <c r="G3890" s="79">
        <v>552900</v>
      </c>
    </row>
    <row r="3891" spans="1:7" x14ac:dyDescent="0.25">
      <c r="A3891" s="1" t="s">
        <v>4014</v>
      </c>
      <c r="B3891" s="76">
        <v>80.428459000000004</v>
      </c>
      <c r="C3891" s="76">
        <v>82.118026999999998</v>
      </c>
      <c r="D3891" s="76">
        <v>80.161681999999999</v>
      </c>
      <c r="E3891" s="76">
        <v>81.883590999999996</v>
      </c>
      <c r="F3891" s="76">
        <v>75.743445999999906</v>
      </c>
      <c r="G3891" s="79">
        <v>1000400</v>
      </c>
    </row>
    <row r="3892" spans="1:7" x14ac:dyDescent="0.25">
      <c r="A3892" s="1" t="s">
        <v>4015</v>
      </c>
      <c r="B3892" s="76">
        <v>81.406631000000004</v>
      </c>
      <c r="C3892" s="76">
        <v>81.754242000000005</v>
      </c>
      <c r="D3892" s="76">
        <v>80.654808000000003</v>
      </c>
      <c r="E3892" s="76">
        <v>80.921584999999993</v>
      </c>
      <c r="F3892" s="76">
        <v>74.853560999999999</v>
      </c>
      <c r="G3892" s="79">
        <v>1248800</v>
      </c>
    </row>
    <row r="3893" spans="1:7" x14ac:dyDescent="0.25">
      <c r="A3893" s="1" t="s">
        <v>4016</v>
      </c>
      <c r="B3893" s="76">
        <v>81.075180000000003</v>
      </c>
      <c r="C3893" s="76">
        <v>81.544060000000002</v>
      </c>
      <c r="D3893" s="76">
        <v>80.315276999999995</v>
      </c>
      <c r="E3893" s="76">
        <v>80.444626</v>
      </c>
      <c r="F3893" s="76">
        <v>74.412384000000003</v>
      </c>
      <c r="G3893" s="79">
        <v>1179800</v>
      </c>
    </row>
    <row r="3894" spans="1:7" x14ac:dyDescent="0.25">
      <c r="A3894" s="1" t="s">
        <v>4017</v>
      </c>
      <c r="B3894" s="76">
        <v>80.331443999999905</v>
      </c>
      <c r="C3894" s="76">
        <v>81.576392999999996</v>
      </c>
      <c r="D3894" s="76">
        <v>79.717055999999999</v>
      </c>
      <c r="E3894" s="76">
        <v>79.838318000000001</v>
      </c>
      <c r="F3894" s="76">
        <v>73.851555000000005</v>
      </c>
      <c r="G3894" s="79">
        <v>867700</v>
      </c>
    </row>
    <row r="3895" spans="1:7" x14ac:dyDescent="0.25">
      <c r="A3895" s="1" t="s">
        <v>4018</v>
      </c>
      <c r="B3895" s="76">
        <v>79.975746000000001</v>
      </c>
      <c r="C3895" s="76">
        <v>80.121262000000002</v>
      </c>
      <c r="D3895" s="76">
        <v>78.601455999999999</v>
      </c>
      <c r="E3895" s="76">
        <v>78.601455999999999</v>
      </c>
      <c r="F3895" s="76">
        <v>72.707419999999999</v>
      </c>
      <c r="G3895" s="79">
        <v>1190500</v>
      </c>
    </row>
    <row r="3896" spans="1:7" x14ac:dyDescent="0.25">
      <c r="A3896" s="1" t="s">
        <v>4019</v>
      </c>
      <c r="B3896" s="76">
        <v>78.698463000000004</v>
      </c>
      <c r="C3896" s="76">
        <v>78.706551000000005</v>
      </c>
      <c r="D3896" s="76">
        <v>77.655617000000007</v>
      </c>
      <c r="E3896" s="76">
        <v>77.655617000000007</v>
      </c>
      <c r="F3896" s="76">
        <v>71.832511999999994</v>
      </c>
      <c r="G3896" s="79">
        <v>1159500</v>
      </c>
    </row>
    <row r="3897" spans="1:7" x14ac:dyDescent="0.25">
      <c r="A3897" s="1" t="s">
        <v>4020</v>
      </c>
      <c r="B3897" s="76">
        <v>77.752624999999995</v>
      </c>
      <c r="C3897" s="76">
        <v>78.455939999999998</v>
      </c>
      <c r="D3897" s="76">
        <v>77.324173000000002</v>
      </c>
      <c r="E3897" s="76">
        <v>78.164917000000003</v>
      </c>
      <c r="F3897" s="76">
        <v>72.303618999999998</v>
      </c>
      <c r="G3897" s="79">
        <v>1214900</v>
      </c>
    </row>
    <row r="3898" spans="1:7" x14ac:dyDescent="0.25">
      <c r="A3898" s="1" t="s">
        <v>4021</v>
      </c>
      <c r="B3898" s="76">
        <v>78.084075999999996</v>
      </c>
      <c r="C3898" s="76">
        <v>78.447861000000003</v>
      </c>
      <c r="D3898" s="76">
        <v>76.653191000000007</v>
      </c>
      <c r="E3898" s="76">
        <v>76.709784999999997</v>
      </c>
      <c r="F3898" s="76">
        <v>70.957603000000006</v>
      </c>
      <c r="G3898" s="79">
        <v>892800</v>
      </c>
    </row>
    <row r="3899" spans="1:7" x14ac:dyDescent="0.25">
      <c r="A3899" s="1" t="s">
        <v>4022</v>
      </c>
      <c r="B3899" s="76">
        <v>77.922393999999997</v>
      </c>
      <c r="C3899" s="76">
        <v>77.922393999999997</v>
      </c>
      <c r="D3899" s="76">
        <v>76.434921000000003</v>
      </c>
      <c r="E3899" s="76">
        <v>76.742118999999903</v>
      </c>
      <c r="F3899" s="76">
        <v>70.987510999999998</v>
      </c>
      <c r="G3899" s="79">
        <v>939900</v>
      </c>
    </row>
    <row r="3900" spans="1:7" x14ac:dyDescent="0.25">
      <c r="A3900" s="1" t="s">
        <v>4023</v>
      </c>
      <c r="B3900" s="76">
        <v>75.941794999999999</v>
      </c>
      <c r="C3900" s="76">
        <v>77.946647999999996</v>
      </c>
      <c r="D3900" s="76">
        <v>75.521422999999999</v>
      </c>
      <c r="E3900" s="76">
        <v>77.946647999999996</v>
      </c>
      <c r="F3900" s="76">
        <v>72.101722999999893</v>
      </c>
      <c r="G3900" s="79">
        <v>912600</v>
      </c>
    </row>
    <row r="3901" spans="1:7" x14ac:dyDescent="0.25">
      <c r="A3901" s="1" t="s">
        <v>4024</v>
      </c>
      <c r="B3901" s="76">
        <v>78.334678999999994</v>
      </c>
      <c r="C3901" s="76">
        <v>79.037993999999998</v>
      </c>
      <c r="D3901" s="76">
        <v>77.558608999999905</v>
      </c>
      <c r="E3901" s="76">
        <v>77.825385999999995</v>
      </c>
      <c r="F3901" s="76">
        <v>71.989554999999996</v>
      </c>
      <c r="G3901" s="79">
        <v>692100</v>
      </c>
    </row>
    <row r="3902" spans="1:7" x14ac:dyDescent="0.25">
      <c r="A3902" s="1" t="s">
        <v>4025</v>
      </c>
      <c r="B3902" s="76">
        <v>77.445435000000003</v>
      </c>
      <c r="C3902" s="76">
        <v>78.496360999999993</v>
      </c>
      <c r="D3902" s="76">
        <v>77.445435000000003</v>
      </c>
      <c r="E3902" s="76">
        <v>78.011313999999999</v>
      </c>
      <c r="F3902" s="76">
        <v>72.161552</v>
      </c>
      <c r="G3902" s="79">
        <v>725200</v>
      </c>
    </row>
    <row r="3903" spans="1:7" x14ac:dyDescent="0.25">
      <c r="A3903" s="1" t="s">
        <v>4026</v>
      </c>
      <c r="B3903" s="76">
        <v>78.512527000000006</v>
      </c>
      <c r="C3903" s="76">
        <v>79.482619999999997</v>
      </c>
      <c r="D3903" s="76">
        <v>78.358931999999996</v>
      </c>
      <c r="E3903" s="76">
        <v>79.207763999999997</v>
      </c>
      <c r="F3903" s="76">
        <v>73.268265</v>
      </c>
      <c r="G3903" s="79">
        <v>940200</v>
      </c>
    </row>
    <row r="3904" spans="1:7" x14ac:dyDescent="0.25">
      <c r="A3904" s="1" t="s">
        <v>4027</v>
      </c>
      <c r="B3904" s="76">
        <v>78.779304999999994</v>
      </c>
      <c r="C3904" s="76">
        <v>79.531120000000001</v>
      </c>
      <c r="D3904" s="76">
        <v>78.504447999999996</v>
      </c>
      <c r="E3904" s="76">
        <v>78.625709999999998</v>
      </c>
      <c r="F3904" s="76">
        <v>72.729866000000001</v>
      </c>
      <c r="G3904" s="79">
        <v>413500</v>
      </c>
    </row>
    <row r="3905" spans="1:7" x14ac:dyDescent="0.25">
      <c r="A3905" s="1" t="s">
        <v>4028</v>
      </c>
      <c r="B3905" s="76">
        <v>78.965239999999994</v>
      </c>
      <c r="C3905" s="76">
        <v>79.547294999999906</v>
      </c>
      <c r="D3905" s="76">
        <v>78.124495999999994</v>
      </c>
      <c r="E3905" s="76">
        <v>78.310424999999995</v>
      </c>
      <c r="F3905" s="76">
        <v>72.438225000000003</v>
      </c>
      <c r="G3905" s="79">
        <v>528800</v>
      </c>
    </row>
    <row r="3906" spans="1:7" x14ac:dyDescent="0.25">
      <c r="A3906" s="1" t="s">
        <v>4029</v>
      </c>
      <c r="B3906" s="76">
        <v>78.795470999999907</v>
      </c>
      <c r="C3906" s="76">
        <v>79.312850999999995</v>
      </c>
      <c r="D3906" s="76">
        <v>78.326599000000002</v>
      </c>
      <c r="E3906" s="76">
        <v>78.520615000000006</v>
      </c>
      <c r="F3906" s="76">
        <v>72.632644999999997</v>
      </c>
      <c r="G3906" s="79">
        <v>713400</v>
      </c>
    </row>
    <row r="3907" spans="1:7" x14ac:dyDescent="0.25">
      <c r="A3907" s="1" t="s">
        <v>4030</v>
      </c>
      <c r="B3907" s="76">
        <v>78.472106999999994</v>
      </c>
      <c r="C3907" s="76">
        <v>79.506873999999996</v>
      </c>
      <c r="D3907" s="76">
        <v>77.833466000000001</v>
      </c>
      <c r="E3907" s="76">
        <v>78.286179000000004</v>
      </c>
      <c r="F3907" s="76">
        <v>72.415786999999995</v>
      </c>
      <c r="G3907" s="79">
        <v>793800</v>
      </c>
    </row>
    <row r="3908" spans="1:7" x14ac:dyDescent="0.25">
      <c r="A3908" s="1" t="s">
        <v>4031</v>
      </c>
      <c r="B3908" s="76">
        <v>78.423606999999905</v>
      </c>
      <c r="C3908" s="76">
        <v>78.746971000000002</v>
      </c>
      <c r="D3908" s="76">
        <v>77.849639999999994</v>
      </c>
      <c r="E3908" s="76">
        <v>78.447861000000003</v>
      </c>
      <c r="F3908" s="76">
        <v>72.565353000000002</v>
      </c>
      <c r="G3908" s="79">
        <v>481700</v>
      </c>
    </row>
    <row r="3909" spans="1:7" x14ac:dyDescent="0.25">
      <c r="A3909" s="1" t="s">
        <v>4032</v>
      </c>
      <c r="B3909" s="76">
        <v>78.302344999999903</v>
      </c>
      <c r="C3909" s="76">
        <v>78.803557999999995</v>
      </c>
      <c r="D3909" s="76">
        <v>78.035567999999998</v>
      </c>
      <c r="E3909" s="76">
        <v>78.617621999999997</v>
      </c>
      <c r="F3909" s="76">
        <v>72.722389000000007</v>
      </c>
      <c r="G3909" s="79">
        <v>472100</v>
      </c>
    </row>
    <row r="3910" spans="1:7" x14ac:dyDescent="0.25">
      <c r="A3910" s="1" t="s">
        <v>4033</v>
      </c>
      <c r="B3910" s="76">
        <v>78.932899000000006</v>
      </c>
      <c r="C3910" s="76">
        <v>80</v>
      </c>
      <c r="D3910" s="76">
        <v>78.787391999999997</v>
      </c>
      <c r="E3910" s="76">
        <v>79.409865999999994</v>
      </c>
      <c r="F3910" s="76">
        <v>73.455214999999995</v>
      </c>
      <c r="G3910" s="79">
        <v>514000</v>
      </c>
    </row>
    <row r="3911" spans="1:7" x14ac:dyDescent="0.25">
      <c r="A3911" s="1" t="s">
        <v>4034</v>
      </c>
      <c r="B3911" s="76">
        <v>79.329025000000001</v>
      </c>
      <c r="C3911" s="76">
        <v>79.450278999999995</v>
      </c>
      <c r="D3911" s="76">
        <v>78.504447999999996</v>
      </c>
      <c r="E3911" s="76">
        <v>78.666129999999995</v>
      </c>
      <c r="F3911" s="76">
        <v>72.767257999999998</v>
      </c>
      <c r="G3911" s="79">
        <v>1161900</v>
      </c>
    </row>
    <row r="3912" spans="1:7" x14ac:dyDescent="0.25">
      <c r="A3912" s="1" t="s">
        <v>4035</v>
      </c>
      <c r="B3912" s="76">
        <v>78.593368999999996</v>
      </c>
      <c r="C3912" s="76">
        <v>78.649963</v>
      </c>
      <c r="D3912" s="76">
        <v>78.019401999999999</v>
      </c>
      <c r="E3912" s="76">
        <v>78.245757999999995</v>
      </c>
      <c r="F3912" s="76">
        <v>72.378410000000002</v>
      </c>
      <c r="G3912" s="79">
        <v>830700</v>
      </c>
    </row>
    <row r="3913" spans="1:7" x14ac:dyDescent="0.25">
      <c r="A3913" s="1" t="s">
        <v>4036</v>
      </c>
      <c r="B3913" s="76">
        <v>78.310424999999995</v>
      </c>
      <c r="C3913" s="76">
        <v>78.787391999999997</v>
      </c>
      <c r="D3913" s="76">
        <v>77.962813999999995</v>
      </c>
      <c r="E3913" s="76">
        <v>77.987067999999994</v>
      </c>
      <c r="F3913" s="76">
        <v>72.139114000000006</v>
      </c>
      <c r="G3913" s="79">
        <v>925200</v>
      </c>
    </row>
    <row r="3914" spans="1:7" x14ac:dyDescent="0.25">
      <c r="A3914" s="1" t="s">
        <v>4037</v>
      </c>
      <c r="B3914" s="76">
        <v>78.059821999999997</v>
      </c>
      <c r="C3914" s="76">
        <v>78.658043000000006</v>
      </c>
      <c r="D3914" s="76">
        <v>77.914306999999994</v>
      </c>
      <c r="E3914" s="76">
        <v>78.367019999999997</v>
      </c>
      <c r="F3914" s="76">
        <v>72.490561999999997</v>
      </c>
      <c r="G3914" s="79">
        <v>1085800</v>
      </c>
    </row>
    <row r="3915" spans="1:7" x14ac:dyDescent="0.25">
      <c r="A3915" s="1" t="s">
        <v>4038</v>
      </c>
      <c r="B3915" s="76">
        <v>78.229590999999999</v>
      </c>
      <c r="C3915" s="76">
        <v>78.253838000000002</v>
      </c>
      <c r="D3915" s="76">
        <v>76.911879999999996</v>
      </c>
      <c r="E3915" s="76">
        <v>77.518187999999995</v>
      </c>
      <c r="F3915" s="76">
        <v>71.705391000000006</v>
      </c>
      <c r="G3915" s="79">
        <v>715000</v>
      </c>
    </row>
    <row r="3916" spans="1:7" x14ac:dyDescent="0.25">
      <c r="A3916" s="1" t="s">
        <v>4039</v>
      </c>
      <c r="B3916" s="76">
        <v>77.380759999999995</v>
      </c>
      <c r="C3916" s="76">
        <v>77.954727000000005</v>
      </c>
      <c r="D3916" s="76">
        <v>77.138237000000004</v>
      </c>
      <c r="E3916" s="76">
        <v>77.631362999999993</v>
      </c>
      <c r="F3916" s="76">
        <v>71.810074</v>
      </c>
      <c r="G3916" s="79">
        <v>595300</v>
      </c>
    </row>
    <row r="3917" spans="1:7" x14ac:dyDescent="0.25">
      <c r="A3917" s="1" t="s">
        <v>4040</v>
      </c>
      <c r="B3917" s="76">
        <v>77.534355000000005</v>
      </c>
      <c r="C3917" s="76">
        <v>78.391266000000002</v>
      </c>
      <c r="D3917" s="76">
        <v>77.469688000000005</v>
      </c>
      <c r="E3917" s="76">
        <v>77.857718999999904</v>
      </c>
      <c r="F3917" s="76">
        <v>72.019463000000002</v>
      </c>
      <c r="G3917" s="79">
        <v>788200</v>
      </c>
    </row>
    <row r="3918" spans="1:7" x14ac:dyDescent="0.25">
      <c r="A3918" s="1" t="s">
        <v>4041</v>
      </c>
      <c r="B3918" s="76">
        <v>77.793044999999907</v>
      </c>
      <c r="C3918" s="76">
        <v>78.140663000000004</v>
      </c>
      <c r="D3918" s="76">
        <v>77.380759999999995</v>
      </c>
      <c r="E3918" s="76">
        <v>77.825385999999995</v>
      </c>
      <c r="F3918" s="76">
        <v>71.989554999999996</v>
      </c>
      <c r="G3918" s="79">
        <v>498300</v>
      </c>
    </row>
    <row r="3919" spans="1:7" x14ac:dyDescent="0.25">
      <c r="A3919" s="1" t="s">
        <v>4042</v>
      </c>
      <c r="B3919" s="76">
        <v>77.784965999999997</v>
      </c>
      <c r="C3919" s="76">
        <v>78.666129999999995</v>
      </c>
      <c r="D3919" s="76">
        <v>77.122069999999994</v>
      </c>
      <c r="E3919" s="76">
        <v>78.455939999999998</v>
      </c>
      <c r="F3919" s="76">
        <v>72.572815000000006</v>
      </c>
      <c r="G3919" s="79">
        <v>693200</v>
      </c>
    </row>
    <row r="3920" spans="1:7" x14ac:dyDescent="0.25">
      <c r="A3920" s="1" t="s">
        <v>4043</v>
      </c>
      <c r="B3920" s="76">
        <v>78.415520000000001</v>
      </c>
      <c r="C3920" s="76">
        <v>78.536781000000005</v>
      </c>
      <c r="D3920" s="76">
        <v>77.712204</v>
      </c>
      <c r="E3920" s="76">
        <v>77.954727000000005</v>
      </c>
      <c r="F3920" s="76">
        <v>72.109183999999999</v>
      </c>
      <c r="G3920" s="79">
        <v>454600</v>
      </c>
    </row>
    <row r="3921" spans="1:7" x14ac:dyDescent="0.25">
      <c r="A3921" s="1" t="s">
        <v>4044</v>
      </c>
      <c r="B3921" s="76">
        <v>78.940986999999893</v>
      </c>
      <c r="C3921" s="76">
        <v>79.320937999999998</v>
      </c>
      <c r="D3921" s="76">
        <v>78.544867999999994</v>
      </c>
      <c r="E3921" s="76">
        <v>78.860146</v>
      </c>
      <c r="F3921" s="76">
        <v>72.946724000000003</v>
      </c>
      <c r="G3921" s="79">
        <v>1084300</v>
      </c>
    </row>
    <row r="3922" spans="1:7" x14ac:dyDescent="0.25">
      <c r="A3922" s="1" t="s">
        <v>4045</v>
      </c>
      <c r="B3922" s="76">
        <v>78.884399000000002</v>
      </c>
      <c r="C3922" s="76">
        <v>79.329025000000001</v>
      </c>
      <c r="D3922" s="76">
        <v>78.415520000000001</v>
      </c>
      <c r="E3922" s="76">
        <v>79.126923000000005</v>
      </c>
      <c r="F3922" s="76">
        <v>73.193489</v>
      </c>
      <c r="G3922" s="79">
        <v>513800</v>
      </c>
    </row>
    <row r="3923" spans="1:7" x14ac:dyDescent="0.25">
      <c r="A3923" s="1" t="s">
        <v>4046</v>
      </c>
      <c r="B3923" s="76">
        <v>78.900565999999998</v>
      </c>
      <c r="C3923" s="76">
        <v>79.183509999999998</v>
      </c>
      <c r="D3923" s="76">
        <v>77.388846999999998</v>
      </c>
      <c r="E3923" s="76">
        <v>78.164917000000003</v>
      </c>
      <c r="F3923" s="76">
        <v>72.303618999999998</v>
      </c>
      <c r="G3923" s="79">
        <v>781800</v>
      </c>
    </row>
    <row r="3924" spans="1:7" x14ac:dyDescent="0.25">
      <c r="A3924" s="1" t="s">
        <v>4047</v>
      </c>
      <c r="B3924" s="76">
        <v>78.472106999999994</v>
      </c>
      <c r="C3924" s="76">
        <v>78.496360999999993</v>
      </c>
      <c r="D3924" s="76">
        <v>77.13015</v>
      </c>
      <c r="E3924" s="76">
        <v>77.316085999999999</v>
      </c>
      <c r="F3924" s="76">
        <v>71.518447999999907</v>
      </c>
      <c r="G3924" s="79">
        <v>803000</v>
      </c>
    </row>
    <row r="3925" spans="1:7" x14ac:dyDescent="0.25">
      <c r="A3925" s="1" t="s">
        <v>4048</v>
      </c>
      <c r="B3925" s="76">
        <v>77.316085999999999</v>
      </c>
      <c r="C3925" s="76">
        <v>77.445435000000003</v>
      </c>
      <c r="D3925" s="76">
        <v>75.869040999999996</v>
      </c>
      <c r="E3925" s="76">
        <v>76.936133999999996</v>
      </c>
      <c r="F3925" s="76">
        <v>71.166984999999997</v>
      </c>
      <c r="G3925" s="79">
        <v>863900</v>
      </c>
    </row>
    <row r="3926" spans="1:7" x14ac:dyDescent="0.25">
      <c r="A3926" s="1" t="s">
        <v>4049</v>
      </c>
      <c r="B3926" s="76">
        <v>76.580437000000003</v>
      </c>
      <c r="C3926" s="76">
        <v>77.687957999999995</v>
      </c>
      <c r="D3926" s="76">
        <v>75.755859000000001</v>
      </c>
      <c r="E3926" s="76">
        <v>76.903801000000001</v>
      </c>
      <c r="F3926" s="76">
        <v>71.724402999999995</v>
      </c>
      <c r="G3926" s="79">
        <v>721900</v>
      </c>
    </row>
    <row r="3927" spans="1:7" x14ac:dyDescent="0.25">
      <c r="A3927" s="1" t="s">
        <v>4050</v>
      </c>
      <c r="B3927" s="76">
        <v>77.405013999999994</v>
      </c>
      <c r="C3927" s="76">
        <v>77.744545000000002</v>
      </c>
      <c r="D3927" s="76">
        <v>77.000809000000004</v>
      </c>
      <c r="E3927" s="76">
        <v>77.469688000000005</v>
      </c>
      <c r="F3927" s="76">
        <v>72.252167</v>
      </c>
      <c r="G3927" s="79">
        <v>758600</v>
      </c>
    </row>
    <row r="3928" spans="1:7" x14ac:dyDescent="0.25">
      <c r="A3928" s="1" t="s">
        <v>4051</v>
      </c>
      <c r="B3928" s="76">
        <v>77.380759999999995</v>
      </c>
      <c r="C3928" s="76">
        <v>78.464027000000002</v>
      </c>
      <c r="D3928" s="76">
        <v>76.976555000000005</v>
      </c>
      <c r="E3928" s="76">
        <v>78.051734999999994</v>
      </c>
      <c r="F3928" s="76">
        <v>72.795012999999997</v>
      </c>
      <c r="G3928" s="79">
        <v>734600</v>
      </c>
    </row>
    <row r="3929" spans="1:7" x14ac:dyDescent="0.25">
      <c r="A3929" s="1" t="s">
        <v>4052</v>
      </c>
      <c r="B3929" s="76">
        <v>77.655617000000007</v>
      </c>
      <c r="C3929" s="76">
        <v>78.350844999999893</v>
      </c>
      <c r="D3929" s="76">
        <v>77.413094000000001</v>
      </c>
      <c r="E3929" s="76">
        <v>78.334678999999994</v>
      </c>
      <c r="F3929" s="76">
        <v>73.058898999999997</v>
      </c>
      <c r="G3929" s="79">
        <v>701800</v>
      </c>
    </row>
    <row r="3930" spans="1:7" x14ac:dyDescent="0.25">
      <c r="A3930" s="1" t="s">
        <v>4053</v>
      </c>
      <c r="B3930" s="76">
        <v>78.075989000000007</v>
      </c>
      <c r="C3930" s="76">
        <v>78.884399000000002</v>
      </c>
      <c r="D3930" s="76">
        <v>77.421181000000004</v>
      </c>
      <c r="E3930" s="76">
        <v>78.455939999999998</v>
      </c>
      <c r="F3930" s="76">
        <v>73.172004999999999</v>
      </c>
      <c r="G3930" s="79">
        <v>735800</v>
      </c>
    </row>
    <row r="3931" spans="1:7" x14ac:dyDescent="0.25">
      <c r="A3931" s="1" t="s">
        <v>4054</v>
      </c>
      <c r="B3931" s="76">
        <v>78.294257999999999</v>
      </c>
      <c r="C3931" s="76">
        <v>78.447861000000003</v>
      </c>
      <c r="D3931" s="76">
        <v>77.679870999999906</v>
      </c>
      <c r="E3931" s="76">
        <v>78.358931999999996</v>
      </c>
      <c r="F3931" s="76">
        <v>73.081528000000006</v>
      </c>
      <c r="G3931" s="79">
        <v>606500</v>
      </c>
    </row>
    <row r="3932" spans="1:7" x14ac:dyDescent="0.25">
      <c r="A3932" s="1" t="s">
        <v>4055</v>
      </c>
      <c r="B3932" s="76">
        <v>78.334678999999994</v>
      </c>
      <c r="C3932" s="76">
        <v>79.110748000000001</v>
      </c>
      <c r="D3932" s="76">
        <v>77.679870999999906</v>
      </c>
      <c r="E3932" s="76">
        <v>78.367019999999997</v>
      </c>
      <c r="F3932" s="76">
        <v>73.089057999999994</v>
      </c>
      <c r="G3932" s="79">
        <v>804200</v>
      </c>
    </row>
    <row r="3933" spans="1:7" x14ac:dyDescent="0.25">
      <c r="A3933" s="1" t="s">
        <v>4056</v>
      </c>
      <c r="B3933" s="76">
        <v>78.221503999999996</v>
      </c>
      <c r="C3933" s="76">
        <v>78.641875999999996</v>
      </c>
      <c r="D3933" s="76">
        <v>77.849639999999994</v>
      </c>
      <c r="E3933" s="76">
        <v>78.156829999999999</v>
      </c>
      <c r="F3933" s="76">
        <v>72.893035999999995</v>
      </c>
      <c r="G3933" s="79">
        <v>599200</v>
      </c>
    </row>
    <row r="3934" spans="1:7" x14ac:dyDescent="0.25">
      <c r="A3934" s="1" t="s">
        <v>4057</v>
      </c>
      <c r="B3934" s="76">
        <v>77.760711999999998</v>
      </c>
      <c r="C3934" s="76">
        <v>77.995148</v>
      </c>
      <c r="D3934" s="76">
        <v>76.839127000000005</v>
      </c>
      <c r="E3934" s="76">
        <v>77.146323999999893</v>
      </c>
      <c r="F3934" s="76">
        <v>71.950583999999907</v>
      </c>
      <c r="G3934" s="79">
        <v>587000</v>
      </c>
    </row>
    <row r="3935" spans="1:7" x14ac:dyDescent="0.25">
      <c r="A3935" s="1" t="s">
        <v>4058</v>
      </c>
      <c r="B3935" s="76">
        <v>76.774451999999997</v>
      </c>
      <c r="C3935" s="76">
        <v>76.976555000000005</v>
      </c>
      <c r="D3935" s="76">
        <v>76.168152000000006</v>
      </c>
      <c r="E3935" s="76">
        <v>76.337913999999998</v>
      </c>
      <c r="F3935" s="76">
        <v>71.196617000000003</v>
      </c>
      <c r="G3935" s="79">
        <v>813300</v>
      </c>
    </row>
    <row r="3936" spans="1:7" x14ac:dyDescent="0.25">
      <c r="A3936" s="1" t="s">
        <v>4059</v>
      </c>
      <c r="B3936" s="76">
        <v>75.877121000000002</v>
      </c>
      <c r="C3936" s="76">
        <v>76.257071999999994</v>
      </c>
      <c r="D3936" s="76">
        <v>74.470489999999998</v>
      </c>
      <c r="E3936" s="76">
        <v>74.502831</v>
      </c>
      <c r="F3936" s="76">
        <v>69.485123000000002</v>
      </c>
      <c r="G3936" s="79">
        <v>1148300</v>
      </c>
    </row>
    <row r="3937" spans="1:7" x14ac:dyDescent="0.25">
      <c r="A3937" s="1" t="s">
        <v>4060</v>
      </c>
      <c r="B3937" s="76">
        <v>74.502831</v>
      </c>
      <c r="C3937" s="76">
        <v>74.801940999999999</v>
      </c>
      <c r="D3937" s="76">
        <v>70.444626</v>
      </c>
      <c r="E3937" s="76">
        <v>70.679062000000002</v>
      </c>
      <c r="F3937" s="76">
        <v>65.918883999999906</v>
      </c>
      <c r="G3937" s="79">
        <v>1512300</v>
      </c>
    </row>
    <row r="3938" spans="1:7" x14ac:dyDescent="0.25">
      <c r="A3938" s="1" t="s">
        <v>4061</v>
      </c>
      <c r="B3938" s="76">
        <v>72.231200999999999</v>
      </c>
      <c r="C3938" s="76">
        <v>72.231200999999999</v>
      </c>
      <c r="D3938" s="76">
        <v>68.496360999999993</v>
      </c>
      <c r="E3938" s="76">
        <v>68.552948000000001</v>
      </c>
      <c r="F3938" s="76">
        <v>63.935966000000001</v>
      </c>
      <c r="G3938" s="79">
        <v>1191900</v>
      </c>
    </row>
    <row r="3939" spans="1:7" x14ac:dyDescent="0.25">
      <c r="A3939" s="1" t="s">
        <v>4062</v>
      </c>
      <c r="B3939" s="76">
        <v>69.725143000000003</v>
      </c>
      <c r="C3939" s="76">
        <v>71.374290000000002</v>
      </c>
      <c r="D3939" s="76">
        <v>69.070328000000003</v>
      </c>
      <c r="E3939" s="76">
        <v>71.236862000000002</v>
      </c>
      <c r="F3939" s="76">
        <v>66.439116999999996</v>
      </c>
      <c r="G3939" s="79">
        <v>1320000</v>
      </c>
    </row>
    <row r="3940" spans="1:7" x14ac:dyDescent="0.25">
      <c r="A3940" s="1" t="s">
        <v>4063</v>
      </c>
      <c r="B3940" s="76">
        <v>71.616814000000005</v>
      </c>
      <c r="C3940" s="76">
        <v>73.759093999999905</v>
      </c>
      <c r="D3940" s="76">
        <v>71.519806000000003</v>
      </c>
      <c r="E3940" s="76">
        <v>72.983024999999998</v>
      </c>
      <c r="F3940" s="76">
        <v>68.067672999999999</v>
      </c>
      <c r="G3940" s="79">
        <v>980700</v>
      </c>
    </row>
    <row r="3941" spans="1:7" x14ac:dyDescent="0.25">
      <c r="A3941" s="1" t="s">
        <v>4064</v>
      </c>
      <c r="B3941" s="76">
        <v>72.667746999999906</v>
      </c>
      <c r="C3941" s="76">
        <v>73.411475999999993</v>
      </c>
      <c r="D3941" s="76">
        <v>71.738074999999995</v>
      </c>
      <c r="E3941" s="76">
        <v>72.368636999999893</v>
      </c>
      <c r="F3941" s="76">
        <v>67.494658999999999</v>
      </c>
      <c r="G3941" s="79">
        <v>929900</v>
      </c>
    </row>
    <row r="3942" spans="1:7" x14ac:dyDescent="0.25">
      <c r="A3942" s="1" t="s">
        <v>4065</v>
      </c>
      <c r="B3942" s="76">
        <v>72.166533999999999</v>
      </c>
      <c r="C3942" s="76">
        <v>72.853675999999993</v>
      </c>
      <c r="D3942" s="76">
        <v>70.436538999999996</v>
      </c>
      <c r="E3942" s="76">
        <v>70.485045999999997</v>
      </c>
      <c r="F3942" s="76">
        <v>65.737938</v>
      </c>
      <c r="G3942" s="79">
        <v>1178700</v>
      </c>
    </row>
    <row r="3943" spans="1:7" x14ac:dyDescent="0.25">
      <c r="A3943" s="1" t="s">
        <v>4066</v>
      </c>
      <c r="B3943" s="76">
        <v>69.361358999999993</v>
      </c>
      <c r="C3943" s="76">
        <v>70.436538999999996</v>
      </c>
      <c r="D3943" s="76">
        <v>68.860146</v>
      </c>
      <c r="E3943" s="76">
        <v>69.506873999999996</v>
      </c>
      <c r="F3943" s="76">
        <v>64.825644999999994</v>
      </c>
      <c r="G3943" s="79">
        <v>1339100</v>
      </c>
    </row>
    <row r="3944" spans="1:7" x14ac:dyDescent="0.25">
      <c r="A3944" s="1" t="s">
        <v>4067</v>
      </c>
      <c r="B3944" s="76">
        <v>70.137428</v>
      </c>
      <c r="C3944" s="76">
        <v>70.808410999999893</v>
      </c>
      <c r="D3944" s="76">
        <v>69.797896999999907</v>
      </c>
      <c r="E3944" s="76">
        <v>70.517380000000003</v>
      </c>
      <c r="F3944" s="76">
        <v>65.768096999999997</v>
      </c>
      <c r="G3944" s="79">
        <v>902900</v>
      </c>
    </row>
    <row r="3945" spans="1:7" x14ac:dyDescent="0.25">
      <c r="A3945" s="1" t="s">
        <v>4068</v>
      </c>
      <c r="B3945" s="76">
        <v>70.703316000000001</v>
      </c>
      <c r="C3945" s="76">
        <v>71.293448999999995</v>
      </c>
      <c r="D3945" s="76">
        <v>70.355698000000004</v>
      </c>
      <c r="E3945" s="76">
        <v>70.5578</v>
      </c>
      <c r="F3945" s="76">
        <v>65.805793999999906</v>
      </c>
      <c r="G3945" s="79">
        <v>806100</v>
      </c>
    </row>
    <row r="3946" spans="1:7" x14ac:dyDescent="0.25">
      <c r="A3946" s="1" t="s">
        <v>4069</v>
      </c>
      <c r="B3946" s="76">
        <v>69.911071999999905</v>
      </c>
      <c r="C3946" s="76">
        <v>69.983832999999905</v>
      </c>
      <c r="D3946" s="76">
        <v>68.391266000000002</v>
      </c>
      <c r="E3946" s="76">
        <v>68.649963</v>
      </c>
      <c r="F3946" s="76">
        <v>64.026443</v>
      </c>
      <c r="G3946" s="79">
        <v>996300</v>
      </c>
    </row>
    <row r="3947" spans="1:7" x14ac:dyDescent="0.25">
      <c r="A3947" s="1" t="s">
        <v>4070</v>
      </c>
      <c r="B3947" s="76">
        <v>69.822151000000005</v>
      </c>
      <c r="C3947" s="76">
        <v>70.194016000000005</v>
      </c>
      <c r="D3947" s="76">
        <v>69.086501999999996</v>
      </c>
      <c r="E3947" s="76">
        <v>70.016166999999996</v>
      </c>
      <c r="F3947" s="76">
        <v>65.300635999999997</v>
      </c>
      <c r="G3947" s="79">
        <v>959600</v>
      </c>
    </row>
    <row r="3948" spans="1:7" x14ac:dyDescent="0.25">
      <c r="A3948" s="1" t="s">
        <v>4071</v>
      </c>
      <c r="B3948" s="76">
        <v>70.776069999999905</v>
      </c>
      <c r="C3948" s="76">
        <v>70.816490000000002</v>
      </c>
      <c r="D3948" s="76">
        <v>69.369445999999996</v>
      </c>
      <c r="E3948" s="76">
        <v>69.555374</v>
      </c>
      <c r="F3948" s="76">
        <v>64.870871999999906</v>
      </c>
      <c r="G3948" s="79">
        <v>841700</v>
      </c>
    </row>
    <row r="3949" spans="1:7" x14ac:dyDescent="0.25">
      <c r="A3949" s="1" t="s">
        <v>4072</v>
      </c>
      <c r="B3949" s="76">
        <v>69.280518000000001</v>
      </c>
      <c r="C3949" s="76">
        <v>70.994338999999997</v>
      </c>
      <c r="D3949" s="76">
        <v>69.280518000000001</v>
      </c>
      <c r="E3949" s="76">
        <v>70.226356999999993</v>
      </c>
      <c r="F3949" s="76">
        <v>65.496673999999999</v>
      </c>
      <c r="G3949" s="79">
        <v>952500</v>
      </c>
    </row>
    <row r="3950" spans="1:7" x14ac:dyDescent="0.25">
      <c r="A3950" s="1" t="s">
        <v>4073</v>
      </c>
      <c r="B3950" s="76">
        <v>70.008087000000003</v>
      </c>
      <c r="C3950" s="76">
        <v>71.859336999999996</v>
      </c>
      <c r="D3950" s="76">
        <v>69.733222999999995</v>
      </c>
      <c r="E3950" s="76">
        <v>71.843170000000001</v>
      </c>
      <c r="F3950" s="76">
        <v>67.004593</v>
      </c>
      <c r="G3950" s="79">
        <v>1053200</v>
      </c>
    </row>
    <row r="3951" spans="1:7" x14ac:dyDescent="0.25">
      <c r="A3951" s="1" t="s">
        <v>4074</v>
      </c>
      <c r="B3951" s="76">
        <v>72.021018999999995</v>
      </c>
      <c r="C3951" s="76">
        <v>72.021018999999995</v>
      </c>
      <c r="D3951" s="76">
        <v>71.228782999999893</v>
      </c>
      <c r="E3951" s="76">
        <v>71.544060000000002</v>
      </c>
      <c r="F3951" s="76">
        <v>66.725631999999905</v>
      </c>
      <c r="G3951" s="79">
        <v>880400</v>
      </c>
    </row>
    <row r="3952" spans="1:7" x14ac:dyDescent="0.25">
      <c r="A3952" s="1" t="s">
        <v>4075</v>
      </c>
      <c r="B3952" s="76">
        <v>71.552138999999997</v>
      </c>
      <c r="C3952" s="76">
        <v>72.748588999999996</v>
      </c>
      <c r="D3952" s="76">
        <v>71.139854</v>
      </c>
      <c r="E3952" s="76">
        <v>72.594985999999906</v>
      </c>
      <c r="F3952" s="76">
        <v>67.705780000000004</v>
      </c>
      <c r="G3952" s="79">
        <v>816100</v>
      </c>
    </row>
    <row r="3953" spans="1:7" x14ac:dyDescent="0.25">
      <c r="A3953" s="1" t="s">
        <v>4076</v>
      </c>
      <c r="B3953" s="76">
        <v>72.433304000000007</v>
      </c>
      <c r="C3953" s="76">
        <v>73.742928000000006</v>
      </c>
      <c r="D3953" s="76">
        <v>72.158446999999995</v>
      </c>
      <c r="E3953" s="76">
        <v>73.556991999999994</v>
      </c>
      <c r="F3953" s="76">
        <v>68.603003999999999</v>
      </c>
      <c r="G3953" s="79">
        <v>795300</v>
      </c>
    </row>
    <row r="3954" spans="1:7" x14ac:dyDescent="0.25">
      <c r="A3954" s="1" t="s">
        <v>4077</v>
      </c>
      <c r="B3954" s="76">
        <v>73.468070999999995</v>
      </c>
      <c r="C3954" s="76">
        <v>75.675017999999994</v>
      </c>
      <c r="D3954" s="76">
        <v>73.257880999999998</v>
      </c>
      <c r="E3954" s="76">
        <v>74.389656000000002</v>
      </c>
      <c r="F3954" s="76">
        <v>69.379577999999995</v>
      </c>
      <c r="G3954" s="79">
        <v>835700</v>
      </c>
    </row>
    <row r="3955" spans="1:7" x14ac:dyDescent="0.25">
      <c r="A3955" s="1" t="s">
        <v>4078</v>
      </c>
      <c r="B3955" s="76">
        <v>73.193207000000001</v>
      </c>
      <c r="C3955" s="76">
        <v>75.101050999999998</v>
      </c>
      <c r="D3955" s="76">
        <v>73.193207000000001</v>
      </c>
      <c r="E3955" s="76">
        <v>74.179466000000005</v>
      </c>
      <c r="F3955" s="76">
        <v>69.183532999999997</v>
      </c>
      <c r="G3955" s="79">
        <v>1492100</v>
      </c>
    </row>
    <row r="3956" spans="1:7" x14ac:dyDescent="0.25">
      <c r="A3956" s="1" t="s">
        <v>4079</v>
      </c>
      <c r="B3956" s="76">
        <v>74.413901999999993</v>
      </c>
      <c r="C3956" s="76">
        <v>75.189980000000006</v>
      </c>
      <c r="D3956" s="76">
        <v>74.090537999999995</v>
      </c>
      <c r="E3956" s="76">
        <v>74.640259</v>
      </c>
      <c r="F3956" s="76">
        <v>69.613303999999999</v>
      </c>
      <c r="G3956" s="79">
        <v>812200</v>
      </c>
    </row>
    <row r="3957" spans="1:7" x14ac:dyDescent="0.25">
      <c r="A3957" s="1" t="s">
        <v>4080</v>
      </c>
      <c r="B3957" s="76">
        <v>74.106712000000002</v>
      </c>
      <c r="C3957" s="76">
        <v>74.478577000000001</v>
      </c>
      <c r="D3957" s="76">
        <v>73.371055999999996</v>
      </c>
      <c r="E3957" s="76">
        <v>73.589332999999996</v>
      </c>
      <c r="F3957" s="76">
        <v>68.633156</v>
      </c>
      <c r="G3957" s="79">
        <v>873300</v>
      </c>
    </row>
    <row r="3958" spans="1:7" x14ac:dyDescent="0.25">
      <c r="A3958" s="1" t="s">
        <v>4081</v>
      </c>
      <c r="B3958" s="76">
        <v>73.637833000000001</v>
      </c>
      <c r="C3958" s="76">
        <v>74.244140999999999</v>
      </c>
      <c r="D3958" s="76">
        <v>73.193207000000001</v>
      </c>
      <c r="E3958" s="76">
        <v>73.872268999999903</v>
      </c>
      <c r="F3958" s="76">
        <v>68.897033999999906</v>
      </c>
      <c r="G3958" s="79">
        <v>567600</v>
      </c>
    </row>
    <row r="3959" spans="1:7" x14ac:dyDescent="0.25">
      <c r="A3959" s="1" t="s">
        <v>4082</v>
      </c>
      <c r="B3959" s="76">
        <v>73.540824999999998</v>
      </c>
      <c r="C3959" s="76">
        <v>73.993530000000007</v>
      </c>
      <c r="D3959" s="76">
        <v>72.772835000000001</v>
      </c>
      <c r="E3959" s="76">
        <v>73.233626999999998</v>
      </c>
      <c r="F3959" s="76">
        <v>68.301406999999998</v>
      </c>
      <c r="G3959" s="79">
        <v>799400</v>
      </c>
    </row>
    <row r="3960" spans="1:7" x14ac:dyDescent="0.25">
      <c r="A3960" s="1" t="s">
        <v>4083</v>
      </c>
      <c r="B3960" s="76">
        <v>73.880356000000006</v>
      </c>
      <c r="C3960" s="76">
        <v>74.187552999999994</v>
      </c>
      <c r="D3960" s="76">
        <v>72.958770999999999</v>
      </c>
      <c r="E3960" s="76">
        <v>73.653998999999999</v>
      </c>
      <c r="F3960" s="76">
        <v>68.693466000000001</v>
      </c>
      <c r="G3960" s="79">
        <v>510200</v>
      </c>
    </row>
    <row r="3961" spans="1:7" x14ac:dyDescent="0.25">
      <c r="A3961" s="1" t="s">
        <v>4084</v>
      </c>
      <c r="B3961" s="76">
        <v>73.080031999999903</v>
      </c>
      <c r="C3961" s="76">
        <v>73.354889</v>
      </c>
      <c r="D3961" s="76">
        <v>72.142280999999997</v>
      </c>
      <c r="E3961" s="76">
        <v>72.481812000000005</v>
      </c>
      <c r="F3961" s="76">
        <v>67.600227000000004</v>
      </c>
      <c r="G3961" s="79">
        <v>725900</v>
      </c>
    </row>
    <row r="3962" spans="1:7" x14ac:dyDescent="0.25">
      <c r="A3962" s="1" t="s">
        <v>4085</v>
      </c>
      <c r="B3962" s="76">
        <v>72.506065000000007</v>
      </c>
      <c r="C3962" s="76">
        <v>73.411475999999993</v>
      </c>
      <c r="D3962" s="76">
        <v>72.392882999999998</v>
      </c>
      <c r="E3962" s="76">
        <v>73.265968000000001</v>
      </c>
      <c r="F3962" s="76">
        <v>68.331565999999995</v>
      </c>
      <c r="G3962" s="79">
        <v>613300</v>
      </c>
    </row>
    <row r="3963" spans="1:7" x14ac:dyDescent="0.25">
      <c r="A3963" s="1" t="s">
        <v>4086</v>
      </c>
      <c r="B3963" s="76">
        <v>73.831847999999994</v>
      </c>
      <c r="C3963" s="76">
        <v>74.017783999999907</v>
      </c>
      <c r="D3963" s="76">
        <v>72.627326999999994</v>
      </c>
      <c r="E3963" s="76">
        <v>73.096198999999999</v>
      </c>
      <c r="F3963" s="76">
        <v>68.173232999999996</v>
      </c>
      <c r="G3963" s="79">
        <v>997000</v>
      </c>
    </row>
    <row r="3964" spans="1:7" x14ac:dyDescent="0.25">
      <c r="A3964" s="1" t="s">
        <v>4087</v>
      </c>
      <c r="B3964" s="76">
        <v>73.443816999999996</v>
      </c>
      <c r="C3964" s="76">
        <v>73.532737999999995</v>
      </c>
      <c r="D3964" s="76">
        <v>72.206954999999994</v>
      </c>
      <c r="E3964" s="76">
        <v>73.217461</v>
      </c>
      <c r="F3964" s="76">
        <v>68.286323999999993</v>
      </c>
      <c r="G3964" s="79">
        <v>876300</v>
      </c>
    </row>
    <row r="3965" spans="1:7" x14ac:dyDescent="0.25">
      <c r="A3965" s="1" t="s">
        <v>4088</v>
      </c>
      <c r="B3965" s="76">
        <v>72.999190999999996</v>
      </c>
      <c r="C3965" s="76">
        <v>74.139045999999993</v>
      </c>
      <c r="D3965" s="76">
        <v>72.409058000000002</v>
      </c>
      <c r="E3965" s="76">
        <v>74.130958999999905</v>
      </c>
      <c r="F3965" s="76">
        <v>69.138297999999907</v>
      </c>
      <c r="G3965" s="79">
        <v>815600</v>
      </c>
    </row>
    <row r="3966" spans="1:7" x14ac:dyDescent="0.25">
      <c r="A3966" s="1" t="s">
        <v>4089</v>
      </c>
      <c r="B3966" s="76">
        <v>74.494743</v>
      </c>
      <c r="C3966" s="76">
        <v>75.157639000000003</v>
      </c>
      <c r="D3966" s="76">
        <v>74.155212000000006</v>
      </c>
      <c r="E3966" s="76">
        <v>75.101050999999998</v>
      </c>
      <c r="F3966" s="76">
        <v>70.043053</v>
      </c>
      <c r="G3966" s="79">
        <v>814100</v>
      </c>
    </row>
    <row r="3967" spans="1:7" x14ac:dyDescent="0.25">
      <c r="A3967" s="1" t="s">
        <v>4090</v>
      </c>
      <c r="B3967" s="76">
        <v>74.931281999999996</v>
      </c>
      <c r="C3967" s="76">
        <v>75.416327999999993</v>
      </c>
      <c r="D3967" s="76">
        <v>74.502831</v>
      </c>
      <c r="E3967" s="76">
        <v>75.084885</v>
      </c>
      <c r="F3967" s="76">
        <v>70.027985000000001</v>
      </c>
      <c r="G3967" s="79">
        <v>634100</v>
      </c>
    </row>
    <row r="3968" spans="1:7" x14ac:dyDescent="0.25">
      <c r="A3968" s="1" t="s">
        <v>4091</v>
      </c>
      <c r="B3968" s="76">
        <v>75.189980000000006</v>
      </c>
      <c r="C3968" s="76">
        <v>76.289412999999996</v>
      </c>
      <c r="D3968" s="76">
        <v>75.149558999999996</v>
      </c>
      <c r="E3968" s="76">
        <v>76.232818999999907</v>
      </c>
      <c r="F3968" s="76">
        <v>71.098602</v>
      </c>
      <c r="G3968" s="79">
        <v>1178600</v>
      </c>
    </row>
    <row r="3969" spans="1:7" x14ac:dyDescent="0.25">
      <c r="A3969" s="1" t="s">
        <v>4092</v>
      </c>
      <c r="B3969" s="76">
        <v>76.014549000000002</v>
      </c>
      <c r="C3969" s="76">
        <v>77.566695999999993</v>
      </c>
      <c r="D3969" s="76">
        <v>75.812446999999906</v>
      </c>
      <c r="E3969" s="76">
        <v>77.510101000000006</v>
      </c>
      <c r="F3969" s="76">
        <v>72.289863999999994</v>
      </c>
      <c r="G3969" s="79">
        <v>971300</v>
      </c>
    </row>
    <row r="3970" spans="1:7" x14ac:dyDescent="0.25">
      <c r="A3970" s="1" t="s">
        <v>4093</v>
      </c>
      <c r="B3970" s="76">
        <v>77.461601000000002</v>
      </c>
      <c r="C3970" s="76">
        <v>77.607117000000002</v>
      </c>
      <c r="D3970" s="76">
        <v>76.540015999999994</v>
      </c>
      <c r="E3970" s="76">
        <v>76.984641999999994</v>
      </c>
      <c r="F3970" s="76">
        <v>71.799789000000004</v>
      </c>
      <c r="G3970" s="79">
        <v>688800</v>
      </c>
    </row>
    <row r="3971" spans="1:7" x14ac:dyDescent="0.25">
      <c r="A3971" s="1" t="s">
        <v>4094</v>
      </c>
      <c r="B3971" s="76">
        <v>77.041229000000001</v>
      </c>
      <c r="C3971" s="76">
        <v>77.841553000000005</v>
      </c>
      <c r="D3971" s="76">
        <v>76.887633999999906</v>
      </c>
      <c r="E3971" s="76">
        <v>77.801131999999996</v>
      </c>
      <c r="F3971" s="76">
        <v>72.561295000000001</v>
      </c>
      <c r="G3971" s="79">
        <v>825600</v>
      </c>
    </row>
    <row r="3972" spans="1:7" x14ac:dyDescent="0.25">
      <c r="A3972" s="1" t="s">
        <v>4095</v>
      </c>
      <c r="B3972" s="76">
        <v>77.687957999999995</v>
      </c>
      <c r="C3972" s="76">
        <v>78.011313999999999</v>
      </c>
      <c r="D3972" s="76">
        <v>76.790618999999893</v>
      </c>
      <c r="E3972" s="76">
        <v>77.356505999999996</v>
      </c>
      <c r="F3972" s="76">
        <v>72.146606000000006</v>
      </c>
      <c r="G3972" s="79">
        <v>972700</v>
      </c>
    </row>
    <row r="3973" spans="1:7" x14ac:dyDescent="0.25">
      <c r="A3973" s="1" t="s">
        <v>4096</v>
      </c>
      <c r="B3973" s="76">
        <v>77.558608999999905</v>
      </c>
      <c r="C3973" s="76">
        <v>77.776877999999996</v>
      </c>
      <c r="D3973" s="76">
        <v>76.790618999999893</v>
      </c>
      <c r="E3973" s="76">
        <v>77.138237000000004</v>
      </c>
      <c r="F3973" s="76">
        <v>71.943038999999999</v>
      </c>
      <c r="G3973" s="79">
        <v>661200</v>
      </c>
    </row>
    <row r="3974" spans="1:7" x14ac:dyDescent="0.25">
      <c r="A3974" s="1" t="s">
        <v>4097</v>
      </c>
      <c r="B3974" s="76">
        <v>77.558608999999905</v>
      </c>
      <c r="C3974" s="76">
        <v>78.973320000000001</v>
      </c>
      <c r="D3974" s="76">
        <v>77.299918999999903</v>
      </c>
      <c r="E3974" s="76">
        <v>78.924819999999997</v>
      </c>
      <c r="F3974" s="76">
        <v>73.609298999999993</v>
      </c>
      <c r="G3974" s="79">
        <v>1358800</v>
      </c>
    </row>
    <row r="3975" spans="1:7" x14ac:dyDescent="0.25">
      <c r="A3975" s="1" t="s">
        <v>4098</v>
      </c>
      <c r="B3975" s="76">
        <v>79.353270999999907</v>
      </c>
      <c r="C3975" s="76">
        <v>79.878737999999998</v>
      </c>
      <c r="D3975" s="76">
        <v>79.078415000000007</v>
      </c>
      <c r="E3975" s="76">
        <v>79.4422</v>
      </c>
      <c r="F3975" s="76">
        <v>74.091835000000003</v>
      </c>
      <c r="G3975" s="79">
        <v>843800</v>
      </c>
    </row>
    <row r="3976" spans="1:7" x14ac:dyDescent="0.25">
      <c r="A3976" s="1" t="s">
        <v>4099</v>
      </c>
      <c r="B3976" s="76">
        <v>79.345191999999997</v>
      </c>
      <c r="C3976" s="76">
        <v>81.059012999999993</v>
      </c>
      <c r="D3976" s="76">
        <v>79.223929999999996</v>
      </c>
      <c r="E3976" s="76">
        <v>81.026679999999999</v>
      </c>
      <c r="F3976" s="76">
        <v>75.569594999999893</v>
      </c>
      <c r="G3976" s="79">
        <v>960900</v>
      </c>
    </row>
    <row r="3977" spans="1:7" x14ac:dyDescent="0.25">
      <c r="A3977" s="1" t="s">
        <v>4100</v>
      </c>
      <c r="B3977" s="76">
        <v>80.638641000000007</v>
      </c>
      <c r="C3977" s="76">
        <v>81.317702999999995</v>
      </c>
      <c r="D3977" s="76">
        <v>79.902991999999998</v>
      </c>
      <c r="E3977" s="76">
        <v>80.452704999999995</v>
      </c>
      <c r="F3977" s="76">
        <v>75.034278999999998</v>
      </c>
      <c r="G3977" s="79">
        <v>947700</v>
      </c>
    </row>
    <row r="3978" spans="1:7" x14ac:dyDescent="0.25">
      <c r="A3978" s="1" t="s">
        <v>4101</v>
      </c>
      <c r="B3978" s="76">
        <v>80.743735999999998</v>
      </c>
      <c r="C3978" s="76">
        <v>81.083267000000006</v>
      </c>
      <c r="D3978" s="76">
        <v>79.854484999999997</v>
      </c>
      <c r="E3978" s="76">
        <v>79.886825999999999</v>
      </c>
      <c r="F3978" s="76">
        <v>74.506507999999997</v>
      </c>
      <c r="G3978" s="79">
        <v>661700</v>
      </c>
    </row>
    <row r="3979" spans="1:7" x14ac:dyDescent="0.25">
      <c r="A3979" s="1" t="s">
        <v>4102</v>
      </c>
      <c r="B3979" s="76">
        <v>80.202102999999994</v>
      </c>
      <c r="C3979" s="76">
        <v>81.333869999999905</v>
      </c>
      <c r="D3979" s="76">
        <v>79.991912999999997</v>
      </c>
      <c r="E3979" s="76">
        <v>81.010506000000007</v>
      </c>
      <c r="F3979" s="76">
        <v>75.554519999999997</v>
      </c>
      <c r="G3979" s="79">
        <v>821000</v>
      </c>
    </row>
    <row r="3980" spans="1:7" x14ac:dyDescent="0.25">
      <c r="A3980" s="1" t="s">
        <v>4103</v>
      </c>
      <c r="B3980" s="76">
        <v>80.929671999999997</v>
      </c>
      <c r="C3980" s="76">
        <v>81.471298000000004</v>
      </c>
      <c r="D3980" s="76">
        <v>79.862572</v>
      </c>
      <c r="E3980" s="76">
        <v>80.460792999999995</v>
      </c>
      <c r="F3980" s="76">
        <v>75.041831999999999</v>
      </c>
      <c r="G3980" s="79">
        <v>1101400</v>
      </c>
    </row>
    <row r="3981" spans="1:7" x14ac:dyDescent="0.25">
      <c r="A3981" s="1" t="s">
        <v>4104</v>
      </c>
      <c r="B3981" s="76">
        <v>80.630554000000004</v>
      </c>
      <c r="C3981" s="76">
        <v>80.743735999999998</v>
      </c>
      <c r="D3981" s="76">
        <v>80.080841000000007</v>
      </c>
      <c r="E3981" s="76">
        <v>80.646728999999993</v>
      </c>
      <c r="F3981" s="76">
        <v>75.215232999999998</v>
      </c>
      <c r="G3981" s="79">
        <v>618500</v>
      </c>
    </row>
    <row r="3982" spans="1:7" x14ac:dyDescent="0.25">
      <c r="A3982" s="1" t="s">
        <v>4105</v>
      </c>
      <c r="B3982" s="76">
        <v>80.412284999999997</v>
      </c>
      <c r="C3982" s="76">
        <v>80.864998</v>
      </c>
      <c r="D3982" s="76">
        <v>79.983832999999905</v>
      </c>
      <c r="E3982" s="76">
        <v>80.468879999999999</v>
      </c>
      <c r="F3982" s="76">
        <v>75.049377000000007</v>
      </c>
      <c r="G3982" s="79">
        <v>504100</v>
      </c>
    </row>
    <row r="3983" spans="1:7" x14ac:dyDescent="0.25">
      <c r="A3983" s="1" t="s">
        <v>4106</v>
      </c>
      <c r="B3983" s="76">
        <v>80.590133999999907</v>
      </c>
      <c r="C3983" s="76">
        <v>81.447051999999999</v>
      </c>
      <c r="D3983" s="76">
        <v>79.636215000000007</v>
      </c>
      <c r="E3983" s="76">
        <v>81.422798</v>
      </c>
      <c r="F3983" s="76">
        <v>75.939041000000003</v>
      </c>
      <c r="G3983" s="79">
        <v>972600</v>
      </c>
    </row>
    <row r="3984" spans="1:7" x14ac:dyDescent="0.25">
      <c r="A3984" s="1" t="s">
        <v>4107</v>
      </c>
      <c r="B3984" s="76">
        <v>80.978172000000001</v>
      </c>
      <c r="C3984" s="76">
        <v>81.495552000000004</v>
      </c>
      <c r="D3984" s="76">
        <v>80.816490000000002</v>
      </c>
      <c r="E3984" s="76">
        <v>81.406631000000004</v>
      </c>
      <c r="F3984" s="76">
        <v>75.923964999999995</v>
      </c>
      <c r="G3984" s="79">
        <v>427800</v>
      </c>
    </row>
    <row r="3985" spans="1:7" x14ac:dyDescent="0.25">
      <c r="A3985" s="1" t="s">
        <v>4108</v>
      </c>
      <c r="B3985" s="76">
        <v>81.398544000000001</v>
      </c>
      <c r="C3985" s="76">
        <v>81.544060000000002</v>
      </c>
      <c r="D3985" s="76">
        <v>80.913498000000004</v>
      </c>
      <c r="E3985" s="76">
        <v>81.28537</v>
      </c>
      <c r="F3985" s="76">
        <v>75.810867000000002</v>
      </c>
      <c r="G3985" s="79">
        <v>1828300</v>
      </c>
    </row>
    <row r="3986" spans="1:7" x14ac:dyDescent="0.25">
      <c r="A3986" s="1" t="s">
        <v>4109</v>
      </c>
      <c r="B3986" s="76">
        <v>81.293448999999995</v>
      </c>
      <c r="C3986" s="76">
        <v>83.597412000000006</v>
      </c>
      <c r="D3986" s="76">
        <v>79.474532999999994</v>
      </c>
      <c r="E3986" s="76">
        <v>83.597412000000006</v>
      </c>
      <c r="F3986" s="76">
        <v>77.967201000000003</v>
      </c>
      <c r="G3986" s="79">
        <v>1157500</v>
      </c>
    </row>
    <row r="3987" spans="1:7" x14ac:dyDescent="0.25">
      <c r="A3987" s="1" t="s">
        <v>4110</v>
      </c>
      <c r="B3987" s="76">
        <v>83.476151000000002</v>
      </c>
      <c r="C3987" s="76">
        <v>83.476151000000002</v>
      </c>
      <c r="D3987" s="76">
        <v>79.797896999999907</v>
      </c>
      <c r="E3987" s="76">
        <v>81.487472999999994</v>
      </c>
      <c r="F3987" s="76">
        <v>75.999358999999998</v>
      </c>
      <c r="G3987" s="79">
        <v>1592300</v>
      </c>
    </row>
    <row r="3988" spans="1:7" x14ac:dyDescent="0.25">
      <c r="A3988" s="1" t="s">
        <v>4111</v>
      </c>
      <c r="B3988" s="76">
        <v>81.649154999999993</v>
      </c>
      <c r="C3988" s="76">
        <v>81.924010999999993</v>
      </c>
      <c r="D3988" s="76">
        <v>80.460792999999995</v>
      </c>
      <c r="E3988" s="76">
        <v>80.759902999999994</v>
      </c>
      <c r="F3988" s="76">
        <v>75.320785999999998</v>
      </c>
      <c r="G3988" s="79">
        <v>994800</v>
      </c>
    </row>
    <row r="3989" spans="1:7" x14ac:dyDescent="0.25">
      <c r="A3989" s="1" t="s">
        <v>4112</v>
      </c>
      <c r="B3989" s="76">
        <v>80.598220999999995</v>
      </c>
      <c r="C3989" s="76">
        <v>80.848831000000004</v>
      </c>
      <c r="D3989" s="76">
        <v>80.129349000000005</v>
      </c>
      <c r="E3989" s="76">
        <v>80.662894999999907</v>
      </c>
      <c r="F3989" s="76">
        <v>75.230316000000002</v>
      </c>
      <c r="G3989" s="79">
        <v>1136600</v>
      </c>
    </row>
    <row r="3990" spans="1:7" x14ac:dyDescent="0.25">
      <c r="A3990" s="1" t="s">
        <v>4113</v>
      </c>
      <c r="B3990" s="76">
        <v>79.029915000000003</v>
      </c>
      <c r="C3990" s="76">
        <v>79.385611999999995</v>
      </c>
      <c r="D3990" s="76">
        <v>77.243331999999995</v>
      </c>
      <c r="E3990" s="76">
        <v>77.995148</v>
      </c>
      <c r="F3990" s="76">
        <v>73.204444999999893</v>
      </c>
      <c r="G3990" s="79">
        <v>1226000</v>
      </c>
    </row>
    <row r="3991" spans="1:7" x14ac:dyDescent="0.25">
      <c r="A3991" s="1" t="s">
        <v>4114</v>
      </c>
      <c r="B3991" s="76">
        <v>77.995148</v>
      </c>
      <c r="C3991" s="76">
        <v>78.148750000000007</v>
      </c>
      <c r="D3991" s="76">
        <v>76.071135999999996</v>
      </c>
      <c r="E3991" s="76">
        <v>76.798705999999996</v>
      </c>
      <c r="F3991" s="76">
        <v>72.081490000000002</v>
      </c>
      <c r="G3991" s="79">
        <v>1058100</v>
      </c>
    </row>
    <row r="3992" spans="1:7" x14ac:dyDescent="0.25">
      <c r="A3992" s="1" t="s">
        <v>4115</v>
      </c>
      <c r="B3992" s="76">
        <v>76.887633999999906</v>
      </c>
      <c r="C3992" s="76">
        <v>77.712204</v>
      </c>
      <c r="D3992" s="76">
        <v>76.806792999999999</v>
      </c>
      <c r="E3992" s="76">
        <v>77.364593999999997</v>
      </c>
      <c r="F3992" s="76">
        <v>72.612633000000002</v>
      </c>
      <c r="G3992" s="79">
        <v>954300</v>
      </c>
    </row>
    <row r="3993" spans="1:7" x14ac:dyDescent="0.25">
      <c r="A3993" s="1" t="s">
        <v>4116</v>
      </c>
      <c r="B3993" s="76">
        <v>77.631362999999993</v>
      </c>
      <c r="C3993" s="76">
        <v>77.825385999999995</v>
      </c>
      <c r="D3993" s="76">
        <v>77.138237000000004</v>
      </c>
      <c r="E3993" s="76">
        <v>77.599029999999999</v>
      </c>
      <c r="F3993" s="76">
        <v>72.832656999999998</v>
      </c>
      <c r="G3993" s="79">
        <v>735600</v>
      </c>
    </row>
    <row r="3994" spans="1:7" x14ac:dyDescent="0.25">
      <c r="A3994" s="1" t="s">
        <v>4117</v>
      </c>
      <c r="B3994" s="76">
        <v>77.356505999999996</v>
      </c>
      <c r="C3994" s="76">
        <v>77.558608999999905</v>
      </c>
      <c r="D3994" s="76">
        <v>76.523848999999998</v>
      </c>
      <c r="E3994" s="76">
        <v>76.596603000000002</v>
      </c>
      <c r="F3994" s="76">
        <v>71.891807999999997</v>
      </c>
      <c r="G3994" s="79">
        <v>632700</v>
      </c>
    </row>
    <row r="3995" spans="1:7" x14ac:dyDescent="0.25">
      <c r="A3995" s="1" t="s">
        <v>4118</v>
      </c>
      <c r="B3995" s="76">
        <v>76.499595999999997</v>
      </c>
      <c r="C3995" s="76">
        <v>77.332252999999994</v>
      </c>
      <c r="D3995" s="76">
        <v>75.537589999999994</v>
      </c>
      <c r="E3995" s="76">
        <v>75.650763999999995</v>
      </c>
      <c r="F3995" s="76">
        <v>71.004058999999998</v>
      </c>
      <c r="G3995" s="79">
        <v>704600</v>
      </c>
    </row>
    <row r="3996" spans="1:7" x14ac:dyDescent="0.25">
      <c r="A3996" s="1" t="s">
        <v>4119</v>
      </c>
      <c r="B3996" s="76">
        <v>75.650763999999995</v>
      </c>
      <c r="C3996" s="76">
        <v>76.556182999999905</v>
      </c>
      <c r="D3996" s="76">
        <v>75.230391999999995</v>
      </c>
      <c r="E3996" s="76">
        <v>76.531929000000005</v>
      </c>
      <c r="F3996" s="76">
        <v>71.831100000000006</v>
      </c>
      <c r="G3996" s="79">
        <v>696800</v>
      </c>
    </row>
    <row r="3997" spans="1:7" x14ac:dyDescent="0.25">
      <c r="A3997" s="1" t="s">
        <v>4120</v>
      </c>
      <c r="B3997" s="76">
        <v>76.297493000000003</v>
      </c>
      <c r="C3997" s="76">
        <v>77.033141999999998</v>
      </c>
      <c r="D3997" s="76">
        <v>76.095389999999995</v>
      </c>
      <c r="E3997" s="76">
        <v>76.119643999999994</v>
      </c>
      <c r="F3997" s="76">
        <v>71.444137999999995</v>
      </c>
      <c r="G3997" s="79">
        <v>552700</v>
      </c>
    </row>
    <row r="3998" spans="1:7" x14ac:dyDescent="0.25">
      <c r="A3998" s="1" t="s">
        <v>4121</v>
      </c>
      <c r="B3998" s="76">
        <v>76.507683</v>
      </c>
      <c r="C3998" s="76">
        <v>77.405013999999994</v>
      </c>
      <c r="D3998" s="76">
        <v>76.087311</v>
      </c>
      <c r="E3998" s="76">
        <v>77.316085999999999</v>
      </c>
      <c r="F3998" s="76">
        <v>72.567093</v>
      </c>
      <c r="G3998" s="79">
        <v>584400</v>
      </c>
    </row>
    <row r="3999" spans="1:7" x14ac:dyDescent="0.25">
      <c r="A3999" s="1" t="s">
        <v>4122</v>
      </c>
      <c r="B3999" s="76">
        <v>77.453513999999998</v>
      </c>
      <c r="C3999" s="76">
        <v>77.987067999999994</v>
      </c>
      <c r="D3999" s="76">
        <v>77.105903999999995</v>
      </c>
      <c r="E3999" s="76">
        <v>77.760711999999998</v>
      </c>
      <c r="F3999" s="76">
        <v>72.984406000000007</v>
      </c>
      <c r="G3999" s="79">
        <v>532800</v>
      </c>
    </row>
    <row r="4000" spans="1:7" x14ac:dyDescent="0.25">
      <c r="A4000" s="1" t="s">
        <v>4123</v>
      </c>
      <c r="B4000" s="76">
        <v>78.181083999999998</v>
      </c>
      <c r="C4000" s="76">
        <v>78.722717000000003</v>
      </c>
      <c r="D4000" s="76">
        <v>78.100243000000006</v>
      </c>
      <c r="E4000" s="76">
        <v>78.569121999999993</v>
      </c>
      <c r="F4000" s="76">
        <v>73.743172000000001</v>
      </c>
      <c r="G4000" s="79">
        <v>970900</v>
      </c>
    </row>
    <row r="4001" spans="1:7" x14ac:dyDescent="0.25">
      <c r="A4001" s="1" t="s">
        <v>4124</v>
      </c>
      <c r="B4001" s="76">
        <v>78.399353000000005</v>
      </c>
      <c r="C4001" s="76">
        <v>78.827811999999994</v>
      </c>
      <c r="D4001" s="76">
        <v>78.310424999999995</v>
      </c>
      <c r="E4001" s="76">
        <v>78.625709999999998</v>
      </c>
      <c r="F4001" s="76">
        <v>73.796279999999996</v>
      </c>
      <c r="G4001" s="79">
        <v>517700</v>
      </c>
    </row>
    <row r="4002" spans="1:7" x14ac:dyDescent="0.25">
      <c r="A4002" s="1" t="s">
        <v>4125</v>
      </c>
      <c r="B4002" s="76">
        <v>78.229590999999999</v>
      </c>
      <c r="C4002" s="76">
        <v>78.924819999999997</v>
      </c>
      <c r="D4002" s="76">
        <v>77.784965999999997</v>
      </c>
      <c r="E4002" s="76">
        <v>78.690376000000001</v>
      </c>
      <c r="F4002" s="76">
        <v>73.856971999999999</v>
      </c>
      <c r="G4002" s="79">
        <v>936000</v>
      </c>
    </row>
    <row r="4003" spans="1:7" x14ac:dyDescent="0.25">
      <c r="A4003" s="1" t="s">
        <v>4126</v>
      </c>
      <c r="B4003" s="76">
        <v>78.633788999999993</v>
      </c>
      <c r="C4003" s="76">
        <v>79.078415000000007</v>
      </c>
      <c r="D4003" s="76">
        <v>77.906227000000001</v>
      </c>
      <c r="E4003" s="76">
        <v>78.302344999999903</v>
      </c>
      <c r="F4003" s="76">
        <v>73.492774999999995</v>
      </c>
      <c r="G4003" s="79">
        <v>729100</v>
      </c>
    </row>
    <row r="4004" spans="1:7" x14ac:dyDescent="0.25">
      <c r="A4004" s="1" t="s">
        <v>4127</v>
      </c>
      <c r="B4004" s="76">
        <v>78.132576</v>
      </c>
      <c r="C4004" s="76">
        <v>79.086501999999996</v>
      </c>
      <c r="D4004" s="76">
        <v>78.092155000000005</v>
      </c>
      <c r="E4004" s="76">
        <v>78.860146</v>
      </c>
      <c r="F4004" s="76">
        <v>74.016311999999999</v>
      </c>
      <c r="G4004" s="79">
        <v>386700</v>
      </c>
    </row>
    <row r="4005" spans="1:7" x14ac:dyDescent="0.25">
      <c r="A4005" s="1" t="s">
        <v>4128</v>
      </c>
      <c r="B4005" s="76">
        <v>79.005661000000003</v>
      </c>
      <c r="C4005" s="76">
        <v>79.199676999999994</v>
      </c>
      <c r="D4005" s="76">
        <v>78.092155000000005</v>
      </c>
      <c r="E4005" s="76">
        <v>78.221503999999996</v>
      </c>
      <c r="F4005" s="76">
        <v>73.416893000000002</v>
      </c>
      <c r="G4005" s="79">
        <v>1174000</v>
      </c>
    </row>
    <row r="4006" spans="1:7" x14ac:dyDescent="0.25">
      <c r="A4006" s="1" t="s">
        <v>4129</v>
      </c>
      <c r="B4006" s="76">
        <v>78.746971000000002</v>
      </c>
      <c r="C4006" s="76">
        <v>79.911071999999905</v>
      </c>
      <c r="D4006" s="76">
        <v>78.512527000000006</v>
      </c>
      <c r="E4006" s="76">
        <v>79.886825999999999</v>
      </c>
      <c r="F4006" s="76">
        <v>74.979934999999998</v>
      </c>
      <c r="G4006" s="79">
        <v>859100</v>
      </c>
    </row>
    <row r="4007" spans="1:7" x14ac:dyDescent="0.25">
      <c r="A4007" s="1" t="s">
        <v>4130</v>
      </c>
      <c r="B4007" s="76">
        <v>79.393692000000001</v>
      </c>
      <c r="C4007" s="76">
        <v>80.121262000000002</v>
      </c>
      <c r="D4007" s="76">
        <v>78.310424999999995</v>
      </c>
      <c r="E4007" s="76">
        <v>78.464027000000002</v>
      </c>
      <c r="F4007" s="76">
        <v>73.644524000000004</v>
      </c>
      <c r="G4007" s="79">
        <v>901300</v>
      </c>
    </row>
    <row r="4008" spans="1:7" x14ac:dyDescent="0.25">
      <c r="A4008" s="1" t="s">
        <v>4131</v>
      </c>
      <c r="B4008" s="76">
        <v>78.011313999999999</v>
      </c>
      <c r="C4008" s="76">
        <v>78.455939999999998</v>
      </c>
      <c r="D4008" s="76">
        <v>77.453513999999998</v>
      </c>
      <c r="E4008" s="76">
        <v>77.914306999999994</v>
      </c>
      <c r="F4008" s="76">
        <v>73.128578000000005</v>
      </c>
      <c r="G4008" s="79">
        <v>1198400</v>
      </c>
    </row>
    <row r="4009" spans="1:7" x14ac:dyDescent="0.25">
      <c r="A4009" s="1" t="s">
        <v>4132</v>
      </c>
      <c r="B4009" s="76">
        <v>78.286179000000004</v>
      </c>
      <c r="C4009" s="76">
        <v>79.620048999999995</v>
      </c>
      <c r="D4009" s="76">
        <v>78.019401999999999</v>
      </c>
      <c r="E4009" s="76">
        <v>79.054160999999993</v>
      </c>
      <c r="F4009" s="76">
        <v>74.198418000000004</v>
      </c>
      <c r="G4009" s="79">
        <v>891900</v>
      </c>
    </row>
    <row r="4010" spans="1:7" x14ac:dyDescent="0.25">
      <c r="A4010" s="1" t="s">
        <v>4133</v>
      </c>
      <c r="B4010" s="76">
        <v>78.940986999999893</v>
      </c>
      <c r="C4010" s="76">
        <v>79.563461000000004</v>
      </c>
      <c r="D4010" s="76">
        <v>78.569121999999993</v>
      </c>
      <c r="E4010" s="76">
        <v>79.337104999999994</v>
      </c>
      <c r="F4010" s="76">
        <v>74.463988999999998</v>
      </c>
      <c r="G4010" s="79">
        <v>833200</v>
      </c>
    </row>
    <row r="4011" spans="1:7" x14ac:dyDescent="0.25">
      <c r="A4011" s="1" t="s">
        <v>4134</v>
      </c>
      <c r="B4011" s="76">
        <v>79.191588999999993</v>
      </c>
      <c r="C4011" s="76">
        <v>79.547294999999906</v>
      </c>
      <c r="D4011" s="76">
        <v>78.666129999999995</v>
      </c>
      <c r="E4011" s="76">
        <v>79.223929999999996</v>
      </c>
      <c r="F4011" s="76">
        <v>74.357749999999996</v>
      </c>
      <c r="G4011" s="79">
        <v>700500</v>
      </c>
    </row>
    <row r="4012" spans="1:7" x14ac:dyDescent="0.25">
      <c r="A4012" s="1" t="s">
        <v>4135</v>
      </c>
      <c r="B4012" s="76">
        <v>78.819725000000005</v>
      </c>
      <c r="C4012" s="76">
        <v>79.458365999999998</v>
      </c>
      <c r="D4012" s="76">
        <v>78.181083999999998</v>
      </c>
      <c r="E4012" s="76">
        <v>78.843979000000004</v>
      </c>
      <c r="F4012" s="76">
        <v>74.001129000000006</v>
      </c>
      <c r="G4012" s="79">
        <v>708800</v>
      </c>
    </row>
    <row r="4013" spans="1:7" x14ac:dyDescent="0.25">
      <c r="A4013" s="1" t="s">
        <v>4136</v>
      </c>
      <c r="B4013" s="76">
        <v>78.860146</v>
      </c>
      <c r="C4013" s="76">
        <v>79.143089000000003</v>
      </c>
      <c r="D4013" s="76">
        <v>77.873885999999999</v>
      </c>
      <c r="E4013" s="76">
        <v>78.334678999999994</v>
      </c>
      <c r="F4013" s="76">
        <v>73.523131999999904</v>
      </c>
      <c r="G4013" s="79">
        <v>868700</v>
      </c>
    </row>
    <row r="4014" spans="1:7" x14ac:dyDescent="0.25">
      <c r="A4014" s="1" t="s">
        <v>4137</v>
      </c>
      <c r="B4014" s="76">
        <v>77.793044999999907</v>
      </c>
      <c r="C4014" s="76">
        <v>78.666129999999995</v>
      </c>
      <c r="D4014" s="76">
        <v>77.437347000000003</v>
      </c>
      <c r="E4014" s="76">
        <v>78.092155000000005</v>
      </c>
      <c r="F4014" s="76">
        <v>73.295501999999999</v>
      </c>
      <c r="G4014" s="79">
        <v>921000</v>
      </c>
    </row>
    <row r="4015" spans="1:7" x14ac:dyDescent="0.25">
      <c r="A4015" s="1" t="s">
        <v>4138</v>
      </c>
      <c r="B4015" s="76">
        <v>77.987067999999994</v>
      </c>
      <c r="C4015" s="76">
        <v>78.989493999999993</v>
      </c>
      <c r="D4015" s="76">
        <v>77.372672999999907</v>
      </c>
      <c r="E4015" s="76">
        <v>78.940986999999893</v>
      </c>
      <c r="F4015" s="76">
        <v>74.092193999999907</v>
      </c>
      <c r="G4015" s="79">
        <v>938300</v>
      </c>
    </row>
    <row r="4016" spans="1:7" x14ac:dyDescent="0.25">
      <c r="A4016" s="1" t="s">
        <v>4139</v>
      </c>
      <c r="B4016" s="76">
        <v>79.385611999999995</v>
      </c>
      <c r="C4016" s="76">
        <v>80.113174000000001</v>
      </c>
      <c r="D4016" s="76">
        <v>79.361358999999993</v>
      </c>
      <c r="E4016" s="76">
        <v>79.490700000000004</v>
      </c>
      <c r="F4016" s="76">
        <v>74.608131</v>
      </c>
      <c r="G4016" s="79">
        <v>1269200</v>
      </c>
    </row>
    <row r="4017" spans="1:7" x14ac:dyDescent="0.25">
      <c r="A4017" s="1" t="s">
        <v>4140</v>
      </c>
      <c r="B4017" s="76">
        <v>79.838318000000001</v>
      </c>
      <c r="C4017" s="76">
        <v>81.253028999999998</v>
      </c>
      <c r="D4017" s="76">
        <v>79.329025000000001</v>
      </c>
      <c r="E4017" s="76">
        <v>80.970084999999997</v>
      </c>
      <c r="F4017" s="76">
        <v>75.996651</v>
      </c>
      <c r="G4017" s="79">
        <v>1218100</v>
      </c>
    </row>
    <row r="4018" spans="1:7" x14ac:dyDescent="0.25">
      <c r="A4018" s="1" t="s">
        <v>4141</v>
      </c>
      <c r="B4018" s="76">
        <v>80.905417999999997</v>
      </c>
      <c r="C4018" s="76">
        <v>81.915924000000004</v>
      </c>
      <c r="D4018" s="76">
        <v>80.371864000000002</v>
      </c>
      <c r="E4018" s="76">
        <v>80.379951000000005</v>
      </c>
      <c r="F4018" s="76">
        <v>75.442771999999906</v>
      </c>
      <c r="G4018" s="79">
        <v>1182300</v>
      </c>
    </row>
    <row r="4019" spans="1:7" x14ac:dyDescent="0.25">
      <c r="A4019" s="1" t="s">
        <v>4142</v>
      </c>
      <c r="B4019" s="76">
        <v>80.072754000000003</v>
      </c>
      <c r="C4019" s="76">
        <v>80.242522999999906</v>
      </c>
      <c r="D4019" s="76">
        <v>78.795470999999907</v>
      </c>
      <c r="E4019" s="76">
        <v>78.819725000000005</v>
      </c>
      <c r="F4019" s="76">
        <v>73.978370999999996</v>
      </c>
      <c r="G4019" s="79">
        <v>1443000</v>
      </c>
    </row>
    <row r="4020" spans="1:7" x14ac:dyDescent="0.25">
      <c r="A4020" s="1" t="s">
        <v>4143</v>
      </c>
      <c r="B4020" s="76">
        <v>79.668555999999995</v>
      </c>
      <c r="C4020" s="76">
        <v>79.927245999999997</v>
      </c>
      <c r="D4020" s="76">
        <v>78.253838000000002</v>
      </c>
      <c r="E4020" s="76">
        <v>78.779304999999994</v>
      </c>
      <c r="F4020" s="76">
        <v>73.940437000000003</v>
      </c>
      <c r="G4020" s="79">
        <v>660800</v>
      </c>
    </row>
    <row r="4021" spans="1:7" x14ac:dyDescent="0.25">
      <c r="A4021" s="1" t="s">
        <v>4144</v>
      </c>
      <c r="B4021" s="76">
        <v>79.27243</v>
      </c>
      <c r="C4021" s="76">
        <v>79.765563999999998</v>
      </c>
      <c r="D4021" s="76">
        <v>79.143089000000003</v>
      </c>
      <c r="E4021" s="76">
        <v>79.248183999999995</v>
      </c>
      <c r="F4021" s="76">
        <v>74.380516</v>
      </c>
      <c r="G4021" s="79">
        <v>895500</v>
      </c>
    </row>
    <row r="4022" spans="1:7" x14ac:dyDescent="0.25">
      <c r="A4022" s="1" t="s">
        <v>4145</v>
      </c>
      <c r="B4022" s="76">
        <v>79.498786999999993</v>
      </c>
      <c r="C4022" s="76">
        <v>80.792236000000003</v>
      </c>
      <c r="D4022" s="76">
        <v>79.401779000000005</v>
      </c>
      <c r="E4022" s="76">
        <v>80.767989999999998</v>
      </c>
      <c r="F4022" s="76">
        <v>75.806968999999995</v>
      </c>
      <c r="G4022" s="79">
        <v>613100</v>
      </c>
    </row>
    <row r="4023" spans="1:7" x14ac:dyDescent="0.25">
      <c r="A4023" s="1" t="s">
        <v>4146</v>
      </c>
      <c r="B4023" s="76">
        <v>80.832656999999998</v>
      </c>
      <c r="C4023" s="76">
        <v>81.018592999999996</v>
      </c>
      <c r="D4023" s="76">
        <v>80.282944000000001</v>
      </c>
      <c r="E4023" s="76">
        <v>80.687149000000005</v>
      </c>
      <c r="F4023" s="76">
        <v>75.731102000000007</v>
      </c>
      <c r="G4023" s="79">
        <v>207300</v>
      </c>
    </row>
    <row r="4024" spans="1:7" x14ac:dyDescent="0.25">
      <c r="A4024" s="1" t="s">
        <v>4147</v>
      </c>
      <c r="B4024" s="76">
        <v>80.388039000000006</v>
      </c>
      <c r="C4024" s="76">
        <v>81.309623999999999</v>
      </c>
      <c r="D4024" s="76">
        <v>80.088927999999996</v>
      </c>
      <c r="E4024" s="76">
        <v>81.228782999999893</v>
      </c>
      <c r="F4024" s="76">
        <v>76.239463999999998</v>
      </c>
      <c r="G4024" s="79">
        <v>393900</v>
      </c>
    </row>
    <row r="4025" spans="1:7" x14ac:dyDescent="0.25">
      <c r="A4025" s="1" t="s">
        <v>4148</v>
      </c>
      <c r="B4025" s="76">
        <v>81.608733999999998</v>
      </c>
      <c r="C4025" s="76">
        <v>82.231200999999999</v>
      </c>
      <c r="D4025" s="76">
        <v>81.244949000000005</v>
      </c>
      <c r="E4025" s="76">
        <v>82.037186000000005</v>
      </c>
      <c r="F4025" s="76">
        <v>76.998199</v>
      </c>
      <c r="G4025" s="79">
        <v>734500</v>
      </c>
    </row>
    <row r="4026" spans="1:7" x14ac:dyDescent="0.25">
      <c r="A4026" s="1" t="s">
        <v>4149</v>
      </c>
      <c r="B4026" s="76">
        <v>81.899756999999994</v>
      </c>
      <c r="C4026" s="76">
        <v>82.376716999999999</v>
      </c>
      <c r="D4026" s="76">
        <v>81.713820999999996</v>
      </c>
      <c r="E4026" s="76">
        <v>81.778495999999905</v>
      </c>
      <c r="F4026" s="76">
        <v>76.755416999999994</v>
      </c>
      <c r="G4026" s="79">
        <v>337300</v>
      </c>
    </row>
    <row r="4027" spans="1:7" x14ac:dyDescent="0.25">
      <c r="A4027" s="1" t="s">
        <v>4150</v>
      </c>
      <c r="B4027" s="76">
        <v>81.665320999999906</v>
      </c>
      <c r="C4027" s="76">
        <v>81.867424</v>
      </c>
      <c r="D4027" s="76">
        <v>80.751816000000005</v>
      </c>
      <c r="E4027" s="76">
        <v>80.808410999999893</v>
      </c>
      <c r="F4027" s="76">
        <v>75.844925000000003</v>
      </c>
      <c r="G4027" s="79">
        <v>578500</v>
      </c>
    </row>
    <row r="4028" spans="1:7" x14ac:dyDescent="0.25">
      <c r="A4028" s="1" t="s">
        <v>4151</v>
      </c>
      <c r="B4028" s="76">
        <v>79.951492000000002</v>
      </c>
      <c r="C4028" s="76">
        <v>80.299109999999999</v>
      </c>
      <c r="D4028" s="76">
        <v>78.811638000000002</v>
      </c>
      <c r="E4028" s="76">
        <v>79.563461000000004</v>
      </c>
      <c r="F4028" s="76">
        <v>74.676422000000002</v>
      </c>
      <c r="G4028" s="79">
        <v>677900</v>
      </c>
    </row>
    <row r="4029" spans="1:7" x14ac:dyDescent="0.25">
      <c r="A4029" s="1" t="s">
        <v>4152</v>
      </c>
      <c r="B4029" s="76">
        <v>79.870650999999995</v>
      </c>
      <c r="C4029" s="76">
        <v>80.816490000000002</v>
      </c>
      <c r="D4029" s="76">
        <v>79.620048999999995</v>
      </c>
      <c r="E4029" s="76">
        <v>80.614388000000005</v>
      </c>
      <c r="F4029" s="76">
        <v>75.662796</v>
      </c>
      <c r="G4029" s="79">
        <v>571200</v>
      </c>
    </row>
    <row r="4030" spans="1:7" x14ac:dyDescent="0.25">
      <c r="A4030" s="1" t="s">
        <v>4153</v>
      </c>
      <c r="B4030" s="76">
        <v>79.983832999999905</v>
      </c>
      <c r="C4030" s="76">
        <v>80.436538999999996</v>
      </c>
      <c r="D4030" s="76">
        <v>79.401779000000005</v>
      </c>
      <c r="E4030" s="76">
        <v>80.234436000000002</v>
      </c>
      <c r="F4030" s="76">
        <v>75.306197999999995</v>
      </c>
      <c r="G4030" s="79">
        <v>780000</v>
      </c>
    </row>
    <row r="4031" spans="1:7" x14ac:dyDescent="0.25">
      <c r="A4031" s="1" t="s">
        <v>4154</v>
      </c>
      <c r="B4031" s="76">
        <v>79.086501999999996</v>
      </c>
      <c r="C4031" s="76">
        <v>79.846405000000004</v>
      </c>
      <c r="D4031" s="76">
        <v>78.924819999999997</v>
      </c>
      <c r="E4031" s="76">
        <v>79.4422</v>
      </c>
      <c r="F4031" s="76">
        <v>74.562613999999996</v>
      </c>
      <c r="G4031" s="79">
        <v>1129800</v>
      </c>
    </row>
    <row r="4032" spans="1:7" x14ac:dyDescent="0.25">
      <c r="A4032" s="1" t="s">
        <v>4155</v>
      </c>
      <c r="B4032" s="76">
        <v>79.490700000000004</v>
      </c>
      <c r="C4032" s="76">
        <v>80.008087000000003</v>
      </c>
      <c r="D4032" s="76">
        <v>77.550522000000001</v>
      </c>
      <c r="E4032" s="76">
        <v>77.728378000000006</v>
      </c>
      <c r="F4032" s="76">
        <v>72.954063000000005</v>
      </c>
      <c r="G4032" s="79">
        <v>678600</v>
      </c>
    </row>
    <row r="4033" spans="1:7" x14ac:dyDescent="0.25">
      <c r="A4033" s="1" t="s">
        <v>4156</v>
      </c>
      <c r="B4033" s="76">
        <v>77.987067999999994</v>
      </c>
      <c r="C4033" s="76">
        <v>79.183509999999998</v>
      </c>
      <c r="D4033" s="76">
        <v>77.251411000000004</v>
      </c>
      <c r="E4033" s="76">
        <v>77.348427000000001</v>
      </c>
      <c r="F4033" s="76">
        <v>72.597457999999904</v>
      </c>
      <c r="G4033" s="79">
        <v>920300</v>
      </c>
    </row>
    <row r="4034" spans="1:7" x14ac:dyDescent="0.25">
      <c r="A4034" s="1" t="s">
        <v>4157</v>
      </c>
      <c r="B4034" s="76">
        <v>77.728378000000006</v>
      </c>
      <c r="C4034" s="76">
        <v>77.728378000000006</v>
      </c>
      <c r="D4034" s="76">
        <v>75.957961999999995</v>
      </c>
      <c r="E4034" s="76">
        <v>76.216651999999996</v>
      </c>
      <c r="F4034" s="76">
        <v>71.535193999999905</v>
      </c>
      <c r="G4034" s="79">
        <v>1204500</v>
      </c>
    </row>
    <row r="4035" spans="1:7" x14ac:dyDescent="0.25">
      <c r="A4035" s="1" t="s">
        <v>4158</v>
      </c>
      <c r="B4035" s="76">
        <v>76.321747000000002</v>
      </c>
      <c r="C4035" s="76">
        <v>76.685531999999995</v>
      </c>
      <c r="D4035" s="76">
        <v>75.004043999999993</v>
      </c>
      <c r="E4035" s="76">
        <v>75.125304999999997</v>
      </c>
      <c r="F4035" s="76">
        <v>70.51088</v>
      </c>
      <c r="G4035" s="79">
        <v>1049700</v>
      </c>
    </row>
    <row r="4036" spans="1:7" x14ac:dyDescent="0.25">
      <c r="A4036" s="1" t="s">
        <v>4159</v>
      </c>
      <c r="B4036" s="76">
        <v>75.392075000000006</v>
      </c>
      <c r="C4036" s="76">
        <v>75.836699999999993</v>
      </c>
      <c r="D4036" s="76">
        <v>74.478577000000001</v>
      </c>
      <c r="E4036" s="76">
        <v>74.810019999999994</v>
      </c>
      <c r="F4036" s="76">
        <v>70.214957999999996</v>
      </c>
      <c r="G4036" s="79">
        <v>1015200</v>
      </c>
    </row>
    <row r="4037" spans="1:7" x14ac:dyDescent="0.25">
      <c r="A4037" s="1" t="s">
        <v>4160</v>
      </c>
      <c r="B4037" s="76">
        <v>75.004043999999993</v>
      </c>
      <c r="C4037" s="76">
        <v>75.004043999999993</v>
      </c>
      <c r="D4037" s="76">
        <v>73.233626999999998</v>
      </c>
      <c r="E4037" s="76">
        <v>73.435730000000007</v>
      </c>
      <c r="F4037" s="76">
        <v>68.925078999999997</v>
      </c>
      <c r="G4037" s="79">
        <v>1288900</v>
      </c>
    </row>
    <row r="4038" spans="1:7" x14ac:dyDescent="0.25">
      <c r="A4038" s="1" t="s">
        <v>4161</v>
      </c>
      <c r="B4038" s="76">
        <v>74.090537999999995</v>
      </c>
      <c r="C4038" s="76">
        <v>74.591751000000002</v>
      </c>
      <c r="D4038" s="76">
        <v>73.581244999999996</v>
      </c>
      <c r="E4038" s="76">
        <v>73.686340000000001</v>
      </c>
      <c r="F4038" s="76">
        <v>69.160308999999998</v>
      </c>
      <c r="G4038" s="79">
        <v>729700</v>
      </c>
    </row>
    <row r="4039" spans="1:7" x14ac:dyDescent="0.25">
      <c r="A4039" s="1" t="s">
        <v>4162</v>
      </c>
      <c r="B4039" s="76">
        <v>72.950683999999995</v>
      </c>
      <c r="C4039" s="76">
        <v>73.459983999999906</v>
      </c>
      <c r="D4039" s="76">
        <v>70.113174000000001</v>
      </c>
      <c r="E4039" s="76">
        <v>71.495552000000004</v>
      </c>
      <c r="F4039" s="76">
        <v>67.104073</v>
      </c>
      <c r="G4039" s="79">
        <v>1255000</v>
      </c>
    </row>
    <row r="4040" spans="1:7" x14ac:dyDescent="0.25">
      <c r="A4040" s="1" t="s">
        <v>4163</v>
      </c>
      <c r="B4040" s="76">
        <v>71.875504000000006</v>
      </c>
      <c r="C4040" s="76">
        <v>72.603072999999995</v>
      </c>
      <c r="D4040" s="76">
        <v>70.994338999999997</v>
      </c>
      <c r="E4040" s="76">
        <v>71.827003000000005</v>
      </c>
      <c r="F4040" s="76">
        <v>67.415168999999906</v>
      </c>
      <c r="G4040" s="79">
        <v>852800</v>
      </c>
    </row>
    <row r="4041" spans="1:7" x14ac:dyDescent="0.25">
      <c r="A4041" s="1" t="s">
        <v>4164</v>
      </c>
      <c r="B4041" s="76">
        <v>72.780922000000004</v>
      </c>
      <c r="C4041" s="76">
        <v>74.017783999999907</v>
      </c>
      <c r="D4041" s="76">
        <v>72.772835000000001</v>
      </c>
      <c r="E4041" s="76">
        <v>73.379142999999999</v>
      </c>
      <c r="F4041" s="76">
        <v>68.871971000000002</v>
      </c>
      <c r="G4041" s="79">
        <v>1288900</v>
      </c>
    </row>
    <row r="4042" spans="1:7" x14ac:dyDescent="0.25">
      <c r="A4042" s="1" t="s">
        <v>4165</v>
      </c>
      <c r="B4042" s="76">
        <v>73.290215000000003</v>
      </c>
      <c r="C4042" s="76">
        <v>74.276473999999993</v>
      </c>
      <c r="D4042" s="76">
        <v>72.748588999999996</v>
      </c>
      <c r="E4042" s="76">
        <v>72.886016999999995</v>
      </c>
      <c r="F4042" s="76">
        <v>68.409133999999995</v>
      </c>
      <c r="G4042" s="79">
        <v>627400</v>
      </c>
    </row>
    <row r="4043" spans="1:7" x14ac:dyDescent="0.25">
      <c r="A4043" s="1" t="s">
        <v>4166</v>
      </c>
      <c r="B4043" s="76">
        <v>73.055779000000001</v>
      </c>
      <c r="C4043" s="76">
        <v>74.430068999999904</v>
      </c>
      <c r="D4043" s="76">
        <v>72.813254999999998</v>
      </c>
      <c r="E4043" s="76">
        <v>74.421988999999996</v>
      </c>
      <c r="F4043" s="76">
        <v>69.850753999999995</v>
      </c>
      <c r="G4043" s="79">
        <v>948700</v>
      </c>
    </row>
    <row r="4044" spans="1:7" x14ac:dyDescent="0.25">
      <c r="A4044" s="1" t="s">
        <v>4167</v>
      </c>
      <c r="B4044" s="76">
        <v>74.098624999999998</v>
      </c>
      <c r="C4044" s="76">
        <v>74.211799999999997</v>
      </c>
      <c r="D4044" s="76">
        <v>73.120452999999998</v>
      </c>
      <c r="E4044" s="76">
        <v>73.686340000000001</v>
      </c>
      <c r="F4044" s="76">
        <v>69.160308999999998</v>
      </c>
      <c r="G4044" s="79">
        <v>920600</v>
      </c>
    </row>
    <row r="4045" spans="1:7" x14ac:dyDescent="0.25">
      <c r="A4045" s="1" t="s">
        <v>4168</v>
      </c>
      <c r="B4045" s="76">
        <v>73.443816999999996</v>
      </c>
      <c r="C4045" s="76">
        <v>74.114791999999994</v>
      </c>
      <c r="D4045" s="76">
        <v>70.008087000000003</v>
      </c>
      <c r="E4045" s="76">
        <v>70.282944000000001</v>
      </c>
      <c r="F4045" s="76">
        <v>66.425055999999998</v>
      </c>
      <c r="G4045" s="79">
        <v>2350300</v>
      </c>
    </row>
    <row r="4046" spans="1:7" x14ac:dyDescent="0.25">
      <c r="A4046" s="1" t="s">
        <v>4169</v>
      </c>
      <c r="B4046" s="76">
        <v>71.139854</v>
      </c>
      <c r="C4046" s="76">
        <v>72.085693000000006</v>
      </c>
      <c r="D4046" s="76">
        <v>69.490700000000004</v>
      </c>
      <c r="E4046" s="76">
        <v>71.511718999999999</v>
      </c>
      <c r="F4046" s="76">
        <v>67.586387999999999</v>
      </c>
      <c r="G4046" s="79">
        <v>3011900</v>
      </c>
    </row>
    <row r="4047" spans="1:7" x14ac:dyDescent="0.25">
      <c r="A4047" s="1" t="s">
        <v>4170</v>
      </c>
      <c r="B4047" s="76">
        <v>70.743735999999998</v>
      </c>
      <c r="C4047" s="76">
        <v>71.827003000000005</v>
      </c>
      <c r="D4047" s="76">
        <v>70.396118000000001</v>
      </c>
      <c r="E4047" s="76">
        <v>71.010506000000007</v>
      </c>
      <c r="F4047" s="76">
        <v>67.112685999999997</v>
      </c>
      <c r="G4047" s="79">
        <v>1474600</v>
      </c>
    </row>
    <row r="4048" spans="1:7" x14ac:dyDescent="0.25">
      <c r="A4048" s="1" t="s">
        <v>4171</v>
      </c>
      <c r="B4048" s="76">
        <v>70.735648999999995</v>
      </c>
      <c r="C4048" s="76">
        <v>72.514144999999999</v>
      </c>
      <c r="D4048" s="76">
        <v>68.690376000000001</v>
      </c>
      <c r="E4048" s="76">
        <v>68.908653000000001</v>
      </c>
      <c r="F4048" s="76">
        <v>65.126213000000007</v>
      </c>
      <c r="G4048" s="79">
        <v>1673000</v>
      </c>
    </row>
    <row r="4049" spans="1:7" x14ac:dyDescent="0.25">
      <c r="A4049" s="1" t="s">
        <v>4172</v>
      </c>
      <c r="B4049" s="76">
        <v>69.337104999999994</v>
      </c>
      <c r="C4049" s="76">
        <v>69.878737999999998</v>
      </c>
      <c r="D4049" s="76">
        <v>68.367019999999997</v>
      </c>
      <c r="E4049" s="76">
        <v>69.611960999999994</v>
      </c>
      <c r="F4049" s="76">
        <v>65.790908999999999</v>
      </c>
      <c r="G4049" s="79">
        <v>845100</v>
      </c>
    </row>
    <row r="4050" spans="1:7" x14ac:dyDescent="0.25">
      <c r="A4050" s="1" t="s">
        <v>4173</v>
      </c>
      <c r="B4050" s="76">
        <v>69.450278999999995</v>
      </c>
      <c r="C4050" s="76">
        <v>70.153594999999996</v>
      </c>
      <c r="D4050" s="76">
        <v>68.326599000000002</v>
      </c>
      <c r="E4050" s="76">
        <v>69.595794999999995</v>
      </c>
      <c r="F4050" s="76">
        <v>65.775634999999994</v>
      </c>
      <c r="G4050" s="79">
        <v>1085500</v>
      </c>
    </row>
    <row r="4051" spans="1:7" x14ac:dyDescent="0.25">
      <c r="A4051" s="1" t="s">
        <v>4174</v>
      </c>
      <c r="B4051" s="76">
        <v>69.296683999999999</v>
      </c>
      <c r="C4051" s="76">
        <v>69.773643000000007</v>
      </c>
      <c r="D4051" s="76">
        <v>68.075989000000007</v>
      </c>
      <c r="E4051" s="76">
        <v>68.116408999999905</v>
      </c>
      <c r="F4051" s="76">
        <v>64.377448999999999</v>
      </c>
      <c r="G4051" s="79">
        <v>1294100</v>
      </c>
    </row>
    <row r="4052" spans="1:7" x14ac:dyDescent="0.25">
      <c r="A4052" s="1" t="s">
        <v>4175</v>
      </c>
      <c r="B4052" s="76">
        <v>67.720291000000003</v>
      </c>
      <c r="C4052" s="76">
        <v>68.172996999999995</v>
      </c>
      <c r="D4052" s="76">
        <v>64.147132999999997</v>
      </c>
      <c r="E4052" s="76">
        <v>65.254645999999994</v>
      </c>
      <c r="F4052" s="76">
        <v>61.672778999999998</v>
      </c>
      <c r="G4052" s="79">
        <v>1465500</v>
      </c>
    </row>
    <row r="4053" spans="1:7" x14ac:dyDescent="0.25">
      <c r="A4053" s="1" t="s">
        <v>4176</v>
      </c>
      <c r="B4053" s="76">
        <v>64.818107999999995</v>
      </c>
      <c r="C4053" s="76">
        <v>65.650763999999995</v>
      </c>
      <c r="D4053" s="76">
        <v>64.179466000000005</v>
      </c>
      <c r="E4053" s="76">
        <v>65.020209999999906</v>
      </c>
      <c r="F4053" s="76">
        <v>61.451205999999999</v>
      </c>
      <c r="G4053" s="79">
        <v>1494400</v>
      </c>
    </row>
    <row r="4054" spans="1:7" x14ac:dyDescent="0.25">
      <c r="A4054" s="1" t="s">
        <v>4177</v>
      </c>
      <c r="B4054" s="76">
        <v>65.319321000000002</v>
      </c>
      <c r="C4054" s="76">
        <v>66.887633999999906</v>
      </c>
      <c r="D4054" s="76">
        <v>64.753433000000001</v>
      </c>
      <c r="E4054" s="76">
        <v>65.561843999999994</v>
      </c>
      <c r="F4054" s="76">
        <v>61.963115999999999</v>
      </c>
      <c r="G4054" s="79">
        <v>1574300</v>
      </c>
    </row>
    <row r="4055" spans="1:7" x14ac:dyDescent="0.25">
      <c r="A4055" s="1" t="s">
        <v>4178</v>
      </c>
      <c r="B4055" s="76">
        <v>64.559417999999994</v>
      </c>
      <c r="C4055" s="76">
        <v>65.416327999999993</v>
      </c>
      <c r="D4055" s="76">
        <v>63.791431000000003</v>
      </c>
      <c r="E4055" s="76">
        <v>64.793853999999996</v>
      </c>
      <c r="F4055" s="76">
        <v>61.237281999999901</v>
      </c>
      <c r="G4055" s="79">
        <v>3203000</v>
      </c>
    </row>
    <row r="4056" spans="1:7" x14ac:dyDescent="0.25">
      <c r="A4056" s="1" t="s">
        <v>4179</v>
      </c>
      <c r="B4056" s="76">
        <v>65.359741</v>
      </c>
      <c r="C4056" s="76">
        <v>65.893287999999998</v>
      </c>
      <c r="D4056" s="76">
        <v>65.060631000000001</v>
      </c>
      <c r="E4056" s="76">
        <v>65.586097999999893</v>
      </c>
      <c r="F4056" s="76">
        <v>61.986030999999997</v>
      </c>
      <c r="G4056" s="79">
        <v>1272700</v>
      </c>
    </row>
    <row r="4057" spans="1:7" x14ac:dyDescent="0.25">
      <c r="A4057" s="1" t="s">
        <v>4180</v>
      </c>
      <c r="B4057" s="76">
        <v>66.232818999999907</v>
      </c>
      <c r="C4057" s="76">
        <v>66.911879999999996</v>
      </c>
      <c r="D4057" s="76">
        <v>65.529510000000002</v>
      </c>
      <c r="E4057" s="76">
        <v>66.628943999999905</v>
      </c>
      <c r="F4057" s="76">
        <v>62.971637999999999</v>
      </c>
      <c r="G4057" s="79">
        <v>2622500</v>
      </c>
    </row>
    <row r="4058" spans="1:7" x14ac:dyDescent="0.25">
      <c r="A4058" s="1" t="s">
        <v>4181</v>
      </c>
      <c r="B4058" s="76">
        <v>66.693611000000004</v>
      </c>
      <c r="C4058" s="76">
        <v>67.574776</v>
      </c>
      <c r="D4058" s="76">
        <v>65.351653999999996</v>
      </c>
      <c r="E4058" s="76">
        <v>66.790618999999893</v>
      </c>
      <c r="F4058" s="76">
        <v>63.124439000000002</v>
      </c>
      <c r="G4058" s="79">
        <v>1962900</v>
      </c>
    </row>
    <row r="4059" spans="1:7" x14ac:dyDescent="0.25">
      <c r="A4059" s="1" t="s">
        <v>4182</v>
      </c>
      <c r="B4059" s="76">
        <v>66.701697999999993</v>
      </c>
      <c r="C4059" s="76">
        <v>68.617621999999997</v>
      </c>
      <c r="D4059" s="76">
        <v>66.386420999999999</v>
      </c>
      <c r="E4059" s="76">
        <v>68.148750000000007</v>
      </c>
      <c r="F4059" s="76">
        <v>64.408011999999999</v>
      </c>
      <c r="G4059" s="79">
        <v>1241500</v>
      </c>
    </row>
    <row r="4060" spans="1:7" x14ac:dyDescent="0.25">
      <c r="A4060" s="1" t="s">
        <v>4183</v>
      </c>
      <c r="B4060" s="76">
        <v>67.784965999999997</v>
      </c>
      <c r="C4060" s="76">
        <v>69.232010000000002</v>
      </c>
      <c r="D4060" s="76">
        <v>67.178657999999999</v>
      </c>
      <c r="E4060" s="76">
        <v>68.730796999999995</v>
      </c>
      <c r="F4060" s="76">
        <v>64.958106999999998</v>
      </c>
      <c r="G4060" s="79">
        <v>2065000</v>
      </c>
    </row>
    <row r="4061" spans="1:7" x14ac:dyDescent="0.25">
      <c r="A4061" s="1" t="s">
        <v>4184</v>
      </c>
      <c r="B4061" s="76">
        <v>69.248183999999995</v>
      </c>
      <c r="C4061" s="76">
        <v>70.743735999999998</v>
      </c>
      <c r="D4061" s="76">
        <v>69.248183999999995</v>
      </c>
      <c r="E4061" s="76">
        <v>70.582053999999999</v>
      </c>
      <c r="F4061" s="76">
        <v>66.707747999999995</v>
      </c>
      <c r="G4061" s="79">
        <v>1179800</v>
      </c>
    </row>
    <row r="4062" spans="1:7" x14ac:dyDescent="0.25">
      <c r="A4062" s="1" t="s">
        <v>4185</v>
      </c>
      <c r="B4062" s="76">
        <v>70.177848999999995</v>
      </c>
      <c r="C4062" s="76">
        <v>71.269203000000005</v>
      </c>
      <c r="D4062" s="76">
        <v>68.900565999999998</v>
      </c>
      <c r="E4062" s="76">
        <v>70.056586999999993</v>
      </c>
      <c r="F4062" s="76">
        <v>66.211128000000002</v>
      </c>
      <c r="G4062" s="79">
        <v>1187900</v>
      </c>
    </row>
    <row r="4063" spans="1:7" x14ac:dyDescent="0.25">
      <c r="A4063" s="1" t="s">
        <v>4186</v>
      </c>
      <c r="B4063" s="76">
        <v>69.708977000000004</v>
      </c>
      <c r="C4063" s="76">
        <v>70.113174000000001</v>
      </c>
      <c r="D4063" s="76">
        <v>68.795470999999907</v>
      </c>
      <c r="E4063" s="76">
        <v>69.401779000000005</v>
      </c>
      <c r="F4063" s="76">
        <v>65.592269999999999</v>
      </c>
      <c r="G4063" s="79">
        <v>792000</v>
      </c>
    </row>
    <row r="4064" spans="1:7" x14ac:dyDescent="0.25">
      <c r="A4064" s="1" t="s">
        <v>4187</v>
      </c>
      <c r="B4064" s="76">
        <v>70.024253999999999</v>
      </c>
      <c r="C4064" s="76">
        <v>70.598220999999995</v>
      </c>
      <c r="D4064" s="76">
        <v>68.973320000000001</v>
      </c>
      <c r="E4064" s="76">
        <v>69.854484999999997</v>
      </c>
      <c r="F4064" s="76">
        <v>66.020118999999994</v>
      </c>
      <c r="G4064" s="79">
        <v>1111800</v>
      </c>
    </row>
    <row r="4065" spans="1:7" x14ac:dyDescent="0.25">
      <c r="A4065" s="1" t="s">
        <v>4188</v>
      </c>
      <c r="B4065" s="76">
        <v>69.894904999999994</v>
      </c>
      <c r="C4065" s="76">
        <v>70.355698000000004</v>
      </c>
      <c r="D4065" s="76">
        <v>69.514954000000003</v>
      </c>
      <c r="E4065" s="76">
        <v>69.644301999999996</v>
      </c>
      <c r="F4065" s="76">
        <v>65.821494999999999</v>
      </c>
      <c r="G4065" s="79">
        <v>846000</v>
      </c>
    </row>
    <row r="4066" spans="1:7" x14ac:dyDescent="0.25">
      <c r="A4066" s="1" t="s">
        <v>4189</v>
      </c>
      <c r="B4066" s="76">
        <v>69.757476999999994</v>
      </c>
      <c r="C4066" s="76">
        <v>70.743735999999998</v>
      </c>
      <c r="D4066" s="76">
        <v>69.490700000000004</v>
      </c>
      <c r="E4066" s="76">
        <v>69.814064000000002</v>
      </c>
      <c r="F4066" s="76">
        <v>65.981926000000001</v>
      </c>
      <c r="G4066" s="79">
        <v>1060400</v>
      </c>
    </row>
    <row r="4067" spans="1:7" x14ac:dyDescent="0.25">
      <c r="A4067" s="1" t="s">
        <v>4190</v>
      </c>
      <c r="B4067" s="76">
        <v>70.274856999999997</v>
      </c>
      <c r="C4067" s="76">
        <v>72.182700999999994</v>
      </c>
      <c r="D4067" s="76">
        <v>70.129349000000005</v>
      </c>
      <c r="E4067" s="76">
        <v>72.158446999999995</v>
      </c>
      <c r="F4067" s="76">
        <v>68.197624000000005</v>
      </c>
      <c r="G4067" s="79">
        <v>1018500</v>
      </c>
    </row>
    <row r="4068" spans="1:7" x14ac:dyDescent="0.25">
      <c r="A4068" s="1" t="s">
        <v>4191</v>
      </c>
      <c r="B4068" s="76">
        <v>72.190781000000001</v>
      </c>
      <c r="C4068" s="76">
        <v>73.071944999999999</v>
      </c>
      <c r="D4068" s="76">
        <v>72.134192999999996</v>
      </c>
      <c r="E4068" s="76">
        <v>73.071944999999999</v>
      </c>
      <c r="F4068" s="76">
        <v>69.060974000000002</v>
      </c>
      <c r="G4068" s="79">
        <v>554100</v>
      </c>
    </row>
    <row r="4069" spans="1:7" x14ac:dyDescent="0.25">
      <c r="A4069" s="1" t="s">
        <v>4192</v>
      </c>
      <c r="B4069" s="76">
        <v>73.330635000000001</v>
      </c>
      <c r="C4069" s="76">
        <v>73.629752999999994</v>
      </c>
      <c r="D4069" s="76">
        <v>72.691993999999994</v>
      </c>
      <c r="E4069" s="76">
        <v>73.629752999999994</v>
      </c>
      <c r="F4069" s="76">
        <v>69.588172999999998</v>
      </c>
      <c r="G4069" s="79">
        <v>563800</v>
      </c>
    </row>
    <row r="4070" spans="1:7" x14ac:dyDescent="0.25">
      <c r="A4070" s="1" t="s">
        <v>4193</v>
      </c>
      <c r="B4070" s="76">
        <v>73.597412000000006</v>
      </c>
      <c r="C4070" s="76">
        <v>74.955535999999995</v>
      </c>
      <c r="D4070" s="76">
        <v>73.443816999999996</v>
      </c>
      <c r="E4070" s="76">
        <v>74.785774000000004</v>
      </c>
      <c r="F4070" s="76">
        <v>70.680724999999995</v>
      </c>
      <c r="G4070" s="79">
        <v>1023800</v>
      </c>
    </row>
    <row r="4071" spans="1:7" x14ac:dyDescent="0.25">
      <c r="A4071" s="1" t="s">
        <v>4194</v>
      </c>
      <c r="B4071" s="76">
        <v>74.130958999999905</v>
      </c>
      <c r="C4071" s="76">
        <v>74.543250999999998</v>
      </c>
      <c r="D4071" s="76">
        <v>73.702506999999997</v>
      </c>
      <c r="E4071" s="76">
        <v>74.260306999999997</v>
      </c>
      <c r="F4071" s="76">
        <v>70.184105000000002</v>
      </c>
      <c r="G4071" s="79">
        <v>600100</v>
      </c>
    </row>
    <row r="4072" spans="1:7" x14ac:dyDescent="0.25">
      <c r="A4072" s="1" t="s">
        <v>4195</v>
      </c>
      <c r="B4072" s="76">
        <v>74.025870999999995</v>
      </c>
      <c r="C4072" s="76">
        <v>74.090537999999995</v>
      </c>
      <c r="D4072" s="76">
        <v>72.376716999999999</v>
      </c>
      <c r="E4072" s="76">
        <v>72.465644999999995</v>
      </c>
      <c r="F4072" s="76">
        <v>68.487953000000005</v>
      </c>
      <c r="G4072" s="79">
        <v>1024100</v>
      </c>
    </row>
    <row r="4073" spans="1:7" x14ac:dyDescent="0.25">
      <c r="A4073" s="1" t="s">
        <v>4196</v>
      </c>
      <c r="B4073" s="76">
        <v>73.007277999999999</v>
      </c>
      <c r="C4073" s="76">
        <v>73.330635000000001</v>
      </c>
      <c r="D4073" s="76">
        <v>72.053352000000004</v>
      </c>
      <c r="E4073" s="76">
        <v>72.328216999999995</v>
      </c>
      <c r="F4073" s="76">
        <v>68.358069999999998</v>
      </c>
      <c r="G4073" s="79">
        <v>785800</v>
      </c>
    </row>
    <row r="4074" spans="1:7" x14ac:dyDescent="0.25">
      <c r="A4074" s="1" t="s">
        <v>4197</v>
      </c>
      <c r="B4074" s="76">
        <v>72.861762999999996</v>
      </c>
      <c r="C4074" s="76">
        <v>72.861762999999996</v>
      </c>
      <c r="D4074" s="76">
        <v>70.962006000000002</v>
      </c>
      <c r="E4074" s="76">
        <v>71.738074999999995</v>
      </c>
      <c r="F4074" s="76">
        <v>67.800322999999906</v>
      </c>
      <c r="G4074" s="79">
        <v>757700</v>
      </c>
    </row>
    <row r="4075" spans="1:7" x14ac:dyDescent="0.25">
      <c r="A4075" s="1" t="s">
        <v>4198</v>
      </c>
      <c r="B4075" s="76">
        <v>72.522231999999903</v>
      </c>
      <c r="C4075" s="76">
        <v>74.438156000000006</v>
      </c>
      <c r="D4075" s="76">
        <v>71.964431999999903</v>
      </c>
      <c r="E4075" s="76">
        <v>74.365402000000003</v>
      </c>
      <c r="F4075" s="76">
        <v>70.283431999999905</v>
      </c>
      <c r="G4075" s="79">
        <v>708600</v>
      </c>
    </row>
    <row r="4076" spans="1:7" x14ac:dyDescent="0.25">
      <c r="A4076" s="1" t="s">
        <v>4199</v>
      </c>
      <c r="B4076" s="76">
        <v>74.033951000000002</v>
      </c>
      <c r="C4076" s="76">
        <v>74.349236000000005</v>
      </c>
      <c r="D4076" s="76">
        <v>72.780922000000004</v>
      </c>
      <c r="E4076" s="76">
        <v>73.920776000000004</v>
      </c>
      <c r="F4076" s="76">
        <v>69.863213000000002</v>
      </c>
      <c r="G4076" s="79">
        <v>544600</v>
      </c>
    </row>
    <row r="4077" spans="1:7" x14ac:dyDescent="0.25">
      <c r="A4077" s="1" t="s">
        <v>4200</v>
      </c>
      <c r="B4077" s="76">
        <v>73.362976000000003</v>
      </c>
      <c r="C4077" s="76">
        <v>74.090537999999995</v>
      </c>
      <c r="D4077" s="76">
        <v>73.144706999999997</v>
      </c>
      <c r="E4077" s="76">
        <v>73.993530000000007</v>
      </c>
      <c r="F4077" s="76">
        <v>69.931968999999995</v>
      </c>
      <c r="G4077" s="79">
        <v>461000</v>
      </c>
    </row>
    <row r="4078" spans="1:7" x14ac:dyDescent="0.25">
      <c r="A4078" s="1" t="s">
        <v>4201</v>
      </c>
      <c r="B4078" s="76">
        <v>73.645919999999904</v>
      </c>
      <c r="C4078" s="76">
        <v>75.367828000000003</v>
      </c>
      <c r="D4078" s="76">
        <v>73.532737999999995</v>
      </c>
      <c r="E4078" s="76">
        <v>75.214225999999996</v>
      </c>
      <c r="F4078" s="76">
        <v>71.085669999999993</v>
      </c>
      <c r="G4078" s="79">
        <v>436300</v>
      </c>
    </row>
    <row r="4079" spans="1:7" x14ac:dyDescent="0.25">
      <c r="A4079" s="1" t="s">
        <v>4202</v>
      </c>
      <c r="B4079" s="76">
        <v>75.311233999999999</v>
      </c>
      <c r="C4079" s="76">
        <v>76.265159999999995</v>
      </c>
      <c r="D4079" s="76">
        <v>75.012123000000003</v>
      </c>
      <c r="E4079" s="76">
        <v>75.941794999999999</v>
      </c>
      <c r="F4079" s="76">
        <v>71.773300000000006</v>
      </c>
      <c r="G4079" s="79">
        <v>701700</v>
      </c>
    </row>
    <row r="4080" spans="1:7" x14ac:dyDescent="0.25">
      <c r="A4080" s="1" t="s">
        <v>4203</v>
      </c>
      <c r="B4080" s="76">
        <v>76.038803000000001</v>
      </c>
      <c r="C4080" s="76">
        <v>76.685531999999995</v>
      </c>
      <c r="D4080" s="76">
        <v>75.513335999999995</v>
      </c>
      <c r="E4080" s="76">
        <v>75.537589999999994</v>
      </c>
      <c r="F4080" s="76">
        <v>71.391272999999998</v>
      </c>
      <c r="G4080" s="79">
        <v>1223300</v>
      </c>
    </row>
    <row r="4081" spans="1:7" x14ac:dyDescent="0.25">
      <c r="A4081" s="1" t="s">
        <v>4204</v>
      </c>
      <c r="B4081" s="76">
        <v>75.416327999999993</v>
      </c>
      <c r="C4081" s="76">
        <v>75.990294999999904</v>
      </c>
      <c r="D4081" s="76">
        <v>74.704932999999997</v>
      </c>
      <c r="E4081" s="76">
        <v>74.915115</v>
      </c>
      <c r="F4081" s="76">
        <v>70.802970999999999</v>
      </c>
      <c r="G4081" s="79">
        <v>673500</v>
      </c>
    </row>
    <row r="4082" spans="1:7" x14ac:dyDescent="0.25">
      <c r="A4082" s="1" t="s">
        <v>4205</v>
      </c>
      <c r="B4082" s="76">
        <v>74.753433000000001</v>
      </c>
      <c r="C4082" s="76">
        <v>75.068718000000004</v>
      </c>
      <c r="D4082" s="76">
        <v>74.324981999999906</v>
      </c>
      <c r="E4082" s="76">
        <v>74.721100000000007</v>
      </c>
      <c r="F4082" s="76">
        <v>70.619606000000005</v>
      </c>
      <c r="G4082" s="79">
        <v>561400</v>
      </c>
    </row>
    <row r="4083" spans="1:7" x14ac:dyDescent="0.25">
      <c r="A4083" s="1" t="s">
        <v>4206</v>
      </c>
      <c r="B4083" s="76">
        <v>74.672591999999995</v>
      </c>
      <c r="C4083" s="76">
        <v>75.198059000000001</v>
      </c>
      <c r="D4083" s="76">
        <v>73.670165999999995</v>
      </c>
      <c r="E4083" s="76">
        <v>73.702506999999997</v>
      </c>
      <c r="F4083" s="76">
        <v>69.656929000000005</v>
      </c>
      <c r="G4083" s="79">
        <v>676200</v>
      </c>
    </row>
    <row r="4084" spans="1:7" x14ac:dyDescent="0.25">
      <c r="A4084" s="1" t="s">
        <v>4207</v>
      </c>
      <c r="B4084" s="76">
        <v>73.201293999999905</v>
      </c>
      <c r="C4084" s="76">
        <v>73.831847999999994</v>
      </c>
      <c r="D4084" s="76">
        <v>72.708168000000001</v>
      </c>
      <c r="E4084" s="76">
        <v>73.775261</v>
      </c>
      <c r="F4084" s="76">
        <v>69.725677000000005</v>
      </c>
      <c r="G4084" s="79">
        <v>556900</v>
      </c>
    </row>
    <row r="4085" spans="1:7" x14ac:dyDescent="0.25">
      <c r="A4085" s="1" t="s">
        <v>4208</v>
      </c>
      <c r="B4085" s="76">
        <v>73.839934999999997</v>
      </c>
      <c r="C4085" s="76">
        <v>74.793853999999996</v>
      </c>
      <c r="D4085" s="76">
        <v>73.492317</v>
      </c>
      <c r="E4085" s="76">
        <v>74.551331000000005</v>
      </c>
      <c r="F4085" s="76">
        <v>70.459152000000003</v>
      </c>
      <c r="G4085" s="79">
        <v>476700</v>
      </c>
    </row>
    <row r="4086" spans="1:7" x14ac:dyDescent="0.25">
      <c r="A4086" s="1" t="s">
        <v>4209</v>
      </c>
      <c r="B4086" s="76">
        <v>74.373481999999996</v>
      </c>
      <c r="C4086" s="76">
        <v>76.386420999999999</v>
      </c>
      <c r="D4086" s="76">
        <v>73.670165999999995</v>
      </c>
      <c r="E4086" s="76">
        <v>76.354079999999996</v>
      </c>
      <c r="F4086" s="76">
        <v>72.162955999999994</v>
      </c>
      <c r="G4086" s="79">
        <v>603200</v>
      </c>
    </row>
    <row r="4087" spans="1:7" x14ac:dyDescent="0.25">
      <c r="A4087" s="1" t="s">
        <v>4210</v>
      </c>
      <c r="B4087" s="76">
        <v>76.467262000000005</v>
      </c>
      <c r="C4087" s="76">
        <v>76.855293000000003</v>
      </c>
      <c r="D4087" s="76">
        <v>75.893287999999998</v>
      </c>
      <c r="E4087" s="76">
        <v>75.966048999999998</v>
      </c>
      <c r="F4087" s="76">
        <v>71.796218999999994</v>
      </c>
      <c r="G4087" s="79">
        <v>541300</v>
      </c>
    </row>
    <row r="4088" spans="1:7" x14ac:dyDescent="0.25">
      <c r="A4088" s="1" t="s">
        <v>4211</v>
      </c>
      <c r="B4088" s="76">
        <v>75.949883</v>
      </c>
      <c r="C4088" s="76">
        <v>76.499595999999997</v>
      </c>
      <c r="D4088" s="76">
        <v>75.772025999999997</v>
      </c>
      <c r="E4088" s="76">
        <v>76.337913999999998</v>
      </c>
      <c r="F4088" s="76">
        <v>72.147666999999998</v>
      </c>
      <c r="G4088" s="79">
        <v>778300</v>
      </c>
    </row>
    <row r="4089" spans="1:7" x14ac:dyDescent="0.25">
      <c r="A4089" s="1" t="s">
        <v>4212</v>
      </c>
      <c r="B4089" s="76">
        <v>75.941794999999999</v>
      </c>
      <c r="C4089" s="76">
        <v>76.936133999999996</v>
      </c>
      <c r="D4089" s="76">
        <v>75.602264000000005</v>
      </c>
      <c r="E4089" s="76">
        <v>76.564269999999993</v>
      </c>
      <c r="F4089" s="76">
        <v>72.361603000000002</v>
      </c>
      <c r="G4089" s="79">
        <v>689700</v>
      </c>
    </row>
    <row r="4090" spans="1:7" x14ac:dyDescent="0.25">
      <c r="A4090" s="1" t="s">
        <v>4213</v>
      </c>
      <c r="B4090" s="76">
        <v>76.564269999999993</v>
      </c>
      <c r="C4090" s="76">
        <v>77.057395999999997</v>
      </c>
      <c r="D4090" s="76">
        <v>76.564269999999993</v>
      </c>
      <c r="E4090" s="76">
        <v>76.717865000000003</v>
      </c>
      <c r="F4090" s="76">
        <v>72.506775000000005</v>
      </c>
      <c r="G4090" s="79">
        <v>521500</v>
      </c>
    </row>
    <row r="4091" spans="1:7" x14ac:dyDescent="0.25">
      <c r="A4091" s="1" t="s">
        <v>4214</v>
      </c>
      <c r="B4091" s="76">
        <v>76.370246999999907</v>
      </c>
      <c r="C4091" s="76">
        <v>76.806792999999999</v>
      </c>
      <c r="D4091" s="76">
        <v>75.982215999999994</v>
      </c>
      <c r="E4091" s="76">
        <v>76.143897999999993</v>
      </c>
      <c r="F4091" s="76">
        <v>71.964309999999998</v>
      </c>
      <c r="G4091" s="79">
        <v>665300</v>
      </c>
    </row>
    <row r="4092" spans="1:7" x14ac:dyDescent="0.25">
      <c r="A4092" s="1" t="s">
        <v>4215</v>
      </c>
      <c r="B4092" s="76">
        <v>76.030715999999998</v>
      </c>
      <c r="C4092" s="76">
        <v>77.033141999999998</v>
      </c>
      <c r="D4092" s="76">
        <v>75.141471999999993</v>
      </c>
      <c r="E4092" s="76">
        <v>76.871459999999999</v>
      </c>
      <c r="F4092" s="76">
        <v>72.651938999999999</v>
      </c>
      <c r="G4092" s="79">
        <v>589300</v>
      </c>
    </row>
    <row r="4093" spans="1:7" x14ac:dyDescent="0.25">
      <c r="A4093" s="1" t="s">
        <v>4216</v>
      </c>
      <c r="B4093" s="76">
        <v>76.540015999999994</v>
      </c>
      <c r="C4093" s="76">
        <v>76.693611000000004</v>
      </c>
      <c r="D4093" s="76">
        <v>75.262732999999997</v>
      </c>
      <c r="E4093" s="76">
        <v>75.747780000000006</v>
      </c>
      <c r="F4093" s="76">
        <v>71.589934999999997</v>
      </c>
      <c r="G4093" s="79">
        <v>487200</v>
      </c>
    </row>
    <row r="4094" spans="1:7" x14ac:dyDescent="0.25">
      <c r="A4094" s="1" t="s">
        <v>4217</v>
      </c>
      <c r="B4094" s="76">
        <v>76.208572000000004</v>
      </c>
      <c r="C4094" s="76">
        <v>77.227164999999999</v>
      </c>
      <c r="D4094" s="76">
        <v>76.208572000000004</v>
      </c>
      <c r="E4094" s="76">
        <v>76.548102999999998</v>
      </c>
      <c r="F4094" s="76">
        <v>72.346328999999997</v>
      </c>
      <c r="G4094" s="79">
        <v>389000</v>
      </c>
    </row>
    <row r="4095" spans="1:7" x14ac:dyDescent="0.25">
      <c r="A4095" s="1" t="s">
        <v>4218</v>
      </c>
      <c r="B4095" s="76">
        <v>76.992722000000001</v>
      </c>
      <c r="C4095" s="76">
        <v>77.413094000000001</v>
      </c>
      <c r="D4095" s="76">
        <v>76.434921000000003</v>
      </c>
      <c r="E4095" s="76">
        <v>76.499595999999997</v>
      </c>
      <c r="F4095" s="76">
        <v>72.300483999999997</v>
      </c>
      <c r="G4095" s="79">
        <v>470300</v>
      </c>
    </row>
    <row r="4096" spans="1:7" x14ac:dyDescent="0.25">
      <c r="A4096" s="1" t="s">
        <v>4219</v>
      </c>
      <c r="B4096" s="76">
        <v>77.081649999999996</v>
      </c>
      <c r="C4096" s="76">
        <v>78.860146</v>
      </c>
      <c r="D4096" s="76">
        <v>77.008895999999993</v>
      </c>
      <c r="E4096" s="76">
        <v>78.326599000000002</v>
      </c>
      <c r="F4096" s="76">
        <v>74.027198999999996</v>
      </c>
      <c r="G4096" s="79">
        <v>1278500</v>
      </c>
    </row>
    <row r="4097" spans="1:7" x14ac:dyDescent="0.25">
      <c r="A4097" s="1" t="s">
        <v>4220</v>
      </c>
      <c r="B4097" s="76">
        <v>78.71463</v>
      </c>
      <c r="C4097" s="76">
        <v>78.738883999999999</v>
      </c>
      <c r="D4097" s="76">
        <v>77.356505999999996</v>
      </c>
      <c r="E4097" s="76">
        <v>77.639449999999997</v>
      </c>
      <c r="F4097" s="76">
        <v>73.377769000000001</v>
      </c>
      <c r="G4097" s="79">
        <v>928800</v>
      </c>
    </row>
    <row r="4098" spans="1:7" x14ac:dyDescent="0.25">
      <c r="A4098" s="1" t="s">
        <v>4221</v>
      </c>
      <c r="B4098" s="76">
        <v>77.485855000000001</v>
      </c>
      <c r="C4098" s="76">
        <v>77.744545000000002</v>
      </c>
      <c r="D4098" s="76">
        <v>77.033141999999998</v>
      </c>
      <c r="E4098" s="76">
        <v>77.396927000000005</v>
      </c>
      <c r="F4098" s="76">
        <v>73.148560000000003</v>
      </c>
      <c r="G4098" s="79">
        <v>444100</v>
      </c>
    </row>
    <row r="4099" spans="1:7" x14ac:dyDescent="0.25">
      <c r="A4099" s="1" t="s">
        <v>4222</v>
      </c>
      <c r="B4099" s="76">
        <v>77.566695999999993</v>
      </c>
      <c r="C4099" s="76">
        <v>77.978981000000005</v>
      </c>
      <c r="D4099" s="76">
        <v>77.243331999999995</v>
      </c>
      <c r="E4099" s="76">
        <v>77.574776</v>
      </c>
      <c r="F4099" s="76">
        <v>73.316634999999906</v>
      </c>
      <c r="G4099" s="79">
        <v>846100</v>
      </c>
    </row>
    <row r="4100" spans="1:7" x14ac:dyDescent="0.25">
      <c r="A4100" s="1" t="s">
        <v>4223</v>
      </c>
      <c r="B4100" s="76">
        <v>77.396927000000005</v>
      </c>
      <c r="C4100" s="76">
        <v>77.655617000000007</v>
      </c>
      <c r="D4100" s="76">
        <v>76.863380000000006</v>
      </c>
      <c r="E4100" s="76">
        <v>77.445435000000003</v>
      </c>
      <c r="F4100" s="76">
        <v>73.194396999999995</v>
      </c>
      <c r="G4100" s="79">
        <v>666200</v>
      </c>
    </row>
    <row r="4101" spans="1:7" x14ac:dyDescent="0.25">
      <c r="A4101" s="1" t="s">
        <v>4224</v>
      </c>
      <c r="B4101" s="76">
        <v>77.720291000000003</v>
      </c>
      <c r="C4101" s="76">
        <v>78.003235000000004</v>
      </c>
      <c r="D4101" s="76">
        <v>77.445435000000003</v>
      </c>
      <c r="E4101" s="76">
        <v>77.655617000000007</v>
      </c>
      <c r="F4101" s="76">
        <v>73.393043999999904</v>
      </c>
      <c r="G4101" s="79">
        <v>742900</v>
      </c>
    </row>
    <row r="4102" spans="1:7" x14ac:dyDescent="0.25">
      <c r="A4102" s="1" t="s">
        <v>4225</v>
      </c>
      <c r="B4102" s="76">
        <v>77.518187999999995</v>
      </c>
      <c r="C4102" s="76">
        <v>77.704123999999993</v>
      </c>
      <c r="D4102" s="76">
        <v>76.531929000000005</v>
      </c>
      <c r="E4102" s="76">
        <v>76.645111</v>
      </c>
      <c r="F4102" s="76">
        <v>72.438004000000006</v>
      </c>
      <c r="G4102" s="79">
        <v>671100</v>
      </c>
    </row>
    <row r="4103" spans="1:7" x14ac:dyDescent="0.25">
      <c r="A4103" s="1" t="s">
        <v>4226</v>
      </c>
      <c r="B4103" s="76">
        <v>76.798705999999996</v>
      </c>
      <c r="C4103" s="76">
        <v>77.518187999999995</v>
      </c>
      <c r="D4103" s="76">
        <v>75.707358999999997</v>
      </c>
      <c r="E4103" s="76">
        <v>76.095389999999995</v>
      </c>
      <c r="F4103" s="76">
        <v>71.918464999999998</v>
      </c>
      <c r="G4103" s="79">
        <v>651300</v>
      </c>
    </row>
    <row r="4104" spans="1:7" x14ac:dyDescent="0.25">
      <c r="A4104" s="1" t="s">
        <v>4227</v>
      </c>
      <c r="B4104" s="76">
        <v>76.467262000000005</v>
      </c>
      <c r="C4104" s="76">
        <v>77.170569999999998</v>
      </c>
      <c r="D4104" s="76">
        <v>76.168152000000006</v>
      </c>
      <c r="E4104" s="76">
        <v>77.138237000000004</v>
      </c>
      <c r="F4104" s="76">
        <v>72.904060000000001</v>
      </c>
      <c r="G4104" s="79">
        <v>682300</v>
      </c>
    </row>
    <row r="4105" spans="1:7" x14ac:dyDescent="0.25">
      <c r="A4105" s="1" t="s">
        <v>4228</v>
      </c>
      <c r="B4105" s="76">
        <v>77.049316000000005</v>
      </c>
      <c r="C4105" s="76">
        <v>77.890052999999995</v>
      </c>
      <c r="D4105" s="76">
        <v>77.008895999999993</v>
      </c>
      <c r="E4105" s="76">
        <v>77.736457999999999</v>
      </c>
      <c r="F4105" s="76">
        <v>73.469459999999998</v>
      </c>
      <c r="G4105" s="79">
        <v>772800</v>
      </c>
    </row>
    <row r="4106" spans="1:7" x14ac:dyDescent="0.25">
      <c r="A4106" s="1" t="s">
        <v>4229</v>
      </c>
      <c r="B4106" s="76">
        <v>78.108329999999995</v>
      </c>
      <c r="C4106" s="76">
        <v>78.682296999999906</v>
      </c>
      <c r="D4106" s="76">
        <v>77.768799000000001</v>
      </c>
      <c r="E4106" s="76">
        <v>78.124495999999994</v>
      </c>
      <c r="F4106" s="76">
        <v>73.836189000000005</v>
      </c>
      <c r="G4106" s="79">
        <v>446700</v>
      </c>
    </row>
    <row r="4107" spans="1:7" x14ac:dyDescent="0.25">
      <c r="A4107" s="1" t="s">
        <v>4230</v>
      </c>
      <c r="B4107" s="76">
        <v>78.124495999999994</v>
      </c>
      <c r="C4107" s="76">
        <v>78.164917000000003</v>
      </c>
      <c r="D4107" s="76">
        <v>77.122069999999994</v>
      </c>
      <c r="E4107" s="76">
        <v>77.841553000000005</v>
      </c>
      <c r="F4107" s="76">
        <v>73.568779000000006</v>
      </c>
      <c r="G4107" s="79">
        <v>541400</v>
      </c>
    </row>
    <row r="4108" spans="1:7" x14ac:dyDescent="0.25">
      <c r="A4108" s="1" t="s">
        <v>4231</v>
      </c>
      <c r="B4108" s="76">
        <v>77.202911</v>
      </c>
      <c r="C4108" s="76">
        <v>77.736457999999999</v>
      </c>
      <c r="D4108" s="76">
        <v>76.855293000000003</v>
      </c>
      <c r="E4108" s="76">
        <v>77.461601000000002</v>
      </c>
      <c r="F4108" s="76">
        <v>73.209686000000005</v>
      </c>
      <c r="G4108" s="79">
        <v>691000</v>
      </c>
    </row>
    <row r="4109" spans="1:7" x14ac:dyDescent="0.25">
      <c r="A4109" s="1" t="s">
        <v>4232</v>
      </c>
      <c r="B4109" s="76">
        <v>77.356505999999996</v>
      </c>
      <c r="C4109" s="76">
        <v>77.550522000000001</v>
      </c>
      <c r="D4109" s="76">
        <v>76.151978</v>
      </c>
      <c r="E4109" s="76">
        <v>77.388846999999998</v>
      </c>
      <c r="F4109" s="76">
        <v>73.140915000000007</v>
      </c>
      <c r="G4109" s="79">
        <v>1137800</v>
      </c>
    </row>
    <row r="4110" spans="1:7" x14ac:dyDescent="0.25">
      <c r="A4110" s="1" t="s">
        <v>4233</v>
      </c>
      <c r="B4110" s="76">
        <v>77.687957999999995</v>
      </c>
      <c r="C4110" s="76">
        <v>79.223929999999996</v>
      </c>
      <c r="D4110" s="76">
        <v>77.687957999999995</v>
      </c>
      <c r="E4110" s="76">
        <v>78.763137999999998</v>
      </c>
      <c r="F4110" s="76">
        <v>74.439774</v>
      </c>
      <c r="G4110" s="79">
        <v>726700</v>
      </c>
    </row>
    <row r="4111" spans="1:7" x14ac:dyDescent="0.25">
      <c r="A4111" s="1" t="s">
        <v>4234</v>
      </c>
      <c r="B4111" s="76">
        <v>77.033141999999998</v>
      </c>
      <c r="C4111" s="76">
        <v>77.413094000000001</v>
      </c>
      <c r="D4111" s="76">
        <v>75.642685</v>
      </c>
      <c r="E4111" s="76">
        <v>76.531929000000005</v>
      </c>
      <c r="F4111" s="76">
        <v>72.331031999999993</v>
      </c>
      <c r="G4111" s="79">
        <v>1369900</v>
      </c>
    </row>
    <row r="4112" spans="1:7" x14ac:dyDescent="0.25">
      <c r="A4112" s="1" t="s">
        <v>4235</v>
      </c>
      <c r="B4112" s="76">
        <v>75.804366999999999</v>
      </c>
      <c r="C4112" s="76">
        <v>76.734031999999999</v>
      </c>
      <c r="D4112" s="76">
        <v>75.788200000000003</v>
      </c>
      <c r="E4112" s="76">
        <v>76.57235</v>
      </c>
      <c r="F4112" s="76">
        <v>72.369240000000005</v>
      </c>
      <c r="G4112" s="79">
        <v>1057100</v>
      </c>
    </row>
    <row r="4113" spans="1:7" x14ac:dyDescent="0.25">
      <c r="A4113" s="1" t="s">
        <v>4236</v>
      </c>
      <c r="B4113" s="76">
        <v>76.507683</v>
      </c>
      <c r="C4113" s="76">
        <v>77.097815999999995</v>
      </c>
      <c r="D4113" s="76">
        <v>76.160065000000003</v>
      </c>
      <c r="E4113" s="76">
        <v>77.008895999999993</v>
      </c>
      <c r="F4113" s="76">
        <v>72.781829999999999</v>
      </c>
      <c r="G4113" s="79">
        <v>1038900</v>
      </c>
    </row>
    <row r="4114" spans="1:7" x14ac:dyDescent="0.25">
      <c r="A4114" s="1" t="s">
        <v>4237</v>
      </c>
      <c r="B4114" s="76">
        <v>76.346001000000001</v>
      </c>
      <c r="C4114" s="76">
        <v>77.607117000000002</v>
      </c>
      <c r="D4114" s="76">
        <v>75.464836000000005</v>
      </c>
      <c r="E4114" s="76">
        <v>77.485855000000001</v>
      </c>
      <c r="F4114" s="76">
        <v>73.836646999999999</v>
      </c>
      <c r="G4114" s="79">
        <v>1371500</v>
      </c>
    </row>
    <row r="4115" spans="1:7" x14ac:dyDescent="0.25">
      <c r="A4115" s="1" t="s">
        <v>4238</v>
      </c>
      <c r="B4115" s="76">
        <v>77.574776</v>
      </c>
      <c r="C4115" s="76">
        <v>78.399353000000005</v>
      </c>
      <c r="D4115" s="76">
        <v>77.073562999999993</v>
      </c>
      <c r="E4115" s="76">
        <v>78.326599000000002</v>
      </c>
      <c r="F4115" s="76">
        <v>74.637787000000003</v>
      </c>
      <c r="G4115" s="79">
        <v>1018000</v>
      </c>
    </row>
    <row r="4116" spans="1:7" x14ac:dyDescent="0.25">
      <c r="A4116" s="1" t="s">
        <v>4239</v>
      </c>
      <c r="B4116" s="76">
        <v>78.771216999999993</v>
      </c>
      <c r="C4116" s="76">
        <v>79.143089000000003</v>
      </c>
      <c r="D4116" s="76">
        <v>78.205337999999998</v>
      </c>
      <c r="E4116" s="76">
        <v>78.843979000000004</v>
      </c>
      <c r="F4116" s="76">
        <v>75.130806000000007</v>
      </c>
      <c r="G4116" s="79">
        <v>997100</v>
      </c>
    </row>
    <row r="4117" spans="1:7" x14ac:dyDescent="0.25">
      <c r="A4117" s="1" t="s">
        <v>4240</v>
      </c>
      <c r="B4117" s="76">
        <v>78.690376000000001</v>
      </c>
      <c r="C4117" s="76">
        <v>78.690376000000001</v>
      </c>
      <c r="D4117" s="76">
        <v>76.758285999999998</v>
      </c>
      <c r="E4117" s="76">
        <v>77.655617000000007</v>
      </c>
      <c r="F4117" s="76">
        <v>73.998412999999999</v>
      </c>
      <c r="G4117" s="79">
        <v>1790100</v>
      </c>
    </row>
    <row r="4118" spans="1:7" x14ac:dyDescent="0.25">
      <c r="A4118" s="1" t="s">
        <v>4241</v>
      </c>
      <c r="B4118" s="76">
        <v>77.978981000000005</v>
      </c>
      <c r="C4118" s="76">
        <v>78.569121999999993</v>
      </c>
      <c r="D4118" s="76">
        <v>77.275665000000004</v>
      </c>
      <c r="E4118" s="76">
        <v>78.164917000000003</v>
      </c>
      <c r="F4118" s="76">
        <v>74.483733999999998</v>
      </c>
      <c r="G4118" s="79">
        <v>1252500</v>
      </c>
    </row>
    <row r="4119" spans="1:7" x14ac:dyDescent="0.25">
      <c r="A4119" s="1" t="s">
        <v>4242</v>
      </c>
      <c r="B4119" s="76">
        <v>77.752624999999995</v>
      </c>
      <c r="C4119" s="76">
        <v>77.752624999999995</v>
      </c>
      <c r="D4119" s="76">
        <v>76.677443999999994</v>
      </c>
      <c r="E4119" s="76">
        <v>76.960387999999995</v>
      </c>
      <c r="F4119" s="76">
        <v>73.335930000000005</v>
      </c>
      <c r="G4119" s="79">
        <v>760600</v>
      </c>
    </row>
    <row r="4120" spans="1:7" x14ac:dyDescent="0.25">
      <c r="A4120" s="1" t="s">
        <v>4243</v>
      </c>
      <c r="B4120" s="76">
        <v>77.324173000000002</v>
      </c>
      <c r="C4120" s="76">
        <v>78.666129999999995</v>
      </c>
      <c r="D4120" s="76">
        <v>77.033141999999998</v>
      </c>
      <c r="E4120" s="76">
        <v>78.302344999999903</v>
      </c>
      <c r="F4120" s="76">
        <v>74.614684999999994</v>
      </c>
      <c r="G4120" s="79">
        <v>687200</v>
      </c>
    </row>
    <row r="4121" spans="1:7" x14ac:dyDescent="0.25">
      <c r="A4121" s="1" t="s">
        <v>4244</v>
      </c>
      <c r="B4121" s="76">
        <v>78.067909</v>
      </c>
      <c r="C4121" s="76">
        <v>78.197249999999997</v>
      </c>
      <c r="D4121" s="76">
        <v>76.895713999999998</v>
      </c>
      <c r="E4121" s="76">
        <v>77.324173000000002</v>
      </c>
      <c r="F4121" s="76">
        <v>73.682579000000004</v>
      </c>
      <c r="G4121" s="79">
        <v>914900</v>
      </c>
    </row>
    <row r="4122" spans="1:7" x14ac:dyDescent="0.25">
      <c r="A4122" s="1" t="s">
        <v>4245</v>
      </c>
      <c r="B4122" s="76">
        <v>77.008895999999993</v>
      </c>
      <c r="C4122" s="76">
        <v>77.324173000000002</v>
      </c>
      <c r="D4122" s="76">
        <v>74.866614999999996</v>
      </c>
      <c r="E4122" s="76">
        <v>75.836699999999993</v>
      </c>
      <c r="F4122" s="76">
        <v>72.265167000000005</v>
      </c>
      <c r="G4122" s="79">
        <v>1352100</v>
      </c>
    </row>
    <row r="4123" spans="1:7" x14ac:dyDescent="0.25">
      <c r="A4123" s="1" t="s">
        <v>4246</v>
      </c>
      <c r="B4123" s="76">
        <v>74.947456000000003</v>
      </c>
      <c r="C4123" s="76">
        <v>75.416327999999993</v>
      </c>
      <c r="D4123" s="76">
        <v>72.861762999999996</v>
      </c>
      <c r="E4123" s="76">
        <v>74.907036000000005</v>
      </c>
      <c r="F4123" s="76">
        <v>71.379279999999994</v>
      </c>
      <c r="G4123" s="79">
        <v>744700</v>
      </c>
    </row>
    <row r="4124" spans="1:7" x14ac:dyDescent="0.25">
      <c r="A4124" s="1" t="s">
        <v>4247</v>
      </c>
      <c r="B4124" s="76">
        <v>75.383994999999999</v>
      </c>
      <c r="C4124" s="76">
        <v>75.949883</v>
      </c>
      <c r="D4124" s="76">
        <v>74.745354000000006</v>
      </c>
      <c r="E4124" s="76">
        <v>75.125304999999997</v>
      </c>
      <c r="F4124" s="76">
        <v>71.587272999999996</v>
      </c>
      <c r="G4124" s="79">
        <v>760000</v>
      </c>
    </row>
    <row r="4125" spans="1:7" x14ac:dyDescent="0.25">
      <c r="A4125" s="1" t="s">
        <v>4248</v>
      </c>
      <c r="B4125" s="76">
        <v>75.303154000000006</v>
      </c>
      <c r="C4125" s="76">
        <v>75.586097999999893</v>
      </c>
      <c r="D4125" s="76">
        <v>74.632171999999997</v>
      </c>
      <c r="E4125" s="76">
        <v>75.335487000000001</v>
      </c>
      <c r="F4125" s="76">
        <v>71.787552000000005</v>
      </c>
      <c r="G4125" s="79">
        <v>650000</v>
      </c>
    </row>
    <row r="4126" spans="1:7" x14ac:dyDescent="0.25">
      <c r="A4126" s="1" t="s">
        <v>4249</v>
      </c>
      <c r="B4126" s="76">
        <v>75.836699999999993</v>
      </c>
      <c r="C4126" s="76">
        <v>76.871459999999999</v>
      </c>
      <c r="D4126" s="76">
        <v>75.836699999999993</v>
      </c>
      <c r="E4126" s="76">
        <v>76.806792999999999</v>
      </c>
      <c r="F4126" s="76">
        <v>73.189567999999994</v>
      </c>
      <c r="G4126" s="79">
        <v>1035600</v>
      </c>
    </row>
    <row r="4127" spans="1:7" x14ac:dyDescent="0.25">
      <c r="A4127" s="1" t="s">
        <v>4250</v>
      </c>
      <c r="B4127" s="76">
        <v>76.879547000000002</v>
      </c>
      <c r="C4127" s="76">
        <v>77.194823999999997</v>
      </c>
      <c r="D4127" s="76">
        <v>76.540015999999994</v>
      </c>
      <c r="E4127" s="76">
        <v>76.863380000000006</v>
      </c>
      <c r="F4127" s="76">
        <v>73.243499999999997</v>
      </c>
      <c r="G4127" s="79">
        <v>728700</v>
      </c>
    </row>
    <row r="4128" spans="1:7" x14ac:dyDescent="0.25">
      <c r="A4128" s="1" t="s">
        <v>4251</v>
      </c>
      <c r="B4128" s="76">
        <v>76.790618999999893</v>
      </c>
      <c r="C4128" s="76">
        <v>77.041229000000001</v>
      </c>
      <c r="D4128" s="76">
        <v>76.337913999999998</v>
      </c>
      <c r="E4128" s="76">
        <v>76.57235</v>
      </c>
      <c r="F4128" s="76">
        <v>72.966164000000006</v>
      </c>
      <c r="G4128" s="79">
        <v>475900</v>
      </c>
    </row>
    <row r="4129" spans="1:7" x14ac:dyDescent="0.25">
      <c r="A4129" s="1" t="s">
        <v>4252</v>
      </c>
      <c r="B4129" s="76">
        <v>76.628943999999905</v>
      </c>
      <c r="C4129" s="76">
        <v>77.388846999999998</v>
      </c>
      <c r="D4129" s="76">
        <v>76.370246999999907</v>
      </c>
      <c r="E4129" s="76">
        <v>76.968474999999998</v>
      </c>
      <c r="F4129" s="76">
        <v>73.343636000000004</v>
      </c>
      <c r="G4129" s="79">
        <v>381000</v>
      </c>
    </row>
    <row r="4130" spans="1:7" x14ac:dyDescent="0.25">
      <c r="A4130" s="1" t="s">
        <v>4253</v>
      </c>
      <c r="B4130" s="76">
        <v>76.984641999999994</v>
      </c>
      <c r="C4130" s="76">
        <v>77.372672999999907</v>
      </c>
      <c r="D4130" s="76">
        <v>76.499595999999997</v>
      </c>
      <c r="E4130" s="76">
        <v>77.219077999999996</v>
      </c>
      <c r="F4130" s="76">
        <v>73.582442999999998</v>
      </c>
      <c r="G4130" s="79">
        <v>622600</v>
      </c>
    </row>
    <row r="4131" spans="1:7" x14ac:dyDescent="0.25">
      <c r="A4131" s="1" t="s">
        <v>4254</v>
      </c>
      <c r="B4131" s="76">
        <v>76.725952000000007</v>
      </c>
      <c r="C4131" s="76">
        <v>77.154404</v>
      </c>
      <c r="D4131" s="76">
        <v>76.564269999999993</v>
      </c>
      <c r="E4131" s="76">
        <v>77.081649999999996</v>
      </c>
      <c r="F4131" s="76">
        <v>73.451484999999906</v>
      </c>
      <c r="G4131" s="79">
        <v>689000</v>
      </c>
    </row>
    <row r="4132" spans="1:7" x14ac:dyDescent="0.25">
      <c r="A4132" s="1" t="s">
        <v>4255</v>
      </c>
      <c r="B4132" s="76">
        <v>76.814872999999906</v>
      </c>
      <c r="C4132" s="76">
        <v>77.881973000000002</v>
      </c>
      <c r="D4132" s="76">
        <v>76.564269999999993</v>
      </c>
      <c r="E4132" s="76">
        <v>77.865806999999904</v>
      </c>
      <c r="F4132" s="76">
        <v>74.198715000000007</v>
      </c>
      <c r="G4132" s="79">
        <v>515000</v>
      </c>
    </row>
    <row r="4133" spans="1:7" x14ac:dyDescent="0.25">
      <c r="A4133" s="1" t="s">
        <v>4256</v>
      </c>
      <c r="B4133" s="76">
        <v>77.841553000000005</v>
      </c>
      <c r="C4133" s="76">
        <v>78.908653000000001</v>
      </c>
      <c r="D4133" s="76">
        <v>77.558608999999905</v>
      </c>
      <c r="E4133" s="76">
        <v>77.607117000000002</v>
      </c>
      <c r="F4133" s="76">
        <v>73.952202</v>
      </c>
      <c r="G4133" s="79">
        <v>915900</v>
      </c>
    </row>
    <row r="4134" spans="1:7" x14ac:dyDescent="0.25">
      <c r="A4134" s="1" t="s">
        <v>4257</v>
      </c>
      <c r="B4134" s="76">
        <v>77.647537</v>
      </c>
      <c r="C4134" s="76">
        <v>77.801131999999996</v>
      </c>
      <c r="D4134" s="76">
        <v>76.628943999999905</v>
      </c>
      <c r="E4134" s="76">
        <v>77.396927000000005</v>
      </c>
      <c r="F4134" s="76">
        <v>73.751914999999997</v>
      </c>
      <c r="G4134" s="79">
        <v>1869800</v>
      </c>
    </row>
    <row r="4135" spans="1:7" x14ac:dyDescent="0.25">
      <c r="A4135" s="1" t="s">
        <v>4258</v>
      </c>
      <c r="B4135" s="76">
        <v>77.396927000000005</v>
      </c>
      <c r="C4135" s="76">
        <v>77.914306999999994</v>
      </c>
      <c r="D4135" s="76">
        <v>77.122069999999994</v>
      </c>
      <c r="E4135" s="76">
        <v>77.429267999999993</v>
      </c>
      <c r="F4135" s="76">
        <v>73.782737999999995</v>
      </c>
      <c r="G4135" s="79">
        <v>550800</v>
      </c>
    </row>
    <row r="4136" spans="1:7" x14ac:dyDescent="0.25">
      <c r="A4136" s="1" t="s">
        <v>4259</v>
      </c>
      <c r="B4136" s="76">
        <v>77.518187999999995</v>
      </c>
      <c r="C4136" s="76">
        <v>78.172996999999995</v>
      </c>
      <c r="D4136" s="76">
        <v>77.251411000000004</v>
      </c>
      <c r="E4136" s="76">
        <v>77.962813999999995</v>
      </c>
      <c r="F4136" s="76">
        <v>74.291152999999994</v>
      </c>
      <c r="G4136" s="79">
        <v>708300</v>
      </c>
    </row>
    <row r="4137" spans="1:7" x14ac:dyDescent="0.25">
      <c r="A4137" s="1" t="s">
        <v>4260</v>
      </c>
      <c r="B4137" s="76">
        <v>77.736457999999999</v>
      </c>
      <c r="C4137" s="76">
        <v>78.698463000000004</v>
      </c>
      <c r="D4137" s="76">
        <v>77.445435000000003</v>
      </c>
      <c r="E4137" s="76">
        <v>78.561035000000004</v>
      </c>
      <c r="F4137" s="76">
        <v>74.861198000000002</v>
      </c>
      <c r="G4137" s="79">
        <v>810900</v>
      </c>
    </row>
    <row r="4138" spans="1:7" x14ac:dyDescent="0.25">
      <c r="A4138" s="1" t="s">
        <v>4261</v>
      </c>
      <c r="B4138" s="76">
        <v>78.148750000000007</v>
      </c>
      <c r="C4138" s="76">
        <v>78.480193999999997</v>
      </c>
      <c r="D4138" s="76">
        <v>77.380759999999995</v>
      </c>
      <c r="E4138" s="76">
        <v>77.615195999999997</v>
      </c>
      <c r="F4138" s="76">
        <v>73.959900000000005</v>
      </c>
      <c r="G4138" s="79">
        <v>858200</v>
      </c>
    </row>
    <row r="4139" spans="1:7" x14ac:dyDescent="0.25">
      <c r="A4139" s="1" t="s">
        <v>4262</v>
      </c>
      <c r="B4139" s="76">
        <v>77.679870999999906</v>
      </c>
      <c r="C4139" s="76">
        <v>78.213417000000007</v>
      </c>
      <c r="D4139" s="76">
        <v>77.170569999999998</v>
      </c>
      <c r="E4139" s="76">
        <v>77.308006000000006</v>
      </c>
      <c r="F4139" s="76">
        <v>73.667175</v>
      </c>
      <c r="G4139" s="79">
        <v>892100</v>
      </c>
    </row>
    <row r="4140" spans="1:7" x14ac:dyDescent="0.25">
      <c r="A4140" s="1" t="s">
        <v>4263</v>
      </c>
      <c r="B4140" s="76">
        <v>77.283752000000007</v>
      </c>
      <c r="C4140" s="76">
        <v>77.833466000000001</v>
      </c>
      <c r="D4140" s="76">
        <v>76.782539</v>
      </c>
      <c r="E4140" s="76">
        <v>77.453513999999998</v>
      </c>
      <c r="F4140" s="76">
        <v>73.805824000000001</v>
      </c>
      <c r="G4140" s="79">
        <v>1159600</v>
      </c>
    </row>
    <row r="4141" spans="1:7" x14ac:dyDescent="0.25">
      <c r="A4141" s="1" t="s">
        <v>4264</v>
      </c>
      <c r="B4141" s="76">
        <v>77.485855000000001</v>
      </c>
      <c r="C4141" s="76">
        <v>78.884399000000002</v>
      </c>
      <c r="D4141" s="76">
        <v>77.477767999999998</v>
      </c>
      <c r="E4141" s="76">
        <v>78.464027000000002</v>
      </c>
      <c r="F4141" s="76">
        <v>74.768753000000004</v>
      </c>
      <c r="G4141" s="79">
        <v>945800</v>
      </c>
    </row>
    <row r="4142" spans="1:7" x14ac:dyDescent="0.25">
      <c r="A4142" s="1" t="s">
        <v>4265</v>
      </c>
      <c r="B4142" s="76">
        <v>77.914306999999994</v>
      </c>
      <c r="C4142" s="76">
        <v>79.005661000000003</v>
      </c>
      <c r="D4142" s="76">
        <v>77.445435000000003</v>
      </c>
      <c r="E4142" s="76">
        <v>78.884399000000002</v>
      </c>
      <c r="F4142" s="76">
        <v>75.169326999999996</v>
      </c>
      <c r="G4142" s="79">
        <v>956900</v>
      </c>
    </row>
    <row r="4143" spans="1:7" x14ac:dyDescent="0.25">
      <c r="A4143" s="1" t="s">
        <v>4266</v>
      </c>
      <c r="B4143" s="76">
        <v>79.167343000000002</v>
      </c>
      <c r="C4143" s="76">
        <v>79.223929999999996</v>
      </c>
      <c r="D4143" s="76">
        <v>78.270004</v>
      </c>
      <c r="E4143" s="76">
        <v>79.175422999999995</v>
      </c>
      <c r="F4143" s="76">
        <v>75.446647999999996</v>
      </c>
      <c r="G4143" s="79">
        <v>1211100</v>
      </c>
    </row>
    <row r="4144" spans="1:7" x14ac:dyDescent="0.25">
      <c r="A4144" s="1" t="s">
        <v>4267</v>
      </c>
      <c r="B4144" s="76">
        <v>79.814064000000002</v>
      </c>
      <c r="C4144" s="76">
        <v>80.371864000000002</v>
      </c>
      <c r="D4144" s="76">
        <v>78.205337999999998</v>
      </c>
      <c r="E4144" s="76">
        <v>78.286179000000004</v>
      </c>
      <c r="F4144" s="76">
        <v>74.599281000000005</v>
      </c>
      <c r="G4144" s="79">
        <v>1579400</v>
      </c>
    </row>
    <row r="4145" spans="1:7" x14ac:dyDescent="0.25">
      <c r="A4145" s="1" t="s">
        <v>4268</v>
      </c>
      <c r="B4145" s="76">
        <v>78.633788999999993</v>
      </c>
      <c r="C4145" s="76">
        <v>79.167343000000002</v>
      </c>
      <c r="D4145" s="76">
        <v>78.286179000000004</v>
      </c>
      <c r="E4145" s="76">
        <v>78.819725000000005</v>
      </c>
      <c r="F4145" s="76">
        <v>75.107703999999998</v>
      </c>
      <c r="G4145" s="79">
        <v>572100</v>
      </c>
    </row>
    <row r="4146" spans="1:7" x14ac:dyDescent="0.25">
      <c r="A4146" s="1" t="s">
        <v>4269</v>
      </c>
      <c r="B4146" s="76">
        <v>78.989493999999993</v>
      </c>
      <c r="C4146" s="76">
        <v>79.369445999999996</v>
      </c>
      <c r="D4146" s="76">
        <v>78.633788999999993</v>
      </c>
      <c r="E4146" s="76">
        <v>78.940986999999893</v>
      </c>
      <c r="F4146" s="76">
        <v>75.223251000000005</v>
      </c>
      <c r="G4146" s="79">
        <v>703400</v>
      </c>
    </row>
    <row r="4147" spans="1:7" x14ac:dyDescent="0.25">
      <c r="A4147" s="1" t="s">
        <v>4270</v>
      </c>
      <c r="B4147" s="76">
        <v>79.4422</v>
      </c>
      <c r="C4147" s="76">
        <v>80.024253999999999</v>
      </c>
      <c r="D4147" s="76">
        <v>79.296683999999999</v>
      </c>
      <c r="E4147" s="76">
        <v>79.975746000000001</v>
      </c>
      <c r="F4147" s="76">
        <v>76.209273999999994</v>
      </c>
      <c r="G4147" s="79">
        <v>570800</v>
      </c>
    </row>
    <row r="4148" spans="1:7" x14ac:dyDescent="0.25">
      <c r="A4148" s="1" t="s">
        <v>4271</v>
      </c>
      <c r="B4148" s="76">
        <v>78.334678999999994</v>
      </c>
      <c r="C4148" s="76">
        <v>79.458365999999998</v>
      </c>
      <c r="D4148" s="76">
        <v>77.558608999999905</v>
      </c>
      <c r="E4148" s="76">
        <v>78.407439999999994</v>
      </c>
      <c r="F4148" s="76">
        <v>74.714821000000001</v>
      </c>
      <c r="G4148" s="79">
        <v>1570900</v>
      </c>
    </row>
    <row r="4149" spans="1:7" x14ac:dyDescent="0.25">
      <c r="A4149" s="1" t="s">
        <v>4272</v>
      </c>
      <c r="B4149" s="76">
        <v>77.801131999999996</v>
      </c>
      <c r="C4149" s="76">
        <v>78.003235000000004</v>
      </c>
      <c r="D4149" s="76">
        <v>76.418755000000004</v>
      </c>
      <c r="E4149" s="76">
        <v>77.324173000000002</v>
      </c>
      <c r="F4149" s="76">
        <v>73.682579000000004</v>
      </c>
      <c r="G4149" s="79">
        <v>798700</v>
      </c>
    </row>
    <row r="4150" spans="1:7" x14ac:dyDescent="0.25">
      <c r="A4150" s="1" t="s">
        <v>4273</v>
      </c>
      <c r="B4150" s="76">
        <v>77.793044999999907</v>
      </c>
      <c r="C4150" s="76">
        <v>78.601455999999999</v>
      </c>
      <c r="D4150" s="76">
        <v>77.615195999999997</v>
      </c>
      <c r="E4150" s="76">
        <v>78.577202</v>
      </c>
      <c r="F4150" s="76">
        <v>74.876602000000005</v>
      </c>
      <c r="G4150" s="79">
        <v>1507500</v>
      </c>
    </row>
    <row r="4151" spans="1:7" x14ac:dyDescent="0.25">
      <c r="A4151" s="1" t="s">
        <v>4274</v>
      </c>
      <c r="B4151" s="76">
        <v>79.118835000000004</v>
      </c>
      <c r="C4151" s="76">
        <v>80.088927999999996</v>
      </c>
      <c r="D4151" s="76">
        <v>79.118835000000004</v>
      </c>
      <c r="E4151" s="76">
        <v>80.072754000000003</v>
      </c>
      <c r="F4151" s="76">
        <v>76.301711999999995</v>
      </c>
      <c r="G4151" s="79">
        <v>1115600</v>
      </c>
    </row>
    <row r="4152" spans="1:7" x14ac:dyDescent="0.25">
      <c r="A4152" s="1" t="s">
        <v>4275</v>
      </c>
      <c r="B4152" s="76">
        <v>80.291022999999996</v>
      </c>
      <c r="C4152" s="76">
        <v>80.945839000000007</v>
      </c>
      <c r="D4152" s="76">
        <v>79.652381999999903</v>
      </c>
      <c r="E4152" s="76">
        <v>80.937752000000003</v>
      </c>
      <c r="F4152" s="76">
        <v>77.125984000000003</v>
      </c>
      <c r="G4152" s="79">
        <v>1312300</v>
      </c>
    </row>
    <row r="4153" spans="1:7" x14ac:dyDescent="0.25">
      <c r="A4153" s="1" t="s">
        <v>4276</v>
      </c>
      <c r="B4153" s="76">
        <v>81.244949000000005</v>
      </c>
      <c r="C4153" s="76">
        <v>81.681488000000002</v>
      </c>
      <c r="D4153" s="76">
        <v>80.703316000000001</v>
      </c>
      <c r="E4153" s="76">
        <v>80.832656999999998</v>
      </c>
      <c r="F4153" s="76">
        <v>77.025841</v>
      </c>
      <c r="G4153" s="79">
        <v>751800</v>
      </c>
    </row>
    <row r="4154" spans="1:7" x14ac:dyDescent="0.25">
      <c r="A4154" s="1" t="s">
        <v>4277</v>
      </c>
      <c r="B4154" s="76">
        <v>80.670974999999999</v>
      </c>
      <c r="C4154" s="76">
        <v>81.374290000000002</v>
      </c>
      <c r="D4154" s="76">
        <v>80.582053999999999</v>
      </c>
      <c r="E4154" s="76">
        <v>81.131766999999996</v>
      </c>
      <c r="F4154" s="76">
        <v>77.310859999999906</v>
      </c>
      <c r="G4154" s="79">
        <v>1053900</v>
      </c>
    </row>
    <row r="4155" spans="1:7" x14ac:dyDescent="0.25">
      <c r="A4155" s="1" t="s">
        <v>4278</v>
      </c>
      <c r="B4155" s="76">
        <v>80.970084999999997</v>
      </c>
      <c r="C4155" s="76">
        <v>81.083267000000006</v>
      </c>
      <c r="D4155" s="76">
        <v>80.161681999999999</v>
      </c>
      <c r="E4155" s="76">
        <v>80.218268999999907</v>
      </c>
      <c r="F4155" s="76">
        <v>76.440383999999995</v>
      </c>
      <c r="G4155" s="79">
        <v>1025400</v>
      </c>
    </row>
    <row r="4156" spans="1:7" x14ac:dyDescent="0.25">
      <c r="A4156" s="1" t="s">
        <v>4279</v>
      </c>
      <c r="B4156" s="76">
        <v>80.097008000000002</v>
      </c>
      <c r="C4156" s="76">
        <v>80.274856999999997</v>
      </c>
      <c r="D4156" s="76">
        <v>78.755050999999995</v>
      </c>
      <c r="E4156" s="76">
        <v>79.126923000000005</v>
      </c>
      <c r="F4156" s="76">
        <v>75.400435999999999</v>
      </c>
      <c r="G4156" s="79">
        <v>930300</v>
      </c>
    </row>
    <row r="4157" spans="1:7" x14ac:dyDescent="0.25">
      <c r="A4157" s="1" t="s">
        <v>4280</v>
      </c>
      <c r="B4157" s="76">
        <v>79.781730999999994</v>
      </c>
      <c r="C4157" s="76">
        <v>81.366210999999893</v>
      </c>
      <c r="D4157" s="76">
        <v>79.781730999999994</v>
      </c>
      <c r="E4157" s="76">
        <v>81.212607999999904</v>
      </c>
      <c r="F4157" s="76">
        <v>77.387893999999903</v>
      </c>
      <c r="G4157" s="79">
        <v>1308100</v>
      </c>
    </row>
    <row r="4158" spans="1:7" x14ac:dyDescent="0.25">
      <c r="A4158" s="1" t="s">
        <v>4281</v>
      </c>
      <c r="B4158" s="76">
        <v>81.544060000000002</v>
      </c>
      <c r="C4158" s="76">
        <v>81.729996</v>
      </c>
      <c r="D4158" s="76">
        <v>79.911071999999905</v>
      </c>
      <c r="E4158" s="76">
        <v>81.511718999999999</v>
      </c>
      <c r="F4158" s="76">
        <v>77.672912999999994</v>
      </c>
      <c r="G4158" s="79">
        <v>1259200</v>
      </c>
    </row>
    <row r="4159" spans="1:7" x14ac:dyDescent="0.25">
      <c r="A4159" s="1" t="s">
        <v>4282</v>
      </c>
      <c r="B4159" s="76">
        <v>81.390456999999998</v>
      </c>
      <c r="C4159" s="76">
        <v>81.875504000000006</v>
      </c>
      <c r="D4159" s="76">
        <v>80.832656999999998</v>
      </c>
      <c r="E4159" s="76">
        <v>81.818916000000002</v>
      </c>
      <c r="F4159" s="76">
        <v>77.965637000000001</v>
      </c>
      <c r="G4159" s="79">
        <v>955600</v>
      </c>
    </row>
    <row r="4160" spans="1:7" x14ac:dyDescent="0.25">
      <c r="A4160" s="1" t="s">
        <v>4283</v>
      </c>
      <c r="B4160" s="76">
        <v>82.037186000000005</v>
      </c>
      <c r="C4160" s="76">
        <v>82.118026999999998</v>
      </c>
      <c r="D4160" s="76">
        <v>81.422798</v>
      </c>
      <c r="E4160" s="76">
        <v>81.915924000000004</v>
      </c>
      <c r="F4160" s="76">
        <v>78.058090000000007</v>
      </c>
      <c r="G4160" s="79">
        <v>732100</v>
      </c>
    </row>
    <row r="4161" spans="1:7" x14ac:dyDescent="0.25">
      <c r="A4161" s="1" t="s">
        <v>4284</v>
      </c>
      <c r="B4161" s="76">
        <v>81.762328999999994</v>
      </c>
      <c r="C4161" s="76">
        <v>82.045272999999995</v>
      </c>
      <c r="D4161" s="76">
        <v>81.147942</v>
      </c>
      <c r="E4161" s="76">
        <v>81.277282999999997</v>
      </c>
      <c r="F4161" s="76">
        <v>77.449516000000003</v>
      </c>
      <c r="G4161" s="79">
        <v>696000</v>
      </c>
    </row>
    <row r="4162" spans="1:7" x14ac:dyDescent="0.25">
      <c r="A4162" s="1" t="s">
        <v>4285</v>
      </c>
      <c r="B4162" s="76">
        <v>81.382378000000003</v>
      </c>
      <c r="C4162" s="76">
        <v>81.390456999999998</v>
      </c>
      <c r="D4162" s="76">
        <v>80.404205000000005</v>
      </c>
      <c r="E4162" s="76">
        <v>81.083267000000006</v>
      </c>
      <c r="F4162" s="76">
        <v>77.264647999999994</v>
      </c>
      <c r="G4162" s="79">
        <v>1279200</v>
      </c>
    </row>
    <row r="4163" spans="1:7" x14ac:dyDescent="0.25">
      <c r="A4163" s="1" t="s">
        <v>4286</v>
      </c>
      <c r="B4163" s="76">
        <v>81.188361999999998</v>
      </c>
      <c r="C4163" s="76">
        <v>81.503639000000007</v>
      </c>
      <c r="D4163" s="76">
        <v>80.291022999999996</v>
      </c>
      <c r="E4163" s="76">
        <v>81.366210999999893</v>
      </c>
      <c r="F4163" s="76">
        <v>77.534255999999999</v>
      </c>
      <c r="G4163" s="79">
        <v>1189200</v>
      </c>
    </row>
    <row r="4164" spans="1:7" x14ac:dyDescent="0.25">
      <c r="A4164" s="1" t="s">
        <v>4287</v>
      </c>
      <c r="B4164" s="76">
        <v>81.414710999999997</v>
      </c>
      <c r="C4164" s="76">
        <v>82.037186000000005</v>
      </c>
      <c r="D4164" s="76">
        <v>81.050926000000004</v>
      </c>
      <c r="E4164" s="76">
        <v>82.012931999999907</v>
      </c>
      <c r="F4164" s="76">
        <v>78.150527999999994</v>
      </c>
      <c r="G4164" s="79">
        <v>1166800</v>
      </c>
    </row>
    <row r="4165" spans="1:7" x14ac:dyDescent="0.25">
      <c r="A4165" s="1" t="s">
        <v>4288</v>
      </c>
      <c r="B4165" s="76">
        <v>81.972510999999997</v>
      </c>
      <c r="C4165" s="76">
        <v>81.972510999999997</v>
      </c>
      <c r="D4165" s="76">
        <v>81.422798</v>
      </c>
      <c r="E4165" s="76">
        <v>81.649154999999993</v>
      </c>
      <c r="F4165" s="76">
        <v>77.803886000000006</v>
      </c>
      <c r="G4165" s="79">
        <v>1091900</v>
      </c>
    </row>
    <row r="4166" spans="1:7" x14ac:dyDescent="0.25">
      <c r="A4166" s="1" t="s">
        <v>4289</v>
      </c>
      <c r="B4166" s="76">
        <v>81.495552000000004</v>
      </c>
      <c r="C4166" s="76">
        <v>82.425224</v>
      </c>
      <c r="D4166" s="76">
        <v>81.236862000000002</v>
      </c>
      <c r="E4166" s="76">
        <v>82.392882999999998</v>
      </c>
      <c r="F4166" s="76">
        <v>78.512589000000006</v>
      </c>
      <c r="G4166" s="79">
        <v>636400</v>
      </c>
    </row>
    <row r="4167" spans="1:7" x14ac:dyDescent="0.25">
      <c r="A4167" s="1" t="s">
        <v>4290</v>
      </c>
      <c r="B4167" s="76">
        <v>82.312042000000005</v>
      </c>
      <c r="C4167" s="76">
        <v>84.462409999999906</v>
      </c>
      <c r="D4167" s="76">
        <v>82.182700999999994</v>
      </c>
      <c r="E4167" s="76">
        <v>83.936942999999999</v>
      </c>
      <c r="F4167" s="76">
        <v>79.983917000000005</v>
      </c>
      <c r="G4167" s="79">
        <v>1131200</v>
      </c>
    </row>
    <row r="4168" spans="1:7" x14ac:dyDescent="0.25">
      <c r="A4168" s="1" t="s">
        <v>4291</v>
      </c>
      <c r="B4168" s="76">
        <v>84.139045999999993</v>
      </c>
      <c r="C4168" s="76">
        <v>84.745354000000006</v>
      </c>
      <c r="D4168" s="76">
        <v>83.872268999999903</v>
      </c>
      <c r="E4168" s="76">
        <v>84.680678999999998</v>
      </c>
      <c r="F4168" s="76">
        <v>80.692634999999996</v>
      </c>
      <c r="G4168" s="79">
        <v>933200</v>
      </c>
    </row>
    <row r="4169" spans="1:7" x14ac:dyDescent="0.25">
      <c r="A4169" s="1" t="s">
        <v>4292</v>
      </c>
      <c r="B4169" s="76">
        <v>84.761519999999905</v>
      </c>
      <c r="C4169" s="76">
        <v>84.810019999999994</v>
      </c>
      <c r="D4169" s="76">
        <v>84.017783999999907</v>
      </c>
      <c r="E4169" s="76">
        <v>84.357315</v>
      </c>
      <c r="F4169" s="76">
        <v>80.384499000000005</v>
      </c>
      <c r="G4169" s="79">
        <v>629800</v>
      </c>
    </row>
    <row r="4170" spans="1:7" x14ac:dyDescent="0.25">
      <c r="A4170" s="1" t="s">
        <v>4293</v>
      </c>
      <c r="B4170" s="76">
        <v>84.179466000000005</v>
      </c>
      <c r="C4170" s="76">
        <v>84.446242999999996</v>
      </c>
      <c r="D4170" s="76">
        <v>83.540824999999998</v>
      </c>
      <c r="E4170" s="76">
        <v>84.276473999999993</v>
      </c>
      <c r="F4170" s="76">
        <v>80.307456999999999</v>
      </c>
      <c r="G4170" s="79">
        <v>735500</v>
      </c>
    </row>
    <row r="4171" spans="1:7" x14ac:dyDescent="0.25">
      <c r="A4171" s="1" t="s">
        <v>4294</v>
      </c>
      <c r="B4171" s="76">
        <v>84.187552999999994</v>
      </c>
      <c r="C4171" s="76">
        <v>85.747780000000006</v>
      </c>
      <c r="D4171" s="76">
        <v>84.122878999999998</v>
      </c>
      <c r="E4171" s="76">
        <v>85.295067000000003</v>
      </c>
      <c r="F4171" s="76">
        <v>81.278091000000003</v>
      </c>
      <c r="G4171" s="79">
        <v>762700</v>
      </c>
    </row>
    <row r="4172" spans="1:7" x14ac:dyDescent="0.25">
      <c r="A4172" s="1" t="s">
        <v>4295</v>
      </c>
      <c r="B4172" s="76">
        <v>85.278899999999993</v>
      </c>
      <c r="C4172" s="76">
        <v>87.000809000000004</v>
      </c>
      <c r="D4172" s="76">
        <v>85.206145999999904</v>
      </c>
      <c r="E4172" s="76">
        <v>86.822959999999995</v>
      </c>
      <c r="F4172" s="76">
        <v>82.734009</v>
      </c>
      <c r="G4172" s="79">
        <v>992000</v>
      </c>
    </row>
    <row r="4173" spans="1:7" x14ac:dyDescent="0.25">
      <c r="A4173" s="1" t="s">
        <v>4296</v>
      </c>
      <c r="B4173" s="76">
        <v>86.596603000000002</v>
      </c>
      <c r="C4173" s="76">
        <v>87.865806999999904</v>
      </c>
      <c r="D4173" s="76">
        <v>86.224739</v>
      </c>
      <c r="E4173" s="76">
        <v>87.057395999999997</v>
      </c>
      <c r="F4173" s="76">
        <v>82.957419999999999</v>
      </c>
      <c r="G4173" s="79">
        <v>1433100</v>
      </c>
    </row>
    <row r="4174" spans="1:7" x14ac:dyDescent="0.25">
      <c r="A4174" s="1" t="s">
        <v>4297</v>
      </c>
      <c r="B4174" s="76">
        <v>85.311233999999999</v>
      </c>
      <c r="C4174" s="76">
        <v>86.806792999999999</v>
      </c>
      <c r="D4174" s="76">
        <v>84.195633000000001</v>
      </c>
      <c r="E4174" s="76">
        <v>84.971703000000005</v>
      </c>
      <c r="F4174" s="76">
        <v>80.969948000000002</v>
      </c>
      <c r="G4174" s="79">
        <v>1286700</v>
      </c>
    </row>
    <row r="4175" spans="1:7" x14ac:dyDescent="0.25">
      <c r="A4175" s="1" t="s">
        <v>4298</v>
      </c>
      <c r="B4175" s="76">
        <v>84.971703000000005</v>
      </c>
      <c r="C4175" s="76">
        <v>85.618431000000001</v>
      </c>
      <c r="D4175" s="76">
        <v>84.324981999999906</v>
      </c>
      <c r="E4175" s="76">
        <v>84.882781999999906</v>
      </c>
      <c r="F4175" s="76">
        <v>80.885222999999996</v>
      </c>
      <c r="G4175" s="79">
        <v>1233100</v>
      </c>
    </row>
    <row r="4176" spans="1:7" x14ac:dyDescent="0.25">
      <c r="A4176" s="1" t="s">
        <v>4299</v>
      </c>
      <c r="B4176" s="76">
        <v>84.882781999999906</v>
      </c>
      <c r="C4176" s="76">
        <v>84.915115</v>
      </c>
      <c r="D4176" s="76">
        <v>84.333061000000001</v>
      </c>
      <c r="E4176" s="76">
        <v>84.680678999999998</v>
      </c>
      <c r="F4176" s="76">
        <v>80.692634999999996</v>
      </c>
      <c r="G4176" s="79">
        <v>830800</v>
      </c>
    </row>
    <row r="4177" spans="1:7" x14ac:dyDescent="0.25">
      <c r="A4177" s="1" t="s">
        <v>4300</v>
      </c>
      <c r="B4177" s="76">
        <v>84.179466000000005</v>
      </c>
      <c r="C4177" s="76">
        <v>85.133385000000004</v>
      </c>
      <c r="D4177" s="76">
        <v>84.033951000000002</v>
      </c>
      <c r="E4177" s="76">
        <v>84.761519999999905</v>
      </c>
      <c r="F4177" s="76">
        <v>81.258376999999996</v>
      </c>
      <c r="G4177" s="79">
        <v>671000</v>
      </c>
    </row>
    <row r="4178" spans="1:7" x14ac:dyDescent="0.25">
      <c r="A4178" s="1" t="s">
        <v>4301</v>
      </c>
      <c r="B4178" s="76">
        <v>84.890861999999998</v>
      </c>
      <c r="C4178" s="76">
        <v>85.820533999999995</v>
      </c>
      <c r="D4178" s="76">
        <v>84.713013000000004</v>
      </c>
      <c r="E4178" s="76">
        <v>85.383994999999999</v>
      </c>
      <c r="F4178" s="76">
        <v>81.855132999999995</v>
      </c>
      <c r="G4178" s="79">
        <v>731100</v>
      </c>
    </row>
    <row r="4179" spans="1:7" x14ac:dyDescent="0.25">
      <c r="A4179" s="1" t="s">
        <v>4302</v>
      </c>
      <c r="B4179" s="76">
        <v>83.524658000000002</v>
      </c>
      <c r="C4179" s="76">
        <v>85.529510000000002</v>
      </c>
      <c r="D4179" s="76">
        <v>81.026679999999999</v>
      </c>
      <c r="E4179" s="76">
        <v>85.440581999999907</v>
      </c>
      <c r="F4179" s="76">
        <v>81.909385999999998</v>
      </c>
      <c r="G4179" s="79">
        <v>328300</v>
      </c>
    </row>
    <row r="4180" spans="1:7" x14ac:dyDescent="0.25">
      <c r="A4180" s="1" t="s">
        <v>4303</v>
      </c>
      <c r="B4180" s="76">
        <v>85.650763999999995</v>
      </c>
      <c r="C4180" s="76">
        <v>85.998382999999905</v>
      </c>
      <c r="D4180" s="76">
        <v>84.785774000000004</v>
      </c>
      <c r="E4180" s="76">
        <v>85.181892000000005</v>
      </c>
      <c r="F4180" s="76">
        <v>81.661384999999996</v>
      </c>
      <c r="G4180" s="79">
        <v>446100</v>
      </c>
    </row>
    <row r="4181" spans="1:7" x14ac:dyDescent="0.25">
      <c r="A4181" s="1" t="s">
        <v>4304</v>
      </c>
      <c r="B4181" s="76">
        <v>85.206145999999904</v>
      </c>
      <c r="C4181" s="76">
        <v>85.206145999999904</v>
      </c>
      <c r="D4181" s="76">
        <v>84.195633000000001</v>
      </c>
      <c r="E4181" s="76">
        <v>84.858528000000007</v>
      </c>
      <c r="F4181" s="76">
        <v>81.351387000000003</v>
      </c>
      <c r="G4181" s="79">
        <v>530900</v>
      </c>
    </row>
    <row r="4182" spans="1:7" x14ac:dyDescent="0.25">
      <c r="A4182" s="1" t="s">
        <v>4305</v>
      </c>
      <c r="B4182" s="76">
        <v>84.923203000000001</v>
      </c>
      <c r="C4182" s="76">
        <v>85.860954000000007</v>
      </c>
      <c r="D4182" s="76">
        <v>84.502831</v>
      </c>
      <c r="E4182" s="76">
        <v>84.995956000000007</v>
      </c>
      <c r="F4182" s="76">
        <v>81.483131</v>
      </c>
      <c r="G4182" s="79">
        <v>450400</v>
      </c>
    </row>
    <row r="4183" spans="1:7" x14ac:dyDescent="0.25">
      <c r="A4183" s="1" t="s">
        <v>4306</v>
      </c>
      <c r="B4183" s="76">
        <v>85.311233999999999</v>
      </c>
      <c r="C4183" s="76">
        <v>85.561843999999994</v>
      </c>
      <c r="D4183" s="76">
        <v>84.405822999999998</v>
      </c>
      <c r="E4183" s="76">
        <v>84.607924999999994</v>
      </c>
      <c r="F4183" s="76">
        <v>81.111136999999999</v>
      </c>
      <c r="G4183" s="79">
        <v>773900</v>
      </c>
    </row>
    <row r="4184" spans="1:7" x14ac:dyDescent="0.25">
      <c r="A4184" s="1" t="s">
        <v>4307</v>
      </c>
      <c r="B4184" s="76">
        <v>84.502831</v>
      </c>
      <c r="C4184" s="76">
        <v>84.502831</v>
      </c>
      <c r="D4184" s="76">
        <v>83.314468000000005</v>
      </c>
      <c r="E4184" s="76">
        <v>83.613579000000001</v>
      </c>
      <c r="F4184" s="76">
        <v>80.157889999999995</v>
      </c>
      <c r="G4184" s="79">
        <v>619500</v>
      </c>
    </row>
    <row r="4185" spans="1:7" x14ac:dyDescent="0.25">
      <c r="A4185" s="1" t="s">
        <v>4308</v>
      </c>
      <c r="B4185" s="76">
        <v>83.629752999999994</v>
      </c>
      <c r="C4185" s="76">
        <v>83.945030000000003</v>
      </c>
      <c r="D4185" s="76">
        <v>82.667746999999906</v>
      </c>
      <c r="E4185" s="76">
        <v>83.597412000000006</v>
      </c>
      <c r="F4185" s="76">
        <v>80.142386999999999</v>
      </c>
      <c r="G4185" s="79">
        <v>782400</v>
      </c>
    </row>
    <row r="4186" spans="1:7" x14ac:dyDescent="0.25">
      <c r="A4186" s="1" t="s">
        <v>4309</v>
      </c>
      <c r="B4186" s="76">
        <v>83.629752999999994</v>
      </c>
      <c r="C4186" s="76">
        <v>83.872268999999903</v>
      </c>
      <c r="D4186" s="76">
        <v>83.201293999999905</v>
      </c>
      <c r="E4186" s="76">
        <v>83.629752999999994</v>
      </c>
      <c r="F4186" s="76">
        <v>80.173393000000004</v>
      </c>
      <c r="G4186" s="79">
        <v>422300</v>
      </c>
    </row>
    <row r="4187" spans="1:7" x14ac:dyDescent="0.25">
      <c r="A4187" s="1" t="s">
        <v>4310</v>
      </c>
      <c r="B4187" s="76">
        <v>83.354889</v>
      </c>
      <c r="C4187" s="76">
        <v>83.815680999999998</v>
      </c>
      <c r="D4187" s="76">
        <v>81.899756999999994</v>
      </c>
      <c r="E4187" s="76">
        <v>82.166533999999999</v>
      </c>
      <c r="F4187" s="76">
        <v>78.770645000000002</v>
      </c>
      <c r="G4187" s="79">
        <v>737300</v>
      </c>
    </row>
    <row r="4188" spans="1:7" x14ac:dyDescent="0.25">
      <c r="A4188" s="1" t="s">
        <v>4311</v>
      </c>
      <c r="B4188" s="76">
        <v>82.384804000000003</v>
      </c>
      <c r="C4188" s="76">
        <v>82.805176000000003</v>
      </c>
      <c r="D4188" s="76">
        <v>81.883590999999996</v>
      </c>
      <c r="E4188" s="76">
        <v>82.603072999999995</v>
      </c>
      <c r="F4188" s="76">
        <v>79.189139999999995</v>
      </c>
      <c r="G4188" s="79">
        <v>472800</v>
      </c>
    </row>
    <row r="4189" spans="1:7" x14ac:dyDescent="0.25">
      <c r="A4189" s="1" t="s">
        <v>4312</v>
      </c>
      <c r="B4189" s="76">
        <v>83.023444999999995</v>
      </c>
      <c r="C4189" s="76">
        <v>83.314468000000005</v>
      </c>
      <c r="D4189" s="76">
        <v>82.578818999999996</v>
      </c>
      <c r="E4189" s="76">
        <v>82.651572999999999</v>
      </c>
      <c r="F4189" s="76">
        <v>79.235633999999905</v>
      </c>
      <c r="G4189" s="79">
        <v>369300</v>
      </c>
    </row>
    <row r="4190" spans="1:7" x14ac:dyDescent="0.25">
      <c r="A4190" s="1" t="s">
        <v>4313</v>
      </c>
      <c r="B4190" s="76">
        <v>82.756668000000005</v>
      </c>
      <c r="C4190" s="76">
        <v>82.756668000000005</v>
      </c>
      <c r="D4190" s="76">
        <v>81.681488000000002</v>
      </c>
      <c r="E4190" s="76">
        <v>82.570731999999893</v>
      </c>
      <c r="F4190" s="76">
        <v>79.158141999999998</v>
      </c>
      <c r="G4190" s="79">
        <v>458600</v>
      </c>
    </row>
    <row r="4191" spans="1:7" x14ac:dyDescent="0.25">
      <c r="A4191" s="1" t="s">
        <v>4314</v>
      </c>
      <c r="B4191" s="76">
        <v>82.627326999999994</v>
      </c>
      <c r="C4191" s="76">
        <v>83.435730000000007</v>
      </c>
      <c r="D4191" s="76">
        <v>82.328216999999995</v>
      </c>
      <c r="E4191" s="76">
        <v>82.651572999999999</v>
      </c>
      <c r="F4191" s="76">
        <v>79.235633999999905</v>
      </c>
      <c r="G4191" s="79">
        <v>304800</v>
      </c>
    </row>
    <row r="4192" spans="1:7" x14ac:dyDescent="0.25">
      <c r="A4192" s="1" t="s">
        <v>4315</v>
      </c>
      <c r="B4192" s="76">
        <v>82.772835000000001</v>
      </c>
      <c r="C4192" s="76">
        <v>83.104286000000002</v>
      </c>
      <c r="D4192" s="76">
        <v>81.139854</v>
      </c>
      <c r="E4192" s="76">
        <v>81.657234000000003</v>
      </c>
      <c r="F4192" s="76">
        <v>78.282393999999996</v>
      </c>
      <c r="G4192" s="79">
        <v>416000</v>
      </c>
    </row>
    <row r="4193" spans="1:7" x14ac:dyDescent="0.25">
      <c r="A4193" s="1" t="s">
        <v>4316</v>
      </c>
      <c r="B4193" s="76">
        <v>81.907844999999995</v>
      </c>
      <c r="C4193" s="76">
        <v>83.371055999999996</v>
      </c>
      <c r="D4193" s="76">
        <v>81.859336999999996</v>
      </c>
      <c r="E4193" s="76">
        <v>83.039612000000005</v>
      </c>
      <c r="F4193" s="76">
        <v>79.607651000000004</v>
      </c>
      <c r="G4193" s="79">
        <v>643500</v>
      </c>
    </row>
    <row r="4194" spans="1:7" x14ac:dyDescent="0.25">
      <c r="A4194" s="1" t="s">
        <v>4317</v>
      </c>
      <c r="B4194" s="76">
        <v>83.128540000000001</v>
      </c>
      <c r="C4194" s="76">
        <v>83.371055999999996</v>
      </c>
      <c r="D4194" s="76">
        <v>82.029105999999999</v>
      </c>
      <c r="E4194" s="76">
        <v>83.160872999999995</v>
      </c>
      <c r="F4194" s="76">
        <v>79.723884999999996</v>
      </c>
      <c r="G4194" s="79">
        <v>656000</v>
      </c>
    </row>
    <row r="4195" spans="1:7" x14ac:dyDescent="0.25">
      <c r="A4195" s="1" t="s">
        <v>4318</v>
      </c>
      <c r="B4195" s="76">
        <v>82.845596</v>
      </c>
      <c r="C4195" s="76">
        <v>83.734840000000005</v>
      </c>
      <c r="D4195" s="76">
        <v>82.659660000000002</v>
      </c>
      <c r="E4195" s="76">
        <v>83.516570999999999</v>
      </c>
      <c r="F4195" s="76">
        <v>80.064895999999905</v>
      </c>
      <c r="G4195" s="79">
        <v>967800</v>
      </c>
    </row>
    <row r="4196" spans="1:7" x14ac:dyDescent="0.25">
      <c r="A4196" s="1" t="s">
        <v>4319</v>
      </c>
      <c r="B4196" s="76">
        <v>83.613579000000001</v>
      </c>
      <c r="C4196" s="76">
        <v>83.945030000000003</v>
      </c>
      <c r="D4196" s="76">
        <v>82.789008999999993</v>
      </c>
      <c r="E4196" s="76">
        <v>83.225548000000003</v>
      </c>
      <c r="F4196" s="76">
        <v>79.785888999999997</v>
      </c>
      <c r="G4196" s="79">
        <v>559600</v>
      </c>
    </row>
    <row r="4197" spans="1:7" x14ac:dyDescent="0.25">
      <c r="A4197" s="1" t="s">
        <v>4320</v>
      </c>
      <c r="B4197" s="76">
        <v>83.597412000000006</v>
      </c>
      <c r="C4197" s="76">
        <v>84.753433000000001</v>
      </c>
      <c r="D4197" s="76">
        <v>83.346808999999993</v>
      </c>
      <c r="E4197" s="76">
        <v>83.864188999999996</v>
      </c>
      <c r="F4197" s="76">
        <v>80.398131999999904</v>
      </c>
      <c r="G4197" s="79">
        <v>335800</v>
      </c>
    </row>
    <row r="4198" spans="1:7" x14ac:dyDescent="0.25">
      <c r="A4198" s="1" t="s">
        <v>4321</v>
      </c>
      <c r="B4198" s="76">
        <v>83.896523000000002</v>
      </c>
      <c r="C4198" s="76">
        <v>84.090537999999995</v>
      </c>
      <c r="D4198" s="76">
        <v>83.104286000000002</v>
      </c>
      <c r="E4198" s="76">
        <v>83.848022</v>
      </c>
      <c r="F4198" s="76">
        <v>80.382637000000003</v>
      </c>
      <c r="G4198" s="79">
        <v>673600</v>
      </c>
    </row>
    <row r="4199" spans="1:7" x14ac:dyDescent="0.25">
      <c r="A4199" s="1" t="s">
        <v>4322</v>
      </c>
      <c r="B4199" s="76">
        <v>83.694419999999994</v>
      </c>
      <c r="C4199" s="76">
        <v>84.890861999999998</v>
      </c>
      <c r="D4199" s="76">
        <v>83.459983999999906</v>
      </c>
      <c r="E4199" s="76">
        <v>84.575583999999907</v>
      </c>
      <c r="F4199" s="76">
        <v>81.080131999999907</v>
      </c>
      <c r="G4199" s="79">
        <v>605800</v>
      </c>
    </row>
    <row r="4200" spans="1:7" x14ac:dyDescent="0.25">
      <c r="A4200" s="1" t="s">
        <v>4323</v>
      </c>
      <c r="B4200" s="76">
        <v>84.276473999999993</v>
      </c>
      <c r="C4200" s="76">
        <v>84.583671999999893</v>
      </c>
      <c r="D4200" s="76">
        <v>83.185126999999994</v>
      </c>
      <c r="E4200" s="76">
        <v>83.411475999999993</v>
      </c>
      <c r="F4200" s="76">
        <v>79.964134000000001</v>
      </c>
      <c r="G4200" s="79">
        <v>1069500</v>
      </c>
    </row>
    <row r="4201" spans="1:7" x14ac:dyDescent="0.25">
      <c r="A4201" s="1" t="s">
        <v>4324</v>
      </c>
      <c r="B4201" s="76">
        <v>82.659660000000002</v>
      </c>
      <c r="C4201" s="76">
        <v>82.708168000000001</v>
      </c>
      <c r="D4201" s="76">
        <v>80.396118000000001</v>
      </c>
      <c r="E4201" s="76">
        <v>80.396118000000001</v>
      </c>
      <c r="F4201" s="76">
        <v>77.073402000000002</v>
      </c>
      <c r="G4201" s="79">
        <v>1099300</v>
      </c>
    </row>
    <row r="4202" spans="1:7" x14ac:dyDescent="0.25">
      <c r="A4202" s="1" t="s">
        <v>4325</v>
      </c>
      <c r="B4202" s="76">
        <v>80.008087000000003</v>
      </c>
      <c r="C4202" s="76">
        <v>82.425224</v>
      </c>
      <c r="D4202" s="76">
        <v>79.878737999999998</v>
      </c>
      <c r="E4202" s="76">
        <v>82.061440000000005</v>
      </c>
      <c r="F4202" s="76">
        <v>78.669891000000007</v>
      </c>
      <c r="G4202" s="79">
        <v>1199400</v>
      </c>
    </row>
    <row r="4203" spans="1:7" x14ac:dyDescent="0.25">
      <c r="A4203" s="1" t="s">
        <v>4326</v>
      </c>
      <c r="B4203" s="76">
        <v>81.350037</v>
      </c>
      <c r="C4203" s="76">
        <v>81.657234000000003</v>
      </c>
      <c r="D4203" s="76">
        <v>79.320937999999998</v>
      </c>
      <c r="E4203" s="76">
        <v>79.426032999999904</v>
      </c>
      <c r="F4203" s="76">
        <v>76.143410000000003</v>
      </c>
      <c r="G4203" s="79">
        <v>886600</v>
      </c>
    </row>
    <row r="4204" spans="1:7" x14ac:dyDescent="0.25">
      <c r="A4204" s="1" t="s">
        <v>4327</v>
      </c>
      <c r="B4204" s="76">
        <v>79.482619999999997</v>
      </c>
      <c r="C4204" s="76">
        <v>79.830230999999998</v>
      </c>
      <c r="D4204" s="76">
        <v>78.940986999999893</v>
      </c>
      <c r="E4204" s="76">
        <v>79.135002</v>
      </c>
      <c r="F4204" s="76">
        <v>75.864409999999907</v>
      </c>
      <c r="G4204" s="79">
        <v>581800</v>
      </c>
    </row>
    <row r="4205" spans="1:7" x14ac:dyDescent="0.25">
      <c r="A4205" s="1" t="s">
        <v>4328</v>
      </c>
      <c r="B4205" s="76">
        <v>79.070328000000003</v>
      </c>
      <c r="C4205" s="76">
        <v>79.741309999999999</v>
      </c>
      <c r="D4205" s="76">
        <v>78.561035000000004</v>
      </c>
      <c r="E4205" s="76">
        <v>79.611960999999994</v>
      </c>
      <c r="F4205" s="76">
        <v>76.321647999999996</v>
      </c>
      <c r="G4205" s="79">
        <v>666200</v>
      </c>
    </row>
    <row r="4206" spans="1:7" x14ac:dyDescent="0.25">
      <c r="A4206" s="1" t="s">
        <v>4329</v>
      </c>
      <c r="B4206" s="76">
        <v>79.191588999999993</v>
      </c>
      <c r="C4206" s="76">
        <v>79.886825999999999</v>
      </c>
      <c r="D4206" s="76">
        <v>78.868232999999904</v>
      </c>
      <c r="E4206" s="76">
        <v>79.741309999999999</v>
      </c>
      <c r="F4206" s="76">
        <v>76.445647999999906</v>
      </c>
      <c r="G4206" s="79">
        <v>1968300</v>
      </c>
    </row>
    <row r="4207" spans="1:7" x14ac:dyDescent="0.25">
      <c r="A4207" s="1" t="s">
        <v>4330</v>
      </c>
      <c r="B4207" s="76">
        <v>79.951492000000002</v>
      </c>
      <c r="C4207" s="76">
        <v>80.864998</v>
      </c>
      <c r="D4207" s="76">
        <v>79.894904999999994</v>
      </c>
      <c r="E4207" s="76">
        <v>80.759902999999994</v>
      </c>
      <c r="F4207" s="76">
        <v>77.422150000000002</v>
      </c>
      <c r="G4207" s="79">
        <v>737900</v>
      </c>
    </row>
    <row r="4208" spans="1:7" x14ac:dyDescent="0.25">
      <c r="A4208" s="1" t="s">
        <v>4331</v>
      </c>
      <c r="B4208" s="76">
        <v>80.808410999999893</v>
      </c>
      <c r="C4208" s="76">
        <v>81.422798</v>
      </c>
      <c r="D4208" s="76">
        <v>80.695228999999998</v>
      </c>
      <c r="E4208" s="76">
        <v>80.986258999999905</v>
      </c>
      <c r="F4208" s="76">
        <v>77.639152999999993</v>
      </c>
      <c r="G4208" s="79">
        <v>571400</v>
      </c>
    </row>
    <row r="4209" spans="1:7" x14ac:dyDescent="0.25">
      <c r="A4209" s="1" t="s">
        <v>4332</v>
      </c>
      <c r="B4209" s="76">
        <v>81.018592999999996</v>
      </c>
      <c r="C4209" s="76">
        <v>82.206954999999994</v>
      </c>
      <c r="D4209" s="76">
        <v>80.169768999999903</v>
      </c>
      <c r="E4209" s="76">
        <v>82.118026999999998</v>
      </c>
      <c r="F4209" s="76">
        <v>78.724152000000004</v>
      </c>
      <c r="G4209" s="79">
        <v>656200</v>
      </c>
    </row>
    <row r="4210" spans="1:7" x14ac:dyDescent="0.25">
      <c r="A4210" s="1" t="s">
        <v>4333</v>
      </c>
      <c r="B4210" s="76">
        <v>82.651572999999999</v>
      </c>
      <c r="C4210" s="76">
        <v>83.880356000000006</v>
      </c>
      <c r="D4210" s="76">
        <v>82.457557999999906</v>
      </c>
      <c r="E4210" s="76">
        <v>83.783348000000004</v>
      </c>
      <c r="F4210" s="76">
        <v>80.320640999999995</v>
      </c>
      <c r="G4210" s="79">
        <v>623200</v>
      </c>
    </row>
    <row r="4211" spans="1:7" x14ac:dyDescent="0.25">
      <c r="A4211" s="1" t="s">
        <v>4334</v>
      </c>
      <c r="B4211" s="76">
        <v>83.387230000000002</v>
      </c>
      <c r="C4211" s="76">
        <v>84.494743</v>
      </c>
      <c r="D4211" s="76">
        <v>82.441390999999996</v>
      </c>
      <c r="E4211" s="76">
        <v>83.888442999999995</v>
      </c>
      <c r="F4211" s="76">
        <v>80.421379000000002</v>
      </c>
      <c r="G4211" s="79">
        <v>718300</v>
      </c>
    </row>
    <row r="4212" spans="1:7" x14ac:dyDescent="0.25">
      <c r="A4212" s="1" t="s">
        <v>4335</v>
      </c>
      <c r="B4212" s="76">
        <v>83.565078999999997</v>
      </c>
      <c r="C4212" s="76">
        <v>84.349236000000005</v>
      </c>
      <c r="D4212" s="76">
        <v>83.508492000000004</v>
      </c>
      <c r="E4212" s="76">
        <v>84.050117</v>
      </c>
      <c r="F4212" s="76">
        <v>80.576378000000005</v>
      </c>
      <c r="G4212" s="79">
        <v>778300</v>
      </c>
    </row>
    <row r="4213" spans="1:7" x14ac:dyDescent="0.25">
      <c r="A4213" s="1" t="s">
        <v>4336</v>
      </c>
      <c r="B4213" s="76">
        <v>84.244140999999999</v>
      </c>
      <c r="C4213" s="76">
        <v>84.591751000000002</v>
      </c>
      <c r="D4213" s="76">
        <v>82.991104000000007</v>
      </c>
      <c r="E4213" s="76">
        <v>83.055779000000001</v>
      </c>
      <c r="F4213" s="76">
        <v>79.623137999999997</v>
      </c>
      <c r="G4213" s="79">
        <v>810700</v>
      </c>
    </row>
    <row r="4214" spans="1:7" x14ac:dyDescent="0.25">
      <c r="A4214" s="1" t="s">
        <v>4337</v>
      </c>
      <c r="B4214" s="76">
        <v>83.136619999999994</v>
      </c>
      <c r="C4214" s="76">
        <v>83.653998999999999</v>
      </c>
      <c r="D4214" s="76">
        <v>82.643493999999905</v>
      </c>
      <c r="E4214" s="76">
        <v>83.419562999999997</v>
      </c>
      <c r="F4214" s="76">
        <v>79.971885999999998</v>
      </c>
      <c r="G4214" s="79">
        <v>529100</v>
      </c>
    </row>
    <row r="4215" spans="1:7" x14ac:dyDescent="0.25">
      <c r="A4215" s="1" t="s">
        <v>4338</v>
      </c>
      <c r="B4215" s="76">
        <v>82.934517</v>
      </c>
      <c r="C4215" s="76">
        <v>83.395308999999997</v>
      </c>
      <c r="D4215" s="76">
        <v>82.037186000000005</v>
      </c>
      <c r="E4215" s="76">
        <v>82.077606000000003</v>
      </c>
      <c r="F4215" s="76">
        <v>78.685393999999903</v>
      </c>
      <c r="G4215" s="79">
        <v>604500</v>
      </c>
    </row>
    <row r="4216" spans="1:7" x14ac:dyDescent="0.25">
      <c r="A4216" s="1" t="s">
        <v>4339</v>
      </c>
      <c r="B4216" s="76">
        <v>82.619240000000005</v>
      </c>
      <c r="C4216" s="76">
        <v>82.877930000000006</v>
      </c>
      <c r="D4216" s="76">
        <v>81.778495999999905</v>
      </c>
      <c r="E4216" s="76">
        <v>81.818916000000002</v>
      </c>
      <c r="F4216" s="76">
        <v>78.437400999999994</v>
      </c>
      <c r="G4216" s="79">
        <v>733100</v>
      </c>
    </row>
    <row r="4217" spans="1:7" x14ac:dyDescent="0.25">
      <c r="A4217" s="1" t="s">
        <v>4340</v>
      </c>
      <c r="B4217" s="76">
        <v>81.487472999999994</v>
      </c>
      <c r="C4217" s="76">
        <v>81.495552000000004</v>
      </c>
      <c r="D4217" s="76">
        <v>80.339530999999994</v>
      </c>
      <c r="E4217" s="76">
        <v>80.404205000000005</v>
      </c>
      <c r="F4217" s="76">
        <v>77.081160999999994</v>
      </c>
      <c r="G4217" s="79">
        <v>932600</v>
      </c>
    </row>
    <row r="4218" spans="1:7" x14ac:dyDescent="0.25">
      <c r="A4218" s="1" t="s">
        <v>4341</v>
      </c>
      <c r="B4218" s="76">
        <v>80.396118000000001</v>
      </c>
      <c r="C4218" s="76">
        <v>80.711394999999996</v>
      </c>
      <c r="D4218" s="76">
        <v>79.199676999999994</v>
      </c>
      <c r="E4218" s="76">
        <v>79.571540999999996</v>
      </c>
      <c r="F4218" s="76">
        <v>76.282905999999997</v>
      </c>
      <c r="G4218" s="79">
        <v>679100</v>
      </c>
    </row>
    <row r="4219" spans="1:7" x14ac:dyDescent="0.25">
      <c r="A4219" s="1" t="s">
        <v>4342</v>
      </c>
      <c r="B4219" s="76">
        <v>79.862572</v>
      </c>
      <c r="C4219" s="76">
        <v>80.016166999999996</v>
      </c>
      <c r="D4219" s="76">
        <v>77.534355000000005</v>
      </c>
      <c r="E4219" s="76">
        <v>77.712204</v>
      </c>
      <c r="F4219" s="76">
        <v>74.500419999999906</v>
      </c>
      <c r="G4219" s="79">
        <v>914200</v>
      </c>
    </row>
    <row r="4220" spans="1:7" x14ac:dyDescent="0.25">
      <c r="A4220" s="1" t="s">
        <v>4343</v>
      </c>
      <c r="B4220" s="76">
        <v>77.461601000000002</v>
      </c>
      <c r="C4220" s="76">
        <v>78.536781000000005</v>
      </c>
      <c r="D4220" s="76">
        <v>76.725952000000007</v>
      </c>
      <c r="E4220" s="76">
        <v>78.011313999999999</v>
      </c>
      <c r="F4220" s="76">
        <v>74.787154999999998</v>
      </c>
      <c r="G4220" s="79">
        <v>1006700</v>
      </c>
    </row>
    <row r="4221" spans="1:7" x14ac:dyDescent="0.25">
      <c r="A4221" s="1" t="s">
        <v>4344</v>
      </c>
      <c r="B4221" s="76">
        <v>78.520615000000006</v>
      </c>
      <c r="C4221" s="76">
        <v>79.304771000000002</v>
      </c>
      <c r="D4221" s="76">
        <v>77.396927000000005</v>
      </c>
      <c r="E4221" s="76">
        <v>77.857718999999904</v>
      </c>
      <c r="F4221" s="76">
        <v>74.639907999999906</v>
      </c>
      <c r="G4221" s="79">
        <v>552700</v>
      </c>
    </row>
    <row r="4222" spans="1:7" x14ac:dyDescent="0.25">
      <c r="A4222" s="1" t="s">
        <v>4345</v>
      </c>
      <c r="B4222" s="76">
        <v>78.011313999999999</v>
      </c>
      <c r="C4222" s="76">
        <v>78.71463</v>
      </c>
      <c r="D4222" s="76">
        <v>77.720291000000003</v>
      </c>
      <c r="E4222" s="76">
        <v>78.067909</v>
      </c>
      <c r="F4222" s="76">
        <v>74.841414999999998</v>
      </c>
      <c r="G4222" s="79">
        <v>358400</v>
      </c>
    </row>
    <row r="4223" spans="1:7" x14ac:dyDescent="0.25">
      <c r="A4223" s="1" t="s">
        <v>4346</v>
      </c>
      <c r="B4223" s="76">
        <v>77.793044999999907</v>
      </c>
      <c r="C4223" s="76">
        <v>78.399353000000005</v>
      </c>
      <c r="D4223" s="76">
        <v>76.766373000000002</v>
      </c>
      <c r="E4223" s="76">
        <v>77.000809000000004</v>
      </c>
      <c r="F4223" s="76">
        <v>73.818413000000007</v>
      </c>
      <c r="G4223" s="79">
        <v>908700</v>
      </c>
    </row>
    <row r="4224" spans="1:7" x14ac:dyDescent="0.25">
      <c r="A4224" s="1" t="s">
        <v>4347</v>
      </c>
      <c r="B4224" s="76">
        <v>77.170569999999998</v>
      </c>
      <c r="C4224" s="76">
        <v>77.364593999999997</v>
      </c>
      <c r="D4224" s="76">
        <v>76.337913999999998</v>
      </c>
      <c r="E4224" s="76">
        <v>77.089737</v>
      </c>
      <c r="F4224" s="76">
        <v>73.903671000000003</v>
      </c>
      <c r="G4224" s="79">
        <v>878600</v>
      </c>
    </row>
    <row r="4225" spans="1:7" x14ac:dyDescent="0.25">
      <c r="A4225" s="1" t="s">
        <v>4348</v>
      </c>
      <c r="B4225" s="76">
        <v>76.709784999999997</v>
      </c>
      <c r="C4225" s="76">
        <v>77.728378000000006</v>
      </c>
      <c r="D4225" s="76">
        <v>76.564269999999993</v>
      </c>
      <c r="E4225" s="76">
        <v>77.324173000000002</v>
      </c>
      <c r="F4225" s="76">
        <v>74.128410000000002</v>
      </c>
      <c r="G4225" s="79">
        <v>964900</v>
      </c>
    </row>
    <row r="4226" spans="1:7" x14ac:dyDescent="0.25">
      <c r="A4226" s="1" t="s">
        <v>4349</v>
      </c>
      <c r="B4226" s="76">
        <v>77.493934999999993</v>
      </c>
      <c r="C4226" s="76">
        <v>78.245757999999995</v>
      </c>
      <c r="D4226" s="76">
        <v>76.952301000000006</v>
      </c>
      <c r="E4226" s="76">
        <v>77.000809000000004</v>
      </c>
      <c r="F4226" s="76">
        <v>73.818413000000007</v>
      </c>
      <c r="G4226" s="79">
        <v>935700</v>
      </c>
    </row>
    <row r="4227" spans="1:7" x14ac:dyDescent="0.25">
      <c r="A4227" s="1" t="s">
        <v>4350</v>
      </c>
      <c r="B4227" s="76">
        <v>77.162491000000003</v>
      </c>
      <c r="C4227" s="76">
        <v>77.752624999999995</v>
      </c>
      <c r="D4227" s="76">
        <v>76.879547000000002</v>
      </c>
      <c r="E4227" s="76">
        <v>77.097815999999995</v>
      </c>
      <c r="F4227" s="76">
        <v>73.911406999999997</v>
      </c>
      <c r="G4227" s="79">
        <v>618900</v>
      </c>
    </row>
    <row r="4228" spans="1:7" x14ac:dyDescent="0.25">
      <c r="A4228" s="1" t="s">
        <v>4351</v>
      </c>
      <c r="B4228" s="76">
        <v>77.922393999999997</v>
      </c>
      <c r="C4228" s="76">
        <v>78.294257999999999</v>
      </c>
      <c r="D4228" s="76">
        <v>77.219077999999996</v>
      </c>
      <c r="E4228" s="76">
        <v>77.696037000000004</v>
      </c>
      <c r="F4228" s="76">
        <v>74.484900999999994</v>
      </c>
      <c r="G4228" s="79">
        <v>508000</v>
      </c>
    </row>
    <row r="4229" spans="1:7" x14ac:dyDescent="0.25">
      <c r="A4229" s="1" t="s">
        <v>4352</v>
      </c>
      <c r="B4229" s="76">
        <v>77.542441999999994</v>
      </c>
      <c r="C4229" s="76">
        <v>77.857718999999904</v>
      </c>
      <c r="D4229" s="76">
        <v>76.968474999999998</v>
      </c>
      <c r="E4229" s="76">
        <v>77.671782999999905</v>
      </c>
      <c r="F4229" s="76">
        <v>74.461662000000004</v>
      </c>
      <c r="G4229" s="79">
        <v>785500</v>
      </c>
    </row>
    <row r="4230" spans="1:7" x14ac:dyDescent="0.25">
      <c r="A4230" s="1" t="s">
        <v>4353</v>
      </c>
      <c r="B4230" s="76">
        <v>77.768799000000001</v>
      </c>
      <c r="C4230" s="76">
        <v>77.962813999999995</v>
      </c>
      <c r="D4230" s="76">
        <v>76.669364999999999</v>
      </c>
      <c r="E4230" s="76">
        <v>77.146323999999893</v>
      </c>
      <c r="F4230" s="76">
        <v>73.957924000000006</v>
      </c>
      <c r="G4230" s="79">
        <v>949400</v>
      </c>
    </row>
    <row r="4231" spans="1:7" x14ac:dyDescent="0.25">
      <c r="A4231" s="1" t="s">
        <v>4354</v>
      </c>
      <c r="B4231" s="76">
        <v>76.531929000000005</v>
      </c>
      <c r="C4231" s="76">
        <v>77.089737</v>
      </c>
      <c r="D4231" s="76">
        <v>76.337913999999998</v>
      </c>
      <c r="E4231" s="76">
        <v>76.831039000000004</v>
      </c>
      <c r="F4231" s="76">
        <v>73.655670000000001</v>
      </c>
      <c r="G4231" s="79">
        <v>534700</v>
      </c>
    </row>
    <row r="4232" spans="1:7" x14ac:dyDescent="0.25">
      <c r="A4232" s="1" t="s">
        <v>4355</v>
      </c>
      <c r="B4232" s="76">
        <v>77.340339999999998</v>
      </c>
      <c r="C4232" s="76">
        <v>77.768799000000001</v>
      </c>
      <c r="D4232" s="76">
        <v>76.378333999999995</v>
      </c>
      <c r="E4232" s="76">
        <v>76.637023999999997</v>
      </c>
      <c r="F4232" s="76">
        <v>73.469666000000004</v>
      </c>
      <c r="G4232" s="79">
        <v>579300</v>
      </c>
    </row>
    <row r="4233" spans="1:7" x14ac:dyDescent="0.25">
      <c r="A4233" s="1" t="s">
        <v>4356</v>
      </c>
      <c r="B4233" s="76">
        <v>76.604691000000003</v>
      </c>
      <c r="C4233" s="76">
        <v>76.806792999999999</v>
      </c>
      <c r="D4233" s="76">
        <v>75.780113</v>
      </c>
      <c r="E4233" s="76">
        <v>76.184318999999903</v>
      </c>
      <c r="F4233" s="76">
        <v>73.035659999999993</v>
      </c>
      <c r="G4233" s="79">
        <v>536300</v>
      </c>
    </row>
    <row r="4234" spans="1:7" x14ac:dyDescent="0.25">
      <c r="A4234" s="1" t="s">
        <v>4357</v>
      </c>
      <c r="B4234" s="76">
        <v>76.879547000000002</v>
      </c>
      <c r="C4234" s="76">
        <v>76.952301000000006</v>
      </c>
      <c r="D4234" s="76">
        <v>74.810019999999994</v>
      </c>
      <c r="E4234" s="76">
        <v>75.311233999999999</v>
      </c>
      <c r="F4234" s="76">
        <v>72.198677000000004</v>
      </c>
      <c r="G4234" s="79">
        <v>787600</v>
      </c>
    </row>
    <row r="4235" spans="1:7" x14ac:dyDescent="0.25">
      <c r="A4235" s="1" t="s">
        <v>4358</v>
      </c>
      <c r="B4235" s="76">
        <v>75.278899999999993</v>
      </c>
      <c r="C4235" s="76">
        <v>75.448668999999995</v>
      </c>
      <c r="D4235" s="76">
        <v>73.484238000000005</v>
      </c>
      <c r="E4235" s="76">
        <v>74.179466000000005</v>
      </c>
      <c r="F4235" s="76">
        <v>71.113677999999993</v>
      </c>
      <c r="G4235" s="79">
        <v>876900</v>
      </c>
    </row>
    <row r="4236" spans="1:7" x14ac:dyDescent="0.25">
      <c r="A4236" s="1" t="s">
        <v>4359</v>
      </c>
      <c r="B4236" s="76">
        <v>74.421988999999996</v>
      </c>
      <c r="C4236" s="76">
        <v>74.979789999999994</v>
      </c>
      <c r="D4236" s="76">
        <v>73.419562999999997</v>
      </c>
      <c r="E4236" s="76">
        <v>73.734840000000005</v>
      </c>
      <c r="F4236" s="76">
        <v>70.687431000000004</v>
      </c>
      <c r="G4236" s="79">
        <v>981400</v>
      </c>
    </row>
    <row r="4237" spans="1:7" x14ac:dyDescent="0.25">
      <c r="A4237" s="1" t="s">
        <v>4360</v>
      </c>
      <c r="B4237" s="76">
        <v>74.211799999999997</v>
      </c>
      <c r="C4237" s="76">
        <v>75.165726000000006</v>
      </c>
      <c r="D4237" s="76">
        <v>73.589332999999996</v>
      </c>
      <c r="E4237" s="76">
        <v>75.004043999999993</v>
      </c>
      <c r="F4237" s="76">
        <v>71.904174999999995</v>
      </c>
      <c r="G4237" s="79">
        <v>1005300</v>
      </c>
    </row>
    <row r="4238" spans="1:7" x14ac:dyDescent="0.25">
      <c r="A4238" s="1" t="s">
        <v>4361</v>
      </c>
      <c r="B4238" s="76">
        <v>74.987876999999997</v>
      </c>
      <c r="C4238" s="76">
        <v>74.995956000000007</v>
      </c>
      <c r="D4238" s="76">
        <v>72.926436999999893</v>
      </c>
      <c r="E4238" s="76">
        <v>73.249802000000003</v>
      </c>
      <c r="F4238" s="76">
        <v>70.222435000000004</v>
      </c>
      <c r="G4238" s="79">
        <v>1400700</v>
      </c>
    </row>
    <row r="4239" spans="1:7" x14ac:dyDescent="0.25">
      <c r="A4239" s="1" t="s">
        <v>4362</v>
      </c>
      <c r="B4239" s="76">
        <v>73.225548000000003</v>
      </c>
      <c r="C4239" s="76">
        <v>73.516570999999999</v>
      </c>
      <c r="D4239" s="76">
        <v>70.986258999999905</v>
      </c>
      <c r="E4239" s="76">
        <v>70.986258999999905</v>
      </c>
      <c r="F4239" s="76">
        <v>68.052443999999994</v>
      </c>
      <c r="G4239" s="79">
        <v>1531500</v>
      </c>
    </row>
    <row r="4240" spans="1:7" x14ac:dyDescent="0.25">
      <c r="A4240" s="1" t="s">
        <v>4363</v>
      </c>
      <c r="B4240" s="76">
        <v>70.533546000000001</v>
      </c>
      <c r="C4240" s="76">
        <v>71.034759999999906</v>
      </c>
      <c r="D4240" s="76">
        <v>69.927245999999997</v>
      </c>
      <c r="E4240" s="76">
        <v>70.113174000000001</v>
      </c>
      <c r="F4240" s="76">
        <v>67.817321999999905</v>
      </c>
      <c r="G4240" s="79">
        <v>704500</v>
      </c>
    </row>
    <row r="4241" spans="1:7" x14ac:dyDescent="0.25">
      <c r="A4241" s="1" t="s">
        <v>4364</v>
      </c>
      <c r="B4241" s="76">
        <v>70.436538999999996</v>
      </c>
      <c r="C4241" s="76">
        <v>71.649154999999993</v>
      </c>
      <c r="D4241" s="76">
        <v>69.805983999999995</v>
      </c>
      <c r="E4241" s="76">
        <v>71.317702999999995</v>
      </c>
      <c r="F4241" s="76">
        <v>68.982406999999995</v>
      </c>
      <c r="G4241" s="79">
        <v>797900</v>
      </c>
    </row>
    <row r="4242" spans="1:7" x14ac:dyDescent="0.25">
      <c r="A4242" s="1" t="s">
        <v>4365</v>
      </c>
      <c r="B4242" s="76">
        <v>72.271621999999994</v>
      </c>
      <c r="C4242" s="76">
        <v>72.780922000000004</v>
      </c>
      <c r="D4242" s="76">
        <v>71.940178000000003</v>
      </c>
      <c r="E4242" s="76">
        <v>72.215034000000003</v>
      </c>
      <c r="F4242" s="76">
        <v>69.850356999999903</v>
      </c>
      <c r="G4242" s="79">
        <v>760100</v>
      </c>
    </row>
    <row r="4243" spans="1:7" x14ac:dyDescent="0.25">
      <c r="A4243" s="1" t="s">
        <v>4366</v>
      </c>
      <c r="B4243" s="76">
        <v>72.255454999999998</v>
      </c>
      <c r="C4243" s="76">
        <v>72.691993999999994</v>
      </c>
      <c r="D4243" s="76">
        <v>71.649154999999993</v>
      </c>
      <c r="E4243" s="76">
        <v>72.215034000000003</v>
      </c>
      <c r="F4243" s="76">
        <v>69.850356999999903</v>
      </c>
      <c r="G4243" s="79">
        <v>839900</v>
      </c>
    </row>
    <row r="4244" spans="1:7" x14ac:dyDescent="0.25">
      <c r="A4244" s="1" t="s">
        <v>4367</v>
      </c>
      <c r="B4244" s="76">
        <v>71.325789999999998</v>
      </c>
      <c r="C4244" s="76">
        <v>73.767180999999994</v>
      </c>
      <c r="D4244" s="76">
        <v>70.476958999999994</v>
      </c>
      <c r="E4244" s="76">
        <v>73.071944999999999</v>
      </c>
      <c r="F4244" s="76">
        <v>70.679206999999906</v>
      </c>
      <c r="G4244" s="79">
        <v>1687200</v>
      </c>
    </row>
    <row r="4245" spans="1:7" x14ac:dyDescent="0.25">
      <c r="A4245" s="1" t="s">
        <v>4368</v>
      </c>
      <c r="B4245" s="76">
        <v>73.136619999999994</v>
      </c>
      <c r="C4245" s="76">
        <v>75.424415999999994</v>
      </c>
      <c r="D4245" s="76">
        <v>71.244949000000005</v>
      </c>
      <c r="E4245" s="76">
        <v>74.737267000000003</v>
      </c>
      <c r="F4245" s="76">
        <v>72.290001000000004</v>
      </c>
      <c r="G4245" s="79">
        <v>2736000</v>
      </c>
    </row>
    <row r="4246" spans="1:7" x14ac:dyDescent="0.25">
      <c r="A4246" s="1" t="s">
        <v>4369</v>
      </c>
      <c r="B4246" s="76">
        <v>75.117217999999994</v>
      </c>
      <c r="C4246" s="76">
        <v>77.582863000000003</v>
      </c>
      <c r="D4246" s="76">
        <v>75.117217999999994</v>
      </c>
      <c r="E4246" s="76">
        <v>76.895713999999998</v>
      </c>
      <c r="F4246" s="76">
        <v>74.377769000000001</v>
      </c>
      <c r="G4246" s="79">
        <v>1789200</v>
      </c>
    </row>
    <row r="4247" spans="1:7" x14ac:dyDescent="0.25">
      <c r="A4247" s="1" t="s">
        <v>4370</v>
      </c>
      <c r="B4247" s="76">
        <v>76.790618999999893</v>
      </c>
      <c r="C4247" s="76">
        <v>80.153594999999996</v>
      </c>
      <c r="D4247" s="76">
        <v>76.604691000000003</v>
      </c>
      <c r="E4247" s="76">
        <v>79.458365999999998</v>
      </c>
      <c r="F4247" s="76">
        <v>76.856505999999996</v>
      </c>
      <c r="G4247" s="79">
        <v>2350700</v>
      </c>
    </row>
    <row r="4248" spans="1:7" x14ac:dyDescent="0.25">
      <c r="A4248" s="1" t="s">
        <v>4371</v>
      </c>
      <c r="B4248" s="76">
        <v>79.514954000000003</v>
      </c>
      <c r="C4248" s="76">
        <v>80.137428</v>
      </c>
      <c r="D4248" s="76">
        <v>77.558608999999905</v>
      </c>
      <c r="E4248" s="76">
        <v>77.898139999999998</v>
      </c>
      <c r="F4248" s="76">
        <v>75.347365999999994</v>
      </c>
      <c r="G4248" s="79">
        <v>1778400</v>
      </c>
    </row>
    <row r="4249" spans="1:7" x14ac:dyDescent="0.25">
      <c r="A4249" s="1" t="s">
        <v>4372</v>
      </c>
      <c r="B4249" s="76">
        <v>77.825385999999995</v>
      </c>
      <c r="C4249" s="76">
        <v>77.825385999999995</v>
      </c>
      <c r="D4249" s="76">
        <v>76.232818999999907</v>
      </c>
      <c r="E4249" s="76">
        <v>76.968474999999998</v>
      </c>
      <c r="F4249" s="76">
        <v>74.448150999999996</v>
      </c>
      <c r="G4249" s="79">
        <v>1034500</v>
      </c>
    </row>
    <row r="4250" spans="1:7" x14ac:dyDescent="0.25">
      <c r="A4250" s="1" t="s">
        <v>4373</v>
      </c>
      <c r="B4250" s="76">
        <v>76.822959999999995</v>
      </c>
      <c r="C4250" s="76">
        <v>77.873885999999999</v>
      </c>
      <c r="D4250" s="76">
        <v>76.57235</v>
      </c>
      <c r="E4250" s="76">
        <v>77.178657999999999</v>
      </c>
      <c r="F4250" s="76">
        <v>74.651436000000004</v>
      </c>
      <c r="G4250" s="79">
        <v>1151400</v>
      </c>
    </row>
    <row r="4251" spans="1:7" x14ac:dyDescent="0.25">
      <c r="A4251" s="1" t="s">
        <v>4374</v>
      </c>
      <c r="B4251" s="76">
        <v>77.13015</v>
      </c>
      <c r="C4251" s="76">
        <v>77.639449999999997</v>
      </c>
      <c r="D4251" s="76">
        <v>76.798705999999996</v>
      </c>
      <c r="E4251" s="76">
        <v>77.251411000000004</v>
      </c>
      <c r="F4251" s="76">
        <v>74.721817000000001</v>
      </c>
      <c r="G4251" s="79">
        <v>1186900</v>
      </c>
    </row>
    <row r="4252" spans="1:7" x14ac:dyDescent="0.25">
      <c r="A4252" s="1" t="s">
        <v>4375</v>
      </c>
      <c r="B4252" s="76">
        <v>77.388846999999998</v>
      </c>
      <c r="C4252" s="76">
        <v>78.035567999999998</v>
      </c>
      <c r="D4252" s="76">
        <v>76.386420999999999</v>
      </c>
      <c r="E4252" s="76">
        <v>76.475341999999998</v>
      </c>
      <c r="F4252" s="76">
        <v>73.971145999999905</v>
      </c>
      <c r="G4252" s="79">
        <v>1111600</v>
      </c>
    </row>
    <row r="4253" spans="1:7" x14ac:dyDescent="0.25">
      <c r="A4253" s="1" t="s">
        <v>4376</v>
      </c>
      <c r="B4253" s="76">
        <v>76.709784999999997</v>
      </c>
      <c r="C4253" s="76">
        <v>78.075989000000007</v>
      </c>
      <c r="D4253" s="76">
        <v>76.232818999999907</v>
      </c>
      <c r="E4253" s="76">
        <v>77.898139999999998</v>
      </c>
      <c r="F4253" s="76">
        <v>75.347365999999994</v>
      </c>
      <c r="G4253" s="79">
        <v>927500</v>
      </c>
    </row>
    <row r="4254" spans="1:7" x14ac:dyDescent="0.25">
      <c r="A4254" s="1" t="s">
        <v>4377</v>
      </c>
      <c r="B4254" s="76">
        <v>77.348427000000001</v>
      </c>
      <c r="C4254" s="76">
        <v>78.067909</v>
      </c>
      <c r="D4254" s="76">
        <v>76.944220999999999</v>
      </c>
      <c r="E4254" s="76">
        <v>78.003235000000004</v>
      </c>
      <c r="F4254" s="76">
        <v>75.449019999999905</v>
      </c>
      <c r="G4254" s="79">
        <v>868300</v>
      </c>
    </row>
    <row r="4255" spans="1:7" x14ac:dyDescent="0.25">
      <c r="A4255" s="1" t="s">
        <v>4378</v>
      </c>
      <c r="B4255" s="76">
        <v>78.011313999999999</v>
      </c>
      <c r="C4255" s="76">
        <v>78.900565999999998</v>
      </c>
      <c r="D4255" s="76">
        <v>77.873885999999999</v>
      </c>
      <c r="E4255" s="76">
        <v>78.342765999999997</v>
      </c>
      <c r="F4255" s="76">
        <v>75.777434999999997</v>
      </c>
      <c r="G4255" s="79">
        <v>388800</v>
      </c>
    </row>
    <row r="4256" spans="1:7" x14ac:dyDescent="0.25">
      <c r="A4256" s="1" t="s">
        <v>4379</v>
      </c>
      <c r="B4256" s="76">
        <v>78.124495999999994</v>
      </c>
      <c r="C4256" s="76">
        <v>80.274856999999997</v>
      </c>
      <c r="D4256" s="76">
        <v>78.124495999999994</v>
      </c>
      <c r="E4256" s="76">
        <v>79.167343000000002</v>
      </c>
      <c r="F4256" s="76">
        <v>76.575012000000001</v>
      </c>
      <c r="G4256" s="79">
        <v>1139400</v>
      </c>
    </row>
    <row r="4257" spans="1:7" x14ac:dyDescent="0.25">
      <c r="A4257" s="1" t="s">
        <v>4380</v>
      </c>
      <c r="B4257" s="76">
        <v>79.086501999999996</v>
      </c>
      <c r="C4257" s="76">
        <v>80.646728999999993</v>
      </c>
      <c r="D4257" s="76">
        <v>78.973320000000001</v>
      </c>
      <c r="E4257" s="76">
        <v>80.113174000000001</v>
      </c>
      <c r="F4257" s="76">
        <v>77.489868000000001</v>
      </c>
      <c r="G4257" s="79">
        <v>824000</v>
      </c>
    </row>
    <row r="4258" spans="1:7" x14ac:dyDescent="0.25">
      <c r="A4258" s="1" t="s">
        <v>4381</v>
      </c>
      <c r="B4258" s="76">
        <v>79.474532999999994</v>
      </c>
      <c r="C4258" s="76">
        <v>80.250602999999998</v>
      </c>
      <c r="D4258" s="76">
        <v>78.698463000000004</v>
      </c>
      <c r="E4258" s="76">
        <v>79.021827999999999</v>
      </c>
      <c r="F4258" s="76">
        <v>76.434258</v>
      </c>
      <c r="G4258" s="79">
        <v>1600800</v>
      </c>
    </row>
    <row r="4259" spans="1:7" x14ac:dyDescent="0.25">
      <c r="A4259" s="1" t="s">
        <v>4382</v>
      </c>
      <c r="B4259" s="76">
        <v>79.054160999999993</v>
      </c>
      <c r="C4259" s="76">
        <v>79.725143000000003</v>
      </c>
      <c r="D4259" s="76">
        <v>78.383185999999995</v>
      </c>
      <c r="E4259" s="76">
        <v>78.843979000000004</v>
      </c>
      <c r="F4259" s="76">
        <v>76.262237999999996</v>
      </c>
      <c r="G4259" s="79">
        <v>1096500</v>
      </c>
    </row>
    <row r="4260" spans="1:7" x14ac:dyDescent="0.25">
      <c r="A4260" s="1" t="s">
        <v>4383</v>
      </c>
      <c r="B4260" s="76">
        <v>79.27243</v>
      </c>
      <c r="C4260" s="76">
        <v>80.565887000000004</v>
      </c>
      <c r="D4260" s="76">
        <v>79.27243</v>
      </c>
      <c r="E4260" s="76">
        <v>80.242522999999906</v>
      </c>
      <c r="F4260" s="76">
        <v>77.614982999999995</v>
      </c>
      <c r="G4260" s="79">
        <v>825100</v>
      </c>
    </row>
    <row r="4261" spans="1:7" x14ac:dyDescent="0.25">
      <c r="A4261" s="1" t="s">
        <v>4384</v>
      </c>
      <c r="B4261" s="76">
        <v>80.525467000000006</v>
      </c>
      <c r="C4261" s="76">
        <v>81.188361999999998</v>
      </c>
      <c r="D4261" s="76">
        <v>80.194016000000005</v>
      </c>
      <c r="E4261" s="76">
        <v>81.123688000000001</v>
      </c>
      <c r="F4261" s="76">
        <v>78.467292999999998</v>
      </c>
      <c r="G4261" s="79">
        <v>926200</v>
      </c>
    </row>
    <row r="4262" spans="1:7" x14ac:dyDescent="0.25">
      <c r="A4262" s="1" t="s">
        <v>4385</v>
      </c>
      <c r="B4262" s="76">
        <v>81.236862000000002</v>
      </c>
      <c r="C4262" s="76">
        <v>82.441390999999996</v>
      </c>
      <c r="D4262" s="76">
        <v>81.131766999999996</v>
      </c>
      <c r="E4262" s="76">
        <v>82.271621999999994</v>
      </c>
      <c r="F4262" s="76">
        <v>79.577636999999996</v>
      </c>
      <c r="G4262" s="79">
        <v>994700</v>
      </c>
    </row>
    <row r="4263" spans="1:7" x14ac:dyDescent="0.25">
      <c r="A4263" s="1" t="s">
        <v>4386</v>
      </c>
      <c r="B4263" s="76">
        <v>82.530311999999995</v>
      </c>
      <c r="C4263" s="76">
        <v>83.799515</v>
      </c>
      <c r="D4263" s="76">
        <v>82.263542000000001</v>
      </c>
      <c r="E4263" s="76">
        <v>83.767180999999994</v>
      </c>
      <c r="F4263" s="76">
        <v>81.024231</v>
      </c>
      <c r="G4263" s="79">
        <v>1191500</v>
      </c>
    </row>
    <row r="4264" spans="1:7" x14ac:dyDescent="0.25">
      <c r="A4264" s="1" t="s">
        <v>4387</v>
      </c>
      <c r="B4264" s="76">
        <v>83.548912000000001</v>
      </c>
      <c r="C4264" s="76">
        <v>84.527084000000002</v>
      </c>
      <c r="D4264" s="76">
        <v>82.409058000000002</v>
      </c>
      <c r="E4264" s="76">
        <v>83.783348000000004</v>
      </c>
      <c r="F4264" s="76">
        <v>81.039863999999994</v>
      </c>
      <c r="G4264" s="79">
        <v>906200</v>
      </c>
    </row>
    <row r="4265" spans="1:7" x14ac:dyDescent="0.25">
      <c r="A4265" s="1" t="s">
        <v>4388</v>
      </c>
      <c r="B4265" s="76">
        <v>83.823768999999999</v>
      </c>
      <c r="C4265" s="76">
        <v>84.575583999999907</v>
      </c>
      <c r="D4265" s="76">
        <v>82.950683999999995</v>
      </c>
      <c r="E4265" s="76">
        <v>83.443816999999996</v>
      </c>
      <c r="F4265" s="76">
        <v>80.711455999999998</v>
      </c>
      <c r="G4265" s="79">
        <v>640400</v>
      </c>
    </row>
    <row r="4266" spans="1:7" x14ac:dyDescent="0.25">
      <c r="A4266" s="1" t="s">
        <v>4389</v>
      </c>
      <c r="B4266" s="76">
        <v>83.257880999999998</v>
      </c>
      <c r="C4266" s="76">
        <v>84.939368999999999</v>
      </c>
      <c r="D4266" s="76">
        <v>82.991104000000007</v>
      </c>
      <c r="E4266" s="76">
        <v>84.826194999999998</v>
      </c>
      <c r="F4266" s="76">
        <v>82.048569000000001</v>
      </c>
      <c r="G4266" s="79">
        <v>1183100</v>
      </c>
    </row>
    <row r="4267" spans="1:7" x14ac:dyDescent="0.25">
      <c r="A4267" s="1" t="s">
        <v>4390</v>
      </c>
      <c r="B4267" s="76">
        <v>85.286986999999996</v>
      </c>
      <c r="C4267" s="76">
        <v>85.351653999999996</v>
      </c>
      <c r="D4267" s="76">
        <v>83.193207000000001</v>
      </c>
      <c r="E4267" s="76">
        <v>84.236052999999998</v>
      </c>
      <c r="F4267" s="76">
        <v>81.477744999999999</v>
      </c>
      <c r="G4267" s="79">
        <v>716400</v>
      </c>
    </row>
    <row r="4268" spans="1:7" x14ac:dyDescent="0.25">
      <c r="A4268" s="1" t="s">
        <v>4391</v>
      </c>
      <c r="B4268" s="76">
        <v>84.025870999999995</v>
      </c>
      <c r="C4268" s="76">
        <v>84.616005000000001</v>
      </c>
      <c r="D4268" s="76">
        <v>82.215034000000003</v>
      </c>
      <c r="E4268" s="76">
        <v>82.667746999999906</v>
      </c>
      <c r="F4268" s="76">
        <v>79.960800000000006</v>
      </c>
      <c r="G4268" s="79">
        <v>1453900</v>
      </c>
    </row>
    <row r="4269" spans="1:7" x14ac:dyDescent="0.25">
      <c r="A4269" s="1" t="s">
        <v>4392</v>
      </c>
      <c r="B4269" s="76">
        <v>82.813254999999998</v>
      </c>
      <c r="C4269" s="76">
        <v>83.621666000000005</v>
      </c>
      <c r="D4269" s="76">
        <v>81.705742000000001</v>
      </c>
      <c r="E4269" s="76">
        <v>82.021018999999995</v>
      </c>
      <c r="F4269" s="76">
        <v>79.335243000000006</v>
      </c>
      <c r="G4269" s="79">
        <v>985300</v>
      </c>
    </row>
    <row r="4270" spans="1:7" x14ac:dyDescent="0.25">
      <c r="A4270" s="1" t="s">
        <v>4393</v>
      </c>
      <c r="B4270" s="76">
        <v>82.797089</v>
      </c>
      <c r="C4270" s="76">
        <v>84.518996999999999</v>
      </c>
      <c r="D4270" s="76">
        <v>82.530311999999995</v>
      </c>
      <c r="E4270" s="76">
        <v>83.548912000000001</v>
      </c>
      <c r="F4270" s="76">
        <v>80.813109999999995</v>
      </c>
      <c r="G4270" s="79">
        <v>1625600</v>
      </c>
    </row>
    <row r="4271" spans="1:7" x14ac:dyDescent="0.25">
      <c r="A4271" s="1" t="s">
        <v>4394</v>
      </c>
      <c r="B4271" s="76">
        <v>83.985450999999998</v>
      </c>
      <c r="C4271" s="76">
        <v>84.713013000000004</v>
      </c>
      <c r="D4271" s="76">
        <v>83.678252999999998</v>
      </c>
      <c r="E4271" s="76">
        <v>84.001616999999996</v>
      </c>
      <c r="F4271" s="76">
        <v>81.250984000000003</v>
      </c>
      <c r="G4271" s="79">
        <v>1123300</v>
      </c>
    </row>
    <row r="4272" spans="1:7" x14ac:dyDescent="0.25">
      <c r="A4272" s="1" t="s">
        <v>4395</v>
      </c>
      <c r="B4272" s="76">
        <v>83.945030000000003</v>
      </c>
      <c r="C4272" s="76">
        <v>84.858528000000007</v>
      </c>
      <c r="D4272" s="76">
        <v>83.848022</v>
      </c>
      <c r="E4272" s="76">
        <v>84.632171999999997</v>
      </c>
      <c r="F4272" s="76">
        <v>81.860893000000004</v>
      </c>
      <c r="G4272" s="79">
        <v>761500</v>
      </c>
    </row>
    <row r="4273" spans="1:7" x14ac:dyDescent="0.25">
      <c r="A4273" s="1" t="s">
        <v>4396</v>
      </c>
      <c r="B4273" s="76">
        <v>84.955535999999995</v>
      </c>
      <c r="C4273" s="76">
        <v>85.618431000000001</v>
      </c>
      <c r="D4273" s="76">
        <v>83.144706999999997</v>
      </c>
      <c r="E4273" s="76">
        <v>83.306388999999996</v>
      </c>
      <c r="F4273" s="76">
        <v>80.578521999999893</v>
      </c>
      <c r="G4273" s="79">
        <v>1921000</v>
      </c>
    </row>
    <row r="4274" spans="1:7" x14ac:dyDescent="0.25">
      <c r="A4274" s="1" t="s">
        <v>4397</v>
      </c>
      <c r="B4274" s="76">
        <v>83.136619999999994</v>
      </c>
      <c r="C4274" s="76">
        <v>83.459983999999906</v>
      </c>
      <c r="D4274" s="76">
        <v>82.449477999999999</v>
      </c>
      <c r="E4274" s="76">
        <v>83.306388999999996</v>
      </c>
      <c r="F4274" s="76">
        <v>80.578521999999893</v>
      </c>
      <c r="G4274" s="79">
        <v>936200</v>
      </c>
    </row>
    <row r="4275" spans="1:7" x14ac:dyDescent="0.25">
      <c r="A4275" s="1" t="s">
        <v>4398</v>
      </c>
      <c r="B4275" s="76">
        <v>83.524658000000002</v>
      </c>
      <c r="C4275" s="76">
        <v>83.524658000000002</v>
      </c>
      <c r="D4275" s="76">
        <v>82.724334999999996</v>
      </c>
      <c r="E4275" s="76">
        <v>83.160872999999995</v>
      </c>
      <c r="F4275" s="76">
        <v>80.437775000000002</v>
      </c>
      <c r="G4275" s="79">
        <v>530700</v>
      </c>
    </row>
    <row r="4276" spans="1:7" x14ac:dyDescent="0.25">
      <c r="A4276" s="1" t="s">
        <v>4399</v>
      </c>
      <c r="B4276" s="76">
        <v>83.338722000000004</v>
      </c>
      <c r="C4276" s="76">
        <v>83.928864000000004</v>
      </c>
      <c r="D4276" s="76">
        <v>83.031525000000002</v>
      </c>
      <c r="E4276" s="76">
        <v>83.265968000000001</v>
      </c>
      <c r="F4276" s="76">
        <v>80.539428999999998</v>
      </c>
      <c r="G4276" s="79">
        <v>429600</v>
      </c>
    </row>
    <row r="4277" spans="1:7" x14ac:dyDescent="0.25">
      <c r="A4277" s="1" t="s">
        <v>4400</v>
      </c>
      <c r="B4277" s="76">
        <v>83.459983999999906</v>
      </c>
      <c r="C4277" s="76">
        <v>83.459983999999906</v>
      </c>
      <c r="D4277" s="76">
        <v>82.158446999999995</v>
      </c>
      <c r="E4277" s="76">
        <v>82.716247999999993</v>
      </c>
      <c r="F4277" s="76">
        <v>80.007705999999999</v>
      </c>
      <c r="G4277" s="79">
        <v>522000</v>
      </c>
    </row>
    <row r="4278" spans="1:7" x14ac:dyDescent="0.25">
      <c r="A4278" s="1" t="s">
        <v>4401</v>
      </c>
      <c r="B4278" s="76">
        <v>82.829430000000002</v>
      </c>
      <c r="C4278" s="76">
        <v>83.492317</v>
      </c>
      <c r="D4278" s="76">
        <v>82.134192999999996</v>
      </c>
      <c r="E4278" s="76">
        <v>83.144706999999997</v>
      </c>
      <c r="F4278" s="76">
        <v>80.422134</v>
      </c>
      <c r="G4278" s="79">
        <v>764800</v>
      </c>
    </row>
    <row r="4279" spans="1:7" x14ac:dyDescent="0.25">
      <c r="A4279" s="1" t="s">
        <v>4402</v>
      </c>
      <c r="B4279" s="76">
        <v>83.185126999999994</v>
      </c>
      <c r="C4279" s="76">
        <v>84.599838000000005</v>
      </c>
      <c r="D4279" s="76">
        <v>82.789008999999993</v>
      </c>
      <c r="E4279" s="76">
        <v>84.373481999999996</v>
      </c>
      <c r="F4279" s="76">
        <v>81.610680000000002</v>
      </c>
      <c r="G4279" s="79">
        <v>926400</v>
      </c>
    </row>
    <row r="4280" spans="1:7" x14ac:dyDescent="0.25">
      <c r="A4280" s="1" t="s">
        <v>4403</v>
      </c>
      <c r="B4280" s="76">
        <v>85.149558999999996</v>
      </c>
      <c r="C4280" s="76">
        <v>85.173805000000002</v>
      </c>
      <c r="D4280" s="76">
        <v>83.880356000000006</v>
      </c>
      <c r="E4280" s="76">
        <v>84.656424999999999</v>
      </c>
      <c r="F4280" s="76">
        <v>81.884345999999994</v>
      </c>
      <c r="G4280" s="79">
        <v>1076300</v>
      </c>
    </row>
    <row r="4281" spans="1:7" x14ac:dyDescent="0.25">
      <c r="A4281" s="1" t="s">
        <v>4404</v>
      </c>
      <c r="B4281" s="76">
        <v>84.834273999999994</v>
      </c>
      <c r="C4281" s="76">
        <v>87.308006000000006</v>
      </c>
      <c r="D4281" s="76">
        <v>84.583671999999893</v>
      </c>
      <c r="E4281" s="76">
        <v>87.000809000000004</v>
      </c>
      <c r="F4281" s="76">
        <v>84.151969999999906</v>
      </c>
      <c r="G4281" s="79">
        <v>1236400</v>
      </c>
    </row>
    <row r="4282" spans="1:7" x14ac:dyDescent="0.25">
      <c r="A4282" s="1" t="s">
        <v>4405</v>
      </c>
      <c r="B4282" s="76">
        <v>86.346001000000001</v>
      </c>
      <c r="C4282" s="76">
        <v>87.105903999999995</v>
      </c>
      <c r="D4282" s="76">
        <v>85.173805000000002</v>
      </c>
      <c r="E4282" s="76">
        <v>86.903801000000001</v>
      </c>
      <c r="F4282" s="76">
        <v>84.058136000000005</v>
      </c>
      <c r="G4282" s="79">
        <v>1004000</v>
      </c>
    </row>
    <row r="4283" spans="1:7" x14ac:dyDescent="0.25">
      <c r="A4283" s="1" t="s">
        <v>4406</v>
      </c>
      <c r="B4283" s="76">
        <v>86.645111</v>
      </c>
      <c r="C4283" s="76">
        <v>87.122069999999994</v>
      </c>
      <c r="D4283" s="76">
        <v>86.337913999999998</v>
      </c>
      <c r="E4283" s="76">
        <v>86.750197999999997</v>
      </c>
      <c r="F4283" s="76">
        <v>83.909560999999997</v>
      </c>
      <c r="G4283" s="79">
        <v>1317500</v>
      </c>
    </row>
    <row r="4284" spans="1:7" x14ac:dyDescent="0.25">
      <c r="A4284" s="1" t="s">
        <v>4407</v>
      </c>
      <c r="B4284" s="76">
        <v>86.588523999999893</v>
      </c>
      <c r="C4284" s="76">
        <v>86.814872999999906</v>
      </c>
      <c r="D4284" s="76">
        <v>85.561843999999994</v>
      </c>
      <c r="E4284" s="76">
        <v>85.739693000000003</v>
      </c>
      <c r="F4284" s="76">
        <v>82.932143999999994</v>
      </c>
      <c r="G4284" s="79">
        <v>1244600</v>
      </c>
    </row>
    <row r="4285" spans="1:7" x14ac:dyDescent="0.25">
      <c r="A4285" s="1" t="s">
        <v>4408</v>
      </c>
      <c r="B4285" s="76">
        <v>85.569930999999997</v>
      </c>
      <c r="C4285" s="76">
        <v>85.828620999999998</v>
      </c>
      <c r="D4285" s="76">
        <v>84.721100000000007</v>
      </c>
      <c r="E4285" s="76">
        <v>84.882781999999906</v>
      </c>
      <c r="F4285" s="76">
        <v>82.103293999999906</v>
      </c>
      <c r="G4285" s="79">
        <v>748800</v>
      </c>
    </row>
    <row r="4286" spans="1:7" x14ac:dyDescent="0.25">
      <c r="A4286" s="1" t="s">
        <v>4409</v>
      </c>
      <c r="B4286" s="76">
        <v>84.890861999999998</v>
      </c>
      <c r="C4286" s="76">
        <v>85.222313</v>
      </c>
      <c r="D4286" s="76">
        <v>84.009704999999997</v>
      </c>
      <c r="E4286" s="76">
        <v>84.114791999999994</v>
      </c>
      <c r="F4286" s="76">
        <v>81.360457999999994</v>
      </c>
      <c r="G4286" s="79">
        <v>657000</v>
      </c>
    </row>
    <row r="4287" spans="1:7" x14ac:dyDescent="0.25">
      <c r="A4287" s="1" t="s">
        <v>4410</v>
      </c>
      <c r="B4287" s="76">
        <v>84.082458000000003</v>
      </c>
      <c r="C4287" s="76">
        <v>84.793853999999996</v>
      </c>
      <c r="D4287" s="76">
        <v>83.653998999999999</v>
      </c>
      <c r="E4287" s="76">
        <v>84.535163999999995</v>
      </c>
      <c r="F4287" s="76">
        <v>81.767059000000003</v>
      </c>
      <c r="G4287" s="79">
        <v>812700</v>
      </c>
    </row>
    <row r="4288" spans="1:7" x14ac:dyDescent="0.25">
      <c r="A4288" s="1" t="s">
        <v>4411</v>
      </c>
      <c r="B4288" s="76">
        <v>84.575583999999907</v>
      </c>
      <c r="C4288" s="76">
        <v>85.076796999999999</v>
      </c>
      <c r="D4288" s="76">
        <v>83.815680999999998</v>
      </c>
      <c r="E4288" s="76">
        <v>84.308814999999996</v>
      </c>
      <c r="F4288" s="76">
        <v>81.548125999999996</v>
      </c>
      <c r="G4288" s="79">
        <v>678000</v>
      </c>
    </row>
    <row r="4289" spans="1:7" x14ac:dyDescent="0.25">
      <c r="A4289" s="1" t="s">
        <v>4412</v>
      </c>
      <c r="B4289" s="76">
        <v>84.365402000000003</v>
      </c>
      <c r="C4289" s="76">
        <v>85.278899999999993</v>
      </c>
      <c r="D4289" s="76">
        <v>84.203719999999905</v>
      </c>
      <c r="E4289" s="76">
        <v>85.214225999999996</v>
      </c>
      <c r="F4289" s="76">
        <v>82.423889000000003</v>
      </c>
      <c r="G4289" s="79">
        <v>1072800</v>
      </c>
    </row>
    <row r="4290" spans="1:7" x14ac:dyDescent="0.25">
      <c r="A4290" s="1" t="s">
        <v>4413</v>
      </c>
      <c r="B4290" s="76">
        <v>85.230391999999995</v>
      </c>
      <c r="C4290" s="76">
        <v>86.192397999999997</v>
      </c>
      <c r="D4290" s="76">
        <v>84.826194999999998</v>
      </c>
      <c r="E4290" s="76">
        <v>85.852867000000003</v>
      </c>
      <c r="F4290" s="76">
        <v>83.041611000000003</v>
      </c>
      <c r="G4290" s="79">
        <v>824600</v>
      </c>
    </row>
    <row r="4291" spans="1:7" x14ac:dyDescent="0.25">
      <c r="A4291" s="1" t="s">
        <v>4414</v>
      </c>
      <c r="B4291" s="76">
        <v>85.610343999999998</v>
      </c>
      <c r="C4291" s="76">
        <v>86.087311</v>
      </c>
      <c r="D4291" s="76">
        <v>85.036377000000002</v>
      </c>
      <c r="E4291" s="76">
        <v>85.052543999999997</v>
      </c>
      <c r="F4291" s="76">
        <v>82.267501999999993</v>
      </c>
      <c r="G4291" s="79">
        <v>900800</v>
      </c>
    </row>
    <row r="4292" spans="1:7" x14ac:dyDescent="0.25">
      <c r="A4292" s="1" t="s">
        <v>4415</v>
      </c>
      <c r="B4292" s="76">
        <v>85.133385000000004</v>
      </c>
      <c r="C4292" s="76">
        <v>85.537589999999994</v>
      </c>
      <c r="D4292" s="76">
        <v>84.729186999999996</v>
      </c>
      <c r="E4292" s="76">
        <v>85.521422999999999</v>
      </c>
      <c r="F4292" s="76">
        <v>82.721030999999996</v>
      </c>
      <c r="G4292" s="79">
        <v>944100</v>
      </c>
    </row>
    <row r="4293" spans="1:7" x14ac:dyDescent="0.25">
      <c r="A4293" s="1" t="s">
        <v>4416</v>
      </c>
      <c r="B4293" s="76">
        <v>85.472915999999998</v>
      </c>
      <c r="C4293" s="76">
        <v>86.839127000000005</v>
      </c>
      <c r="D4293" s="76">
        <v>85.359741</v>
      </c>
      <c r="E4293" s="76">
        <v>86.661277999999996</v>
      </c>
      <c r="F4293" s="76">
        <v>83.823554999999999</v>
      </c>
      <c r="G4293" s="79">
        <v>591400</v>
      </c>
    </row>
    <row r="4294" spans="1:7" x14ac:dyDescent="0.25">
      <c r="A4294" s="1" t="s">
        <v>4417</v>
      </c>
      <c r="B4294" s="76">
        <v>86.887633999999906</v>
      </c>
      <c r="C4294" s="76">
        <v>87.502021999999997</v>
      </c>
      <c r="D4294" s="76">
        <v>86.434921000000003</v>
      </c>
      <c r="E4294" s="76">
        <v>87.057395999999997</v>
      </c>
      <c r="F4294" s="76">
        <v>84.206703000000005</v>
      </c>
      <c r="G4294" s="79">
        <v>628200</v>
      </c>
    </row>
    <row r="4295" spans="1:7" x14ac:dyDescent="0.25">
      <c r="A4295" s="1" t="s">
        <v>4418</v>
      </c>
      <c r="B4295" s="76">
        <v>87.202911</v>
      </c>
      <c r="C4295" s="76">
        <v>87.429267999999993</v>
      </c>
      <c r="D4295" s="76">
        <v>86.499595999999997</v>
      </c>
      <c r="E4295" s="76">
        <v>87.041229000000001</v>
      </c>
      <c r="F4295" s="76">
        <v>84.191063</v>
      </c>
      <c r="G4295" s="79">
        <v>696500</v>
      </c>
    </row>
    <row r="4296" spans="1:7" x14ac:dyDescent="0.25">
      <c r="A4296" s="1" t="s">
        <v>4419</v>
      </c>
      <c r="B4296" s="76">
        <v>86.580437000000003</v>
      </c>
      <c r="C4296" s="76">
        <v>87.025063000000003</v>
      </c>
      <c r="D4296" s="76">
        <v>86.491507999999996</v>
      </c>
      <c r="E4296" s="76">
        <v>86.742118999999903</v>
      </c>
      <c r="F4296" s="76">
        <v>84.591774000000001</v>
      </c>
      <c r="G4296" s="79">
        <v>767100</v>
      </c>
    </row>
    <row r="4297" spans="1:7" x14ac:dyDescent="0.25">
      <c r="A4297" s="1" t="s">
        <v>4420</v>
      </c>
      <c r="B4297" s="76">
        <v>87.033141999999998</v>
      </c>
      <c r="C4297" s="76">
        <v>87.049316000000005</v>
      </c>
      <c r="D4297" s="76">
        <v>85.739693000000003</v>
      </c>
      <c r="E4297" s="76">
        <v>86.402587999999994</v>
      </c>
      <c r="F4297" s="76">
        <v>84.260657999999907</v>
      </c>
      <c r="G4297" s="79">
        <v>617300</v>
      </c>
    </row>
    <row r="4298" spans="1:7" x14ac:dyDescent="0.25">
      <c r="A4298" s="1" t="s">
        <v>4421</v>
      </c>
      <c r="B4298" s="76">
        <v>86.402587999999994</v>
      </c>
      <c r="C4298" s="76">
        <v>87.016975000000002</v>
      </c>
      <c r="D4298" s="76">
        <v>85.933707999999996</v>
      </c>
      <c r="E4298" s="76">
        <v>86.394501000000005</v>
      </c>
      <c r="F4298" s="76">
        <v>84.252769000000001</v>
      </c>
      <c r="G4298" s="79">
        <v>685600</v>
      </c>
    </row>
    <row r="4299" spans="1:7" x14ac:dyDescent="0.25">
      <c r="A4299" s="1" t="s">
        <v>4422</v>
      </c>
      <c r="B4299" s="76">
        <v>86.257071999999994</v>
      </c>
      <c r="C4299" s="76">
        <v>87.146323999999893</v>
      </c>
      <c r="D4299" s="76">
        <v>85.828620999999998</v>
      </c>
      <c r="E4299" s="76">
        <v>85.941794999999999</v>
      </c>
      <c r="F4299" s="76">
        <v>83.811295000000001</v>
      </c>
      <c r="G4299" s="79">
        <v>814600</v>
      </c>
    </row>
    <row r="4300" spans="1:7" x14ac:dyDescent="0.25">
      <c r="A4300" s="1" t="s">
        <v>4423</v>
      </c>
      <c r="B4300" s="76">
        <v>86.054969999999997</v>
      </c>
      <c r="C4300" s="76">
        <v>86.523848999999998</v>
      </c>
      <c r="D4300" s="76">
        <v>83.928864000000004</v>
      </c>
      <c r="E4300" s="76">
        <v>83.993530000000007</v>
      </c>
      <c r="F4300" s="76">
        <v>81.911323999999993</v>
      </c>
      <c r="G4300" s="79">
        <v>833900</v>
      </c>
    </row>
    <row r="4301" spans="1:7" x14ac:dyDescent="0.25">
      <c r="A4301" s="1" t="s">
        <v>4424</v>
      </c>
      <c r="B4301" s="76">
        <v>84.017783999999907</v>
      </c>
      <c r="C4301" s="76">
        <v>84.737267000000003</v>
      </c>
      <c r="D4301" s="76">
        <v>83.815680999999998</v>
      </c>
      <c r="E4301" s="76">
        <v>84.413901999999993</v>
      </c>
      <c r="F4301" s="76">
        <v>82.321274000000003</v>
      </c>
      <c r="G4301" s="79">
        <v>838500</v>
      </c>
    </row>
    <row r="4302" spans="1:7" x14ac:dyDescent="0.25">
      <c r="A4302" s="1" t="s">
        <v>4425</v>
      </c>
      <c r="B4302" s="76">
        <v>85.189980000000006</v>
      </c>
      <c r="C4302" s="76">
        <v>85.529510000000002</v>
      </c>
      <c r="D4302" s="76">
        <v>84.527084000000002</v>
      </c>
      <c r="E4302" s="76">
        <v>84.761519999999905</v>
      </c>
      <c r="F4302" s="76">
        <v>82.660263</v>
      </c>
      <c r="G4302" s="79">
        <v>820500</v>
      </c>
    </row>
    <row r="4303" spans="1:7" x14ac:dyDescent="0.25">
      <c r="A4303" s="1" t="s">
        <v>4426</v>
      </c>
      <c r="B4303" s="76">
        <v>84.721100000000007</v>
      </c>
      <c r="C4303" s="76">
        <v>85.004043999999993</v>
      </c>
      <c r="D4303" s="76">
        <v>84.236052999999998</v>
      </c>
      <c r="E4303" s="76">
        <v>84.527084000000002</v>
      </c>
      <c r="F4303" s="76">
        <v>82.431640999999999</v>
      </c>
      <c r="G4303" s="79">
        <v>732200</v>
      </c>
    </row>
    <row r="4304" spans="1:7" x14ac:dyDescent="0.25">
      <c r="A4304" s="1" t="s">
        <v>4427</v>
      </c>
      <c r="B4304" s="76">
        <v>84.648345999999904</v>
      </c>
      <c r="C4304" s="76">
        <v>85.553756999999905</v>
      </c>
      <c r="D4304" s="76">
        <v>84.648345999999904</v>
      </c>
      <c r="E4304" s="76">
        <v>84.696845999999994</v>
      </c>
      <c r="F4304" s="76">
        <v>82.597197999999906</v>
      </c>
      <c r="G4304" s="79">
        <v>645400</v>
      </c>
    </row>
    <row r="4305" spans="1:7" x14ac:dyDescent="0.25">
      <c r="A4305" s="1" t="s">
        <v>4428</v>
      </c>
      <c r="B4305" s="76">
        <v>84.753433000000001</v>
      </c>
      <c r="C4305" s="76">
        <v>85.553756999999905</v>
      </c>
      <c r="D4305" s="76">
        <v>84.640259</v>
      </c>
      <c r="E4305" s="76">
        <v>85.101050999999998</v>
      </c>
      <c r="F4305" s="76">
        <v>82.991386000000006</v>
      </c>
      <c r="G4305" s="79">
        <v>395400</v>
      </c>
    </row>
    <row r="4306" spans="1:7" x14ac:dyDescent="0.25">
      <c r="A4306" s="1" t="s">
        <v>4429</v>
      </c>
      <c r="B4306" s="76">
        <v>85.133385000000004</v>
      </c>
      <c r="C4306" s="76">
        <v>85.400161999999995</v>
      </c>
      <c r="D4306" s="76">
        <v>84.834273999999994</v>
      </c>
      <c r="E4306" s="76">
        <v>85.198059000000001</v>
      </c>
      <c r="F4306" s="76">
        <v>83.085991000000007</v>
      </c>
      <c r="G4306" s="79">
        <v>562400</v>
      </c>
    </row>
    <row r="4307" spans="1:7" x14ac:dyDescent="0.25">
      <c r="A4307" s="1" t="s">
        <v>4430</v>
      </c>
      <c r="B4307" s="76">
        <v>85.230391999999995</v>
      </c>
      <c r="C4307" s="76">
        <v>86.515761999999995</v>
      </c>
      <c r="D4307" s="76">
        <v>85.181892000000005</v>
      </c>
      <c r="E4307" s="76">
        <v>86.054969999999997</v>
      </c>
      <c r="F4307" s="76">
        <v>83.921661</v>
      </c>
      <c r="G4307" s="79">
        <v>653500</v>
      </c>
    </row>
    <row r="4308" spans="1:7" x14ac:dyDescent="0.25">
      <c r="A4308" s="1" t="s">
        <v>4431</v>
      </c>
      <c r="B4308" s="76">
        <v>86.378333999999995</v>
      </c>
      <c r="C4308" s="76">
        <v>86.620857000000001</v>
      </c>
      <c r="D4308" s="76">
        <v>85.464836000000005</v>
      </c>
      <c r="E4308" s="76">
        <v>86.054969999999997</v>
      </c>
      <c r="F4308" s="76">
        <v>83.921661</v>
      </c>
      <c r="G4308" s="79">
        <v>586300</v>
      </c>
    </row>
    <row r="4309" spans="1:7" x14ac:dyDescent="0.25">
      <c r="A4309" s="1" t="s">
        <v>4432</v>
      </c>
      <c r="B4309" s="76">
        <v>86.054969999999997</v>
      </c>
      <c r="C4309" s="76">
        <v>88.399353000000005</v>
      </c>
      <c r="D4309" s="76">
        <v>85.343575000000001</v>
      </c>
      <c r="E4309" s="76">
        <v>88.140663000000004</v>
      </c>
      <c r="F4309" s="76">
        <v>85.955642999999995</v>
      </c>
      <c r="G4309" s="79">
        <v>1361700</v>
      </c>
    </row>
    <row r="4310" spans="1:7" x14ac:dyDescent="0.25">
      <c r="A4310" s="1" t="s">
        <v>4433</v>
      </c>
      <c r="B4310" s="76">
        <v>88.051734999999994</v>
      </c>
      <c r="C4310" s="76">
        <v>88.342765999999997</v>
      </c>
      <c r="D4310" s="76">
        <v>87.445435000000003</v>
      </c>
      <c r="E4310" s="76">
        <v>88.148750000000007</v>
      </c>
      <c r="F4310" s="76">
        <v>85.963531000000003</v>
      </c>
      <c r="G4310" s="79">
        <v>881300</v>
      </c>
    </row>
    <row r="4311" spans="1:7" x14ac:dyDescent="0.25">
      <c r="A4311" s="1" t="s">
        <v>4434</v>
      </c>
      <c r="B4311" s="76">
        <v>88.011313999999999</v>
      </c>
      <c r="C4311" s="76">
        <v>89.013740999999996</v>
      </c>
      <c r="D4311" s="76">
        <v>87.696037000000004</v>
      </c>
      <c r="E4311" s="76">
        <v>88.908653000000001</v>
      </c>
      <c r="F4311" s="76">
        <v>86.704596999999893</v>
      </c>
      <c r="G4311" s="79">
        <v>909400</v>
      </c>
    </row>
    <row r="4312" spans="1:7" x14ac:dyDescent="0.25">
      <c r="A4312" s="1" t="s">
        <v>4435</v>
      </c>
      <c r="B4312" s="76">
        <v>88.876311999999999</v>
      </c>
      <c r="C4312" s="76">
        <v>89.062247999999997</v>
      </c>
      <c r="D4312" s="76">
        <v>87.744545000000002</v>
      </c>
      <c r="E4312" s="76">
        <v>88.755050999999995</v>
      </c>
      <c r="F4312" s="76">
        <v>86.554801999999995</v>
      </c>
      <c r="G4312" s="79">
        <v>764800</v>
      </c>
    </row>
    <row r="4313" spans="1:7" x14ac:dyDescent="0.25">
      <c r="A4313" s="1" t="s">
        <v>4436</v>
      </c>
      <c r="B4313" s="76">
        <v>88.763137999999998</v>
      </c>
      <c r="C4313" s="76">
        <v>89.797896999999907</v>
      </c>
      <c r="D4313" s="76">
        <v>88.358931999999996</v>
      </c>
      <c r="E4313" s="76">
        <v>89.611960999999994</v>
      </c>
      <c r="F4313" s="76">
        <v>87.390465000000006</v>
      </c>
      <c r="G4313" s="79">
        <v>748700</v>
      </c>
    </row>
    <row r="4314" spans="1:7" x14ac:dyDescent="0.25">
      <c r="A4314" s="1" t="s">
        <v>4437</v>
      </c>
      <c r="B4314" s="76">
        <v>89.805983999999995</v>
      </c>
      <c r="C4314" s="76">
        <v>90.315276999999995</v>
      </c>
      <c r="D4314" s="76">
        <v>87.890052999999995</v>
      </c>
      <c r="E4314" s="76">
        <v>88.795470999999907</v>
      </c>
      <c r="F4314" s="76">
        <v>86.594223</v>
      </c>
      <c r="G4314" s="79">
        <v>656800</v>
      </c>
    </row>
    <row r="4315" spans="1:7" x14ac:dyDescent="0.25">
      <c r="A4315" s="1" t="s">
        <v>4438</v>
      </c>
      <c r="B4315" s="76">
        <v>88.908653000000001</v>
      </c>
      <c r="C4315" s="76">
        <v>89.280518000000001</v>
      </c>
      <c r="D4315" s="76">
        <v>88.496360999999993</v>
      </c>
      <c r="E4315" s="76">
        <v>88.884399000000002</v>
      </c>
      <c r="F4315" s="76">
        <v>86.680945999999906</v>
      </c>
      <c r="G4315" s="79">
        <v>599500</v>
      </c>
    </row>
    <row r="4316" spans="1:7" x14ac:dyDescent="0.25">
      <c r="A4316" s="1" t="s">
        <v>4439</v>
      </c>
      <c r="B4316" s="76">
        <v>88.916732999999994</v>
      </c>
      <c r="C4316" s="76">
        <v>89.27243</v>
      </c>
      <c r="D4316" s="76">
        <v>88.472106999999994</v>
      </c>
      <c r="E4316" s="76">
        <v>89.029915000000003</v>
      </c>
      <c r="F4316" s="76">
        <v>86.822852999999995</v>
      </c>
      <c r="G4316" s="79">
        <v>739200</v>
      </c>
    </row>
    <row r="4317" spans="1:7" x14ac:dyDescent="0.25">
      <c r="A4317" s="1" t="s">
        <v>4440</v>
      </c>
      <c r="B4317" s="76">
        <v>89.215843000000007</v>
      </c>
      <c r="C4317" s="76">
        <v>89.830230999999998</v>
      </c>
      <c r="D4317" s="76">
        <v>88.763137999999998</v>
      </c>
      <c r="E4317" s="76">
        <v>89.466453999999999</v>
      </c>
      <c r="F4317" s="76">
        <v>87.248565999999997</v>
      </c>
      <c r="G4317" s="79">
        <v>956900</v>
      </c>
    </row>
    <row r="4318" spans="1:7" x14ac:dyDescent="0.25">
      <c r="A4318" s="1" t="s">
        <v>4441</v>
      </c>
      <c r="B4318" s="76">
        <v>89.312850999999995</v>
      </c>
      <c r="C4318" s="76">
        <v>89.361358999999993</v>
      </c>
      <c r="D4318" s="76">
        <v>88.270004</v>
      </c>
      <c r="E4318" s="76">
        <v>88.819725000000005</v>
      </c>
      <c r="F4318" s="76">
        <v>86.617874</v>
      </c>
      <c r="G4318" s="79">
        <v>900800</v>
      </c>
    </row>
    <row r="4319" spans="1:7" x14ac:dyDescent="0.25">
      <c r="A4319" s="1" t="s">
        <v>4442</v>
      </c>
      <c r="B4319" s="76">
        <v>88.795470999999907</v>
      </c>
      <c r="C4319" s="76">
        <v>89.029915000000003</v>
      </c>
      <c r="D4319" s="76">
        <v>88.140663000000004</v>
      </c>
      <c r="E4319" s="76">
        <v>88.334678999999994</v>
      </c>
      <c r="F4319" s="76">
        <v>86.144843999999907</v>
      </c>
      <c r="G4319" s="79">
        <v>1064600</v>
      </c>
    </row>
    <row r="4320" spans="1:7" x14ac:dyDescent="0.25">
      <c r="A4320" s="1" t="s">
        <v>4443</v>
      </c>
      <c r="B4320" s="76">
        <v>88.334678999999994</v>
      </c>
      <c r="C4320" s="76">
        <v>88.342765999999997</v>
      </c>
      <c r="D4320" s="76">
        <v>87.332252999999994</v>
      </c>
      <c r="E4320" s="76">
        <v>87.987067999999994</v>
      </c>
      <c r="F4320" s="76">
        <v>85.805854999999994</v>
      </c>
      <c r="G4320" s="79">
        <v>867200</v>
      </c>
    </row>
    <row r="4321" spans="1:7" x14ac:dyDescent="0.25">
      <c r="A4321" s="1" t="s">
        <v>4444</v>
      </c>
      <c r="B4321" s="76">
        <v>87.510101000000006</v>
      </c>
      <c r="C4321" s="76">
        <v>88.205337999999998</v>
      </c>
      <c r="D4321" s="76">
        <v>86.782539</v>
      </c>
      <c r="E4321" s="76">
        <v>87.930472999999907</v>
      </c>
      <c r="F4321" s="76">
        <v>85.750664</v>
      </c>
      <c r="G4321" s="79">
        <v>664200</v>
      </c>
    </row>
    <row r="4322" spans="1:7" x14ac:dyDescent="0.25">
      <c r="A4322" s="1" t="s">
        <v>4445</v>
      </c>
      <c r="B4322" s="76">
        <v>87.599029999999999</v>
      </c>
      <c r="C4322" s="76">
        <v>87.970894000000001</v>
      </c>
      <c r="D4322" s="76">
        <v>87.081649999999996</v>
      </c>
      <c r="E4322" s="76">
        <v>87.518187999999995</v>
      </c>
      <c r="F4322" s="76">
        <v>85.348594999999904</v>
      </c>
      <c r="G4322" s="79">
        <v>492800</v>
      </c>
    </row>
    <row r="4323" spans="1:7" x14ac:dyDescent="0.25">
      <c r="A4323" s="1" t="s">
        <v>4446</v>
      </c>
      <c r="B4323" s="76">
        <v>87.566695999999993</v>
      </c>
      <c r="C4323" s="76">
        <v>87.809218999999999</v>
      </c>
      <c r="D4323" s="76">
        <v>87.049316000000005</v>
      </c>
      <c r="E4323" s="76">
        <v>87.186745000000002</v>
      </c>
      <c r="F4323" s="76">
        <v>85.025368</v>
      </c>
      <c r="G4323" s="79">
        <v>443700</v>
      </c>
    </row>
    <row r="4324" spans="1:7" x14ac:dyDescent="0.25">
      <c r="A4324" s="1" t="s">
        <v>4447</v>
      </c>
      <c r="B4324" s="76">
        <v>86.863380000000006</v>
      </c>
      <c r="C4324" s="76">
        <v>86.863380000000006</v>
      </c>
      <c r="D4324" s="76">
        <v>85.586097999999893</v>
      </c>
      <c r="E4324" s="76">
        <v>85.602264000000005</v>
      </c>
      <c r="F4324" s="76">
        <v>83.480170999999999</v>
      </c>
      <c r="G4324" s="79">
        <v>780900</v>
      </c>
    </row>
    <row r="4325" spans="1:7" x14ac:dyDescent="0.25">
      <c r="A4325" s="1" t="s">
        <v>4448</v>
      </c>
      <c r="B4325" s="76">
        <v>85.610343999999998</v>
      </c>
      <c r="C4325" s="76">
        <v>85.796279999999996</v>
      </c>
      <c r="D4325" s="76">
        <v>83.961196999999999</v>
      </c>
      <c r="E4325" s="76">
        <v>84.203719999999905</v>
      </c>
      <c r="F4325" s="76">
        <v>82.116294999999994</v>
      </c>
      <c r="G4325" s="79">
        <v>988900</v>
      </c>
    </row>
    <row r="4326" spans="1:7" x14ac:dyDescent="0.25">
      <c r="A4326" s="1" t="s">
        <v>4449</v>
      </c>
      <c r="B4326" s="76">
        <v>84.203719999999905</v>
      </c>
      <c r="C4326" s="76">
        <v>85.286986999999996</v>
      </c>
      <c r="D4326" s="76">
        <v>82.853675999999993</v>
      </c>
      <c r="E4326" s="76">
        <v>83.42765</v>
      </c>
      <c r="F4326" s="76">
        <v>81.359474000000006</v>
      </c>
      <c r="G4326" s="79">
        <v>868100</v>
      </c>
    </row>
    <row r="4327" spans="1:7" x14ac:dyDescent="0.25">
      <c r="A4327" s="1" t="s">
        <v>4450</v>
      </c>
      <c r="B4327" s="76">
        <v>83.573157999999907</v>
      </c>
      <c r="C4327" s="76">
        <v>83.718673999999993</v>
      </c>
      <c r="D4327" s="76">
        <v>82.780922000000004</v>
      </c>
      <c r="E4327" s="76">
        <v>83.096198999999999</v>
      </c>
      <c r="F4327" s="76">
        <v>81.036240000000006</v>
      </c>
      <c r="G4327" s="79">
        <v>1155300</v>
      </c>
    </row>
    <row r="4328" spans="1:7" x14ac:dyDescent="0.25">
      <c r="A4328" s="1" t="s">
        <v>4451</v>
      </c>
      <c r="B4328" s="76">
        <v>83.104286000000002</v>
      </c>
      <c r="C4328" s="76">
        <v>83.500404000000003</v>
      </c>
      <c r="D4328" s="76">
        <v>82.409058000000002</v>
      </c>
      <c r="E4328" s="76">
        <v>82.821342000000001</v>
      </c>
      <c r="F4328" s="76">
        <v>80.768196000000003</v>
      </c>
      <c r="G4328" s="79">
        <v>901800</v>
      </c>
    </row>
    <row r="4329" spans="1:7" x14ac:dyDescent="0.25">
      <c r="A4329" s="1" t="s">
        <v>4452</v>
      </c>
      <c r="B4329" s="76">
        <v>83.015357999999907</v>
      </c>
      <c r="C4329" s="76">
        <v>85.165726000000006</v>
      </c>
      <c r="D4329" s="76">
        <v>83.015357999999907</v>
      </c>
      <c r="E4329" s="76">
        <v>84.696845999999994</v>
      </c>
      <c r="F4329" s="76">
        <v>82.597197999999906</v>
      </c>
      <c r="G4329" s="79">
        <v>871000</v>
      </c>
    </row>
    <row r="4330" spans="1:7" x14ac:dyDescent="0.25">
      <c r="A4330" s="1" t="s">
        <v>4453</v>
      </c>
      <c r="B4330" s="76">
        <v>84.688766000000001</v>
      </c>
      <c r="C4330" s="76">
        <v>85.189980000000006</v>
      </c>
      <c r="D4330" s="76">
        <v>84.203719999999905</v>
      </c>
      <c r="E4330" s="76">
        <v>84.316895000000002</v>
      </c>
      <c r="F4330" s="76">
        <v>82.226669000000001</v>
      </c>
      <c r="G4330" s="79">
        <v>625700</v>
      </c>
    </row>
    <row r="4331" spans="1:7" x14ac:dyDescent="0.25">
      <c r="A4331" s="1" t="s">
        <v>4454</v>
      </c>
      <c r="B4331" s="76">
        <v>84.518996999999999</v>
      </c>
      <c r="C4331" s="76">
        <v>85.602264000000005</v>
      </c>
      <c r="D4331" s="76">
        <v>84.227974000000003</v>
      </c>
      <c r="E4331" s="76">
        <v>84.987876999999997</v>
      </c>
      <c r="F4331" s="76">
        <v>82.881011999999998</v>
      </c>
      <c r="G4331" s="79">
        <v>1111900</v>
      </c>
    </row>
    <row r="4332" spans="1:7" x14ac:dyDescent="0.25">
      <c r="A4332" s="1" t="s">
        <v>4455</v>
      </c>
      <c r="B4332" s="76">
        <v>84.979789999999994</v>
      </c>
      <c r="C4332" s="76">
        <v>85.117217999999994</v>
      </c>
      <c r="D4332" s="76">
        <v>83.912689</v>
      </c>
      <c r="E4332" s="76">
        <v>84.163300000000007</v>
      </c>
      <c r="F4332" s="76">
        <v>82.076881</v>
      </c>
      <c r="G4332" s="79">
        <v>656800</v>
      </c>
    </row>
    <row r="4333" spans="1:7" x14ac:dyDescent="0.25">
      <c r="A4333" s="1" t="s">
        <v>4456</v>
      </c>
      <c r="B4333" s="76">
        <v>84.624092000000005</v>
      </c>
      <c r="C4333" s="76">
        <v>84.777687</v>
      </c>
      <c r="D4333" s="76">
        <v>82.651572999999999</v>
      </c>
      <c r="E4333" s="76">
        <v>82.764754999999994</v>
      </c>
      <c r="F4333" s="76">
        <v>80.713013000000004</v>
      </c>
      <c r="G4333" s="79">
        <v>1245000</v>
      </c>
    </row>
    <row r="4334" spans="1:7" x14ac:dyDescent="0.25">
      <c r="A4334" s="1" t="s">
        <v>4457</v>
      </c>
      <c r="B4334" s="76">
        <v>82.958770999999999</v>
      </c>
      <c r="C4334" s="76">
        <v>82.958770999999999</v>
      </c>
      <c r="D4334" s="76">
        <v>81.430878000000007</v>
      </c>
      <c r="E4334" s="76">
        <v>82.021018999999995</v>
      </c>
      <c r="F4334" s="76">
        <v>79.987708999999995</v>
      </c>
      <c r="G4334" s="79">
        <v>1111600</v>
      </c>
    </row>
    <row r="4335" spans="1:7" x14ac:dyDescent="0.25">
      <c r="A4335" s="1" t="s">
        <v>4458</v>
      </c>
      <c r="B4335" s="76">
        <v>81.948265000000006</v>
      </c>
      <c r="C4335" s="76">
        <v>83.274047999999993</v>
      </c>
      <c r="D4335" s="76">
        <v>81.948265000000006</v>
      </c>
      <c r="E4335" s="76">
        <v>82.651572999999999</v>
      </c>
      <c r="F4335" s="76">
        <v>80.602631000000002</v>
      </c>
      <c r="G4335" s="79">
        <v>1658600</v>
      </c>
    </row>
    <row r="4336" spans="1:7" x14ac:dyDescent="0.25">
      <c r="A4336" s="1" t="s">
        <v>4459</v>
      </c>
      <c r="B4336" s="76">
        <v>82.780922000000004</v>
      </c>
      <c r="C4336" s="76">
        <v>83.249802000000003</v>
      </c>
      <c r="D4336" s="76">
        <v>81.438964999999996</v>
      </c>
      <c r="E4336" s="76">
        <v>81.584479999999999</v>
      </c>
      <c r="F4336" s="76">
        <v>79.561988999999997</v>
      </c>
      <c r="G4336" s="79">
        <v>905300</v>
      </c>
    </row>
    <row r="4337" spans="1:7" x14ac:dyDescent="0.25">
      <c r="A4337" s="1" t="s">
        <v>4460</v>
      </c>
      <c r="B4337" s="76">
        <v>81.455131999999907</v>
      </c>
      <c r="C4337" s="76">
        <v>81.851249999999993</v>
      </c>
      <c r="D4337" s="76">
        <v>80.517380000000003</v>
      </c>
      <c r="E4337" s="76">
        <v>81.034759999999906</v>
      </c>
      <c r="F4337" s="76">
        <v>79.025902000000002</v>
      </c>
      <c r="G4337" s="79">
        <v>1265800</v>
      </c>
    </row>
    <row r="4338" spans="1:7" x14ac:dyDescent="0.25">
      <c r="A4338" s="1" t="s">
        <v>4461</v>
      </c>
      <c r="B4338" s="76">
        <v>81.075180000000003</v>
      </c>
      <c r="C4338" s="76">
        <v>81.164107999999999</v>
      </c>
      <c r="D4338" s="76">
        <v>79.636215000000007</v>
      </c>
      <c r="E4338" s="76">
        <v>80.986258999999905</v>
      </c>
      <c r="F4338" s="76">
        <v>78.9786</v>
      </c>
      <c r="G4338" s="79">
        <v>1161700</v>
      </c>
    </row>
    <row r="4339" spans="1:7" x14ac:dyDescent="0.25">
      <c r="A4339" s="1" t="s">
        <v>4462</v>
      </c>
      <c r="B4339" s="76">
        <v>80.808410999999893</v>
      </c>
      <c r="C4339" s="76">
        <v>81.107520999999906</v>
      </c>
      <c r="D4339" s="76">
        <v>80.363784999999993</v>
      </c>
      <c r="E4339" s="76">
        <v>80.598220999999995</v>
      </c>
      <c r="F4339" s="76">
        <v>78.600181999999904</v>
      </c>
      <c r="G4339" s="79">
        <v>983100</v>
      </c>
    </row>
    <row r="4340" spans="1:7" x14ac:dyDescent="0.25">
      <c r="A4340" s="1" t="s">
        <v>4463</v>
      </c>
      <c r="B4340" s="76">
        <v>80.347617999999997</v>
      </c>
      <c r="C4340" s="76">
        <v>81.188361999999998</v>
      </c>
      <c r="D4340" s="76">
        <v>79.959579000000005</v>
      </c>
      <c r="E4340" s="76">
        <v>81.139854</v>
      </c>
      <c r="F4340" s="76">
        <v>79.128387000000004</v>
      </c>
      <c r="G4340" s="79">
        <v>872900</v>
      </c>
    </row>
    <row r="4341" spans="1:7" x14ac:dyDescent="0.25">
      <c r="A4341" s="1" t="s">
        <v>4464</v>
      </c>
      <c r="B4341" s="76">
        <v>81.091346999999999</v>
      </c>
      <c r="C4341" s="76">
        <v>81.681488000000002</v>
      </c>
      <c r="D4341" s="76">
        <v>80.638641000000007</v>
      </c>
      <c r="E4341" s="76">
        <v>81.091346999999999</v>
      </c>
      <c r="F4341" s="76">
        <v>79.081085000000002</v>
      </c>
      <c r="G4341" s="79">
        <v>945900</v>
      </c>
    </row>
    <row r="4342" spans="1:7" x14ac:dyDescent="0.25">
      <c r="A4342" s="1" t="s">
        <v>4465</v>
      </c>
      <c r="B4342" s="76">
        <v>81.123688000000001</v>
      </c>
      <c r="C4342" s="76">
        <v>82.012931999999907</v>
      </c>
      <c r="D4342" s="76">
        <v>80.848831000000004</v>
      </c>
      <c r="E4342" s="76">
        <v>81.560226</v>
      </c>
      <c r="F4342" s="76">
        <v>79.538337999999996</v>
      </c>
      <c r="G4342" s="79">
        <v>1084500</v>
      </c>
    </row>
    <row r="4343" spans="1:7" x14ac:dyDescent="0.25">
      <c r="A4343" s="1" t="s">
        <v>4466</v>
      </c>
      <c r="B4343" s="76">
        <v>81.608733999999998</v>
      </c>
      <c r="C4343" s="76">
        <v>82.473724000000004</v>
      </c>
      <c r="D4343" s="76">
        <v>81.293448999999995</v>
      </c>
      <c r="E4343" s="76">
        <v>82.190781000000001</v>
      </c>
      <c r="F4343" s="76">
        <v>80.153251999999995</v>
      </c>
      <c r="G4343" s="79">
        <v>2245700</v>
      </c>
    </row>
    <row r="4344" spans="1:7" x14ac:dyDescent="0.25">
      <c r="A4344" s="1" t="s">
        <v>4467</v>
      </c>
      <c r="B4344" s="76">
        <v>82.231200999999999</v>
      </c>
      <c r="C4344" s="76">
        <v>82.724334999999996</v>
      </c>
      <c r="D4344" s="76">
        <v>81.261116000000001</v>
      </c>
      <c r="E4344" s="76">
        <v>81.495552000000004</v>
      </c>
      <c r="F4344" s="76">
        <v>79.475273000000001</v>
      </c>
      <c r="G4344" s="79">
        <v>1036800</v>
      </c>
    </row>
    <row r="4345" spans="1:7" x14ac:dyDescent="0.25">
      <c r="A4345" s="1" t="s">
        <v>4468</v>
      </c>
      <c r="B4345" s="76">
        <v>81.495552000000004</v>
      </c>
      <c r="C4345" s="76">
        <v>82.530311999999995</v>
      </c>
      <c r="D4345" s="76">
        <v>81.018592999999996</v>
      </c>
      <c r="E4345" s="76">
        <v>82.352463</v>
      </c>
      <c r="F4345" s="76">
        <v>80.310935999999998</v>
      </c>
      <c r="G4345" s="79">
        <v>856000</v>
      </c>
    </row>
    <row r="4346" spans="1:7" x14ac:dyDescent="0.25">
      <c r="A4346" s="1" t="s">
        <v>4469</v>
      </c>
      <c r="B4346" s="76">
        <v>82.231200999999999</v>
      </c>
      <c r="C4346" s="76">
        <v>82.942604000000003</v>
      </c>
      <c r="D4346" s="76">
        <v>82.053352000000004</v>
      </c>
      <c r="E4346" s="76">
        <v>82.150359999999907</v>
      </c>
      <c r="F4346" s="76">
        <v>80.113845999999995</v>
      </c>
      <c r="G4346" s="79">
        <v>683000</v>
      </c>
    </row>
    <row r="4347" spans="1:7" x14ac:dyDescent="0.25">
      <c r="A4347" s="1" t="s">
        <v>4470</v>
      </c>
      <c r="B4347" s="76">
        <v>82.166533999999999</v>
      </c>
      <c r="C4347" s="76">
        <v>82.651572999999999</v>
      </c>
      <c r="D4347" s="76">
        <v>81.980598000000001</v>
      </c>
      <c r="E4347" s="76">
        <v>82.506065000000007</v>
      </c>
      <c r="F4347" s="76">
        <v>80.460723999999999</v>
      </c>
      <c r="G4347" s="79">
        <v>646000</v>
      </c>
    </row>
    <row r="4348" spans="1:7" x14ac:dyDescent="0.25">
      <c r="A4348" s="1" t="s">
        <v>4471</v>
      </c>
      <c r="B4348" s="76">
        <v>82.522231999999903</v>
      </c>
      <c r="C4348" s="76">
        <v>83.233626999999998</v>
      </c>
      <c r="D4348" s="76">
        <v>82.263542000000001</v>
      </c>
      <c r="E4348" s="76">
        <v>82.837508999999997</v>
      </c>
      <c r="F4348" s="76">
        <v>80.783957999999998</v>
      </c>
      <c r="G4348" s="79">
        <v>700700</v>
      </c>
    </row>
    <row r="4349" spans="1:7" x14ac:dyDescent="0.25">
      <c r="A4349" s="1" t="s">
        <v>4472</v>
      </c>
      <c r="B4349" s="76">
        <v>82.999190999999996</v>
      </c>
      <c r="C4349" s="76">
        <v>83.435730000000007</v>
      </c>
      <c r="D4349" s="76">
        <v>82.457557999999906</v>
      </c>
      <c r="E4349" s="76">
        <v>82.772835000000001</v>
      </c>
      <c r="F4349" s="76">
        <v>80.720894000000001</v>
      </c>
      <c r="G4349" s="79">
        <v>640400</v>
      </c>
    </row>
    <row r="4350" spans="1:7" x14ac:dyDescent="0.25">
      <c r="A4350" s="1" t="s">
        <v>4473</v>
      </c>
      <c r="B4350" s="76">
        <v>82.732414000000006</v>
      </c>
      <c r="C4350" s="76">
        <v>82.805176000000003</v>
      </c>
      <c r="D4350" s="76">
        <v>81.754242000000005</v>
      </c>
      <c r="E4350" s="76">
        <v>81.875504000000006</v>
      </c>
      <c r="F4350" s="76">
        <v>79.845802000000006</v>
      </c>
      <c r="G4350" s="79">
        <v>537500</v>
      </c>
    </row>
    <row r="4351" spans="1:7" x14ac:dyDescent="0.25">
      <c r="A4351" s="1" t="s">
        <v>4474</v>
      </c>
      <c r="B4351" s="76">
        <v>82.182700999999994</v>
      </c>
      <c r="C4351" s="76">
        <v>83.322556000000006</v>
      </c>
      <c r="D4351" s="76">
        <v>82.077606000000003</v>
      </c>
      <c r="E4351" s="76">
        <v>83.314468000000005</v>
      </c>
      <c r="F4351" s="76">
        <v>81.249092000000005</v>
      </c>
      <c r="G4351" s="79">
        <v>765600</v>
      </c>
    </row>
    <row r="4352" spans="1:7" x14ac:dyDescent="0.25">
      <c r="A4352" s="1" t="s">
        <v>4475</v>
      </c>
      <c r="B4352" s="76">
        <v>82.918350000000004</v>
      </c>
      <c r="C4352" s="76">
        <v>83.548912000000001</v>
      </c>
      <c r="D4352" s="76">
        <v>82.675826999999998</v>
      </c>
      <c r="E4352" s="76">
        <v>83.241714000000002</v>
      </c>
      <c r="F4352" s="76">
        <v>81.178145999999998</v>
      </c>
      <c r="G4352" s="79">
        <v>616200</v>
      </c>
    </row>
    <row r="4353" spans="1:7" x14ac:dyDescent="0.25">
      <c r="A4353" s="1" t="s">
        <v>4476</v>
      </c>
      <c r="B4353" s="76">
        <v>83.193207000000001</v>
      </c>
      <c r="C4353" s="76">
        <v>83.435730000000007</v>
      </c>
      <c r="D4353" s="76">
        <v>82.336295999999905</v>
      </c>
      <c r="E4353" s="76">
        <v>82.611153000000002</v>
      </c>
      <c r="F4353" s="76">
        <v>80.563202000000004</v>
      </c>
      <c r="G4353" s="79">
        <v>840200</v>
      </c>
    </row>
    <row r="4354" spans="1:7" x14ac:dyDescent="0.25">
      <c r="A4354" s="1" t="s">
        <v>4477</v>
      </c>
      <c r="B4354" s="76">
        <v>82.740500999999995</v>
      </c>
      <c r="C4354" s="76">
        <v>82.740500999999995</v>
      </c>
      <c r="D4354" s="76">
        <v>81.624900999999994</v>
      </c>
      <c r="E4354" s="76">
        <v>82.109946999999906</v>
      </c>
      <c r="F4354" s="76">
        <v>80.074432000000002</v>
      </c>
      <c r="G4354" s="79">
        <v>1136200</v>
      </c>
    </row>
    <row r="4355" spans="1:7" x14ac:dyDescent="0.25">
      <c r="A4355" s="1" t="s">
        <v>4478</v>
      </c>
      <c r="B4355" s="76">
        <v>82.004852</v>
      </c>
      <c r="C4355" s="76">
        <v>82.320128999999994</v>
      </c>
      <c r="D4355" s="76">
        <v>81.794662000000002</v>
      </c>
      <c r="E4355" s="76">
        <v>82.134192999999996</v>
      </c>
      <c r="F4355" s="76">
        <v>80.098076000000006</v>
      </c>
      <c r="G4355" s="79">
        <v>723100</v>
      </c>
    </row>
    <row r="4356" spans="1:7" x14ac:dyDescent="0.25">
      <c r="A4356" s="1" t="s">
        <v>4479</v>
      </c>
      <c r="B4356" s="76">
        <v>82.635406000000003</v>
      </c>
      <c r="C4356" s="76">
        <v>82.886016999999995</v>
      </c>
      <c r="D4356" s="76">
        <v>80.226356999999993</v>
      </c>
      <c r="E4356" s="76">
        <v>80.662894999999907</v>
      </c>
      <c r="F4356" s="76">
        <v>78.663253999999995</v>
      </c>
      <c r="G4356" s="79">
        <v>1067900</v>
      </c>
    </row>
    <row r="4357" spans="1:7" x14ac:dyDescent="0.25">
      <c r="A4357" s="1" t="s">
        <v>4480</v>
      </c>
      <c r="B4357" s="76">
        <v>80.864998</v>
      </c>
      <c r="C4357" s="76">
        <v>81.495552000000004</v>
      </c>
      <c r="D4357" s="76">
        <v>80.468879999999999</v>
      </c>
      <c r="E4357" s="76">
        <v>81.293448999999995</v>
      </c>
      <c r="F4357" s="76">
        <v>79.278175000000005</v>
      </c>
      <c r="G4357" s="79">
        <v>1064700</v>
      </c>
    </row>
    <row r="4358" spans="1:7" x14ac:dyDescent="0.25">
      <c r="A4358" s="1" t="s">
        <v>4481</v>
      </c>
      <c r="B4358" s="76">
        <v>81.059012999999993</v>
      </c>
      <c r="C4358" s="76">
        <v>81.471298000000004</v>
      </c>
      <c r="D4358" s="76">
        <v>78.876311999999999</v>
      </c>
      <c r="E4358" s="76">
        <v>78.892478999999994</v>
      </c>
      <c r="F4358" s="76">
        <v>76.936722000000003</v>
      </c>
      <c r="G4358" s="79">
        <v>1283300</v>
      </c>
    </row>
    <row r="4359" spans="1:7" x14ac:dyDescent="0.25">
      <c r="A4359" s="1" t="s">
        <v>4482</v>
      </c>
      <c r="B4359" s="76">
        <v>78.892478999999994</v>
      </c>
      <c r="C4359" s="76">
        <v>79.531120000000001</v>
      </c>
      <c r="D4359" s="76">
        <v>77.801131999999996</v>
      </c>
      <c r="E4359" s="76">
        <v>78.019401999999999</v>
      </c>
      <c r="F4359" s="76">
        <v>76.085289000000003</v>
      </c>
      <c r="G4359" s="79">
        <v>1208600</v>
      </c>
    </row>
    <row r="4360" spans="1:7" x14ac:dyDescent="0.25">
      <c r="A4360" s="1" t="s">
        <v>4483</v>
      </c>
      <c r="B4360" s="76">
        <v>77.922393999999997</v>
      </c>
      <c r="C4360" s="76">
        <v>77.995148</v>
      </c>
      <c r="D4360" s="76">
        <v>77.259499000000005</v>
      </c>
      <c r="E4360" s="76">
        <v>77.801131999999996</v>
      </c>
      <c r="F4360" s="76">
        <v>75.872428999999997</v>
      </c>
      <c r="G4360" s="79">
        <v>937300</v>
      </c>
    </row>
    <row r="4361" spans="1:7" x14ac:dyDescent="0.25">
      <c r="A4361" s="1" t="s">
        <v>4484</v>
      </c>
      <c r="B4361" s="76">
        <v>78.116408999999905</v>
      </c>
      <c r="C4361" s="76">
        <v>78.116408999999905</v>
      </c>
      <c r="D4361" s="76">
        <v>77.065483</v>
      </c>
      <c r="E4361" s="76">
        <v>77.833466000000001</v>
      </c>
      <c r="F4361" s="76">
        <v>75.903960999999995</v>
      </c>
      <c r="G4361" s="79">
        <v>1431600</v>
      </c>
    </row>
    <row r="4362" spans="1:7" x14ac:dyDescent="0.25">
      <c r="A4362" s="1" t="s">
        <v>4485</v>
      </c>
      <c r="B4362" s="76">
        <v>78.051734999999994</v>
      </c>
      <c r="C4362" s="76">
        <v>78.051734999999994</v>
      </c>
      <c r="D4362" s="76">
        <v>75.254645999999994</v>
      </c>
      <c r="E4362" s="76">
        <v>77.857718999999904</v>
      </c>
      <c r="F4362" s="76">
        <v>75.927619999999905</v>
      </c>
      <c r="G4362" s="79">
        <v>1936000</v>
      </c>
    </row>
    <row r="4363" spans="1:7" x14ac:dyDescent="0.25">
      <c r="A4363" s="1" t="s">
        <v>4486</v>
      </c>
      <c r="B4363" s="76">
        <v>77.987067999999994</v>
      </c>
      <c r="C4363" s="76">
        <v>78.124495999999994</v>
      </c>
      <c r="D4363" s="76">
        <v>76.281326000000007</v>
      </c>
      <c r="E4363" s="76">
        <v>76.556182999999905</v>
      </c>
      <c r="F4363" s="76">
        <v>74.658339999999995</v>
      </c>
      <c r="G4363" s="79">
        <v>1130300</v>
      </c>
    </row>
    <row r="4364" spans="1:7" x14ac:dyDescent="0.25">
      <c r="A4364" s="1" t="s">
        <v>4487</v>
      </c>
      <c r="B4364" s="76">
        <v>75.723526000000007</v>
      </c>
      <c r="C4364" s="76">
        <v>76.863380000000006</v>
      </c>
      <c r="D4364" s="76">
        <v>75.262732999999997</v>
      </c>
      <c r="E4364" s="76">
        <v>76.806792999999999</v>
      </c>
      <c r="F4364" s="76">
        <v>75.603911999999994</v>
      </c>
      <c r="G4364" s="79">
        <v>1462400</v>
      </c>
    </row>
    <row r="4365" spans="1:7" x14ac:dyDescent="0.25">
      <c r="A4365" s="1" t="s">
        <v>4488</v>
      </c>
      <c r="B4365" s="76">
        <v>76.879547000000002</v>
      </c>
      <c r="C4365" s="76">
        <v>77.510101000000006</v>
      </c>
      <c r="D4365" s="76">
        <v>76.297493000000003</v>
      </c>
      <c r="E4365" s="76">
        <v>77.364593999999997</v>
      </c>
      <c r="F4365" s="76">
        <v>76.152977000000007</v>
      </c>
      <c r="G4365" s="79">
        <v>831100</v>
      </c>
    </row>
    <row r="4366" spans="1:7" x14ac:dyDescent="0.25">
      <c r="A4366" s="1" t="s">
        <v>4489</v>
      </c>
      <c r="B4366" s="76">
        <v>77.534355000000005</v>
      </c>
      <c r="C4366" s="76">
        <v>77.704123999999993</v>
      </c>
      <c r="D4366" s="76">
        <v>75.974129000000005</v>
      </c>
      <c r="E4366" s="76">
        <v>76.459175000000002</v>
      </c>
      <c r="F4366" s="76">
        <v>75.261733999999905</v>
      </c>
      <c r="G4366" s="79">
        <v>750000</v>
      </c>
    </row>
    <row r="4367" spans="1:7" x14ac:dyDescent="0.25">
      <c r="A4367" s="1" t="s">
        <v>4490</v>
      </c>
      <c r="B4367" s="76">
        <v>76.362166999999999</v>
      </c>
      <c r="C4367" s="76">
        <v>76.443007999999907</v>
      </c>
      <c r="D4367" s="76">
        <v>75.642685</v>
      </c>
      <c r="E4367" s="76">
        <v>76.289412999999996</v>
      </c>
      <c r="F4367" s="76">
        <v>75.094634999999997</v>
      </c>
      <c r="G4367" s="79">
        <v>1065500</v>
      </c>
    </row>
    <row r="4368" spans="1:7" x14ac:dyDescent="0.25">
      <c r="A4368" s="1" t="s">
        <v>4491</v>
      </c>
      <c r="B4368" s="76">
        <v>76.289412999999996</v>
      </c>
      <c r="C4368" s="76">
        <v>77.235244999999907</v>
      </c>
      <c r="D4368" s="76">
        <v>75.974129000000005</v>
      </c>
      <c r="E4368" s="76">
        <v>76.701697999999993</v>
      </c>
      <c r="F4368" s="76">
        <v>75.500465000000005</v>
      </c>
      <c r="G4368" s="79">
        <v>736300</v>
      </c>
    </row>
    <row r="4369" spans="1:7" x14ac:dyDescent="0.25">
      <c r="A4369" s="1" t="s">
        <v>4492</v>
      </c>
      <c r="B4369" s="76">
        <v>76.289412999999996</v>
      </c>
      <c r="C4369" s="76">
        <v>76.394501000000005</v>
      </c>
      <c r="D4369" s="76">
        <v>75.295067000000003</v>
      </c>
      <c r="E4369" s="76">
        <v>75.990294999999904</v>
      </c>
      <c r="F4369" s="76">
        <v>74.800208999999995</v>
      </c>
      <c r="G4369" s="79">
        <v>1121000</v>
      </c>
    </row>
    <row r="4370" spans="1:7" x14ac:dyDescent="0.25">
      <c r="A4370" s="1" t="s">
        <v>4493</v>
      </c>
      <c r="B4370" s="76">
        <v>75.917541999999997</v>
      </c>
      <c r="C4370" s="76">
        <v>76.079223999999996</v>
      </c>
      <c r="D4370" s="76">
        <v>75.311233999999999</v>
      </c>
      <c r="E4370" s="76">
        <v>75.416327999999993</v>
      </c>
      <c r="F4370" s="76">
        <v>74.235229000000004</v>
      </c>
      <c r="G4370" s="79">
        <v>760800</v>
      </c>
    </row>
    <row r="4371" spans="1:7" x14ac:dyDescent="0.25">
      <c r="A4371" s="1" t="s">
        <v>4494</v>
      </c>
      <c r="B4371" s="76">
        <v>75.416327999999993</v>
      </c>
      <c r="C4371" s="76">
        <v>76.143897999999993</v>
      </c>
      <c r="D4371" s="76">
        <v>75.149558999999996</v>
      </c>
      <c r="E4371" s="76">
        <v>75.481003000000001</v>
      </c>
      <c r="F4371" s="76">
        <v>74.298881999999907</v>
      </c>
      <c r="G4371" s="79">
        <v>706500</v>
      </c>
    </row>
    <row r="4372" spans="1:7" x14ac:dyDescent="0.25">
      <c r="A4372" s="1" t="s">
        <v>4495</v>
      </c>
      <c r="B4372" s="76">
        <v>75.626518000000004</v>
      </c>
      <c r="C4372" s="76">
        <v>75.658851999999996</v>
      </c>
      <c r="D4372" s="76">
        <v>75.036377000000002</v>
      </c>
      <c r="E4372" s="76">
        <v>75.262732999999997</v>
      </c>
      <c r="F4372" s="76">
        <v>74.084038000000007</v>
      </c>
      <c r="G4372" s="79">
        <v>1178600</v>
      </c>
    </row>
    <row r="4373" spans="1:7" x14ac:dyDescent="0.25">
      <c r="A4373" s="1" t="s">
        <v>4496</v>
      </c>
      <c r="B4373" s="76">
        <v>74.818107999999995</v>
      </c>
      <c r="C4373" s="76">
        <v>75.642685</v>
      </c>
      <c r="D4373" s="76">
        <v>74.607924999999994</v>
      </c>
      <c r="E4373" s="76">
        <v>74.777687</v>
      </c>
      <c r="F4373" s="76">
        <v>73.606583000000001</v>
      </c>
      <c r="G4373" s="79">
        <v>1164200</v>
      </c>
    </row>
    <row r="4374" spans="1:7" x14ac:dyDescent="0.25">
      <c r="A4374" s="1" t="s">
        <v>4497</v>
      </c>
      <c r="B4374" s="76">
        <v>74.777687</v>
      </c>
      <c r="C4374" s="76">
        <v>75.828620999999998</v>
      </c>
      <c r="D4374" s="76">
        <v>74.543250999999998</v>
      </c>
      <c r="E4374" s="76">
        <v>75.052543999999997</v>
      </c>
      <c r="F4374" s="76">
        <v>73.877135999999993</v>
      </c>
      <c r="G4374" s="79">
        <v>1785600</v>
      </c>
    </row>
    <row r="4375" spans="1:7" x14ac:dyDescent="0.25">
      <c r="A4375" s="1" t="s">
        <v>4498</v>
      </c>
      <c r="B4375" s="76">
        <v>75.076796999999999</v>
      </c>
      <c r="C4375" s="76">
        <v>76.265159999999995</v>
      </c>
      <c r="D4375" s="76">
        <v>74.567504999999997</v>
      </c>
      <c r="E4375" s="76">
        <v>76.038803000000001</v>
      </c>
      <c r="F4375" s="76">
        <v>74.847945999999993</v>
      </c>
      <c r="G4375" s="79">
        <v>1100700</v>
      </c>
    </row>
    <row r="4376" spans="1:7" x14ac:dyDescent="0.25">
      <c r="A4376" s="1" t="s">
        <v>4499</v>
      </c>
      <c r="B4376" s="76">
        <v>76.111556999999905</v>
      </c>
      <c r="C4376" s="76">
        <v>76.418755000000004</v>
      </c>
      <c r="D4376" s="76">
        <v>74.979789999999994</v>
      </c>
      <c r="E4376" s="76">
        <v>75.286986999999996</v>
      </c>
      <c r="F4376" s="76">
        <v>74.107910000000004</v>
      </c>
      <c r="G4376" s="79">
        <v>1582200</v>
      </c>
    </row>
    <row r="4377" spans="1:7" x14ac:dyDescent="0.25">
      <c r="A4377" s="1" t="s">
        <v>4500</v>
      </c>
      <c r="B4377" s="76">
        <v>75.424415999999994</v>
      </c>
      <c r="C4377" s="76">
        <v>75.626518000000004</v>
      </c>
      <c r="D4377" s="76">
        <v>75.133385000000004</v>
      </c>
      <c r="E4377" s="76">
        <v>75.327407999999906</v>
      </c>
      <c r="F4377" s="76">
        <v>74.147689999999997</v>
      </c>
      <c r="G4377" s="79">
        <v>1023700</v>
      </c>
    </row>
    <row r="4378" spans="1:7" x14ac:dyDescent="0.25">
      <c r="A4378" s="1" t="s">
        <v>4501</v>
      </c>
      <c r="B4378" s="76">
        <v>75.529510000000002</v>
      </c>
      <c r="C4378" s="76">
        <v>75.626518000000004</v>
      </c>
      <c r="D4378" s="76">
        <v>75.165726000000006</v>
      </c>
      <c r="E4378" s="76">
        <v>75.472915999999998</v>
      </c>
      <c r="F4378" s="76">
        <v>74.290924000000004</v>
      </c>
      <c r="G4378" s="79">
        <v>602400</v>
      </c>
    </row>
    <row r="4379" spans="1:7" x14ac:dyDescent="0.25">
      <c r="A4379" s="1" t="s">
        <v>4502</v>
      </c>
      <c r="B4379" s="76">
        <v>75.513335999999995</v>
      </c>
      <c r="C4379" s="76">
        <v>75.820533999999995</v>
      </c>
      <c r="D4379" s="76">
        <v>75.012123000000003</v>
      </c>
      <c r="E4379" s="76">
        <v>75.141471999999993</v>
      </c>
      <c r="F4379" s="76">
        <v>73.964668000000003</v>
      </c>
      <c r="G4379" s="79">
        <v>535800</v>
      </c>
    </row>
    <row r="4380" spans="1:7" x14ac:dyDescent="0.25">
      <c r="A4380" s="1" t="s">
        <v>4503</v>
      </c>
      <c r="B4380" s="76">
        <v>75.254645999999994</v>
      </c>
      <c r="C4380" s="76">
        <v>75.513335999999995</v>
      </c>
      <c r="D4380" s="76">
        <v>74.389656000000002</v>
      </c>
      <c r="E4380" s="76">
        <v>74.793853999999996</v>
      </c>
      <c r="F4380" s="76">
        <v>73.622497999999993</v>
      </c>
      <c r="G4380" s="79">
        <v>845800</v>
      </c>
    </row>
    <row r="4381" spans="1:7" x14ac:dyDescent="0.25">
      <c r="A4381" s="1" t="s">
        <v>4504</v>
      </c>
      <c r="B4381" s="76">
        <v>74.769607999999906</v>
      </c>
      <c r="C4381" s="76">
        <v>75.270813000000004</v>
      </c>
      <c r="D4381" s="76">
        <v>74.413901999999993</v>
      </c>
      <c r="E4381" s="76">
        <v>74.494743</v>
      </c>
      <c r="F4381" s="76">
        <v>73.328071999999906</v>
      </c>
      <c r="G4381" s="79">
        <v>675500</v>
      </c>
    </row>
    <row r="4382" spans="1:7" x14ac:dyDescent="0.25">
      <c r="A4382" s="1" t="s">
        <v>4505</v>
      </c>
      <c r="B4382" s="76">
        <v>74.688766000000001</v>
      </c>
      <c r="C4382" s="76">
        <v>74.704932999999997</v>
      </c>
      <c r="D4382" s="76">
        <v>73.823768999999999</v>
      </c>
      <c r="E4382" s="76">
        <v>74.535163999999995</v>
      </c>
      <c r="F4382" s="76">
        <v>73.367858999999996</v>
      </c>
      <c r="G4382" s="79">
        <v>1156400</v>
      </c>
    </row>
    <row r="4383" spans="1:7" x14ac:dyDescent="0.25">
      <c r="A4383" s="1" t="s">
        <v>4506</v>
      </c>
      <c r="B4383" s="76">
        <v>74.316895000000002</v>
      </c>
      <c r="C4383" s="76">
        <v>75.165726000000006</v>
      </c>
      <c r="D4383" s="76">
        <v>74.260306999999997</v>
      </c>
      <c r="E4383" s="76">
        <v>75.020209999999906</v>
      </c>
      <c r="F4383" s="76">
        <v>73.845305999999994</v>
      </c>
      <c r="G4383" s="79">
        <v>929400</v>
      </c>
    </row>
    <row r="4384" spans="1:7" x14ac:dyDescent="0.25">
      <c r="A4384" s="1" t="s">
        <v>4507</v>
      </c>
      <c r="B4384" s="76">
        <v>75.319321000000002</v>
      </c>
      <c r="C4384" s="76">
        <v>75.505257</v>
      </c>
      <c r="D4384" s="76">
        <v>74.680678999999998</v>
      </c>
      <c r="E4384" s="76">
        <v>75.076796999999999</v>
      </c>
      <c r="F4384" s="76">
        <v>73.901015999999998</v>
      </c>
      <c r="G4384" s="79">
        <v>1173800</v>
      </c>
    </row>
    <row r="4385" spans="1:7" x14ac:dyDescent="0.25">
      <c r="A4385" s="1" t="s">
        <v>4508</v>
      </c>
      <c r="B4385" s="76">
        <v>75.020209999999906</v>
      </c>
      <c r="C4385" s="76">
        <v>75.440581999999907</v>
      </c>
      <c r="D4385" s="76">
        <v>74.616005000000001</v>
      </c>
      <c r="E4385" s="76">
        <v>75.392075000000006</v>
      </c>
      <c r="F4385" s="76">
        <v>74.211348999999998</v>
      </c>
      <c r="G4385" s="79">
        <v>700500</v>
      </c>
    </row>
    <row r="4386" spans="1:7" x14ac:dyDescent="0.25">
      <c r="A4386" s="1" t="s">
        <v>4509</v>
      </c>
      <c r="B4386" s="76">
        <v>75.351653999999996</v>
      </c>
      <c r="C4386" s="76">
        <v>75.537589999999994</v>
      </c>
      <c r="D4386" s="76">
        <v>73.710587000000004</v>
      </c>
      <c r="E4386" s="76">
        <v>73.775261</v>
      </c>
      <c r="F4386" s="76">
        <v>72.619857999999994</v>
      </c>
      <c r="G4386" s="79">
        <v>1089600</v>
      </c>
    </row>
    <row r="4387" spans="1:7" x14ac:dyDescent="0.25">
      <c r="A4387" s="1" t="s">
        <v>4510</v>
      </c>
      <c r="B4387" s="76">
        <v>73.928864000000004</v>
      </c>
      <c r="C4387" s="76">
        <v>74.446242999999996</v>
      </c>
      <c r="D4387" s="76">
        <v>73.726760999999996</v>
      </c>
      <c r="E4387" s="76">
        <v>74.373481999999996</v>
      </c>
      <c r="F4387" s="76">
        <v>73.208709999999996</v>
      </c>
      <c r="G4387" s="79">
        <v>1216800</v>
      </c>
    </row>
    <row r="4388" spans="1:7" x14ac:dyDescent="0.25">
      <c r="A4388" s="1" t="s">
        <v>4511</v>
      </c>
      <c r="B4388" s="76">
        <v>74.373481999999996</v>
      </c>
      <c r="C4388" s="76">
        <v>74.737267000000003</v>
      </c>
      <c r="D4388" s="76">
        <v>73.993530000000007</v>
      </c>
      <c r="E4388" s="76">
        <v>74.494743</v>
      </c>
      <c r="F4388" s="76">
        <v>73.328071999999906</v>
      </c>
      <c r="G4388" s="79">
        <v>927100</v>
      </c>
    </row>
    <row r="4389" spans="1:7" x14ac:dyDescent="0.25">
      <c r="A4389" s="1" t="s">
        <v>4512</v>
      </c>
      <c r="B4389" s="76">
        <v>74.446242999999996</v>
      </c>
      <c r="C4389" s="76">
        <v>75.957961999999995</v>
      </c>
      <c r="D4389" s="76">
        <v>74.211799999999997</v>
      </c>
      <c r="E4389" s="76">
        <v>75.707358999999997</v>
      </c>
      <c r="F4389" s="76">
        <v>74.521698000000001</v>
      </c>
      <c r="G4389" s="79">
        <v>920300</v>
      </c>
    </row>
    <row r="4390" spans="1:7" x14ac:dyDescent="0.25">
      <c r="A4390" s="1" t="s">
        <v>4513</v>
      </c>
      <c r="B4390" s="76">
        <v>75.610343999999998</v>
      </c>
      <c r="C4390" s="76">
        <v>77.308006000000006</v>
      </c>
      <c r="D4390" s="76">
        <v>75.610343999999998</v>
      </c>
      <c r="E4390" s="76">
        <v>77.089737</v>
      </c>
      <c r="F4390" s="76">
        <v>75.882423000000003</v>
      </c>
      <c r="G4390" s="79">
        <v>1140100</v>
      </c>
    </row>
    <row r="4391" spans="1:7" x14ac:dyDescent="0.25">
      <c r="A4391" s="1" t="s">
        <v>4514</v>
      </c>
      <c r="B4391" s="76">
        <v>76.806792999999999</v>
      </c>
      <c r="C4391" s="76">
        <v>77.421181000000004</v>
      </c>
      <c r="D4391" s="76">
        <v>75.812446999999906</v>
      </c>
      <c r="E4391" s="76">
        <v>76.701697999999993</v>
      </c>
      <c r="F4391" s="76">
        <v>75.500465000000005</v>
      </c>
      <c r="G4391" s="79">
        <v>825900</v>
      </c>
    </row>
    <row r="4392" spans="1:7" x14ac:dyDescent="0.25">
      <c r="A4392" s="1" t="s">
        <v>4515</v>
      </c>
      <c r="B4392" s="76">
        <v>77.081649999999996</v>
      </c>
      <c r="C4392" s="76">
        <v>77.227164999999999</v>
      </c>
      <c r="D4392" s="76">
        <v>75.812446999999906</v>
      </c>
      <c r="E4392" s="76">
        <v>76.046890000000005</v>
      </c>
      <c r="F4392" s="76">
        <v>74.855910999999907</v>
      </c>
      <c r="G4392" s="79">
        <v>834600</v>
      </c>
    </row>
    <row r="4393" spans="1:7" x14ac:dyDescent="0.25">
      <c r="A4393" s="1" t="s">
        <v>4516</v>
      </c>
      <c r="B4393" s="76">
        <v>75.658851999999996</v>
      </c>
      <c r="C4393" s="76">
        <v>76.685531999999995</v>
      </c>
      <c r="D4393" s="76">
        <v>75.545676999999998</v>
      </c>
      <c r="E4393" s="76">
        <v>76.394501000000005</v>
      </c>
      <c r="F4393" s="76">
        <v>75.198074000000005</v>
      </c>
      <c r="G4393" s="79">
        <v>573500</v>
      </c>
    </row>
    <row r="4394" spans="1:7" x14ac:dyDescent="0.25">
      <c r="A4394" s="1" t="s">
        <v>4517</v>
      </c>
      <c r="B4394" s="76">
        <v>76.588523999999893</v>
      </c>
      <c r="C4394" s="76">
        <v>76.588523999999893</v>
      </c>
      <c r="D4394" s="76">
        <v>75.165726000000006</v>
      </c>
      <c r="E4394" s="76">
        <v>75.893287999999998</v>
      </c>
      <c r="F4394" s="76">
        <v>74.704712000000001</v>
      </c>
      <c r="G4394" s="79">
        <v>1351600</v>
      </c>
    </row>
    <row r="4395" spans="1:7" x14ac:dyDescent="0.25">
      <c r="A4395" s="1" t="s">
        <v>4518</v>
      </c>
      <c r="B4395" s="76">
        <v>75.877121000000002</v>
      </c>
      <c r="C4395" s="76">
        <v>75.877121000000002</v>
      </c>
      <c r="D4395" s="76">
        <v>74.963622999999998</v>
      </c>
      <c r="E4395" s="76">
        <v>75.481003000000001</v>
      </c>
      <c r="F4395" s="76">
        <v>74.298881999999907</v>
      </c>
      <c r="G4395" s="79">
        <v>854900</v>
      </c>
    </row>
    <row r="4396" spans="1:7" x14ac:dyDescent="0.25">
      <c r="A4396" s="1" t="s">
        <v>4519</v>
      </c>
      <c r="B4396" s="76">
        <v>75.586097999999893</v>
      </c>
      <c r="C4396" s="76">
        <v>75.796279999999996</v>
      </c>
      <c r="D4396" s="76">
        <v>74.777687</v>
      </c>
      <c r="E4396" s="76">
        <v>75.481003000000001</v>
      </c>
      <c r="F4396" s="76">
        <v>74.298881999999907</v>
      </c>
      <c r="G4396" s="79">
        <v>706200</v>
      </c>
    </row>
    <row r="4397" spans="1:7" x14ac:dyDescent="0.25">
      <c r="A4397" s="1" t="s">
        <v>4520</v>
      </c>
      <c r="B4397" s="76">
        <v>75.553756999999905</v>
      </c>
      <c r="C4397" s="76">
        <v>75.869040999999996</v>
      </c>
      <c r="D4397" s="76">
        <v>74.195633000000001</v>
      </c>
      <c r="E4397" s="76">
        <v>74.915115</v>
      </c>
      <c r="F4397" s="76">
        <v>73.741858999999906</v>
      </c>
      <c r="G4397" s="79">
        <v>755900</v>
      </c>
    </row>
    <row r="4398" spans="1:7" x14ac:dyDescent="0.25">
      <c r="A4398" s="1" t="s">
        <v>4521</v>
      </c>
      <c r="B4398" s="76">
        <v>74.850441000000004</v>
      </c>
      <c r="C4398" s="76">
        <v>76.119643999999994</v>
      </c>
      <c r="D4398" s="76">
        <v>74.527084000000002</v>
      </c>
      <c r="E4398" s="76">
        <v>75.610343999999998</v>
      </c>
      <c r="F4398" s="76">
        <v>74.426201000000006</v>
      </c>
      <c r="G4398" s="79">
        <v>868000</v>
      </c>
    </row>
    <row r="4399" spans="1:7" x14ac:dyDescent="0.25">
      <c r="A4399" s="1" t="s">
        <v>4522</v>
      </c>
      <c r="B4399" s="76">
        <v>75.860954000000007</v>
      </c>
      <c r="C4399" s="76">
        <v>76.523848999999998</v>
      </c>
      <c r="D4399" s="76">
        <v>75.828620999999998</v>
      </c>
      <c r="E4399" s="76">
        <v>76.135811000000004</v>
      </c>
      <c r="F4399" s="76">
        <v>74.943436000000005</v>
      </c>
      <c r="G4399" s="79">
        <v>1114200</v>
      </c>
    </row>
    <row r="4400" spans="1:7" x14ac:dyDescent="0.25">
      <c r="A4400" s="1" t="s">
        <v>4523</v>
      </c>
      <c r="B4400" s="76">
        <v>76.394501000000005</v>
      </c>
      <c r="C4400" s="76">
        <v>76.968474999999998</v>
      </c>
      <c r="D4400" s="76">
        <v>75.893287999999998</v>
      </c>
      <c r="E4400" s="76">
        <v>76.596603000000002</v>
      </c>
      <c r="F4400" s="76">
        <v>75.397010999999907</v>
      </c>
      <c r="G4400" s="79">
        <v>701500</v>
      </c>
    </row>
    <row r="4401" spans="1:7" x14ac:dyDescent="0.25">
      <c r="A4401" s="1" t="s">
        <v>4524</v>
      </c>
      <c r="B4401" s="76">
        <v>76.394501000000005</v>
      </c>
      <c r="C4401" s="76">
        <v>76.822959999999995</v>
      </c>
      <c r="D4401" s="76">
        <v>75.877121000000002</v>
      </c>
      <c r="E4401" s="76">
        <v>75.877121000000002</v>
      </c>
      <c r="F4401" s="76">
        <v>74.688805000000002</v>
      </c>
      <c r="G4401" s="79">
        <v>743400</v>
      </c>
    </row>
    <row r="4402" spans="1:7" x14ac:dyDescent="0.25">
      <c r="A4402" s="1" t="s">
        <v>4525</v>
      </c>
      <c r="B4402" s="76">
        <v>76.160065000000003</v>
      </c>
      <c r="C4402" s="76">
        <v>76.370246999999907</v>
      </c>
      <c r="D4402" s="76">
        <v>75.545676999999998</v>
      </c>
      <c r="E4402" s="76">
        <v>75.594177000000002</v>
      </c>
      <c r="F4402" s="76">
        <v>74.410285999999999</v>
      </c>
      <c r="G4402" s="79">
        <v>753600</v>
      </c>
    </row>
    <row r="4403" spans="1:7" x14ac:dyDescent="0.25">
      <c r="A4403" s="1" t="s">
        <v>4526</v>
      </c>
      <c r="B4403" s="76">
        <v>75.311233999999999</v>
      </c>
      <c r="C4403" s="76">
        <v>75.998382999999905</v>
      </c>
      <c r="D4403" s="76">
        <v>74.761519999999905</v>
      </c>
      <c r="E4403" s="76">
        <v>75.464836000000005</v>
      </c>
      <c r="F4403" s="76">
        <v>74.282966999999999</v>
      </c>
      <c r="G4403" s="79">
        <v>805800</v>
      </c>
    </row>
    <row r="4404" spans="1:7" x14ac:dyDescent="0.25">
      <c r="A4404" s="1" t="s">
        <v>4527</v>
      </c>
      <c r="B4404" s="76">
        <v>75.553756999999905</v>
      </c>
      <c r="C4404" s="76">
        <v>76.208572000000004</v>
      </c>
      <c r="D4404" s="76">
        <v>75.068718000000004</v>
      </c>
      <c r="E4404" s="76">
        <v>75.909462000000005</v>
      </c>
      <c r="F4404" s="76">
        <v>74.720633999999905</v>
      </c>
      <c r="G4404" s="79">
        <v>1172300</v>
      </c>
    </row>
    <row r="4405" spans="1:7" x14ac:dyDescent="0.25">
      <c r="A4405" s="1" t="s">
        <v>4528</v>
      </c>
      <c r="B4405" s="76">
        <v>76.394501000000005</v>
      </c>
      <c r="C4405" s="76">
        <v>77.671782999999905</v>
      </c>
      <c r="D4405" s="76">
        <v>76.103476999999998</v>
      </c>
      <c r="E4405" s="76">
        <v>77.469688000000005</v>
      </c>
      <c r="F4405" s="76">
        <v>76.256423999999996</v>
      </c>
      <c r="G4405" s="79">
        <v>624300</v>
      </c>
    </row>
    <row r="4406" spans="1:7" x14ac:dyDescent="0.25">
      <c r="A4406" s="1" t="s">
        <v>4529</v>
      </c>
      <c r="B4406" s="76">
        <v>77.396927000000005</v>
      </c>
      <c r="C4406" s="76">
        <v>77.421181000000004</v>
      </c>
      <c r="D4406" s="76">
        <v>76.014549000000002</v>
      </c>
      <c r="E4406" s="76">
        <v>76.071135999999996</v>
      </c>
      <c r="F4406" s="76">
        <v>74.879776000000007</v>
      </c>
      <c r="G4406" s="79">
        <v>916200</v>
      </c>
    </row>
    <row r="4407" spans="1:7" x14ac:dyDescent="0.25">
      <c r="A4407" s="1" t="s">
        <v>4530</v>
      </c>
      <c r="B4407" s="76">
        <v>75.844787999999994</v>
      </c>
      <c r="C4407" s="76">
        <v>75.998382999999905</v>
      </c>
      <c r="D4407" s="76">
        <v>74.421988999999996</v>
      </c>
      <c r="E4407" s="76">
        <v>74.680678999999998</v>
      </c>
      <c r="F4407" s="76">
        <v>73.511093000000002</v>
      </c>
      <c r="G4407" s="79">
        <v>1072800</v>
      </c>
    </row>
    <row r="4408" spans="1:7" x14ac:dyDescent="0.25">
      <c r="A4408" s="1" t="s">
        <v>4531</v>
      </c>
      <c r="B4408" s="76">
        <v>74.704932999999997</v>
      </c>
      <c r="C4408" s="76">
        <v>76.418755000000004</v>
      </c>
      <c r="D4408" s="76">
        <v>74.632171999999997</v>
      </c>
      <c r="E4408" s="76">
        <v>75.925629000000001</v>
      </c>
      <c r="F4408" s="76">
        <v>74.736548999999997</v>
      </c>
      <c r="G4408" s="79">
        <v>1522100</v>
      </c>
    </row>
    <row r="4409" spans="1:7" x14ac:dyDescent="0.25">
      <c r="A4409" s="1" t="s">
        <v>4532</v>
      </c>
      <c r="B4409" s="76">
        <v>76.774451999999997</v>
      </c>
      <c r="C4409" s="76">
        <v>77.081649999999996</v>
      </c>
      <c r="D4409" s="76">
        <v>75.133385000000004</v>
      </c>
      <c r="E4409" s="76">
        <v>75.594177000000002</v>
      </c>
      <c r="F4409" s="76">
        <v>74.410285999999999</v>
      </c>
      <c r="G4409" s="79">
        <v>1026200</v>
      </c>
    </row>
    <row r="4410" spans="1:7" x14ac:dyDescent="0.25">
      <c r="A4410" s="1" t="s">
        <v>4533</v>
      </c>
      <c r="B4410" s="76">
        <v>75.683104999999998</v>
      </c>
      <c r="C4410" s="76">
        <v>76.434921000000003</v>
      </c>
      <c r="D4410" s="76">
        <v>75.448668999999995</v>
      </c>
      <c r="E4410" s="76">
        <v>76.054969999999997</v>
      </c>
      <c r="F4410" s="76">
        <v>74.863861</v>
      </c>
      <c r="G4410" s="79">
        <v>1031000</v>
      </c>
    </row>
    <row r="4411" spans="1:7" x14ac:dyDescent="0.25">
      <c r="A4411" s="1" t="s">
        <v>4534</v>
      </c>
      <c r="B4411" s="76">
        <v>76.434921000000003</v>
      </c>
      <c r="C4411" s="76">
        <v>77.639449999999997</v>
      </c>
      <c r="D4411" s="76">
        <v>76.434921000000003</v>
      </c>
      <c r="E4411" s="76">
        <v>76.984641999999994</v>
      </c>
      <c r="F4411" s="76">
        <v>75.778976</v>
      </c>
      <c r="G4411" s="79">
        <v>774100</v>
      </c>
    </row>
    <row r="4412" spans="1:7" x14ac:dyDescent="0.25">
      <c r="A4412" s="1" t="s">
        <v>4535</v>
      </c>
      <c r="B4412" s="76">
        <v>77.13015</v>
      </c>
      <c r="C4412" s="76">
        <v>77.817299000000006</v>
      </c>
      <c r="D4412" s="76">
        <v>76.831039000000004</v>
      </c>
      <c r="E4412" s="76">
        <v>77.243331999999995</v>
      </c>
      <c r="F4412" s="76">
        <v>76.033614999999998</v>
      </c>
      <c r="G4412" s="79">
        <v>568300</v>
      </c>
    </row>
    <row r="4413" spans="1:7" x14ac:dyDescent="0.25">
      <c r="A4413" s="1" t="s">
        <v>4536</v>
      </c>
      <c r="B4413" s="76">
        <v>77.518187999999995</v>
      </c>
      <c r="C4413" s="76">
        <v>78.245757999999995</v>
      </c>
      <c r="D4413" s="76">
        <v>77.380759999999995</v>
      </c>
      <c r="E4413" s="76">
        <v>77.526275999999996</v>
      </c>
      <c r="F4413" s="76">
        <v>76.312126000000006</v>
      </c>
      <c r="G4413" s="79">
        <v>984100</v>
      </c>
    </row>
    <row r="4414" spans="1:7" x14ac:dyDescent="0.25">
      <c r="A4414" s="1" t="s">
        <v>4537</v>
      </c>
      <c r="B4414" s="76">
        <v>77.623283000000001</v>
      </c>
      <c r="C4414" s="76">
        <v>78.617621999999997</v>
      </c>
      <c r="D4414" s="76">
        <v>77.089737</v>
      </c>
      <c r="E4414" s="76">
        <v>78.439774</v>
      </c>
      <c r="F4414" s="76">
        <v>77.211318999999904</v>
      </c>
      <c r="G4414" s="79">
        <v>1141600</v>
      </c>
    </row>
    <row r="4415" spans="1:7" x14ac:dyDescent="0.25">
      <c r="A4415" s="1" t="s">
        <v>4538</v>
      </c>
      <c r="B4415" s="76">
        <v>78.449996999999996</v>
      </c>
      <c r="C4415" s="76">
        <v>79.330001999999993</v>
      </c>
      <c r="D4415" s="76">
        <v>77.260002</v>
      </c>
      <c r="E4415" s="76">
        <v>77.589995999999999</v>
      </c>
      <c r="F4415" s="76">
        <v>76.374847000000003</v>
      </c>
      <c r="G4415" s="79">
        <v>2481700</v>
      </c>
    </row>
    <row r="4416" spans="1:7" x14ac:dyDescent="0.25">
      <c r="A4416" s="1" t="s">
        <v>4539</v>
      </c>
      <c r="B4416" s="76">
        <v>77.529999000000004</v>
      </c>
      <c r="C4416" s="76">
        <v>80.589995999999999</v>
      </c>
      <c r="D4416" s="76">
        <v>77.5</v>
      </c>
      <c r="E4416" s="76">
        <v>80.559997999999993</v>
      </c>
      <c r="F4416" s="76">
        <v>79.298339999999996</v>
      </c>
      <c r="G4416" s="79">
        <v>2427800</v>
      </c>
    </row>
    <row r="4417" spans="1:7" x14ac:dyDescent="0.25">
      <c r="A4417" s="1" t="s">
        <v>4540</v>
      </c>
      <c r="B4417" s="76">
        <v>80.550003000000004</v>
      </c>
      <c r="C4417" s="76">
        <v>80.629997000000003</v>
      </c>
      <c r="D4417" s="76">
        <v>78.930000000000007</v>
      </c>
      <c r="E4417" s="76">
        <v>79.199996999999996</v>
      </c>
      <c r="F4417" s="76">
        <v>77.959641000000005</v>
      </c>
      <c r="G4417" s="79">
        <v>2259500</v>
      </c>
    </row>
    <row r="4418" spans="1:7" x14ac:dyDescent="0.25">
      <c r="A4418" s="1" t="s">
        <v>4541</v>
      </c>
      <c r="B4418" s="76">
        <v>79.150002000000001</v>
      </c>
      <c r="C4418" s="76">
        <v>79.400002000000001</v>
      </c>
      <c r="D4418" s="76">
        <v>78.25</v>
      </c>
      <c r="E4418" s="76">
        <v>78.690002000000007</v>
      </c>
      <c r="F4418" s="76">
        <v>77.457626000000005</v>
      </c>
      <c r="G4418" s="79">
        <v>1078200</v>
      </c>
    </row>
    <row r="4419" spans="1:7" x14ac:dyDescent="0.25">
      <c r="A4419" s="1" t="s">
        <v>4542</v>
      </c>
      <c r="B4419" s="76">
        <v>78.650002000000001</v>
      </c>
      <c r="C4419" s="76">
        <v>79.120002999999997</v>
      </c>
      <c r="D4419" s="76">
        <v>78.069999999999993</v>
      </c>
      <c r="E4419" s="76">
        <v>78.110000999999997</v>
      </c>
      <c r="F4419" s="76">
        <v>76.886711000000005</v>
      </c>
      <c r="G4419" s="79">
        <v>1216600</v>
      </c>
    </row>
    <row r="4420" spans="1:7" x14ac:dyDescent="0.25">
      <c r="A4420" s="1" t="s">
        <v>4543</v>
      </c>
      <c r="B4420" s="76">
        <v>78.470000999999996</v>
      </c>
      <c r="C4420" s="76">
        <v>78.580001999999993</v>
      </c>
      <c r="D4420" s="76">
        <v>77.809997999999993</v>
      </c>
      <c r="E4420" s="76">
        <v>78.110000999999997</v>
      </c>
      <c r="F4420" s="76">
        <v>76.886711000000005</v>
      </c>
      <c r="G4420" s="79">
        <v>847600</v>
      </c>
    </row>
    <row r="4421" spans="1:7" x14ac:dyDescent="0.25">
      <c r="A4421" s="1" t="s">
        <v>4544</v>
      </c>
      <c r="B4421" s="76">
        <v>78.019997000000004</v>
      </c>
      <c r="C4421" s="76">
        <v>78.370002999999997</v>
      </c>
      <c r="D4421" s="76">
        <v>77.739998</v>
      </c>
      <c r="E4421" s="76">
        <v>78.059997999999993</v>
      </c>
      <c r="F4421" s="76">
        <v>76.837493999999893</v>
      </c>
      <c r="G4421" s="79">
        <v>485100</v>
      </c>
    </row>
    <row r="4422" spans="1:7" x14ac:dyDescent="0.25">
      <c r="A4422" s="1" t="s">
        <v>4545</v>
      </c>
      <c r="B4422" s="76">
        <v>77.889999000000003</v>
      </c>
      <c r="C4422" s="76">
        <v>79.010002</v>
      </c>
      <c r="D4422" s="76">
        <v>77.25</v>
      </c>
      <c r="E4422" s="76">
        <v>78.989998</v>
      </c>
      <c r="F4422" s="76">
        <v>77.752921999999998</v>
      </c>
      <c r="G4422" s="79">
        <v>962300</v>
      </c>
    </row>
    <row r="4423" spans="1:7" x14ac:dyDescent="0.25">
      <c r="A4423" s="1" t="s">
        <v>4546</v>
      </c>
      <c r="B4423" s="76">
        <v>79.050003000000004</v>
      </c>
      <c r="C4423" s="76">
        <v>79.059997999999993</v>
      </c>
      <c r="D4423" s="76">
        <v>78.360000999999997</v>
      </c>
      <c r="E4423" s="76">
        <v>78.959998999999996</v>
      </c>
      <c r="F4423" s="76">
        <v>77.723395999999994</v>
      </c>
      <c r="G4423" s="79">
        <v>898500</v>
      </c>
    </row>
    <row r="4424" spans="1:7" x14ac:dyDescent="0.25">
      <c r="A4424" s="1" t="s">
        <v>4547</v>
      </c>
      <c r="B4424" s="76">
        <v>79.010002</v>
      </c>
      <c r="C4424" s="76">
        <v>79.660004000000001</v>
      </c>
      <c r="D4424" s="76">
        <v>78.300003000000004</v>
      </c>
      <c r="E4424" s="76">
        <v>79.349997999999999</v>
      </c>
      <c r="F4424" s="76">
        <v>78.107292000000001</v>
      </c>
      <c r="G4424" s="79">
        <v>1168200</v>
      </c>
    </row>
    <row r="4425" spans="1:7" x14ac:dyDescent="0.25">
      <c r="A4425" s="1" t="s">
        <v>4548</v>
      </c>
      <c r="B4425" s="76">
        <v>79.800003000000004</v>
      </c>
      <c r="C4425" s="76">
        <v>80.919997999999893</v>
      </c>
      <c r="D4425" s="76">
        <v>78.510002</v>
      </c>
      <c r="E4425" s="76">
        <v>79.510002</v>
      </c>
      <c r="F4425" s="76">
        <v>78.264786000000001</v>
      </c>
      <c r="G4425" s="79">
        <v>1719800</v>
      </c>
    </row>
    <row r="4426" spans="1:7" x14ac:dyDescent="0.25">
      <c r="A4426" s="1" t="s">
        <v>4549</v>
      </c>
      <c r="B4426" s="76">
        <v>79.129997000000003</v>
      </c>
      <c r="C4426" s="76">
        <v>80.25</v>
      </c>
      <c r="D4426" s="76">
        <v>78.680000000000007</v>
      </c>
      <c r="E4426" s="76">
        <v>78.760002</v>
      </c>
      <c r="F4426" s="76">
        <v>77.526534999999996</v>
      </c>
      <c r="G4426" s="79">
        <v>1231600</v>
      </c>
    </row>
    <row r="4427" spans="1:7" x14ac:dyDescent="0.25">
      <c r="A4427" s="1" t="s">
        <v>4550</v>
      </c>
      <c r="B4427" s="76">
        <v>78.069999999999993</v>
      </c>
      <c r="C4427" s="76">
        <v>79.319999999999993</v>
      </c>
      <c r="D4427" s="76">
        <v>77.900002000000001</v>
      </c>
      <c r="E4427" s="76">
        <v>79.150002000000001</v>
      </c>
      <c r="F4427" s="76">
        <v>78.508506999999994</v>
      </c>
      <c r="G4427" s="79">
        <v>767300</v>
      </c>
    </row>
    <row r="4428" spans="1:7" x14ac:dyDescent="0.25">
      <c r="A4428" s="1" t="s">
        <v>4551</v>
      </c>
      <c r="B4428" s="76">
        <v>79.230002999999996</v>
      </c>
      <c r="C4428" s="76">
        <v>79.830001999999993</v>
      </c>
      <c r="D4428" s="76">
        <v>78.919997999999893</v>
      </c>
      <c r="E4428" s="76">
        <v>79.470000999999996</v>
      </c>
      <c r="F4428" s="76">
        <v>78.825912000000002</v>
      </c>
      <c r="G4428" s="79">
        <v>569400</v>
      </c>
    </row>
    <row r="4429" spans="1:7" x14ac:dyDescent="0.25">
      <c r="A4429" s="1" t="s">
        <v>4552</v>
      </c>
      <c r="B4429" s="76">
        <v>79.430000000000007</v>
      </c>
      <c r="C4429" s="76">
        <v>79.459998999999996</v>
      </c>
      <c r="D4429" s="76">
        <v>78.849997999999999</v>
      </c>
      <c r="E4429" s="76">
        <v>79.25</v>
      </c>
      <c r="F4429" s="76">
        <v>78.607697000000002</v>
      </c>
      <c r="G4429" s="79">
        <v>1478400</v>
      </c>
    </row>
    <row r="4430" spans="1:7" x14ac:dyDescent="0.25">
      <c r="A4430" s="1" t="s">
        <v>4553</v>
      </c>
      <c r="B4430" s="76">
        <v>79.080001999999993</v>
      </c>
      <c r="C4430" s="76">
        <v>79.400002000000001</v>
      </c>
      <c r="D4430" s="76">
        <v>78.169997999999893</v>
      </c>
      <c r="E4430" s="76">
        <v>78.5</v>
      </c>
      <c r="F4430" s="76">
        <v>77.863770000000002</v>
      </c>
      <c r="G4430" s="79">
        <v>1117100</v>
      </c>
    </row>
    <row r="4431" spans="1:7" x14ac:dyDescent="0.25">
      <c r="A4431" s="1" t="s">
        <v>4554</v>
      </c>
      <c r="B4431" s="76">
        <v>78.5</v>
      </c>
      <c r="C4431" s="76">
        <v>78.5</v>
      </c>
      <c r="D4431" s="76">
        <v>77.790001000000004</v>
      </c>
      <c r="E4431" s="76">
        <v>77.879997000000003</v>
      </c>
      <c r="F4431" s="76">
        <v>77.248795000000001</v>
      </c>
      <c r="G4431" s="79">
        <v>572100</v>
      </c>
    </row>
    <row r="4432" spans="1:7" x14ac:dyDescent="0.25">
      <c r="A4432" s="1" t="s">
        <v>4555</v>
      </c>
      <c r="B4432" s="76">
        <v>77.660004000000001</v>
      </c>
      <c r="C4432" s="76">
        <v>77.75</v>
      </c>
      <c r="D4432" s="76">
        <v>76.569999999999993</v>
      </c>
      <c r="E4432" s="76">
        <v>76.639999000000003</v>
      </c>
      <c r="F4432" s="76">
        <v>76.018844999999999</v>
      </c>
      <c r="G4432" s="79">
        <v>750400</v>
      </c>
    </row>
    <row r="4433" spans="1:7" x14ac:dyDescent="0.25">
      <c r="A4433" s="1" t="s">
        <v>4556</v>
      </c>
      <c r="B4433" s="76">
        <v>76.550003000000004</v>
      </c>
      <c r="C4433" s="76">
        <v>76.860000999999997</v>
      </c>
      <c r="D4433" s="76">
        <v>75.550003000000004</v>
      </c>
      <c r="E4433" s="76">
        <v>75.730002999999996</v>
      </c>
      <c r="F4433" s="76">
        <v>75.116225999999997</v>
      </c>
      <c r="G4433" s="79">
        <v>863200</v>
      </c>
    </row>
    <row r="4434" spans="1:7" x14ac:dyDescent="0.25">
      <c r="A4434" s="1" t="s">
        <v>4557</v>
      </c>
      <c r="B4434" s="76">
        <v>76.180000000000007</v>
      </c>
      <c r="C4434" s="76">
        <v>77.5</v>
      </c>
      <c r="D4434" s="76">
        <v>76.139999000000003</v>
      </c>
      <c r="E4434" s="76">
        <v>76.930000000000007</v>
      </c>
      <c r="F4434" s="76">
        <v>76.306495999999996</v>
      </c>
      <c r="G4434" s="79">
        <v>896300</v>
      </c>
    </row>
    <row r="4435" spans="1:7" x14ac:dyDescent="0.25">
      <c r="A4435" s="1" t="s">
        <v>4558</v>
      </c>
      <c r="B4435" s="76">
        <v>76.790001000000004</v>
      </c>
      <c r="C4435" s="76">
        <v>76.790001000000004</v>
      </c>
      <c r="D4435" s="76">
        <v>75.449996999999996</v>
      </c>
      <c r="E4435" s="76">
        <v>76.25</v>
      </c>
      <c r="F4435" s="76">
        <v>75.632011000000006</v>
      </c>
      <c r="G4435" s="79">
        <v>970200</v>
      </c>
    </row>
    <row r="4436" spans="1:7" x14ac:dyDescent="0.25">
      <c r="A4436" s="1" t="s">
        <v>4559</v>
      </c>
      <c r="B4436" s="76">
        <v>76.419997999999893</v>
      </c>
      <c r="C4436" s="76">
        <v>76.830001999999993</v>
      </c>
      <c r="D4436" s="76">
        <v>75.720000999999996</v>
      </c>
      <c r="E4436" s="76">
        <v>75.900002000000001</v>
      </c>
      <c r="F4436" s="76">
        <v>75.284842999999995</v>
      </c>
      <c r="G4436" s="79">
        <v>908200</v>
      </c>
    </row>
    <row r="4437" spans="1:7" x14ac:dyDescent="0.25">
      <c r="A4437" s="1" t="s">
        <v>4560</v>
      </c>
      <c r="B4437" s="76">
        <v>75.699996999999996</v>
      </c>
      <c r="C4437" s="76">
        <v>76.120002999999997</v>
      </c>
      <c r="D4437" s="76">
        <v>75.230002999999996</v>
      </c>
      <c r="E4437" s="76">
        <v>75.300003000000004</v>
      </c>
      <c r="F4437" s="76">
        <v>74.689712999999998</v>
      </c>
      <c r="G4437" s="79">
        <v>1116200</v>
      </c>
    </row>
    <row r="4438" spans="1:7" x14ac:dyDescent="0.25">
      <c r="A4438" s="1" t="s">
        <v>4561</v>
      </c>
      <c r="B4438" s="76">
        <v>75.040001000000004</v>
      </c>
      <c r="C4438" s="76">
        <v>75.319999999999993</v>
      </c>
      <c r="D4438" s="76">
        <v>73.480002999999996</v>
      </c>
      <c r="E4438" s="76">
        <v>73.910004000000001</v>
      </c>
      <c r="F4438" s="76">
        <v>73.310974000000002</v>
      </c>
      <c r="G4438" s="79">
        <v>1098300</v>
      </c>
    </row>
    <row r="4439" spans="1:7" x14ac:dyDescent="0.25">
      <c r="A4439" s="1" t="s">
        <v>4562</v>
      </c>
      <c r="B4439" s="76">
        <v>73.959998999999996</v>
      </c>
      <c r="C4439" s="76">
        <v>74.220000999999996</v>
      </c>
      <c r="D4439" s="76">
        <v>73.190002000000007</v>
      </c>
      <c r="E4439" s="76">
        <v>73.879997000000003</v>
      </c>
      <c r="F4439" s="76">
        <v>73.281211999999996</v>
      </c>
      <c r="G4439" s="79">
        <v>1029600</v>
      </c>
    </row>
    <row r="4440" spans="1:7" x14ac:dyDescent="0.25">
      <c r="A4440" s="1" t="s">
        <v>4563</v>
      </c>
      <c r="B4440" s="76">
        <v>74.059997999999993</v>
      </c>
      <c r="C4440" s="76">
        <v>74.25</v>
      </c>
      <c r="D4440" s="76">
        <v>73.019997000000004</v>
      </c>
      <c r="E4440" s="76">
        <v>73.379997000000003</v>
      </c>
      <c r="F4440" s="76">
        <v>72.785270999999995</v>
      </c>
      <c r="G4440" s="79">
        <v>1019100</v>
      </c>
    </row>
    <row r="4441" spans="1:7" x14ac:dyDescent="0.25">
      <c r="A4441" s="1" t="s">
        <v>4564</v>
      </c>
      <c r="B4441" s="76">
        <v>73.260002</v>
      </c>
      <c r="C4441" s="76">
        <v>74.589995999999999</v>
      </c>
      <c r="D4441" s="76">
        <v>73.199996999999996</v>
      </c>
      <c r="E4441" s="76">
        <v>74.059997999999993</v>
      </c>
      <c r="F4441" s="76">
        <v>73.459755000000001</v>
      </c>
      <c r="G4441" s="79">
        <v>900300</v>
      </c>
    </row>
    <row r="4442" spans="1:7" x14ac:dyDescent="0.25">
      <c r="A4442" s="1" t="s">
        <v>4565</v>
      </c>
      <c r="B4442" s="76">
        <v>74.720000999999996</v>
      </c>
      <c r="C4442" s="76">
        <v>75.230002999999996</v>
      </c>
      <c r="D4442" s="76">
        <v>73.980002999999996</v>
      </c>
      <c r="E4442" s="76">
        <v>74</v>
      </c>
      <c r="F4442" s="76">
        <v>73.400245999999996</v>
      </c>
      <c r="G4442" s="79">
        <v>1505100</v>
      </c>
    </row>
    <row r="4443" spans="1:7" x14ac:dyDescent="0.25">
      <c r="A4443" s="1" t="s">
        <v>4566</v>
      </c>
      <c r="B4443" s="76">
        <v>74.160004000000001</v>
      </c>
      <c r="C4443" s="76">
        <v>75.089995999999999</v>
      </c>
      <c r="D4443" s="76">
        <v>73.790001000000004</v>
      </c>
      <c r="E4443" s="76">
        <v>74.699996999999996</v>
      </c>
      <c r="F4443" s="76">
        <v>74.094566</v>
      </c>
      <c r="G4443" s="79">
        <v>1263100</v>
      </c>
    </row>
    <row r="4444" spans="1:7" x14ac:dyDescent="0.25">
      <c r="A4444" s="1" t="s">
        <v>4567</v>
      </c>
      <c r="B4444" s="76">
        <v>75.510002</v>
      </c>
      <c r="C4444" s="76">
        <v>75.510002</v>
      </c>
      <c r="D4444" s="76">
        <v>73.900002000000001</v>
      </c>
      <c r="E4444" s="76">
        <v>74.449996999999996</v>
      </c>
      <c r="F4444" s="76">
        <v>73.846595999999906</v>
      </c>
      <c r="G4444" s="79">
        <v>1200200</v>
      </c>
    </row>
    <row r="4445" spans="1:7" x14ac:dyDescent="0.25">
      <c r="A4445" s="1" t="s">
        <v>4568</v>
      </c>
      <c r="B4445" s="76">
        <v>74.360000999999997</v>
      </c>
      <c r="C4445" s="76">
        <v>74.5</v>
      </c>
      <c r="D4445" s="76">
        <v>73.680000000000007</v>
      </c>
      <c r="E4445" s="76">
        <v>74.160004000000001</v>
      </c>
      <c r="F4445" s="76">
        <v>73.558952000000005</v>
      </c>
      <c r="G4445" s="79">
        <v>649900</v>
      </c>
    </row>
    <row r="4446" spans="1:7" x14ac:dyDescent="0.25">
      <c r="A4446" s="1" t="s">
        <v>4569</v>
      </c>
      <c r="B4446" s="76">
        <v>73.529999000000004</v>
      </c>
      <c r="C4446" s="76">
        <v>74.5</v>
      </c>
      <c r="D4446" s="76">
        <v>73.169997999999893</v>
      </c>
      <c r="E4446" s="76">
        <v>74.260002</v>
      </c>
      <c r="F4446" s="76">
        <v>73.658141999999998</v>
      </c>
      <c r="G4446" s="79">
        <v>1008500</v>
      </c>
    </row>
    <row r="4447" spans="1:7" x14ac:dyDescent="0.25">
      <c r="A4447" s="1" t="s">
        <v>4570</v>
      </c>
      <c r="B4447" s="76">
        <v>74.529999000000004</v>
      </c>
      <c r="C4447" s="76">
        <v>74.860000999999997</v>
      </c>
      <c r="D4447" s="76">
        <v>74.129997000000003</v>
      </c>
      <c r="E4447" s="76">
        <v>74.489998</v>
      </c>
      <c r="F4447" s="76">
        <v>73.886268999999999</v>
      </c>
      <c r="G4447" s="79">
        <v>1249900</v>
      </c>
    </row>
    <row r="4448" spans="1:7" x14ac:dyDescent="0.25">
      <c r="A4448" s="1" t="s">
        <v>4571</v>
      </c>
      <c r="B4448" s="76">
        <v>74.519997000000004</v>
      </c>
      <c r="C4448" s="76">
        <v>75.199996999999996</v>
      </c>
      <c r="D4448" s="76">
        <v>74.209998999999996</v>
      </c>
      <c r="E4448" s="76">
        <v>74.989998</v>
      </c>
      <c r="F4448" s="76">
        <v>74.382216999999997</v>
      </c>
      <c r="G4448" s="79">
        <v>616400</v>
      </c>
    </row>
    <row r="4449" spans="1:7" x14ac:dyDescent="0.25">
      <c r="A4449" s="1" t="s">
        <v>4572</v>
      </c>
      <c r="B4449" s="76">
        <v>75.190002000000007</v>
      </c>
      <c r="C4449" s="76">
        <v>75.430000000000007</v>
      </c>
      <c r="D4449" s="76">
        <v>73.839995999999999</v>
      </c>
      <c r="E4449" s="76">
        <v>74.349997999999999</v>
      </c>
      <c r="F4449" s="76">
        <v>73.747405999999998</v>
      </c>
      <c r="G4449" s="79">
        <v>658300</v>
      </c>
    </row>
    <row r="4450" spans="1:7" x14ac:dyDescent="0.25">
      <c r="A4450" s="1" t="s">
        <v>4573</v>
      </c>
      <c r="B4450" s="76">
        <v>74.680000000000007</v>
      </c>
      <c r="C4450" s="76">
        <v>75.110000999999997</v>
      </c>
      <c r="D4450" s="76">
        <v>74.279999000000004</v>
      </c>
      <c r="E4450" s="76">
        <v>74.370002999999997</v>
      </c>
      <c r="F4450" s="76">
        <v>73.767250000000004</v>
      </c>
      <c r="G4450" s="79">
        <v>1054900</v>
      </c>
    </row>
    <row r="4451" spans="1:7" x14ac:dyDescent="0.25">
      <c r="A4451" s="1" t="s">
        <v>4574</v>
      </c>
      <c r="B4451" s="76">
        <v>74.540001000000004</v>
      </c>
      <c r="C4451" s="76">
        <v>74.830001999999993</v>
      </c>
      <c r="D4451" s="76">
        <v>73.239998</v>
      </c>
      <c r="E4451" s="76">
        <v>73.519997000000004</v>
      </c>
      <c r="F4451" s="76">
        <v>72.924132999999998</v>
      </c>
      <c r="G4451" s="79">
        <v>1176600</v>
      </c>
    </row>
    <row r="4452" spans="1:7" x14ac:dyDescent="0.25">
      <c r="A4452" s="1" t="s">
        <v>4575</v>
      </c>
      <c r="B4452" s="76">
        <v>73.370002999999997</v>
      </c>
      <c r="C4452" s="76">
        <v>74.470000999999996</v>
      </c>
      <c r="D4452" s="76">
        <v>73.370002999999997</v>
      </c>
      <c r="E4452" s="76">
        <v>73.900002000000001</v>
      </c>
      <c r="F4452" s="76">
        <v>73.301056000000003</v>
      </c>
      <c r="G4452" s="79">
        <v>1286600</v>
      </c>
    </row>
    <row r="4453" spans="1:7" x14ac:dyDescent="0.25">
      <c r="A4453" s="1" t="s">
        <v>4576</v>
      </c>
      <c r="B4453" s="76">
        <v>74.309997999999993</v>
      </c>
      <c r="C4453" s="76">
        <v>75.040001000000004</v>
      </c>
      <c r="D4453" s="76">
        <v>73.879997000000003</v>
      </c>
      <c r="E4453" s="76">
        <v>74.910004000000001</v>
      </c>
      <c r="F4453" s="76">
        <v>74.302871999999994</v>
      </c>
      <c r="G4453" s="79">
        <v>711600</v>
      </c>
    </row>
    <row r="4454" spans="1:7" x14ac:dyDescent="0.25">
      <c r="A4454" s="1" t="s">
        <v>4577</v>
      </c>
      <c r="B4454" s="76">
        <v>74.910004000000001</v>
      </c>
      <c r="C4454" s="76">
        <v>75.160004000000001</v>
      </c>
      <c r="D4454" s="76">
        <v>74</v>
      </c>
      <c r="E4454" s="76">
        <v>74.300003000000004</v>
      </c>
      <c r="F4454" s="76">
        <v>73.697815000000006</v>
      </c>
      <c r="G4454" s="79">
        <v>645800</v>
      </c>
    </row>
    <row r="4455" spans="1:7" x14ac:dyDescent="0.25">
      <c r="A4455" s="1" t="s">
        <v>4578</v>
      </c>
      <c r="B4455" s="76">
        <v>74.199996999999996</v>
      </c>
      <c r="C4455" s="76">
        <v>74.669997999999893</v>
      </c>
      <c r="D4455" s="76">
        <v>73.940002000000007</v>
      </c>
      <c r="E4455" s="76">
        <v>74.519997000000004</v>
      </c>
      <c r="F4455" s="76">
        <v>73.916022999999996</v>
      </c>
      <c r="G4455" s="79">
        <v>1308700</v>
      </c>
    </row>
    <row r="4456" spans="1:7" x14ac:dyDescent="0.25">
      <c r="A4456" s="1" t="s">
        <v>4579</v>
      </c>
      <c r="B4456" s="76">
        <v>74.480002999999996</v>
      </c>
      <c r="C4456" s="76">
        <v>75.660004000000001</v>
      </c>
      <c r="D4456" s="76">
        <v>74.309997999999993</v>
      </c>
      <c r="E4456" s="76">
        <v>75.180000000000007</v>
      </c>
      <c r="F4456" s="76">
        <v>74.570678999999998</v>
      </c>
      <c r="G4456" s="79">
        <v>1435000</v>
      </c>
    </row>
    <row r="4457" spans="1:7" x14ac:dyDescent="0.25">
      <c r="A4457" s="1" t="s">
        <v>4580</v>
      </c>
      <c r="B4457" s="76">
        <v>75.230002999999996</v>
      </c>
      <c r="C4457" s="76">
        <v>75.540001000000004</v>
      </c>
      <c r="D4457" s="76">
        <v>74.709998999999996</v>
      </c>
      <c r="E4457" s="76">
        <v>75.110000999999997</v>
      </c>
      <c r="F4457" s="76">
        <v>74.501250999999996</v>
      </c>
      <c r="G4457" s="79">
        <v>1704000</v>
      </c>
    </row>
    <row r="4458" spans="1:7" x14ac:dyDescent="0.25">
      <c r="A4458" s="1" t="s">
        <v>4581</v>
      </c>
      <c r="B4458" s="76">
        <v>75.069999999999993</v>
      </c>
      <c r="C4458" s="76">
        <v>75.360000999999997</v>
      </c>
      <c r="D4458" s="76">
        <v>74.459998999999996</v>
      </c>
      <c r="E4458" s="76">
        <v>74.559997999999993</v>
      </c>
      <c r="F4458" s="76">
        <v>73.955703999999997</v>
      </c>
      <c r="G4458" s="79">
        <v>1347800</v>
      </c>
    </row>
    <row r="4459" spans="1:7" x14ac:dyDescent="0.25">
      <c r="A4459" s="1" t="s">
        <v>4582</v>
      </c>
      <c r="B4459" s="76">
        <v>74.529999000000004</v>
      </c>
      <c r="C4459" s="76">
        <v>74.589995999999999</v>
      </c>
      <c r="D4459" s="76">
        <v>73.330001999999993</v>
      </c>
      <c r="E4459" s="76">
        <v>73.370002999999997</v>
      </c>
      <c r="F4459" s="76">
        <v>72.775351999999998</v>
      </c>
      <c r="G4459" s="79">
        <v>1382700</v>
      </c>
    </row>
    <row r="4460" spans="1:7" x14ac:dyDescent="0.25">
      <c r="A4460" s="1" t="s">
        <v>4583</v>
      </c>
      <c r="B4460" s="76">
        <v>73.370002999999997</v>
      </c>
      <c r="C4460" s="76">
        <v>73.860000999999997</v>
      </c>
      <c r="D4460" s="76">
        <v>72.769997000000004</v>
      </c>
      <c r="E4460" s="76">
        <v>73.830001999999993</v>
      </c>
      <c r="F4460" s="76">
        <v>73.231620999999905</v>
      </c>
      <c r="G4460" s="79">
        <v>1025300</v>
      </c>
    </row>
    <row r="4461" spans="1:7" x14ac:dyDescent="0.25">
      <c r="A4461" s="1" t="s">
        <v>4584</v>
      </c>
      <c r="B4461" s="76">
        <v>73.910004000000001</v>
      </c>
      <c r="C4461" s="76">
        <v>75.809997999999993</v>
      </c>
      <c r="D4461" s="76">
        <v>73.889999000000003</v>
      </c>
      <c r="E4461" s="76">
        <v>75.629997000000003</v>
      </c>
      <c r="F4461" s="76">
        <v>75.017028999999994</v>
      </c>
      <c r="G4461" s="79">
        <v>1270700</v>
      </c>
    </row>
    <row r="4462" spans="1:7" x14ac:dyDescent="0.25">
      <c r="A4462" s="1" t="s">
        <v>4585</v>
      </c>
      <c r="B4462" s="76">
        <v>75.639999000000003</v>
      </c>
      <c r="C4462" s="76">
        <v>76.089995999999999</v>
      </c>
      <c r="D4462" s="76">
        <v>75.260002</v>
      </c>
      <c r="E4462" s="76">
        <v>75.660004000000001</v>
      </c>
      <c r="F4462" s="76">
        <v>75.046790999999999</v>
      </c>
      <c r="G4462" s="79">
        <v>2078800</v>
      </c>
    </row>
    <row r="4463" spans="1:7" x14ac:dyDescent="0.25">
      <c r="A4463" s="1" t="s">
        <v>4586</v>
      </c>
      <c r="B4463" s="76">
        <v>75.660004000000001</v>
      </c>
      <c r="C4463" s="76">
        <v>76.360000999999997</v>
      </c>
      <c r="D4463" s="76">
        <v>75.430000000000007</v>
      </c>
      <c r="E4463" s="76">
        <v>76.110000999999997</v>
      </c>
      <c r="F4463" s="76">
        <v>75.493140999999994</v>
      </c>
      <c r="G4463" s="79">
        <v>869000</v>
      </c>
    </row>
    <row r="4464" spans="1:7" x14ac:dyDescent="0.25">
      <c r="A4464" s="1" t="s">
        <v>4587</v>
      </c>
      <c r="B4464" s="76">
        <v>76.099997999999999</v>
      </c>
      <c r="C4464" s="76">
        <v>77.150002000000001</v>
      </c>
      <c r="D4464" s="76">
        <v>75.800003000000004</v>
      </c>
      <c r="E4464" s="76">
        <v>76.959998999999996</v>
      </c>
      <c r="F4464" s="76">
        <v>76.336250000000007</v>
      </c>
      <c r="G4464" s="79">
        <v>1570800</v>
      </c>
    </row>
    <row r="4465" spans="1:7" x14ac:dyDescent="0.25">
      <c r="A4465" s="1" t="s">
        <v>4588</v>
      </c>
      <c r="B4465" s="76">
        <v>76.800003000000004</v>
      </c>
      <c r="C4465" s="76">
        <v>77.019997000000004</v>
      </c>
      <c r="D4465" s="76">
        <v>76.449996999999996</v>
      </c>
      <c r="E4465" s="76">
        <v>76.849997999999999</v>
      </c>
      <c r="F4465" s="76">
        <v>76.227142000000001</v>
      </c>
      <c r="G4465" s="79">
        <v>1644700</v>
      </c>
    </row>
    <row r="4466" spans="1:7" x14ac:dyDescent="0.25">
      <c r="A4466" s="1" t="s">
        <v>4589</v>
      </c>
      <c r="B4466" s="76">
        <v>76.830001999999993</v>
      </c>
      <c r="C4466" s="76">
        <v>77.569999999999993</v>
      </c>
      <c r="D4466" s="76">
        <v>76.669997999999893</v>
      </c>
      <c r="E4466" s="76">
        <v>77.300003000000004</v>
      </c>
      <c r="F4466" s="76">
        <v>76.673500000000004</v>
      </c>
      <c r="G4466" s="79">
        <v>1266700</v>
      </c>
    </row>
    <row r="4467" spans="1:7" x14ac:dyDescent="0.25">
      <c r="A4467" s="1" t="s">
        <v>4590</v>
      </c>
      <c r="B4467" s="76">
        <v>77.199996999999996</v>
      </c>
      <c r="C4467" s="76">
        <v>77.489998</v>
      </c>
      <c r="D4467" s="76">
        <v>76.319999999999993</v>
      </c>
      <c r="E4467" s="76">
        <v>76.879997000000003</v>
      </c>
      <c r="F4467" s="76">
        <v>76.256896999999995</v>
      </c>
      <c r="G4467" s="79">
        <v>1400400</v>
      </c>
    </row>
    <row r="4468" spans="1:7" x14ac:dyDescent="0.25">
      <c r="A4468" s="1" t="s">
        <v>4591</v>
      </c>
      <c r="B4468" s="76">
        <v>77</v>
      </c>
      <c r="C4468" s="76">
        <v>77.360000999999997</v>
      </c>
      <c r="D4468" s="76">
        <v>76.580001999999993</v>
      </c>
      <c r="E4468" s="76">
        <v>77.010002</v>
      </c>
      <c r="F4468" s="76">
        <v>76.385848999999993</v>
      </c>
      <c r="G4468" s="79">
        <v>849600</v>
      </c>
    </row>
    <row r="4469" spans="1:7" x14ac:dyDescent="0.25">
      <c r="A4469" s="1" t="s">
        <v>4592</v>
      </c>
      <c r="B4469" s="76">
        <v>77.050003000000004</v>
      </c>
      <c r="C4469" s="76">
        <v>77.330001999999993</v>
      </c>
      <c r="D4469" s="76">
        <v>76.720000999999996</v>
      </c>
      <c r="E4469" s="76">
        <v>77.290001000000004</v>
      </c>
      <c r="F4469" s="76">
        <v>76.663581999999906</v>
      </c>
      <c r="G4469" s="79">
        <v>777000</v>
      </c>
    </row>
    <row r="4470" spans="1:7" x14ac:dyDescent="0.25">
      <c r="A4470" s="1" t="s">
        <v>4593</v>
      </c>
      <c r="B4470" s="76">
        <v>77.319999999999993</v>
      </c>
      <c r="C4470" s="76">
        <v>77.669997999999893</v>
      </c>
      <c r="D4470" s="76">
        <v>77.029999000000004</v>
      </c>
      <c r="E4470" s="76">
        <v>77.660004000000001</v>
      </c>
      <c r="F4470" s="76">
        <v>77.030586</v>
      </c>
      <c r="G4470" s="79">
        <v>611000</v>
      </c>
    </row>
    <row r="4471" spans="1:7" x14ac:dyDescent="0.25">
      <c r="A4471" s="1" t="s">
        <v>4594</v>
      </c>
      <c r="B4471" s="76">
        <v>77.779999000000004</v>
      </c>
      <c r="C4471" s="76">
        <v>78.860000999999997</v>
      </c>
      <c r="D4471" s="76">
        <v>77.650002000000001</v>
      </c>
      <c r="E4471" s="76">
        <v>78.139999000000003</v>
      </c>
      <c r="F4471" s="76">
        <v>77.506691000000004</v>
      </c>
      <c r="G4471" s="79">
        <v>925000</v>
      </c>
    </row>
    <row r="4472" spans="1:7" x14ac:dyDescent="0.25">
      <c r="A4472" s="1" t="s">
        <v>4595</v>
      </c>
      <c r="B4472" s="76">
        <v>78.010002</v>
      </c>
      <c r="C4472" s="76">
        <v>78.190002000000007</v>
      </c>
      <c r="D4472" s="76">
        <v>77.290001000000004</v>
      </c>
      <c r="E4472" s="76">
        <v>78.089995999999999</v>
      </c>
      <c r="F4472" s="76">
        <v>77.457092000000003</v>
      </c>
      <c r="G4472" s="79">
        <v>437500</v>
      </c>
    </row>
    <row r="4473" spans="1:7" x14ac:dyDescent="0.25">
      <c r="A4473" s="1" t="s">
        <v>4596</v>
      </c>
      <c r="B4473" s="76">
        <v>77.970000999999996</v>
      </c>
      <c r="C4473" s="76">
        <v>78.25</v>
      </c>
      <c r="D4473" s="76">
        <v>77.699996999999996</v>
      </c>
      <c r="E4473" s="76">
        <v>77.800003000000004</v>
      </c>
      <c r="F4473" s="76">
        <v>77.169449</v>
      </c>
      <c r="G4473" s="79">
        <v>677200</v>
      </c>
    </row>
    <row r="4474" spans="1:7" x14ac:dyDescent="0.25">
      <c r="A4474" s="1" t="s">
        <v>4597</v>
      </c>
      <c r="B4474" s="76">
        <v>78.889999000000003</v>
      </c>
      <c r="C4474" s="76">
        <v>79.709998999999996</v>
      </c>
      <c r="D4474" s="76">
        <v>78.319999999999993</v>
      </c>
      <c r="E4474" s="76">
        <v>78.930000000000007</v>
      </c>
      <c r="F4474" s="76">
        <v>78.290290999999996</v>
      </c>
      <c r="G4474" s="79">
        <v>1353800</v>
      </c>
    </row>
    <row r="4475" spans="1:7" x14ac:dyDescent="0.25">
      <c r="A4475" s="1" t="s">
        <v>4598</v>
      </c>
      <c r="B4475" s="76">
        <v>78.949996999999996</v>
      </c>
      <c r="C4475" s="76">
        <v>79.800003000000004</v>
      </c>
      <c r="D4475" s="76">
        <v>78.720000999999996</v>
      </c>
      <c r="E4475" s="76">
        <v>79.360000999999997</v>
      </c>
      <c r="F4475" s="76">
        <v>78.716804999999994</v>
      </c>
      <c r="G4475" s="79">
        <v>1078800</v>
      </c>
    </row>
    <row r="4476" spans="1:7" x14ac:dyDescent="0.25">
      <c r="A4476" s="1" t="s">
        <v>4599</v>
      </c>
      <c r="B4476" s="76">
        <v>79.300003000000004</v>
      </c>
      <c r="C4476" s="76">
        <v>79.589995999999999</v>
      </c>
      <c r="D4476" s="76">
        <v>78.900002000000001</v>
      </c>
      <c r="E4476" s="76">
        <v>79.569999999999993</v>
      </c>
      <c r="F4476" s="76">
        <v>78.925101999999995</v>
      </c>
      <c r="G4476" s="79">
        <v>806700</v>
      </c>
    </row>
    <row r="4477" spans="1:7" x14ac:dyDescent="0.25">
      <c r="A4477" s="1" t="s">
        <v>4600</v>
      </c>
      <c r="B4477" s="76">
        <v>79.970000999999996</v>
      </c>
      <c r="C4477" s="76">
        <v>80.300003000000004</v>
      </c>
      <c r="D4477" s="76">
        <v>79.419997999999893</v>
      </c>
      <c r="E4477" s="76">
        <v>79.889999000000003</v>
      </c>
      <c r="F4477" s="76">
        <v>79.242508000000001</v>
      </c>
      <c r="G4477" s="79">
        <v>610800</v>
      </c>
    </row>
    <row r="4478" spans="1:7" x14ac:dyDescent="0.25">
      <c r="A4478" s="1" t="s">
        <v>4601</v>
      </c>
      <c r="B4478" s="76">
        <v>79.860000999999997</v>
      </c>
      <c r="C4478" s="76">
        <v>79.959998999999996</v>
      </c>
      <c r="D4478" s="76">
        <v>78.889999000000003</v>
      </c>
      <c r="E4478" s="76">
        <v>78.930000000000007</v>
      </c>
      <c r="F4478" s="76">
        <v>78.290290999999996</v>
      </c>
      <c r="G4478" s="79">
        <v>921400</v>
      </c>
    </row>
    <row r="4479" spans="1:7" x14ac:dyDescent="0.25">
      <c r="A4479" s="1" t="s">
        <v>4602</v>
      </c>
      <c r="B4479" s="76">
        <v>78.639999000000003</v>
      </c>
      <c r="C4479" s="76">
        <v>79.150002000000001</v>
      </c>
      <c r="D4479" s="76">
        <v>78.180000000000007</v>
      </c>
      <c r="E4479" s="76">
        <v>78.279999000000004</v>
      </c>
      <c r="F4479" s="76">
        <v>77.645554000000004</v>
      </c>
      <c r="G4479" s="79">
        <v>704500</v>
      </c>
    </row>
    <row r="4480" spans="1:7" x14ac:dyDescent="0.25">
      <c r="A4480" s="1" t="s">
        <v>4603</v>
      </c>
      <c r="B4480" s="76">
        <v>78.220000999999996</v>
      </c>
      <c r="C4480" s="76">
        <v>78.510002</v>
      </c>
      <c r="D4480" s="76">
        <v>76.769997000000004</v>
      </c>
      <c r="E4480" s="76">
        <v>77</v>
      </c>
      <c r="F4480" s="76">
        <v>76.375930999999994</v>
      </c>
      <c r="G4480" s="79">
        <v>1554600</v>
      </c>
    </row>
    <row r="4481" spans="1:7" x14ac:dyDescent="0.25">
      <c r="A4481" s="1" t="s">
        <v>4604</v>
      </c>
      <c r="B4481" s="76">
        <v>76.839995999999999</v>
      </c>
      <c r="C4481" s="76">
        <v>76.839995999999999</v>
      </c>
      <c r="D4481" s="76">
        <v>74.730002999999996</v>
      </c>
      <c r="E4481" s="76">
        <v>74.849997999999999</v>
      </c>
      <c r="F4481" s="76">
        <v>74.243354999999994</v>
      </c>
      <c r="G4481" s="79">
        <v>2364600</v>
      </c>
    </row>
    <row r="4482" spans="1:7" x14ac:dyDescent="0.25">
      <c r="A4482" s="1" t="s">
        <v>4605</v>
      </c>
      <c r="B4482" s="76">
        <v>74.720000999999996</v>
      </c>
      <c r="C4482" s="76">
        <v>74.919997999999893</v>
      </c>
      <c r="D4482" s="76">
        <v>73.660004000000001</v>
      </c>
      <c r="E4482" s="76">
        <v>74.5</v>
      </c>
      <c r="F4482" s="76">
        <v>73.896193999999994</v>
      </c>
      <c r="G4482" s="79">
        <v>1921300</v>
      </c>
    </row>
    <row r="4483" spans="1:7" x14ac:dyDescent="0.25">
      <c r="A4483" s="1" t="s">
        <v>4606</v>
      </c>
      <c r="B4483" s="76">
        <v>74.830001999999993</v>
      </c>
      <c r="C4483" s="76">
        <v>74.940002000000007</v>
      </c>
      <c r="D4483" s="76">
        <v>74.269997000000004</v>
      </c>
      <c r="E4483" s="76">
        <v>74.569999999999993</v>
      </c>
      <c r="F4483" s="76">
        <v>73.965621999999996</v>
      </c>
      <c r="G4483" s="79">
        <v>838200</v>
      </c>
    </row>
    <row r="4484" spans="1:7" x14ac:dyDescent="0.25">
      <c r="A4484" s="1" t="s">
        <v>4607</v>
      </c>
      <c r="B4484" s="76">
        <v>74.449996999999996</v>
      </c>
      <c r="C4484" s="76">
        <v>74.510002</v>
      </c>
      <c r="D4484" s="76">
        <v>73.430000000000007</v>
      </c>
      <c r="E4484" s="76">
        <v>73.639999000000003</v>
      </c>
      <c r="F4484" s="76">
        <v>73.043159000000003</v>
      </c>
      <c r="G4484" s="79">
        <v>830300</v>
      </c>
    </row>
    <row r="4485" spans="1:7" x14ac:dyDescent="0.25">
      <c r="A4485" s="1" t="s">
        <v>4608</v>
      </c>
      <c r="B4485" s="76">
        <v>73.610000999999997</v>
      </c>
      <c r="C4485" s="76">
        <v>73.720000999999996</v>
      </c>
      <c r="D4485" s="76">
        <v>72.410004000000001</v>
      </c>
      <c r="E4485" s="76">
        <v>72.809997999999993</v>
      </c>
      <c r="F4485" s="76">
        <v>72.219887</v>
      </c>
      <c r="G4485" s="79">
        <v>944300</v>
      </c>
    </row>
    <row r="4486" spans="1:7" x14ac:dyDescent="0.25">
      <c r="A4486" s="1" t="s">
        <v>4609</v>
      </c>
      <c r="B4486" s="76">
        <v>73.319999999999993</v>
      </c>
      <c r="C4486" s="76">
        <v>73.449996999999996</v>
      </c>
      <c r="D4486" s="76">
        <v>72.519997000000004</v>
      </c>
      <c r="E4486" s="76">
        <v>72.980002999999996</v>
      </c>
      <c r="F4486" s="76">
        <v>72.388512000000006</v>
      </c>
      <c r="G4486" s="79">
        <v>886200</v>
      </c>
    </row>
    <row r="4487" spans="1:7" x14ac:dyDescent="0.25">
      <c r="A4487" s="1" t="s">
        <v>4610</v>
      </c>
      <c r="B4487" s="76">
        <v>72.849997999999999</v>
      </c>
      <c r="C4487" s="76">
        <v>73.129997000000003</v>
      </c>
      <c r="D4487" s="76">
        <v>72.269997000000004</v>
      </c>
      <c r="E4487" s="76">
        <v>72.919997999999893</v>
      </c>
      <c r="F4487" s="76">
        <v>72.328994999999907</v>
      </c>
      <c r="G4487" s="79">
        <v>782900</v>
      </c>
    </row>
    <row r="4488" spans="1:7" x14ac:dyDescent="0.25">
      <c r="A4488" s="1" t="s">
        <v>4611</v>
      </c>
      <c r="B4488" s="76">
        <v>72.75</v>
      </c>
      <c r="C4488" s="76">
        <v>73.019997000000004</v>
      </c>
      <c r="D4488" s="76">
        <v>71.900002000000001</v>
      </c>
      <c r="E4488" s="76">
        <v>72.379997000000003</v>
      </c>
      <c r="F4488" s="76">
        <v>71.793373000000003</v>
      </c>
      <c r="G4488" s="79">
        <v>1217400</v>
      </c>
    </row>
    <row r="4489" spans="1:7" x14ac:dyDescent="0.25">
      <c r="A4489" s="1" t="s">
        <v>4612</v>
      </c>
      <c r="B4489" s="76">
        <v>73.449996999999996</v>
      </c>
      <c r="C4489" s="76">
        <v>75.069999999999993</v>
      </c>
      <c r="D4489" s="76">
        <v>72.370002999999997</v>
      </c>
      <c r="E4489" s="76">
        <v>74.860000999999997</v>
      </c>
      <c r="F4489" s="76">
        <v>74.253272999999993</v>
      </c>
      <c r="G4489" s="79">
        <v>1793800</v>
      </c>
    </row>
    <row r="4490" spans="1:7" x14ac:dyDescent="0.25">
      <c r="A4490" s="1" t="s">
        <v>4613</v>
      </c>
      <c r="B4490" s="76">
        <v>74.889999000000003</v>
      </c>
      <c r="C4490" s="76">
        <v>75</v>
      </c>
      <c r="D4490" s="76">
        <v>74.25</v>
      </c>
      <c r="E4490" s="76">
        <v>74.599997999999999</v>
      </c>
      <c r="F4490" s="76">
        <v>73.995377000000005</v>
      </c>
      <c r="G4490" s="79">
        <v>1122300</v>
      </c>
    </row>
    <row r="4491" spans="1:7" x14ac:dyDescent="0.25">
      <c r="A4491" s="1" t="s">
        <v>4614</v>
      </c>
      <c r="B4491" s="76">
        <v>74.569999999999993</v>
      </c>
      <c r="C4491" s="76">
        <v>74.830001999999993</v>
      </c>
      <c r="D4491" s="76">
        <v>73.599997999999999</v>
      </c>
      <c r="E4491" s="76">
        <v>74.029999000000004</v>
      </c>
      <c r="F4491" s="76">
        <v>73.430000000000007</v>
      </c>
      <c r="G4491" s="79">
        <v>1055200</v>
      </c>
    </row>
    <row r="4492" spans="1:7" x14ac:dyDescent="0.25">
      <c r="A4492" s="1" t="s">
        <v>4615</v>
      </c>
      <c r="B4492" s="76">
        <v>72.970000999999996</v>
      </c>
      <c r="C4492" s="76">
        <v>73.5</v>
      </c>
      <c r="D4492" s="76">
        <v>72.760002</v>
      </c>
      <c r="E4492" s="76">
        <v>73.25</v>
      </c>
      <c r="F4492" s="76">
        <v>73.25</v>
      </c>
      <c r="G4492" s="79">
        <v>1033500</v>
      </c>
    </row>
    <row r="4493" spans="1:7" x14ac:dyDescent="0.25">
      <c r="A4493" s="1" t="s">
        <v>4616</v>
      </c>
      <c r="B4493" s="76">
        <v>73.540001000000004</v>
      </c>
      <c r="C4493" s="76">
        <v>74.519997000000004</v>
      </c>
      <c r="D4493" s="76">
        <v>73.410004000000001</v>
      </c>
      <c r="E4493" s="76">
        <v>74.25</v>
      </c>
      <c r="F4493" s="76">
        <v>74.25</v>
      </c>
      <c r="G4493" s="79">
        <v>1137900</v>
      </c>
    </row>
    <row r="4494" spans="1:7" x14ac:dyDescent="0.25">
      <c r="A4494" s="1" t="s">
        <v>4617</v>
      </c>
      <c r="B4494" s="76">
        <v>74.300003000000004</v>
      </c>
      <c r="C4494" s="76">
        <v>75.349997999999999</v>
      </c>
      <c r="D4494" s="76">
        <v>73.860000999999997</v>
      </c>
      <c r="E4494" s="76">
        <v>73.970000999999996</v>
      </c>
      <c r="F4494" s="76">
        <v>73.970000999999996</v>
      </c>
      <c r="G4494" s="79">
        <v>1014700</v>
      </c>
    </row>
    <row r="4495" spans="1:7" x14ac:dyDescent="0.25">
      <c r="A4495" s="1" t="s">
        <v>4618</v>
      </c>
      <c r="B4495" s="76">
        <v>74</v>
      </c>
      <c r="C4495" s="76">
        <v>74.75</v>
      </c>
      <c r="D4495" s="76">
        <v>74</v>
      </c>
      <c r="E4495" s="76">
        <v>74.239998</v>
      </c>
      <c r="F4495" s="76">
        <v>74.239998</v>
      </c>
      <c r="G4495" s="79">
        <v>1372000</v>
      </c>
    </row>
    <row r="4496" spans="1:7" x14ac:dyDescent="0.25">
      <c r="A4496" s="1" t="s">
        <v>4619</v>
      </c>
      <c r="B4496" s="76">
        <v>74.069999999999993</v>
      </c>
      <c r="C4496" s="76">
        <v>75.449996999999996</v>
      </c>
      <c r="D4496" s="76">
        <v>73.779999000000004</v>
      </c>
      <c r="E4496" s="76">
        <v>75.260002</v>
      </c>
      <c r="F4496" s="76">
        <v>75.260002</v>
      </c>
      <c r="G4496" s="79">
        <v>1699700</v>
      </c>
    </row>
    <row r="4497" spans="1:7" x14ac:dyDescent="0.25">
      <c r="A4497" s="1" t="s">
        <v>4620</v>
      </c>
      <c r="B4497" s="76">
        <v>74.870002999999997</v>
      </c>
      <c r="C4497" s="76">
        <v>76.190002000000007</v>
      </c>
      <c r="D4497" s="76">
        <v>74.870002999999997</v>
      </c>
      <c r="E4497" s="76">
        <v>75.610000999999997</v>
      </c>
      <c r="F4497" s="76">
        <v>75.610000999999997</v>
      </c>
      <c r="G4497" s="79">
        <v>763900</v>
      </c>
    </row>
    <row r="4498" spans="1:7" x14ac:dyDescent="0.25">
      <c r="A4498" s="1" t="s">
        <v>4621</v>
      </c>
      <c r="B4498" s="76">
        <v>75.459998999999996</v>
      </c>
      <c r="C4498" s="76">
        <v>76.069999999999993</v>
      </c>
      <c r="D4498" s="76">
        <v>75.260002</v>
      </c>
      <c r="E4498" s="76">
        <v>75.970000999999996</v>
      </c>
      <c r="F4498" s="76">
        <v>75.970000999999996</v>
      </c>
      <c r="G4498" s="79">
        <v>792100</v>
      </c>
    </row>
    <row r="4499" spans="1:7" x14ac:dyDescent="0.25">
      <c r="A4499" s="1" t="s">
        <v>4622</v>
      </c>
      <c r="B4499" s="76">
        <v>75.930000000000007</v>
      </c>
      <c r="C4499" s="76">
        <v>76.360000999999997</v>
      </c>
      <c r="D4499" s="76">
        <v>75.610000999999997</v>
      </c>
      <c r="E4499" s="76">
        <v>76.139999000000003</v>
      </c>
      <c r="F4499" s="76">
        <v>76.139999000000003</v>
      </c>
      <c r="G4499" s="79">
        <v>1094500</v>
      </c>
    </row>
    <row r="4500" spans="1:7" x14ac:dyDescent="0.25">
      <c r="A4500" s="1" t="s">
        <v>4623</v>
      </c>
      <c r="B4500" s="76">
        <v>76.110000999999997</v>
      </c>
      <c r="C4500" s="76">
        <v>76.879997000000003</v>
      </c>
      <c r="D4500" s="76">
        <v>75.540001000000004</v>
      </c>
      <c r="E4500" s="76">
        <v>76.629997000000003</v>
      </c>
      <c r="F4500" s="76">
        <v>76.629997000000003</v>
      </c>
      <c r="G4500" s="79">
        <v>951400</v>
      </c>
    </row>
    <row r="4501" spans="1:7" x14ac:dyDescent="0.25">
      <c r="A4501" s="1" t="s">
        <v>4624</v>
      </c>
      <c r="B4501" s="76">
        <v>76.550003000000004</v>
      </c>
      <c r="C4501" s="76">
        <v>77.220000999999996</v>
      </c>
      <c r="D4501" s="76">
        <v>76.489998</v>
      </c>
      <c r="E4501" s="76">
        <v>76.819999999999993</v>
      </c>
      <c r="F4501" s="76">
        <v>76.819999999999993</v>
      </c>
      <c r="G4501" s="79">
        <v>981200</v>
      </c>
    </row>
    <row r="4502" spans="1:7" x14ac:dyDescent="0.25">
      <c r="A4502" s="1" t="s">
        <v>4625</v>
      </c>
      <c r="B4502" s="76">
        <v>76.569999999999993</v>
      </c>
      <c r="C4502" s="76">
        <v>77.069999999999993</v>
      </c>
      <c r="D4502" s="76">
        <v>76.440002000000007</v>
      </c>
      <c r="E4502" s="76">
        <v>76.599997999999999</v>
      </c>
      <c r="F4502" s="76">
        <v>76.599997999999999</v>
      </c>
      <c r="G4502" s="79">
        <v>509800</v>
      </c>
    </row>
    <row r="4503" spans="1:7" x14ac:dyDescent="0.25">
      <c r="A4503" s="1" t="s">
        <v>4626</v>
      </c>
      <c r="B4503" s="76">
        <v>76.480002999999996</v>
      </c>
      <c r="C4503" s="76">
        <v>76.620002999999997</v>
      </c>
      <c r="D4503" s="76">
        <v>75.709998999999996</v>
      </c>
      <c r="E4503" s="76">
        <v>76.260002</v>
      </c>
      <c r="F4503" s="76">
        <v>76.260002</v>
      </c>
      <c r="G4503" s="79">
        <v>740200</v>
      </c>
    </row>
    <row r="4504" spans="1:7" x14ac:dyDescent="0.25">
      <c r="A4504" s="1" t="s">
        <v>4627</v>
      </c>
      <c r="B4504" s="76">
        <v>76.360000999999997</v>
      </c>
      <c r="C4504" s="76">
        <v>76.739998</v>
      </c>
      <c r="D4504" s="76">
        <v>76.209998999999996</v>
      </c>
      <c r="E4504" s="76">
        <v>76.639999000000003</v>
      </c>
      <c r="F4504" s="76">
        <v>76.639999000000003</v>
      </c>
      <c r="G4504" s="79">
        <v>681700</v>
      </c>
    </row>
    <row r="4505" spans="1:7" x14ac:dyDescent="0.25">
      <c r="A4505" s="1" t="s">
        <v>4628</v>
      </c>
      <c r="B4505" s="76">
        <v>76.419997999999893</v>
      </c>
      <c r="C4505" s="76">
        <v>77.089995999999999</v>
      </c>
      <c r="D4505" s="76">
        <v>76.260002</v>
      </c>
      <c r="E4505" s="76">
        <v>76.75</v>
      </c>
      <c r="F4505" s="76">
        <v>76.75</v>
      </c>
      <c r="G4505" s="79">
        <v>476800</v>
      </c>
    </row>
    <row r="4506" spans="1:7" x14ac:dyDescent="0.25">
      <c r="A4506" s="1" t="s">
        <v>4629</v>
      </c>
      <c r="B4506" s="76">
        <v>76.75</v>
      </c>
      <c r="C4506" s="76">
        <v>76.940002000000007</v>
      </c>
      <c r="D4506" s="76">
        <v>76.029999000000004</v>
      </c>
      <c r="E4506" s="76">
        <v>76.150002000000001</v>
      </c>
      <c r="F4506" s="76">
        <v>76.150002000000001</v>
      </c>
      <c r="G4506" s="79">
        <v>261000</v>
      </c>
    </row>
    <row r="4507" spans="1:7" x14ac:dyDescent="0.25">
      <c r="A4507" s="1" t="s">
        <v>4630</v>
      </c>
      <c r="B4507" s="76">
        <v>76.230002999999996</v>
      </c>
      <c r="C4507" s="76">
        <v>76.529999000000004</v>
      </c>
      <c r="D4507" s="76">
        <v>75.940002000000007</v>
      </c>
      <c r="E4507" s="76">
        <v>76.290001000000004</v>
      </c>
      <c r="F4507" s="76">
        <v>76.290001000000004</v>
      </c>
      <c r="G4507" s="79">
        <v>427900</v>
      </c>
    </row>
    <row r="4508" spans="1:7" x14ac:dyDescent="0.25">
      <c r="A4508" s="1" t="s">
        <v>4631</v>
      </c>
      <c r="B4508" s="76">
        <v>76.199996999999996</v>
      </c>
      <c r="C4508" s="76">
        <v>76.870002999999997</v>
      </c>
      <c r="D4508" s="76">
        <v>76.059997999999993</v>
      </c>
      <c r="E4508" s="76">
        <v>76.720000999999996</v>
      </c>
      <c r="F4508" s="76">
        <v>76.720000999999996</v>
      </c>
      <c r="G4508" s="79">
        <v>644000</v>
      </c>
    </row>
    <row r="4509" spans="1:7" x14ac:dyDescent="0.25">
      <c r="A4509" s="1" t="s">
        <v>4632</v>
      </c>
      <c r="B4509" s="76">
        <v>76.720000999999996</v>
      </c>
      <c r="C4509" s="76">
        <v>77.129997000000003</v>
      </c>
      <c r="D4509" s="76">
        <v>76.430000000000007</v>
      </c>
      <c r="E4509" s="76">
        <v>76.930000000000007</v>
      </c>
      <c r="F4509" s="76">
        <v>76.930000000000007</v>
      </c>
      <c r="G4509" s="79">
        <v>1347500</v>
      </c>
    </row>
    <row r="4510" spans="1:7" x14ac:dyDescent="0.25">
      <c r="A4510" s="1" t="s">
        <v>4633</v>
      </c>
      <c r="B4510" s="76">
        <v>77.449996999999996</v>
      </c>
      <c r="C4510" s="76">
        <v>77.839995999999999</v>
      </c>
      <c r="D4510" s="76">
        <v>77.139999000000003</v>
      </c>
      <c r="E4510" s="76">
        <v>77.620002999999997</v>
      </c>
      <c r="F4510" s="76">
        <v>77.620002999999997</v>
      </c>
      <c r="G4510" s="79">
        <v>1392300</v>
      </c>
    </row>
    <row r="4511" spans="1:7" x14ac:dyDescent="0.25">
      <c r="A4511" s="1" t="s">
        <v>4634</v>
      </c>
      <c r="B4511" s="76">
        <v>77.779999000000004</v>
      </c>
      <c r="C4511" s="76">
        <v>78.300003000000004</v>
      </c>
      <c r="D4511" s="76">
        <v>77.449996999999996</v>
      </c>
      <c r="E4511" s="76">
        <v>77.919997999999893</v>
      </c>
      <c r="F4511" s="76">
        <v>77.919997999999893</v>
      </c>
      <c r="G4511" s="79">
        <v>1026900</v>
      </c>
    </row>
    <row r="4512" spans="1:7" x14ac:dyDescent="0.25">
      <c r="A4512" s="1" t="s">
        <v>4635</v>
      </c>
      <c r="B4512" s="76">
        <v>77.650002000000001</v>
      </c>
      <c r="C4512" s="76">
        <v>77.930000000000007</v>
      </c>
      <c r="D4512" s="76">
        <v>76.769997000000004</v>
      </c>
      <c r="E4512" s="76">
        <v>77.319999999999993</v>
      </c>
      <c r="F4512" s="76">
        <v>77.319999999999993</v>
      </c>
      <c r="G4512" s="79">
        <v>2248900</v>
      </c>
    </row>
    <row r="4513" spans="1:7" x14ac:dyDescent="0.25">
      <c r="A4513" s="1" t="s">
        <v>4636</v>
      </c>
      <c r="B4513" s="76">
        <v>77.290001000000004</v>
      </c>
      <c r="C4513" s="76">
        <v>77.669997999999893</v>
      </c>
      <c r="D4513" s="76">
        <v>76.709998999999996</v>
      </c>
      <c r="E4513" s="76">
        <v>76.910004000000001</v>
      </c>
      <c r="F4513" s="76">
        <v>76.910004000000001</v>
      </c>
      <c r="G4513" s="79">
        <v>1005500</v>
      </c>
    </row>
    <row r="4514" spans="1:7" x14ac:dyDescent="0.25">
      <c r="A4514" s="1" t="s">
        <v>4637</v>
      </c>
      <c r="B4514" s="76">
        <v>77.059997999999993</v>
      </c>
      <c r="C4514" s="76">
        <v>77.069999999999993</v>
      </c>
      <c r="D4514" s="76">
        <v>75.830001999999993</v>
      </c>
      <c r="E4514" s="76">
        <v>76.419997999999893</v>
      </c>
      <c r="F4514" s="76">
        <v>76.419997999999893</v>
      </c>
      <c r="G4514" s="79">
        <v>2176600</v>
      </c>
    </row>
    <row r="4515" spans="1:7" x14ac:dyDescent="0.25">
      <c r="A4515" s="1" t="s">
        <v>4638</v>
      </c>
      <c r="B4515" s="76">
        <v>76.129997000000003</v>
      </c>
      <c r="C4515" s="76">
        <v>76.220000999999996</v>
      </c>
      <c r="D4515" s="76">
        <v>75.269997000000004</v>
      </c>
      <c r="E4515" s="76">
        <v>76.059997999999993</v>
      </c>
      <c r="F4515" s="76">
        <v>76.059997999999993</v>
      </c>
      <c r="G4515" s="79">
        <v>1483300</v>
      </c>
    </row>
    <row r="4516" spans="1:7" x14ac:dyDescent="0.25">
      <c r="A4516" s="1" t="s">
        <v>4639</v>
      </c>
      <c r="B4516" s="76">
        <v>76.290001000000004</v>
      </c>
      <c r="C4516" s="76">
        <v>76.989998</v>
      </c>
      <c r="D4516" s="76">
        <v>75.900002000000001</v>
      </c>
      <c r="E4516" s="76">
        <v>76.989998</v>
      </c>
      <c r="F4516" s="76">
        <v>76.989998</v>
      </c>
      <c r="G4516" s="79">
        <v>953700</v>
      </c>
    </row>
    <row r="4517" spans="1:7" x14ac:dyDescent="0.25">
      <c r="A4517" s="1" t="s">
        <v>4640</v>
      </c>
      <c r="B4517" s="76">
        <v>77.019997000000004</v>
      </c>
      <c r="C4517" s="76">
        <v>77.319999999999993</v>
      </c>
      <c r="D4517" s="76">
        <v>76.690002000000007</v>
      </c>
      <c r="E4517" s="76">
        <v>77.010002</v>
      </c>
      <c r="F4517" s="76">
        <v>77.010002</v>
      </c>
      <c r="G4517" s="79">
        <v>892800</v>
      </c>
    </row>
    <row r="4518" spans="1:7" x14ac:dyDescent="0.25">
      <c r="A4518" s="1" t="s">
        <v>4641</v>
      </c>
      <c r="B4518" s="76">
        <v>77.300003000000004</v>
      </c>
      <c r="C4518" s="76">
        <v>78.019997000000004</v>
      </c>
      <c r="D4518" s="76">
        <v>77.040001000000004</v>
      </c>
      <c r="E4518" s="76">
        <v>77.709998999999996</v>
      </c>
      <c r="F4518" s="76">
        <v>77.709998999999996</v>
      </c>
      <c r="G4518" s="79">
        <v>908200</v>
      </c>
    </row>
    <row r="4519" spans="1:7" x14ac:dyDescent="0.25">
      <c r="A4519" s="1" t="s">
        <v>4642</v>
      </c>
      <c r="B4519" s="76">
        <v>77.819999999999993</v>
      </c>
      <c r="C4519" s="76">
        <v>78.309997999999993</v>
      </c>
      <c r="D4519" s="76">
        <v>77.379997000000003</v>
      </c>
      <c r="E4519" s="76">
        <v>77.419997999999893</v>
      </c>
      <c r="F4519" s="76">
        <v>77.419997999999893</v>
      </c>
      <c r="G4519" s="79">
        <v>1675900</v>
      </c>
    </row>
    <row r="4520" spans="1:7" x14ac:dyDescent="0.25">
      <c r="A4520" s="1" t="s">
        <v>4643</v>
      </c>
      <c r="B4520" s="76">
        <v>77.489998</v>
      </c>
      <c r="C4520" s="76">
        <v>77.650002000000001</v>
      </c>
      <c r="D4520" s="76">
        <v>77.230002999999996</v>
      </c>
      <c r="E4520" s="76">
        <v>77.480002999999996</v>
      </c>
      <c r="F4520" s="76">
        <v>77.480002999999996</v>
      </c>
      <c r="G4520" s="79">
        <v>1221400</v>
      </c>
    </row>
    <row r="4521" spans="1:7" x14ac:dyDescent="0.25">
      <c r="A4521" s="1" t="s">
        <v>4644</v>
      </c>
      <c r="B4521" s="76">
        <v>77.830001999999993</v>
      </c>
      <c r="C4521" s="76">
        <v>78.209998999999996</v>
      </c>
      <c r="D4521" s="76">
        <v>77.290001000000004</v>
      </c>
      <c r="E4521" s="76">
        <v>77.839995999999999</v>
      </c>
      <c r="F4521" s="76">
        <v>77.839995999999999</v>
      </c>
      <c r="G4521" s="79">
        <v>2111100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34506</xdr:colOff>
                <xdr:row>7</xdr:row>
                <xdr:rowOff>172528</xdr:rowOff>
              </from>
              <to>
                <xdr:col>13</xdr:col>
                <xdr:colOff>8626</xdr:colOff>
                <xdr:row>9</xdr:row>
                <xdr:rowOff>86264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05" customHeight="1" x14ac:dyDescent="0.25"/>
  <cols>
    <col min="17" max="17" width="16.875" bestFit="1" customWidth="1"/>
    <col min="18" max="18" width="5" bestFit="1" customWidth="1"/>
    <col min="19" max="19" width="5.25" bestFit="1" customWidth="1"/>
    <col min="20" max="20" width="2.5" bestFit="1" customWidth="1"/>
    <col min="21" max="21" width="2.75" bestFit="1" customWidth="1"/>
    <col min="22" max="22" width="6.75" bestFit="1" customWidth="1"/>
    <col min="23" max="23" width="10.125" bestFit="1" customWidth="1"/>
    <col min="24" max="24" width="9.625" bestFit="1" customWidth="1"/>
  </cols>
  <sheetData>
    <row r="1" spans="16:25" ht="11.05" customHeight="1" thickBot="1" x14ac:dyDescent="0.3"/>
    <row r="2" spans="16:25" ht="11.05" customHeight="1" thickBot="1" x14ac:dyDescent="0.3">
      <c r="P2" s="36"/>
      <c r="Q2" s="40" t="s">
        <v>97</v>
      </c>
      <c r="R2" s="37"/>
      <c r="S2" s="37"/>
      <c r="T2" s="37"/>
      <c r="U2" s="37"/>
      <c r="V2" s="37"/>
      <c r="W2" s="37"/>
      <c r="X2" s="37"/>
      <c r="Y2" s="38"/>
    </row>
    <row r="3" spans="16:25" ht="11.05" customHeight="1" thickBot="1" x14ac:dyDescent="0.3">
      <c r="P3" s="39"/>
      <c r="Q3" s="64" t="s">
        <v>31</v>
      </c>
      <c r="R3" s="65" t="s">
        <v>41</v>
      </c>
      <c r="S3" s="65" t="s">
        <v>40</v>
      </c>
      <c r="T3" s="65" t="s">
        <v>36</v>
      </c>
      <c r="U3" s="65" t="s">
        <v>37</v>
      </c>
      <c r="V3" s="65" t="s">
        <v>50</v>
      </c>
      <c r="W3" s="69" t="s">
        <v>38</v>
      </c>
      <c r="X3" s="61" t="s">
        <v>106</v>
      </c>
      <c r="Y3" s="41"/>
    </row>
    <row r="4" spans="16:25" ht="11.05" customHeight="1" x14ac:dyDescent="0.25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05" customHeight="1" thickBot="1" x14ac:dyDescent="0.3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6"/>
  </cols>
  <sheetData>
    <row r="1" spans="1:60" ht="19.05" x14ac:dyDescent="0.35">
      <c r="A1" s="80" t="s">
        <v>29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H16" sqref="H16"/>
    </sheetView>
  </sheetViews>
  <sheetFormatPr defaultColWidth="9" defaultRowHeight="14.3" x14ac:dyDescent="0.25"/>
  <cols>
    <col min="1" max="1" width="20.25" style="6" bestFit="1" customWidth="1"/>
    <col min="2" max="2" width="42.5" style="7" bestFit="1" customWidth="1"/>
    <col min="3" max="7" width="9" style="6"/>
    <col min="8" max="9" width="10.5" style="6" bestFit="1" customWidth="1"/>
    <col min="10" max="10" width="13.25" style="6" bestFit="1" customWidth="1"/>
    <col min="11" max="12" width="9" style="6"/>
    <col min="13" max="13" width="19.625" style="6" bestFit="1" customWidth="1"/>
    <col min="14" max="14" width="5.625" style="6" bestFit="1" customWidth="1"/>
    <col min="15" max="16384" width="9" style="6"/>
  </cols>
  <sheetData>
    <row r="1" spans="1:14" x14ac:dyDescent="0.25">
      <c r="A1" s="2" t="s">
        <v>26</v>
      </c>
      <c r="B1" s="2" t="s">
        <v>27</v>
      </c>
      <c r="H1" s="22" t="s">
        <v>47</v>
      </c>
      <c r="I1" s="22" t="s">
        <v>46</v>
      </c>
      <c r="J1" s="71" t="s">
        <v>115</v>
      </c>
      <c r="M1" s="2" t="s">
        <v>87</v>
      </c>
      <c r="N1" s="2" t="s">
        <v>27</v>
      </c>
    </row>
    <row r="2" spans="1:14" x14ac:dyDescent="0.25">
      <c r="A2" s="8" t="s">
        <v>16</v>
      </c>
      <c r="B2" s="3" t="s">
        <v>18</v>
      </c>
      <c r="H2" s="23" t="s">
        <v>42</v>
      </c>
      <c r="I2" s="23" t="s">
        <v>48</v>
      </c>
      <c r="J2" s="72" t="s">
        <v>114</v>
      </c>
      <c r="M2" s="8" t="s">
        <v>88</v>
      </c>
      <c r="N2" s="8">
        <v>34</v>
      </c>
    </row>
    <row r="3" spans="1:14" x14ac:dyDescent="0.25">
      <c r="A3" s="8" t="s">
        <v>17</v>
      </c>
      <c r="B3" s="3" t="s">
        <v>19</v>
      </c>
      <c r="H3" s="23" t="s">
        <v>43</v>
      </c>
      <c r="I3" s="23" t="s">
        <v>98</v>
      </c>
      <c r="J3" s="72" t="s">
        <v>116</v>
      </c>
    </row>
    <row r="4" spans="1:14" x14ac:dyDescent="0.25">
      <c r="A4" s="8" t="s">
        <v>20</v>
      </c>
      <c r="B4" s="3" t="s">
        <v>21</v>
      </c>
      <c r="H4" s="23" t="s">
        <v>44</v>
      </c>
      <c r="I4" s="23" t="s">
        <v>49</v>
      </c>
      <c r="J4" s="72" t="s">
        <v>111</v>
      </c>
    </row>
    <row r="5" spans="1:14" x14ac:dyDescent="0.25">
      <c r="A5" s="8" t="s">
        <v>24</v>
      </c>
      <c r="B5" s="3" t="s">
        <v>25</v>
      </c>
      <c r="H5" s="23" t="s">
        <v>45</v>
      </c>
      <c r="I5" s="23" t="s">
        <v>51</v>
      </c>
      <c r="J5" s="72" t="s">
        <v>113</v>
      </c>
    </row>
    <row r="6" spans="1:14" x14ac:dyDescent="0.25">
      <c r="A6" s="4" t="s">
        <v>2</v>
      </c>
      <c r="B6" s="5">
        <v>100</v>
      </c>
      <c r="I6" s="23" t="s">
        <v>0</v>
      </c>
      <c r="J6" s="72" t="s">
        <v>117</v>
      </c>
    </row>
    <row r="7" spans="1:14" x14ac:dyDescent="0.25">
      <c r="A7" s="4" t="s">
        <v>3</v>
      </c>
      <c r="B7" s="5">
        <v>30</v>
      </c>
      <c r="I7" s="23" t="s">
        <v>36</v>
      </c>
      <c r="J7" s="72" t="s">
        <v>118</v>
      </c>
    </row>
    <row r="8" spans="1:14" x14ac:dyDescent="0.25">
      <c r="A8" s="4" t="s">
        <v>79</v>
      </c>
      <c r="B8" s="5">
        <v>120</v>
      </c>
      <c r="I8" s="23" t="s">
        <v>37</v>
      </c>
    </row>
    <row r="9" spans="1:14" x14ac:dyDescent="0.25">
      <c r="A9" s="4" t="s">
        <v>86</v>
      </c>
      <c r="B9" s="5">
        <v>200</v>
      </c>
    </row>
    <row r="10" spans="1:14" x14ac:dyDescent="0.25">
      <c r="A10" s="8" t="s">
        <v>4</v>
      </c>
      <c r="B10" s="3" t="s">
        <v>5</v>
      </c>
    </row>
    <row r="11" spans="1:14" x14ac:dyDescent="0.25">
      <c r="A11" s="8" t="s">
        <v>6</v>
      </c>
      <c r="B11" s="3" t="s">
        <v>7</v>
      </c>
    </row>
    <row r="12" spans="1:14" x14ac:dyDescent="0.25">
      <c r="A12" s="8" t="s">
        <v>13</v>
      </c>
      <c r="B12" s="3" t="s">
        <v>8</v>
      </c>
    </row>
    <row r="13" spans="1:14" x14ac:dyDescent="0.25">
      <c r="A13" s="8" t="s">
        <v>14</v>
      </c>
      <c r="B13" s="3" t="s">
        <v>9</v>
      </c>
    </row>
    <row r="14" spans="1:14" x14ac:dyDescent="0.25">
      <c r="A14" s="8" t="s">
        <v>12</v>
      </c>
      <c r="B14" s="3" t="s">
        <v>10</v>
      </c>
    </row>
    <row r="15" spans="1:14" x14ac:dyDescent="0.25">
      <c r="A15" s="8" t="s">
        <v>15</v>
      </c>
      <c r="B15" s="3" t="s">
        <v>11</v>
      </c>
    </row>
    <row r="16" spans="1:14" x14ac:dyDescent="0.25">
      <c r="A16" s="8" t="s">
        <v>22</v>
      </c>
      <c r="B16" s="3" t="str">
        <f>[0]!instrument_name</f>
        <v>FCB</v>
      </c>
    </row>
    <row r="17" spans="1:2" x14ac:dyDescent="0.25">
      <c r="A17" s="4" t="s">
        <v>23</v>
      </c>
      <c r="B17" s="26" t="str">
        <f>INDEX(dates_no_header,1)</f>
        <v>1999-12-31</v>
      </c>
    </row>
    <row r="18" spans="1:2" x14ac:dyDescent="0.25">
      <c r="A18" s="4" t="s">
        <v>28</v>
      </c>
      <c r="B18" s="5">
        <v>0</v>
      </c>
    </row>
    <row r="19" spans="1:2" x14ac:dyDescent="0.25">
      <c r="A19" s="8" t="s">
        <v>55</v>
      </c>
      <c r="B19" s="3" t="s">
        <v>100</v>
      </c>
    </row>
    <row r="20" spans="1:2" x14ac:dyDescent="0.25">
      <c r="A20" s="8" t="s">
        <v>56</v>
      </c>
      <c r="B20" s="3" t="s">
        <v>101</v>
      </c>
    </row>
    <row r="21" spans="1:2" x14ac:dyDescent="0.25">
      <c r="A21" s="8" t="s">
        <v>57</v>
      </c>
      <c r="B21" s="3" t="s">
        <v>102</v>
      </c>
    </row>
    <row r="22" spans="1:2" x14ac:dyDescent="0.25">
      <c r="A22" s="8" t="s">
        <v>58</v>
      </c>
      <c r="B22" s="3" t="s">
        <v>103</v>
      </c>
    </row>
    <row r="23" spans="1:2" x14ac:dyDescent="0.25">
      <c r="A23" s="8" t="s">
        <v>59</v>
      </c>
      <c r="B23" s="3" t="s">
        <v>104</v>
      </c>
    </row>
    <row r="24" spans="1:2" x14ac:dyDescent="0.25">
      <c r="A24" s="8" t="s">
        <v>60</v>
      </c>
      <c r="B24" s="3" t="s">
        <v>78</v>
      </c>
    </row>
    <row r="25" spans="1:2" x14ac:dyDescent="0.25">
      <c r="A25" s="8" t="s">
        <v>61</v>
      </c>
      <c r="B25" s="3" t="s">
        <v>89</v>
      </c>
    </row>
    <row r="26" spans="1:2" x14ac:dyDescent="0.25">
      <c r="A26" s="8" t="s">
        <v>62</v>
      </c>
      <c r="B26" s="3" t="s">
        <v>90</v>
      </c>
    </row>
    <row r="27" spans="1:2" x14ac:dyDescent="0.25">
      <c r="A27" s="8" t="s">
        <v>96</v>
      </c>
      <c r="B27" s="3" t="s">
        <v>91</v>
      </c>
    </row>
    <row r="28" spans="1:2" x14ac:dyDescent="0.25">
      <c r="A28" s="8" t="s">
        <v>63</v>
      </c>
      <c r="B28" s="3" t="s">
        <v>92</v>
      </c>
    </row>
    <row r="29" spans="1:2" x14ac:dyDescent="0.25">
      <c r="A29" s="8" t="s">
        <v>64</v>
      </c>
      <c r="B29" s="3" t="s">
        <v>93</v>
      </c>
    </row>
    <row r="30" spans="1:2" x14ac:dyDescent="0.25">
      <c r="A30" s="8" t="s">
        <v>65</v>
      </c>
      <c r="B30" s="3" t="s">
        <v>94</v>
      </c>
    </row>
    <row r="31" spans="1:2" x14ac:dyDescent="0.25">
      <c r="A31" s="8" t="s">
        <v>66</v>
      </c>
      <c r="B31" s="3" t="s">
        <v>95</v>
      </c>
    </row>
    <row r="32" spans="1:2" x14ac:dyDescent="0.25">
      <c r="A32" s="8" t="s">
        <v>67</v>
      </c>
      <c r="B32" s="3" t="s">
        <v>73</v>
      </c>
    </row>
    <row r="33" spans="1:2" x14ac:dyDescent="0.25">
      <c r="A33" s="8" t="s">
        <v>68</v>
      </c>
      <c r="B33" s="3" t="str">
        <f>CONCATENATE("Sort Chart - ",instrument_name_rng)</f>
        <v>Sort Chart - FCB</v>
      </c>
    </row>
    <row r="34" spans="1:2" x14ac:dyDescent="0.25">
      <c r="A34" s="8" t="s">
        <v>69</v>
      </c>
      <c r="B34" s="3" t="s">
        <v>74</v>
      </c>
    </row>
    <row r="35" spans="1:2" x14ac:dyDescent="0.25">
      <c r="A35" s="8" t="s">
        <v>70</v>
      </c>
      <c r="B35" s="3" t="str">
        <f>CONCATENATE("Long Chart - ",instrument_name_rng)</f>
        <v>Long Chart - FCB</v>
      </c>
    </row>
    <row r="36" spans="1:2" x14ac:dyDescent="0.25">
      <c r="A36" s="8" t="s">
        <v>71</v>
      </c>
      <c r="B36" s="3" t="s">
        <v>75</v>
      </c>
    </row>
    <row r="37" spans="1:2" x14ac:dyDescent="0.25">
      <c r="A37" s="8" t="s">
        <v>72</v>
      </c>
      <c r="B37" s="3" t="str">
        <f>CONCATENATE("Close - SMAs 10-20-50 + Linear Regression
 - ",instrument_name_rng)</f>
        <v>Close - SMAs 10-20-50 + Linear Regression
 - FCB</v>
      </c>
    </row>
    <row r="38" spans="1:2" x14ac:dyDescent="0.25">
      <c r="A38" s="8" t="s">
        <v>76</v>
      </c>
      <c r="B38" s="27" t="s">
        <v>77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2018-01-05T18:02:39Z</dcterms:modified>
</cp:coreProperties>
</file>