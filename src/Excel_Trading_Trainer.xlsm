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entry">config!$B$27</definedName>
    <definedName name="iterator_oper_oper">config!$B$26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31" i="1" l="1"/>
  <c r="BF31" i="1" l="1"/>
  <c r="BH36" i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<sst xmlns="http://schemas.openxmlformats.org/spreadsheetml/2006/main" count="4628" uniqueCount="4623">
  <si>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</si>
  <si>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</si>
  <si>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</si>
  <si>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</si>
  <si>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</si>
  <si>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</si>
  <si>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</si>
  <si>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</si>
  <si>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</si>
  <si>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</si>
  <si>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</si>
  <si>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</si>
  <si>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</si>
  <si>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</si>
  <si>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</si>
  <si>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</si>
  <si>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</si>
  <si>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</si>
  <si>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</si>
  <si>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</si>
  <si>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</si>
  <si>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</si>
  <si>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</si>
  <si>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</si>
  <si>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</si>
  <si>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</si>
  <si>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</si>
  <si>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</si>
  <si>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</si>
  <si>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</si>
  <si>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</si>
  <si>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</si>
  <si>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</si>
  <si>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</si>
  <si>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</si>
  <si>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</si>
  <si>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</si>
  <si>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</si>
  <si>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</si>
  <si>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</si>
  <si>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</si>
  <si>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</si>
  <si>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</si>
  <si>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</si>
  <si>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</si>
  <si>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</si>
  <si>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</si>
  <si>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</si>
  <si>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</si>
  <si>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</si>
  <si>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</si>
  <si>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</si>
  <si>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</si>
  <si>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</si>
  <si>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</si>
  <si>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</si>
  <si>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</si>
  <si>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</si>
  <si>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</si>
  <si>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</si>
  <si>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</si>
  <si>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</si>
  <si>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</si>
  <si>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</si>
  <si>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</si>
  <si>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</si>
  <si>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</si>
  <si>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</si>
  <si>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</si>
  <si>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</si>
  <si>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</si>
  <si>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</si>
  <si>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</si>
  <si>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</si>
  <si>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</si>
  <si>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</si>
  <si>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</si>
  <si>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</si>
  <si>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</si>
  <si>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</si>
  <si>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</si>
  <si>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</si>
  <si>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</si>
  <si>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</si>
  <si>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</si>
  <si>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</si>
  <si>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</si>
  <si>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</si>
  <si>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</si>
  <si>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</si>
  <si>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</si>
  <si>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</si>
  <si>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</si>
  <si>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</si>
  <si>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</si>
  <si>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</si>
  <si>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</si>
  <si>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</si>
  <si>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</si>
  <si>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</si>
  <si>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</si>
  <si>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</si>
  <si>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</si>
  <si>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</si>
  <si>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</si>
  <si>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</si>
  <si>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</si>
  <si>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</si>
  <si>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</si>
  <si>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</si>
  <si>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</si>
  <si>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</si>
  <si>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</si>
  <si>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</si>
  <si>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</si>
  <si>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</si>
  <si>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</si>
  <si>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</si>
  <si>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</si>
  <si>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</si>
  <si>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</si>
  <si>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</si>
  <si>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</si>
  <si>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</si>
  <si>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</si>
  <si>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</si>
  <si>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</si>
  <si>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</si>
  <si>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</si>
  <si>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</si>
  <si>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</si>
  <si>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</si>
  <si>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</si>
  <si>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</si>
  <si>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</si>
  <si>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</si>
  <si>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</si>
  <si>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</si>
  <si>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</si>
  <si>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</si>
  <si>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</si>
  <si>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</si>
  <si>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</si>
  <si>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</si>
  <si>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</si>
  <si>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</si>
  <si>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</si>
  <si>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</si>
  <si>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</si>
  <si>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</si>
  <si>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</si>
  <si>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</si>
  <si>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</si>
  <si>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</si>
  <si>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</si>
  <si>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</si>
  <si>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</si>
  <si>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</si>
  <si>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</si>
  <si>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</si>
  <si>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</si>
  <si>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</si>
  <si>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</si>
  <si>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</si>
  <si>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</si>
  <si>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</si>
  <si>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</si>
  <si>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</si>
  <si>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</si>
  <si>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</si>
  <si>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</si>
  <si>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</si>
  <si>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</si>
  <si>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</si>
  <si>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</si>
  <si>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</si>
  <si>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</si>
  <si>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</si>
  <si>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</si>
  <si>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</si>
  <si>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</si>
  <si>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</si>
  <si>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</si>
  <si>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</si>
  <si>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</si>
  <si>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</si>
  <si>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</si>
  <si>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</si>
  <si>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</si>
  <si>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</si>
  <si>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</si>
  <si>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</si>
  <si>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</si>
  <si>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</si>
  <si>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</si>
  <si>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</si>
  <si>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</si>
  <si>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</si>
  <si>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</si>
  <si>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</si>
  <si>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</si>
  <si>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</si>
  <si>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</si>
  <si>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</si>
  <si>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</si>
  <si>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</si>
  <si>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</si>
  <si>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</si>
  <si>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</si>
  <si>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</si>
  <si>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</si>
  <si>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</si>
  <si>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</si>
  <si>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</si>
  <si>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</si>
  <si>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</si>
  <si>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</si>
  <si>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</si>
  <si>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</si>
  <si>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</si>
  <si>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</si>
  <si>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</si>
  <si>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</si>
  <si>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</si>
  <si>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</si>
  <si>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</si>
  <si>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</si>
  <si>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</si>
  <si>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</si>
  <si>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</si>
  <si>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</si>
  <si>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</si>
  <si>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</si>
  <si>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</si>
  <si>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</si>
  <si>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</si>
  <si>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</si>
  <si>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</si>
  <si>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</si>
  <si>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</si>
  <si>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</si>
  <si>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</si>
  <si>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</si>
  <si>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</si>
  <si>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</si>
  <si>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</si>
  <si>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</si>
  <si>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</si>
  <si>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</si>
  <si>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</si>
  <si>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</si>
  <si>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</si>
  <si>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</si>
  <si>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</si>
  <si>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</si>
  <si>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</si>
  <si>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</si>
  <si>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</si>
  <si>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</si>
  <si>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</si>
  <si>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</si>
  <si>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</si>
  <si>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</si>
  <si>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</si>
  <si>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</si>
  <si>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</si>
  <si>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</si>
  <si>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</si>
  <si>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</si>
  <si>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</si>
  <si>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</si>
  <si>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</si>
  <si>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</si>
  <si>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</si>
  <si>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</si>
  <si>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</si>
  <si>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</si>
  <si>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</si>
  <si>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</si>
  <si>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</si>
  <si>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</si>
  <si>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</si>
  <si>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</si>
  <si>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</si>
  <si>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</si>
  <si>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</si>
  <si>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</si>
  <si>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</si>
  <si>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</si>
  <si>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</si>
  <si>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</si>
  <si>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</si>
  <si>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</si>
  <si>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</si>
  <si>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</si>
  <si>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</si>
  <si>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</si>
  <si>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</si>
  <si>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</si>
  <si>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</si>
  <si>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</si>
  <si>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</si>
  <si>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</si>
  <si>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</si>
  <si>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</si>
  <si>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</si>
  <si>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</si>
  <si>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</si>
  <si>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</si>
  <si>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</si>
  <si>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</si>
  <si>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</si>
  <si>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</si>
  <si>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</si>
  <si>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</si>
  <si>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</si>
  <si>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</si>
  <si>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</si>
  <si>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</si>
  <si>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</si>
  <si>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</si>
  <si>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</si>
  <si>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</si>
  <si>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</si>
  <si>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</si>
  <si>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</si>
  <si>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</si>
  <si>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</si>
  <si>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</si>
  <si>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</si>
  <si>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</si>
  <si>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</si>
  <si>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</si>
  <si>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</si>
  <si>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</si>
  <si>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</si>
  <si>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</si>
  <si>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</si>
  <si>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</si>
  <si>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</si>
  <si>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</si>
  <si>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</si>
  <si>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</si>
  <si>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</si>
  <si>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</si>
  <si>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</si>
  <si>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</si>
  <si>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</si>
  <si>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</si>
  <si>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</si>
  <si>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</si>
  <si>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</si>
  <si>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</si>
  <si>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</si>
  <si>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</si>
  <si>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</si>
  <si>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</si>
  <si>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</si>
  <si>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</si>
  <si>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</si>
  <si>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</si>
  <si>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</si>
  <si>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</si>
  <si>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</si>
  <si>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</si>
  <si>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</si>
  <si>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</si>
  <si>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</si>
  <si>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</si>
  <si>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</si>
  <si>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</si>
  <si>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</si>
  <si>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</si>
  <si>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</si>
  <si>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</si>
  <si>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</si>
  <si>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</si>
  <si>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</si>
  <si>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</si>
  <si>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</si>
  <si>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</si>
  <si>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</si>
  <si>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</si>
  <si>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</si>
  <si>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</si>
  <si>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</si>
  <si>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</si>
  <si>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</si>
  <si>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</si>
  <si>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</si>
  <si>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</si>
  <si>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</si>
  <si>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</si>
  <si>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</si>
  <si>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</si>
  <si>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</si>
  <si>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</si>
  <si>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</si>
  <si>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</si>
  <si>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</si>
  <si>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</si>
  <si>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</si>
  <si>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</si>
  <si>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</si>
  <si>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</si>
  <si>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</si>
  <si>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</si>
  <si>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</si>
  <si>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</si>
  <si>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</si>
  <si>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</si>
  <si>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</si>
  <si>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</si>
  <si>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</si>
  <si>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</si>
  <si>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</si>
  <si>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</si>
  <si>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</si>
  <si>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</si>
  <si>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</si>
  <si>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</si>
  <si>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</si>
  <si>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</si>
  <si>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</si>
  <si>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</si>
  <si>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</si>
  <si>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</si>
  <si>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</si>
  <si>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</si>
  <si>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</si>
  <si>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</si>
  <si>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</si>
  <si>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</si>
  <si>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</si>
  <si>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</si>
  <si>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</si>
  <si>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</si>
  <si>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</si>
  <si>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</si>
  <si>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</si>
  <si>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</si>
  <si>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</si>
  <si>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</si>
  <si>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</si>
  <si>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</si>
  <si>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</si>
  <si>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</si>
  <si>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</si>
  <si>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</si>
  <si>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</si>
  <si>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</si>
  <si>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</si>
  <si>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</si>
  <si>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</si>
  <si>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</si>
  <si>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</si>
  <si>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</si>
  <si>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</si>
  <si>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</si>
  <si>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</si>
  <si>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</si>
  <si>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</si>
  <si>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</si>
  <si>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</si>
  <si>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</si>
  <si>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</si>
  <si>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</si>
  <si>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</si>
  <si>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</si>
  <si>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</si>
  <si>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</si>
  <si>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</si>
  <si>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</si>
  <si>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</si>
  <si>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</si>
  <si>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</si>
  <si>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</si>
  <si>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</si>
  <si>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</si>
  <si>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</si>
  <si>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</si>
  <si>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</si>
  <si>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</si>
  <si>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</si>
  <si>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</si>
  <si>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</si>
  <si>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</si>
  <si>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</si>
  <si>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</si>
  <si>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</si>
  <si>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</si>
  <si>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</si>
  <si>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</si>
  <si>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</si>
  <si>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</si>
  <si>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</si>
  <si>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</si>
  <si>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</si>
  <si>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</si>
  <si>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</si>
  <si>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</si>
  <si>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</si>
  <si>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</si>
  <si>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</si>
  <si>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</si>
  <si>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</si>
  <si>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</si>
  <si>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</si>
  <si>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</si>
  <si>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</si>
  <si>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</si>
  <si>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</si>
  <si>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</si>
  <si>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</si>
  <si>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</si>
  <si>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</si>
  <si>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</si>
  <si>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</si>
  <si>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</si>
  <si>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</si>
  <si>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</si>
  <si>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</si>
  <si>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</si>
  <si>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</si>
  <si>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</si>
  <si>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</si>
  <si>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</si>
  <si>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</si>
  <si>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</si>
  <si>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</si>
  <si>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</si>
  <si>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</si>
  <si>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</si>
  <si>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</si>
  <si>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</si>
  <si>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</si>
  <si>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</si>
  <si>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</si>
  <si>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</si>
  <si>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</si>
  <si>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</si>
  <si>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</si>
  <si>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</si>
  <si>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</si>
  <si>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</si>
  <si>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</si>
  <si>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</si>
  <si>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</si>
  <si>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</si>
  <si>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</si>
  <si>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</si>
  <si>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</si>
  <si>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</si>
  <si>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</si>
  <si>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</si>
  <si>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</si>
  <si>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</si>
  <si>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</si>
  <si>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</si>
  <si>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</si>
  <si>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</si>
  <si>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</si>
  <si>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</si>
  <si>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</si>
  <si>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</si>
  <si>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</si>
  <si>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</si>
  <si>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</si>
  <si>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</si>
  <si>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</si>
  <si>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</si>
  <si>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</si>
  <si>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</si>
  <si>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</si>
  <si>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</si>
  <si>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</si>
  <si>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</si>
  <si>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</si>
  <si>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</si>
  <si>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</si>
  <si>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</si>
  <si>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</si>
  <si>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</si>
  <si>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</si>
  <si>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</si>
  <si>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</si>
  <si>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</si>
  <si>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</si>
  <si>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</si>
  <si>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</si>
  <si>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</si>
  <si>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</si>
  <si>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</si>
  <si>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</si>
  <si>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</si>
  <si>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</si>
  <si>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</si>
  <si>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</si>
  <si>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</si>
  <si>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</si>
  <si>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</si>
  <si>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</si>
  <si>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</si>
  <si>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</si>
  <si>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</si>
  <si>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</si>
  <si>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</si>
  <si>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</si>
  <si>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</si>
  <si>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</si>
  <si>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</si>
  <si>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</si>
  <si>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</si>
  <si>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</si>
  <si>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</si>
  <si>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</si>
  <si>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</si>
  <si>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</si>
  <si>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</si>
  <si>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</si>
  <si>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</si>
  <si>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</si>
  <si>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</si>
  <si>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</si>
  <si>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</si>
  <si>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</si>
  <si>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</si>
  <si>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</si>
  <si>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</si>
  <si>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</si>
  <si>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</si>
  <si>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</si>
  <si>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</si>
  <si>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</si>
  <si>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</si>
  <si>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</si>
  <si>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</si>
  <si>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</si>
  <si>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</si>
  <si>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</si>
  <si>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</si>
  <si>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</si>
  <si>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</si>
  <si>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</si>
  <si>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</si>
  <si>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</si>
  <si>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</si>
  <si>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</si>
  <si>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</si>
  <si>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</si>
  <si>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</si>
  <si>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</si>
  <si>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</si>
  <si>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</si>
  <si>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</si>
  <si>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</si>
  <si>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</si>
  <si>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</si>
  <si>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</si>
  <si>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</si>
  <si>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</si>
  <si>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</si>
  <si>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</si>
  <si>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</si>
  <si>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</si>
  <si>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</si>
  <si>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</si>
  <si>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</si>
  <si>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</si>
  <si>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</si>
  <si>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</si>
  <si>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</si>
  <si>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</si>
  <si>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</si>
  <si>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</si>
  <si>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</si>
  <si>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</si>
  <si>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</si>
  <si>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</si>
  <si>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</si>
  <si>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</si>
  <si>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</si>
  <si>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</si>
  <si>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</si>
  <si>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</si>
  <si>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</si>
  <si>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</si>
  <si>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</si>
  <si>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</si>
  <si>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</si>
  <si>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</si>
  <si>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</si>
  <si>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</si>
  <si>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</si>
  <si>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</si>
  <si>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</si>
  <si>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</si>
  <si>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</si>
  <si>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</si>
  <si>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</si>
  <si>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</si>
  <si>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</si>
  <si>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</si>
  <si>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</si>
  <si>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</si>
  <si>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</si>
  <si>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</si>
  <si>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</si>
  <si>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</si>
  <si>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</si>
  <si>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</si>
  <si>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</si>
  <si>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</si>
  <si>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</si>
  <si>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</si>
  <si>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</si>
  <si>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</si>
  <si>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</si>
  <si>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</si>
  <si>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</si>
  <si>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</si>
  <si>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</si>
  <si>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</si>
  <si>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</si>
  <si>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</si>
  <si>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</si>
  <si>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</si>
  <si>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</si>
  <si>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</si>
  <si>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</si>
  <si>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</si>
  <si>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</si>
  <si>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</si>
  <si>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</si>
  <si>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</si>
  <si>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</si>
  <si>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</si>
  <si>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</si>
  <si>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</si>
  <si>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</si>
  <si>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</si>
  <si>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</si>
  <si>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</si>
  <si>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</si>
  <si>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</si>
  <si>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</si>
  <si>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</si>
  <si>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</si>
  <si>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</si>
  <si>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</si>
  <si>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</si>
  <si>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</si>
  <si>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</si>
  <si>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</si>
  <si>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</si>
  <si>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</si>
  <si>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</si>
  <si>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</si>
  <si>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</si>
  <si>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</si>
  <si>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</si>
  <si>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</si>
  <si>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</si>
  <si>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</si>
  <si>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</si>
  <si>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</si>
  <si>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</si>
  <si>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</si>
  <si>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</si>
  <si>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</si>
  <si>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</si>
  <si>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</si>
  <si>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</si>
  <si>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</si>
  <si>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</si>
  <si>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</si>
  <si>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</si>
  <si>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</si>
  <si>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</si>
  <si>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</si>
  <si>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</si>
  <si>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</si>
  <si>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</si>
  <si>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</si>
  <si>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</si>
  <si>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</si>
  <si>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</si>
  <si>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</si>
  <si>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</si>
  <si>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</si>
  <si>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</si>
  <si>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</si>
  <si>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</si>
  <si>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</si>
  <si>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</si>
  <si>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</si>
  <si>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</si>
  <si>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</si>
  <si>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</si>
  <si>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</si>
  <si>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</si>
  <si>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</si>
  <si>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</si>
  <si>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</si>
  <si>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</si>
  <si>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</si>
  <si>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</si>
  <si>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</si>
  <si>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</si>
  <si>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</si>
  <si>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</si>
  <si>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</si>
  <si>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</si>
  <si>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</si>
  <si>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</si>
  <si>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</si>
  <si>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</si>
  <si>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</si>
  <si>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</si>
  <si>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</si>
  <si>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</si>
  <si>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</si>
  <si>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</si>
  <si>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</si>
  <si>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</si>
  <si>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</si>
  <si>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</si>
  <si>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</si>
  <si>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</si>
  <si>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</si>
  <si>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</si>
  <si>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</si>
  <si>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</si>
  <si>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</si>
  <si>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</si>
  <si>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</si>
  <si>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</si>
  <si>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</si>
  <si>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</si>
  <si>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</si>
  <si>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</si>
  <si>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</si>
  <si>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</si>
  <si>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</si>
  <si>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</si>
  <si>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</si>
  <si>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</si>
  <si>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</si>
  <si>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</si>
  <si>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</si>
  <si>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</si>
  <si>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</si>
  <si>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</si>
  <si>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</si>
  <si>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</si>
  <si>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</si>
  <si>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</si>
  <si>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</si>
  <si>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</si>
  <si>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</si>
  <si>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</si>
  <si>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</si>
  <si>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</si>
  <si>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</si>
  <si>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</si>
  <si>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</si>
  <si>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</si>
  <si>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</si>
  <si>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</si>
  <si>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</si>
  <si>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</si>
  <si>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</si>
  <si>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</si>
  <si>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</si>
  <si>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</si>
  <si>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</si>
  <si>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</si>
  <si>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</si>
  <si>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</si>
  <si>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</si>
  <si>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</si>
  <si>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</si>
  <si>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</si>
  <si>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</si>
  <si>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</si>
  <si>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</si>
  <si>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</si>
  <si>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</si>
  <si>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</si>
  <si>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</si>
  <si>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</si>
  <si>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</si>
  <si>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</si>
  <si>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</si>
  <si>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</si>
  <si>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</si>
  <si>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</si>
  <si>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</si>
  <si>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</si>
  <si>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</si>
  <si>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</si>
  <si>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</si>
  <si>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</si>
  <si>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</si>
  <si>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</si>
  <si>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</si>
  <si>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</si>
  <si>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</si>
  <si>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</si>
  <si>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</si>
  <si>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</si>
  <si>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</si>
  <si>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</si>
  <si>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</si>
  <si>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</si>
  <si>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</si>
  <si>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</si>
  <si>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</si>
  <si>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</si>
  <si>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</si>
  <si>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</si>
  <si>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</si>
  <si>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</si>
  <si>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</si>
  <si>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</si>
  <si>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</si>
  <si>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</si>
  <si>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</si>
  <si>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</si>
  <si>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</si>
  <si>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</si>
  <si>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</si>
  <si>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</si>
  <si>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</si>
  <si>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</si>
  <si>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</si>
  <si>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</si>
  <si>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</si>
  <si>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</si>
  <si>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</si>
  <si>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</si>
  <si>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</si>
  <si>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</si>
  <si>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</si>
  <si>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</si>
  <si>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</si>
  <si>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</si>
  <si>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</si>
  <si>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</si>
  <si>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</si>
  <si>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</si>
  <si>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</si>
  <si>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</si>
  <si>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</si>
  <si>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</si>
  <si>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</si>
  <si>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</si>
  <si>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</si>
  <si>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</si>
  <si>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</si>
  <si>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</si>
  <si>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</si>
  <si>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</si>
  <si>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</si>
  <si>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</si>
  <si>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</si>
  <si>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</si>
  <si>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</si>
  <si>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</si>
  <si>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</si>
  <si>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</si>
  <si>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</si>
  <si>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</si>
  <si>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</si>
  <si>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</si>
  <si>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</si>
  <si>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</si>
  <si>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</si>
  <si>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</si>
  <si>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</si>
  <si>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</si>
  <si>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</si>
  <si>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</si>
  <si>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</si>
  <si>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</si>
  <si>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</si>
  <si>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</si>
  <si>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</si>
  <si>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</si>
  <si>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</si>
  <si>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</si>
  <si>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</si>
  <si>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</si>
  <si>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</si>
  <si>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</si>
  <si>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</si>
  <si>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</si>
  <si>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</si>
  <si>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</si>
  <si>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</si>
  <si>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</si>
  <si>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</si>
  <si>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</si>
  <si>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</si>
  <si>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</si>
  <si>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</si>
  <si>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</si>
  <si>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</si>
  <si>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</si>
  <si>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</si>
  <si>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</si>
  <si>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</si>
  <si>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</si>
  <si>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</si>
  <si>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</si>
  <si>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</si>
  <si>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</si>
  <si>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</si>
  <si>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</si>
  <si>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</si>
  <si>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</si>
  <si>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</si>
  <si>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</si>
  <si>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</si>
  <si>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</si>
  <si>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</si>
  <si>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</si>
  <si>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</si>
  <si>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</si>
  <si>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</si>
  <si>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</si>
  <si>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</si>
  <si>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</si>
  <si>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</si>
  <si>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</si>
  <si>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</si>
  <si>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</si>
  <si>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</si>
  <si>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</si>
  <si>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</si>
  <si>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</si>
  <si>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</si>
  <si>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</si>
  <si>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</si>
  <si>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</si>
  <si>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</si>
  <si>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</si>
  <si>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</si>
  <si>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</si>
  <si>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</si>
  <si>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</si>
  <si>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</si>
  <si>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</si>
  <si>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</si>
  <si>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</si>
  <si>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</si>
  <si>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</si>
  <si>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</si>
  <si>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</si>
  <si>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</si>
  <si>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</si>
  <si>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</si>
  <si>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</si>
  <si>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</si>
  <si>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</si>
  <si>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</si>
  <si>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</si>
  <si>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</si>
  <si>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</si>
  <si>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</si>
  <si>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</si>
  <si>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</si>
  <si>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</si>
  <si>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</si>
  <si>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</si>
  <si>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</si>
  <si>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</si>
  <si>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</si>
  <si>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</si>
  <si>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</si>
  <si>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</si>
  <si>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</si>
  <si>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</si>
  <si>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</si>
  <si>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</si>
  <si>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</si>
  <si>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</si>
  <si>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</si>
  <si>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</si>
  <si>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</si>
  <si>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</si>
  <si>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</si>
  <si>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</si>
  <si>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</si>
  <si>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</si>
  <si>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</si>
  <si>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</si>
  <si>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</si>
  <si>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</si>
  <si>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</si>
  <si>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</si>
  <si>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</si>
  <si>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</si>
  <si>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</si>
  <si>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</si>
  <si>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</si>
  <si>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</si>
  <si>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</si>
  <si>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</si>
  <si>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</si>
  <si>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</si>
  <si>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</si>
  <si>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</si>
  <si>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</si>
  <si>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</si>
  <si>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</si>
  <si>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</si>
  <si>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</si>
  <si>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</si>
  <si>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</si>
  <si>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</si>
  <si>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</si>
  <si>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</si>
  <si>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</si>
  <si>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</si>
  <si>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</si>
  <si>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</si>
  <si>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</si>
  <si>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</si>
  <si>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</si>
  <si>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</si>
  <si>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</si>
  <si>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</si>
  <si>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</si>
  <si>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</si>
  <si>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</si>
  <si>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</si>
  <si>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</si>
  <si>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</si>
  <si>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</si>
  <si>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</si>
  <si>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</si>
  <si>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</si>
  <si>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</si>
  <si>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</si>
  <si>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</si>
  <si>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</si>
  <si>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</si>
  <si>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</si>
  <si>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</si>
  <si>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</si>
  <si>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</si>
  <si>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</si>
  <si>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</si>
  <si>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</si>
  <si>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</si>
  <si>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</si>
  <si>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</si>
  <si>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</si>
  <si>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</si>
  <si>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</si>
  <si>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</si>
  <si>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</si>
  <si>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</si>
  <si>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</si>
  <si>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</si>
  <si>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</si>
  <si>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</si>
  <si>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</si>
  <si>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</si>
  <si>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</si>
  <si>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</si>
  <si>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</si>
  <si>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</si>
  <si>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</si>
  <si>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</si>
  <si>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</si>
  <si>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</si>
  <si>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</si>
  <si>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</si>
  <si>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</si>
  <si>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</si>
  <si>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</si>
  <si>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</si>
  <si>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</si>
  <si>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</si>
  <si>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</si>
  <si>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</si>
  <si>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</si>
  <si>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</si>
  <si>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</si>
  <si>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</si>
  <si>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</si>
  <si>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</si>
  <si>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</si>
  <si>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</si>
  <si>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</si>
  <si>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</si>
  <si>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</si>
  <si>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</si>
  <si>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</si>
  <si>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</si>
  <si>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</si>
  <si>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</si>
  <si>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</si>
  <si>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</si>
  <si>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</si>
  <si>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</si>
  <si>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</si>
  <si>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</si>
  <si>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</si>
  <si>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</si>
  <si>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</si>
  <si>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</si>
  <si>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</si>
  <si>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</si>
  <si>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</si>
  <si>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</si>
  <si>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</si>
  <si>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</si>
  <si>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</si>
  <si>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</si>
  <si>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</si>
  <si>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</si>
  <si>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</si>
  <si>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</si>
  <si>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</si>
  <si>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</si>
  <si>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</si>
  <si>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</si>
  <si>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</si>
  <si>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</si>
  <si>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</si>
  <si>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</si>
  <si>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</si>
  <si>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</si>
  <si>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</si>
  <si>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</si>
  <si>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</si>
  <si>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</si>
  <si>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</si>
  <si>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</si>
  <si>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</si>
  <si>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</si>
  <si>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</si>
  <si>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</si>
  <si>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</si>
  <si>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</si>
  <si>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</si>
  <si>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</si>
  <si>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</si>
  <si>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</si>
  <si>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</si>
  <si>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</si>
  <si>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</si>
  <si>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</si>
  <si>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</si>
  <si>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</si>
  <si>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</si>
  <si>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</si>
  <si>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</si>
  <si>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</si>
  <si>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</si>
  <si>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</si>
  <si>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</si>
  <si>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</si>
  <si>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</si>
  <si>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</si>
  <si>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</si>
  <si>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</si>
  <si>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</si>
  <si>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</si>
  <si>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</si>
  <si>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</si>
  <si>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</si>
  <si>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</si>
  <si>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</si>
  <si>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</si>
  <si>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</si>
  <si>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</si>
  <si>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</si>
  <si>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</si>
  <si>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</si>
  <si>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</si>
  <si>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</si>
  <si>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</si>
  <si>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</si>
  <si>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</si>
  <si>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</si>
  <si>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</si>
  <si>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</si>
  <si>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</si>
  <si>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</si>
  <si>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</si>
  <si>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</si>
  <si>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</si>
  <si>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</si>
  <si>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</si>
  <si>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</si>
  <si>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</si>
  <si>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</si>
  <si>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</si>
  <si>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</si>
  <si>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</si>
  <si>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</si>
  <si>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</si>
  <si>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</si>
  <si>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</si>
  <si>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</si>
  <si>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</si>
  <si>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</si>
  <si>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</si>
  <si>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</si>
  <si>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</si>
  <si>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</si>
  <si>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</si>
  <si>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</si>
  <si>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</si>
  <si>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</si>
  <si>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</si>
  <si>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</si>
  <si>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</si>
  <si>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</si>
  <si>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</si>
  <si>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</si>
  <si>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</si>
  <si>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</si>
  <si>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</si>
  <si>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</si>
  <si>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</si>
  <si>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</si>
  <si>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</si>
  <si>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</si>
  <si>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</si>
  <si>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</si>
  <si>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</si>
  <si>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</si>
  <si>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</si>
  <si>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</si>
  <si>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</si>
  <si>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</si>
  <si>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</si>
  <si>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</si>
  <si>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</si>
  <si>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</si>
  <si>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</si>
  <si>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</si>
  <si>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</si>
  <si>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</si>
  <si>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</si>
  <si>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</si>
  <si>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</si>
  <si>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</si>
  <si>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</si>
  <si>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</si>
  <si>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</si>
  <si>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</si>
  <si>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</si>
  <si>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</si>
  <si>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</si>
  <si>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</si>
  <si>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</si>
  <si>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</si>
  <si>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</si>
  <si>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</si>
  <si>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</si>
  <si>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</si>
  <si>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</si>
  <si>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</si>
  <si>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</si>
  <si>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</si>
  <si>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</si>
  <si>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</si>
  <si>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</si>
  <si>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</si>
  <si>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</si>
  <si>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</si>
  <si>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</si>
  <si>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</si>
  <si>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</si>
  <si>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</si>
  <si>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</si>
  <si>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</si>
  <si>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</si>
  <si>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</si>
  <si>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</si>
  <si>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</si>
  <si>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</si>
  <si>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</si>
  <si>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</si>
  <si>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</si>
  <si>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</si>
  <si>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</si>
  <si>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</si>
  <si>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</si>
  <si>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</si>
  <si>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</si>
  <si>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</si>
  <si>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</si>
  <si>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</si>
  <si>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</si>
  <si>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</si>
  <si>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</si>
  <si>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</si>
  <si>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</si>
  <si>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</si>
  <si>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</si>
  <si>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</si>
  <si>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</si>
  <si>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</si>
  <si>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</si>
  <si>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</si>
  <si>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</si>
  <si>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</si>
  <si>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</si>
  <si>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</si>
  <si>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</si>
  <si>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</si>
  <si>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</si>
  <si>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</si>
  <si>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</si>
  <si>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</si>
  <si>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</si>
  <si>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</si>
  <si>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</si>
  <si>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</si>
  <si>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</si>
  <si>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</si>
  <si>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</si>
  <si>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</si>
  <si>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</si>
  <si>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</si>
  <si>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</si>
  <si>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</si>
  <si>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</si>
  <si>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</si>
  <si>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</si>
  <si>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</si>
  <si>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</si>
  <si>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</si>
  <si>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</si>
  <si>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</si>
  <si>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</si>
  <si>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</si>
  <si>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</si>
  <si>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</si>
  <si>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</si>
  <si>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</si>
  <si>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</si>
  <si>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</si>
  <si>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</si>
  <si>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</si>
  <si>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</si>
  <si>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</si>
  <si>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</si>
  <si>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</si>
  <si>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</si>
  <si>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</si>
  <si>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</si>
  <si>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</si>
  <si>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</si>
  <si>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</si>
  <si>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</si>
  <si>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</si>
  <si>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</si>
  <si>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</si>
  <si>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</si>
  <si>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</si>
  <si>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</si>
  <si>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</si>
  <si>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</si>
  <si>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</si>
  <si>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</si>
  <si>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</si>
  <si>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</si>
  <si>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</si>
  <si>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</si>
  <si>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</si>
  <si>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</si>
  <si>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</si>
  <si>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</si>
  <si>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</si>
  <si>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</si>
  <si>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</si>
  <si>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</si>
  <si>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</si>
  <si>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</si>
  <si>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</si>
  <si>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</si>
  <si>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</si>
  <si>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</si>
  <si>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</si>
  <si>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</si>
  <si>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</si>
  <si>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</si>
  <si>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</si>
  <si>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</si>
  <si>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</si>
  <si>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</si>
  <si>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</si>
  <si>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</si>
  <si>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</si>
  <si>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</si>
  <si>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</si>
  <si>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</si>
  <si>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</si>
  <si>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</si>
  <si>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</si>
  <si>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</si>
  <si>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</si>
  <si>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</si>
  <si>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</si>
  <si>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</si>
  <si>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</si>
  <si>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</si>
  <si>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</si>
  <si>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</si>
  <si>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</si>
  <si>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</si>
  <si>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</si>
  <si>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</si>
  <si>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</si>
  <si>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</si>
  <si>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</si>
  <si>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</si>
  <si>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</si>
  <si>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</si>
  <si>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</si>
  <si>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</si>
  <si>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</si>
  <si>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</si>
  <si>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</si>
  <si>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</si>
  <si>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</si>
  <si>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</si>
  <si>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</si>
  <si>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</si>
  <si>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</si>
  <si>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</si>
  <si>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</si>
  <si>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</si>
  <si>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</si>
  <si>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</si>
  <si>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</si>
  <si>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</si>
  <si>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</si>
  <si>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</si>
  <si>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</si>
  <si>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</si>
  <si>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</si>
  <si>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</si>
  <si>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</si>
  <si>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</si>
  <si>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</si>
  <si>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</si>
  <si>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</si>
  <si>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</si>
  <si>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</si>
  <si>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</si>
  <si>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</si>
  <si>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</si>
  <si>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</si>
  <si>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</si>
  <si>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</si>
  <si>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</si>
  <si>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</si>
  <si>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</si>
  <si>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</si>
  <si>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</si>
  <si>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</si>
  <si>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</si>
  <si>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</si>
  <si>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</si>
  <si>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</si>
  <si>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</si>
  <si>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</si>
  <si>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</si>
  <si>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</si>
  <si>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</si>
  <si>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</si>
  <si>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</si>
  <si>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</si>
  <si>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</si>
  <si>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</si>
  <si>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</si>
  <si>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</si>
  <si>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</si>
  <si>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</si>
  <si>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</si>
  <si>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</si>
  <si>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</si>
  <si>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</si>
  <si>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</si>
  <si>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</si>
  <si>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</si>
  <si>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</si>
  <si>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</si>
  <si>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</si>
  <si>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</si>
  <si>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</si>
  <si>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</si>
  <si>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</si>
  <si>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</si>
  <si>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</si>
  <si>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</si>
  <si>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</si>
  <si>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</si>
  <si>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</si>
  <si>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</si>
  <si>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</si>
  <si>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</si>
  <si>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</si>
  <si>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</si>
  <si>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</si>
  <si>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</si>
  <si>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</si>
  <si>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</si>
  <si>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</si>
  <si>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</si>
  <si>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</si>
  <si>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</si>
  <si>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</si>
  <si>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</si>
  <si>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</si>
  <si>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</si>
  <si>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</si>
  <si>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</si>
  <si>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</si>
  <si>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</si>
  <si>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</si>
  <si>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</si>
  <si>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</si>
  <si>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</si>
  <si>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</si>
  <si>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</si>
  <si>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</si>
  <si>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</si>
  <si>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</si>
  <si>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</si>
  <si>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</si>
  <si>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</si>
  <si>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</si>
  <si>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</si>
  <si>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</si>
  <si>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</si>
  <si>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</si>
  <si>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</si>
  <si>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</si>
  <si>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</si>
  <si>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</si>
  <si>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</si>
  <si>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</si>
  <si>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</si>
  <si>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</si>
  <si>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</si>
  <si>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</si>
  <si>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</si>
  <si>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</si>
  <si>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</si>
  <si>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</si>
  <si>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</si>
  <si>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</si>
  <si>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</si>
  <si>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</si>
  <si>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</si>
  <si>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</si>
  <si>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</si>
  <si>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</si>
  <si>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</si>
  <si>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</si>
  <si>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</si>
  <si>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</si>
  <si>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</si>
  <si>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</si>
  <si>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</si>
  <si>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</si>
  <si>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</si>
  <si>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</si>
  <si>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</si>
  <si>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</si>
  <si>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</si>
  <si>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</si>
  <si>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</si>
  <si>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</si>
  <si>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</si>
  <si>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</si>
  <si>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</si>
  <si>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</si>
  <si>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</si>
  <si>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</si>
  <si>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</si>
  <si>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</si>
  <si>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</si>
  <si>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</si>
  <si>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</si>
  <si>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</si>
  <si>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</si>
  <si>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</si>
  <si>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</si>
  <si>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</si>
  <si>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</si>
  <si>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</si>
  <si>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</si>
  <si>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</si>
  <si>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</si>
  <si>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</si>
  <si>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</si>
  <si>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</si>
  <si>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</si>
  <si>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</si>
  <si>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</si>
  <si>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</si>
  <si>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</si>
  <si>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</si>
  <si>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</si>
  <si>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</si>
  <si>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</si>
  <si>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</si>
  <si>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</si>
  <si>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</si>
  <si>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</si>
  <si>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</si>
  <si>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</si>
  <si>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</si>
  <si>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</si>
  <si>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</si>
  <si>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</si>
  <si>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</si>
  <si>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</si>
  <si>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</si>
  <si>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</si>
  <si>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</si>
  <si>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</si>
  <si>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</si>
  <si>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</si>
  <si>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</si>
  <si>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</si>
  <si>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</si>
  <si>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</si>
  <si>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</si>
  <si>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</si>
  <si>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</si>
  <si>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</si>
  <si>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</si>
  <si>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</si>
  <si>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</si>
  <si>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</si>
  <si>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</si>
  <si>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</si>
  <si>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</si>
  <si>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</si>
  <si>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</si>
  <si>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</si>
  <si>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</si>
  <si>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</si>
  <si>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</si>
  <si>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</si>
  <si>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</si>
  <si>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</si>
  <si>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</si>
  <si>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</si>
  <si>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</si>
  <si>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</si>
  <si>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</si>
  <si>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</si>
  <si>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</si>
  <si>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</si>
  <si>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</si>
  <si>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</si>
  <si>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</si>
  <si>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</si>
  <si>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</si>
  <si>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</si>
  <si>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</si>
  <si>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</si>
  <si>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</si>
  <si>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</si>
  <si>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</si>
  <si>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</si>
  <si>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</si>
  <si>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</si>
  <si>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</si>
  <si>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</si>
  <si>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</si>
  <si>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</si>
  <si>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</si>
  <si>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</si>
  <si>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</si>
  <si>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</si>
  <si>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</si>
  <si>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</si>
  <si>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</si>
  <si>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</si>
  <si>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</si>
  <si>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</si>
  <si>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</si>
  <si>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</si>
  <si>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</si>
  <si>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</si>
  <si>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</si>
  <si>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</si>
  <si>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</si>
  <si>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</si>
  <si>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</si>
  <si>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</si>
  <si>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</si>
  <si>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</si>
  <si>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</si>
  <si>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</si>
  <si>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</si>
  <si>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</si>
  <si>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</si>
  <si>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</si>
  <si>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</si>
  <si>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</si>
  <si>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</si>
  <si>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</si>
  <si>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</si>
  <si>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</si>
  <si>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</si>
  <si>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</si>
  <si>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</si>
  <si>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</si>
  <si>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</si>
  <si>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</si>
  <si>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</si>
  <si>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</si>
  <si>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</si>
  <si>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</si>
  <si>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</si>
  <si>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</si>
  <si>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</si>
  <si>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</si>
  <si>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</si>
  <si>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</si>
  <si>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</si>
  <si>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</si>
  <si>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</si>
  <si>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</si>
  <si>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</si>
  <si>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</si>
  <si>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</si>
  <si>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</si>
  <si>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</si>
  <si>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</si>
  <si>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</si>
  <si>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</si>
  <si>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</si>
  <si>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</si>
  <si>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</si>
  <si>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</si>
  <si>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</si>
  <si>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</si>
  <si>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</si>
  <si>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</si>
  <si>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</si>
  <si>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</si>
  <si>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</si>
  <si>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</si>
  <si>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</si>
  <si>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</si>
  <si>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</si>
  <si>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</si>
  <si>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</si>
  <si>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</si>
  <si>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</si>
  <si>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</si>
  <si>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</si>
  <si>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</si>
  <si>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</si>
  <si>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</si>
  <si>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</si>
  <si>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</si>
  <si>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</si>
  <si>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</si>
  <si>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</si>
  <si>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</si>
  <si>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</si>
  <si>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</si>
  <si>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</si>
  <si>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</si>
  <si>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</si>
  <si>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</si>
  <si>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</si>
  <si>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</si>
  <si>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</si>
  <si>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</si>
  <si>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</si>
  <si>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</si>
  <si>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</si>
  <si>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</si>
  <si>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</si>
  <si>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</si>
  <si>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</si>
  <si>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</si>
  <si>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</si>
  <si>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</si>
  <si>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</si>
  <si>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</si>
  <si>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</si>
  <si>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</si>
  <si>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</si>
  <si>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</si>
  <si>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</si>
  <si>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</si>
  <si>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</si>
  <si>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</si>
  <si>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</si>
  <si>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</si>
  <si>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</si>
  <si>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</si>
  <si>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</si>
  <si>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</si>
  <si>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</si>
  <si>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</si>
  <si>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</si>
  <si>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</si>
  <si>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</si>
  <si>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</si>
  <si>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</si>
  <si>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</si>
  <si>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</si>
  <si>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</si>
  <si>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</si>
  <si>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</si>
  <si>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</si>
  <si>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</si>
  <si>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</si>
  <si>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</si>
  <si>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</si>
  <si>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</si>
  <si>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</si>
  <si>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</si>
  <si>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</si>
  <si>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</si>
  <si>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</si>
  <si>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</si>
  <si>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</si>
  <si>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</si>
  <si>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</si>
  <si>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</si>
  <si>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</si>
  <si>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</si>
  <si>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</si>
  <si>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</si>
  <si>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</si>
  <si>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</si>
  <si>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</si>
  <si>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</si>
  <si>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</si>
  <si>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</si>
  <si>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</si>
  <si>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</si>
  <si>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</si>
  <si>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</si>
  <si>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</si>
  <si>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</si>
  <si>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</si>
  <si>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</si>
  <si>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</si>
  <si>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</si>
  <si>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</si>
  <si>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</si>
  <si>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</si>
  <si>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</si>
  <si>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</si>
  <si>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</si>
  <si>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</si>
  <si>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</si>
  <si>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</si>
  <si>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</si>
  <si>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</si>
  <si>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</si>
  <si>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</si>
  <si>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</si>
  <si>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</si>
  <si>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</si>
  <si>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</si>
  <si>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</si>
  <si>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</si>
  <si>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</si>
  <si>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</si>
  <si>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</si>
  <si>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</si>
  <si>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</si>
  <si>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</si>
  <si>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</si>
  <si>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</si>
  <si>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</si>
  <si>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</si>
  <si>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</si>
  <si>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</si>
  <si>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</si>
  <si>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</si>
  <si>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</si>
  <si>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</si>
  <si>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</si>
  <si>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</si>
  <si>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</si>
  <si>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</si>
  <si>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</si>
  <si>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</si>
  <si>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</si>
  <si>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</si>
  <si>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</si>
  <si>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</si>
  <si>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</si>
  <si>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</si>
  <si>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</si>
  <si>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</si>
  <si>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</si>
  <si>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</si>
  <si>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</si>
  <si>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</si>
  <si>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</si>
  <si>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</si>
  <si>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</si>
  <si>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</si>
  <si>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</si>
  <si>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</si>
  <si>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</si>
  <si>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</si>
  <si>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</si>
  <si>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</si>
  <si>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</si>
  <si>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</si>
  <si>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</si>
  <si>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</si>
  <si>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</si>
  <si>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</si>
  <si>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</si>
  <si>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</si>
  <si>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</si>
  <si>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</si>
  <si>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</si>
  <si>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</si>
  <si>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</si>
  <si>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</si>
  <si>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</si>
  <si>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</si>
  <si>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</si>
  <si>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</si>
  <si>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</si>
  <si>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</si>
  <si>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</si>
  <si>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</si>
  <si>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</si>
  <si>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</si>
  <si>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</si>
  <si>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</si>
  <si>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</si>
  <si>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</si>
  <si>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</si>
  <si>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</si>
  <si>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</si>
  <si>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</si>
  <si>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</si>
  <si>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</si>
  <si>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</si>
  <si>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</si>
  <si>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</si>
  <si>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</si>
  <si>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</si>
  <si>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</si>
  <si>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</si>
  <si>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</si>
  <si>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</si>
  <si>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</si>
  <si>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</si>
  <si>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</si>
  <si>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</si>
  <si>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</si>
  <si>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</si>
  <si>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</si>
  <si>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</si>
  <si>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</si>
  <si>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</si>
  <si>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</si>
  <si>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</si>
  <si>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</si>
  <si>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</si>
  <si>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</si>
  <si>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</si>
  <si>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</si>
  <si>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</si>
  <si>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</si>
  <si>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</si>
  <si>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</si>
  <si>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</si>
  <si>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</si>
  <si>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</si>
  <si>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</si>
  <si>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</si>
  <si>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</si>
  <si>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</si>
  <si>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</si>
  <si>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</si>
  <si>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</si>
  <si>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</si>
  <si>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</si>
  <si>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</si>
  <si>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</si>
  <si>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</si>
  <si>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</si>
  <si>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</si>
  <si>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</si>
  <si>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</si>
  <si>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</si>
  <si>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</si>
  <si>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</si>
  <si>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</si>
  <si>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</si>
  <si>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</si>
  <si>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</si>
  <si>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</si>
  <si>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</si>
  <si>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</si>
  <si>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</si>
  <si>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</si>
  <si>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</si>
  <si>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</si>
  <si>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</si>
  <si>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</si>
  <si>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</si>
  <si>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</si>
  <si>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</si>
  <si>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</si>
  <si>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</si>
  <si>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</si>
  <si>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</si>
  <si>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</si>
  <si>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</si>
  <si>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</si>
  <si>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</si>
  <si>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</si>
  <si>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</si>
  <si>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</si>
  <si>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</si>
  <si>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</si>
  <si>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</si>
  <si>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</si>
  <si>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</si>
  <si>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</si>
  <si>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</si>
  <si>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</si>
  <si>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</si>
  <si>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</si>
  <si>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</si>
  <si>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</si>
  <si>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</si>
  <si>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</si>
  <si>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</si>
  <si>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</si>
  <si>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</si>
  <si>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</si>
  <si>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</si>
  <si>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</si>
  <si>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</si>
  <si>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</si>
  <si>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</si>
  <si>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</si>
  <si>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</si>
  <si>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</si>
  <si>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</si>
  <si>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</si>
  <si>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</si>
  <si>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</si>
  <si>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</si>
  <si>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</si>
  <si>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</si>
  <si>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</si>
  <si>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</si>
  <si>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</si>
  <si>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</si>
  <si>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</si>
  <si>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</si>
  <si>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</si>
  <si>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</si>
  <si>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</si>
  <si>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</si>
  <si>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</si>
  <si>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</si>
  <si>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</si>
  <si>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</si>
  <si>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</si>
  <si>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</si>
  <si>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</si>
  <si>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</si>
  <si>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</si>
  <si>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</si>
  <si>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</si>
  <si>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</si>
  <si>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</si>
  <si>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</si>
  <si>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</si>
  <si>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</si>
  <si>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</si>
  <si>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</si>
  <si>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</si>
  <si>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</si>
  <si>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</si>
  <si>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</si>
  <si>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</si>
  <si>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</si>
  <si>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</si>
  <si>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</si>
  <si>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</si>
  <si>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</si>
  <si>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</si>
  <si>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</si>
  <si>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</si>
  <si>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</si>
  <si>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</si>
  <si>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</si>
  <si>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</si>
  <si>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</si>
  <si>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</si>
  <si>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</si>
  <si>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</si>
  <si>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</si>
  <si>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</si>
  <si>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</si>
  <si>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</si>
  <si>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</si>
  <si>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</si>
  <si>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</si>
  <si>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</si>
  <si>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</si>
  <si>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</si>
  <si>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</si>
  <si>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</si>
  <si>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</si>
  <si>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</si>
  <si>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</si>
  <si>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</si>
  <si>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</si>
  <si>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</si>
  <si>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</si>
  <si>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</si>
  <si>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</si>
  <si>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</si>
  <si>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</si>
  <si>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</si>
  <si>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</si>
  <si>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</si>
  <si>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</si>
  <si>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</si>
  <si>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</si>
  <si>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</si>
  <si>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</si>
  <si>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</si>
  <si>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</si>
  <si>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</si>
  <si>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</si>
  <si>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</si>
  <si>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</si>
  <si>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</si>
  <si>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</si>
  <si>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</si>
  <si>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</si>
  <si>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</si>
  <si>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</si>
  <si>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</si>
  <si>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</si>
  <si>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</si>
  <si>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</si>
  <si>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</si>
  <si>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</si>
  <si>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</si>
  <si>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</si>
  <si>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</si>
  <si>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</si>
  <si>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</si>
  <si>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</si>
  <si>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</si>
  <si>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</si>
  <si>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</si>
  <si>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</si>
  <si>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</si>
  <si>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</si>
  <si>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</si>
  <si>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</si>
  <si>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</si>
  <si>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</si>
  <si>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</si>
  <si>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</si>
  <si>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</si>
  <si>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</si>
  <si>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</si>
  <si>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</si>
  <si>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</si>
  <si>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</si>
  <si>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</si>
  <si>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</si>
  <si>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</si>
  <si>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</si>
  <si>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</si>
  <si>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</si>
  <si>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</si>
  <si>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</si>
  <si>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</si>
  <si>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</si>
  <si>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</si>
  <si>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</si>
  <si>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</si>
  <si>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</si>
  <si>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</si>
  <si>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</si>
  <si>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</si>
  <si>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</si>
  <si>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</si>
  <si>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</si>
  <si>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</si>
  <si>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</si>
  <si>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</si>
  <si>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</si>
  <si>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</si>
  <si>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</si>
  <si>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</si>
  <si>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</si>
  <si>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</si>
  <si>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</si>
  <si>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</si>
  <si>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</si>
  <si>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</si>
  <si>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</si>
  <si>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</si>
  <si>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</si>
  <si>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</si>
  <si>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</si>
  <si>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</si>
  <si>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</si>
  <si>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</si>
  <si>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</si>
  <si>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</si>
  <si>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</si>
  <si>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</si>
  <si>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</si>
  <si>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</si>
  <si>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</si>
  <si>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</si>
  <si>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</si>
  <si>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</si>
  <si>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</si>
  <si>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</si>
  <si>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</si>
  <si>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</si>
  <si>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</si>
  <si>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</si>
  <si>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</si>
  <si>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</si>
  <si>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</si>
  <si>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</si>
  <si>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</si>
  <si>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</si>
  <si>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</si>
  <si>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</si>
  <si>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</si>
  <si>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</si>
  <si>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</si>
  <si>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</si>
  <si>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</si>
  <si>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</si>
  <si>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</si>
  <si>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</si>
  <si>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</si>
  <si>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</si>
  <si>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</si>
  <si>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</si>
  <si>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</si>
  <si>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</si>
  <si>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</si>
  <si>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</si>
  <si>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</si>
  <si>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</si>
  <si>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</si>
  <si>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</si>
  <si>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</si>
  <si>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</si>
  <si>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</si>
  <si>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</si>
  <si>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</si>
  <si>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</si>
  <si>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</si>
  <si>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</si>
  <si>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</si>
  <si>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</si>
  <si>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</si>
  <si>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</si>
  <si>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</si>
  <si>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</si>
  <si>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</si>
  <si>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</si>
  <si>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</si>
  <si>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</si>
  <si>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</si>
  <si>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</si>
  <si>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</si>
  <si>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</si>
  <si>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</si>
  <si>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</si>
  <si>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</si>
  <si>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</si>
  <si>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</si>
  <si>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</si>
  <si>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</si>
  <si>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</si>
  <si>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</si>
  <si>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</si>
  <si>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</si>
  <si>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</si>
  <si>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</si>
  <si>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</si>
  <si>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</si>
  <si>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</si>
  <si>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</si>
  <si>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</si>
  <si>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</si>
  <si>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</si>
  <si>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</si>
  <si>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</si>
  <si>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</si>
  <si>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</si>
  <si>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</si>
  <si>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</si>
  <si>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</si>
  <si>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</si>
  <si>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</si>
  <si>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</si>
  <si>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</si>
  <si>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</si>
  <si>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</si>
  <si>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</si>
  <si>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</si>
  <si>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</si>
  <si>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</si>
  <si>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</si>
  <si>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</si>
  <si>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</si>
  <si>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</si>
  <si>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</si>
  <si>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</si>
  <si>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</si>
  <si>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</si>
  <si>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</si>
  <si>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</si>
  <si>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</si>
  <si>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</si>
  <si>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</si>
  <si>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</si>
  <si>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</si>
  <si>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</si>
  <si>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</si>
  <si>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</si>
  <si>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</si>
  <si>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</si>
  <si>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</si>
  <si>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</si>
  <si>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</si>
  <si>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</si>
  <si>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</si>
  <si>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</si>
  <si>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</si>
  <si>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</si>
  <si>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</si>
  <si>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</si>
  <si>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</si>
  <si>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</si>
  <si>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</si>
  <si>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</si>
  <si>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</si>
  <si>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</si>
  <si>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</si>
  <si>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</si>
  <si>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</si>
  <si>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</si>
  <si>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</si>
  <si>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</si>
  <si>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</si>
  <si>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</si>
  <si>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</si>
  <si>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</si>
  <si>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</si>
  <si>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</si>
  <si>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</si>
  <si>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</si>
  <si>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</si>
  <si>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</si>
  <si>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</si>
  <si>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</si>
  <si>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</si>
  <si>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</si>
  <si>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</si>
  <si>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</si>
  <si>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</si>
  <si>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</si>
  <si>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</si>
  <si>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</si>
  <si>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</si>
  <si>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</si>
  <si>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</si>
  <si>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</si>
  <si>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</si>
  <si>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</si>
  <si>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</si>
  <si>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</si>
  <si>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</si>
  <si>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</si>
  <si>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</si>
  <si>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</si>
  <si>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</si>
  <si>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</si>
  <si>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</si>
  <si>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</si>
  <si>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</si>
  <si>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</si>
  <si>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</si>
  <si>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</si>
  <si>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</si>
  <si>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</si>
  <si>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</si>
  <si>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</si>
  <si>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</si>
  <si>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</si>
  <si>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</si>
  <si>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</si>
  <si>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</si>
  <si>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</si>
  <si>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</si>
  <si>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</si>
  <si>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</si>
  <si>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</si>
  <si>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</si>
  <si>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</si>
  <si>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</si>
  <si>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</si>
  <si>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</si>
  <si>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</si>
  <si>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</si>
  <si>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</si>
  <si>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</si>
  <si>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</si>
  <si>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</si>
  <si>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</si>
  <si>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</si>
  <si>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</si>
  <si>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</si>
  <si>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</si>
  <si>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</si>
  <si>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</si>
  <si>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</si>
  <si>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</si>
  <si>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</si>
  <si>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</si>
  <si>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</si>
  <si>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</si>
  <si>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</si>
  <si>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</si>
  <si>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</si>
  <si>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</si>
  <si>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</si>
  <si>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</si>
  <si>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</si>
  <si>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</si>
  <si>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</si>
  <si>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</si>
  <si>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</si>
  <si>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</si>
  <si>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</si>
  <si>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</si>
  <si>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</si>
  <si>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</si>
  <si>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</si>
  <si>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</si>
  <si>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</si>
  <si>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</si>
  <si>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</si>
  <si>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</si>
  <si>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</si>
  <si>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</si>
  <si>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</si>
  <si>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</si>
  <si>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</si>
  <si>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</si>
  <si>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</si>
  <si>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</si>
  <si>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</si>
  <si>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</si>
  <si>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</si>
  <si>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</si>
  <si>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</si>
  <si>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</si>
  <si>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</si>
  <si>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</si>
  <si>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</si>
  <si>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</si>
  <si>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</si>
  <si>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</si>
  <si>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</si>
  <si>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</si>
  <si>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</si>
  <si>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</si>
  <si>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</si>
  <si>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</si>
  <si>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</si>
  <si>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</si>
  <si>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</si>
  <si>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</si>
  <si>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</si>
  <si>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</si>
  <si>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</si>
  <si>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</si>
  <si>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</si>
  <si>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</si>
  <si>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</si>
  <si>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</si>
  <si>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</si>
  <si>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</si>
  <si>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</si>
  <si>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</si>
  <si>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</si>
  <si>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</si>
  <si>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</si>
  <si>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</si>
  <si>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</si>
  <si>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</si>
  <si>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</si>
  <si>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</si>
  <si>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</si>
  <si>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</si>
  <si>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</si>
  <si>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</si>
  <si>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</si>
  <si>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</si>
  <si>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</si>
  <si>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</si>
  <si>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</si>
  <si>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</si>
  <si>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</si>
  <si>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</si>
  <si>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</si>
  <si>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</si>
  <si>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</si>
  <si>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</si>
  <si>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</si>
  <si>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</si>
  <si>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</si>
  <si>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</si>
  <si>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</si>
  <si>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</si>
  <si>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</si>
  <si>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</si>
  <si>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</si>
  <si>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</si>
  <si>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</si>
  <si>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</si>
  <si>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</si>
  <si>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</si>
  <si>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</si>
  <si>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</si>
  <si>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</si>
  <si>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</si>
  <si>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</si>
  <si>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</si>
  <si>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</si>
  <si>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</si>
  <si>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</si>
  <si>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</si>
  <si>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</si>
  <si>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</si>
  <si>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</si>
  <si>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</si>
  <si>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</si>
  <si>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</si>
  <si>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</si>
  <si>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</si>
  <si>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</si>
  <si>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</si>
  <si>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</si>
  <si>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</si>
  <si>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</si>
  <si>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</si>
  <si>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</si>
  <si>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</si>
  <si>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</si>
  <si>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</si>
  <si>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</si>
  <si>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</si>
  <si>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</si>
  <si>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</si>
  <si>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</si>
  <si>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</si>
  <si>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</si>
  <si>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</si>
  <si>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</si>
  <si>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</si>
  <si>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</si>
  <si>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</si>
  <si>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</si>
  <si>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</si>
  <si>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</si>
  <si>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</si>
  <si>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</si>
  <si>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</si>
  <si>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</si>
  <si>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</si>
  <si>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</si>
  <si>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</si>
  <si>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</si>
  <si>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</si>
  <si>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</si>
  <si>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</si>
  <si>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</si>
  <si>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</si>
  <si>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</si>
  <si>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</si>
  <si>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</si>
  <si>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</si>
  <si>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</si>
  <si>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</si>
  <si>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</si>
  <si>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</si>
  <si>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</si>
  <si>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</si>
  <si>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</si>
  <si>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</si>
  <si>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</si>
  <si>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</si>
  <si>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</si>
  <si>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</si>
  <si>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</si>
  <si>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</si>
  <si>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</si>
  <si>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</si>
  <si>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</si>
  <si>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</si>
  <si>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</si>
  <si>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</si>
  <si>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</si>
  <si>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</si>
  <si>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</si>
  <si>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</si>
  <si>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</si>
  <si>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</si>
  <si>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</si>
  <si>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</si>
  <si>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</si>
  <si>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</si>
  <si>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</si>
  <si>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</si>
  <si>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</si>
  <si>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</si>
  <si>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</si>
  <si>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</si>
  <si>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</si>
  <si>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</si>
  <si>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</si>
  <si>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</si>
  <si>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</si>
  <si>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</si>
  <si>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</si>
  <si>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</si>
  <si>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</si>
  <si>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</si>
  <si>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</si>
  <si>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</si>
  <si>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</si>
  <si>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</si>
  <si>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</si>
  <si>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</si>
  <si>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</si>
  <si>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</si>
  <si>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</si>
  <si>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</si>
  <si>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</si>
  <si>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</si>
  <si>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</si>
  <si>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</si>
  <si>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</si>
  <si>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</si>
  <si>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</si>
  <si>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</si>
  <si>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</si>
  <si>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</si>
  <si>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</si>
  <si>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</si>
  <si>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</si>
  <si>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</si>
  <si>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</si>
  <si>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</si>
  <si>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</si>
  <si>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</si>
  <si>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</si>
  <si>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</si>
  <si>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</si>
  <si>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</si>
  <si>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</si>
  <si>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</si>
  <si>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</si>
  <si>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</si>
  <si>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</si>
  <si>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</si>
  <si>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</si>
  <si>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</si>
  <si>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</si>
  <si>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</si>
  <si>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</si>
  <si>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</si>
  <si>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</si>
  <si>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</si>
  <si>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</si>
  <si>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</si>
  <si>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</si>
  <si>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</si>
  <si>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</si>
  <si>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</si>
  <si>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</si>
  <si>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</si>
  <si>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</si>
  <si>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</si>
  <si>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</si>
  <si>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</si>
  <si>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</si>
  <si>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</si>
  <si>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</si>
  <si>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</si>
  <si>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</si>
  <si>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</si>
  <si>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</si>
  <si>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</si>
  <si>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</si>
  <si>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</si>
  <si>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</si>
  <si>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</si>
  <si>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</si>
  <si>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</si>
  <si>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</si>
  <si>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</si>
  <si>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</si>
  <si>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</si>
  <si>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</si>
  <si>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</si>
  <si>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</si>
  <si>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</si>
  <si>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</si>
  <si>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</si>
  <si>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</si>
  <si>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</si>
  <si>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</si>
  <si>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</si>
  <si>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</si>
  <si>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</si>
  <si>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</si>
  <si>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</si>
  <si>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</si>
  <si>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</si>
  <si>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</si>
  <si>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</si>
  <si>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</si>
  <si>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</si>
  <si>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</si>
  <si>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</si>
  <si>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</si>
  <si>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</si>
  <si>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</si>
  <si>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</si>
  <si>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</si>
  <si>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</si>
  <si>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</si>
  <si>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</si>
  <si>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</si>
  <si>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</si>
  <si>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</si>
  <si>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</si>
  <si>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</si>
  <si>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</si>
  <si>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</si>
  <si>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</si>
  <si>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</si>
  <si>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</si>
  <si>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</si>
  <si>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</si>
  <si>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</si>
  <si>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</si>
  <si>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</si>
  <si>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</si>
  <si>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</si>
  <si>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</si>
  <si>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</si>
  <si>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</si>
  <si>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</si>
  <si>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</si>
  <si>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</si>
  <si>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</si>
  <si>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</si>
  <si>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</si>
  <si>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</si>
  <si>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</si>
  <si>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</si>
  <si>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</si>
  <si>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</si>
  <si>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</si>
  <si>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</si>
  <si>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</si>
  <si>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</si>
  <si>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</si>
  <si>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</si>
  <si>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</si>
  <si>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</si>
  <si>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</si>
  <si>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</si>
  <si>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</si>
  <si>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</si>
  <si>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</si>
  <si>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</si>
  <si>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</si>
  <si>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</si>
  <si>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</si>
  <si>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</si>
  <si>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</si>
  <si>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</si>
  <si>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</si>
  <si>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</si>
  <si>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</si>
  <si>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</si>
  <si>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</si>
  <si>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</si>
  <si>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</si>
  <si>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</si>
  <si>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</si>
  <si>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</si>
  <si>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</si>
  <si>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</si>
  <si>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</si>
  <si>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</si>
  <si>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</si>
  <si>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</si>
  <si>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</si>
  <si>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</si>
  <si>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</si>
  <si>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</si>
  <si>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</si>
  <si>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</si>
  <si>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</si>
  <si>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</si>
  <si>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</si>
  <si>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</si>
  <si>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</si>
  <si>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</si>
  <si>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</si>
  <si>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</si>
  <si>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</si>
  <si>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</si>
  <si>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</si>
  <si>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</si>
  <si>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</si>
  <si>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</si>
  <si>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</si>
  <si>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</si>
  <si>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</si>
  <si>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</si>
  <si>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</si>
  <si>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</si>
  <si>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</si>
  <si>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</si>
  <si>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</si>
  <si>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</si>
  <si>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</si>
  <si>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</si>
  <si>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</si>
  <si>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</si>
  <si>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</si>
  <si>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</si>
  <si>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</si>
  <si>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</si>
  <si>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</si>
  <si>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</si>
  <si>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</si>
  <si>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</si>
  <si>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</si>
  <si>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</si>
  <si>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</si>
  <si>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</si>
  <si>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</si>
  <si>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</si>
  <si>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</si>
  <si>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</si>
  <si>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</si>
  <si>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</si>
  <si>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</si>
  <si>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</si>
  <si>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</si>
  <si>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</si>
  <si>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</si>
  <si>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</si>
  <si>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</si>
  <si>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</si>
  <si>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</si>
  <si>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</si>
  <si>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</si>
  <si>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</si>
  <si>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</si>
  <si>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</si>
  <si>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</si>
  <si>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</si>
  <si>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</si>
  <si>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</si>
  <si>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</si>
  <si>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</si>
  <si>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</si>
  <si>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</si>
  <si>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</si>
  <si>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</si>
  <si>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</si>
  <si>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</si>
  <si>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</si>
  <si>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</si>
  <si>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</si>
  <si>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</si>
  <si>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</si>
  <si>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</si>
  <si>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</si>
  <si>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</si>
  <si>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</si>
  <si>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</si>
  <si>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</si>
  <si>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</si>
  <si>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</si>
  <si>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</si>
  <si>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</si>
  <si>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</si>
  <si>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</si>
  <si>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</si>
  <si>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</si>
  <si>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</si>
  <si>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</si>
  <si>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</si>
  <si>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</si>
  <si>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</si>
  <si>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</si>
  <si>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</si>
  <si>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</si>
  <si>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</si>
  <si>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</si>
  <si>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</si>
  <si>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</si>
  <si>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</si>
  <si>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</si>
  <si>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</si>
  <si>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</si>
  <si>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</si>
  <si>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</si>
  <si>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</si>
  <si>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</si>
  <si>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</si>
  <si>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</si>
  <si>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</si>
  <si>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</si>
  <si>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</si>
  <si>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</si>
  <si>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</si>
  <si>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</si>
  <si>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</si>
  <si>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</si>
  <si>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</si>
  <si>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</si>
  <si>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</si>
  <si>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</si>
  <si>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</si>
  <si>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</si>
  <si>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</si>
  <si>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</si>
  <si>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</si>
  <si>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</si>
  <si>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</si>
  <si>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</si>
  <si>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</si>
  <si>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</si>
  <si>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</si>
  <si>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</si>
  <si>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</si>
  <si>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</si>
  <si>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</si>
  <si>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</si>
  <si>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</si>
  <si>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</si>
  <si>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</si>
  <si>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</si>
  <si>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</si>
  <si>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</si>
  <si>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</si>
  <si>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</si>
  <si>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</si>
  <si>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</si>
  <si>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</si>
  <si>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</si>
  <si>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</si>
  <si>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</si>
  <si>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</si>
  <si>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</si>
  <si>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</si>
  <si>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</si>
  <si>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</si>
  <si>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</si>
  <si>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</si>
  <si>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</si>
  <si>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</si>
  <si>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</si>
  <si>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</si>
  <si>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</si>
  <si>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</si>
  <si>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</si>
  <si>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</si>
  <si>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</si>
  <si>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</si>
  <si>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</si>
  <si>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</si>
  <si>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</si>
  <si>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</si>
  <si>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</si>
  <si>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</si>
  <si>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</si>
  <si>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</si>
  <si>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</si>
  <si>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</si>
  <si>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</si>
  <si>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</si>
  <si>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</si>
  <si>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</si>
  <si>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</si>
  <si>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</si>
  <si>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</si>
  <si>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</si>
  <si>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</si>
  <si>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</si>
  <si>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</si>
  <si>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</si>
  <si>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</si>
  <si>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</si>
  <si>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</si>
  <si>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</si>
  <si>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</si>
  <si>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</si>
  <si>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</si>
  <si>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</si>
  <si>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</si>
  <si>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</si>
  <si>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</si>
  <si>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</si>
  <si>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</si>
  <si>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</si>
  <si>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</si>
  <si>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</si>
  <si>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</si>
  <si>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</si>
  <si>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</si>
  <si>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</si>
  <si>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</si>
  <si>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</si>
  <si>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</si>
  <si>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</si>
  <si>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</si>
  <si>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</si>
  <si>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</si>
  <si>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</si>
  <si>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</si>
  <si>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</si>
  <si>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</si>
  <si>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</si>
  <si>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</si>
  <si>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</si>
  <si>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</si>
  <si>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</si>
  <si>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</si>
  <si>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</si>
  <si>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</si>
  <si>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</si>
  <si>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</si>
  <si>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</si>
  <si>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</si>
  <si>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</si>
  <si>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</si>
  <si>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</si>
  <si>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</si>
  <si>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</si>
  <si>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</si>
  <si>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</si>
  <si>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</si>
  <si>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</si>
  <si>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</si>
  <si>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</si>
  <si>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</si>
  <si>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</si>
  <si>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</si>
  <si>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</si>
  <si>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</si>
  <si>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</si>
  <si>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</si>
  <si>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</si>
  <si>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</si>
  <si>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</si>
  <si>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</si>
  <si>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</si>
  <si>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</si>
  <si>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</si>
  <si>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</si>
  <si>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</si>
  <si>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</si>
  <si>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</si>
  <si>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</si>
  <si>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</si>
  <si>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</si>
  <si>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</si>
  <si>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</si>
  <si>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</si>
  <si>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</si>
  <si>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</si>
  <si>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</si>
  <si>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</si>
  <si>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</si>
  <si>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</si>
  <si>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</si>
  <si>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</si>
  <si>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</si>
  <si>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</si>
  <si>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</si>
  <si>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</si>
  <si>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</si>
  <si>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</si>
  <si>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</si>
  <si>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</si>
  <si>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</si>
  <si>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</si>
  <si>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</si>
  <si>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</si>
  <si>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</si>
  <si>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</si>
  <si>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</si>
  <si>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</si>
  <si>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</si>
  <si>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</si>
  <si>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</si>
  <si>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</si>
  <si>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</si>
  <si>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</si>
  <si>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</si>
  <si>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</si>
  <si>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</si>
  <si>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</si>
  <si>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</si>
  <si>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</si>
  <si>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</si>
  <si>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</si>
  <si>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</si>
  <si>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</si>
  <si>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</si>
  <si>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</si>
  <si>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</si>
  <si>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</si>
  <si>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</si>
  <si>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</si>
  <si>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</si>
  <si>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</si>
  <si>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</si>
  <si>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</si>
  <si>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</si>
  <si>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</si>
  <si>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</si>
  <si>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</si>
  <si>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</si>
  <si>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</si>
  <si>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</si>
  <si>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</si>
  <si>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</si>
  <si>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</si>
  <si>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</si>
  <si>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</si>
  <si>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</si>
  <si>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</si>
  <si>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</si>
  <si>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</si>
  <si>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</si>
  <si>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</si>
  <si>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</si>
  <si>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</si>
  <si>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</si>
  <si>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</si>
  <si>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</si>
  <si>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</si>
  <si>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</si>
  <si>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</si>
  <si>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</si>
  <si>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</si>
  <si>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</si>
  <si>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</si>
  <si>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</si>
  <si>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</si>
  <si>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</si>
  <si>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</si>
  <si>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</si>
  <si>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</si>
  <si>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</si>
  <si>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</si>
  <si>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</si>
  <si>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</si>
  <si>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</si>
  <si>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</si>
  <si>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</si>
  <si>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</si>
  <si>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</si>
  <si>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</si>
  <si>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</si>
  <si>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</si>
  <si>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</si>
  <si>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</si>
  <si>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</si>
  <si>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</si>
  <si>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</si>
  <si>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</si>
  <si>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</si>
  <si>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</si>
  <si>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</si>
  <si>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</si>
  <si>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</si>
  <si>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</si>
  <si>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</si>
  <si>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</si>
  <si>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</si>
  <si>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</si>
  <si>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</si>
  <si>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</si>
  <si>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</si>
  <si>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</si>
  <si>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</si>
  <si>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</si>
  <si>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</si>
  <si>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</si>
  <si>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</si>
  <si>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</si>
  <si>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</si>
  <si>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</si>
  <si>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</si>
  <si>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</si>
  <si>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</si>
  <si>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</si>
  <si>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</si>
  <si>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</si>
  <si>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</si>
  <si>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</si>
  <si>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</si>
  <si>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</si>
  <si>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</si>
  <si>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</si>
  <si>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</si>
  <si>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</si>
  <si>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</si>
  <si>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</si>
  <si>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</si>
  <si>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</si>
  <si>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</si>
  <si>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</si>
  <si>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</si>
  <si>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</si>
  <si>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</si>
  <si>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</si>
  <si>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</si>
  <si>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</si>
  <si>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</si>
  <si>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</si>
  <si>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</si>
  <si>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</si>
  <si>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</si>
  <si>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</si>
  <si>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</si>
  <si>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</si>
  <si>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</si>
  <si>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</si>
  <si>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</si>
  <si>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</si>
  <si>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</si>
  <si>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</si>
  <si>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</si>
  <si>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</si>
  <si>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</si>
  <si>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</si>
  <si>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</si>
  <si>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</si>
  <si>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</si>
  <si>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</si>
  <si>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</si>
  <si>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</si>
  <si>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</si>
  <si>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</si>
  <si>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</si>
  <si>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</si>
  <si>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</si>
  <si>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</si>
  <si>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</si>
  <si>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</si>
  <si>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</si>
  <si>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</si>
  <si>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</si>
  <si>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</si>
  <si>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</si>
  <si>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</si>
  <si>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</si>
  <si>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</si>
  <si>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</si>
  <si>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</si>
  <si>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</si>
  <si>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</si>
  <si>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</si>
  <si>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</si>
  <si>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</si>
  <si>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</si>
  <si>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</si>
  <si>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</si>
  <si>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</si>
  <si>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</si>
  <si>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</si>
  <si>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</si>
  <si>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</si>
  <si>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</si>
  <si>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</si>
  <si>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</si>
  <si>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</si>
  <si>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</si>
  <si>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</si>
  <si>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</si>
  <si>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</si>
  <si>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</si>
  <si>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</si>
  <si>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</si>
  <si>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</si>
  <si>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</si>
  <si>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</si>
  <si>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</si>
  <si>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</si>
  <si>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</si>
  <si>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</si>
  <si>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</si>
  <si>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</si>
  <si>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</si>
  <si>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</si>
  <si>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</si>
  <si>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</si>
  <si>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</si>
  <si>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</si>
  <si>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</si>
  <si>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</si>
  <si>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</si>
  <si>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</si>
  <si>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</si>
  <si>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</si>
  <si>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</si>
  <si>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</si>
  <si>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</si>
  <si>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</si>
  <si>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</si>
  <si>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</si>
  <si>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</si>
  <si>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</si>
  <si>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</si>
  <si>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</si>
  <si>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</si>
  <si>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</si>
  <si>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</si>
  <si>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</si>
  <si>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</si>
  <si>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</si>
  <si>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</si>
  <si>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</si>
  <si>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</si>
  <si>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</si>
  <si>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</si>
  <si>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</si>
  <si>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</si>
  <si>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</si>
  <si>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</si>
  <si>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</si>
  <si>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</si>
  <si>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</si>
  <si>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</si>
  <si>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</si>
  <si>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</si>
  <si>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</si>
  <si>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</si>
  <si>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</si>
  <si>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</si>
  <si>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</si>
  <si>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</si>
  <si>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</si>
  <si>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</si>
  <si>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</si>
  <si>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</si>
  <si>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</si>
  <si>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</si>
  <si>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</si>
  <si>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</si>
  <si>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</si>
  <si>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</si>
  <si>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</si>
  <si>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</si>
  <si>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</si>
  <si>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</si>
  <si>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</si>
  <si>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</si>
  <si>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</si>
  <si>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</si>
  <si>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</si>
  <si>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</si>
  <si>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</si>
  <si>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</si>
  <si>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</si>
  <si>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</si>
  <si>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</si>
  <si>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</si>
  <si>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</si>
  <si>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</si>
  <si>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</si>
  <si>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</si>
  <si>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</si>
  <si>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</si>
  <si>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</si>
  <si>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</si>
  <si>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</si>
  <si>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</si>
  <si>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</si>
  <si>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</si>
  <si>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</si>
  <si>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</si>
  <si>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</si>
  <si>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</si>
  <si>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</si>
  <si>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</si>
  <si>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</si>
  <si>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</si>
  <si>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</si>
  <si>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</si>
  <si>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</si>
  <si>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</si>
  <si>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</si>
  <si>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</si>
  <si>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</si>
  <si>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</si>
  <si>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</si>
  <si>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</si>
  <si>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</si>
  <si>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</si>
  <si>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</si>
  <si>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</si>
  <si>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</si>
  <si>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</si>
  <si>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</si>
  <si>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</si>
  <si>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</si>
  <si>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</si>
  <si>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</si>
  <si>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</si>
  <si>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</si>
  <si>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</si>
  <si>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</si>
  <si>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</si>
  <si>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</si>
  <si>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</si>
  <si>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</si>
  <si>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</si>
  <si>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</si>
  <si>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</si>
  <si>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</si>
  <si>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</si>
  <si>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</si>
  <si>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</si>
  <si>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</si>
  <si>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</si>
  <si>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</si>
  <si>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</si>
  <si>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</si>
  <si>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</si>
  <si>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</si>
  <si>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</si>
  <si>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</si>
  <si>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</si>
  <si>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</si>
  <si>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</si>
  <si>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</si>
  <si>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</si>
  <si>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</si>
  <si>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</si>
  <si>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</si>
  <si>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</si>
  <si>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</si>
  <si>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</si>
  <si>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</si>
  <si>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</si>
  <si>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</si>
  <si>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</si>
  <si>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</si>
  <si>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</si>
  <si>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</si>
  <si>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</si>
  <si>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</si>
  <si>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</si>
  <si>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</si>
  <si>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</si>
  <si>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</si>
  <si>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</si>
  <si>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</si>
  <si>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</si>
  <si>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</si>
  <si>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</si>
  <si>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</si>
  <si>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</si>
  <si>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</si>
  <si>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</si>
  <si>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</si>
  <si>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</si>
  <si>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</si>
  <si>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</si>
  <si>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</si>
  <si>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</si>
  <si>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</si>
  <si>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</si>
  <si>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</si>
  <si>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</si>
  <si>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</si>
  <si>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</si>
  <si>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</si>
  <si>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</si>
  <si>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</si>
  <si>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</si>
  <si>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</si>
  <si>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</si>
  <si>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</si>
  <si>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</si>
  <si>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</si>
  <si>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</si>
  <si>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</si>
  <si>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</si>
  <si>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</si>
  <si>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</si>
  <si>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</si>
  <si>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</si>
  <si>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</si>
  <si>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</si>
  <si>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</si>
  <si>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</si>
  <si>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</si>
  <si>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</si>
  <si>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</si>
  <si>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</si>
  <si>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</si>
  <si>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</si>
  <si>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</si>
  <si>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</si>
  <si>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</si>
  <si>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</si>
  <si>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</si>
  <si>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</si>
  <si>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</si>
  <si>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</si>
  <si>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</si>
  <si>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</si>
  <si>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</si>
  <si>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</si>
  <si>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</si>
  <si>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</si>
  <si>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</si>
  <si>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</si>
  <si>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</si>
  <si>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</si>
  <si>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</si>
  <si>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</si>
  <si>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</si>
  <si>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</si>
  <si>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</si>
  <si>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</si>
  <si>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</si>
  <si>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</si>
  <si>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</si>
  <si>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</si>
  <si>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</si>
  <si>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</si>
  <si>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</si>
  <si>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</si>
  <si>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</si>
  <si>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</si>
  <si>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</si>
  <si>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</si>
  <si>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</si>
  <si>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</si>
  <si>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</si>
  <si>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</si>
  <si>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</si>
  <si>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</si>
  <si>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</si>
  <si>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</si>
  <si>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</si>
  <si>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</si>
  <si>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</si>
  <si>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</si>
  <si>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</si>
  <si>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</si>
  <si>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</si>
  <si>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</si>
  <si>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</si>
  <si>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</si>
  <si>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</si>
  <si>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</si>
  <si>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</si>
  <si>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</si>
  <si>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</si>
  <si>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</si>
  <si>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</si>
  <si>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</si>
  <si>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</si>
  <si>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</si>
  <si>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</si>
  <si>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</si>
  <si>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</si>
  <si>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</si>
  <si>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</si>
  <si>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</si>
  <si>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</si>
  <si>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</si>
  <si>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</si>
  <si>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</si>
  <si>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</si>
  <si>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</si>
  <si>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</si>
  <si>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</si>
  <si>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</si>
  <si>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</si>
  <si>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</si>
  <si>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</si>
  <si>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</si>
  <si>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</si>
  <si>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</si>
  <si>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</si>
  <si>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</si>
  <si>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</si>
  <si>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</si>
  <si>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</si>
  <si>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</si>
  <si>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</si>
  <si>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</si>
  <si>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</si>
  <si>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</si>
  <si>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</si>
  <si>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</si>
  <si>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</si>
  <si>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</si>
  <si>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</si>
  <si>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</si>
  <si>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</si>
  <si>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</si>
  <si>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</si>
  <si>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</si>
  <si>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</si>
  <si>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</si>
  <si>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</si>
  <si>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</si>
  <si>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</si>
  <si>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</si>
  <si>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</si>
  <si>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</si>
  <si>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</si>
  <si>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</si>
  <si>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</si>
  <si>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</si>
  <si>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</si>
  <si>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</si>
  <si>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</si>
  <si>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</si>
  <si>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</si>
  <si>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</si>
  <si>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</si>
  <si>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</si>
  <si>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</si>
  <si>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</si>
  <si>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</si>
  <si>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</si>
  <si>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</si>
  <si>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</si>
  <si>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</si>
  <si>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</si>
  <si>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</si>
  <si>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</si>
  <si>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</si>
  <si>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</si>
  <si>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</si>
  <si>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</si>
  <si>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</si>
  <si>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</si>
  <si>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</si>
  <si>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</si>
  <si>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</si>
  <si>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</si>
  <si>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</si>
  <si>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</si>
  <si>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</si>
  <si>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</si>
  <si>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</si>
  <si>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</si>
  <si>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</si>
  <si>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</si>
  <si>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</si>
  <si>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</si>
  <si>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</si>
  <si>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</si>
  <si>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</si>
  <si>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</si>
  <si>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</si>
  <si>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</si>
  <si>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</si>
  <si>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</si>
  <si>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</si>
  <si>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</si>
  <si>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</si>
  <si>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</si>
  <si>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</si>
  <si>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</si>
  <si>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</si>
  <si>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</si>
  <si>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</si>
  <si>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</si>
  <si>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</si>
  <si>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</si>
  <si>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</si>
  <si>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</si>
  <si>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</si>
  <si>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</si>
  <si>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</si>
  <si>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</si>
  <si>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</si>
  <si>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</si>
  <si>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</si>
  <si>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</si>
  <si>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</si>
  <si>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</si>
  <si>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</si>
  <si>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</si>
  <si>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</si>
  <si>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</si>
  <si>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</si>
  <si>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</si>
  <si>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</si>
  <si>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</si>
  <si>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</si>
  <si>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</si>
  <si>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</si>
  <si>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</si>
  <si>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</si>
  <si>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</si>
  <si>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</si>
  <si>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</si>
  <si>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</si>
  <si>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</si>
  <si>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</si>
  <si>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</si>
  <si>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</si>
  <si>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</si>
  <si>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</si>
  <si>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</si>
  <si>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</si>
  <si>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</si>
  <si>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</si>
  <si>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</si>
  <si>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</si>
  <si>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</si>
  <si>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</si>
  <si>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</si>
  <si>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</si>
  <si>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</si>
  <si>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</si>
  <si>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</si>
  <si>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</si>
  <si>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</si>
  <si>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</si>
  <si>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</si>
  <si>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</si>
  <si>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</si>
  <si>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</si>
  <si>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</si>
  <si>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</si>
  <si>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</si>
  <si>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</si>
  <si>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</si>
  <si>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</si>
  <si>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</si>
  <si>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</si>
  <si>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</si>
  <si>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</si>
  <si>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</si>
  <si>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</si>
  <si>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</si>
  <si>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</si>
  <si>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</si>
  <si>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</si>
  <si>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</si>
  <si>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</si>
  <si>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</si>
  <si>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</si>
  <si>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</si>
  <si>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</si>
  <si>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</si>
  <si>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</si>
  <si>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</si>
  <si>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</si>
  <si>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</si>
  <si>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</si>
  <si>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</si>
  <si>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</si>
  <si>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</si>
  <si>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</si>
  <si>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</si>
  <si>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</si>
  <si>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</si>
  <si>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</si>
  <si>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</si>
  <si>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</si>
  <si>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</si>
  <si>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</si>
  <si>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</si>
  <si>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</si>
  <si>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</si>
  <si>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</si>
  <si>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</si>
  <si>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</si>
  <si>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</si>
  <si>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</si>
  <si>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</si>
  <si>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</si>
  <si>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</si>
  <si>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</si>
  <si>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</si>
  <si>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</si>
  <si>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</si>
  <si>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</si>
  <si>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</si>
  <si>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</si>
  <si>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</si>
  <si>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</si>
  <si>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</si>
  <si>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</si>
  <si>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</si>
  <si>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</si>
  <si>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</si>
  <si>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</si>
  <si>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</si>
  <si>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</si>
  <si>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</si>
  <si>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</si>
  <si>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</si>
  <si>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</si>
  <si>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</si>
  <si>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</si>
  <si>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</si>
  <si>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</si>
  <si>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</si>
  <si>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</si>
  <si>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</si>
  <si>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</si>
  <si>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</si>
  <si>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</si>
  <si>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</si>
  <si>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</si>
  <si>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</si>
  <si>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</si>
  <si>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</si>
  <si>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</si>
  <si>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</si>
  <si>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</si>
  <si>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</si>
  <si>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</si>
  <si>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</si>
  <si>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</si>
  <si>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</si>
  <si>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</si>
  <si>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</si>
  <si>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</si>
  <si>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</si>
  <si>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</si>
  <si>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</si>
  <si>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</si>
  <si>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</si>
  <si>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</si>
  <si>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</si>
  <si>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</si>
  <si>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</si>
  <si>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</si>
  <si>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</si>
  <si>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</si>
  <si>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</si>
  <si>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</si>
  <si>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</si>
  <si>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</si>
  <si>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</si>
  <si>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</si>
  <si>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</si>
  <si>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</si>
  <si>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</si>
  <si>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</si>
  <si>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</si>
  <si>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</si>
  <si>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</si>
  <si>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</si>
  <si>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</si>
  <si>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</si>
  <si>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</si>
  <si>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</si>
  <si>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</si>
  <si>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</si>
  <si>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</si>
  <si>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</si>
  <si>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</si>
  <si>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</si>
  <si>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</si>
  <si>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</si>
  <si>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</si>
  <si>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</si>
  <si>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</si>
  <si>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</si>
  <si>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</si>
  <si>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</si>
  <si>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</si>
  <si>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</si>
  <si>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</si>
  <si>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</si>
  <si>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</si>
  <si>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</si>
  <si>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</si>
  <si>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</si>
  <si>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</si>
  <si>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</si>
  <si>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</si>
  <si>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</si>
  <si>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</si>
  <si>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</si>
  <si>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</si>
  <si>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</si>
  <si>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</si>
  <si>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</si>
  <si>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</si>
  <si>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</si>
  <si>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</si>
  <si>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</si>
  <si>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</si>
  <si>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</si>
  <si>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</si>
  <si>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</si>
  <si>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</si>
  <si>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</si>
  <si>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</si>
  <si>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</si>
  <si>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</si>
  <si>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</si>
  <si>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</si>
  <si>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</si>
  <si>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</si>
  <si>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</si>
  <si>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</si>
  <si>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</si>
  <si>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</si>
  <si>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</si>
  <si>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</si>
  <si>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</si>
  <si>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</si>
  <si>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</si>
  <si>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</si>
  <si>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</si>
  <si>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</si>
  <si>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</si>
  <si>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</si>
  <si>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</si>
  <si>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</si>
  <si>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</si>
  <si>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</si>
  <si>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</si>
  <si>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</si>
  <si>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</si>
  <si>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</si>
  <si>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</si>
  <si>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</si>
  <si>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</si>
  <si>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</si>
  <si>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</si>
  <si>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</si>
  <si>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</si>
  <si>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</si>
  <si>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</si>
  <si>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</si>
  <si>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</si>
  <si>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</si>
  <si>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</si>
  <si>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</si>
  <si>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</si>
  <si>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</si>
  <si>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</si>
  <si>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</si>
  <si>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</si>
  <si>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</si>
  <si>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</si>
  <si>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</si>
  <si>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</si>
  <si>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</si>
  <si>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</si>
  <si>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</si>
  <si>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</si>
  <si>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</si>
  <si>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</si>
  <si>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</si>
  <si>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</si>
  <si>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</si>
  <si>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</si>
  <si>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</si>
  <si>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</si>
  <si>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</si>
  <si>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</si>
  <si>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</si>
  <si>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</si>
  <si>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</si>
  <si>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</si>
  <si>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</si>
  <si>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</si>
  <si>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</si>
  <si>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</si>
  <si>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</si>
  <si>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</si>
  <si>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</si>
  <si>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</si>
  <si>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</si>
  <si>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</si>
  <si>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</si>
  <si>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</si>
  <si>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</si>
  <si>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</si>
  <si>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</si>
  <si>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</si>
  <si>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</si>
  <si>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</si>
  <si>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</si>
  <si>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</si>
  <si>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</si>
  <si>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</si>
  <si>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</si>
  <si>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</si>
  <si>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</si>
  <si>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</si>
  <si>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</si>
  <si>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</si>
  <si>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</si>
  <si>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</si>
  <si>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</si>
  <si>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</si>
  <si>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</si>
  <si>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</si>
  <si>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</si>
  <si>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</si>
  <si>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</si>
  <si>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</si>
  <si>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</si>
  <si>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</si>
  <si>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</si>
  <si>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</si>
  <si>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</si>
  <si>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</si>
  <si>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</si>
  <si>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</si>
  <si>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</si>
  <si>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</si>
  <si>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</si>
  <si>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</si>
  <si>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</si>
  <si>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</si>
  <si>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</si>
  <si>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</si>
  <si>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</si>
  <si>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</si>
  <si>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</si>
  <si>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</si>
  <si>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</si>
  <si>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</si>
  <si>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</si>
  <si>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</si>
  <si>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</si>
  <si>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</si>
  <si>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</si>
  <si>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</si>
  <si>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</si>
  <si>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</si>
  <si>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</si>
  <si>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</si>
  <si>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</si>
  <si>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</si>
  <si>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</si>
  <si>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</si>
  <si>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</si>
  <si>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</si>
  <si>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</si>
  <si>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</si>
  <si>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</si>
  <si>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</si>
  <si>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</si>
  <si>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</si>
  <si>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</si>
  <si>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</si>
  <si>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</si>
  <si>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</si>
  <si>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</si>
  <si>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</si>
  <si>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</si>
  <si>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</si>
  <si>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</si>
  <si>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</si>
  <si>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</si>
  <si>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</si>
  <si>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</si>
  <si>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</si>
  <si>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</si>
  <si>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</si>
  <si>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</si>
  <si>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</si>
  <si>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</si>
  <si>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</si>
  <si>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</si>
  <si>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</si>
  <si>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</si>
  <si>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</si>
  <si>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</si>
  <si>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</si>
  <si>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</si>
  <si>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</si>
  <si>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</si>
  <si>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</si>
  <si>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</si>
  <si>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</si>
  <si>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</si>
  <si>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</si>
  <si>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</si>
  <si>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</si>
  <si>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</si>
  <si>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</si>
  <si>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</si>
  <si>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</si>
  <si>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</si>
  <si>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</si>
  <si>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</si>
  <si>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</si>
  <si>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</si>
  <si>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</si>
  <si>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</si>
  <si>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</si>
  <si>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</si>
  <si>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</si>
  <si>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</si>
  <si>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</si>
  <si>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</si>
  <si>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</si>
  <si>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</si>
  <si>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</si>
  <si>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</si>
  <si>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</si>
  <si>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</si>
  <si>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</si>
  <si>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</si>
  <si>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</si>
  <si>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</si>
  <si>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</si>
  <si>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</si>
  <si>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</si>
  <si>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</si>
  <si>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</si>
  <si>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</si>
  <si>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</si>
  <si>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</si>
  <si>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</si>
  <si>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</si>
  <si>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</si>
  <si>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</si>
  <si>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</si>
  <si>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</si>
  <si>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</si>
  <si>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</si>
  <si>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</si>
  <si>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</si>
  <si>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</si>
  <si>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</si>
  <si>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</si>
  <si>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</si>
  <si>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</si>
  <si>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</si>
  <si>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</si>
  <si>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</si>
  <si>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</si>
  <si>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</si>
  <si>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</si>
  <si>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</si>
  <si>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</si>
  <si>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</si>
  <si>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</si>
  <si>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</si>
  <si>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</si>
  <si>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</si>
  <si>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</si>
  <si>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</si>
  <si>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</si>
  <si>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</si>
  <si>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</si>
  <si>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</si>
  <si>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</si>
  <si>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</si>
  <si>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</si>
  <si>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</si>
  <si>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</si>
  <si>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</si>
  <si>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</si>
  <si>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</si>
  <si>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</si>
  <si>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</si>
  <si>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</si>
  <si>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</si>
  <si>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</si>
  <si>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</si>
  <si>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</si>
  <si>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</si>
  <si>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</si>
  <si>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</si>
  <si>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</si>
  <si>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</si>
  <si>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</si>
  <si>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</si>
  <si>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</si>
  <si>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</si>
  <si>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</si>
  <si>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</si>
  <si>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</si>
  <si>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</si>
  <si>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</si>
  <si>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</si>
  <si>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</si>
  <si>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</si>
  <si>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</si>
  <si>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</si>
  <si>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</si>
  <si>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</si>
  <si>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</si>
  <si>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</si>
  <si>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</si>
  <si>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</si>
  <si>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</si>
  <si>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</si>
  <si>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</si>
  <si>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</si>
  <si>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</si>
  <si>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</si>
  <si>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</si>
  <si>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</si>
  <si>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</si>
  <si>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</si>
  <si>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</si>
  <si>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</si>
  <si>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</si>
  <si>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</si>
  <si>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</si>
  <si>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</si>
  <si>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</si>
  <si>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</si>
  <si>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</si>
  <si>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</si>
  <si>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</si>
  <si>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</si>
  <si>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</si>
  <si>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</si>
  <si>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</si>
  <si>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</si>
  <si>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</si>
  <si>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</si>
  <si>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</si>
  <si>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</si>
  <si>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</si>
  <si>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</si>
  <si>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</si>
  <si>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</si>
  <si>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</si>
  <si>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</si>
  <si>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</si>
  <si>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</si>
  <si>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</si>
  <si>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</si>
  <si>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</si>
  <si>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</si>
  <si>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</si>
  <si>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</si>
  <si>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</si>
  <si>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</si>
  <si>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</si>
  <si>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</si>
  <si>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</si>
  <si>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</si>
  <si>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</si>
  <si>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</si>
  <si>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</si>
  <si>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</si>
  <si>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</si>
  <si>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</si>
  <si>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</si>
  <si>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</si>
  <si>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</si>
  <si>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</si>
  <si>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</si>
  <si>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</si>
  <si>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</si>
  <si>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</si>
  <si>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</si>
  <si>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</si>
  <si>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</si>
  <si>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</si>
  <si>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</si>
  <si>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</si>
  <si>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</si>
  <si>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</si>
  <si>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</si>
  <si>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</si>
  <si>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</si>
  <si>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</si>
  <si>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</si>
  <si>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</si>
  <si>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</si>
  <si>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</si>
  <si>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</si>
  <si>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</si>
  <si>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</si>
  <si>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</si>
  <si>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</si>
  <si>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</si>
  <si>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</si>
  <si>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</si>
  <si>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</si>
  <si>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</si>
  <si>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</si>
  <si>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</si>
  <si>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</si>
  <si>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</si>
  <si>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</si>
  <si>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</si>
  <si>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</si>
  <si>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</si>
  <si>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</si>
  <si>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</si>
  <si>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</si>
  <si>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</si>
  <si>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</si>
  <si>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</si>
  <si>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</si>
  <si>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</si>
  <si>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</si>
  <si>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</si>
  <si>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</si>
  <si>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</si>
  <si>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</si>
  <si>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</si>
  <si>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</si>
  <si>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</si>
  <si>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</si>
  <si>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</si>
  <si>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</si>
  <si>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</si>
  <si>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</si>
  <si>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</si>
  <si>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</si>
  <si>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</si>
  <si>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</si>
  <si>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</si>
  <si>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</si>
  <si>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</si>
  <si>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</si>
  <si>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</si>
  <si>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</si>
  <si>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</si>
  <si>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</si>
  <si>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</si>
  <si>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</si>
  <si>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</si>
  <si>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</si>
  <si>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</si>
  <si>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</si>
  <si>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</si>
  <si>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</si>
  <si>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</si>
  <si>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</si>
  <si>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</si>
  <si>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</si>
  <si>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</si>
  <si>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</si>
  <si>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</si>
  <si>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</si>
  <si>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</si>
  <si>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</si>
  <si>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</si>
  <si>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</si>
  <si>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</si>
  <si>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</si>
  <si>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</si>
  <si>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</si>
  <si>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</si>
  <si>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</si>
  <si>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</si>
  <si>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</si>
  <si>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</si>
  <si>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</si>
  <si>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</si>
  <si>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</si>
  <si>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</si>
  <si>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</si>
  <si>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</si>
  <si>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</si>
  <si>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</si>
  <si>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</si>
  <si>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</si>
  <si>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</si>
  <si>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</si>
  <si>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</si>
  <si>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</si>
  <si>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</si>
  <si>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</si>
  <si>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</si>
  <si>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</si>
  <si>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</si>
  <si>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</si>
  <si>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</si>
  <si>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</si>
  <si>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</si>
  <si>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</si>
  <si>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</si>
  <si>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</si>
  <si>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</si>
  <si>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</si>
  <si>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</si>
  <si>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</si>
  <si>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</si>
  <si>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</si>
  <si>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</si>
  <si>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</si>
  <si>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</si>
  <si>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</si>
  <si>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</si>
  <si>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</si>
  <si>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</si>
  <si>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</si>
  <si>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</si>
  <si>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</si>
  <si>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</si>
  <si>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</si>
  <si>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</si>
  <si>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</si>
  <si>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</si>
  <si>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</si>
  <si>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</si>
  <si>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</si>
  <si>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</si>
  <si>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</si>
  <si>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</si>
  <si>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</si>
  <si>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</si>
  <si>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</si>
  <si>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</si>
  <si>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</si>
  <si>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</si>
  <si>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</si>
  <si>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</si>
  <si>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</si>
  <si>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</si>
  <si>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</si>
  <si>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</si>
  <si>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</si>
  <si>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</si>
  <si>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</si>
  <si>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</si>
  <si>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</si>
  <si>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</si>
  <si>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</si>
  <si>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</si>
  <si>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</si>
  <si>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</si>
  <si>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</si>
  <si>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</si>
  <si>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</si>
  <si>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</si>
  <si>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iterator_oper_entry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</si>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</sst>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data!$B$100:$B$200</c:f>
              <c:numCache>
                <c:formatCode>0.00000</c:formatCode>
                <c:ptCount val="101"/>
                <c:pt idx="0">
                  <c:v>59.2042199999999</c:v>
                </c:pt>
                <c:pt idx="1">
                  <c:v>57.286673999999998</c:v>
                </c:pt>
                <c:pt idx="2">
                  <c:v>57.346595999999998</c:v>
                </c:pt>
                <c:pt idx="3">
                  <c:v>57.106903000000003</c:v>
                </c:pt>
                <c:pt idx="4">
                  <c:v>56.088206999999997</c:v>
                </c:pt>
                <c:pt idx="5">
                  <c:v>55.728667999999999</c:v>
                </c:pt>
                <c:pt idx="6">
                  <c:v>56.088206999999997</c:v>
                </c:pt>
                <c:pt idx="7">
                  <c:v>57.526367</c:v>
                </c:pt>
                <c:pt idx="8">
                  <c:v>58.724831000000002</c:v>
                </c:pt>
                <c:pt idx="9">
                  <c:v>57.526367</c:v>
                </c:pt>
                <c:pt idx="10">
                  <c:v>57.226748999999998</c:v>
                </c:pt>
                <c:pt idx="11">
                  <c:v>57.526367</c:v>
                </c:pt>
                <c:pt idx="12">
                  <c:v>54.470280000000002</c:v>
                </c:pt>
                <c:pt idx="13">
                  <c:v>56.088206999999997</c:v>
                </c:pt>
                <c:pt idx="14">
                  <c:v>56.387824999999999</c:v>
                </c:pt>
                <c:pt idx="15">
                  <c:v>56.447745999999903</c:v>
                </c:pt>
                <c:pt idx="16">
                  <c:v>55.548896999999997</c:v>
                </c:pt>
                <c:pt idx="17">
                  <c:v>57.466442000000001</c:v>
                </c:pt>
                <c:pt idx="18">
                  <c:v>55.608821999999897</c:v>
                </c:pt>
                <c:pt idx="19">
                  <c:v>55.968361000000002</c:v>
                </c:pt>
                <c:pt idx="20">
                  <c:v>55.369129000000001</c:v>
                </c:pt>
                <c:pt idx="21">
                  <c:v>52.133270000000003</c:v>
                </c:pt>
                <c:pt idx="22">
                  <c:v>52.492808999999902</c:v>
                </c:pt>
                <c:pt idx="23">
                  <c:v>52.432883999999902</c:v>
                </c:pt>
                <c:pt idx="24">
                  <c:v>52.672581000000001</c:v>
                </c:pt>
                <c:pt idx="25">
                  <c:v>52.732501999999997</c:v>
                </c:pt>
                <c:pt idx="26">
                  <c:v>53.930968999999997</c:v>
                </c:pt>
                <c:pt idx="27">
                  <c:v>51.893577999999998</c:v>
                </c:pt>
                <c:pt idx="28">
                  <c:v>53.331733999999997</c:v>
                </c:pt>
                <c:pt idx="29">
                  <c:v>54.889740000000003</c:v>
                </c:pt>
                <c:pt idx="30">
                  <c:v>55.309204000000001</c:v>
                </c:pt>
                <c:pt idx="31">
                  <c:v>55.309204000000001</c:v>
                </c:pt>
                <c:pt idx="32">
                  <c:v>54.530200999999998</c:v>
                </c:pt>
                <c:pt idx="33">
                  <c:v>53.811122999999903</c:v>
                </c:pt>
                <c:pt idx="34">
                  <c:v>55.249279000000001</c:v>
                </c:pt>
                <c:pt idx="35">
                  <c:v>55.848514999999999</c:v>
                </c:pt>
                <c:pt idx="36">
                  <c:v>56.507670999999903</c:v>
                </c:pt>
                <c:pt idx="37">
                  <c:v>57.346595999999998</c:v>
                </c:pt>
                <c:pt idx="38">
                  <c:v>56.567593000000002</c:v>
                </c:pt>
                <c:pt idx="39">
                  <c:v>55.369129000000001</c:v>
                </c:pt>
                <c:pt idx="40">
                  <c:v>54.709972</c:v>
                </c:pt>
                <c:pt idx="41">
                  <c:v>55.129432999999999</c:v>
                </c:pt>
                <c:pt idx="42">
                  <c:v>55.189357999999999</c:v>
                </c:pt>
                <c:pt idx="43">
                  <c:v>55.728667999999999</c:v>
                </c:pt>
                <c:pt idx="44">
                  <c:v>54.829818999999901</c:v>
                </c:pt>
                <c:pt idx="45">
                  <c:v>56.088206999999997</c:v>
                </c:pt>
                <c:pt idx="46">
                  <c:v>57.885905999999999</c:v>
                </c:pt>
                <c:pt idx="47">
                  <c:v>57.166828000000002</c:v>
                </c:pt>
                <c:pt idx="48">
                  <c:v>57.406520999999998</c:v>
                </c:pt>
                <c:pt idx="49">
                  <c:v>55.369129000000001</c:v>
                </c:pt>
                <c:pt idx="50">
                  <c:v>56.807285</c:v>
                </c:pt>
                <c:pt idx="51">
                  <c:v>58.844676999999997</c:v>
                </c:pt>
                <c:pt idx="52">
                  <c:v>57.586288000000003</c:v>
                </c:pt>
                <c:pt idx="53">
                  <c:v>56.86721</c:v>
                </c:pt>
                <c:pt idx="54">
                  <c:v>56.567593000000002</c:v>
                </c:pt>
                <c:pt idx="55">
                  <c:v>55.848514999999999</c:v>
                </c:pt>
                <c:pt idx="56">
                  <c:v>55.069510999999999</c:v>
                </c:pt>
                <c:pt idx="57">
                  <c:v>55.608821999999897</c:v>
                </c:pt>
                <c:pt idx="58">
                  <c:v>56.567593000000002</c:v>
                </c:pt>
                <c:pt idx="59">
                  <c:v>58.485137999999999</c:v>
                </c:pt>
                <c:pt idx="60">
                  <c:v>57.166828000000002</c:v>
                </c:pt>
                <c:pt idx="61">
                  <c:v>55.968361000000002</c:v>
                </c:pt>
                <c:pt idx="62">
                  <c:v>55.069510999999999</c:v>
                </c:pt>
                <c:pt idx="63">
                  <c:v>57.466442000000001</c:v>
                </c:pt>
                <c:pt idx="64">
                  <c:v>56.86721</c:v>
                </c:pt>
                <c:pt idx="65">
                  <c:v>55.848514999999999</c:v>
                </c:pt>
                <c:pt idx="66">
                  <c:v>55.548896999999997</c:v>
                </c:pt>
                <c:pt idx="67">
                  <c:v>55.608821999999897</c:v>
                </c:pt>
                <c:pt idx="68">
                  <c:v>56.3279</c:v>
                </c:pt>
                <c:pt idx="69">
                  <c:v>55.968361000000002</c:v>
                </c:pt>
                <c:pt idx="70">
                  <c:v>55.908436000000002</c:v>
                </c:pt>
                <c:pt idx="71">
                  <c:v>55.728667999999999</c:v>
                </c:pt>
                <c:pt idx="72">
                  <c:v>56.687438999999998</c:v>
                </c:pt>
                <c:pt idx="73">
                  <c:v>55.908436000000002</c:v>
                </c:pt>
                <c:pt idx="74">
                  <c:v>56.507670999999903</c:v>
                </c:pt>
                <c:pt idx="75">
                  <c:v>56.3279</c:v>
                </c:pt>
                <c:pt idx="76">
                  <c:v>56.3279</c:v>
                </c:pt>
                <c:pt idx="77">
                  <c:v>54.650047000000001</c:v>
                </c:pt>
                <c:pt idx="78">
                  <c:v>53.571429999999999</c:v>
                </c:pt>
                <c:pt idx="79">
                  <c:v>52.792427000000004</c:v>
                </c:pt>
                <c:pt idx="80">
                  <c:v>50.335571000000002</c:v>
                </c:pt>
                <c:pt idx="81">
                  <c:v>48.837485999999998</c:v>
                </c:pt>
                <c:pt idx="82">
                  <c:v>48.657719</c:v>
                </c:pt>
                <c:pt idx="83">
                  <c:v>49.676414000000001</c:v>
                </c:pt>
                <c:pt idx="84">
                  <c:v>49.137104000000001</c:v>
                </c:pt>
                <c:pt idx="85">
                  <c:v>48.238255000000002</c:v>
                </c:pt>
                <c:pt idx="86">
                  <c:v>51.773730999999998</c:v>
                </c:pt>
                <c:pt idx="87">
                  <c:v>51.773730999999998</c:v>
                </c:pt>
                <c:pt idx="88">
                  <c:v>50.814957</c:v>
                </c:pt>
                <c:pt idx="89">
                  <c:v>51.354267</c:v>
                </c:pt>
                <c:pt idx="90">
                  <c:v>51.893577999999998</c:v>
                </c:pt>
                <c:pt idx="91">
                  <c:v>54.050815999999998</c:v>
                </c:pt>
                <c:pt idx="92">
                  <c:v>52.852347999999999</c:v>
                </c:pt>
                <c:pt idx="93">
                  <c:v>53.571429999999999</c:v>
                </c:pt>
                <c:pt idx="94">
                  <c:v>54.110737</c:v>
                </c:pt>
                <c:pt idx="95">
                  <c:v>54.230582999999903</c:v>
                </c:pt>
                <c:pt idx="96">
                  <c:v>56.088206999999997</c:v>
                </c:pt>
                <c:pt idx="97">
                  <c:v>56.267978999999997</c:v>
                </c:pt>
                <c:pt idx="98">
                  <c:v>53.691276999999999</c:v>
                </c:pt>
                <c:pt idx="99">
                  <c:v>53.211886999999997</c:v>
                </c:pt>
                <c:pt idx="100">
                  <c:v>56.088206999999997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data!$C$100:$C$200</c:f>
              <c:numCache>
                <c:formatCode>0.00000</c:formatCode>
                <c:ptCount val="101"/>
                <c:pt idx="0">
                  <c:v>59.2042199999999</c:v>
                </c:pt>
                <c:pt idx="1">
                  <c:v>57.586288000000003</c:v>
                </c:pt>
                <c:pt idx="2">
                  <c:v>58.305369999999897</c:v>
                </c:pt>
                <c:pt idx="3">
                  <c:v>57.166828000000002</c:v>
                </c:pt>
                <c:pt idx="4">
                  <c:v>56.208053999999997</c:v>
                </c:pt>
                <c:pt idx="5">
                  <c:v>56.507670999999903</c:v>
                </c:pt>
                <c:pt idx="6">
                  <c:v>58.425217000000004</c:v>
                </c:pt>
                <c:pt idx="7">
                  <c:v>59.503833999999998</c:v>
                </c:pt>
                <c:pt idx="8">
                  <c:v>59.383986999999998</c:v>
                </c:pt>
                <c:pt idx="9">
                  <c:v>58.005752999999999</c:v>
                </c:pt>
                <c:pt idx="10">
                  <c:v>58.604983999999902</c:v>
                </c:pt>
                <c:pt idx="11">
                  <c:v>57.945827000000001</c:v>
                </c:pt>
                <c:pt idx="12">
                  <c:v>56.687438999999998</c:v>
                </c:pt>
                <c:pt idx="13">
                  <c:v>57.286673999999998</c:v>
                </c:pt>
                <c:pt idx="14">
                  <c:v>56.927131999999901</c:v>
                </c:pt>
                <c:pt idx="15">
                  <c:v>56.447745999999903</c:v>
                </c:pt>
                <c:pt idx="16">
                  <c:v>57.466442000000001</c:v>
                </c:pt>
                <c:pt idx="17">
                  <c:v>57.825980999999999</c:v>
                </c:pt>
                <c:pt idx="18">
                  <c:v>56.387824999999999</c:v>
                </c:pt>
                <c:pt idx="19">
                  <c:v>56.687438999999998</c:v>
                </c:pt>
                <c:pt idx="20">
                  <c:v>55.369129000000001</c:v>
                </c:pt>
                <c:pt idx="21">
                  <c:v>52.732501999999997</c:v>
                </c:pt>
                <c:pt idx="22">
                  <c:v>53.391658999999997</c:v>
                </c:pt>
                <c:pt idx="23">
                  <c:v>53.331733999999997</c:v>
                </c:pt>
                <c:pt idx="24">
                  <c:v>54.170662</c:v>
                </c:pt>
                <c:pt idx="25">
                  <c:v>53.811122999999903</c:v>
                </c:pt>
                <c:pt idx="26">
                  <c:v>54.350432999999903</c:v>
                </c:pt>
                <c:pt idx="27">
                  <c:v>54.889740000000003</c:v>
                </c:pt>
                <c:pt idx="28">
                  <c:v>55.189357999999999</c:v>
                </c:pt>
                <c:pt idx="29">
                  <c:v>55.728667999999999</c:v>
                </c:pt>
                <c:pt idx="30">
                  <c:v>56.208053999999997</c:v>
                </c:pt>
                <c:pt idx="31">
                  <c:v>56.028281999999997</c:v>
                </c:pt>
                <c:pt idx="32">
                  <c:v>54.829818999999901</c:v>
                </c:pt>
                <c:pt idx="33">
                  <c:v>55.548896999999997</c:v>
                </c:pt>
                <c:pt idx="34">
                  <c:v>56.148128999999997</c:v>
                </c:pt>
                <c:pt idx="35">
                  <c:v>56.028281999999997</c:v>
                </c:pt>
                <c:pt idx="36">
                  <c:v>56.927131999999901</c:v>
                </c:pt>
                <c:pt idx="37">
                  <c:v>57.526367</c:v>
                </c:pt>
                <c:pt idx="38">
                  <c:v>56.807285</c:v>
                </c:pt>
                <c:pt idx="39">
                  <c:v>55.488976000000001</c:v>
                </c:pt>
                <c:pt idx="40">
                  <c:v>55.189357999999999</c:v>
                </c:pt>
                <c:pt idx="41">
                  <c:v>55.908436000000002</c:v>
                </c:pt>
                <c:pt idx="42">
                  <c:v>55.369129000000001</c:v>
                </c:pt>
                <c:pt idx="43">
                  <c:v>55.848514999999999</c:v>
                </c:pt>
                <c:pt idx="44">
                  <c:v>55.488976000000001</c:v>
                </c:pt>
                <c:pt idx="45">
                  <c:v>57.825980999999999</c:v>
                </c:pt>
                <c:pt idx="46">
                  <c:v>57.885905999999999</c:v>
                </c:pt>
                <c:pt idx="47">
                  <c:v>57.526367</c:v>
                </c:pt>
                <c:pt idx="48">
                  <c:v>57.646214000000001</c:v>
                </c:pt>
                <c:pt idx="49">
                  <c:v>57.466442000000001</c:v>
                </c:pt>
                <c:pt idx="50">
                  <c:v>59.264141000000002</c:v>
                </c:pt>
                <c:pt idx="51">
                  <c:v>59.264141000000002</c:v>
                </c:pt>
                <c:pt idx="52">
                  <c:v>58.005752999999999</c:v>
                </c:pt>
                <c:pt idx="53">
                  <c:v>57.526367</c:v>
                </c:pt>
                <c:pt idx="54">
                  <c:v>56.807285</c:v>
                </c:pt>
                <c:pt idx="55">
                  <c:v>56.148128999999997</c:v>
                </c:pt>
                <c:pt idx="56">
                  <c:v>56.267978999999997</c:v>
                </c:pt>
                <c:pt idx="57">
                  <c:v>56.987056999999901</c:v>
                </c:pt>
                <c:pt idx="58">
                  <c:v>58.664908999999902</c:v>
                </c:pt>
                <c:pt idx="59">
                  <c:v>58.904601999999997</c:v>
                </c:pt>
                <c:pt idx="60">
                  <c:v>57.346595999999998</c:v>
                </c:pt>
                <c:pt idx="61">
                  <c:v>56.567593000000002</c:v>
                </c:pt>
                <c:pt idx="62">
                  <c:v>57.766059999999896</c:v>
                </c:pt>
                <c:pt idx="63">
                  <c:v>58.365291999999997</c:v>
                </c:pt>
                <c:pt idx="64">
                  <c:v>57.046978000000003</c:v>
                </c:pt>
                <c:pt idx="65">
                  <c:v>56.028281999999997</c:v>
                </c:pt>
                <c:pt idx="66">
                  <c:v>56.028281999999997</c:v>
                </c:pt>
                <c:pt idx="67">
                  <c:v>57.046978000000003</c:v>
                </c:pt>
                <c:pt idx="68">
                  <c:v>56.687438999999998</c:v>
                </c:pt>
                <c:pt idx="69">
                  <c:v>56.3279</c:v>
                </c:pt>
                <c:pt idx="70">
                  <c:v>56.028281999999997</c:v>
                </c:pt>
                <c:pt idx="71">
                  <c:v>56.987056999999901</c:v>
                </c:pt>
                <c:pt idx="72">
                  <c:v>56.687438999999998</c:v>
                </c:pt>
                <c:pt idx="73">
                  <c:v>56.687438999999998</c:v>
                </c:pt>
                <c:pt idx="74">
                  <c:v>56.747363999999997</c:v>
                </c:pt>
                <c:pt idx="75">
                  <c:v>56.567593000000002</c:v>
                </c:pt>
                <c:pt idx="76">
                  <c:v>56.3279</c:v>
                </c:pt>
                <c:pt idx="77">
                  <c:v>54.709972</c:v>
                </c:pt>
                <c:pt idx="78">
                  <c:v>53.631351000000002</c:v>
                </c:pt>
                <c:pt idx="79">
                  <c:v>53.151966000000002</c:v>
                </c:pt>
                <c:pt idx="80">
                  <c:v>51.174495999999998</c:v>
                </c:pt>
                <c:pt idx="81">
                  <c:v>50.035953999999997</c:v>
                </c:pt>
                <c:pt idx="82">
                  <c:v>50.69511</c:v>
                </c:pt>
                <c:pt idx="83">
                  <c:v>50.095878999999996</c:v>
                </c:pt>
                <c:pt idx="84">
                  <c:v>49.256950000000003</c:v>
                </c:pt>
                <c:pt idx="85">
                  <c:v>49.916106999999997</c:v>
                </c:pt>
                <c:pt idx="86">
                  <c:v>52.792427000000004</c:v>
                </c:pt>
                <c:pt idx="87">
                  <c:v>51.773730999999998</c:v>
                </c:pt>
                <c:pt idx="88">
                  <c:v>51.893577999999998</c:v>
                </c:pt>
                <c:pt idx="89">
                  <c:v>51.534034999999903</c:v>
                </c:pt>
                <c:pt idx="90">
                  <c:v>54.590125999999998</c:v>
                </c:pt>
                <c:pt idx="91">
                  <c:v>54.290507999999903</c:v>
                </c:pt>
                <c:pt idx="92">
                  <c:v>53.092041000000002</c:v>
                </c:pt>
                <c:pt idx="93">
                  <c:v>54.290507999999903</c:v>
                </c:pt>
                <c:pt idx="94">
                  <c:v>54.889740000000003</c:v>
                </c:pt>
                <c:pt idx="95">
                  <c:v>55.608821999999897</c:v>
                </c:pt>
                <c:pt idx="96">
                  <c:v>56.447745999999903</c:v>
                </c:pt>
                <c:pt idx="97">
                  <c:v>56.86721</c:v>
                </c:pt>
                <c:pt idx="98">
                  <c:v>54.650047000000001</c:v>
                </c:pt>
                <c:pt idx="99">
                  <c:v>56.088206999999997</c:v>
                </c:pt>
                <c:pt idx="100">
                  <c:v>57.046978000000003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data!$D$100:$D$200</c:f>
              <c:numCache>
                <c:formatCode>0.00000</c:formatCode>
                <c:ptCount val="101"/>
                <c:pt idx="0">
                  <c:v>57.346595999999998</c:v>
                </c:pt>
                <c:pt idx="1">
                  <c:v>55.369129000000001</c:v>
                </c:pt>
                <c:pt idx="2">
                  <c:v>57.286673999999998</c:v>
                </c:pt>
                <c:pt idx="3">
                  <c:v>55.668742999999999</c:v>
                </c:pt>
                <c:pt idx="4">
                  <c:v>54.949665000000003</c:v>
                </c:pt>
                <c:pt idx="5">
                  <c:v>55.668742999999999</c:v>
                </c:pt>
                <c:pt idx="6">
                  <c:v>55.608821999999897</c:v>
                </c:pt>
                <c:pt idx="7">
                  <c:v>57.226748999999998</c:v>
                </c:pt>
                <c:pt idx="8">
                  <c:v>56.747363999999997</c:v>
                </c:pt>
                <c:pt idx="9">
                  <c:v>56.987056999999901</c:v>
                </c:pt>
                <c:pt idx="10">
                  <c:v>56.987056999999901</c:v>
                </c:pt>
                <c:pt idx="11">
                  <c:v>56.208053999999997</c:v>
                </c:pt>
                <c:pt idx="12">
                  <c:v>54.470280000000002</c:v>
                </c:pt>
                <c:pt idx="13">
                  <c:v>56.088206999999997</c:v>
                </c:pt>
                <c:pt idx="14">
                  <c:v>56.208053999999997</c:v>
                </c:pt>
                <c:pt idx="15">
                  <c:v>54.829818999999901</c:v>
                </c:pt>
                <c:pt idx="16">
                  <c:v>55.548896999999997</c:v>
                </c:pt>
                <c:pt idx="17">
                  <c:v>56.447745999999903</c:v>
                </c:pt>
                <c:pt idx="18">
                  <c:v>55.009585999999999</c:v>
                </c:pt>
                <c:pt idx="19">
                  <c:v>55.189357999999999</c:v>
                </c:pt>
                <c:pt idx="20">
                  <c:v>51.114573999999998</c:v>
                </c:pt>
                <c:pt idx="21">
                  <c:v>50.814957</c:v>
                </c:pt>
                <c:pt idx="22">
                  <c:v>51.354267</c:v>
                </c:pt>
                <c:pt idx="23">
                  <c:v>51.953499000000001</c:v>
                </c:pt>
                <c:pt idx="24">
                  <c:v>52.492808999999902</c:v>
                </c:pt>
                <c:pt idx="25">
                  <c:v>52.253116999999897</c:v>
                </c:pt>
                <c:pt idx="26">
                  <c:v>51.833652000000001</c:v>
                </c:pt>
                <c:pt idx="27">
                  <c:v>51.294342</c:v>
                </c:pt>
                <c:pt idx="28">
                  <c:v>52.133270000000003</c:v>
                </c:pt>
                <c:pt idx="29">
                  <c:v>53.571429999999999</c:v>
                </c:pt>
                <c:pt idx="30">
                  <c:v>53.930968999999997</c:v>
                </c:pt>
                <c:pt idx="31">
                  <c:v>53.930968999999997</c:v>
                </c:pt>
                <c:pt idx="32">
                  <c:v>52.9721949999999</c:v>
                </c:pt>
                <c:pt idx="33">
                  <c:v>53.751197999999903</c:v>
                </c:pt>
                <c:pt idx="34">
                  <c:v>54.949665000000003</c:v>
                </c:pt>
                <c:pt idx="35">
                  <c:v>54.590125999999998</c:v>
                </c:pt>
                <c:pt idx="36">
                  <c:v>55.968361000000002</c:v>
                </c:pt>
                <c:pt idx="37">
                  <c:v>55.668742999999999</c:v>
                </c:pt>
                <c:pt idx="38">
                  <c:v>54.709972</c:v>
                </c:pt>
                <c:pt idx="39">
                  <c:v>54.650047000000001</c:v>
                </c:pt>
                <c:pt idx="40">
                  <c:v>54.350432999999903</c:v>
                </c:pt>
                <c:pt idx="41">
                  <c:v>54.709972</c:v>
                </c:pt>
                <c:pt idx="42">
                  <c:v>53.391658999999997</c:v>
                </c:pt>
                <c:pt idx="43">
                  <c:v>54.410355000000003</c:v>
                </c:pt>
                <c:pt idx="44">
                  <c:v>53.990890999999998</c:v>
                </c:pt>
                <c:pt idx="45">
                  <c:v>55.069510999999999</c:v>
                </c:pt>
                <c:pt idx="46">
                  <c:v>56.267978999999997</c:v>
                </c:pt>
                <c:pt idx="47">
                  <c:v>56.627518000000002</c:v>
                </c:pt>
                <c:pt idx="48">
                  <c:v>55.009585999999999</c:v>
                </c:pt>
                <c:pt idx="49">
                  <c:v>55.129432999999999</c:v>
                </c:pt>
                <c:pt idx="50">
                  <c:v>56.687438999999998</c:v>
                </c:pt>
                <c:pt idx="51">
                  <c:v>57.825980999999999</c:v>
                </c:pt>
                <c:pt idx="52">
                  <c:v>56.747363999999997</c:v>
                </c:pt>
                <c:pt idx="53">
                  <c:v>56.567593000000002</c:v>
                </c:pt>
                <c:pt idx="54">
                  <c:v>55.788589000000002</c:v>
                </c:pt>
                <c:pt idx="55">
                  <c:v>54.350432999999903</c:v>
                </c:pt>
                <c:pt idx="56">
                  <c:v>54.949665000000003</c:v>
                </c:pt>
                <c:pt idx="57">
                  <c:v>55.429049999999997</c:v>
                </c:pt>
                <c:pt idx="58">
                  <c:v>56.567593000000002</c:v>
                </c:pt>
                <c:pt idx="59">
                  <c:v>56.567593000000002</c:v>
                </c:pt>
                <c:pt idx="60">
                  <c:v>55.968361000000002</c:v>
                </c:pt>
                <c:pt idx="61">
                  <c:v>54.650047000000001</c:v>
                </c:pt>
                <c:pt idx="62">
                  <c:v>55.009585999999999</c:v>
                </c:pt>
                <c:pt idx="63">
                  <c:v>56.807285</c:v>
                </c:pt>
                <c:pt idx="64">
                  <c:v>55.668742999999999</c:v>
                </c:pt>
                <c:pt idx="65">
                  <c:v>55.189357999999999</c:v>
                </c:pt>
                <c:pt idx="66">
                  <c:v>55.009585999999999</c:v>
                </c:pt>
                <c:pt idx="67">
                  <c:v>54.949665000000003</c:v>
                </c:pt>
                <c:pt idx="68">
                  <c:v>56.028281999999997</c:v>
                </c:pt>
                <c:pt idx="69">
                  <c:v>55.788589000000002</c:v>
                </c:pt>
                <c:pt idx="70">
                  <c:v>55.069510999999999</c:v>
                </c:pt>
                <c:pt idx="71">
                  <c:v>55.608821999999897</c:v>
                </c:pt>
                <c:pt idx="72">
                  <c:v>55.369129000000001</c:v>
                </c:pt>
                <c:pt idx="73">
                  <c:v>55.788589000000002</c:v>
                </c:pt>
                <c:pt idx="74">
                  <c:v>55.728667999999999</c:v>
                </c:pt>
                <c:pt idx="75">
                  <c:v>55.249279000000001</c:v>
                </c:pt>
                <c:pt idx="76">
                  <c:v>54.949665000000003</c:v>
                </c:pt>
                <c:pt idx="77">
                  <c:v>52.492808999999902</c:v>
                </c:pt>
                <c:pt idx="78">
                  <c:v>52.313037999999999</c:v>
                </c:pt>
                <c:pt idx="79">
                  <c:v>51.534034999999903</c:v>
                </c:pt>
                <c:pt idx="80">
                  <c:v>48.238255000000002</c:v>
                </c:pt>
                <c:pt idx="81">
                  <c:v>48.837485999999998</c:v>
                </c:pt>
                <c:pt idx="82">
                  <c:v>48.058487</c:v>
                </c:pt>
                <c:pt idx="83">
                  <c:v>49.256950000000003</c:v>
                </c:pt>
                <c:pt idx="84">
                  <c:v>47.938637</c:v>
                </c:pt>
                <c:pt idx="85">
                  <c:v>47.878715999999997</c:v>
                </c:pt>
                <c:pt idx="86">
                  <c:v>50.994728000000002</c:v>
                </c:pt>
                <c:pt idx="87">
                  <c:v>50.515338999999997</c:v>
                </c:pt>
                <c:pt idx="88">
                  <c:v>50.814957</c:v>
                </c:pt>
                <c:pt idx="89">
                  <c:v>50.035953999999997</c:v>
                </c:pt>
                <c:pt idx="90">
                  <c:v>51.893577999999998</c:v>
                </c:pt>
                <c:pt idx="91">
                  <c:v>53.271811999999997</c:v>
                </c:pt>
                <c:pt idx="92">
                  <c:v>51.414188000000003</c:v>
                </c:pt>
                <c:pt idx="93">
                  <c:v>52.9721949999999</c:v>
                </c:pt>
                <c:pt idx="94">
                  <c:v>53.930968999999997</c:v>
                </c:pt>
                <c:pt idx="95">
                  <c:v>53.990890999999998</c:v>
                </c:pt>
                <c:pt idx="96">
                  <c:v>55.608821999999897</c:v>
                </c:pt>
                <c:pt idx="97">
                  <c:v>53.391658999999997</c:v>
                </c:pt>
                <c:pt idx="98">
                  <c:v>52.9721949999999</c:v>
                </c:pt>
                <c:pt idx="99">
                  <c:v>53.092041000000002</c:v>
                </c:pt>
                <c:pt idx="100">
                  <c:v>53.691276999999999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data!$E$100:$E$200</c:f>
              <c:numCache>
                <c:formatCode>0.00000</c:formatCode>
                <c:ptCount val="101"/>
                <c:pt idx="0">
                  <c:v>57.526367</c:v>
                </c:pt>
                <c:pt idx="1">
                  <c:v>57.286673999999998</c:v>
                </c:pt>
                <c:pt idx="2">
                  <c:v>57.346595999999998</c:v>
                </c:pt>
                <c:pt idx="3">
                  <c:v>56.028281999999997</c:v>
                </c:pt>
                <c:pt idx="4">
                  <c:v>55.608821999999897</c:v>
                </c:pt>
                <c:pt idx="5">
                  <c:v>56.208053999999997</c:v>
                </c:pt>
                <c:pt idx="6">
                  <c:v>58.005752999999999</c:v>
                </c:pt>
                <c:pt idx="7">
                  <c:v>58.724831000000002</c:v>
                </c:pt>
                <c:pt idx="8">
                  <c:v>57.466442000000001</c:v>
                </c:pt>
                <c:pt idx="9">
                  <c:v>57.166828000000002</c:v>
                </c:pt>
                <c:pt idx="10">
                  <c:v>58.125599000000001</c:v>
                </c:pt>
                <c:pt idx="11">
                  <c:v>56.267978999999997</c:v>
                </c:pt>
                <c:pt idx="12">
                  <c:v>55.848514999999999</c:v>
                </c:pt>
                <c:pt idx="13">
                  <c:v>56.507670999999903</c:v>
                </c:pt>
                <c:pt idx="14">
                  <c:v>56.297890000000002</c:v>
                </c:pt>
                <c:pt idx="15">
                  <c:v>55.548896999999997</c:v>
                </c:pt>
                <c:pt idx="16">
                  <c:v>56.807285</c:v>
                </c:pt>
                <c:pt idx="17">
                  <c:v>57.046978000000003</c:v>
                </c:pt>
                <c:pt idx="18">
                  <c:v>56.208053999999997</c:v>
                </c:pt>
                <c:pt idx="19">
                  <c:v>55.249279000000001</c:v>
                </c:pt>
                <c:pt idx="20">
                  <c:v>52.133270000000003</c:v>
                </c:pt>
                <c:pt idx="21">
                  <c:v>52.432883999999902</c:v>
                </c:pt>
                <c:pt idx="22">
                  <c:v>52.073345000000003</c:v>
                </c:pt>
                <c:pt idx="23">
                  <c:v>52.672581000000001</c:v>
                </c:pt>
                <c:pt idx="24">
                  <c:v>52.612656000000001</c:v>
                </c:pt>
                <c:pt idx="25">
                  <c:v>53.391658999999997</c:v>
                </c:pt>
                <c:pt idx="26">
                  <c:v>51.878525000000003</c:v>
                </c:pt>
                <c:pt idx="27">
                  <c:v>54.050815999999998</c:v>
                </c:pt>
                <c:pt idx="28">
                  <c:v>55.009585999999999</c:v>
                </c:pt>
                <c:pt idx="29">
                  <c:v>55.069510999999999</c:v>
                </c:pt>
                <c:pt idx="30">
                  <c:v>55.249279000000001</c:v>
                </c:pt>
                <c:pt idx="31">
                  <c:v>53.930968999999997</c:v>
                </c:pt>
                <c:pt idx="32">
                  <c:v>53.811122999999903</c:v>
                </c:pt>
                <c:pt idx="33">
                  <c:v>54.590125999999998</c:v>
                </c:pt>
                <c:pt idx="34">
                  <c:v>55.908436000000002</c:v>
                </c:pt>
                <c:pt idx="35">
                  <c:v>55.908436000000002</c:v>
                </c:pt>
                <c:pt idx="36">
                  <c:v>56.447745999999903</c:v>
                </c:pt>
                <c:pt idx="37">
                  <c:v>55.788589000000002</c:v>
                </c:pt>
                <c:pt idx="38">
                  <c:v>55.369129000000001</c:v>
                </c:pt>
                <c:pt idx="39">
                  <c:v>54.829818999999901</c:v>
                </c:pt>
                <c:pt idx="40">
                  <c:v>55.189357999999999</c:v>
                </c:pt>
                <c:pt idx="41">
                  <c:v>55.129432999999999</c:v>
                </c:pt>
                <c:pt idx="42">
                  <c:v>54.410355000000003</c:v>
                </c:pt>
                <c:pt idx="43">
                  <c:v>54.590125999999998</c:v>
                </c:pt>
                <c:pt idx="44">
                  <c:v>54.709972</c:v>
                </c:pt>
                <c:pt idx="45">
                  <c:v>57.286673999999998</c:v>
                </c:pt>
                <c:pt idx="46">
                  <c:v>56.687438999999998</c:v>
                </c:pt>
                <c:pt idx="47">
                  <c:v>57.466442000000001</c:v>
                </c:pt>
                <c:pt idx="48">
                  <c:v>55.069510999999999</c:v>
                </c:pt>
                <c:pt idx="49">
                  <c:v>57.046978000000003</c:v>
                </c:pt>
                <c:pt idx="50">
                  <c:v>58.844676999999997</c:v>
                </c:pt>
                <c:pt idx="51">
                  <c:v>57.825980999999999</c:v>
                </c:pt>
                <c:pt idx="52">
                  <c:v>56.86721</c:v>
                </c:pt>
                <c:pt idx="53">
                  <c:v>56.567593000000002</c:v>
                </c:pt>
                <c:pt idx="54">
                  <c:v>56.088206999999997</c:v>
                </c:pt>
                <c:pt idx="55">
                  <c:v>54.650047000000001</c:v>
                </c:pt>
                <c:pt idx="56">
                  <c:v>55.968361000000002</c:v>
                </c:pt>
                <c:pt idx="57">
                  <c:v>56.3279</c:v>
                </c:pt>
                <c:pt idx="58">
                  <c:v>58.485137999999999</c:v>
                </c:pt>
                <c:pt idx="59">
                  <c:v>57.166828000000002</c:v>
                </c:pt>
                <c:pt idx="60">
                  <c:v>55.968361000000002</c:v>
                </c:pt>
                <c:pt idx="61">
                  <c:v>54.829818999999901</c:v>
                </c:pt>
                <c:pt idx="62">
                  <c:v>57.526367</c:v>
                </c:pt>
                <c:pt idx="63">
                  <c:v>56.807285</c:v>
                </c:pt>
                <c:pt idx="64">
                  <c:v>55.908436000000002</c:v>
                </c:pt>
                <c:pt idx="65">
                  <c:v>55.728667999999999</c:v>
                </c:pt>
                <c:pt idx="66">
                  <c:v>55.129432999999999</c:v>
                </c:pt>
                <c:pt idx="67">
                  <c:v>56.747363999999997</c:v>
                </c:pt>
                <c:pt idx="68">
                  <c:v>56.208053999999997</c:v>
                </c:pt>
                <c:pt idx="69">
                  <c:v>55.968361000000002</c:v>
                </c:pt>
                <c:pt idx="70">
                  <c:v>55.488976000000001</c:v>
                </c:pt>
                <c:pt idx="71">
                  <c:v>56.103164999999997</c:v>
                </c:pt>
                <c:pt idx="72">
                  <c:v>55.908436000000002</c:v>
                </c:pt>
                <c:pt idx="73">
                  <c:v>56.507670999999903</c:v>
                </c:pt>
                <c:pt idx="74">
                  <c:v>56.208053999999997</c:v>
                </c:pt>
                <c:pt idx="75">
                  <c:v>56.3279</c:v>
                </c:pt>
                <c:pt idx="76">
                  <c:v>55.129432999999999</c:v>
                </c:pt>
                <c:pt idx="77">
                  <c:v>53.211886999999997</c:v>
                </c:pt>
                <c:pt idx="78">
                  <c:v>52.792427000000004</c:v>
                </c:pt>
                <c:pt idx="79">
                  <c:v>51.653884999999903</c:v>
                </c:pt>
                <c:pt idx="80">
                  <c:v>48.897410999999998</c:v>
                </c:pt>
                <c:pt idx="81">
                  <c:v>48.897410999999998</c:v>
                </c:pt>
                <c:pt idx="82">
                  <c:v>49.436721999999897</c:v>
                </c:pt>
                <c:pt idx="83">
                  <c:v>49.496642999999999</c:v>
                </c:pt>
                <c:pt idx="84">
                  <c:v>48.238255000000002</c:v>
                </c:pt>
                <c:pt idx="85">
                  <c:v>49.736336000000001</c:v>
                </c:pt>
                <c:pt idx="86">
                  <c:v>52.073345000000003</c:v>
                </c:pt>
                <c:pt idx="87">
                  <c:v>50.934803000000002</c:v>
                </c:pt>
                <c:pt idx="88">
                  <c:v>51.294342</c:v>
                </c:pt>
                <c:pt idx="89">
                  <c:v>51.174495999999998</c:v>
                </c:pt>
                <c:pt idx="90">
                  <c:v>54.290507999999903</c:v>
                </c:pt>
                <c:pt idx="91">
                  <c:v>53.511505</c:v>
                </c:pt>
                <c:pt idx="92">
                  <c:v>52.732501999999997</c:v>
                </c:pt>
                <c:pt idx="93">
                  <c:v>53.571429999999999</c:v>
                </c:pt>
                <c:pt idx="94">
                  <c:v>53.990890999999998</c:v>
                </c:pt>
                <c:pt idx="95">
                  <c:v>54.769893999999901</c:v>
                </c:pt>
                <c:pt idx="96">
                  <c:v>56.267978999999997</c:v>
                </c:pt>
                <c:pt idx="97">
                  <c:v>54.230582999999903</c:v>
                </c:pt>
                <c:pt idx="98">
                  <c:v>53.391658999999997</c:v>
                </c:pt>
                <c:pt idx="99">
                  <c:v>55.788589000000002</c:v>
                </c:pt>
                <c:pt idx="100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02006320"/>
        <c:axId val="-1102009040"/>
      </c:stockChart>
      <c:catAx>
        <c:axId val="-11020063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09040"/>
        <c:crosses val="autoZero"/>
        <c:auto val="1"/>
        <c:lblAlgn val="ctr"/>
        <c:lblOffset val="100"/>
        <c:tickLblSkip val="2"/>
        <c:noMultiLvlLbl val="0"/>
      </c:catAx>
      <c:valAx>
        <c:axId val="-1102009040"/>
        <c:scaling>
          <c:orientation val="minMax"/>
          <c:max val="60.09887234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0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data!$B$190:$B$200</c:f>
              <c:numCache>
                <c:formatCode>0.00000</c:formatCode>
                <c:ptCount val="11"/>
                <c:pt idx="0">
                  <c:v>51.893577999999998</c:v>
                </c:pt>
                <c:pt idx="1">
                  <c:v>54.050815999999998</c:v>
                </c:pt>
                <c:pt idx="2">
                  <c:v>52.852347999999999</c:v>
                </c:pt>
                <c:pt idx="3">
                  <c:v>53.571429999999999</c:v>
                </c:pt>
                <c:pt idx="4">
                  <c:v>54.110737</c:v>
                </c:pt>
                <c:pt idx="5">
                  <c:v>54.230582999999903</c:v>
                </c:pt>
                <c:pt idx="6">
                  <c:v>56.088206999999997</c:v>
                </c:pt>
                <c:pt idx="7">
                  <c:v>56.267978999999997</c:v>
                </c:pt>
                <c:pt idx="8">
                  <c:v>53.691276999999999</c:v>
                </c:pt>
                <c:pt idx="9">
                  <c:v>53.211886999999997</c:v>
                </c:pt>
                <c:pt idx="10">
                  <c:v>56.088206999999997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data!$C$190:$C$200</c:f>
              <c:numCache>
                <c:formatCode>0.00000</c:formatCode>
                <c:ptCount val="11"/>
                <c:pt idx="0">
                  <c:v>54.590125999999998</c:v>
                </c:pt>
                <c:pt idx="1">
                  <c:v>54.290507999999903</c:v>
                </c:pt>
                <c:pt idx="2">
                  <c:v>53.092041000000002</c:v>
                </c:pt>
                <c:pt idx="3">
                  <c:v>54.290507999999903</c:v>
                </c:pt>
                <c:pt idx="4">
                  <c:v>54.889740000000003</c:v>
                </c:pt>
                <c:pt idx="5">
                  <c:v>55.608821999999897</c:v>
                </c:pt>
                <c:pt idx="6">
                  <c:v>56.447745999999903</c:v>
                </c:pt>
                <c:pt idx="7">
                  <c:v>56.86721</c:v>
                </c:pt>
                <c:pt idx="8">
                  <c:v>54.650047000000001</c:v>
                </c:pt>
                <c:pt idx="9">
                  <c:v>56.088206999999997</c:v>
                </c:pt>
                <c:pt idx="10">
                  <c:v>57.046978000000003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data!$D$190:$D$200</c:f>
              <c:numCache>
                <c:formatCode>0.00000</c:formatCode>
                <c:ptCount val="11"/>
                <c:pt idx="0">
                  <c:v>51.893577999999998</c:v>
                </c:pt>
                <c:pt idx="1">
                  <c:v>53.271811999999997</c:v>
                </c:pt>
                <c:pt idx="2">
                  <c:v>51.414188000000003</c:v>
                </c:pt>
                <c:pt idx="3">
                  <c:v>52.9721949999999</c:v>
                </c:pt>
                <c:pt idx="4">
                  <c:v>53.930968999999997</c:v>
                </c:pt>
                <c:pt idx="5">
                  <c:v>53.990890999999998</c:v>
                </c:pt>
                <c:pt idx="6">
                  <c:v>55.608821999999897</c:v>
                </c:pt>
                <c:pt idx="7">
                  <c:v>53.391658999999997</c:v>
                </c:pt>
                <c:pt idx="8">
                  <c:v>52.9721949999999</c:v>
                </c:pt>
                <c:pt idx="9">
                  <c:v>53.092041000000002</c:v>
                </c:pt>
                <c:pt idx="10">
                  <c:v>53.691276999999999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data!$E$190:$E$200</c:f>
              <c:numCache>
                <c:formatCode>0.00000</c:formatCode>
                <c:ptCount val="11"/>
                <c:pt idx="0">
                  <c:v>54.290507999999903</c:v>
                </c:pt>
                <c:pt idx="1">
                  <c:v>53.511505</c:v>
                </c:pt>
                <c:pt idx="2">
                  <c:v>52.732501999999997</c:v>
                </c:pt>
                <c:pt idx="3">
                  <c:v>53.571429999999999</c:v>
                </c:pt>
                <c:pt idx="4">
                  <c:v>53.990890999999998</c:v>
                </c:pt>
                <c:pt idx="5">
                  <c:v>54.769893999999901</c:v>
                </c:pt>
                <c:pt idx="6">
                  <c:v>56.267978999999997</c:v>
                </c:pt>
                <c:pt idx="7">
                  <c:v>54.230582999999903</c:v>
                </c:pt>
                <c:pt idx="8">
                  <c:v>53.391658999999997</c:v>
                </c:pt>
                <c:pt idx="9">
                  <c:v>55.788589000000002</c:v>
                </c:pt>
                <c:pt idx="10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02005232"/>
        <c:axId val="-1102007952"/>
      </c:stockChart>
      <c:catAx>
        <c:axId val="-11020052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07952"/>
        <c:crosses val="autoZero"/>
        <c:auto val="1"/>
        <c:lblAlgn val="ctr"/>
        <c:lblOffset val="100"/>
        <c:tickLblSkip val="2"/>
        <c:noMultiLvlLbl val="0"/>
      </c:catAx>
      <c:valAx>
        <c:axId val="-1102007952"/>
        <c:scaling>
          <c:orientation val="minMax"/>
          <c:max val="57.617447780000006"/>
          <c:min val="50.90004611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0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data!$A$2:$A$200</c:f>
              <c:strCache>
                <c:ptCount val="19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  <c:pt idx="149">
                  <c:v>2000-08-03</c:v>
                </c:pt>
                <c:pt idx="150">
                  <c:v>2000-08-04</c:v>
                </c:pt>
                <c:pt idx="151">
                  <c:v>2000-08-07</c:v>
                </c:pt>
                <c:pt idx="152">
                  <c:v>2000-08-08</c:v>
                </c:pt>
                <c:pt idx="153">
                  <c:v>2000-08-09</c:v>
                </c:pt>
                <c:pt idx="154">
                  <c:v>2000-08-10</c:v>
                </c:pt>
                <c:pt idx="155">
                  <c:v>2000-08-11</c:v>
                </c:pt>
                <c:pt idx="156">
                  <c:v>2000-08-14</c:v>
                </c:pt>
                <c:pt idx="157">
                  <c:v>2000-08-15</c:v>
                </c:pt>
                <c:pt idx="158">
                  <c:v>2000-08-16</c:v>
                </c:pt>
                <c:pt idx="159">
                  <c:v>2000-08-17</c:v>
                </c:pt>
                <c:pt idx="160">
                  <c:v>2000-08-18</c:v>
                </c:pt>
                <c:pt idx="161">
                  <c:v>2000-08-21</c:v>
                </c:pt>
                <c:pt idx="162">
                  <c:v>2000-08-22</c:v>
                </c:pt>
                <c:pt idx="163">
                  <c:v>2000-08-23</c:v>
                </c:pt>
                <c:pt idx="164">
                  <c:v>2000-08-24</c:v>
                </c:pt>
                <c:pt idx="165">
                  <c:v>2000-08-25</c:v>
                </c:pt>
                <c:pt idx="166">
                  <c:v>2000-08-28</c:v>
                </c:pt>
                <c:pt idx="167">
                  <c:v>2000-08-29</c:v>
                </c:pt>
                <c:pt idx="168">
                  <c:v>2000-08-30</c:v>
                </c:pt>
                <c:pt idx="169">
                  <c:v>2000-08-31</c:v>
                </c:pt>
                <c:pt idx="170">
                  <c:v>2000-09-01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</c:strCache>
            </c:strRef>
          </c:cat>
          <c:val>
            <c:numRef>
              <c:f>data!$E$2:$E$200</c:f>
              <c:numCache>
                <c:formatCode>0.00000</c:formatCode>
                <c:ptCount val="19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  <c:pt idx="149">
                  <c:v>57.825980999999999</c:v>
                </c:pt>
                <c:pt idx="150">
                  <c:v>56.86721</c:v>
                </c:pt>
                <c:pt idx="151">
                  <c:v>56.567593000000002</c:v>
                </c:pt>
                <c:pt idx="152">
                  <c:v>56.088206999999997</c:v>
                </c:pt>
                <c:pt idx="153">
                  <c:v>54.650047000000001</c:v>
                </c:pt>
                <c:pt idx="154">
                  <c:v>55.968361000000002</c:v>
                </c:pt>
                <c:pt idx="155">
                  <c:v>56.3279</c:v>
                </c:pt>
                <c:pt idx="156">
                  <c:v>58.485137999999999</c:v>
                </c:pt>
                <c:pt idx="157">
                  <c:v>57.166828000000002</c:v>
                </c:pt>
                <c:pt idx="158">
                  <c:v>55.968361000000002</c:v>
                </c:pt>
                <c:pt idx="159">
                  <c:v>54.829818999999901</c:v>
                </c:pt>
                <c:pt idx="160">
                  <c:v>57.526367</c:v>
                </c:pt>
                <c:pt idx="161">
                  <c:v>56.807285</c:v>
                </c:pt>
                <c:pt idx="162">
                  <c:v>55.908436000000002</c:v>
                </c:pt>
                <c:pt idx="163">
                  <c:v>55.728667999999999</c:v>
                </c:pt>
                <c:pt idx="164">
                  <c:v>55.129432999999999</c:v>
                </c:pt>
                <c:pt idx="165">
                  <c:v>56.747363999999997</c:v>
                </c:pt>
                <c:pt idx="166">
                  <c:v>56.208053999999997</c:v>
                </c:pt>
                <c:pt idx="167">
                  <c:v>55.968361000000002</c:v>
                </c:pt>
                <c:pt idx="168">
                  <c:v>55.488976000000001</c:v>
                </c:pt>
                <c:pt idx="169">
                  <c:v>56.103164999999997</c:v>
                </c:pt>
                <c:pt idx="170">
                  <c:v>55.908436000000002</c:v>
                </c:pt>
                <c:pt idx="171">
                  <c:v>56.507670999999903</c:v>
                </c:pt>
                <c:pt idx="172">
                  <c:v>56.208053999999997</c:v>
                </c:pt>
                <c:pt idx="173">
                  <c:v>56.3279</c:v>
                </c:pt>
                <c:pt idx="174">
                  <c:v>55.129432999999999</c:v>
                </c:pt>
                <c:pt idx="175">
                  <c:v>53.211886999999997</c:v>
                </c:pt>
                <c:pt idx="176">
                  <c:v>52.792427000000004</c:v>
                </c:pt>
                <c:pt idx="177">
                  <c:v>51.653884999999903</c:v>
                </c:pt>
                <c:pt idx="178">
                  <c:v>48.897410999999998</c:v>
                </c:pt>
                <c:pt idx="179">
                  <c:v>48.897410999999998</c:v>
                </c:pt>
                <c:pt idx="180">
                  <c:v>49.436721999999897</c:v>
                </c:pt>
                <c:pt idx="181">
                  <c:v>49.496642999999999</c:v>
                </c:pt>
                <c:pt idx="182">
                  <c:v>48.238255000000002</c:v>
                </c:pt>
                <c:pt idx="183">
                  <c:v>49.736336000000001</c:v>
                </c:pt>
                <c:pt idx="184">
                  <c:v>52.073345000000003</c:v>
                </c:pt>
                <c:pt idx="185">
                  <c:v>50.934803000000002</c:v>
                </c:pt>
                <c:pt idx="186">
                  <c:v>51.294342</c:v>
                </c:pt>
                <c:pt idx="187">
                  <c:v>51.174495999999998</c:v>
                </c:pt>
                <c:pt idx="188">
                  <c:v>54.290507999999903</c:v>
                </c:pt>
                <c:pt idx="189">
                  <c:v>53.511505</c:v>
                </c:pt>
                <c:pt idx="190">
                  <c:v>52.732501999999997</c:v>
                </c:pt>
                <c:pt idx="191">
                  <c:v>53.571429999999999</c:v>
                </c:pt>
                <c:pt idx="192">
                  <c:v>53.990890999999998</c:v>
                </c:pt>
                <c:pt idx="193">
                  <c:v>54.769893999999901</c:v>
                </c:pt>
                <c:pt idx="194">
                  <c:v>56.267978999999997</c:v>
                </c:pt>
                <c:pt idx="195">
                  <c:v>54.230582999999903</c:v>
                </c:pt>
                <c:pt idx="196">
                  <c:v>53.391658999999997</c:v>
                </c:pt>
                <c:pt idx="197">
                  <c:v>55.788589000000002</c:v>
                </c:pt>
                <c:pt idx="198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01997072"/>
        <c:axId val="-1102010128"/>
      </c:lineChart>
      <c:catAx>
        <c:axId val="-110199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10128"/>
        <c:crosses val="autoZero"/>
        <c:auto val="1"/>
        <c:lblAlgn val="ctr"/>
        <c:lblOffset val="100"/>
        <c:noMultiLvlLbl val="0"/>
      </c:catAx>
      <c:valAx>
        <c:axId val="-1102010128"/>
        <c:scaling>
          <c:orientation val="minMax"/>
          <c:max val="65.243286130000001"/>
          <c:min val="43.06927086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199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01997616"/>
        <c:axId val="-1102004144"/>
      </c:stockChart>
      <c:catAx>
        <c:axId val="-11019976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04144"/>
        <c:crosses val="autoZero"/>
        <c:auto val="1"/>
        <c:lblAlgn val="ctr"/>
        <c:lblOffset val="100"/>
        <c:tickLblSkip val="2"/>
        <c:noMultiLvlLbl val="0"/>
      </c:catAx>
      <c:valAx>
        <c:axId val="-110200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199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101995984"/>
        <c:axId val="-1102011216"/>
      </c:stockChart>
      <c:catAx>
        <c:axId val="-11019959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11216"/>
        <c:crosses val="autoZero"/>
        <c:auto val="1"/>
        <c:lblAlgn val="ctr"/>
        <c:lblOffset val="100"/>
        <c:tickLblSkip val="2"/>
        <c:noMultiLvlLbl val="0"/>
      </c:catAx>
      <c:valAx>
        <c:axId val="-110201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199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02002512"/>
        <c:axId val="-1102009584"/>
      </c:lineChart>
      <c:catAx>
        <c:axId val="-110200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09584"/>
        <c:crosses val="autoZero"/>
        <c:auto val="1"/>
        <c:lblAlgn val="ctr"/>
        <c:lblOffset val="100"/>
        <c:noMultiLvlLbl val="0"/>
      </c:catAx>
      <c:valAx>
        <c:axId val="-110200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200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60385</xdr:rowOff>
        </xdr:from>
        <xdr:to>
          <xdr:col>53</xdr:col>
          <xdr:colOff>8626</xdr:colOff>
          <xdr:row>25</xdr:row>
          <xdr:rowOff>17253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112143</xdr:rowOff>
        </xdr:from>
        <xdr:to>
          <xdr:col>53</xdr:col>
          <xdr:colOff>8626</xdr:colOff>
          <xdr:row>27</xdr:row>
          <xdr:rowOff>69011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77638</xdr:colOff>
          <xdr:row>1</xdr:row>
          <xdr:rowOff>34506</xdr:rowOff>
        </xdr:from>
        <xdr:to>
          <xdr:col>72</xdr:col>
          <xdr:colOff>8626</xdr:colOff>
          <xdr:row>2</xdr:row>
          <xdr:rowOff>138023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P42" sqref="BP42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/>
      <c r="BN3" s="52"/>
      <c r="BO3" s="52"/>
      <c r="BP3" s="52"/>
      <c r="BQ3" s="52"/>
      <c r="BR3" s="52"/>
      <c r="BS3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205</v>
      </c>
      <c r="BE26" s="26">
        <v>56.088206999999997</v>
      </c>
      <c r="BF26" s="26">
        <v>57.046978000000003</v>
      </c>
      <c r="BG26" s="26">
        <v>53.691276999999999</v>
      </c>
      <c r="BH26" s="37">
        <v>54.110737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4614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 t="str">
        <f>IF(BO3&lt;&gt;"",IF(#REF!="Sell",#REF!-BH26,-1*(#REF!-BH26)),"")</f>
        <v/>
      </c>
      <c r="BG31" s="25" t="str">
        <f>IF(BP3&lt;&gt;"",IF(BN3="Sell",BF26&gt;=BP3,BG26&lt;=BP3),"")</f>
        <v/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4613</v>
      </c>
      <c r="BE35" s="23" t="s">
        <v>4615</v>
      </c>
      <c r="BF35" s="23" t="s">
        <v>4617</v>
      </c>
      <c r="BG35" s="23" t="s">
        <v>4616</v>
      </c>
      <c r="BH35" s="55" t="s">
        <v>4618</v>
      </c>
    </row>
    <row r="36" spans="2:61" x14ac:dyDescent="0.25">
      <c r="BD36" s="53">
        <v>1</v>
      </c>
      <c r="BE36" s="25">
        <v>200</v>
      </c>
      <c r="BF36" s="54">
        <v>4000</v>
      </c>
      <c r="BG36" s="25">
        <f>IF(BF36&lt;&gt;"",BF36-iterator_current_row,"")</f>
        <v>3800</v>
      </c>
      <c r="BH36" s="25" t="str">
        <f>IF(BF36&lt;&gt;"",INDEX(dates_no_header,BF36-1),"")</f>
        <v>2015-11-20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4594</v>
      </c>
      <c r="C49" s="23" t="s">
        <v>4622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Buy">
          <controlPr defaultSize="0" autoLine="0" r:id="rId5">
            <anchor moveWithCells="1">
              <from>
                <xdr:col>47</xdr:col>
                <xdr:colOff>86264</xdr:colOff>
                <xdr:row>23</xdr:row>
                <xdr:rowOff>60385</xdr:rowOff>
              </from>
              <to>
                <xdr:col>53</xdr:col>
                <xdr:colOff>8626</xdr:colOff>
                <xdr:row>25</xdr:row>
                <xdr:rowOff>17253</xdr:rowOff>
              </to>
            </anchor>
          </controlPr>
        </control>
      </mc:Choice>
      <mc:Fallback>
        <control shapeId="5121" r:id="rId4" name="cmdBuy"/>
      </mc:Fallback>
    </mc:AlternateContent>
    <mc:AlternateContent xmlns:mc="http://schemas.openxmlformats.org/markup-compatibility/2006">
      <mc:Choice Requires="x14">
        <control shapeId="5122" r:id="rId6" name="cmdSell">
          <controlPr defaultSize="0" autoLine="0" r:id="rId7">
            <anchor moveWithCells="1">
              <from>
                <xdr:col>47</xdr:col>
                <xdr:colOff>94891</xdr:colOff>
                <xdr:row>25</xdr:row>
                <xdr:rowOff>112143</xdr:rowOff>
              </from>
              <to>
                <xdr:col>53</xdr:col>
                <xdr:colOff>8626</xdr:colOff>
                <xdr:row>27</xdr:row>
                <xdr:rowOff>69011</xdr:rowOff>
              </to>
            </anchor>
          </controlPr>
        </control>
      </mc:Choice>
      <mc:Fallback>
        <control shapeId="5122" r:id="rId6" name="cmdSell"/>
      </mc:Fallback>
    </mc:AlternateContent>
    <mc:AlternateContent xmlns:mc="http://schemas.openxmlformats.org/markup-compatibility/2006">
      <mc:Choice Requires="x14">
        <control shapeId="5123" r:id="rId8" name="cmdSellLimit">
          <controlPr defaultSize="0" autoLine="0" r:id="rId9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8" name="cmdSellLimit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7" r:id="rId12" name="cmdResetOperations">
          <controlPr defaultSize="0" autoLine="0" r:id="rId13">
            <anchor moveWithCells="1">
              <from>
                <xdr:col>71</xdr:col>
                <xdr:colOff>77638</xdr:colOff>
                <xdr:row>1</xdr:row>
                <xdr:rowOff>34506</xdr:rowOff>
              </from>
              <to>
                <xdr:col>72</xdr:col>
                <xdr:colOff>8626</xdr:colOff>
                <xdr:row>2</xdr:row>
                <xdr:rowOff>138023</xdr:rowOff>
              </to>
            </anchor>
          </controlPr>
        </control>
      </mc:Choice>
      <mc:Fallback>
        <control shapeId="5127" r:id="rId12" name="cmdResetOperations"/>
      </mc:Fallback>
    </mc:AlternateContent>
    <mc:AlternateContent xmlns:mc="http://schemas.openxmlformats.org/markup-compatibility/2006">
      <mc:Choice Requires="x14">
        <control shapeId="5128" r:id="rId14" name="cmdResetIterator">
          <controlPr defaultSize="0" autoLine="0" r:id="rId15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14" name="cmdResetIterator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autoPict="0" r:id="rId17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6" sqref="G46"/>
    </sheetView>
  </sheetViews>
  <sheetFormatPr defaultRowHeight="11.05" customHeight="1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56" t="s">
        <v>4554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K1" sqref="K1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4620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4621</v>
      </c>
      <c r="O2" s="10">
        <v>1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4612</v>
      </c>
      <c r="B8" s="7">
        <v>120</v>
      </c>
    </row>
    <row r="9" spans="1:15" x14ac:dyDescent="0.25">
      <c r="A9" s="6" t="s">
        <v>4619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4606</v>
      </c>
    </row>
    <row r="20" spans="1:2" x14ac:dyDescent="0.25">
      <c r="A20" s="10" t="s">
        <v>4582</v>
      </c>
      <c r="B20" s="5" t="s">
        <v>4607</v>
      </c>
    </row>
    <row r="21" spans="1:2" x14ac:dyDescent="0.25">
      <c r="A21" s="10" t="s">
        <v>4583</v>
      </c>
      <c r="B21" s="5" t="s">
        <v>4608</v>
      </c>
    </row>
    <row r="22" spans="1:2" x14ac:dyDescent="0.25">
      <c r="A22" s="10" t="s">
        <v>4584</v>
      </c>
      <c r="B22" s="5" t="s">
        <v>4609</v>
      </c>
    </row>
    <row r="23" spans="1:2" x14ac:dyDescent="0.25">
      <c r="A23" s="10" t="s">
        <v>4585</v>
      </c>
      <c r="B23" s="5" t="s">
        <v>4610</v>
      </c>
    </row>
    <row r="24" spans="1:2" x14ac:dyDescent="0.25">
      <c r="A24" s="10" t="s">
        <v>4586</v>
      </c>
      <c r="B24" s="5" t="s">
        <v>4611</v>
      </c>
    </row>
    <row r="25" spans="1:2" x14ac:dyDescent="0.25">
      <c r="A25" s="10" t="s">
        <v>4587</v>
      </c>
      <c r="B25" s="5">
        <v>1</v>
      </c>
    </row>
    <row r="26" spans="1:2" x14ac:dyDescent="0.25">
      <c r="A26" s="10" t="s">
        <v>4588</v>
      </c>
      <c r="B26" s="5">
        <v>2</v>
      </c>
    </row>
    <row r="27" spans="1:2" x14ac:dyDescent="0.25">
      <c r="A27" s="10" t="s">
        <v>4589</v>
      </c>
      <c r="B27" s="5">
        <v>3</v>
      </c>
    </row>
    <row r="28" spans="1:2" x14ac:dyDescent="0.25">
      <c r="A28" s="10" t="s">
        <v>4590</v>
      </c>
      <c r="B28" s="5">
        <v>4</v>
      </c>
    </row>
    <row r="29" spans="1:2" x14ac:dyDescent="0.25">
      <c r="A29" s="10" t="s">
        <v>4591</v>
      </c>
      <c r="B29" s="5">
        <v>5</v>
      </c>
    </row>
    <row r="30" spans="1:2" x14ac:dyDescent="0.25">
      <c r="A30" s="10" t="s">
        <v>4592</v>
      </c>
      <c r="B30" s="5">
        <v>6</v>
      </c>
    </row>
    <row r="31" spans="1:2" x14ac:dyDescent="0.25">
      <c r="A31" s="10" t="s">
        <v>4593</v>
      </c>
      <c r="B31" s="5">
        <v>7</v>
      </c>
    </row>
    <row r="32" spans="1:2" x14ac:dyDescent="0.25">
      <c r="A32" s="10" t="s">
        <v>4595</v>
      </c>
      <c r="B32" s="5" t="s">
        <v>4601</v>
      </c>
    </row>
    <row r="33" spans="1:2" x14ac:dyDescent="0.25">
      <c r="A33" s="10" t="s">
        <v>4596</v>
      </c>
      <c r="B33" s="5" t="str">
        <f>CONCATENATE("Sort Chart - ",instrument_name_rng)</f>
        <v>Sort Chart - FCB</v>
      </c>
    </row>
    <row r="34" spans="1:2" x14ac:dyDescent="0.25">
      <c r="A34" s="10" t="s">
        <v>4597</v>
      </c>
      <c r="B34" s="5" t="s">
        <v>4602</v>
      </c>
    </row>
    <row r="35" spans="1:2" x14ac:dyDescent="0.25">
      <c r="A35" s="10" t="s">
        <v>4598</v>
      </c>
      <c r="B35" s="5" t="str">
        <f>CONCATENATE("Long Chart - ",instrument_name_rng)</f>
        <v>Long Chart - FCB</v>
      </c>
    </row>
    <row r="36" spans="1:2" x14ac:dyDescent="0.25">
      <c r="A36" s="10" t="s">
        <v>4599</v>
      </c>
      <c r="B36" s="5" t="s">
        <v>4603</v>
      </c>
    </row>
    <row r="37" spans="1:2" x14ac:dyDescent="0.25">
      <c r="A37" s="10" t="s">
        <v>4600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4604</v>
      </c>
      <c r="B38" s="43" t="s">
        <v>4605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42</vt:i4>
      </vt:variant>
    </vt:vector>
  </HeadingPairs>
  <TitlesOfParts>
    <vt:vector size="48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iterator_oper_entry</vt:lpstr>
      <vt:lpstr>iterator_oper_oper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2017-12-31T18:04:45Z</dcterms:modified>
</cp:coreProperties>
</file>