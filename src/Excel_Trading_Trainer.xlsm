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test\"/>
    </mc:Choice>
  </mc:AlternateContent>
  <bookViews>
    <workbookView xWindow="0" yWindow="0" windowWidth="16560" windowHeight="6371"/>
  </bookViews>
  <sheets>
    <sheet name="iterator" sheetId="1" r:id="rId1"/>
    <sheet name="summary" sheetId="3" state="hidden" r:id="rId2"/>
    <sheet name="data" sheetId="7" r:id="rId3"/>
    <sheet name="template" sheetId="4" state="hidden" r:id="rId4"/>
    <sheet name="indicators" sheetId="2" state="hidden" r:id="rId5"/>
    <sheet name="config" sheetId="5" state="hidden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X4" i="4" l="1"/>
  <c r="BE28" i="1" l="1"/>
  <c r="BD28" i="1"/>
  <c r="BF28" i="1" l="1"/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<sst xmlns="http://schemas.openxmlformats.org/spreadsheetml/2006/main" count="4661" uniqueCount="4645">
  <si>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</si>
  <si>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</si>
  <si>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</si>
  <si>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</si>
  <si>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</si>
  <si>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</si>
  <si>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</si>
  <si>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</si>
  <si>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</si>
  <si>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</si>
  <si>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</si>
  <si>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</si>
  <si>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</si>
  <si>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</si>
  <si>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</si>
  <si>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</si>
  <si>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</si>
  <si>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</si>
  <si>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</si>
  <si>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</si>
  <si>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</si>
  <si>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</si>
  <si>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</si>
  <si>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</si>
  <si>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</si>
  <si>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</si>
  <si>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</si>
  <si>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</si>
  <si>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</si>
  <si>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</si>
  <si>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</si>
  <si>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</si>
  <si>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</si>
  <si>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</si>
  <si>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</si>
  <si>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</si>
  <si>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</si>
  <si>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</si>
  <si>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</si>
  <si>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</si>
  <si>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</si>
  <si>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</si>
  <si>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</si>
  <si>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</si>
  <si>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</si>
  <si>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</si>
  <si>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</si>
  <si>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</si>
  <si>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</si>
  <si>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</si>
  <si>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</si>
  <si>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</si>
  <si>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</si>
  <si>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</si>
  <si>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</si>
  <si>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</si>
  <si>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</si>
  <si>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</si>
  <si>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</si>
  <si>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</si>
  <si>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</si>
  <si>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</si>
  <si>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</si>
  <si>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</si>
  <si>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</si>
  <si>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</si>
  <si>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</si>
  <si>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</si>
  <si>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</si>
  <si>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</si>
  <si>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</si>
  <si>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</si>
  <si>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</si>
  <si>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</si>
  <si>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</si>
  <si>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</si>
  <si>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</si>
  <si>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</si>
  <si>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</si>
  <si>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</si>
  <si>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</si>
  <si>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</si>
  <si>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</si>
  <si>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</si>
  <si>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</si>
  <si>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</si>
  <si>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</si>
  <si>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</si>
  <si>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</si>
  <si>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</si>
  <si>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</si>
  <si>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</si>
  <si>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</si>
  <si>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</si>
  <si>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</si>
  <si>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</si>
  <si>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</si>
  <si>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</si>
  <si>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</si>
  <si>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</si>
  <si>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</si>
  <si>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</si>
  <si>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</si>
  <si>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</si>
  <si>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</si>
  <si>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</si>
  <si>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</si>
  <si>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</si>
  <si>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</si>
  <si>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</si>
  <si>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</si>
  <si>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</si>
  <si>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</si>
  <si>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</si>
  <si>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</si>
  <si>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</si>
  <si>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</si>
  <si>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</si>
  <si>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</si>
  <si>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</si>
  <si>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</si>
  <si>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</si>
  <si>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</si>
  <si>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</si>
  <si>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1999-12-31</t>
  </si>
  <si>
    <t>2000-10-12</t>
  </si>
  <si>
    <t>Volume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</si>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</sst>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82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5" fillId="7" borderId="22" xfId="0" applyNumberFormat="1" applyFont="1" applyFill="1" applyBorder="1" applyAlignment="1">
      <alignment horizontal="center"/>
    </xf>
    <xf numFmtId="165" fontId="5" fillId="7" borderId="22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24" xfId="0" applyFont="1" applyFill="1" applyBorder="1" applyAlignment="1">
      <alignment horizontal="center"/>
    </xf>
    <xf numFmtId="10" fontId="7" fillId="9" borderId="20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5" fontId="5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49" fontId="0" fillId="0" borderId="29" xfId="0" applyNumberFormat="1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8" fillId="10" borderId="27" xfId="0" applyNumberFormat="1" applyFont="1" applyFill="1" applyBorder="1" applyAlignment="1">
      <alignment horizontal="center"/>
    </xf>
    <xf numFmtId="164" fontId="8" fillId="10" borderId="27" xfId="0" applyNumberFormat="1" applyFont="1" applyFill="1" applyBorder="1" applyAlignment="1">
      <alignment horizontal="center"/>
    </xf>
    <xf numFmtId="164" fontId="0" fillId="0" borderId="29" xfId="0" applyNumberFormat="1" applyFont="1" applyBorder="1" applyAlignment="1">
      <alignment horizontal="center"/>
    </xf>
    <xf numFmtId="164" fontId="0" fillId="0" borderId="0" xfId="0" applyNumberFormat="1"/>
    <xf numFmtId="1" fontId="8" fillId="10" borderId="28" xfId="0" applyNumberFormat="1" applyFont="1" applyFill="1" applyBorder="1" applyAlignment="1">
      <alignment horizontal="center"/>
    </xf>
    <xf numFmtId="1" fontId="0" fillId="0" borderId="29" xfId="0" applyNumberFormat="1" applyFont="1" applyBorder="1" applyAlignment="1">
      <alignment horizontal="center"/>
    </xf>
    <xf numFmtId="1" fontId="0" fillId="0" borderId="0" xfId="0" applyNumberFormat="1"/>
    <xf numFmtId="0" fontId="3" fillId="5" borderId="0" xfId="0" applyFont="1" applyFill="1" applyAlignment="1">
      <alignment horizontal="center"/>
    </xf>
    <xf numFmtId="0" fontId="0" fillId="6" borderId="0" xfId="0" applyFill="1"/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data!$B$100:$B$200</c:f>
              <c:numCache>
                <c:formatCode>0.0000</c:formatCode>
                <c:ptCount val="101"/>
                <c:pt idx="0">
                  <c:v>25.972110999999899</c:v>
                </c:pt>
                <c:pt idx="1">
                  <c:v>25.972110999999899</c:v>
                </c:pt>
                <c:pt idx="2">
                  <c:v>25.606306</c:v>
                </c:pt>
                <c:pt idx="3">
                  <c:v>25.560579000000001</c:v>
                </c:pt>
                <c:pt idx="4">
                  <c:v>25.697755999999998</c:v>
                </c:pt>
                <c:pt idx="5">
                  <c:v>25.743482999999902</c:v>
                </c:pt>
                <c:pt idx="6">
                  <c:v>25.46913</c:v>
                </c:pt>
                <c:pt idx="7">
                  <c:v>25.606306</c:v>
                </c:pt>
                <c:pt idx="8">
                  <c:v>25.606306</c:v>
                </c:pt>
                <c:pt idx="9">
                  <c:v>25.652031000000001</c:v>
                </c:pt>
                <c:pt idx="10">
                  <c:v>25.743482999999902</c:v>
                </c:pt>
                <c:pt idx="11">
                  <c:v>25.789207000000001</c:v>
                </c:pt>
                <c:pt idx="12">
                  <c:v>25.926383999999999</c:v>
                </c:pt>
                <c:pt idx="13">
                  <c:v>25.972110999999899</c:v>
                </c:pt>
                <c:pt idx="14">
                  <c:v>26.200737</c:v>
                </c:pt>
                <c:pt idx="15">
                  <c:v>26.337914000000001</c:v>
                </c:pt>
                <c:pt idx="16">
                  <c:v>26.292189</c:v>
                </c:pt>
                <c:pt idx="17">
                  <c:v>26.566541999999998</c:v>
                </c:pt>
                <c:pt idx="18">
                  <c:v>26.612268</c:v>
                </c:pt>
                <c:pt idx="19">
                  <c:v>26.566541999999998</c:v>
                </c:pt>
                <c:pt idx="20">
                  <c:v>26.292189</c:v>
                </c:pt>
                <c:pt idx="21">
                  <c:v>26.200737</c:v>
                </c:pt>
                <c:pt idx="22">
                  <c:v>26.337914000000001</c:v>
                </c:pt>
                <c:pt idx="23">
                  <c:v>26.475090000000002</c:v>
                </c:pt>
                <c:pt idx="24">
                  <c:v>26.38364</c:v>
                </c:pt>
                <c:pt idx="25">
                  <c:v>26.292189</c:v>
                </c:pt>
                <c:pt idx="26">
                  <c:v>26.337914000000001</c:v>
                </c:pt>
                <c:pt idx="27">
                  <c:v>26.337914000000001</c:v>
                </c:pt>
                <c:pt idx="28">
                  <c:v>26.337914000000001</c:v>
                </c:pt>
                <c:pt idx="29">
                  <c:v>25.697755999999998</c:v>
                </c:pt>
                <c:pt idx="30">
                  <c:v>25.834934000000001</c:v>
                </c:pt>
                <c:pt idx="31">
                  <c:v>26.38364</c:v>
                </c:pt>
                <c:pt idx="32">
                  <c:v>26.978071</c:v>
                </c:pt>
                <c:pt idx="33">
                  <c:v>27.206699</c:v>
                </c:pt>
                <c:pt idx="34">
                  <c:v>27.069522999999901</c:v>
                </c:pt>
                <c:pt idx="35">
                  <c:v>26.978071</c:v>
                </c:pt>
                <c:pt idx="36">
                  <c:v>26.978071</c:v>
                </c:pt>
                <c:pt idx="37">
                  <c:v>26.932345999999999</c:v>
                </c:pt>
                <c:pt idx="38">
                  <c:v>27.115247999999902</c:v>
                </c:pt>
                <c:pt idx="39">
                  <c:v>26.978071</c:v>
                </c:pt>
                <c:pt idx="40">
                  <c:v>27.115247999999902</c:v>
                </c:pt>
                <c:pt idx="41">
                  <c:v>27.298151000000001</c:v>
                </c:pt>
                <c:pt idx="42">
                  <c:v>27.435327999999998</c:v>
                </c:pt>
                <c:pt idx="43">
                  <c:v>27.801131999999999</c:v>
                </c:pt>
                <c:pt idx="44">
                  <c:v>28.0297599999999</c:v>
                </c:pt>
                <c:pt idx="45">
                  <c:v>28.212661999999899</c:v>
                </c:pt>
                <c:pt idx="46">
                  <c:v>28.715643</c:v>
                </c:pt>
                <c:pt idx="47">
                  <c:v>28.944271000000001</c:v>
                </c:pt>
                <c:pt idx="48">
                  <c:v>28.761368000000001</c:v>
                </c:pt>
                <c:pt idx="49">
                  <c:v>28.53274</c:v>
                </c:pt>
                <c:pt idx="50">
                  <c:v>29.721605</c:v>
                </c:pt>
                <c:pt idx="51">
                  <c:v>29.355801</c:v>
                </c:pt>
                <c:pt idx="52">
                  <c:v>29.584428999999901</c:v>
                </c:pt>
                <c:pt idx="53">
                  <c:v>29.447251999999999</c:v>
                </c:pt>
                <c:pt idx="54">
                  <c:v>28.989996000000001</c:v>
                </c:pt>
                <c:pt idx="55">
                  <c:v>29.264348999999999</c:v>
                </c:pt>
                <c:pt idx="56">
                  <c:v>29.264348999999999</c:v>
                </c:pt>
                <c:pt idx="57">
                  <c:v>29.492977</c:v>
                </c:pt>
                <c:pt idx="58">
                  <c:v>29.447251999999999</c:v>
                </c:pt>
                <c:pt idx="59">
                  <c:v>29.447251999999999</c:v>
                </c:pt>
                <c:pt idx="60">
                  <c:v>29.264348999999999</c:v>
                </c:pt>
                <c:pt idx="61">
                  <c:v>29.218623999999998</c:v>
                </c:pt>
                <c:pt idx="62">
                  <c:v>29.172896999999999</c:v>
                </c:pt>
                <c:pt idx="63">
                  <c:v>28.898544000000001</c:v>
                </c:pt>
                <c:pt idx="64">
                  <c:v>28.852819</c:v>
                </c:pt>
                <c:pt idx="65">
                  <c:v>28.761368000000001</c:v>
                </c:pt>
                <c:pt idx="66">
                  <c:v>28.441289999999999</c:v>
                </c:pt>
                <c:pt idx="67">
                  <c:v>27.938309</c:v>
                </c:pt>
                <c:pt idx="68">
                  <c:v>27.938309</c:v>
                </c:pt>
                <c:pt idx="69">
                  <c:v>27.801131999999999</c:v>
                </c:pt>
                <c:pt idx="70">
                  <c:v>27.435327999999998</c:v>
                </c:pt>
                <c:pt idx="71">
                  <c:v>27.343876000000002</c:v>
                </c:pt>
                <c:pt idx="72">
                  <c:v>27.160975000000001</c:v>
                </c:pt>
                <c:pt idx="73">
                  <c:v>26.840895</c:v>
                </c:pt>
                <c:pt idx="74">
                  <c:v>27.069522999999901</c:v>
                </c:pt>
                <c:pt idx="75">
                  <c:v>27.069522999999901</c:v>
                </c:pt>
                <c:pt idx="76">
                  <c:v>27.709681</c:v>
                </c:pt>
                <c:pt idx="77">
                  <c:v>28.669917999999999</c:v>
                </c:pt>
                <c:pt idx="78">
                  <c:v>28.53274</c:v>
                </c:pt>
                <c:pt idx="79">
                  <c:v>28.441289999999999</c:v>
                </c:pt>
                <c:pt idx="80">
                  <c:v>28.349837999999998</c:v>
                </c:pt>
                <c:pt idx="81">
                  <c:v>28.166937000000001</c:v>
                </c:pt>
                <c:pt idx="82">
                  <c:v>28.258386999999999</c:v>
                </c:pt>
                <c:pt idx="83">
                  <c:v>27.663955999999999</c:v>
                </c:pt>
                <c:pt idx="84">
                  <c:v>27.663955999999999</c:v>
                </c:pt>
                <c:pt idx="85">
                  <c:v>27.755405</c:v>
                </c:pt>
                <c:pt idx="86">
                  <c:v>27.572503999999999</c:v>
                </c:pt>
                <c:pt idx="87">
                  <c:v>27.801131999999999</c:v>
                </c:pt>
                <c:pt idx="88">
                  <c:v>27.252426</c:v>
                </c:pt>
                <c:pt idx="89">
                  <c:v>27.206699</c:v>
                </c:pt>
                <c:pt idx="90">
                  <c:v>27.801131999999999</c:v>
                </c:pt>
                <c:pt idx="91">
                  <c:v>27.618228999999999</c:v>
                </c:pt>
                <c:pt idx="92">
                  <c:v>27.115247999999902</c:v>
                </c:pt>
                <c:pt idx="93">
                  <c:v>26.155011999999999</c:v>
                </c:pt>
                <c:pt idx="94">
                  <c:v>25.834934000000001</c:v>
                </c:pt>
                <c:pt idx="95">
                  <c:v>25.697755999999998</c:v>
                </c:pt>
                <c:pt idx="96">
                  <c:v>25.240500999999998</c:v>
                </c:pt>
                <c:pt idx="97">
                  <c:v>25.514854</c:v>
                </c:pt>
                <c:pt idx="98">
                  <c:v>25.880659000000001</c:v>
                </c:pt>
                <c:pt idx="99">
                  <c:v>25.46913</c:v>
                </c:pt>
                <c:pt idx="100">
                  <c:v>25.240500999999998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data!$C$100:$C$200</c:f>
              <c:numCache>
                <c:formatCode>0.0000</c:formatCode>
                <c:ptCount val="101"/>
                <c:pt idx="0">
                  <c:v>26.109286999999998</c:v>
                </c:pt>
                <c:pt idx="1">
                  <c:v>25.972110999999899</c:v>
                </c:pt>
                <c:pt idx="2">
                  <c:v>25.606306</c:v>
                </c:pt>
                <c:pt idx="3">
                  <c:v>25.697755999999998</c:v>
                </c:pt>
                <c:pt idx="4">
                  <c:v>25.789207000000001</c:v>
                </c:pt>
                <c:pt idx="5">
                  <c:v>25.789207000000001</c:v>
                </c:pt>
                <c:pt idx="6">
                  <c:v>25.652031000000001</c:v>
                </c:pt>
                <c:pt idx="7">
                  <c:v>25.606306</c:v>
                </c:pt>
                <c:pt idx="8">
                  <c:v>25.972110999999899</c:v>
                </c:pt>
                <c:pt idx="9">
                  <c:v>25.834934000000001</c:v>
                </c:pt>
                <c:pt idx="10">
                  <c:v>25.972110999999899</c:v>
                </c:pt>
                <c:pt idx="11">
                  <c:v>26.017835999999999</c:v>
                </c:pt>
                <c:pt idx="12">
                  <c:v>26.063559999999999</c:v>
                </c:pt>
                <c:pt idx="13">
                  <c:v>26.246464</c:v>
                </c:pt>
                <c:pt idx="14">
                  <c:v>26.292189</c:v>
                </c:pt>
                <c:pt idx="15">
                  <c:v>26.337914000000001</c:v>
                </c:pt>
                <c:pt idx="16">
                  <c:v>26.703717999999999</c:v>
                </c:pt>
                <c:pt idx="17">
                  <c:v>26.657992999999902</c:v>
                </c:pt>
                <c:pt idx="18">
                  <c:v>26.703717999999999</c:v>
                </c:pt>
                <c:pt idx="19">
                  <c:v>26.657992999999902</c:v>
                </c:pt>
                <c:pt idx="20">
                  <c:v>26.337914000000001</c:v>
                </c:pt>
                <c:pt idx="21">
                  <c:v>26.429365000000001</c:v>
                </c:pt>
                <c:pt idx="22">
                  <c:v>26.566541999999998</c:v>
                </c:pt>
                <c:pt idx="23">
                  <c:v>26.520816999999901</c:v>
                </c:pt>
                <c:pt idx="24">
                  <c:v>26.520816999999901</c:v>
                </c:pt>
                <c:pt idx="25">
                  <c:v>26.429365000000001</c:v>
                </c:pt>
                <c:pt idx="26">
                  <c:v>26.566541999999998</c:v>
                </c:pt>
                <c:pt idx="27">
                  <c:v>26.429365000000001</c:v>
                </c:pt>
                <c:pt idx="28">
                  <c:v>26.795169999999999</c:v>
                </c:pt>
                <c:pt idx="29">
                  <c:v>26.017835999999999</c:v>
                </c:pt>
                <c:pt idx="30">
                  <c:v>26.566541999999998</c:v>
                </c:pt>
                <c:pt idx="31">
                  <c:v>27.115247999999902</c:v>
                </c:pt>
                <c:pt idx="32">
                  <c:v>27.343876000000002</c:v>
                </c:pt>
                <c:pt idx="33">
                  <c:v>27.389603000000001</c:v>
                </c:pt>
                <c:pt idx="34">
                  <c:v>27.115247999999902</c:v>
                </c:pt>
                <c:pt idx="35">
                  <c:v>27.069522999999901</c:v>
                </c:pt>
                <c:pt idx="36">
                  <c:v>27.069522999999901</c:v>
                </c:pt>
                <c:pt idx="37">
                  <c:v>27.160975000000001</c:v>
                </c:pt>
                <c:pt idx="38">
                  <c:v>27.115247999999902</c:v>
                </c:pt>
                <c:pt idx="39">
                  <c:v>27.206699</c:v>
                </c:pt>
                <c:pt idx="40">
                  <c:v>27.298151000000001</c:v>
                </c:pt>
                <c:pt idx="41">
                  <c:v>27.526778999999902</c:v>
                </c:pt>
                <c:pt idx="42">
                  <c:v>27.801131999999999</c:v>
                </c:pt>
                <c:pt idx="43">
                  <c:v>27.984034000000001</c:v>
                </c:pt>
                <c:pt idx="44">
                  <c:v>28.258386999999999</c:v>
                </c:pt>
                <c:pt idx="45">
                  <c:v>28.715643</c:v>
                </c:pt>
                <c:pt idx="46">
                  <c:v>28.989996000000001</c:v>
                </c:pt>
                <c:pt idx="47">
                  <c:v>29.035720999999999</c:v>
                </c:pt>
                <c:pt idx="48">
                  <c:v>28.852819</c:v>
                </c:pt>
                <c:pt idx="49">
                  <c:v>29.813054999999999</c:v>
                </c:pt>
                <c:pt idx="50">
                  <c:v>29.813054999999999</c:v>
                </c:pt>
                <c:pt idx="51">
                  <c:v>29.675878999999998</c:v>
                </c:pt>
                <c:pt idx="52">
                  <c:v>29.630153999999902</c:v>
                </c:pt>
                <c:pt idx="53">
                  <c:v>29.447251999999999</c:v>
                </c:pt>
                <c:pt idx="54">
                  <c:v>29.538702000000001</c:v>
                </c:pt>
                <c:pt idx="55">
                  <c:v>29.401524999999999</c:v>
                </c:pt>
                <c:pt idx="56">
                  <c:v>29.447251999999999</c:v>
                </c:pt>
                <c:pt idx="57">
                  <c:v>29.538702000000001</c:v>
                </c:pt>
                <c:pt idx="58">
                  <c:v>29.630153999999902</c:v>
                </c:pt>
                <c:pt idx="59">
                  <c:v>29.492977</c:v>
                </c:pt>
                <c:pt idx="60">
                  <c:v>29.310074</c:v>
                </c:pt>
                <c:pt idx="61">
                  <c:v>29.218623999999998</c:v>
                </c:pt>
                <c:pt idx="62">
                  <c:v>29.172896999999999</c:v>
                </c:pt>
                <c:pt idx="63">
                  <c:v>29.127171999999899</c:v>
                </c:pt>
                <c:pt idx="64">
                  <c:v>28.898544000000001</c:v>
                </c:pt>
                <c:pt idx="65">
                  <c:v>28.807095</c:v>
                </c:pt>
                <c:pt idx="66">
                  <c:v>28.487015</c:v>
                </c:pt>
                <c:pt idx="67">
                  <c:v>28.0297599999999</c:v>
                </c:pt>
                <c:pt idx="68">
                  <c:v>28.0297599999999</c:v>
                </c:pt>
                <c:pt idx="69">
                  <c:v>27.938309</c:v>
                </c:pt>
                <c:pt idx="70">
                  <c:v>27.572503999999999</c:v>
                </c:pt>
                <c:pt idx="71">
                  <c:v>27.435327999999998</c:v>
                </c:pt>
                <c:pt idx="72">
                  <c:v>27.206699</c:v>
                </c:pt>
                <c:pt idx="73">
                  <c:v>27.389603000000001</c:v>
                </c:pt>
                <c:pt idx="74">
                  <c:v>27.069522999999901</c:v>
                </c:pt>
                <c:pt idx="75">
                  <c:v>27.526778999999902</c:v>
                </c:pt>
                <c:pt idx="76">
                  <c:v>28.487015</c:v>
                </c:pt>
                <c:pt idx="77">
                  <c:v>29.035720999999999</c:v>
                </c:pt>
                <c:pt idx="78">
                  <c:v>28.53274</c:v>
                </c:pt>
                <c:pt idx="79">
                  <c:v>28.441289999999999</c:v>
                </c:pt>
                <c:pt idx="80">
                  <c:v>28.53274</c:v>
                </c:pt>
                <c:pt idx="81">
                  <c:v>28.258386999999999</c:v>
                </c:pt>
                <c:pt idx="82">
                  <c:v>28.304113000000001</c:v>
                </c:pt>
                <c:pt idx="83">
                  <c:v>27.846857</c:v>
                </c:pt>
                <c:pt idx="84">
                  <c:v>27.755405</c:v>
                </c:pt>
                <c:pt idx="85">
                  <c:v>27.801131999999999</c:v>
                </c:pt>
                <c:pt idx="86">
                  <c:v>27.892582000000001</c:v>
                </c:pt>
                <c:pt idx="87">
                  <c:v>27.801131999999999</c:v>
                </c:pt>
                <c:pt idx="88">
                  <c:v>27.343876000000002</c:v>
                </c:pt>
                <c:pt idx="89">
                  <c:v>27.846857</c:v>
                </c:pt>
                <c:pt idx="90">
                  <c:v>28.212661999999899</c:v>
                </c:pt>
                <c:pt idx="91">
                  <c:v>27.618228999999999</c:v>
                </c:pt>
                <c:pt idx="92">
                  <c:v>27.160975000000001</c:v>
                </c:pt>
                <c:pt idx="93">
                  <c:v>26.429365000000001</c:v>
                </c:pt>
                <c:pt idx="94">
                  <c:v>25.834934000000001</c:v>
                </c:pt>
                <c:pt idx="95">
                  <c:v>25.697755999999998</c:v>
                </c:pt>
                <c:pt idx="96">
                  <c:v>25.789207000000001</c:v>
                </c:pt>
                <c:pt idx="97">
                  <c:v>25.834934000000001</c:v>
                </c:pt>
                <c:pt idx="98">
                  <c:v>25.880659000000001</c:v>
                </c:pt>
                <c:pt idx="99">
                  <c:v>25.697755999999998</c:v>
                </c:pt>
                <c:pt idx="100">
                  <c:v>25.972110999999899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data!$D$100:$D$200</c:f>
              <c:numCache>
                <c:formatCode>0.0000</c:formatCode>
                <c:ptCount val="101"/>
                <c:pt idx="0">
                  <c:v>25.926383999999999</c:v>
                </c:pt>
                <c:pt idx="1">
                  <c:v>25.606306</c:v>
                </c:pt>
                <c:pt idx="2">
                  <c:v>25.423403</c:v>
                </c:pt>
                <c:pt idx="3">
                  <c:v>25.423403</c:v>
                </c:pt>
                <c:pt idx="4">
                  <c:v>25.560579000000001</c:v>
                </c:pt>
                <c:pt idx="5">
                  <c:v>25.423403</c:v>
                </c:pt>
                <c:pt idx="6">
                  <c:v>25.423403</c:v>
                </c:pt>
                <c:pt idx="7">
                  <c:v>25.423403</c:v>
                </c:pt>
                <c:pt idx="8">
                  <c:v>25.606306</c:v>
                </c:pt>
                <c:pt idx="9">
                  <c:v>25.652031000000001</c:v>
                </c:pt>
                <c:pt idx="10">
                  <c:v>25.697755999999998</c:v>
                </c:pt>
                <c:pt idx="11">
                  <c:v>25.789207000000001</c:v>
                </c:pt>
                <c:pt idx="12">
                  <c:v>25.880659000000001</c:v>
                </c:pt>
                <c:pt idx="13">
                  <c:v>25.834934000000001</c:v>
                </c:pt>
                <c:pt idx="14">
                  <c:v>26.155011999999999</c:v>
                </c:pt>
                <c:pt idx="15">
                  <c:v>26.200737</c:v>
                </c:pt>
                <c:pt idx="16">
                  <c:v>25.926383999999999</c:v>
                </c:pt>
                <c:pt idx="17">
                  <c:v>26.520816999999901</c:v>
                </c:pt>
                <c:pt idx="18">
                  <c:v>26.475090000000002</c:v>
                </c:pt>
                <c:pt idx="19">
                  <c:v>26.292189</c:v>
                </c:pt>
                <c:pt idx="20">
                  <c:v>26.246464</c:v>
                </c:pt>
                <c:pt idx="21">
                  <c:v>26.200737</c:v>
                </c:pt>
                <c:pt idx="22">
                  <c:v>26.337914000000001</c:v>
                </c:pt>
                <c:pt idx="23">
                  <c:v>26.337914000000001</c:v>
                </c:pt>
                <c:pt idx="24">
                  <c:v>26.063559999999999</c:v>
                </c:pt>
                <c:pt idx="25">
                  <c:v>26.246464</c:v>
                </c:pt>
                <c:pt idx="26">
                  <c:v>26.292189</c:v>
                </c:pt>
                <c:pt idx="27">
                  <c:v>26.223564</c:v>
                </c:pt>
                <c:pt idx="28">
                  <c:v>25.057597999999999</c:v>
                </c:pt>
                <c:pt idx="29">
                  <c:v>25.697755999999998</c:v>
                </c:pt>
                <c:pt idx="30">
                  <c:v>25.789207000000001</c:v>
                </c:pt>
                <c:pt idx="31">
                  <c:v>26.38364</c:v>
                </c:pt>
                <c:pt idx="32">
                  <c:v>26.932345999999999</c:v>
                </c:pt>
                <c:pt idx="33">
                  <c:v>26.978071</c:v>
                </c:pt>
                <c:pt idx="34">
                  <c:v>26.932345999999999</c:v>
                </c:pt>
                <c:pt idx="35">
                  <c:v>26.932345999999999</c:v>
                </c:pt>
                <c:pt idx="36">
                  <c:v>26.909446999999901</c:v>
                </c:pt>
                <c:pt idx="37">
                  <c:v>26.932345999999999</c:v>
                </c:pt>
                <c:pt idx="38">
                  <c:v>26.886621000000002</c:v>
                </c:pt>
                <c:pt idx="39">
                  <c:v>26.978071</c:v>
                </c:pt>
                <c:pt idx="40">
                  <c:v>27.115247999999902</c:v>
                </c:pt>
                <c:pt idx="41">
                  <c:v>27.206699</c:v>
                </c:pt>
                <c:pt idx="42">
                  <c:v>27.435327999999998</c:v>
                </c:pt>
                <c:pt idx="43">
                  <c:v>27.755405</c:v>
                </c:pt>
                <c:pt idx="44">
                  <c:v>28.0297599999999</c:v>
                </c:pt>
                <c:pt idx="45">
                  <c:v>28.212661999999899</c:v>
                </c:pt>
                <c:pt idx="46">
                  <c:v>28.669917999999999</c:v>
                </c:pt>
                <c:pt idx="47">
                  <c:v>28.669917999999999</c:v>
                </c:pt>
                <c:pt idx="48">
                  <c:v>28.53274</c:v>
                </c:pt>
                <c:pt idx="49">
                  <c:v>28.53274</c:v>
                </c:pt>
                <c:pt idx="50">
                  <c:v>29.401524999999999</c:v>
                </c:pt>
                <c:pt idx="51">
                  <c:v>29.355801</c:v>
                </c:pt>
                <c:pt idx="52">
                  <c:v>28.989996000000001</c:v>
                </c:pt>
                <c:pt idx="53">
                  <c:v>29.127171999999899</c:v>
                </c:pt>
                <c:pt idx="54">
                  <c:v>28.989996000000001</c:v>
                </c:pt>
                <c:pt idx="55">
                  <c:v>29.264348999999999</c:v>
                </c:pt>
                <c:pt idx="56">
                  <c:v>29.127171999999899</c:v>
                </c:pt>
                <c:pt idx="57">
                  <c:v>29.355801</c:v>
                </c:pt>
                <c:pt idx="58">
                  <c:v>29.355801</c:v>
                </c:pt>
                <c:pt idx="59">
                  <c:v>29.218623999999998</c:v>
                </c:pt>
                <c:pt idx="60">
                  <c:v>29.172896999999999</c:v>
                </c:pt>
                <c:pt idx="61">
                  <c:v>28.989996000000001</c:v>
                </c:pt>
                <c:pt idx="62">
                  <c:v>28.807095</c:v>
                </c:pt>
                <c:pt idx="63">
                  <c:v>28.852819</c:v>
                </c:pt>
                <c:pt idx="64">
                  <c:v>28.6241909999999</c:v>
                </c:pt>
                <c:pt idx="65">
                  <c:v>28.441289999999999</c:v>
                </c:pt>
                <c:pt idx="66">
                  <c:v>27.801131999999999</c:v>
                </c:pt>
                <c:pt idx="67">
                  <c:v>27.618228999999999</c:v>
                </c:pt>
                <c:pt idx="68">
                  <c:v>27.709681</c:v>
                </c:pt>
                <c:pt idx="69">
                  <c:v>27.389603000000001</c:v>
                </c:pt>
                <c:pt idx="70">
                  <c:v>26.703717999999999</c:v>
                </c:pt>
                <c:pt idx="71">
                  <c:v>27.069522999999901</c:v>
                </c:pt>
                <c:pt idx="72">
                  <c:v>26.337914000000001</c:v>
                </c:pt>
                <c:pt idx="73">
                  <c:v>26.612268</c:v>
                </c:pt>
                <c:pt idx="74">
                  <c:v>26.886621000000002</c:v>
                </c:pt>
                <c:pt idx="75">
                  <c:v>26.978071</c:v>
                </c:pt>
                <c:pt idx="76">
                  <c:v>27.526778999999902</c:v>
                </c:pt>
                <c:pt idx="77">
                  <c:v>28.258386999999999</c:v>
                </c:pt>
                <c:pt idx="78">
                  <c:v>28.212661999999899</c:v>
                </c:pt>
                <c:pt idx="79">
                  <c:v>28.212661999999899</c:v>
                </c:pt>
                <c:pt idx="80">
                  <c:v>27.846857</c:v>
                </c:pt>
                <c:pt idx="81">
                  <c:v>28.075484999999901</c:v>
                </c:pt>
                <c:pt idx="82">
                  <c:v>27.526778999999902</c:v>
                </c:pt>
                <c:pt idx="83">
                  <c:v>27.481051999999998</c:v>
                </c:pt>
                <c:pt idx="84">
                  <c:v>27.435327999999998</c:v>
                </c:pt>
                <c:pt idx="85">
                  <c:v>27.298151000000001</c:v>
                </c:pt>
                <c:pt idx="86">
                  <c:v>27.115247999999902</c:v>
                </c:pt>
                <c:pt idx="87">
                  <c:v>27.023797999999999</c:v>
                </c:pt>
                <c:pt idx="88">
                  <c:v>27.023797999999999</c:v>
                </c:pt>
                <c:pt idx="89">
                  <c:v>27.160975000000001</c:v>
                </c:pt>
                <c:pt idx="90">
                  <c:v>27.618228999999999</c:v>
                </c:pt>
                <c:pt idx="91">
                  <c:v>26.703717999999999</c:v>
                </c:pt>
                <c:pt idx="92">
                  <c:v>25.972110999999899</c:v>
                </c:pt>
                <c:pt idx="93">
                  <c:v>25.789207000000001</c:v>
                </c:pt>
                <c:pt idx="94">
                  <c:v>25.331952999999999</c:v>
                </c:pt>
                <c:pt idx="95">
                  <c:v>24.508891999999999</c:v>
                </c:pt>
                <c:pt idx="96">
                  <c:v>25.240500999999998</c:v>
                </c:pt>
                <c:pt idx="97">
                  <c:v>25.423403</c:v>
                </c:pt>
                <c:pt idx="98">
                  <c:v>25.331952999999999</c:v>
                </c:pt>
                <c:pt idx="99">
                  <c:v>25.149049999999999</c:v>
                </c:pt>
                <c:pt idx="100">
                  <c:v>24.874697000000001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data!$E$100:$E$200</c:f>
              <c:numCache>
                <c:formatCode>0.0000</c:formatCode>
                <c:ptCount val="101"/>
                <c:pt idx="0">
                  <c:v>25.926383999999999</c:v>
                </c:pt>
                <c:pt idx="1">
                  <c:v>25.606306</c:v>
                </c:pt>
                <c:pt idx="2">
                  <c:v>25.46913</c:v>
                </c:pt>
                <c:pt idx="3">
                  <c:v>25.514854</c:v>
                </c:pt>
                <c:pt idx="4">
                  <c:v>25.789207000000001</c:v>
                </c:pt>
                <c:pt idx="5">
                  <c:v>25.606306</c:v>
                </c:pt>
                <c:pt idx="6">
                  <c:v>25.560579000000001</c:v>
                </c:pt>
                <c:pt idx="7">
                  <c:v>25.606306</c:v>
                </c:pt>
                <c:pt idx="8">
                  <c:v>25.652031000000001</c:v>
                </c:pt>
                <c:pt idx="9">
                  <c:v>25.743482999999902</c:v>
                </c:pt>
                <c:pt idx="10">
                  <c:v>25.880659000000001</c:v>
                </c:pt>
                <c:pt idx="11">
                  <c:v>25.926383999999999</c:v>
                </c:pt>
                <c:pt idx="12">
                  <c:v>25.926383999999999</c:v>
                </c:pt>
                <c:pt idx="13">
                  <c:v>26.246464</c:v>
                </c:pt>
                <c:pt idx="14">
                  <c:v>26.200737</c:v>
                </c:pt>
                <c:pt idx="15">
                  <c:v>26.246464</c:v>
                </c:pt>
                <c:pt idx="16">
                  <c:v>26.657992999999902</c:v>
                </c:pt>
                <c:pt idx="17">
                  <c:v>26.612268</c:v>
                </c:pt>
                <c:pt idx="18">
                  <c:v>26.566541999999998</c:v>
                </c:pt>
                <c:pt idx="19">
                  <c:v>26.292189</c:v>
                </c:pt>
                <c:pt idx="20">
                  <c:v>26.337914000000001</c:v>
                </c:pt>
                <c:pt idx="21">
                  <c:v>26.38364</c:v>
                </c:pt>
                <c:pt idx="22">
                  <c:v>26.566541999999998</c:v>
                </c:pt>
                <c:pt idx="23">
                  <c:v>26.38364</c:v>
                </c:pt>
                <c:pt idx="24">
                  <c:v>26.38364</c:v>
                </c:pt>
                <c:pt idx="25">
                  <c:v>26.292189</c:v>
                </c:pt>
                <c:pt idx="26">
                  <c:v>26.337914000000001</c:v>
                </c:pt>
                <c:pt idx="27">
                  <c:v>26.429365000000001</c:v>
                </c:pt>
                <c:pt idx="28">
                  <c:v>25.423403</c:v>
                </c:pt>
                <c:pt idx="29">
                  <c:v>25.972110999999899</c:v>
                </c:pt>
                <c:pt idx="30">
                  <c:v>26.520816999999901</c:v>
                </c:pt>
                <c:pt idx="31">
                  <c:v>27.115247999999902</c:v>
                </c:pt>
                <c:pt idx="32">
                  <c:v>27.069522999999901</c:v>
                </c:pt>
                <c:pt idx="33">
                  <c:v>27.069522999999901</c:v>
                </c:pt>
                <c:pt idx="34">
                  <c:v>26.978071</c:v>
                </c:pt>
                <c:pt idx="35">
                  <c:v>26.978071</c:v>
                </c:pt>
                <c:pt idx="36">
                  <c:v>26.909446999999901</c:v>
                </c:pt>
                <c:pt idx="37">
                  <c:v>26.955172999999998</c:v>
                </c:pt>
                <c:pt idx="38">
                  <c:v>27.023797999999999</c:v>
                </c:pt>
                <c:pt idx="39">
                  <c:v>27.160975000000001</c:v>
                </c:pt>
                <c:pt idx="40">
                  <c:v>27.160975000000001</c:v>
                </c:pt>
                <c:pt idx="41">
                  <c:v>27.526778999999902</c:v>
                </c:pt>
                <c:pt idx="42">
                  <c:v>27.801131999999999</c:v>
                </c:pt>
                <c:pt idx="43">
                  <c:v>27.892582000000001</c:v>
                </c:pt>
                <c:pt idx="44">
                  <c:v>28.189761999999899</c:v>
                </c:pt>
                <c:pt idx="45">
                  <c:v>28.692743</c:v>
                </c:pt>
                <c:pt idx="46">
                  <c:v>28.875644999999999</c:v>
                </c:pt>
                <c:pt idx="47">
                  <c:v>28.784195</c:v>
                </c:pt>
                <c:pt idx="48">
                  <c:v>28.601291999999901</c:v>
                </c:pt>
                <c:pt idx="49">
                  <c:v>29.813054999999999</c:v>
                </c:pt>
                <c:pt idx="50">
                  <c:v>29.790157000000001</c:v>
                </c:pt>
                <c:pt idx="51">
                  <c:v>29.538702000000001</c:v>
                </c:pt>
                <c:pt idx="52">
                  <c:v>29.15</c:v>
                </c:pt>
                <c:pt idx="53">
                  <c:v>29.15</c:v>
                </c:pt>
                <c:pt idx="54">
                  <c:v>29.355801</c:v>
                </c:pt>
                <c:pt idx="55">
                  <c:v>29.355801</c:v>
                </c:pt>
                <c:pt idx="56">
                  <c:v>29.355801</c:v>
                </c:pt>
                <c:pt idx="57">
                  <c:v>29.538702000000001</c:v>
                </c:pt>
                <c:pt idx="58">
                  <c:v>29.447251999999999</c:v>
                </c:pt>
                <c:pt idx="59">
                  <c:v>29.355801</c:v>
                </c:pt>
                <c:pt idx="60">
                  <c:v>29.264348999999999</c:v>
                </c:pt>
                <c:pt idx="61">
                  <c:v>29.127171999999899</c:v>
                </c:pt>
                <c:pt idx="62">
                  <c:v>28.852819</c:v>
                </c:pt>
                <c:pt idx="63">
                  <c:v>28.852819</c:v>
                </c:pt>
                <c:pt idx="64">
                  <c:v>28.761368000000001</c:v>
                </c:pt>
                <c:pt idx="65">
                  <c:v>28.441289999999999</c:v>
                </c:pt>
                <c:pt idx="66">
                  <c:v>27.846857</c:v>
                </c:pt>
                <c:pt idx="67">
                  <c:v>27.801131999999999</c:v>
                </c:pt>
                <c:pt idx="68">
                  <c:v>27.846857</c:v>
                </c:pt>
                <c:pt idx="69">
                  <c:v>27.435327999999998</c:v>
                </c:pt>
                <c:pt idx="70">
                  <c:v>27.206699</c:v>
                </c:pt>
                <c:pt idx="71">
                  <c:v>27.069522999999901</c:v>
                </c:pt>
                <c:pt idx="72">
                  <c:v>26.657992999999902</c:v>
                </c:pt>
                <c:pt idx="73">
                  <c:v>27.138075000000001</c:v>
                </c:pt>
                <c:pt idx="74">
                  <c:v>27.069522999999901</c:v>
                </c:pt>
                <c:pt idx="75">
                  <c:v>27.526778999999902</c:v>
                </c:pt>
                <c:pt idx="76">
                  <c:v>28.464115</c:v>
                </c:pt>
                <c:pt idx="77">
                  <c:v>28.509841999999999</c:v>
                </c:pt>
                <c:pt idx="78">
                  <c:v>28.418389999999999</c:v>
                </c:pt>
                <c:pt idx="79">
                  <c:v>28.304113000000001</c:v>
                </c:pt>
                <c:pt idx="80">
                  <c:v>28.075484999999901</c:v>
                </c:pt>
                <c:pt idx="81">
                  <c:v>28.258386999999999</c:v>
                </c:pt>
                <c:pt idx="82">
                  <c:v>27.572503999999999</c:v>
                </c:pt>
                <c:pt idx="83">
                  <c:v>27.663955999999999</c:v>
                </c:pt>
                <c:pt idx="84">
                  <c:v>27.663955999999999</c:v>
                </c:pt>
                <c:pt idx="85">
                  <c:v>27.481051999999998</c:v>
                </c:pt>
                <c:pt idx="86">
                  <c:v>27.846857</c:v>
                </c:pt>
                <c:pt idx="87">
                  <c:v>27.343876000000002</c:v>
                </c:pt>
                <c:pt idx="88">
                  <c:v>27.160975000000001</c:v>
                </c:pt>
                <c:pt idx="89">
                  <c:v>27.778233</c:v>
                </c:pt>
                <c:pt idx="90">
                  <c:v>27.618228999999999</c:v>
                </c:pt>
                <c:pt idx="91">
                  <c:v>27.160975000000001</c:v>
                </c:pt>
                <c:pt idx="92">
                  <c:v>25.972110999999899</c:v>
                </c:pt>
                <c:pt idx="93">
                  <c:v>25.834934000000001</c:v>
                </c:pt>
                <c:pt idx="94">
                  <c:v>25.331952999999999</c:v>
                </c:pt>
                <c:pt idx="95">
                  <c:v>24.73752</c:v>
                </c:pt>
                <c:pt idx="96">
                  <c:v>25.560579000000001</c:v>
                </c:pt>
                <c:pt idx="97">
                  <c:v>25.743482999999902</c:v>
                </c:pt>
                <c:pt idx="98">
                  <c:v>25.377678</c:v>
                </c:pt>
                <c:pt idx="99">
                  <c:v>25.194776999999998</c:v>
                </c:pt>
                <c:pt idx="100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082179680"/>
        <c:axId val="-2082175328"/>
      </c:stockChart>
      <c:catAx>
        <c:axId val="-208217968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75328"/>
        <c:crosses val="autoZero"/>
        <c:auto val="1"/>
        <c:lblAlgn val="ctr"/>
        <c:lblOffset val="100"/>
        <c:tickLblSkip val="2"/>
        <c:noMultiLvlLbl val="0"/>
      </c:catAx>
      <c:valAx>
        <c:axId val="-2082175328"/>
        <c:scaling>
          <c:orientation val="minMax"/>
          <c:max val="30.111185549999998"/>
          <c:min val="24.26380307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7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data!$B$190:$B$200</c:f>
              <c:numCache>
                <c:formatCode>0.0000</c:formatCode>
                <c:ptCount val="11"/>
                <c:pt idx="0">
                  <c:v>27.801131999999999</c:v>
                </c:pt>
                <c:pt idx="1">
                  <c:v>27.618228999999999</c:v>
                </c:pt>
                <c:pt idx="2">
                  <c:v>27.115247999999902</c:v>
                </c:pt>
                <c:pt idx="3">
                  <c:v>26.155011999999999</c:v>
                </c:pt>
                <c:pt idx="4">
                  <c:v>25.834934000000001</c:v>
                </c:pt>
                <c:pt idx="5">
                  <c:v>25.697755999999998</c:v>
                </c:pt>
                <c:pt idx="6">
                  <c:v>25.240500999999998</c:v>
                </c:pt>
                <c:pt idx="7">
                  <c:v>25.514854</c:v>
                </c:pt>
                <c:pt idx="8">
                  <c:v>25.880659000000001</c:v>
                </c:pt>
                <c:pt idx="9">
                  <c:v>25.46913</c:v>
                </c:pt>
                <c:pt idx="10">
                  <c:v>25.240500999999998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data!$C$190:$C$200</c:f>
              <c:numCache>
                <c:formatCode>0.0000</c:formatCode>
                <c:ptCount val="11"/>
                <c:pt idx="0">
                  <c:v>28.212661999999899</c:v>
                </c:pt>
                <c:pt idx="1">
                  <c:v>27.618228999999999</c:v>
                </c:pt>
                <c:pt idx="2">
                  <c:v>27.160975000000001</c:v>
                </c:pt>
                <c:pt idx="3">
                  <c:v>26.429365000000001</c:v>
                </c:pt>
                <c:pt idx="4">
                  <c:v>25.834934000000001</c:v>
                </c:pt>
                <c:pt idx="5">
                  <c:v>25.697755999999998</c:v>
                </c:pt>
                <c:pt idx="6">
                  <c:v>25.789207000000001</c:v>
                </c:pt>
                <c:pt idx="7">
                  <c:v>25.834934000000001</c:v>
                </c:pt>
                <c:pt idx="8">
                  <c:v>25.880659000000001</c:v>
                </c:pt>
                <c:pt idx="9">
                  <c:v>25.697755999999998</c:v>
                </c:pt>
                <c:pt idx="10">
                  <c:v>25.972110999999899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data!$D$190:$D$200</c:f>
              <c:numCache>
                <c:formatCode>0.0000</c:formatCode>
                <c:ptCount val="11"/>
                <c:pt idx="0">
                  <c:v>27.618228999999999</c:v>
                </c:pt>
                <c:pt idx="1">
                  <c:v>26.703717999999999</c:v>
                </c:pt>
                <c:pt idx="2">
                  <c:v>25.972110999999899</c:v>
                </c:pt>
                <c:pt idx="3">
                  <c:v>25.789207000000001</c:v>
                </c:pt>
                <c:pt idx="4">
                  <c:v>25.331952999999999</c:v>
                </c:pt>
                <c:pt idx="5">
                  <c:v>24.508891999999999</c:v>
                </c:pt>
                <c:pt idx="6">
                  <c:v>25.240500999999998</c:v>
                </c:pt>
                <c:pt idx="7">
                  <c:v>25.423403</c:v>
                </c:pt>
                <c:pt idx="8">
                  <c:v>25.331952999999999</c:v>
                </c:pt>
                <c:pt idx="9">
                  <c:v>25.149049999999999</c:v>
                </c:pt>
                <c:pt idx="10">
                  <c:v>24.874697000000001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data!$E$190:$E$200</c:f>
              <c:numCache>
                <c:formatCode>0.0000</c:formatCode>
                <c:ptCount val="11"/>
                <c:pt idx="0">
                  <c:v>27.618228999999999</c:v>
                </c:pt>
                <c:pt idx="1">
                  <c:v>27.160975000000001</c:v>
                </c:pt>
                <c:pt idx="2">
                  <c:v>25.972110999999899</c:v>
                </c:pt>
                <c:pt idx="3">
                  <c:v>25.834934000000001</c:v>
                </c:pt>
                <c:pt idx="4">
                  <c:v>25.331952999999999</c:v>
                </c:pt>
                <c:pt idx="5">
                  <c:v>24.73752</c:v>
                </c:pt>
                <c:pt idx="6">
                  <c:v>25.560579000000001</c:v>
                </c:pt>
                <c:pt idx="7">
                  <c:v>25.743482999999902</c:v>
                </c:pt>
                <c:pt idx="8">
                  <c:v>25.377678</c:v>
                </c:pt>
                <c:pt idx="9">
                  <c:v>25.194776999999998</c:v>
                </c:pt>
                <c:pt idx="10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082186208"/>
        <c:axId val="-2082181312"/>
      </c:stockChart>
      <c:catAx>
        <c:axId val="-208218620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81312"/>
        <c:crosses val="autoZero"/>
        <c:auto val="1"/>
        <c:lblAlgn val="ctr"/>
        <c:lblOffset val="100"/>
        <c:tickLblSkip val="2"/>
        <c:noMultiLvlLbl val="0"/>
      </c:catAx>
      <c:valAx>
        <c:axId val="-2082181312"/>
        <c:scaling>
          <c:orientation val="minMax"/>
          <c:max val="28.494788619999898"/>
          <c:min val="24.26380307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8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data!$E$2:$E$200</c:f>
              <c:numCache>
                <c:formatCode>0.0000</c:formatCode>
                <c:ptCount val="199"/>
                <c:pt idx="0">
                  <c:v>23.777284999999999</c:v>
                </c:pt>
                <c:pt idx="1">
                  <c:v>24.417442000000001</c:v>
                </c:pt>
                <c:pt idx="2">
                  <c:v>24.417442000000001</c:v>
                </c:pt>
                <c:pt idx="3">
                  <c:v>25.057597999999999</c:v>
                </c:pt>
                <c:pt idx="4">
                  <c:v>25.377678</c:v>
                </c:pt>
                <c:pt idx="5">
                  <c:v>25.560579000000001</c:v>
                </c:pt>
                <c:pt idx="6">
                  <c:v>25.789207000000001</c:v>
                </c:pt>
                <c:pt idx="7">
                  <c:v>25.514854</c:v>
                </c:pt>
                <c:pt idx="8">
                  <c:v>25.240500999999998</c:v>
                </c:pt>
                <c:pt idx="9">
                  <c:v>25.194776999999998</c:v>
                </c:pt>
                <c:pt idx="10">
                  <c:v>24.783245000000001</c:v>
                </c:pt>
                <c:pt idx="11">
                  <c:v>25.103325000000002</c:v>
                </c:pt>
                <c:pt idx="12">
                  <c:v>24.966148</c:v>
                </c:pt>
                <c:pt idx="13">
                  <c:v>24.73752</c:v>
                </c:pt>
                <c:pt idx="14">
                  <c:v>24.554618999999999</c:v>
                </c:pt>
                <c:pt idx="15">
                  <c:v>23.731558</c:v>
                </c:pt>
                <c:pt idx="16">
                  <c:v>23.411479999999901</c:v>
                </c:pt>
                <c:pt idx="17">
                  <c:v>23.457204999999998</c:v>
                </c:pt>
                <c:pt idx="18">
                  <c:v>23.365753000000002</c:v>
                </c:pt>
                <c:pt idx="19">
                  <c:v>23.365753000000002</c:v>
                </c:pt>
                <c:pt idx="20">
                  <c:v>22.908498999999999</c:v>
                </c:pt>
                <c:pt idx="21">
                  <c:v>23.228576999999898</c:v>
                </c:pt>
                <c:pt idx="22">
                  <c:v>23.228576999999898</c:v>
                </c:pt>
                <c:pt idx="23">
                  <c:v>22.862772</c:v>
                </c:pt>
                <c:pt idx="24">
                  <c:v>22.405518000000001</c:v>
                </c:pt>
                <c:pt idx="25">
                  <c:v>22.679870999999999</c:v>
                </c:pt>
                <c:pt idx="26">
                  <c:v>22.634145999999902</c:v>
                </c:pt>
                <c:pt idx="27">
                  <c:v>22.634145999999902</c:v>
                </c:pt>
                <c:pt idx="28">
                  <c:v>22.496969</c:v>
                </c:pt>
                <c:pt idx="29">
                  <c:v>22.496969</c:v>
                </c:pt>
                <c:pt idx="30">
                  <c:v>22.359793</c:v>
                </c:pt>
                <c:pt idx="31">
                  <c:v>22.679870999999999</c:v>
                </c:pt>
                <c:pt idx="32">
                  <c:v>22.405518000000001</c:v>
                </c:pt>
                <c:pt idx="33">
                  <c:v>22.588418999999998</c:v>
                </c:pt>
                <c:pt idx="34">
                  <c:v>22.405518000000001</c:v>
                </c:pt>
                <c:pt idx="35">
                  <c:v>22.451242000000001</c:v>
                </c:pt>
                <c:pt idx="36">
                  <c:v>22.314066</c:v>
                </c:pt>
                <c:pt idx="37">
                  <c:v>22.222614</c:v>
                </c:pt>
                <c:pt idx="38">
                  <c:v>22.039712999999999</c:v>
                </c:pt>
                <c:pt idx="39">
                  <c:v>22.176888999999999</c:v>
                </c:pt>
                <c:pt idx="40">
                  <c:v>22.382618000000001</c:v>
                </c:pt>
                <c:pt idx="41">
                  <c:v>22.542694000000001</c:v>
                </c:pt>
                <c:pt idx="42">
                  <c:v>22.588418999999998</c:v>
                </c:pt>
                <c:pt idx="43">
                  <c:v>22.451242000000001</c:v>
                </c:pt>
                <c:pt idx="44">
                  <c:v>22.634145999999902</c:v>
                </c:pt>
                <c:pt idx="45">
                  <c:v>22.679870999999999</c:v>
                </c:pt>
                <c:pt idx="46">
                  <c:v>22.542694000000001</c:v>
                </c:pt>
                <c:pt idx="47">
                  <c:v>22.314066</c:v>
                </c:pt>
                <c:pt idx="48">
                  <c:v>22.314066</c:v>
                </c:pt>
                <c:pt idx="49">
                  <c:v>21.856811999999898</c:v>
                </c:pt>
                <c:pt idx="50">
                  <c:v>22.222614</c:v>
                </c:pt>
                <c:pt idx="51">
                  <c:v>22.496969</c:v>
                </c:pt>
                <c:pt idx="52">
                  <c:v>23.274303</c:v>
                </c:pt>
                <c:pt idx="53">
                  <c:v>23.274303</c:v>
                </c:pt>
                <c:pt idx="54">
                  <c:v>23.411479999999901</c:v>
                </c:pt>
                <c:pt idx="55">
                  <c:v>23.685832999999999</c:v>
                </c:pt>
                <c:pt idx="56">
                  <c:v>23.914460999999999</c:v>
                </c:pt>
                <c:pt idx="57">
                  <c:v>24.325990999999998</c:v>
                </c:pt>
                <c:pt idx="58">
                  <c:v>23.685832999999999</c:v>
                </c:pt>
                <c:pt idx="59">
                  <c:v>24.097363000000001</c:v>
                </c:pt>
                <c:pt idx="60">
                  <c:v>24.143087000000001</c:v>
                </c:pt>
                <c:pt idx="61">
                  <c:v>24.234539000000002</c:v>
                </c:pt>
                <c:pt idx="62">
                  <c:v>24.554618999999999</c:v>
                </c:pt>
                <c:pt idx="63">
                  <c:v>24.508891999999999</c:v>
                </c:pt>
                <c:pt idx="64">
                  <c:v>24.646069000000001</c:v>
                </c:pt>
                <c:pt idx="65">
                  <c:v>24.691794999999999</c:v>
                </c:pt>
                <c:pt idx="66">
                  <c:v>24.966148</c:v>
                </c:pt>
                <c:pt idx="67">
                  <c:v>24.920421999999999</c:v>
                </c:pt>
                <c:pt idx="68">
                  <c:v>25.149049999999999</c:v>
                </c:pt>
                <c:pt idx="69">
                  <c:v>25.240500999999998</c:v>
                </c:pt>
                <c:pt idx="70">
                  <c:v>25.789207000000001</c:v>
                </c:pt>
                <c:pt idx="71">
                  <c:v>26.063559999999999</c:v>
                </c:pt>
                <c:pt idx="72">
                  <c:v>25.331952999999999</c:v>
                </c:pt>
                <c:pt idx="73">
                  <c:v>25.377678</c:v>
                </c:pt>
                <c:pt idx="74">
                  <c:v>25.240500999999998</c:v>
                </c:pt>
                <c:pt idx="75">
                  <c:v>25.240500999999998</c:v>
                </c:pt>
                <c:pt idx="76">
                  <c:v>25.240500999999998</c:v>
                </c:pt>
                <c:pt idx="77">
                  <c:v>25.286225999999999</c:v>
                </c:pt>
                <c:pt idx="78">
                  <c:v>25.514854</c:v>
                </c:pt>
                <c:pt idx="79">
                  <c:v>25.286225999999999</c:v>
                </c:pt>
                <c:pt idx="80">
                  <c:v>25.606306</c:v>
                </c:pt>
                <c:pt idx="81">
                  <c:v>25.46913</c:v>
                </c:pt>
                <c:pt idx="82">
                  <c:v>25.240500999999998</c:v>
                </c:pt>
                <c:pt idx="83">
                  <c:v>25.926383999999999</c:v>
                </c:pt>
                <c:pt idx="84">
                  <c:v>26.703717999999999</c:v>
                </c:pt>
                <c:pt idx="85">
                  <c:v>26.612268</c:v>
                </c:pt>
                <c:pt idx="86">
                  <c:v>26.337914000000001</c:v>
                </c:pt>
                <c:pt idx="87">
                  <c:v>26.109286999999998</c:v>
                </c:pt>
                <c:pt idx="88">
                  <c:v>26.200737</c:v>
                </c:pt>
                <c:pt idx="89">
                  <c:v>26.246464</c:v>
                </c:pt>
                <c:pt idx="90">
                  <c:v>26.246464</c:v>
                </c:pt>
                <c:pt idx="91">
                  <c:v>26.292189</c:v>
                </c:pt>
                <c:pt idx="92">
                  <c:v>26.292189</c:v>
                </c:pt>
                <c:pt idx="93">
                  <c:v>26.246464</c:v>
                </c:pt>
                <c:pt idx="94">
                  <c:v>26.292189</c:v>
                </c:pt>
                <c:pt idx="95">
                  <c:v>26.200737</c:v>
                </c:pt>
                <c:pt idx="96">
                  <c:v>26.109286999999998</c:v>
                </c:pt>
                <c:pt idx="97">
                  <c:v>26.017835999999999</c:v>
                </c:pt>
                <c:pt idx="98">
                  <c:v>25.926383999999999</c:v>
                </c:pt>
                <c:pt idx="99">
                  <c:v>25.606306</c:v>
                </c:pt>
                <c:pt idx="100">
                  <c:v>25.46913</c:v>
                </c:pt>
                <c:pt idx="101">
                  <c:v>25.514854</c:v>
                </c:pt>
                <c:pt idx="102">
                  <c:v>25.789207000000001</c:v>
                </c:pt>
                <c:pt idx="103">
                  <c:v>25.606306</c:v>
                </c:pt>
                <c:pt idx="104">
                  <c:v>25.560579000000001</c:v>
                </c:pt>
                <c:pt idx="105">
                  <c:v>25.606306</c:v>
                </c:pt>
                <c:pt idx="106">
                  <c:v>25.652031000000001</c:v>
                </c:pt>
                <c:pt idx="107">
                  <c:v>25.743482999999902</c:v>
                </c:pt>
                <c:pt idx="108">
                  <c:v>25.880659000000001</c:v>
                </c:pt>
                <c:pt idx="109">
                  <c:v>25.926383999999999</c:v>
                </c:pt>
                <c:pt idx="110">
                  <c:v>25.926383999999999</c:v>
                </c:pt>
                <c:pt idx="111">
                  <c:v>26.246464</c:v>
                </c:pt>
                <c:pt idx="112">
                  <c:v>26.200737</c:v>
                </c:pt>
                <c:pt idx="113">
                  <c:v>26.246464</c:v>
                </c:pt>
                <c:pt idx="114">
                  <c:v>26.657992999999902</c:v>
                </c:pt>
                <c:pt idx="115">
                  <c:v>26.612268</c:v>
                </c:pt>
                <c:pt idx="116">
                  <c:v>26.566541999999998</c:v>
                </c:pt>
                <c:pt idx="117">
                  <c:v>26.292189</c:v>
                </c:pt>
                <c:pt idx="118">
                  <c:v>26.337914000000001</c:v>
                </c:pt>
                <c:pt idx="119">
                  <c:v>26.38364</c:v>
                </c:pt>
                <c:pt idx="120">
                  <c:v>26.566541999999998</c:v>
                </c:pt>
                <c:pt idx="121">
                  <c:v>26.38364</c:v>
                </c:pt>
                <c:pt idx="122">
                  <c:v>26.38364</c:v>
                </c:pt>
                <c:pt idx="123">
                  <c:v>26.292189</c:v>
                </c:pt>
                <c:pt idx="124">
                  <c:v>26.337914000000001</c:v>
                </c:pt>
                <c:pt idx="125">
                  <c:v>26.429365000000001</c:v>
                </c:pt>
                <c:pt idx="126">
                  <c:v>25.423403</c:v>
                </c:pt>
                <c:pt idx="127">
                  <c:v>25.972110999999899</c:v>
                </c:pt>
                <c:pt idx="128">
                  <c:v>26.520816999999901</c:v>
                </c:pt>
                <c:pt idx="129">
                  <c:v>27.115247999999902</c:v>
                </c:pt>
                <c:pt idx="130">
                  <c:v>27.069522999999901</c:v>
                </c:pt>
                <c:pt idx="131">
                  <c:v>27.069522999999901</c:v>
                </c:pt>
                <c:pt idx="132">
                  <c:v>26.978071</c:v>
                </c:pt>
                <c:pt idx="133">
                  <c:v>26.978071</c:v>
                </c:pt>
                <c:pt idx="134">
                  <c:v>26.909446999999901</c:v>
                </c:pt>
                <c:pt idx="135">
                  <c:v>26.955172999999998</c:v>
                </c:pt>
                <c:pt idx="136">
                  <c:v>27.023797999999999</c:v>
                </c:pt>
                <c:pt idx="137">
                  <c:v>27.160975000000001</c:v>
                </c:pt>
                <c:pt idx="138">
                  <c:v>27.160975000000001</c:v>
                </c:pt>
                <c:pt idx="139">
                  <c:v>27.526778999999902</c:v>
                </c:pt>
                <c:pt idx="140">
                  <c:v>27.801131999999999</c:v>
                </c:pt>
                <c:pt idx="141">
                  <c:v>27.892582000000001</c:v>
                </c:pt>
                <c:pt idx="142">
                  <c:v>28.189761999999899</c:v>
                </c:pt>
                <c:pt idx="143">
                  <c:v>28.692743</c:v>
                </c:pt>
                <c:pt idx="144">
                  <c:v>28.875644999999999</c:v>
                </c:pt>
                <c:pt idx="145">
                  <c:v>28.784195</c:v>
                </c:pt>
                <c:pt idx="146">
                  <c:v>28.601291999999901</c:v>
                </c:pt>
                <c:pt idx="147">
                  <c:v>29.813054999999999</c:v>
                </c:pt>
                <c:pt idx="148">
                  <c:v>29.790157000000001</c:v>
                </c:pt>
                <c:pt idx="149">
                  <c:v>29.538702000000001</c:v>
                </c:pt>
                <c:pt idx="150">
                  <c:v>29.15</c:v>
                </c:pt>
                <c:pt idx="151">
                  <c:v>29.15</c:v>
                </c:pt>
                <c:pt idx="152">
                  <c:v>29.355801</c:v>
                </c:pt>
                <c:pt idx="153">
                  <c:v>29.355801</c:v>
                </c:pt>
                <c:pt idx="154">
                  <c:v>29.355801</c:v>
                </c:pt>
                <c:pt idx="155">
                  <c:v>29.538702000000001</c:v>
                </c:pt>
                <c:pt idx="156">
                  <c:v>29.447251999999999</c:v>
                </c:pt>
                <c:pt idx="157">
                  <c:v>29.355801</c:v>
                </c:pt>
                <c:pt idx="158">
                  <c:v>29.264348999999999</c:v>
                </c:pt>
                <c:pt idx="159">
                  <c:v>29.127171999999899</c:v>
                </c:pt>
                <c:pt idx="160">
                  <c:v>28.852819</c:v>
                </c:pt>
                <c:pt idx="161">
                  <c:v>28.852819</c:v>
                </c:pt>
                <c:pt idx="162">
                  <c:v>28.761368000000001</c:v>
                </c:pt>
                <c:pt idx="163">
                  <c:v>28.441289999999999</c:v>
                </c:pt>
                <c:pt idx="164">
                  <c:v>27.846857</c:v>
                </c:pt>
                <c:pt idx="165">
                  <c:v>27.801131999999999</c:v>
                </c:pt>
                <c:pt idx="166">
                  <c:v>27.846857</c:v>
                </c:pt>
                <c:pt idx="167">
                  <c:v>27.435327999999998</c:v>
                </c:pt>
                <c:pt idx="168">
                  <c:v>27.206699</c:v>
                </c:pt>
                <c:pt idx="169">
                  <c:v>27.069522999999901</c:v>
                </c:pt>
                <c:pt idx="170">
                  <c:v>26.657992999999902</c:v>
                </c:pt>
                <c:pt idx="171">
                  <c:v>27.138075000000001</c:v>
                </c:pt>
                <c:pt idx="172">
                  <c:v>27.069522999999901</c:v>
                </c:pt>
                <c:pt idx="173">
                  <c:v>27.526778999999902</c:v>
                </c:pt>
                <c:pt idx="174">
                  <c:v>28.464115</c:v>
                </c:pt>
                <c:pt idx="175">
                  <c:v>28.509841999999999</c:v>
                </c:pt>
                <c:pt idx="176">
                  <c:v>28.418389999999999</c:v>
                </c:pt>
                <c:pt idx="177">
                  <c:v>28.304113000000001</c:v>
                </c:pt>
                <c:pt idx="178">
                  <c:v>28.075484999999901</c:v>
                </c:pt>
                <c:pt idx="179">
                  <c:v>28.258386999999999</c:v>
                </c:pt>
                <c:pt idx="180">
                  <c:v>27.572503999999999</c:v>
                </c:pt>
                <c:pt idx="181">
                  <c:v>27.663955999999999</c:v>
                </c:pt>
                <c:pt idx="182">
                  <c:v>27.663955999999999</c:v>
                </c:pt>
                <c:pt idx="183">
                  <c:v>27.481051999999998</c:v>
                </c:pt>
                <c:pt idx="184">
                  <c:v>27.846857</c:v>
                </c:pt>
                <c:pt idx="185">
                  <c:v>27.343876000000002</c:v>
                </c:pt>
                <c:pt idx="186">
                  <c:v>27.160975000000001</c:v>
                </c:pt>
                <c:pt idx="187">
                  <c:v>27.778233</c:v>
                </c:pt>
                <c:pt idx="188">
                  <c:v>27.618228999999999</c:v>
                </c:pt>
                <c:pt idx="189">
                  <c:v>27.160975000000001</c:v>
                </c:pt>
                <c:pt idx="190">
                  <c:v>25.972110999999899</c:v>
                </c:pt>
                <c:pt idx="191">
                  <c:v>25.834934000000001</c:v>
                </c:pt>
                <c:pt idx="192">
                  <c:v>25.331952999999999</c:v>
                </c:pt>
                <c:pt idx="193">
                  <c:v>24.73752</c:v>
                </c:pt>
                <c:pt idx="194">
                  <c:v>25.560579000000001</c:v>
                </c:pt>
                <c:pt idx="195">
                  <c:v>25.743482999999902</c:v>
                </c:pt>
                <c:pt idx="196">
                  <c:v>25.377678</c:v>
                </c:pt>
                <c:pt idx="197">
                  <c:v>25.194776999999998</c:v>
                </c:pt>
                <c:pt idx="198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data!$A$2:$A$200</c15:sqref>
                        </c15:formulaRef>
                      </c:ext>
                    </c:extLst>
                    <c:strCache>
                      <c:ptCount val="199"/>
                      <c:pt idx="0">
                        <c:v>1999-12-31</c:v>
                      </c:pt>
                      <c:pt idx="1">
                        <c:v>2000-01-03</c:v>
                      </c:pt>
                      <c:pt idx="2">
                        <c:v>2000-01-04</c:v>
                      </c:pt>
                      <c:pt idx="3">
                        <c:v>2000-01-05</c:v>
                      </c:pt>
                      <c:pt idx="4">
                        <c:v>2000-01-06</c:v>
                      </c:pt>
                      <c:pt idx="5">
                        <c:v>2000-01-07</c:v>
                      </c:pt>
                      <c:pt idx="6">
                        <c:v>2000-01-10</c:v>
                      </c:pt>
                      <c:pt idx="7">
                        <c:v>2000-01-11</c:v>
                      </c:pt>
                      <c:pt idx="8">
                        <c:v>2000-01-12</c:v>
                      </c:pt>
                      <c:pt idx="9">
                        <c:v>2000-01-13</c:v>
                      </c:pt>
                      <c:pt idx="10">
                        <c:v>2000-01-14</c:v>
                      </c:pt>
                      <c:pt idx="11">
                        <c:v>2000-01-18</c:v>
                      </c:pt>
                      <c:pt idx="12">
                        <c:v>2000-01-19</c:v>
                      </c:pt>
                      <c:pt idx="13">
                        <c:v>2000-01-20</c:v>
                      </c:pt>
                      <c:pt idx="14">
                        <c:v>2000-01-21</c:v>
                      </c:pt>
                      <c:pt idx="15">
                        <c:v>2000-01-24</c:v>
                      </c:pt>
                      <c:pt idx="16">
                        <c:v>2000-01-25</c:v>
                      </c:pt>
                      <c:pt idx="17">
                        <c:v>2000-01-26</c:v>
                      </c:pt>
                      <c:pt idx="18">
                        <c:v>2000-01-27</c:v>
                      </c:pt>
                      <c:pt idx="19">
                        <c:v>2000-01-28</c:v>
                      </c:pt>
                      <c:pt idx="20">
                        <c:v>2000-01-31</c:v>
                      </c:pt>
                      <c:pt idx="21">
                        <c:v>2000-02-01</c:v>
                      </c:pt>
                      <c:pt idx="22">
                        <c:v>2000-02-02</c:v>
                      </c:pt>
                      <c:pt idx="23">
                        <c:v>2000-02-03</c:v>
                      </c:pt>
                      <c:pt idx="24">
                        <c:v>2000-02-04</c:v>
                      </c:pt>
                      <c:pt idx="25">
                        <c:v>2000-02-07</c:v>
                      </c:pt>
                      <c:pt idx="26">
                        <c:v>2000-02-08</c:v>
                      </c:pt>
                      <c:pt idx="27">
                        <c:v>2000-02-09</c:v>
                      </c:pt>
                      <c:pt idx="28">
                        <c:v>2000-02-10</c:v>
                      </c:pt>
                      <c:pt idx="29">
                        <c:v>2000-02-11</c:v>
                      </c:pt>
                      <c:pt idx="30">
                        <c:v>2000-02-14</c:v>
                      </c:pt>
                      <c:pt idx="31">
                        <c:v>2000-02-15</c:v>
                      </c:pt>
                      <c:pt idx="32">
                        <c:v>2000-02-16</c:v>
                      </c:pt>
                      <c:pt idx="33">
                        <c:v>2000-02-17</c:v>
                      </c:pt>
                      <c:pt idx="34">
                        <c:v>2000-02-18</c:v>
                      </c:pt>
                      <c:pt idx="35">
                        <c:v>2000-02-22</c:v>
                      </c:pt>
                      <c:pt idx="36">
                        <c:v>2000-02-23</c:v>
                      </c:pt>
                      <c:pt idx="37">
                        <c:v>2000-02-24</c:v>
                      </c:pt>
                      <c:pt idx="38">
                        <c:v>2000-02-25</c:v>
                      </c:pt>
                      <c:pt idx="39">
                        <c:v>2000-02-28</c:v>
                      </c:pt>
                      <c:pt idx="40">
                        <c:v>2000-02-29</c:v>
                      </c:pt>
                      <c:pt idx="41">
                        <c:v>2000-03-01</c:v>
                      </c:pt>
                      <c:pt idx="42">
                        <c:v>2000-03-02</c:v>
                      </c:pt>
                      <c:pt idx="43">
                        <c:v>2000-03-03</c:v>
                      </c:pt>
                      <c:pt idx="44">
                        <c:v>2000-03-06</c:v>
                      </c:pt>
                      <c:pt idx="45">
                        <c:v>2000-03-07</c:v>
                      </c:pt>
                      <c:pt idx="46">
                        <c:v>2000-03-08</c:v>
                      </c:pt>
                      <c:pt idx="47">
                        <c:v>2000-03-09</c:v>
                      </c:pt>
                      <c:pt idx="48">
                        <c:v>2000-03-10</c:v>
                      </c:pt>
                      <c:pt idx="49">
                        <c:v>2000-03-13</c:v>
                      </c:pt>
                      <c:pt idx="50">
                        <c:v>2000-03-14</c:v>
                      </c:pt>
                      <c:pt idx="51">
                        <c:v>2000-03-15</c:v>
                      </c:pt>
                      <c:pt idx="52">
                        <c:v>2000-03-16</c:v>
                      </c:pt>
                      <c:pt idx="53">
                        <c:v>2000-03-17</c:v>
                      </c:pt>
                      <c:pt idx="54">
                        <c:v>2000-03-20</c:v>
                      </c:pt>
                      <c:pt idx="55">
                        <c:v>2000-03-21</c:v>
                      </c:pt>
                      <c:pt idx="56">
                        <c:v>2000-03-22</c:v>
                      </c:pt>
                      <c:pt idx="57">
                        <c:v>2000-03-23</c:v>
                      </c:pt>
                      <c:pt idx="58">
                        <c:v>2000-03-24</c:v>
                      </c:pt>
                      <c:pt idx="59">
                        <c:v>2000-03-27</c:v>
                      </c:pt>
                      <c:pt idx="60">
                        <c:v>2000-03-28</c:v>
                      </c:pt>
                      <c:pt idx="61">
                        <c:v>2000-03-29</c:v>
                      </c:pt>
                      <c:pt idx="62">
                        <c:v>2000-03-30</c:v>
                      </c:pt>
                      <c:pt idx="63">
                        <c:v>2000-03-31</c:v>
                      </c:pt>
                      <c:pt idx="64">
                        <c:v>2000-04-03</c:v>
                      </c:pt>
                      <c:pt idx="65">
                        <c:v>2000-04-04</c:v>
                      </c:pt>
                      <c:pt idx="66">
                        <c:v>2000-04-05</c:v>
                      </c:pt>
                      <c:pt idx="67">
                        <c:v>2000-04-06</c:v>
                      </c:pt>
                      <c:pt idx="68">
                        <c:v>2000-04-07</c:v>
                      </c:pt>
                      <c:pt idx="69">
                        <c:v>2000-04-10</c:v>
                      </c:pt>
                      <c:pt idx="70">
                        <c:v>2000-04-11</c:v>
                      </c:pt>
                      <c:pt idx="71">
                        <c:v>2000-04-12</c:v>
                      </c:pt>
                      <c:pt idx="72">
                        <c:v>2000-04-13</c:v>
                      </c:pt>
                      <c:pt idx="73">
                        <c:v>2000-04-14</c:v>
                      </c:pt>
                      <c:pt idx="74">
                        <c:v>2000-04-17</c:v>
                      </c:pt>
                      <c:pt idx="75">
                        <c:v>2000-04-18</c:v>
                      </c:pt>
                      <c:pt idx="76">
                        <c:v>2000-04-19</c:v>
                      </c:pt>
                      <c:pt idx="77">
                        <c:v>2000-04-20</c:v>
                      </c:pt>
                      <c:pt idx="78">
                        <c:v>2000-04-24</c:v>
                      </c:pt>
                      <c:pt idx="79">
                        <c:v>2000-04-25</c:v>
                      </c:pt>
                      <c:pt idx="80">
                        <c:v>2000-04-26</c:v>
                      </c:pt>
                      <c:pt idx="81">
                        <c:v>2000-04-27</c:v>
                      </c:pt>
                      <c:pt idx="82">
                        <c:v>2000-04-28</c:v>
                      </c:pt>
                      <c:pt idx="83">
                        <c:v>2000-05-01</c:v>
                      </c:pt>
                      <c:pt idx="84">
                        <c:v>2000-05-02</c:v>
                      </c:pt>
                      <c:pt idx="85">
                        <c:v>2000-05-03</c:v>
                      </c:pt>
                      <c:pt idx="86">
                        <c:v>2000-05-04</c:v>
                      </c:pt>
                      <c:pt idx="87">
                        <c:v>2000-05-05</c:v>
                      </c:pt>
                      <c:pt idx="88">
                        <c:v>2000-05-08</c:v>
                      </c:pt>
                      <c:pt idx="89">
                        <c:v>2000-05-09</c:v>
                      </c:pt>
                      <c:pt idx="90">
                        <c:v>2000-05-10</c:v>
                      </c:pt>
                      <c:pt idx="91">
                        <c:v>2000-05-11</c:v>
                      </c:pt>
                      <c:pt idx="92">
                        <c:v>2000-05-12</c:v>
                      </c:pt>
                      <c:pt idx="93">
                        <c:v>2000-05-15</c:v>
                      </c:pt>
                      <c:pt idx="94">
                        <c:v>2000-05-16</c:v>
                      </c:pt>
                      <c:pt idx="95">
                        <c:v>2000-05-17</c:v>
                      </c:pt>
                      <c:pt idx="96">
                        <c:v>2000-05-18</c:v>
                      </c:pt>
                      <c:pt idx="97">
                        <c:v>2000-05-19</c:v>
                      </c:pt>
                      <c:pt idx="98">
                        <c:v>2000-05-22</c:v>
                      </c:pt>
                      <c:pt idx="99">
                        <c:v>2000-05-23</c:v>
                      </c:pt>
                      <c:pt idx="100">
                        <c:v>2000-05-24</c:v>
                      </c:pt>
                      <c:pt idx="101">
                        <c:v>2000-05-25</c:v>
                      </c:pt>
                      <c:pt idx="102">
                        <c:v>2000-05-26</c:v>
                      </c:pt>
                      <c:pt idx="103">
                        <c:v>2000-05-30</c:v>
                      </c:pt>
                      <c:pt idx="104">
                        <c:v>2000-05-31</c:v>
                      </c:pt>
                      <c:pt idx="105">
                        <c:v>2000-06-01</c:v>
                      </c:pt>
                      <c:pt idx="106">
                        <c:v>2000-06-02</c:v>
                      </c:pt>
                      <c:pt idx="107">
                        <c:v>2000-06-05</c:v>
                      </c:pt>
                      <c:pt idx="108">
                        <c:v>2000-06-06</c:v>
                      </c:pt>
                      <c:pt idx="109">
                        <c:v>2000-06-07</c:v>
                      </c:pt>
                      <c:pt idx="110">
                        <c:v>2000-06-08</c:v>
                      </c:pt>
                      <c:pt idx="111">
                        <c:v>2000-06-09</c:v>
                      </c:pt>
                      <c:pt idx="112">
                        <c:v>2000-06-12</c:v>
                      </c:pt>
                      <c:pt idx="113">
                        <c:v>2000-06-13</c:v>
                      </c:pt>
                      <c:pt idx="114">
                        <c:v>2000-06-14</c:v>
                      </c:pt>
                      <c:pt idx="115">
                        <c:v>2000-06-15</c:v>
                      </c:pt>
                      <c:pt idx="116">
                        <c:v>2000-06-16</c:v>
                      </c:pt>
                      <c:pt idx="117">
                        <c:v>2000-06-19</c:v>
                      </c:pt>
                      <c:pt idx="118">
                        <c:v>2000-06-20</c:v>
                      </c:pt>
                      <c:pt idx="119">
                        <c:v>2000-06-21</c:v>
                      </c:pt>
                      <c:pt idx="120">
                        <c:v>2000-06-22</c:v>
                      </c:pt>
                      <c:pt idx="121">
                        <c:v>2000-06-23</c:v>
                      </c:pt>
                      <c:pt idx="122">
                        <c:v>2000-06-26</c:v>
                      </c:pt>
                      <c:pt idx="123">
                        <c:v>2000-06-27</c:v>
                      </c:pt>
                      <c:pt idx="124">
                        <c:v>2000-06-28</c:v>
                      </c:pt>
                      <c:pt idx="125">
                        <c:v>2000-06-29</c:v>
                      </c:pt>
                      <c:pt idx="126">
                        <c:v>2000-06-30</c:v>
                      </c:pt>
                      <c:pt idx="127">
                        <c:v>2000-07-03</c:v>
                      </c:pt>
                      <c:pt idx="128">
                        <c:v>2000-07-05</c:v>
                      </c:pt>
                      <c:pt idx="129">
                        <c:v>2000-07-06</c:v>
                      </c:pt>
                      <c:pt idx="130">
                        <c:v>2000-07-07</c:v>
                      </c:pt>
                      <c:pt idx="131">
                        <c:v>2000-07-10</c:v>
                      </c:pt>
                      <c:pt idx="132">
                        <c:v>2000-07-11</c:v>
                      </c:pt>
                      <c:pt idx="133">
                        <c:v>2000-07-12</c:v>
                      </c:pt>
                      <c:pt idx="134">
                        <c:v>2000-07-13</c:v>
                      </c:pt>
                      <c:pt idx="135">
                        <c:v>2000-07-14</c:v>
                      </c:pt>
                      <c:pt idx="136">
                        <c:v>2000-07-17</c:v>
                      </c:pt>
                      <c:pt idx="137">
                        <c:v>2000-07-18</c:v>
                      </c:pt>
                      <c:pt idx="138">
                        <c:v>2000-07-19</c:v>
                      </c:pt>
                      <c:pt idx="139">
                        <c:v>2000-07-20</c:v>
                      </c:pt>
                      <c:pt idx="140">
                        <c:v>2000-07-21</c:v>
                      </c:pt>
                      <c:pt idx="141">
                        <c:v>2000-07-24</c:v>
                      </c:pt>
                      <c:pt idx="142">
                        <c:v>2000-07-25</c:v>
                      </c:pt>
                      <c:pt idx="143">
                        <c:v>2000-07-26</c:v>
                      </c:pt>
                      <c:pt idx="144">
                        <c:v>2000-07-27</c:v>
                      </c:pt>
                      <c:pt idx="145">
                        <c:v>2000-07-28</c:v>
                      </c:pt>
                      <c:pt idx="146">
                        <c:v>2000-07-31</c:v>
                      </c:pt>
                      <c:pt idx="147">
                        <c:v>2000-08-01</c:v>
                      </c:pt>
                      <c:pt idx="148">
                        <c:v>2000-08-02</c:v>
                      </c:pt>
                      <c:pt idx="149">
                        <c:v>2000-08-03</c:v>
                      </c:pt>
                      <c:pt idx="150">
                        <c:v>2000-08-04</c:v>
                      </c:pt>
                      <c:pt idx="151">
                        <c:v>2000-08-07</c:v>
                      </c:pt>
                      <c:pt idx="152">
                        <c:v>2000-08-08</c:v>
                      </c:pt>
                      <c:pt idx="153">
                        <c:v>2000-08-09</c:v>
                      </c:pt>
                      <c:pt idx="154">
                        <c:v>2000-08-10</c:v>
                      </c:pt>
                      <c:pt idx="155">
                        <c:v>2000-08-11</c:v>
                      </c:pt>
                      <c:pt idx="156">
                        <c:v>2000-08-14</c:v>
                      </c:pt>
                      <c:pt idx="157">
                        <c:v>2000-08-15</c:v>
                      </c:pt>
                      <c:pt idx="158">
                        <c:v>2000-08-16</c:v>
                      </c:pt>
                      <c:pt idx="159">
                        <c:v>2000-08-17</c:v>
                      </c:pt>
                      <c:pt idx="160">
                        <c:v>2000-08-18</c:v>
                      </c:pt>
                      <c:pt idx="161">
                        <c:v>2000-08-21</c:v>
                      </c:pt>
                      <c:pt idx="162">
                        <c:v>2000-08-22</c:v>
                      </c:pt>
                      <c:pt idx="163">
                        <c:v>2000-08-23</c:v>
                      </c:pt>
                      <c:pt idx="164">
                        <c:v>2000-08-24</c:v>
                      </c:pt>
                      <c:pt idx="165">
                        <c:v>2000-08-25</c:v>
                      </c:pt>
                      <c:pt idx="166">
                        <c:v>2000-08-28</c:v>
                      </c:pt>
                      <c:pt idx="167">
                        <c:v>2000-08-29</c:v>
                      </c:pt>
                      <c:pt idx="168">
                        <c:v>2000-08-30</c:v>
                      </c:pt>
                      <c:pt idx="169">
                        <c:v>2000-08-31</c:v>
                      </c:pt>
                      <c:pt idx="170">
                        <c:v>2000-09-01</c:v>
                      </c:pt>
                      <c:pt idx="171">
                        <c:v>2000-09-05</c:v>
                      </c:pt>
                      <c:pt idx="172">
                        <c:v>2000-09-06</c:v>
                      </c:pt>
                      <c:pt idx="173">
                        <c:v>2000-09-07</c:v>
                      </c:pt>
                      <c:pt idx="174">
                        <c:v>2000-09-08</c:v>
                      </c:pt>
                      <c:pt idx="175">
                        <c:v>2000-09-11</c:v>
                      </c:pt>
                      <c:pt idx="176">
                        <c:v>2000-09-12</c:v>
                      </c:pt>
                      <c:pt idx="177">
                        <c:v>2000-09-13</c:v>
                      </c:pt>
                      <c:pt idx="178">
                        <c:v>2000-09-14</c:v>
                      </c:pt>
                      <c:pt idx="179">
                        <c:v>2000-09-15</c:v>
                      </c:pt>
                      <c:pt idx="180">
                        <c:v>2000-09-18</c:v>
                      </c:pt>
                      <c:pt idx="181">
                        <c:v>2000-09-19</c:v>
                      </c:pt>
                      <c:pt idx="182">
                        <c:v>2000-09-20</c:v>
                      </c:pt>
                      <c:pt idx="183">
                        <c:v>2000-09-21</c:v>
                      </c:pt>
                      <c:pt idx="184">
                        <c:v>2000-09-22</c:v>
                      </c:pt>
                      <c:pt idx="185">
                        <c:v>2000-09-25</c:v>
                      </c:pt>
                      <c:pt idx="186">
                        <c:v>2000-09-26</c:v>
                      </c:pt>
                      <c:pt idx="187">
                        <c:v>2000-09-27</c:v>
                      </c:pt>
                      <c:pt idx="188">
                        <c:v>2000-09-28</c:v>
                      </c:pt>
                      <c:pt idx="189">
                        <c:v>2000-09-29</c:v>
                      </c:pt>
                      <c:pt idx="190">
                        <c:v>2000-10-02</c:v>
                      </c:pt>
                      <c:pt idx="191">
                        <c:v>2000-10-03</c:v>
                      </c:pt>
                      <c:pt idx="192">
                        <c:v>2000-10-04</c:v>
                      </c:pt>
                      <c:pt idx="193">
                        <c:v>2000-10-05</c:v>
                      </c:pt>
                      <c:pt idx="194">
                        <c:v>2000-10-06</c:v>
                      </c:pt>
                      <c:pt idx="195">
                        <c:v>2000-10-09</c:v>
                      </c:pt>
                      <c:pt idx="196">
                        <c:v>2000-10-10</c:v>
                      </c:pt>
                      <c:pt idx="197">
                        <c:v>2000-10-11</c:v>
                      </c:pt>
                      <c:pt idx="198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82183488"/>
        <c:axId val="-2082179136"/>
      </c:lineChart>
      <c:catAx>
        <c:axId val="-208218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79136"/>
        <c:crosses val="autoZero"/>
        <c:auto val="1"/>
        <c:lblAlgn val="ctr"/>
        <c:lblOffset val="100"/>
        <c:noMultiLvlLbl val="0"/>
      </c:catAx>
      <c:valAx>
        <c:axId val="-2082179136"/>
        <c:scaling>
          <c:orientation val="minMax"/>
          <c:max val="30.111185549999998"/>
          <c:min val="21.6382438799998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8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082174240"/>
        <c:axId val="-2082178592"/>
      </c:stockChart>
      <c:catAx>
        <c:axId val="-20821742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78592"/>
        <c:crosses val="autoZero"/>
        <c:auto val="1"/>
        <c:lblAlgn val="ctr"/>
        <c:lblOffset val="100"/>
        <c:tickLblSkip val="2"/>
        <c:noMultiLvlLbl val="0"/>
      </c:catAx>
      <c:valAx>
        <c:axId val="-208217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7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082185120"/>
        <c:axId val="-2082177504"/>
      </c:stockChart>
      <c:catAx>
        <c:axId val="-20821851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77504"/>
        <c:crosses val="autoZero"/>
        <c:auto val="1"/>
        <c:lblAlgn val="ctr"/>
        <c:lblOffset val="100"/>
        <c:tickLblSkip val="2"/>
        <c:noMultiLvlLbl val="0"/>
      </c:catAx>
      <c:valAx>
        <c:axId val="-208217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8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82188384"/>
        <c:axId val="-2082182944"/>
      </c:lineChart>
      <c:catAx>
        <c:axId val="-208218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82944"/>
        <c:crosses val="autoZero"/>
        <c:auto val="1"/>
        <c:lblAlgn val="ctr"/>
        <c:lblOffset val="100"/>
        <c:noMultiLvlLbl val="0"/>
      </c:catAx>
      <c:valAx>
        <c:axId val="-20821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18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94891</xdr:rowOff>
        </xdr:from>
        <xdr:to>
          <xdr:col>53</xdr:col>
          <xdr:colOff>77638</xdr:colOff>
          <xdr:row>25</xdr:row>
          <xdr:rowOff>51758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146649</xdr:rowOff>
        </xdr:from>
        <xdr:to>
          <xdr:col>53</xdr:col>
          <xdr:colOff>86264</xdr:colOff>
          <xdr:row>27</xdr:row>
          <xdr:rowOff>94891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17253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8626</xdr:colOff>
          <xdr:row>30</xdr:row>
          <xdr:rowOff>43132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86264</xdr:colOff>
          <xdr:row>45</xdr:row>
          <xdr:rowOff>17253</xdr:rowOff>
        </xdr:from>
        <xdr:to>
          <xdr:col>18</xdr:col>
          <xdr:colOff>86264</xdr:colOff>
          <xdr:row>46</xdr:row>
          <xdr:rowOff>129396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51758</xdr:colOff>
          <xdr:row>45</xdr:row>
          <xdr:rowOff>34506</xdr:rowOff>
        </xdr:from>
        <xdr:to>
          <xdr:col>12</xdr:col>
          <xdr:colOff>17253</xdr:colOff>
          <xdr:row>46</xdr:row>
          <xdr:rowOff>146649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43132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552091</xdr:colOff>
          <xdr:row>0</xdr:row>
          <xdr:rowOff>69011</xdr:rowOff>
        </xdr:from>
        <xdr:to>
          <xdr:col>63</xdr:col>
          <xdr:colOff>77638</xdr:colOff>
          <xdr:row>1</xdr:row>
          <xdr:rowOff>146649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45</xdr:col>
      <xdr:colOff>108858</xdr:colOff>
      <xdr:row>5</xdr:row>
      <xdr:rowOff>10887</xdr:rowOff>
    </xdr:to>
    <xdr:cxnSp macro="">
      <xdr:nvCxnSpPr>
        <xdr:cNvPr id="15" name="Straight Connector 14"/>
        <xdr:cNvCxnSpPr/>
      </xdr:nvCxnSpPr>
      <xdr:spPr>
        <a:xfrm>
          <a:off x="2122714" y="925286"/>
          <a:ext cx="5323115" cy="108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52992</xdr:colOff>
      <xdr:row>8</xdr:row>
      <xdr:rowOff>174171</xdr:rowOff>
    </xdr:from>
    <xdr:to>
      <xdr:col>50</xdr:col>
      <xdr:colOff>85647</xdr:colOff>
      <xdr:row>9</xdr:row>
      <xdr:rowOff>10887</xdr:rowOff>
    </xdr:to>
    <xdr:cxnSp macro="">
      <xdr:nvCxnSpPr>
        <xdr:cNvPr id="18" name="Straight Connector 17"/>
        <xdr:cNvCxnSpPr/>
      </xdr:nvCxnSpPr>
      <xdr:spPr>
        <a:xfrm>
          <a:off x="1950803" y="1652985"/>
          <a:ext cx="5738413" cy="2156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34506</xdr:colOff>
          <xdr:row>7</xdr:row>
          <xdr:rowOff>172528</xdr:rowOff>
        </xdr:from>
        <xdr:to>
          <xdr:col>13</xdr:col>
          <xdr:colOff>8626</xdr:colOff>
          <xdr:row>9</xdr:row>
          <xdr:rowOff>86264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J47" sqref="J47"/>
    </sheetView>
  </sheetViews>
  <sheetFormatPr defaultColWidth="1.75" defaultRowHeight="14.3" x14ac:dyDescent="0.25"/>
  <cols>
    <col min="1" max="1" width="1.75" style="13"/>
    <col min="2" max="2" width="14" style="14" bestFit="1" customWidth="1"/>
    <col min="3" max="3" width="10" style="14" bestFit="1" customWidth="1"/>
    <col min="4" max="5" width="1.75" style="14"/>
    <col min="6" max="6" width="1.75" style="15"/>
    <col min="7" max="8" width="1.75" style="12"/>
    <col min="9" max="9" width="2.25" style="12" customWidth="1"/>
    <col min="10" max="55" width="1.75" style="12"/>
    <col min="56" max="58" width="11.125" style="12" customWidth="1"/>
    <col min="59" max="59" width="13" style="12" bestFit="1" customWidth="1"/>
    <col min="60" max="60" width="12.75" style="12" bestFit="1" customWidth="1"/>
    <col min="61" max="61" width="2.75" style="12" customWidth="1"/>
    <col min="62" max="63" width="1.75" style="12"/>
    <col min="64" max="64" width="1.75" style="12" customWidth="1"/>
    <col min="65" max="65" width="13.375" style="12" bestFit="1" customWidth="1"/>
    <col min="66" max="66" width="13.75" style="12" bestFit="1" customWidth="1"/>
    <col min="67" max="67" width="15.25" style="12" customWidth="1"/>
    <col min="68" max="68" width="10.625" style="12" bestFit="1" customWidth="1"/>
    <col min="69" max="69" width="10" style="12" customWidth="1"/>
    <col min="70" max="70" width="16.25" style="12" bestFit="1" customWidth="1"/>
    <col min="71" max="71" width="21.75" style="12" customWidth="1"/>
    <col min="72" max="72" width="16.5" style="12" customWidth="1"/>
    <col min="73" max="121" width="1.625" style="12" customWidth="1"/>
    <col min="122" max="16384" width="1.75" style="12"/>
  </cols>
  <sheetData>
    <row r="1" spans="1:72" ht="14.95" thickBot="1" x14ac:dyDescent="0.3"/>
    <row r="2" spans="1:72" ht="14.95" thickBot="1" x14ac:dyDescent="0.3">
      <c r="A2" s="9"/>
      <c r="B2" s="10"/>
      <c r="C2" s="10"/>
      <c r="D2" s="10"/>
      <c r="E2" s="10"/>
      <c r="F2" s="11"/>
      <c r="BM2" s="64" t="s">
        <v>31</v>
      </c>
      <c r="BN2" s="65" t="s">
        <v>41</v>
      </c>
      <c r="BO2" s="65" t="s">
        <v>40</v>
      </c>
      <c r="BP2" s="65" t="s">
        <v>36</v>
      </c>
      <c r="BQ2" s="65" t="s">
        <v>37</v>
      </c>
      <c r="BR2" s="65" t="s">
        <v>50</v>
      </c>
      <c r="BS2" s="69" t="s">
        <v>38</v>
      </c>
      <c r="BT2" s="61" t="s">
        <v>106</v>
      </c>
    </row>
    <row r="3" spans="1:72" x14ac:dyDescent="0.25">
      <c r="BM3" s="62"/>
      <c r="BN3" s="63"/>
      <c r="BO3" s="63"/>
      <c r="BP3" s="63"/>
      <c r="BQ3" s="63"/>
      <c r="BR3" s="63"/>
      <c r="BS3" s="68"/>
      <c r="BT3" s="67" t="str">
        <f t="shared" ref="BT3:BT7" si="0">IF(OR(BR3="Counter",BR3="SL",BR3="TP"),(BO3-BO2)*IF(BN3="Buy",-1,1),"")</f>
        <v/>
      </c>
    </row>
    <row r="4" spans="1:72" x14ac:dyDescent="0.25">
      <c r="BM4" s="81"/>
      <c r="BN4" s="81"/>
      <c r="BO4" s="81"/>
      <c r="BP4" s="81"/>
      <c r="BQ4" s="81"/>
      <c r="BR4" s="81"/>
      <c r="BS4" s="81"/>
      <c r="BT4" s="81"/>
    </row>
    <row r="5" spans="1:72" x14ac:dyDescent="0.25">
      <c r="BM5" s="81"/>
      <c r="BN5" s="81"/>
      <c r="BO5" s="81"/>
      <c r="BP5" s="81"/>
      <c r="BQ5" s="81"/>
      <c r="BR5" s="81"/>
      <c r="BS5" s="81"/>
      <c r="BT5" s="81"/>
    </row>
    <row r="6" spans="1:72" x14ac:dyDescent="0.25">
      <c r="BM6" s="81"/>
      <c r="BN6" s="81"/>
      <c r="BO6" s="81"/>
      <c r="BP6" s="81"/>
      <c r="BQ6" s="81"/>
      <c r="BR6" s="81"/>
      <c r="BS6" s="81"/>
      <c r="BT6" s="81"/>
    </row>
    <row r="7" spans="1:72" x14ac:dyDescent="0.25">
      <c r="BM7" s="81"/>
      <c r="BN7" s="81"/>
      <c r="BO7" s="81"/>
      <c r="BP7" s="81"/>
      <c r="BQ7" s="81"/>
      <c r="BR7" s="81"/>
      <c r="BS7" s="81"/>
      <c r="BT7" s="81"/>
    </row>
    <row r="8" spans="1:72" x14ac:dyDescent="0.25">
      <c r="BM8" s="81"/>
      <c r="BN8" s="81"/>
      <c r="BO8" s="81"/>
      <c r="BP8" s="81"/>
      <c r="BQ8" s="81"/>
      <c r="BR8" s="81"/>
      <c r="BS8" s="81"/>
      <c r="BT8" s="81"/>
    </row>
    <row r="9" spans="1:72" x14ac:dyDescent="0.25">
      <c r="BM9" s="81"/>
      <c r="BN9" s="81"/>
      <c r="BO9" s="81"/>
      <c r="BP9" s="81"/>
      <c r="BQ9" s="81"/>
      <c r="BR9" s="81"/>
      <c r="BS9" s="81"/>
      <c r="BT9" s="81"/>
    </row>
    <row r="10" spans="1:72" x14ac:dyDescent="0.25">
      <c r="BM10" s="81"/>
      <c r="BN10" s="81"/>
      <c r="BO10" s="81"/>
      <c r="BP10" s="81"/>
      <c r="BQ10" s="81"/>
      <c r="BR10" s="81"/>
      <c r="BS10" s="81"/>
      <c r="BT10" s="81"/>
    </row>
    <row r="11" spans="1:72" x14ac:dyDescent="0.25">
      <c r="BM11" s="81"/>
      <c r="BN11" s="81"/>
      <c r="BO11" s="81"/>
      <c r="BP11" s="81"/>
      <c r="BQ11" s="81"/>
      <c r="BR11" s="81"/>
      <c r="BS11" s="81"/>
      <c r="BT11" s="81"/>
    </row>
    <row r="12" spans="1:72" x14ac:dyDescent="0.25">
      <c r="BM12" s="81"/>
      <c r="BN12" s="81"/>
      <c r="BO12" s="81"/>
      <c r="BP12" s="81"/>
      <c r="BQ12" s="81"/>
      <c r="BR12" s="81"/>
      <c r="BS12" s="81"/>
      <c r="BT12" s="81"/>
    </row>
    <row r="13" spans="1:72" x14ac:dyDescent="0.25">
      <c r="BM13" s="81"/>
      <c r="BN13" s="81"/>
      <c r="BO13" s="81"/>
      <c r="BP13" s="81"/>
      <c r="BQ13" s="81"/>
      <c r="BR13" s="81"/>
      <c r="BS13" s="81"/>
      <c r="BT13" s="81"/>
    </row>
    <row r="14" spans="1:72" x14ac:dyDescent="0.25">
      <c r="BM14" s="81"/>
      <c r="BN14" s="81"/>
      <c r="BO14" s="81"/>
      <c r="BP14" s="81"/>
      <c r="BQ14" s="81"/>
      <c r="BR14" s="81"/>
      <c r="BS14" s="81"/>
      <c r="BT14" s="81"/>
    </row>
    <row r="15" spans="1:72" x14ac:dyDescent="0.25">
      <c r="BM15" s="81"/>
      <c r="BN15" s="81"/>
      <c r="BO15" s="81"/>
      <c r="BP15" s="81"/>
      <c r="BQ15" s="81"/>
      <c r="BR15" s="81"/>
      <c r="BS15" s="81"/>
      <c r="BT15" s="81"/>
    </row>
    <row r="16" spans="1:72" x14ac:dyDescent="0.25">
      <c r="BM16" s="81"/>
      <c r="BN16" s="81"/>
      <c r="BO16" s="81"/>
      <c r="BP16" s="81"/>
      <c r="BQ16" s="81"/>
      <c r="BR16" s="81"/>
      <c r="BS16" s="81"/>
      <c r="BT16" s="81"/>
    </row>
    <row r="17" spans="47:72" x14ac:dyDescent="0.25">
      <c r="BM17" s="81"/>
      <c r="BN17" s="81"/>
      <c r="BO17" s="81"/>
      <c r="BP17" s="81"/>
      <c r="BQ17" s="81"/>
      <c r="BR17" s="81"/>
      <c r="BS17" s="81"/>
      <c r="BT17" s="81"/>
    </row>
    <row r="18" spans="47:72" x14ac:dyDescent="0.25">
      <c r="BM18" s="81"/>
      <c r="BN18" s="81"/>
      <c r="BO18" s="81"/>
      <c r="BP18" s="81"/>
      <c r="BQ18" s="81"/>
      <c r="BR18" s="81"/>
      <c r="BS18" s="81"/>
      <c r="BT18" s="81"/>
    </row>
    <row r="19" spans="47:72" x14ac:dyDescent="0.25">
      <c r="BM19" s="81"/>
      <c r="BN19" s="81"/>
      <c r="BO19" s="81"/>
      <c r="BP19" s="81"/>
      <c r="BQ19" s="81"/>
      <c r="BR19" s="81"/>
      <c r="BS19" s="81"/>
      <c r="BT19" s="81"/>
    </row>
    <row r="20" spans="47:72" x14ac:dyDescent="0.25">
      <c r="BM20" s="81"/>
      <c r="BN20" s="81"/>
      <c r="BO20" s="81"/>
      <c r="BP20" s="81"/>
      <c r="BQ20" s="81"/>
      <c r="BR20" s="81"/>
      <c r="BS20" s="81"/>
      <c r="BT20" s="81"/>
    </row>
    <row r="21" spans="47:72" x14ac:dyDescent="0.25">
      <c r="BM21" s="81"/>
      <c r="BN21" s="81"/>
      <c r="BO21" s="81"/>
      <c r="BP21" s="81"/>
      <c r="BQ21" s="81"/>
      <c r="BR21" s="81"/>
      <c r="BS21" s="81"/>
      <c r="BT21" s="81"/>
    </row>
    <row r="22" spans="47:72" x14ac:dyDescent="0.25">
      <c r="BM22" s="81"/>
      <c r="BN22" s="81"/>
      <c r="BO22" s="81"/>
      <c r="BP22" s="81"/>
      <c r="BQ22" s="81"/>
      <c r="BR22" s="81"/>
      <c r="BS22" s="81"/>
      <c r="BT22" s="81"/>
    </row>
    <row r="23" spans="47:72" ht="14.95" thickBot="1" x14ac:dyDescent="0.3">
      <c r="BM23" s="81"/>
      <c r="BN23" s="81"/>
      <c r="BO23" s="81"/>
      <c r="BP23" s="81"/>
      <c r="BQ23" s="81"/>
      <c r="BR23" s="81"/>
      <c r="BS23" s="81"/>
      <c r="BT23" s="81"/>
    </row>
    <row r="24" spans="47:72" x14ac:dyDescent="0.25">
      <c r="AV24" s="46"/>
      <c r="AW24" s="47"/>
      <c r="AX24" s="47"/>
      <c r="AY24" s="47"/>
      <c r="AZ24" s="47"/>
      <c r="BA24" s="47"/>
      <c r="BB24" s="47"/>
      <c r="BC24" s="47"/>
      <c r="BD24" s="57" t="s">
        <v>31</v>
      </c>
      <c r="BE24" s="57" t="s">
        <v>32</v>
      </c>
      <c r="BF24" s="57" t="s">
        <v>33</v>
      </c>
      <c r="BG24" s="57" t="s">
        <v>34</v>
      </c>
      <c r="BH24" s="58" t="s">
        <v>35</v>
      </c>
      <c r="BM24" s="81"/>
      <c r="BN24" s="81"/>
      <c r="BO24" s="81"/>
      <c r="BP24" s="81"/>
      <c r="BQ24" s="81"/>
      <c r="BR24" s="81"/>
      <c r="BS24" s="81"/>
      <c r="BT24" s="81"/>
    </row>
    <row r="25" spans="47:72" x14ac:dyDescent="0.25">
      <c r="AV25" s="50"/>
      <c r="AW25" s="21"/>
      <c r="AX25" s="21"/>
      <c r="AY25" s="21"/>
      <c r="AZ25" s="21"/>
      <c r="BA25" s="21"/>
      <c r="BB25" s="21"/>
      <c r="BC25" s="21"/>
      <c r="BD25" s="17" t="s">
        <v>125</v>
      </c>
      <c r="BE25" s="19">
        <v>25.240500999999998</v>
      </c>
      <c r="BF25" s="19">
        <v>25.972110999999899</v>
      </c>
      <c r="BG25" s="19">
        <v>24.874697000000001</v>
      </c>
      <c r="BH25" s="59">
        <v>25.149049999999999</v>
      </c>
      <c r="BM25" s="81"/>
      <c r="BN25" s="81"/>
      <c r="BO25" s="81"/>
      <c r="BP25" s="81"/>
      <c r="BQ25" s="81"/>
      <c r="BR25" s="81"/>
      <c r="BS25" s="81"/>
      <c r="BT25" s="81"/>
    </row>
    <row r="26" spans="47:72" x14ac:dyDescent="0.25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81"/>
      <c r="BN26" s="81"/>
      <c r="BO26" s="81"/>
      <c r="BP26" s="81"/>
      <c r="BQ26" s="81"/>
      <c r="BR26" s="81"/>
      <c r="BS26" s="81"/>
      <c r="BT26" s="81"/>
    </row>
    <row r="27" spans="47:72" x14ac:dyDescent="0.25">
      <c r="AV27" s="50"/>
      <c r="AW27" s="21"/>
      <c r="AX27" s="21"/>
      <c r="AY27" s="21"/>
      <c r="AZ27" s="21"/>
      <c r="BA27" s="21"/>
      <c r="BB27" s="21"/>
      <c r="BC27" s="21"/>
      <c r="BD27" s="16" t="s">
        <v>99</v>
      </c>
      <c r="BE27" s="16" t="s">
        <v>107</v>
      </c>
      <c r="BF27" s="16" t="s">
        <v>105</v>
      </c>
      <c r="BG27" s="21"/>
      <c r="BH27" s="51"/>
      <c r="BM27" s="81"/>
      <c r="BN27" s="81"/>
      <c r="BO27" s="81"/>
      <c r="BP27" s="81"/>
      <c r="BQ27" s="81"/>
      <c r="BR27" s="81"/>
      <c r="BS27" s="81"/>
      <c r="BT27" s="81"/>
    </row>
    <row r="28" spans="47:72" ht="14.95" thickBot="1" x14ac:dyDescent="0.3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0.63183183183183189</v>
      </c>
      <c r="BE28" s="66">
        <f>IF(iterator_current_row&lt;&gt;"",INDEX(data_no_header,iterator_current_row-2,7)/INDEX(data_no_header,iterator_current_row-3,7)-1,"")</f>
        <v>3.4578313253012052</v>
      </c>
      <c r="BF28" s="60">
        <f>(BD28-BE28)/ABS(BE28)</f>
        <v>-0.8172751148360905</v>
      </c>
      <c r="BG28" s="53"/>
      <c r="BH28" s="56"/>
      <c r="BM28" s="81"/>
      <c r="BN28" s="81"/>
      <c r="BO28" s="81"/>
      <c r="BP28" s="81"/>
      <c r="BQ28" s="81"/>
      <c r="BR28" s="81"/>
      <c r="BS28" s="81"/>
      <c r="BT28" s="81"/>
    </row>
    <row r="29" spans="47:72" x14ac:dyDescent="0.25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81"/>
      <c r="BN29" s="81"/>
      <c r="BO29" s="81"/>
      <c r="BP29" s="81"/>
      <c r="BQ29" s="81"/>
      <c r="BR29" s="81"/>
      <c r="BS29" s="81"/>
      <c r="BT29" s="81"/>
    </row>
    <row r="30" spans="47:72" x14ac:dyDescent="0.25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39</v>
      </c>
      <c r="BE30" s="31"/>
      <c r="BF30" s="30" t="s">
        <v>81</v>
      </c>
      <c r="BG30" s="16" t="s">
        <v>36</v>
      </c>
      <c r="BH30" s="51"/>
      <c r="BM30" s="81"/>
      <c r="BN30" s="81"/>
      <c r="BO30" s="81"/>
      <c r="BP30" s="81"/>
      <c r="BQ30" s="81"/>
      <c r="BR30" s="81"/>
      <c r="BS30" s="81"/>
      <c r="BT30" s="81"/>
    </row>
    <row r="31" spans="47:72" x14ac:dyDescent="0.25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str">
        <f>IF(BO3&lt;&gt;"",IF(BN3="Sell",BO3-BH25,-1*(BO3BH26)),"")</f>
        <v/>
      </c>
      <c r="BG31" s="18" t="str">
        <f>IF(BP3&lt;&gt;"",IF(BN3="Sell",BF25&gt;=BP3,BG25&lt;=BP3),"")</f>
        <v/>
      </c>
      <c r="BH31" s="51"/>
      <c r="BM31" s="81"/>
      <c r="BN31" s="81"/>
      <c r="BO31" s="81"/>
      <c r="BP31" s="81"/>
      <c r="BQ31" s="81"/>
      <c r="BR31" s="81"/>
      <c r="BS31" s="81"/>
      <c r="BT31" s="81"/>
    </row>
    <row r="32" spans="47:72" x14ac:dyDescent="0.25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81"/>
      <c r="BN32" s="81"/>
      <c r="BO32" s="81"/>
      <c r="BP32" s="81"/>
      <c r="BQ32" s="81"/>
      <c r="BR32" s="81"/>
      <c r="BS32" s="81"/>
      <c r="BT32" s="81"/>
    </row>
    <row r="33" spans="2:72" ht="14.95" thickBot="1" x14ac:dyDescent="0.3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81"/>
      <c r="BN33" s="81"/>
      <c r="BO33" s="81"/>
      <c r="BP33" s="81"/>
      <c r="BQ33" s="81"/>
      <c r="BR33" s="81"/>
      <c r="BS33" s="81"/>
      <c r="BT33" s="81"/>
    </row>
    <row r="34" spans="2:72" x14ac:dyDescent="0.25">
      <c r="BM34" s="81"/>
      <c r="BN34" s="81"/>
      <c r="BO34" s="81"/>
      <c r="BP34" s="81"/>
      <c r="BQ34" s="81"/>
      <c r="BR34" s="81"/>
      <c r="BS34" s="81"/>
      <c r="BT34" s="81"/>
    </row>
    <row r="35" spans="2:72" x14ac:dyDescent="0.25">
      <c r="BD35" s="32" t="s">
        <v>80</v>
      </c>
      <c r="BE35" s="16" t="s">
        <v>82</v>
      </c>
      <c r="BF35" s="16" t="s">
        <v>84</v>
      </c>
      <c r="BG35" s="16" t="s">
        <v>83</v>
      </c>
      <c r="BH35" s="35" t="s">
        <v>85</v>
      </c>
      <c r="BM35" s="81"/>
      <c r="BN35" s="81"/>
      <c r="BO35" s="81"/>
      <c r="BP35" s="81"/>
      <c r="BQ35" s="81"/>
      <c r="BR35" s="81"/>
      <c r="BS35" s="81"/>
      <c r="BT35" s="81"/>
    </row>
    <row r="36" spans="2:72" x14ac:dyDescent="0.25">
      <c r="BD36" s="33">
        <v>1</v>
      </c>
      <c r="BE36" s="18">
        <v>200</v>
      </c>
      <c r="BF36" s="34">
        <v>528</v>
      </c>
      <c r="BG36" s="18">
        <f>IF(BF36&lt;&gt;"",BF36-iterator_current_row,"")</f>
        <v>328</v>
      </c>
      <c r="BH36" s="18" t="str">
        <f>IF(BF36&lt;&gt;"",INDEX(dates_no_header,BF36-1),"")</f>
        <v>2002-02-07</v>
      </c>
      <c r="BM36" s="81"/>
      <c r="BN36" s="81"/>
      <c r="BO36" s="81"/>
      <c r="BP36" s="81"/>
      <c r="BQ36" s="81"/>
      <c r="BR36" s="81"/>
      <c r="BS36" s="81"/>
      <c r="BT36" s="81"/>
    </row>
    <row r="37" spans="2:72" x14ac:dyDescent="0.25">
      <c r="BM37" s="81"/>
      <c r="BN37" s="81"/>
      <c r="BO37" s="81"/>
      <c r="BP37" s="81"/>
      <c r="BQ37" s="81"/>
      <c r="BR37" s="81"/>
      <c r="BS37" s="81"/>
      <c r="BT37" s="81"/>
    </row>
    <row r="38" spans="2:72" x14ac:dyDescent="0.25">
      <c r="BM38" s="81"/>
      <c r="BN38" s="81"/>
      <c r="BO38" s="81"/>
      <c r="BP38" s="81"/>
      <c r="BQ38" s="81"/>
      <c r="BR38" s="81"/>
      <c r="BS38" s="81"/>
      <c r="BT38" s="81"/>
    </row>
    <row r="39" spans="2:72" x14ac:dyDescent="0.25">
      <c r="BM39" s="81"/>
      <c r="BN39" s="81"/>
      <c r="BO39" s="81"/>
      <c r="BP39" s="81"/>
      <c r="BQ39" s="81"/>
      <c r="BR39" s="81"/>
      <c r="BS39" s="81"/>
      <c r="BT39" s="81"/>
    </row>
    <row r="40" spans="2:72" x14ac:dyDescent="0.25">
      <c r="BM40" s="81"/>
      <c r="BN40" s="81"/>
      <c r="BO40" s="81"/>
      <c r="BP40" s="81"/>
      <c r="BQ40" s="81"/>
      <c r="BR40" s="81"/>
      <c r="BS40" s="81"/>
      <c r="BT40" s="81"/>
    </row>
    <row r="41" spans="2:72" x14ac:dyDescent="0.25">
      <c r="BM41" s="81"/>
      <c r="BN41" s="81"/>
      <c r="BO41" s="81"/>
      <c r="BP41" s="81"/>
      <c r="BQ41" s="81"/>
      <c r="BR41" s="81"/>
      <c r="BS41" s="81"/>
      <c r="BT41" s="81"/>
    </row>
    <row r="42" spans="2:72" x14ac:dyDescent="0.25">
      <c r="BM42" s="81"/>
      <c r="BN42" s="81"/>
      <c r="BO42" s="81"/>
      <c r="BP42" s="81"/>
      <c r="BQ42" s="81"/>
      <c r="BR42" s="81"/>
      <c r="BS42" s="81"/>
      <c r="BT42" s="81"/>
    </row>
    <row r="43" spans="2:72" x14ac:dyDescent="0.25">
      <c r="BF43" s="45"/>
      <c r="BM43" s="81"/>
      <c r="BN43" s="81"/>
      <c r="BO43" s="81"/>
      <c r="BP43" s="81"/>
      <c r="BQ43" s="81"/>
      <c r="BR43" s="81"/>
      <c r="BS43" s="81"/>
      <c r="BT43" s="81"/>
    </row>
    <row r="44" spans="2:72" x14ac:dyDescent="0.25">
      <c r="BM44" s="81"/>
      <c r="BN44" s="81"/>
      <c r="BO44" s="81"/>
      <c r="BP44" s="81"/>
      <c r="BQ44" s="81"/>
      <c r="BR44" s="81"/>
      <c r="BS44" s="81"/>
      <c r="BT44" s="81"/>
    </row>
    <row r="45" spans="2:72" x14ac:dyDescent="0.25">
      <c r="BM45" s="81"/>
      <c r="BN45" s="81"/>
      <c r="BO45" s="81"/>
      <c r="BP45" s="81"/>
      <c r="BQ45" s="81"/>
      <c r="BR45" s="81"/>
      <c r="BS45" s="81"/>
      <c r="BT45" s="81"/>
    </row>
    <row r="46" spans="2:72" x14ac:dyDescent="0.25">
      <c r="B46" s="24" t="s">
        <v>54</v>
      </c>
      <c r="C46" s="25">
        <f>COUNTA(dates_no_header)</f>
        <v>4520</v>
      </c>
      <c r="BM46" s="81"/>
      <c r="BN46" s="81"/>
      <c r="BO46" s="81"/>
      <c r="BP46" s="81"/>
      <c r="BQ46" s="81"/>
      <c r="BR46" s="81"/>
      <c r="BS46" s="81"/>
      <c r="BT46" s="81"/>
    </row>
    <row r="47" spans="2:72" x14ac:dyDescent="0.25">
      <c r="B47" s="24" t="s">
        <v>52</v>
      </c>
      <c r="C47" s="18" t="str">
        <f>initial_chart_date</f>
        <v>1999-12-31</v>
      </c>
      <c r="BM47" s="81"/>
      <c r="BN47" s="81"/>
      <c r="BO47" s="81"/>
      <c r="BP47" s="81"/>
      <c r="BQ47" s="81"/>
      <c r="BR47" s="81"/>
      <c r="BS47" s="81"/>
      <c r="BT47" s="81"/>
    </row>
    <row r="48" spans="2:72" x14ac:dyDescent="0.25">
      <c r="B48" s="24" t="s">
        <v>53</v>
      </c>
      <c r="C48" s="18" t="str">
        <f>INDEX(dates_no_header,C46)</f>
        <v>2017-12-15</v>
      </c>
      <c r="BM48" s="81"/>
      <c r="BN48" s="81"/>
      <c r="BO48" s="81"/>
      <c r="BP48" s="81"/>
      <c r="BQ48" s="81"/>
      <c r="BR48" s="81"/>
      <c r="BS48" s="81"/>
      <c r="BT48" s="81"/>
    </row>
    <row r="49" spans="2:72" x14ac:dyDescent="0.25">
      <c r="B49" s="12"/>
      <c r="C49" s="12"/>
      <c r="BM49" s="81"/>
      <c r="BN49" s="81"/>
      <c r="BO49" s="81"/>
      <c r="BP49" s="81"/>
      <c r="BQ49" s="81"/>
      <c r="BR49" s="81"/>
      <c r="BS49" s="81"/>
      <c r="BT49" s="81"/>
    </row>
    <row r="50" spans="2:72" x14ac:dyDescent="0.25">
      <c r="BM50" s="81"/>
      <c r="BN50" s="81"/>
      <c r="BO50" s="81"/>
      <c r="BP50" s="81"/>
      <c r="BQ50" s="81"/>
      <c r="BR50" s="81"/>
      <c r="BS50" s="81"/>
      <c r="BT50" s="81"/>
    </row>
    <row r="51" spans="2:72" x14ac:dyDescent="0.25">
      <c r="BM51" s="81"/>
      <c r="BN51" s="81"/>
      <c r="BO51" s="81"/>
      <c r="BP51" s="81"/>
      <c r="BQ51" s="81"/>
      <c r="BR51" s="81"/>
      <c r="BS51" s="81"/>
      <c r="BT51" s="81"/>
    </row>
    <row r="52" spans="2:72" x14ac:dyDescent="0.25">
      <c r="BM52" s="81"/>
      <c r="BN52" s="81"/>
      <c r="BO52" s="81"/>
      <c r="BP52" s="81"/>
      <c r="BQ52" s="81"/>
      <c r="BR52" s="81"/>
      <c r="BS52" s="81"/>
      <c r="BT52" s="81"/>
    </row>
    <row r="53" spans="2:72" x14ac:dyDescent="0.25">
      <c r="BM53" s="81"/>
      <c r="BN53" s="81"/>
      <c r="BO53" s="81"/>
      <c r="BP53" s="81"/>
      <c r="BQ53" s="81"/>
      <c r="BR53" s="81"/>
      <c r="BS53" s="81"/>
      <c r="BT53" s="81"/>
    </row>
    <row r="54" spans="2:72" x14ac:dyDescent="0.25">
      <c r="BM54" s="81"/>
      <c r="BN54" s="81"/>
      <c r="BO54" s="81"/>
      <c r="BP54" s="81"/>
      <c r="BQ54" s="81"/>
      <c r="BR54" s="81"/>
      <c r="BS54" s="81"/>
      <c r="BT54" s="81"/>
    </row>
    <row r="55" spans="2:72" x14ac:dyDescent="0.25">
      <c r="BM55" s="81"/>
      <c r="BN55" s="81"/>
      <c r="BO55" s="81"/>
      <c r="BP55" s="81"/>
      <c r="BQ55" s="81"/>
      <c r="BR55" s="81"/>
      <c r="BS55" s="81"/>
      <c r="BT55" s="81"/>
    </row>
    <row r="56" spans="2:72" x14ac:dyDescent="0.25">
      <c r="BM56" s="81"/>
      <c r="BN56" s="81"/>
      <c r="BO56" s="81"/>
      <c r="BP56" s="81"/>
      <c r="BQ56" s="81"/>
      <c r="BR56" s="81"/>
      <c r="BS56" s="81"/>
      <c r="BT56" s="81"/>
    </row>
    <row r="57" spans="2:72" x14ac:dyDescent="0.25">
      <c r="BM57" s="81"/>
      <c r="BN57" s="81"/>
      <c r="BO57" s="81"/>
      <c r="BP57" s="81"/>
      <c r="BQ57" s="81"/>
      <c r="BR57" s="81"/>
      <c r="BS57" s="81"/>
      <c r="BT57" s="81"/>
    </row>
    <row r="58" spans="2:72" x14ac:dyDescent="0.25">
      <c r="BM58" s="81"/>
      <c r="BN58" s="81"/>
      <c r="BO58" s="81"/>
      <c r="BP58" s="81"/>
      <c r="BQ58" s="81"/>
      <c r="BR58" s="81"/>
      <c r="BS58" s="81"/>
      <c r="BT58" s="81"/>
    </row>
    <row r="59" spans="2:72" x14ac:dyDescent="0.25">
      <c r="BM59" s="81"/>
      <c r="BN59" s="81"/>
      <c r="BO59" s="81"/>
      <c r="BP59" s="81"/>
      <c r="BQ59" s="81"/>
      <c r="BR59" s="81"/>
      <c r="BS59" s="81"/>
      <c r="BT59" s="81"/>
    </row>
    <row r="60" spans="2:72" x14ac:dyDescent="0.25">
      <c r="BM60" s="81"/>
      <c r="BN60" s="81"/>
      <c r="BO60" s="81"/>
      <c r="BP60" s="81"/>
      <c r="BQ60" s="81"/>
      <c r="BR60" s="81"/>
      <c r="BS60" s="81"/>
      <c r="BT60" s="81"/>
    </row>
    <row r="61" spans="2:72" x14ac:dyDescent="0.25">
      <c r="BM61" s="81"/>
      <c r="BN61" s="81"/>
      <c r="BO61" s="81"/>
      <c r="BP61" s="81"/>
      <c r="BQ61" s="81"/>
      <c r="BR61" s="81"/>
      <c r="BS61" s="81"/>
      <c r="BT61" s="81"/>
    </row>
    <row r="62" spans="2:72" x14ac:dyDescent="0.25">
      <c r="BM62" s="81"/>
      <c r="BN62" s="81"/>
      <c r="BO62" s="81"/>
      <c r="BP62" s="81"/>
      <c r="BQ62" s="81"/>
      <c r="BR62" s="81"/>
      <c r="BS62" s="81"/>
      <c r="BT62" s="81"/>
    </row>
    <row r="63" spans="2:72" x14ac:dyDescent="0.25">
      <c r="BM63" s="81"/>
      <c r="BN63" s="81"/>
      <c r="BO63" s="81"/>
      <c r="BP63" s="81"/>
      <c r="BQ63" s="81"/>
      <c r="BR63" s="81"/>
      <c r="BS63" s="81"/>
      <c r="BT63" s="81"/>
    </row>
    <row r="64" spans="2:72" x14ac:dyDescent="0.25">
      <c r="BM64" s="81"/>
      <c r="BN64" s="81"/>
      <c r="BO64" s="81"/>
      <c r="BP64" s="81"/>
      <c r="BQ64" s="81"/>
      <c r="BR64" s="81"/>
      <c r="BS64" s="81"/>
      <c r="BT64" s="81"/>
    </row>
    <row r="65" spans="65:72" x14ac:dyDescent="0.25">
      <c r="BM65" s="81"/>
      <c r="BN65" s="81"/>
      <c r="BO65" s="81"/>
      <c r="BP65" s="81"/>
      <c r="BQ65" s="81"/>
      <c r="BR65" s="81"/>
      <c r="BS65" s="81"/>
      <c r="BT65" s="81"/>
    </row>
    <row r="66" spans="65:72" x14ac:dyDescent="0.25">
      <c r="BM66" s="81"/>
      <c r="BN66" s="81"/>
      <c r="BO66" s="81"/>
      <c r="BP66" s="81"/>
      <c r="BQ66" s="81"/>
      <c r="BR66" s="81"/>
      <c r="BS66" s="81"/>
      <c r="BT66" s="81"/>
    </row>
    <row r="67" spans="65:72" x14ac:dyDescent="0.25">
      <c r="BM67" s="81"/>
      <c r="BN67" s="81"/>
      <c r="BO67" s="81"/>
      <c r="BP67" s="81"/>
      <c r="BQ67" s="81"/>
      <c r="BR67" s="81"/>
      <c r="BS67" s="81"/>
      <c r="BT67" s="81"/>
    </row>
    <row r="68" spans="65:72" x14ac:dyDescent="0.25">
      <c r="BM68" s="81"/>
      <c r="BN68" s="81"/>
      <c r="BO68" s="81"/>
      <c r="BP68" s="81"/>
      <c r="BQ68" s="81"/>
      <c r="BR68" s="81"/>
      <c r="BS68" s="81"/>
      <c r="BT68" s="81"/>
    </row>
    <row r="69" spans="65:72" x14ac:dyDescent="0.25">
      <c r="BM69" s="81"/>
      <c r="BN69" s="81"/>
      <c r="BO69" s="81"/>
      <c r="BP69" s="81"/>
      <c r="BQ69" s="81"/>
      <c r="BR69" s="81"/>
      <c r="BS69" s="81"/>
      <c r="BT69" s="81"/>
    </row>
    <row r="70" spans="65:72" x14ac:dyDescent="0.25">
      <c r="BM70" s="81"/>
      <c r="BN70" s="81"/>
      <c r="BO70" s="81"/>
      <c r="BP70" s="81"/>
      <c r="BQ70" s="81"/>
      <c r="BR70" s="81"/>
      <c r="BS70" s="81"/>
      <c r="BT70" s="81"/>
    </row>
    <row r="71" spans="65:72" x14ac:dyDescent="0.25">
      <c r="BM71" s="81"/>
      <c r="BN71" s="81"/>
      <c r="BO71" s="81"/>
      <c r="BP71" s="81"/>
      <c r="BQ71" s="81"/>
      <c r="BR71" s="81"/>
      <c r="BS71" s="81"/>
      <c r="BT71" s="81"/>
    </row>
    <row r="72" spans="65:72" x14ac:dyDescent="0.25">
      <c r="BM72" s="81"/>
      <c r="BN72" s="81"/>
      <c r="BO72" s="81"/>
      <c r="BP72" s="81"/>
      <c r="BQ72" s="81"/>
      <c r="BR72" s="81"/>
      <c r="BS72" s="81"/>
      <c r="BT72" s="81"/>
    </row>
    <row r="73" spans="65:72" x14ac:dyDescent="0.25">
      <c r="BM73" s="81"/>
      <c r="BN73" s="81"/>
      <c r="BO73" s="81"/>
      <c r="BP73" s="81"/>
      <c r="BQ73" s="81"/>
      <c r="BR73" s="81"/>
      <c r="BS73" s="81"/>
      <c r="BT73" s="81"/>
    </row>
    <row r="74" spans="65:72" x14ac:dyDescent="0.25">
      <c r="BM74" s="81"/>
      <c r="BN74" s="81"/>
      <c r="BO74" s="81"/>
      <c r="BP74" s="81"/>
      <c r="BQ74" s="81"/>
      <c r="BR74" s="81"/>
      <c r="BS74" s="81"/>
      <c r="BT74" s="81"/>
    </row>
    <row r="75" spans="65:72" x14ac:dyDescent="0.25">
      <c r="BM75" s="81"/>
      <c r="BN75" s="81"/>
      <c r="BO75" s="81"/>
      <c r="BP75" s="81"/>
      <c r="BQ75" s="81"/>
      <c r="BR75" s="81"/>
      <c r="BS75" s="81"/>
      <c r="BT75" s="81"/>
    </row>
    <row r="76" spans="65:72" x14ac:dyDescent="0.25">
      <c r="BM76" s="81"/>
      <c r="BN76" s="81"/>
      <c r="BO76" s="81"/>
      <c r="BP76" s="81"/>
      <c r="BQ76" s="81"/>
      <c r="BR76" s="81"/>
      <c r="BS76" s="81"/>
      <c r="BT76" s="81"/>
    </row>
    <row r="77" spans="65:72" x14ac:dyDescent="0.25">
      <c r="BM77" s="81"/>
      <c r="BN77" s="81"/>
      <c r="BO77" s="81"/>
      <c r="BP77" s="81"/>
      <c r="BQ77" s="81"/>
      <c r="BR77" s="81"/>
      <c r="BS77" s="81"/>
      <c r="BT77" s="81"/>
    </row>
    <row r="78" spans="65:72" x14ac:dyDescent="0.25">
      <c r="BM78" s="81"/>
      <c r="BN78" s="81"/>
      <c r="BO78" s="81"/>
      <c r="BP78" s="81"/>
      <c r="BQ78" s="81"/>
      <c r="BR78" s="81"/>
      <c r="BS78" s="81"/>
      <c r="BT78" s="81"/>
    </row>
    <row r="79" spans="65:72" x14ac:dyDescent="0.25">
      <c r="BM79" s="81"/>
      <c r="BN79" s="81"/>
      <c r="BO79" s="81"/>
      <c r="BP79" s="81"/>
      <c r="BQ79" s="81"/>
      <c r="BR79" s="81"/>
      <c r="BS79" s="81"/>
      <c r="BT79" s="81"/>
    </row>
    <row r="80" spans="65:72" x14ac:dyDescent="0.25">
      <c r="BM80" s="81"/>
      <c r="BN80" s="81"/>
      <c r="BO80" s="81"/>
      <c r="BP80" s="81"/>
      <c r="BQ80" s="81"/>
      <c r="BR80" s="81"/>
      <c r="BS80" s="81"/>
      <c r="BT80" s="81"/>
    </row>
    <row r="81" spans="65:72" x14ac:dyDescent="0.25">
      <c r="BM81" s="81"/>
      <c r="BN81" s="81"/>
      <c r="BO81" s="81"/>
      <c r="BP81" s="81"/>
      <c r="BQ81" s="81"/>
      <c r="BR81" s="81"/>
      <c r="BS81" s="81"/>
      <c r="BT81" s="81"/>
    </row>
    <row r="82" spans="65:72" x14ac:dyDescent="0.25">
      <c r="BM82" s="81"/>
      <c r="BN82" s="81"/>
      <c r="BO82" s="81"/>
      <c r="BP82" s="81"/>
      <c r="BQ82" s="81"/>
      <c r="BR82" s="81"/>
      <c r="BS82" s="81"/>
      <c r="BT82" s="81"/>
    </row>
    <row r="83" spans="65:72" x14ac:dyDescent="0.25">
      <c r="BM83" s="81"/>
      <c r="BN83" s="81"/>
      <c r="BO83" s="81"/>
      <c r="BP83" s="81"/>
      <c r="BQ83" s="81"/>
      <c r="BR83" s="81"/>
      <c r="BS83" s="81"/>
      <c r="BT83" s="81"/>
    </row>
    <row r="84" spans="65:72" x14ac:dyDescent="0.25">
      <c r="BM84" s="81"/>
      <c r="BN84" s="81"/>
      <c r="BO84" s="81"/>
      <c r="BP84" s="81"/>
      <c r="BQ84" s="81"/>
      <c r="BR84" s="81"/>
      <c r="BS84" s="81"/>
      <c r="BT84" s="81"/>
    </row>
    <row r="85" spans="65:72" x14ac:dyDescent="0.25">
      <c r="BM85" s="81"/>
      <c r="BN85" s="81"/>
      <c r="BO85" s="81"/>
      <c r="BP85" s="81"/>
      <c r="BQ85" s="81"/>
      <c r="BR85" s="81"/>
      <c r="BS85" s="81"/>
      <c r="BT85" s="81"/>
    </row>
    <row r="86" spans="65:72" x14ac:dyDescent="0.25">
      <c r="BM86" s="81"/>
      <c r="BN86" s="81"/>
      <c r="BO86" s="81"/>
      <c r="BP86" s="81"/>
      <c r="BQ86" s="81"/>
      <c r="BR86" s="81"/>
      <c r="BS86" s="81"/>
      <c r="BT86" s="81"/>
    </row>
    <row r="87" spans="65:72" x14ac:dyDescent="0.25">
      <c r="BM87" s="81"/>
      <c r="BN87" s="81"/>
      <c r="BO87" s="81"/>
      <c r="BP87" s="81"/>
      <c r="BQ87" s="81"/>
      <c r="BR87" s="81"/>
      <c r="BS87" s="81"/>
      <c r="BT87" s="81"/>
    </row>
    <row r="88" spans="65:72" x14ac:dyDescent="0.25">
      <c r="BM88" s="81"/>
      <c r="BN88" s="81"/>
      <c r="BO88" s="81"/>
      <c r="BP88" s="81"/>
      <c r="BQ88" s="81"/>
      <c r="BR88" s="81"/>
      <c r="BS88" s="81"/>
      <c r="BT88" s="81"/>
    </row>
    <row r="89" spans="65:72" x14ac:dyDescent="0.25">
      <c r="BM89" s="81"/>
      <c r="BN89" s="81"/>
      <c r="BO89" s="81"/>
      <c r="BP89" s="81"/>
      <c r="BQ89" s="81"/>
      <c r="BR89" s="81"/>
      <c r="BS89" s="81"/>
      <c r="BT89" s="81"/>
    </row>
    <row r="90" spans="65:72" x14ac:dyDescent="0.25">
      <c r="BM90" s="81"/>
      <c r="BN90" s="81"/>
      <c r="BO90" s="81"/>
      <c r="BP90" s="81"/>
      <c r="BQ90" s="81"/>
      <c r="BR90" s="81"/>
      <c r="BS90" s="81"/>
      <c r="BT90" s="81"/>
    </row>
    <row r="91" spans="65:72" x14ac:dyDescent="0.25">
      <c r="BM91" s="81"/>
      <c r="BN91" s="81"/>
      <c r="BO91" s="81"/>
      <c r="BP91" s="81"/>
      <c r="BQ91" s="81"/>
      <c r="BR91" s="81"/>
      <c r="BS91" s="81"/>
      <c r="BT91" s="81"/>
    </row>
    <row r="92" spans="65:72" x14ac:dyDescent="0.25">
      <c r="BM92" s="81"/>
      <c r="BN92" s="81"/>
      <c r="BO92" s="81"/>
      <c r="BP92" s="81"/>
      <c r="BQ92" s="81"/>
      <c r="BR92" s="81"/>
      <c r="BS92" s="81"/>
      <c r="BT92" s="81"/>
    </row>
    <row r="93" spans="65:72" x14ac:dyDescent="0.25">
      <c r="BM93" s="81"/>
      <c r="BN93" s="81"/>
      <c r="BO93" s="81"/>
      <c r="BP93" s="81"/>
      <c r="BQ93" s="81"/>
      <c r="BR93" s="81"/>
      <c r="BS93" s="81"/>
      <c r="BT93" s="81"/>
    </row>
    <row r="94" spans="65:72" x14ac:dyDescent="0.25">
      <c r="BM94" s="81"/>
      <c r="BN94" s="81"/>
      <c r="BO94" s="81"/>
      <c r="BP94" s="81"/>
      <c r="BQ94" s="81"/>
      <c r="BR94" s="81"/>
      <c r="BS94" s="81"/>
      <c r="BT94" s="81"/>
    </row>
    <row r="95" spans="65:72" x14ac:dyDescent="0.25">
      <c r="BM95" s="81"/>
      <c r="BN95" s="81"/>
      <c r="BO95" s="81"/>
      <c r="BP95" s="81"/>
      <c r="BQ95" s="81"/>
      <c r="BR95" s="81"/>
      <c r="BS95" s="81"/>
      <c r="BT95" s="81"/>
    </row>
    <row r="96" spans="65:72" x14ac:dyDescent="0.25">
      <c r="BM96" s="81"/>
      <c r="BN96" s="81"/>
      <c r="BO96" s="81"/>
      <c r="BP96" s="81"/>
      <c r="BQ96" s="81"/>
      <c r="BR96" s="81"/>
      <c r="BS96" s="81"/>
      <c r="BT96" s="81"/>
    </row>
    <row r="97" spans="65:72" x14ac:dyDescent="0.25">
      <c r="BM97" s="81"/>
      <c r="BN97" s="81"/>
      <c r="BO97" s="81"/>
      <c r="BP97" s="81"/>
      <c r="BQ97" s="81"/>
      <c r="BR97" s="81"/>
      <c r="BS97" s="81"/>
      <c r="BT97" s="81"/>
    </row>
    <row r="98" spans="65:72" x14ac:dyDescent="0.25">
      <c r="BM98" s="81"/>
      <c r="BN98" s="81"/>
      <c r="BO98" s="81"/>
      <c r="BP98" s="81"/>
      <c r="BQ98" s="81"/>
      <c r="BR98" s="81"/>
      <c r="BS98" s="81"/>
      <c r="BT98" s="81"/>
    </row>
    <row r="99" spans="65:72" x14ac:dyDescent="0.25">
      <c r="BM99" s="81"/>
      <c r="BN99" s="81"/>
      <c r="BO99" s="81"/>
      <c r="BP99" s="81"/>
      <c r="BQ99" s="81"/>
      <c r="BR99" s="81"/>
      <c r="BS99" s="81"/>
      <c r="BT99" s="81"/>
    </row>
    <row r="100" spans="65:72" x14ac:dyDescent="0.25">
      <c r="BM100" s="81"/>
      <c r="BN100" s="81"/>
      <c r="BO100" s="81"/>
      <c r="BP100" s="81"/>
      <c r="BQ100" s="81"/>
      <c r="BR100" s="81"/>
      <c r="BS100" s="81"/>
      <c r="BT100" s="81"/>
    </row>
    <row r="101" spans="65:72" x14ac:dyDescent="0.25">
      <c r="BM101" s="81"/>
      <c r="BN101" s="81"/>
      <c r="BO101" s="81"/>
      <c r="BP101" s="81"/>
      <c r="BQ101" s="81"/>
      <c r="BR101" s="81"/>
      <c r="BS101" s="81"/>
      <c r="BT101" s="81"/>
    </row>
    <row r="102" spans="65:72" x14ac:dyDescent="0.25">
      <c r="BM102" s="81"/>
      <c r="BN102" s="81"/>
      <c r="BO102" s="81"/>
      <c r="BP102" s="81"/>
      <c r="BQ102" s="81"/>
      <c r="BR102" s="81"/>
      <c r="BS102" s="81"/>
      <c r="BT102" s="81"/>
    </row>
    <row r="103" spans="65:72" x14ac:dyDescent="0.25">
      <c r="BM103" s="81"/>
      <c r="BN103" s="81"/>
      <c r="BO103" s="81"/>
      <c r="BP103" s="81"/>
      <c r="BQ103" s="81"/>
      <c r="BR103" s="81"/>
      <c r="BS103" s="81"/>
      <c r="BT103" s="81"/>
    </row>
    <row r="104" spans="65:72" x14ac:dyDescent="0.25">
      <c r="BM104" s="81"/>
      <c r="BN104" s="81"/>
      <c r="BO104" s="81"/>
      <c r="BP104" s="81"/>
      <c r="BQ104" s="81"/>
      <c r="BR104" s="81"/>
      <c r="BS104" s="81"/>
      <c r="BT104" s="81"/>
    </row>
    <row r="105" spans="65:72" x14ac:dyDescent="0.25">
      <c r="BM105" s="81"/>
      <c r="BN105" s="81"/>
      <c r="BO105" s="81"/>
      <c r="BP105" s="81"/>
      <c r="BQ105" s="81"/>
      <c r="BR105" s="81"/>
      <c r="BS105" s="81"/>
      <c r="BT105" s="81"/>
    </row>
    <row r="106" spans="65:72" x14ac:dyDescent="0.25">
      <c r="BM106" s="81"/>
      <c r="BN106" s="81"/>
      <c r="BO106" s="81"/>
      <c r="BP106" s="81"/>
      <c r="BQ106" s="81"/>
      <c r="BR106" s="81"/>
      <c r="BS106" s="81"/>
      <c r="BT106" s="81"/>
    </row>
    <row r="107" spans="65:72" x14ac:dyDescent="0.25">
      <c r="BM107" s="81"/>
      <c r="BN107" s="81"/>
      <c r="BO107" s="81"/>
      <c r="BP107" s="81"/>
      <c r="BQ107" s="81"/>
      <c r="BR107" s="81"/>
      <c r="BS107" s="81"/>
      <c r="BT107" s="81"/>
    </row>
    <row r="108" spans="65:72" x14ac:dyDescent="0.25">
      <c r="BM108" s="81"/>
      <c r="BN108" s="81"/>
      <c r="BO108" s="81"/>
      <c r="BP108" s="81"/>
      <c r="BQ108" s="81"/>
      <c r="BR108" s="81"/>
      <c r="BS108" s="81"/>
      <c r="BT108" s="81"/>
    </row>
    <row r="109" spans="65:72" x14ac:dyDescent="0.25">
      <c r="BM109" s="81"/>
      <c r="BN109" s="81"/>
      <c r="BO109" s="81"/>
      <c r="BP109" s="81"/>
      <c r="BQ109" s="81"/>
      <c r="BR109" s="81"/>
      <c r="BS109" s="81"/>
      <c r="BT109" s="81"/>
    </row>
    <row r="110" spans="65:72" x14ac:dyDescent="0.25">
      <c r="BM110" s="81"/>
      <c r="BN110" s="81"/>
      <c r="BO110" s="81"/>
      <c r="BP110" s="81"/>
      <c r="BQ110" s="81"/>
      <c r="BR110" s="81"/>
      <c r="BS110" s="81"/>
      <c r="BT110" s="81"/>
    </row>
    <row r="111" spans="65:72" x14ac:dyDescent="0.25">
      <c r="BM111" s="81"/>
      <c r="BN111" s="81"/>
      <c r="BO111" s="81"/>
      <c r="BP111" s="81"/>
      <c r="BQ111" s="81"/>
      <c r="BR111" s="81"/>
      <c r="BS111" s="81"/>
      <c r="BT111" s="81"/>
    </row>
    <row r="112" spans="65:72" x14ac:dyDescent="0.25">
      <c r="BM112" s="81"/>
      <c r="BN112" s="81"/>
      <c r="BO112" s="81"/>
      <c r="BP112" s="81"/>
      <c r="BQ112" s="81"/>
      <c r="BR112" s="81"/>
      <c r="BS112" s="81"/>
      <c r="BT112" s="81"/>
    </row>
    <row r="113" spans="65:72" x14ac:dyDescent="0.25">
      <c r="BM113" s="81"/>
      <c r="BN113" s="81"/>
      <c r="BO113" s="81"/>
      <c r="BP113" s="81"/>
      <c r="BQ113" s="81"/>
      <c r="BR113" s="81"/>
      <c r="BS113" s="81"/>
      <c r="BT113" s="81"/>
    </row>
    <row r="114" spans="65:72" x14ac:dyDescent="0.25">
      <c r="BM114" s="81"/>
      <c r="BN114" s="81"/>
      <c r="BO114" s="81"/>
      <c r="BP114" s="81"/>
      <c r="BQ114" s="81"/>
      <c r="BR114" s="81"/>
      <c r="BS114" s="81"/>
      <c r="BT114" s="81"/>
    </row>
    <row r="115" spans="65:72" x14ac:dyDescent="0.25">
      <c r="BM115" s="81"/>
      <c r="BN115" s="81"/>
      <c r="BO115" s="81"/>
      <c r="BP115" s="81"/>
      <c r="BQ115" s="81"/>
      <c r="BR115" s="81"/>
      <c r="BS115" s="81"/>
      <c r="BT115" s="81"/>
    </row>
    <row r="116" spans="65:72" x14ac:dyDescent="0.25">
      <c r="BM116" s="81"/>
      <c r="BN116" s="81"/>
      <c r="BO116" s="81"/>
      <c r="BP116" s="81"/>
      <c r="BQ116" s="81"/>
      <c r="BR116" s="81"/>
      <c r="BS116" s="81"/>
      <c r="BT116" s="81"/>
    </row>
    <row r="117" spans="65:72" x14ac:dyDescent="0.25">
      <c r="BM117" s="81"/>
      <c r="BN117" s="81"/>
      <c r="BO117" s="81"/>
      <c r="BP117" s="81"/>
      <c r="BQ117" s="81"/>
      <c r="BR117" s="81"/>
      <c r="BS117" s="81"/>
      <c r="BT117" s="81"/>
    </row>
    <row r="118" spans="65:72" x14ac:dyDescent="0.25">
      <c r="BM118" s="81"/>
      <c r="BN118" s="81"/>
      <c r="BO118" s="81"/>
      <c r="BP118" s="81"/>
      <c r="BQ118" s="81"/>
      <c r="BR118" s="81"/>
      <c r="BS118" s="81"/>
      <c r="BT118" s="81"/>
    </row>
    <row r="119" spans="65:72" x14ac:dyDescent="0.25">
      <c r="BM119" s="81"/>
      <c r="BN119" s="81"/>
      <c r="BO119" s="81"/>
      <c r="BP119" s="81"/>
      <c r="BQ119" s="81"/>
      <c r="BR119" s="81"/>
      <c r="BS119" s="81"/>
      <c r="BT119" s="81"/>
    </row>
    <row r="120" spans="65:72" x14ac:dyDescent="0.25">
      <c r="BM120" s="81"/>
      <c r="BN120" s="81"/>
      <c r="BO120" s="81"/>
      <c r="BP120" s="81"/>
      <c r="BQ120" s="81"/>
      <c r="BR120" s="81"/>
      <c r="BS120" s="81"/>
      <c r="BT120" s="81"/>
    </row>
    <row r="121" spans="65:72" x14ac:dyDescent="0.25">
      <c r="BM121" s="81"/>
      <c r="BN121" s="81"/>
      <c r="BO121" s="81"/>
      <c r="BP121" s="81"/>
      <c r="BQ121" s="81"/>
      <c r="BR121" s="81"/>
      <c r="BS121" s="81"/>
      <c r="BT121" s="81"/>
    </row>
    <row r="122" spans="65:72" x14ac:dyDescent="0.25">
      <c r="BM122" s="81"/>
      <c r="BN122" s="81"/>
      <c r="BO122" s="81"/>
      <c r="BP122" s="81"/>
      <c r="BQ122" s="81"/>
      <c r="BR122" s="81"/>
      <c r="BS122" s="81"/>
      <c r="BT122" s="81"/>
    </row>
    <row r="123" spans="65:72" x14ac:dyDescent="0.25">
      <c r="BM123" s="81"/>
      <c r="BN123" s="81"/>
      <c r="BO123" s="81"/>
      <c r="BP123" s="81"/>
      <c r="BQ123" s="81"/>
      <c r="BR123" s="81"/>
      <c r="BS123" s="81"/>
      <c r="BT123" s="81"/>
    </row>
    <row r="124" spans="65:72" x14ac:dyDescent="0.25">
      <c r="BM124" s="81"/>
      <c r="BN124" s="81"/>
      <c r="BO124" s="81"/>
      <c r="BP124" s="81"/>
      <c r="BQ124" s="81"/>
      <c r="BR124" s="81"/>
      <c r="BS124" s="81"/>
      <c r="BT124" s="81"/>
    </row>
    <row r="125" spans="65:72" x14ac:dyDescent="0.25">
      <c r="BM125" s="81"/>
      <c r="BN125" s="81"/>
      <c r="BO125" s="81"/>
      <c r="BP125" s="81"/>
      <c r="BQ125" s="81"/>
      <c r="BR125" s="81"/>
      <c r="BS125" s="81"/>
      <c r="BT125" s="81"/>
    </row>
    <row r="126" spans="65:72" x14ac:dyDescent="0.25">
      <c r="BM126" s="81"/>
      <c r="BN126" s="81"/>
      <c r="BO126" s="81"/>
      <c r="BP126" s="81"/>
      <c r="BQ126" s="81"/>
      <c r="BR126" s="81"/>
      <c r="BS126" s="81"/>
      <c r="BT126" s="81"/>
    </row>
    <row r="127" spans="65:72" x14ac:dyDescent="0.25">
      <c r="BM127" s="81"/>
      <c r="BN127" s="81"/>
      <c r="BO127" s="81"/>
      <c r="BP127" s="81"/>
      <c r="BQ127" s="81"/>
      <c r="BR127" s="81"/>
      <c r="BS127" s="81"/>
      <c r="BT127" s="81"/>
    </row>
    <row r="128" spans="65:72" x14ac:dyDescent="0.25">
      <c r="BM128" s="81"/>
      <c r="BN128" s="81"/>
      <c r="BO128" s="81"/>
      <c r="BP128" s="81"/>
      <c r="BQ128" s="81"/>
      <c r="BR128" s="81"/>
      <c r="BS128" s="81"/>
      <c r="BT128" s="81"/>
    </row>
    <row r="129" spans="65:72" x14ac:dyDescent="0.25">
      <c r="BM129" s="81"/>
      <c r="BN129" s="81"/>
      <c r="BO129" s="81"/>
      <c r="BP129" s="81"/>
      <c r="BQ129" s="81"/>
      <c r="BR129" s="81"/>
      <c r="BS129" s="81"/>
      <c r="BT129" s="81"/>
    </row>
    <row r="130" spans="65:72" x14ac:dyDescent="0.25">
      <c r="BM130" s="81"/>
      <c r="BN130" s="81"/>
      <c r="BO130" s="81"/>
      <c r="BP130" s="81"/>
      <c r="BQ130" s="81"/>
      <c r="BR130" s="81"/>
      <c r="BS130" s="81"/>
      <c r="BT130" s="81"/>
    </row>
    <row r="131" spans="65:72" x14ac:dyDescent="0.25">
      <c r="BM131" s="81"/>
      <c r="BN131" s="81"/>
      <c r="BO131" s="81"/>
      <c r="BP131" s="81"/>
      <c r="BQ131" s="81"/>
      <c r="BR131" s="81"/>
      <c r="BS131" s="81"/>
      <c r="BT131" s="81"/>
    </row>
    <row r="132" spans="65:72" x14ac:dyDescent="0.25">
      <c r="BM132" s="81"/>
      <c r="BN132" s="81"/>
      <c r="BO132" s="81"/>
      <c r="BP132" s="81"/>
      <c r="BQ132" s="81"/>
      <c r="BR132" s="81"/>
      <c r="BS132" s="81"/>
      <c r="BT132" s="81"/>
    </row>
    <row r="133" spans="65:72" x14ac:dyDescent="0.25">
      <c r="BM133" s="81"/>
      <c r="BN133" s="81"/>
      <c r="BO133" s="81"/>
      <c r="BP133" s="81"/>
      <c r="BQ133" s="81"/>
      <c r="BR133" s="81"/>
      <c r="BS133" s="81"/>
      <c r="BT133" s="81"/>
    </row>
    <row r="134" spans="65:72" x14ac:dyDescent="0.25">
      <c r="BM134" s="81"/>
      <c r="BN134" s="81"/>
      <c r="BO134" s="81"/>
      <c r="BP134" s="81"/>
      <c r="BQ134" s="81"/>
      <c r="BR134" s="81"/>
      <c r="BS134" s="81"/>
      <c r="BT134" s="81"/>
    </row>
    <row r="135" spans="65:72" x14ac:dyDescent="0.25">
      <c r="BM135" s="81"/>
      <c r="BN135" s="81"/>
      <c r="BO135" s="81"/>
      <c r="BP135" s="81"/>
      <c r="BQ135" s="81"/>
      <c r="BR135" s="81"/>
      <c r="BS135" s="81"/>
      <c r="BT135" s="81"/>
    </row>
    <row r="136" spans="65:72" x14ac:dyDescent="0.25">
      <c r="BM136" s="81"/>
      <c r="BN136" s="81"/>
      <c r="BO136" s="81"/>
      <c r="BP136" s="81"/>
      <c r="BQ136" s="81"/>
      <c r="BR136" s="81"/>
      <c r="BS136" s="81"/>
      <c r="BT136" s="81"/>
    </row>
    <row r="137" spans="65:72" x14ac:dyDescent="0.25">
      <c r="BM137" s="81"/>
      <c r="BN137" s="81"/>
      <c r="BO137" s="81"/>
      <c r="BP137" s="81"/>
      <c r="BQ137" s="81"/>
      <c r="BR137" s="81"/>
      <c r="BS137" s="81"/>
      <c r="BT137" s="81"/>
    </row>
    <row r="138" spans="65:72" x14ac:dyDescent="0.25">
      <c r="BM138" s="81"/>
      <c r="BN138" s="81"/>
      <c r="BO138" s="81"/>
      <c r="BP138" s="81"/>
      <c r="BQ138" s="81"/>
      <c r="BR138" s="81"/>
      <c r="BS138" s="81"/>
      <c r="BT138" s="81"/>
    </row>
    <row r="139" spans="65:72" x14ac:dyDescent="0.25">
      <c r="BM139" s="81"/>
      <c r="BN139" s="81"/>
      <c r="BO139" s="81"/>
      <c r="BP139" s="81"/>
      <c r="BQ139" s="81"/>
      <c r="BR139" s="81"/>
      <c r="BS139" s="81"/>
      <c r="BT139" s="81"/>
    </row>
    <row r="140" spans="65:72" x14ac:dyDescent="0.25">
      <c r="BM140" s="81"/>
      <c r="BN140" s="81"/>
      <c r="BO140" s="81"/>
      <c r="BP140" s="81"/>
      <c r="BQ140" s="81"/>
      <c r="BR140" s="81"/>
      <c r="BS140" s="81"/>
      <c r="BT140" s="81"/>
    </row>
    <row r="141" spans="65:72" x14ac:dyDescent="0.25">
      <c r="BM141" s="81"/>
      <c r="BN141" s="81"/>
      <c r="BO141" s="81"/>
      <c r="BP141" s="81"/>
      <c r="BQ141" s="81"/>
      <c r="BR141" s="81"/>
      <c r="BS141" s="81"/>
      <c r="BT141" s="81"/>
    </row>
    <row r="142" spans="65:72" x14ac:dyDescent="0.25">
      <c r="BM142" s="81"/>
      <c r="BN142" s="81"/>
      <c r="BO142" s="81"/>
      <c r="BP142" s="81"/>
      <c r="BQ142" s="81"/>
      <c r="BR142" s="81"/>
      <c r="BS142" s="81"/>
      <c r="BT142" s="81"/>
    </row>
    <row r="143" spans="65:72" x14ac:dyDescent="0.25">
      <c r="BM143" s="81"/>
      <c r="BN143" s="81"/>
      <c r="BO143" s="81"/>
      <c r="BP143" s="81"/>
      <c r="BQ143" s="81"/>
      <c r="BR143" s="81"/>
      <c r="BS143" s="81"/>
      <c r="BT143" s="81"/>
    </row>
    <row r="144" spans="65:72" x14ac:dyDescent="0.25">
      <c r="BM144" s="81"/>
      <c r="BN144" s="81"/>
      <c r="BO144" s="81"/>
      <c r="BP144" s="81"/>
      <c r="BQ144" s="81"/>
      <c r="BR144" s="81"/>
      <c r="BS144" s="81"/>
      <c r="BT144" s="81"/>
    </row>
    <row r="145" spans="65:72" x14ac:dyDescent="0.25">
      <c r="BM145" s="81"/>
      <c r="BN145" s="81"/>
      <c r="BO145" s="81"/>
      <c r="BP145" s="81"/>
      <c r="BQ145" s="81"/>
      <c r="BR145" s="81"/>
      <c r="BS145" s="81"/>
      <c r="BT145" s="81"/>
    </row>
    <row r="146" spans="65:72" x14ac:dyDescent="0.25">
      <c r="BM146" s="81"/>
      <c r="BN146" s="81"/>
      <c r="BO146" s="81"/>
      <c r="BP146" s="81"/>
      <c r="BQ146" s="81"/>
      <c r="BR146" s="81"/>
      <c r="BS146" s="81"/>
      <c r="BT146" s="81"/>
    </row>
    <row r="147" spans="65:72" x14ac:dyDescent="0.25">
      <c r="BM147" s="81"/>
      <c r="BN147" s="81"/>
      <c r="BO147" s="81"/>
      <c r="BP147" s="81"/>
      <c r="BQ147" s="81"/>
      <c r="BR147" s="81"/>
      <c r="BS147" s="81"/>
      <c r="BT147" s="81"/>
    </row>
    <row r="148" spans="65:72" x14ac:dyDescent="0.25">
      <c r="BM148" s="81"/>
      <c r="BN148" s="81"/>
      <c r="BO148" s="81"/>
      <c r="BP148" s="81"/>
      <c r="BQ148" s="81"/>
      <c r="BR148" s="81"/>
      <c r="BS148" s="81"/>
      <c r="BT148" s="81"/>
    </row>
    <row r="149" spans="65:72" x14ac:dyDescent="0.25">
      <c r="BM149" s="81"/>
      <c r="BN149" s="81"/>
      <c r="BO149" s="81"/>
      <c r="BP149" s="81"/>
      <c r="BQ149" s="81"/>
      <c r="BR149" s="81"/>
      <c r="BS149" s="81"/>
      <c r="BT149" s="81"/>
    </row>
    <row r="150" spans="65:72" x14ac:dyDescent="0.25">
      <c r="BM150" s="81"/>
      <c r="BN150" s="81"/>
      <c r="BO150" s="81"/>
      <c r="BP150" s="81"/>
      <c r="BQ150" s="81"/>
      <c r="BR150" s="81"/>
      <c r="BS150" s="81"/>
      <c r="BT150" s="81"/>
    </row>
    <row r="151" spans="65:72" x14ac:dyDescent="0.25">
      <c r="BM151" s="81"/>
      <c r="BN151" s="81"/>
      <c r="BO151" s="81"/>
      <c r="BP151" s="81"/>
      <c r="BQ151" s="81"/>
      <c r="BR151" s="81"/>
      <c r="BS151" s="81"/>
      <c r="BT151" s="81"/>
    </row>
    <row r="152" spans="65:72" x14ac:dyDescent="0.25">
      <c r="BM152" s="81"/>
      <c r="BN152" s="81"/>
      <c r="BO152" s="81"/>
      <c r="BP152" s="81"/>
      <c r="BQ152" s="81"/>
      <c r="BR152" s="81"/>
      <c r="BS152" s="81"/>
      <c r="BT152" s="81"/>
    </row>
    <row r="153" spans="65:72" x14ac:dyDescent="0.25">
      <c r="BM153" s="81"/>
      <c r="BN153" s="81"/>
      <c r="BO153" s="81"/>
      <c r="BP153" s="81"/>
      <c r="BQ153" s="81"/>
      <c r="BR153" s="81"/>
      <c r="BS153" s="81"/>
      <c r="BT153" s="81"/>
    </row>
    <row r="154" spans="65:72" x14ac:dyDescent="0.25">
      <c r="BM154" s="81"/>
      <c r="BN154" s="81"/>
      <c r="BO154" s="81"/>
      <c r="BP154" s="81"/>
      <c r="BQ154" s="81"/>
      <c r="BR154" s="81"/>
      <c r="BS154" s="81"/>
      <c r="BT154" s="81"/>
    </row>
    <row r="155" spans="65:72" x14ac:dyDescent="0.25">
      <c r="BM155" s="81"/>
      <c r="BN155" s="81"/>
      <c r="BO155" s="81"/>
      <c r="BP155" s="81"/>
      <c r="BQ155" s="81"/>
      <c r="BR155" s="81"/>
      <c r="BS155" s="81"/>
      <c r="BT155" s="81"/>
    </row>
    <row r="156" spans="65:72" x14ac:dyDescent="0.25">
      <c r="BM156" s="81"/>
      <c r="BN156" s="81"/>
      <c r="BO156" s="81"/>
      <c r="BP156" s="81"/>
      <c r="BQ156" s="81"/>
      <c r="BR156" s="81"/>
      <c r="BS156" s="81"/>
      <c r="BT156" s="81"/>
    </row>
    <row r="157" spans="65:72" x14ac:dyDescent="0.25">
      <c r="BM157" s="81"/>
      <c r="BN157" s="81"/>
      <c r="BO157" s="81"/>
      <c r="BP157" s="81"/>
      <c r="BQ157" s="81"/>
      <c r="BR157" s="81"/>
      <c r="BS157" s="81"/>
      <c r="BT157" s="81"/>
    </row>
    <row r="158" spans="65:72" x14ac:dyDescent="0.25">
      <c r="BM158" s="81"/>
      <c r="BN158" s="81"/>
      <c r="BO158" s="81"/>
      <c r="BP158" s="81"/>
      <c r="BQ158" s="81"/>
      <c r="BR158" s="81"/>
      <c r="BS158" s="81"/>
      <c r="BT158" s="81"/>
    </row>
    <row r="159" spans="65:72" x14ac:dyDescent="0.25">
      <c r="BM159" s="81"/>
      <c r="BN159" s="81"/>
      <c r="BO159" s="81"/>
      <c r="BP159" s="81"/>
      <c r="BQ159" s="81"/>
      <c r="BR159" s="81"/>
      <c r="BS159" s="81"/>
      <c r="BT159" s="81"/>
    </row>
    <row r="160" spans="65:72" x14ac:dyDescent="0.25">
      <c r="BM160" s="81"/>
      <c r="BN160" s="81"/>
      <c r="BO160" s="81"/>
      <c r="BP160" s="81"/>
      <c r="BQ160" s="81"/>
      <c r="BR160" s="81"/>
      <c r="BS160" s="81"/>
      <c r="BT160" s="81"/>
    </row>
    <row r="161" spans="65:72" x14ac:dyDescent="0.25">
      <c r="BM161" s="81"/>
      <c r="BN161" s="81"/>
      <c r="BO161" s="81"/>
      <c r="BP161" s="81"/>
      <c r="BQ161" s="81"/>
      <c r="BR161" s="81"/>
      <c r="BS161" s="81"/>
      <c r="BT161" s="81"/>
    </row>
    <row r="162" spans="65:72" x14ac:dyDescent="0.25">
      <c r="BM162" s="81"/>
      <c r="BN162" s="81"/>
      <c r="BO162" s="81"/>
      <c r="BP162" s="81"/>
      <c r="BQ162" s="81"/>
      <c r="BR162" s="81"/>
      <c r="BS162" s="81"/>
      <c r="BT162" s="81"/>
    </row>
    <row r="163" spans="65:72" x14ac:dyDescent="0.25">
      <c r="BM163" s="81"/>
      <c r="BN163" s="81"/>
      <c r="BO163" s="81"/>
      <c r="BP163" s="81"/>
      <c r="BQ163" s="81"/>
      <c r="BR163" s="81"/>
      <c r="BS163" s="81"/>
      <c r="BT163" s="81"/>
    </row>
    <row r="164" spans="65:72" x14ac:dyDescent="0.25">
      <c r="BM164" s="81"/>
      <c r="BN164" s="81"/>
      <c r="BO164" s="81"/>
      <c r="BP164" s="81"/>
      <c r="BQ164" s="81"/>
      <c r="BR164" s="81"/>
      <c r="BS164" s="81"/>
      <c r="BT164" s="81"/>
    </row>
    <row r="165" spans="65:72" x14ac:dyDescent="0.25">
      <c r="BM165" s="81"/>
      <c r="BN165" s="81"/>
      <c r="BO165" s="81"/>
      <c r="BP165" s="81"/>
      <c r="BQ165" s="81"/>
      <c r="BR165" s="81"/>
      <c r="BS165" s="81"/>
      <c r="BT165" s="81"/>
    </row>
    <row r="166" spans="65:72" x14ac:dyDescent="0.25">
      <c r="BM166" s="81"/>
      <c r="BN166" s="81"/>
      <c r="BO166" s="81"/>
      <c r="BP166" s="81"/>
      <c r="BQ166" s="81"/>
      <c r="BR166" s="81"/>
      <c r="BS166" s="81"/>
      <c r="BT166" s="81"/>
    </row>
    <row r="167" spans="65:72" x14ac:dyDescent="0.25">
      <c r="BM167" s="81"/>
      <c r="BN167" s="81"/>
      <c r="BO167" s="81"/>
      <c r="BP167" s="81"/>
      <c r="BQ167" s="81"/>
      <c r="BR167" s="81"/>
      <c r="BS167" s="81"/>
      <c r="BT167" s="81"/>
    </row>
    <row r="168" spans="65:72" x14ac:dyDescent="0.25">
      <c r="BM168" s="81"/>
      <c r="BN168" s="81"/>
      <c r="BO168" s="81"/>
      <c r="BP168" s="81"/>
      <c r="BQ168" s="81"/>
      <c r="BR168" s="81"/>
      <c r="BS168" s="81"/>
      <c r="BT168" s="81"/>
    </row>
    <row r="169" spans="65:72" x14ac:dyDescent="0.25">
      <c r="BM169" s="81"/>
      <c r="BN169" s="81"/>
      <c r="BO169" s="81"/>
      <c r="BP169" s="81"/>
      <c r="BQ169" s="81"/>
      <c r="BR169" s="81"/>
      <c r="BS169" s="81"/>
      <c r="BT169" s="81"/>
    </row>
    <row r="170" spans="65:72" x14ac:dyDescent="0.25">
      <c r="BM170" s="81"/>
      <c r="BN170" s="81"/>
      <c r="BO170" s="81"/>
      <c r="BP170" s="81"/>
      <c r="BQ170" s="81"/>
      <c r="BR170" s="81"/>
      <c r="BS170" s="81"/>
      <c r="BT170" s="81"/>
    </row>
    <row r="171" spans="65:72" x14ac:dyDescent="0.25">
      <c r="BM171" s="81"/>
      <c r="BN171" s="81"/>
      <c r="BO171" s="81"/>
      <c r="BP171" s="81"/>
      <c r="BQ171" s="81"/>
      <c r="BR171" s="81"/>
      <c r="BS171" s="81"/>
      <c r="BT171" s="81"/>
    </row>
    <row r="172" spans="65:72" x14ac:dyDescent="0.25">
      <c r="BM172" s="81"/>
      <c r="BN172" s="81"/>
      <c r="BO172" s="81"/>
      <c r="BP172" s="81"/>
      <c r="BQ172" s="81"/>
      <c r="BR172" s="81"/>
      <c r="BS172" s="81"/>
      <c r="BT172" s="81"/>
    </row>
    <row r="173" spans="65:72" x14ac:dyDescent="0.25">
      <c r="BM173" s="81"/>
      <c r="BN173" s="81"/>
      <c r="BO173" s="81"/>
      <c r="BP173" s="81"/>
      <c r="BQ173" s="81"/>
      <c r="BR173" s="81"/>
      <c r="BS173" s="81"/>
      <c r="BT173" s="81"/>
    </row>
    <row r="174" spans="65:72" x14ac:dyDescent="0.25">
      <c r="BM174" s="81"/>
      <c r="BN174" s="81"/>
      <c r="BO174" s="81"/>
      <c r="BP174" s="81"/>
      <c r="BQ174" s="81"/>
      <c r="BR174" s="81"/>
      <c r="BS174" s="81"/>
      <c r="BT174" s="81"/>
    </row>
    <row r="175" spans="65:72" x14ac:dyDescent="0.25">
      <c r="BM175" s="81"/>
      <c r="BN175" s="81"/>
      <c r="BO175" s="81"/>
      <c r="BP175" s="81"/>
      <c r="BQ175" s="81"/>
      <c r="BR175" s="81"/>
      <c r="BS175" s="81"/>
      <c r="BT175" s="81"/>
    </row>
    <row r="176" spans="65:72" x14ac:dyDescent="0.25">
      <c r="BM176" s="81"/>
      <c r="BN176" s="81"/>
      <c r="BO176" s="81"/>
      <c r="BP176" s="81"/>
      <c r="BQ176" s="81"/>
      <c r="BR176" s="81"/>
      <c r="BS176" s="81"/>
      <c r="BT176" s="81"/>
    </row>
    <row r="177" spans="65:72" x14ac:dyDescent="0.25">
      <c r="BM177" s="81"/>
      <c r="BN177" s="81"/>
      <c r="BO177" s="81"/>
      <c r="BP177" s="81"/>
      <c r="BQ177" s="81"/>
      <c r="BR177" s="81"/>
      <c r="BS177" s="81"/>
      <c r="BT177" s="81"/>
    </row>
    <row r="178" spans="65:72" x14ac:dyDescent="0.25">
      <c r="BM178" s="81"/>
      <c r="BN178" s="81"/>
      <c r="BO178" s="81"/>
      <c r="BP178" s="81"/>
      <c r="BQ178" s="81"/>
      <c r="BR178" s="81"/>
      <c r="BS178" s="81"/>
      <c r="BT178" s="81"/>
    </row>
    <row r="179" spans="65:72" x14ac:dyDescent="0.25">
      <c r="BM179" s="81"/>
      <c r="BN179" s="81"/>
      <c r="BO179" s="81"/>
      <c r="BP179" s="81"/>
      <c r="BQ179" s="81"/>
      <c r="BR179" s="81"/>
      <c r="BS179" s="81"/>
      <c r="BT179" s="81"/>
    </row>
    <row r="180" spans="65:72" x14ac:dyDescent="0.25">
      <c r="BM180" s="81"/>
      <c r="BN180" s="81"/>
      <c r="BO180" s="81"/>
      <c r="BP180" s="81"/>
      <c r="BQ180" s="81"/>
      <c r="BR180" s="81"/>
      <c r="BS180" s="81"/>
      <c r="BT180" s="81"/>
    </row>
    <row r="181" spans="65:72" x14ac:dyDescent="0.25">
      <c r="BM181" s="81"/>
      <c r="BN181" s="81"/>
      <c r="BO181" s="81"/>
      <c r="BP181" s="81"/>
      <c r="BQ181" s="81"/>
      <c r="BR181" s="81"/>
      <c r="BS181" s="81"/>
      <c r="BT181" s="81"/>
    </row>
    <row r="182" spans="65:72" x14ac:dyDescent="0.25">
      <c r="BM182" s="81"/>
      <c r="BN182" s="81"/>
      <c r="BO182" s="81"/>
      <c r="BP182" s="81"/>
      <c r="BQ182" s="81"/>
      <c r="BR182" s="81"/>
      <c r="BS182" s="81"/>
      <c r="BT182" s="81"/>
    </row>
    <row r="183" spans="65:72" x14ac:dyDescent="0.25">
      <c r="BM183" s="81"/>
      <c r="BN183" s="81"/>
      <c r="BO183" s="81"/>
      <c r="BP183" s="81"/>
      <c r="BQ183" s="81"/>
      <c r="BR183" s="81"/>
      <c r="BS183" s="81"/>
      <c r="BT183" s="81"/>
    </row>
    <row r="184" spans="65:72" x14ac:dyDescent="0.25">
      <c r="BM184" s="81"/>
      <c r="BN184" s="81"/>
      <c r="BO184" s="81"/>
      <c r="BP184" s="81"/>
      <c r="BQ184" s="81"/>
      <c r="BR184" s="81"/>
      <c r="BS184" s="81"/>
      <c r="BT184" s="81"/>
    </row>
    <row r="185" spans="65:72" x14ac:dyDescent="0.25">
      <c r="BM185" s="81"/>
      <c r="BN185" s="81"/>
      <c r="BO185" s="81"/>
      <c r="BP185" s="81"/>
      <c r="BQ185" s="81"/>
      <c r="BR185" s="81"/>
      <c r="BS185" s="81"/>
      <c r="BT185" s="81"/>
    </row>
    <row r="186" spans="65:72" x14ac:dyDescent="0.25">
      <c r="BM186" s="81"/>
      <c r="BN186" s="81"/>
      <c r="BO186" s="81"/>
      <c r="BP186" s="81"/>
      <c r="BQ186" s="81"/>
      <c r="BR186" s="81"/>
      <c r="BS186" s="81"/>
      <c r="BT186" s="81"/>
    </row>
    <row r="187" spans="65:72" x14ac:dyDescent="0.25">
      <c r="BM187" s="81"/>
      <c r="BN187" s="81"/>
      <c r="BO187" s="81"/>
      <c r="BP187" s="81"/>
      <c r="BQ187" s="81"/>
      <c r="BR187" s="81"/>
      <c r="BS187" s="81"/>
      <c r="BT187" s="81"/>
    </row>
    <row r="188" spans="65:72" x14ac:dyDescent="0.25">
      <c r="BM188" s="81"/>
      <c r="BN188" s="81"/>
      <c r="BO188" s="81"/>
      <c r="BP188" s="81"/>
      <c r="BQ188" s="81"/>
      <c r="BR188" s="81"/>
      <c r="BS188" s="81"/>
      <c r="BT188" s="81"/>
    </row>
    <row r="189" spans="65:72" x14ac:dyDescent="0.25">
      <c r="BM189" s="81"/>
      <c r="BN189" s="81"/>
      <c r="BO189" s="81"/>
      <c r="BP189" s="81"/>
      <c r="BQ189" s="81"/>
      <c r="BR189" s="81"/>
      <c r="BS189" s="81"/>
      <c r="BT189" s="81"/>
    </row>
    <row r="190" spans="65:72" x14ac:dyDescent="0.25">
      <c r="BM190" s="81"/>
      <c r="BN190" s="81"/>
      <c r="BO190" s="81"/>
      <c r="BP190" s="81"/>
      <c r="BQ190" s="81"/>
      <c r="BR190" s="81"/>
      <c r="BS190" s="81"/>
      <c r="BT190" s="81"/>
    </row>
    <row r="191" spans="65:72" x14ac:dyDescent="0.25">
      <c r="BM191" s="81"/>
      <c r="BN191" s="81"/>
      <c r="BO191" s="81"/>
      <c r="BP191" s="81"/>
      <c r="BQ191" s="81"/>
      <c r="BR191" s="81"/>
      <c r="BS191" s="81"/>
      <c r="BT191" s="81"/>
    </row>
    <row r="192" spans="65:72" x14ac:dyDescent="0.25">
      <c r="BM192" s="81"/>
      <c r="BN192" s="81"/>
      <c r="BO192" s="81"/>
      <c r="BP192" s="81"/>
      <c r="BQ192" s="81"/>
      <c r="BR192" s="81"/>
      <c r="BS192" s="81"/>
      <c r="BT192" s="81"/>
    </row>
    <row r="193" spans="65:72" x14ac:dyDescent="0.25">
      <c r="BM193" s="81"/>
      <c r="BN193" s="81"/>
      <c r="BO193" s="81"/>
      <c r="BP193" s="81"/>
      <c r="BQ193" s="81"/>
      <c r="BR193" s="81"/>
      <c r="BS193" s="81"/>
      <c r="BT193" s="81"/>
    </row>
    <row r="194" spans="65:72" x14ac:dyDescent="0.25">
      <c r="BM194" s="81"/>
      <c r="BN194" s="81"/>
      <c r="BO194" s="81"/>
      <c r="BP194" s="81"/>
      <c r="BQ194" s="81"/>
      <c r="BR194" s="81"/>
      <c r="BS194" s="81"/>
      <c r="BT194" s="81"/>
    </row>
    <row r="195" spans="65:72" x14ac:dyDescent="0.25">
      <c r="BM195" s="81"/>
      <c r="BN195" s="81"/>
      <c r="BO195" s="81"/>
      <c r="BP195" s="81"/>
      <c r="BQ195" s="81"/>
      <c r="BR195" s="81"/>
      <c r="BS195" s="81"/>
      <c r="BT195" s="81"/>
    </row>
    <row r="196" spans="65:72" x14ac:dyDescent="0.25">
      <c r="BM196" s="81"/>
      <c r="BN196" s="81"/>
      <c r="BO196" s="81"/>
      <c r="BP196" s="81"/>
      <c r="BQ196" s="81"/>
      <c r="BR196" s="81"/>
      <c r="BS196" s="81"/>
      <c r="BT196" s="81"/>
    </row>
    <row r="197" spans="65:72" x14ac:dyDescent="0.25">
      <c r="BM197" s="81"/>
      <c r="BN197" s="81"/>
      <c r="BO197" s="81"/>
      <c r="BP197" s="81"/>
      <c r="BQ197" s="81"/>
      <c r="BR197" s="81"/>
      <c r="BS197" s="81"/>
      <c r="BT197" s="81"/>
    </row>
    <row r="198" spans="65:72" x14ac:dyDescent="0.25">
      <c r="BM198" s="81"/>
      <c r="BN198" s="81"/>
      <c r="BO198" s="81"/>
      <c r="BP198" s="81"/>
      <c r="BQ198" s="81"/>
      <c r="BR198" s="81"/>
      <c r="BS198" s="81"/>
      <c r="BT198" s="81"/>
    </row>
    <row r="199" spans="65:72" x14ac:dyDescent="0.25">
      <c r="BM199" s="81"/>
      <c r="BN199" s="81"/>
      <c r="BO199" s="81"/>
      <c r="BP199" s="81"/>
      <c r="BQ199" s="81"/>
      <c r="BR199" s="81"/>
      <c r="BS199" s="81"/>
      <c r="BT199" s="81"/>
    </row>
    <row r="200" spans="65:72" x14ac:dyDescent="0.25">
      <c r="BM200" s="81"/>
      <c r="BN200" s="81"/>
      <c r="BO200" s="81"/>
      <c r="BP200" s="81"/>
      <c r="BQ200" s="81"/>
      <c r="BR200" s="81"/>
      <c r="BS200" s="81"/>
      <c r="BT200" s="81"/>
    </row>
    <row r="201" spans="65:72" x14ac:dyDescent="0.25">
      <c r="BM201" s="81"/>
      <c r="BN201" s="81"/>
      <c r="BO201" s="81"/>
      <c r="BP201" s="81"/>
      <c r="BQ201" s="81"/>
      <c r="BR201" s="81"/>
      <c r="BS201" s="81"/>
      <c r="BT201" s="81"/>
    </row>
    <row r="202" spans="65:72" x14ac:dyDescent="0.25">
      <c r="BM202" s="81"/>
      <c r="BN202" s="81"/>
      <c r="BO202" s="81"/>
      <c r="BP202" s="81"/>
      <c r="BQ202" s="81"/>
      <c r="BR202" s="81"/>
      <c r="BS202" s="81"/>
      <c r="BT202" s="81"/>
    </row>
    <row r="203" spans="65:72" x14ac:dyDescent="0.25">
      <c r="BM203" s="81"/>
      <c r="BN203" s="81"/>
      <c r="BO203" s="81"/>
      <c r="BP203" s="81"/>
      <c r="BQ203" s="81"/>
      <c r="BR203" s="81"/>
      <c r="BS203" s="81"/>
      <c r="BT203" s="81"/>
    </row>
    <row r="204" spans="65:72" x14ac:dyDescent="0.25">
      <c r="BM204" s="81"/>
      <c r="BN204" s="81"/>
      <c r="BO204" s="81"/>
      <c r="BP204" s="81"/>
      <c r="BQ204" s="81"/>
      <c r="BR204" s="81"/>
      <c r="BS204" s="81"/>
      <c r="BT204" s="81"/>
    </row>
    <row r="205" spans="65:72" x14ac:dyDescent="0.25">
      <c r="BM205" s="81"/>
      <c r="BN205" s="81"/>
      <c r="BO205" s="81"/>
      <c r="BP205" s="81"/>
      <c r="BQ205" s="81"/>
      <c r="BR205" s="81"/>
      <c r="BS205" s="81"/>
      <c r="BT205" s="81"/>
    </row>
    <row r="206" spans="65:72" x14ac:dyDescent="0.25">
      <c r="BM206" s="81"/>
      <c r="BN206" s="81"/>
      <c r="BO206" s="81"/>
      <c r="BP206" s="81"/>
      <c r="BQ206" s="81"/>
      <c r="BR206" s="81"/>
      <c r="BS206" s="81"/>
      <c r="BT206" s="81"/>
    </row>
    <row r="207" spans="65:72" x14ac:dyDescent="0.25">
      <c r="BM207" s="81"/>
      <c r="BN207" s="81"/>
      <c r="BO207" s="81"/>
      <c r="BP207" s="81"/>
      <c r="BQ207" s="81"/>
      <c r="BR207" s="81"/>
      <c r="BS207" s="81"/>
      <c r="BT207" s="81"/>
    </row>
    <row r="208" spans="65:72" x14ac:dyDescent="0.25">
      <c r="BM208" s="81"/>
      <c r="BN208" s="81"/>
      <c r="BO208" s="81"/>
      <c r="BP208" s="81"/>
      <c r="BQ208" s="81"/>
      <c r="BR208" s="81"/>
      <c r="BS208" s="81"/>
      <c r="BT208" s="81"/>
    </row>
    <row r="209" spans="65:72" x14ac:dyDescent="0.25">
      <c r="BM209" s="81"/>
      <c r="BN209" s="81"/>
      <c r="BO209" s="81"/>
      <c r="BP209" s="81"/>
      <c r="BQ209" s="81"/>
      <c r="BR209" s="81"/>
      <c r="BS209" s="81"/>
      <c r="BT209" s="81"/>
    </row>
    <row r="210" spans="65:72" x14ac:dyDescent="0.25">
      <c r="BM210" s="81"/>
      <c r="BN210" s="81"/>
      <c r="BO210" s="81"/>
      <c r="BP210" s="81"/>
      <c r="BQ210" s="81"/>
      <c r="BR210" s="81"/>
      <c r="BS210" s="81"/>
      <c r="BT210" s="81"/>
    </row>
    <row r="211" spans="65:72" x14ac:dyDescent="0.25">
      <c r="BM211" s="81"/>
      <c r="BN211" s="81"/>
      <c r="BO211" s="81"/>
      <c r="BP211" s="81"/>
      <c r="BQ211" s="81"/>
      <c r="BR211" s="81"/>
      <c r="BS211" s="81"/>
      <c r="BT211" s="81"/>
    </row>
    <row r="212" spans="65:72" x14ac:dyDescent="0.25">
      <c r="BM212" s="81"/>
      <c r="BN212" s="81"/>
      <c r="BO212" s="81"/>
      <c r="BP212" s="81"/>
      <c r="BQ212" s="81"/>
      <c r="BR212" s="81"/>
      <c r="BS212" s="81"/>
      <c r="BT212" s="81"/>
    </row>
    <row r="213" spans="65:72" x14ac:dyDescent="0.25">
      <c r="BM213" s="81"/>
      <c r="BN213" s="81"/>
      <c r="BO213" s="81"/>
      <c r="BP213" s="81"/>
      <c r="BQ213" s="81"/>
      <c r="BR213" s="81"/>
      <c r="BS213" s="81"/>
      <c r="BT213" s="81"/>
    </row>
    <row r="214" spans="65:72" x14ac:dyDescent="0.25">
      <c r="BM214" s="81"/>
      <c r="BN214" s="81"/>
      <c r="BO214" s="81"/>
      <c r="BP214" s="81"/>
      <c r="BQ214" s="81"/>
      <c r="BR214" s="81"/>
      <c r="BS214" s="81"/>
      <c r="BT214" s="81"/>
    </row>
    <row r="215" spans="65:72" x14ac:dyDescent="0.25">
      <c r="BM215" s="81"/>
      <c r="BN215" s="81"/>
      <c r="BO215" s="81"/>
      <c r="BP215" s="81"/>
      <c r="BQ215" s="81"/>
      <c r="BR215" s="81"/>
      <c r="BS215" s="81"/>
      <c r="BT215" s="81"/>
    </row>
    <row r="216" spans="65:72" x14ac:dyDescent="0.25">
      <c r="BM216" s="81"/>
      <c r="BN216" s="81"/>
      <c r="BO216" s="81"/>
      <c r="BP216" s="81"/>
      <c r="BQ216" s="81"/>
      <c r="BR216" s="81"/>
      <c r="BS216" s="81"/>
      <c r="BT216" s="81"/>
    </row>
    <row r="217" spans="65:72" x14ac:dyDescent="0.25">
      <c r="BM217" s="81"/>
      <c r="BN217" s="81"/>
      <c r="BO217" s="81"/>
      <c r="BP217" s="81"/>
      <c r="BQ217" s="81"/>
      <c r="BR217" s="81"/>
      <c r="BS217" s="81"/>
      <c r="BT217" s="81"/>
    </row>
    <row r="218" spans="65:72" x14ac:dyDescent="0.25">
      <c r="BM218" s="81"/>
      <c r="BN218" s="81"/>
      <c r="BO218" s="81"/>
      <c r="BP218" s="81"/>
      <c r="BQ218" s="81"/>
      <c r="BR218" s="81"/>
      <c r="BS218" s="81"/>
      <c r="BT218" s="81"/>
    </row>
    <row r="219" spans="65:72" x14ac:dyDescent="0.25">
      <c r="BM219" s="81"/>
      <c r="BN219" s="81"/>
      <c r="BO219" s="81"/>
      <c r="BP219" s="81"/>
      <c r="BQ219" s="81"/>
      <c r="BR219" s="81"/>
      <c r="BS219" s="81"/>
      <c r="BT219" s="81"/>
    </row>
    <row r="220" spans="65:72" x14ac:dyDescent="0.25">
      <c r="BM220" s="81"/>
      <c r="BN220" s="81"/>
      <c r="BO220" s="81"/>
      <c r="BP220" s="81"/>
      <c r="BQ220" s="81"/>
      <c r="BR220" s="81"/>
      <c r="BS220" s="81"/>
      <c r="BT220" s="81"/>
    </row>
    <row r="221" spans="65:72" x14ac:dyDescent="0.25">
      <c r="BM221" s="81"/>
      <c r="BN221" s="81"/>
      <c r="BO221" s="81"/>
      <c r="BP221" s="81"/>
      <c r="BQ221" s="81"/>
      <c r="BR221" s="81"/>
      <c r="BS221" s="81"/>
      <c r="BT221" s="81"/>
    </row>
    <row r="222" spans="65:72" x14ac:dyDescent="0.25">
      <c r="BM222" s="81"/>
      <c r="BN222" s="81"/>
      <c r="BO222" s="81"/>
      <c r="BP222" s="81"/>
      <c r="BQ222" s="81"/>
      <c r="BR222" s="81"/>
      <c r="BS222" s="81"/>
      <c r="BT222" s="81"/>
    </row>
    <row r="223" spans="65:72" x14ac:dyDescent="0.25">
      <c r="BM223" s="81"/>
      <c r="BN223" s="81"/>
      <c r="BO223" s="81"/>
      <c r="BP223" s="81"/>
      <c r="BQ223" s="81"/>
      <c r="BR223" s="81"/>
      <c r="BS223" s="81"/>
      <c r="BT223" s="81"/>
    </row>
    <row r="224" spans="65:72" x14ac:dyDescent="0.25">
      <c r="BM224" s="81"/>
      <c r="BN224" s="81"/>
      <c r="BO224" s="81"/>
      <c r="BP224" s="81"/>
      <c r="BQ224" s="81"/>
      <c r="BR224" s="81"/>
      <c r="BS224" s="81"/>
      <c r="BT224" s="81"/>
    </row>
    <row r="225" spans="65:72" x14ac:dyDescent="0.25">
      <c r="BM225" s="81"/>
      <c r="BN225" s="81"/>
      <c r="BO225" s="81"/>
      <c r="BP225" s="81"/>
      <c r="BQ225" s="81"/>
      <c r="BR225" s="81"/>
      <c r="BS225" s="81"/>
      <c r="BT225" s="81"/>
    </row>
    <row r="226" spans="65:72" x14ac:dyDescent="0.25">
      <c r="BM226" s="81"/>
      <c r="BN226" s="81"/>
      <c r="BO226" s="81"/>
      <c r="BP226" s="81"/>
      <c r="BQ226" s="81"/>
      <c r="BR226" s="81"/>
      <c r="BS226" s="81"/>
      <c r="BT226" s="81"/>
    </row>
    <row r="227" spans="65:72" x14ac:dyDescent="0.25">
      <c r="BM227" s="81"/>
      <c r="BN227" s="81"/>
      <c r="BO227" s="81"/>
      <c r="BP227" s="81"/>
      <c r="BQ227" s="81"/>
      <c r="BR227" s="81"/>
      <c r="BS227" s="81"/>
      <c r="BT227" s="81"/>
    </row>
    <row r="228" spans="65:72" x14ac:dyDescent="0.25">
      <c r="BM228" s="81"/>
      <c r="BN228" s="81"/>
      <c r="BO228" s="81"/>
      <c r="BP228" s="81"/>
      <c r="BQ228" s="81"/>
      <c r="BR228" s="81"/>
      <c r="BS228" s="81"/>
      <c r="BT228" s="81"/>
    </row>
    <row r="229" spans="65:72" x14ac:dyDescent="0.25">
      <c r="BM229" s="81"/>
      <c r="BN229" s="81"/>
      <c r="BO229" s="81"/>
      <c r="BP229" s="81"/>
      <c r="BQ229" s="81"/>
      <c r="BR229" s="81"/>
      <c r="BS229" s="81"/>
      <c r="BT229" s="81"/>
    </row>
    <row r="230" spans="65:72" x14ac:dyDescent="0.25">
      <c r="BM230" s="81"/>
      <c r="BN230" s="81"/>
      <c r="BO230" s="81"/>
      <c r="BP230" s="81"/>
      <c r="BQ230" s="81"/>
      <c r="BR230" s="81"/>
      <c r="BS230" s="81"/>
      <c r="BT230" s="81"/>
    </row>
    <row r="231" spans="65:72" x14ac:dyDescent="0.25">
      <c r="BM231" s="81"/>
      <c r="BN231" s="81"/>
      <c r="BO231" s="81"/>
      <c r="BP231" s="81"/>
      <c r="BQ231" s="81"/>
      <c r="BR231" s="81"/>
      <c r="BS231" s="81"/>
      <c r="BT231" s="81"/>
    </row>
    <row r="232" spans="65:72" x14ac:dyDescent="0.25">
      <c r="BM232" s="81"/>
      <c r="BN232" s="81"/>
      <c r="BO232" s="81"/>
      <c r="BP232" s="81"/>
      <c r="BQ232" s="81"/>
      <c r="BR232" s="81"/>
      <c r="BS232" s="81"/>
      <c r="BT232" s="81"/>
    </row>
    <row r="233" spans="65:72" x14ac:dyDescent="0.25">
      <c r="BM233" s="81"/>
      <c r="BN233" s="81"/>
      <c r="BO233" s="81"/>
      <c r="BP233" s="81"/>
      <c r="BQ233" s="81"/>
      <c r="BR233" s="81"/>
      <c r="BS233" s="81"/>
      <c r="BT233" s="81"/>
    </row>
    <row r="234" spans="65:72" x14ac:dyDescent="0.25">
      <c r="BM234" s="81"/>
      <c r="BN234" s="81"/>
      <c r="BO234" s="81"/>
      <c r="BP234" s="81"/>
      <c r="BQ234" s="81"/>
      <c r="BR234" s="81"/>
      <c r="BS234" s="81"/>
      <c r="BT234" s="81"/>
    </row>
    <row r="235" spans="65:72" x14ac:dyDescent="0.25">
      <c r="BM235" s="81"/>
      <c r="BN235" s="81"/>
      <c r="BO235" s="81"/>
      <c r="BP235" s="81"/>
      <c r="BQ235" s="81"/>
      <c r="BR235" s="81"/>
      <c r="BS235" s="81"/>
      <c r="BT235" s="81"/>
    </row>
    <row r="236" spans="65:72" x14ac:dyDescent="0.25">
      <c r="BM236" s="81"/>
      <c r="BN236" s="81"/>
      <c r="BO236" s="81"/>
      <c r="BP236" s="81"/>
      <c r="BQ236" s="81"/>
      <c r="BR236" s="81"/>
      <c r="BS236" s="81"/>
      <c r="BT236" s="81"/>
    </row>
    <row r="237" spans="65:72" x14ac:dyDescent="0.25">
      <c r="BM237" s="81"/>
      <c r="BN237" s="81"/>
      <c r="BO237" s="81"/>
      <c r="BP237" s="81"/>
      <c r="BQ237" s="81"/>
      <c r="BR237" s="81"/>
      <c r="BS237" s="81"/>
      <c r="BT237" s="81"/>
    </row>
    <row r="238" spans="65:72" x14ac:dyDescent="0.25">
      <c r="BM238" s="81"/>
      <c r="BN238" s="81"/>
      <c r="BO238" s="81"/>
      <c r="BP238" s="81"/>
      <c r="BQ238" s="81"/>
      <c r="BR238" s="81"/>
      <c r="BS238" s="81"/>
      <c r="BT238" s="81"/>
    </row>
    <row r="239" spans="65:72" x14ac:dyDescent="0.25">
      <c r="BM239" s="81"/>
      <c r="BN239" s="81"/>
      <c r="BO239" s="81"/>
      <c r="BP239" s="81"/>
      <c r="BQ239" s="81"/>
      <c r="BR239" s="81"/>
      <c r="BS239" s="81"/>
      <c r="BT239" s="81"/>
    </row>
    <row r="240" spans="65:72" x14ac:dyDescent="0.25">
      <c r="BM240" s="81"/>
      <c r="BN240" s="81"/>
      <c r="BO240" s="81"/>
      <c r="BP240" s="81"/>
      <c r="BQ240" s="81"/>
      <c r="BR240" s="81"/>
      <c r="BS240" s="81"/>
      <c r="BT240" s="81"/>
    </row>
    <row r="241" spans="65:72" x14ac:dyDescent="0.25">
      <c r="BM241" s="81"/>
      <c r="BN241" s="81"/>
      <c r="BO241" s="81"/>
      <c r="BP241" s="81"/>
      <c r="BQ241" s="81"/>
      <c r="BR241" s="81"/>
      <c r="BS241" s="81"/>
      <c r="BT241" s="81"/>
    </row>
    <row r="242" spans="65:72" x14ac:dyDescent="0.25">
      <c r="BM242" s="81"/>
      <c r="BN242" s="81"/>
      <c r="BO242" s="81"/>
      <c r="BP242" s="81"/>
      <c r="BQ242" s="81"/>
      <c r="BR242" s="81"/>
      <c r="BS242" s="81"/>
      <c r="BT242" s="81"/>
    </row>
    <row r="243" spans="65:72" x14ac:dyDescent="0.25">
      <c r="BM243" s="81"/>
      <c r="BN243" s="81"/>
      <c r="BO243" s="81"/>
      <c r="BP243" s="81"/>
      <c r="BQ243" s="81"/>
      <c r="BR243" s="81"/>
      <c r="BS243" s="81"/>
      <c r="BT243" s="81"/>
    </row>
    <row r="244" spans="65:72" x14ac:dyDescent="0.25">
      <c r="BM244" s="81"/>
      <c r="BN244" s="81"/>
      <c r="BO244" s="81"/>
      <c r="BP244" s="81"/>
      <c r="BQ244" s="81"/>
      <c r="BR244" s="81"/>
      <c r="BS244" s="81"/>
      <c r="BT244" s="81"/>
    </row>
    <row r="245" spans="65:72" x14ac:dyDescent="0.25">
      <c r="BM245" s="81"/>
      <c r="BN245" s="81"/>
      <c r="BO245" s="81"/>
      <c r="BP245" s="81"/>
      <c r="BQ245" s="81"/>
      <c r="BR245" s="81"/>
      <c r="BS245" s="81"/>
      <c r="BT245" s="81"/>
    </row>
    <row r="246" spans="65:72" x14ac:dyDescent="0.25">
      <c r="BM246" s="81"/>
      <c r="BN246" s="81"/>
      <c r="BO246" s="81"/>
      <c r="BP246" s="81"/>
      <c r="BQ246" s="81"/>
      <c r="BR246" s="81"/>
      <c r="BS246" s="81"/>
      <c r="BT246" s="81"/>
    </row>
    <row r="247" spans="65:72" x14ac:dyDescent="0.25">
      <c r="BM247" s="81"/>
      <c r="BN247" s="81"/>
      <c r="BO247" s="81"/>
      <c r="BP247" s="81"/>
      <c r="BQ247" s="81"/>
      <c r="BR247" s="81"/>
      <c r="BS247" s="81"/>
      <c r="BT247" s="81"/>
    </row>
    <row r="248" spans="65:72" x14ac:dyDescent="0.25">
      <c r="BM248" s="81"/>
      <c r="BN248" s="81"/>
      <c r="BO248" s="81"/>
      <c r="BP248" s="81"/>
      <c r="BQ248" s="81"/>
      <c r="BR248" s="81"/>
      <c r="BS248" s="81"/>
      <c r="BT248" s="81"/>
    </row>
    <row r="249" spans="65:72" x14ac:dyDescent="0.25">
      <c r="BM249" s="81"/>
      <c r="BN249" s="81"/>
      <c r="BO249" s="81"/>
      <c r="BP249" s="81"/>
      <c r="BQ249" s="81"/>
      <c r="BR249" s="81"/>
      <c r="BS249" s="81"/>
      <c r="BT249" s="81"/>
    </row>
    <row r="250" spans="65:72" x14ac:dyDescent="0.25">
      <c r="BM250" s="81"/>
      <c r="BN250" s="81"/>
      <c r="BO250" s="81"/>
      <c r="BP250" s="81"/>
      <c r="BQ250" s="81"/>
      <c r="BR250" s="81"/>
      <c r="BS250" s="81"/>
      <c r="BT250" s="81"/>
    </row>
    <row r="251" spans="65:72" x14ac:dyDescent="0.25">
      <c r="BM251" s="81"/>
      <c r="BN251" s="81"/>
      <c r="BO251" s="81"/>
      <c r="BP251" s="81"/>
      <c r="BQ251" s="81"/>
      <c r="BR251" s="81"/>
      <c r="BS251" s="81"/>
      <c r="BT251" s="81"/>
    </row>
    <row r="252" spans="65:72" x14ac:dyDescent="0.25">
      <c r="BM252" s="81"/>
      <c r="BN252" s="81"/>
      <c r="BO252" s="81"/>
      <c r="BP252" s="81"/>
      <c r="BQ252" s="81"/>
      <c r="BR252" s="81"/>
      <c r="BS252" s="81"/>
      <c r="BT252" s="81"/>
    </row>
    <row r="253" spans="65:72" x14ac:dyDescent="0.25">
      <c r="BM253" s="81"/>
      <c r="BN253" s="81"/>
      <c r="BO253" s="81"/>
      <c r="BP253" s="81"/>
      <c r="BQ253" s="81"/>
      <c r="BR253" s="81"/>
      <c r="BS253" s="81"/>
      <c r="BT253" s="81"/>
    </row>
    <row r="254" spans="65:72" x14ac:dyDescent="0.25">
      <c r="BM254" s="81"/>
      <c r="BN254" s="81"/>
      <c r="BO254" s="81"/>
      <c r="BP254" s="81"/>
      <c r="BQ254" s="81"/>
      <c r="BR254" s="81"/>
      <c r="BS254" s="81"/>
      <c r="BT254" s="81"/>
    </row>
    <row r="255" spans="65:72" x14ac:dyDescent="0.25">
      <c r="BM255" s="81"/>
      <c r="BN255" s="81"/>
      <c r="BO255" s="81"/>
      <c r="BP255" s="81"/>
      <c r="BQ255" s="81"/>
      <c r="BR255" s="81"/>
      <c r="BS255" s="81"/>
      <c r="BT255" s="81"/>
    </row>
    <row r="256" spans="65:72" x14ac:dyDescent="0.25">
      <c r="BM256" s="81"/>
      <c r="BN256" s="81"/>
      <c r="BO256" s="81"/>
      <c r="BP256" s="81"/>
      <c r="BQ256" s="81"/>
      <c r="BR256" s="81"/>
      <c r="BS256" s="81"/>
      <c r="BT256" s="81"/>
    </row>
    <row r="257" spans="65:72" x14ac:dyDescent="0.25">
      <c r="BM257" s="81"/>
      <c r="BN257" s="81"/>
      <c r="BO257" s="81"/>
      <c r="BP257" s="81"/>
      <c r="BQ257" s="81"/>
      <c r="BR257" s="81"/>
      <c r="BS257" s="81"/>
      <c r="BT257" s="81"/>
    </row>
    <row r="258" spans="65:72" x14ac:dyDescent="0.25">
      <c r="BM258" s="81"/>
      <c r="BN258" s="81"/>
      <c r="BO258" s="81"/>
      <c r="BP258" s="81"/>
      <c r="BQ258" s="81"/>
      <c r="BR258" s="81"/>
      <c r="BS258" s="81"/>
      <c r="BT258" s="81"/>
    </row>
    <row r="259" spans="65:72" x14ac:dyDescent="0.25">
      <c r="BM259" s="81"/>
      <c r="BN259" s="81"/>
      <c r="BO259" s="81"/>
      <c r="BP259" s="81"/>
      <c r="BQ259" s="81"/>
      <c r="BR259" s="81"/>
      <c r="BS259" s="81"/>
      <c r="BT259" s="81"/>
    </row>
    <row r="260" spans="65:72" x14ac:dyDescent="0.25">
      <c r="BM260" s="81"/>
      <c r="BN260" s="81"/>
      <c r="BO260" s="81"/>
      <c r="BP260" s="81"/>
      <c r="BQ260" s="81"/>
      <c r="BR260" s="81"/>
      <c r="BS260" s="81"/>
      <c r="BT260" s="81"/>
    </row>
    <row r="261" spans="65:72" x14ac:dyDescent="0.25">
      <c r="BM261" s="81"/>
      <c r="BN261" s="81"/>
      <c r="BO261" s="81"/>
      <c r="BP261" s="81"/>
      <c r="BQ261" s="81"/>
      <c r="BR261" s="81"/>
      <c r="BS261" s="81"/>
      <c r="BT261" s="81"/>
    </row>
    <row r="262" spans="65:72" x14ac:dyDescent="0.25">
      <c r="BM262" s="81"/>
      <c r="BN262" s="81"/>
      <c r="BO262" s="81"/>
      <c r="BP262" s="81"/>
      <c r="BQ262" s="81"/>
      <c r="BR262" s="81"/>
      <c r="BS262" s="81"/>
      <c r="BT262" s="81"/>
    </row>
    <row r="263" spans="65:72" x14ac:dyDescent="0.25">
      <c r="BM263" s="81"/>
      <c r="BN263" s="81"/>
      <c r="BO263" s="81"/>
      <c r="BP263" s="81"/>
      <c r="BQ263" s="81"/>
      <c r="BR263" s="81"/>
      <c r="BS263" s="81"/>
      <c r="BT263" s="81"/>
    </row>
    <row r="264" spans="65:72" x14ac:dyDescent="0.25">
      <c r="BM264" s="81"/>
      <c r="BN264" s="81"/>
      <c r="BO264" s="81"/>
      <c r="BP264" s="81"/>
      <c r="BQ264" s="81"/>
      <c r="BR264" s="81"/>
      <c r="BS264" s="81"/>
      <c r="BT264" s="81"/>
    </row>
    <row r="265" spans="65:72" x14ac:dyDescent="0.25">
      <c r="BM265" s="81"/>
      <c r="BN265" s="81"/>
      <c r="BO265" s="81"/>
      <c r="BP265" s="81"/>
      <c r="BQ265" s="81"/>
      <c r="BR265" s="81"/>
      <c r="BS265" s="81"/>
      <c r="BT265" s="81"/>
    </row>
    <row r="266" spans="65:72" x14ac:dyDescent="0.25">
      <c r="BM266" s="81"/>
      <c r="BN266" s="81"/>
      <c r="BO266" s="81"/>
      <c r="BP266" s="81"/>
      <c r="BQ266" s="81"/>
      <c r="BR266" s="81"/>
      <c r="BS266" s="81"/>
      <c r="BT266" s="81"/>
    </row>
    <row r="267" spans="65:72" x14ac:dyDescent="0.25">
      <c r="BM267" s="81"/>
      <c r="BN267" s="81"/>
      <c r="BO267" s="81"/>
      <c r="BP267" s="81"/>
      <c r="BQ267" s="81"/>
      <c r="BR267" s="81"/>
      <c r="BS267" s="81"/>
      <c r="BT267" s="81"/>
    </row>
    <row r="268" spans="65:72" x14ac:dyDescent="0.25">
      <c r="BM268" s="81"/>
      <c r="BN268" s="81"/>
      <c r="BO268" s="81"/>
      <c r="BP268" s="81"/>
      <c r="BQ268" s="81"/>
      <c r="BR268" s="81"/>
      <c r="BS268" s="81"/>
      <c r="BT268" s="81"/>
    </row>
    <row r="269" spans="65:72" x14ac:dyDescent="0.25">
      <c r="BM269" s="81"/>
      <c r="BN269" s="81"/>
      <c r="BO269" s="81"/>
      <c r="BP269" s="81"/>
      <c r="BQ269" s="81"/>
      <c r="BR269" s="81"/>
      <c r="BS269" s="81"/>
      <c r="BT269" s="81"/>
    </row>
    <row r="270" spans="65:72" x14ac:dyDescent="0.25">
      <c r="BM270" s="81"/>
      <c r="BN270" s="81"/>
      <c r="BO270" s="81"/>
      <c r="BP270" s="81"/>
      <c r="BQ270" s="81"/>
      <c r="BR270" s="81"/>
      <c r="BS270" s="81"/>
      <c r="BT270" s="81"/>
    </row>
    <row r="271" spans="65:72" x14ac:dyDescent="0.25">
      <c r="BM271" s="81"/>
      <c r="BN271" s="81"/>
      <c r="BO271" s="81"/>
      <c r="BP271" s="81"/>
      <c r="BQ271" s="81"/>
      <c r="BR271" s="81"/>
      <c r="BS271" s="81"/>
      <c r="BT271" s="81"/>
    </row>
    <row r="272" spans="65:72" x14ac:dyDescent="0.25">
      <c r="BM272" s="81"/>
      <c r="BN272" s="81"/>
      <c r="BO272" s="81"/>
      <c r="BP272" s="81"/>
      <c r="BQ272" s="81"/>
      <c r="BR272" s="81"/>
      <c r="BS272" s="81"/>
      <c r="BT272" s="81"/>
    </row>
    <row r="273" spans="65:72" x14ac:dyDescent="0.25">
      <c r="BM273" s="81"/>
      <c r="BN273" s="81"/>
      <c r="BO273" s="81"/>
      <c r="BP273" s="81"/>
      <c r="BQ273" s="81"/>
      <c r="BR273" s="81"/>
      <c r="BS273" s="81"/>
      <c r="BT273" s="81"/>
    </row>
    <row r="274" spans="65:72" x14ac:dyDescent="0.25">
      <c r="BM274" s="81"/>
      <c r="BN274" s="81"/>
      <c r="BO274" s="81"/>
      <c r="BP274" s="81"/>
      <c r="BQ274" s="81"/>
      <c r="BR274" s="81"/>
      <c r="BS274" s="81"/>
      <c r="BT274" s="81"/>
    </row>
    <row r="275" spans="65:72" x14ac:dyDescent="0.25">
      <c r="BM275" s="81"/>
      <c r="BN275" s="81"/>
      <c r="BO275" s="81"/>
      <c r="BP275" s="81"/>
      <c r="BQ275" s="81"/>
      <c r="BR275" s="81"/>
      <c r="BS275" s="81"/>
      <c r="BT275" s="81"/>
    </row>
    <row r="276" spans="65:72" x14ac:dyDescent="0.25">
      <c r="BM276" s="81"/>
      <c r="BN276" s="81"/>
      <c r="BO276" s="81"/>
      <c r="BP276" s="81"/>
      <c r="BQ276" s="81"/>
      <c r="BR276" s="81"/>
      <c r="BS276" s="81"/>
      <c r="BT276" s="81"/>
    </row>
    <row r="277" spans="65:72" x14ac:dyDescent="0.25">
      <c r="BM277" s="81"/>
      <c r="BN277" s="81"/>
      <c r="BO277" s="81"/>
      <c r="BP277" s="81"/>
      <c r="BQ277" s="81"/>
      <c r="BR277" s="81"/>
      <c r="BS277" s="81"/>
      <c r="BT277" s="81"/>
    </row>
    <row r="278" spans="65:72" x14ac:dyDescent="0.25">
      <c r="BM278" s="81"/>
      <c r="BN278" s="81"/>
      <c r="BO278" s="81"/>
      <c r="BP278" s="81"/>
      <c r="BQ278" s="81"/>
      <c r="BR278" s="81"/>
      <c r="BS278" s="81"/>
      <c r="BT278" s="81"/>
    </row>
    <row r="279" spans="65:72" x14ac:dyDescent="0.25">
      <c r="BM279" s="81"/>
      <c r="BN279" s="81"/>
      <c r="BO279" s="81"/>
      <c r="BP279" s="81"/>
      <c r="BQ279" s="81"/>
      <c r="BR279" s="81"/>
      <c r="BS279" s="81"/>
      <c r="BT279" s="81"/>
    </row>
    <row r="280" spans="65:72" x14ac:dyDescent="0.25">
      <c r="BM280" s="81"/>
      <c r="BN280" s="81"/>
      <c r="BO280" s="81"/>
      <c r="BP280" s="81"/>
      <c r="BQ280" s="81"/>
      <c r="BR280" s="81"/>
      <c r="BS280" s="81"/>
      <c r="BT280" s="81"/>
    </row>
    <row r="281" spans="65:72" x14ac:dyDescent="0.25">
      <c r="BM281" s="81"/>
      <c r="BN281" s="81"/>
      <c r="BO281" s="81"/>
      <c r="BP281" s="81"/>
      <c r="BQ281" s="81"/>
      <c r="BR281" s="81"/>
      <c r="BS281" s="81"/>
      <c r="BT281" s="81"/>
    </row>
    <row r="282" spans="65:72" x14ac:dyDescent="0.25">
      <c r="BM282" s="81"/>
      <c r="BN282" s="81"/>
      <c r="BO282" s="81"/>
      <c r="BP282" s="81"/>
      <c r="BQ282" s="81"/>
      <c r="BR282" s="81"/>
      <c r="BS282" s="81"/>
      <c r="BT282" s="81"/>
    </row>
    <row r="283" spans="65:72" x14ac:dyDescent="0.25">
      <c r="BM283" s="81"/>
      <c r="BN283" s="81"/>
      <c r="BO283" s="81"/>
      <c r="BP283" s="81"/>
      <c r="BQ283" s="81"/>
      <c r="BR283" s="81"/>
      <c r="BS283" s="81"/>
      <c r="BT283" s="81"/>
    </row>
    <row r="284" spans="65:72" x14ac:dyDescent="0.25">
      <c r="BM284" s="81"/>
      <c r="BN284" s="81"/>
      <c r="BO284" s="81"/>
      <c r="BP284" s="81"/>
      <c r="BQ284" s="81"/>
      <c r="BR284" s="81"/>
      <c r="BS284" s="81"/>
      <c r="BT284" s="81"/>
    </row>
    <row r="285" spans="65:72" x14ac:dyDescent="0.25">
      <c r="BM285" s="81"/>
      <c r="BN285" s="81"/>
      <c r="BO285" s="81"/>
      <c r="BP285" s="81"/>
      <c r="BQ285" s="81"/>
      <c r="BR285" s="81"/>
      <c r="BS285" s="81"/>
      <c r="BT285" s="81"/>
    </row>
    <row r="286" spans="65:72" x14ac:dyDescent="0.25">
      <c r="BM286" s="81"/>
      <c r="BN286" s="81"/>
      <c r="BO286" s="81"/>
      <c r="BP286" s="81"/>
      <c r="BQ286" s="81"/>
      <c r="BR286" s="81"/>
      <c r="BS286" s="81"/>
      <c r="BT286" s="81"/>
    </row>
    <row r="287" spans="65:72" x14ac:dyDescent="0.25">
      <c r="BM287" s="81"/>
      <c r="BN287" s="81"/>
      <c r="BO287" s="81"/>
      <c r="BP287" s="81"/>
      <c r="BQ287" s="81"/>
      <c r="BR287" s="81"/>
      <c r="BS287" s="81"/>
      <c r="BT287" s="81"/>
    </row>
    <row r="288" spans="65:72" x14ac:dyDescent="0.25">
      <c r="BM288" s="81"/>
      <c r="BN288" s="81"/>
      <c r="BO288" s="81"/>
      <c r="BP288" s="81"/>
      <c r="BQ288" s="81"/>
      <c r="BR288" s="81"/>
      <c r="BS288" s="81"/>
      <c r="BT288" s="81"/>
    </row>
    <row r="289" spans="65:72" x14ac:dyDescent="0.25">
      <c r="BM289" s="81"/>
      <c r="BN289" s="81"/>
      <c r="BO289" s="81"/>
      <c r="BP289" s="81"/>
      <c r="BQ289" s="81"/>
      <c r="BR289" s="81"/>
      <c r="BS289" s="81"/>
      <c r="BT289" s="81"/>
    </row>
    <row r="290" spans="65:72" x14ac:dyDescent="0.25">
      <c r="BM290" s="81"/>
      <c r="BN290" s="81"/>
      <c r="BO290" s="81"/>
      <c r="BP290" s="81"/>
      <c r="BQ290" s="81"/>
      <c r="BR290" s="81"/>
      <c r="BS290" s="81"/>
      <c r="BT290" s="81"/>
    </row>
    <row r="291" spans="65:72" x14ac:dyDescent="0.25">
      <c r="BM291" s="81"/>
      <c r="BN291" s="81"/>
      <c r="BO291" s="81"/>
      <c r="BP291" s="81"/>
      <c r="BQ291" s="81"/>
      <c r="BR291" s="81"/>
      <c r="BS291" s="81"/>
      <c r="BT291" s="81"/>
    </row>
    <row r="292" spans="65:72" x14ac:dyDescent="0.25">
      <c r="BM292" s="81"/>
      <c r="BN292" s="81"/>
      <c r="BO292" s="81"/>
      <c r="BP292" s="81"/>
      <c r="BQ292" s="81"/>
      <c r="BR292" s="81"/>
      <c r="BS292" s="81"/>
      <c r="BT292" s="81"/>
    </row>
    <row r="293" spans="65:72" x14ac:dyDescent="0.25">
      <c r="BM293" s="81"/>
      <c r="BN293" s="81"/>
      <c r="BO293" s="81"/>
      <c r="BP293" s="81"/>
      <c r="BQ293" s="81"/>
      <c r="BR293" s="81"/>
      <c r="BS293" s="81"/>
      <c r="BT293" s="81"/>
    </row>
    <row r="294" spans="65:72" x14ac:dyDescent="0.25">
      <c r="BM294" s="81"/>
      <c r="BN294" s="81"/>
      <c r="BO294" s="81"/>
      <c r="BP294" s="81"/>
      <c r="BQ294" s="81"/>
      <c r="BR294" s="81"/>
      <c r="BS294" s="81"/>
      <c r="BT294" s="81"/>
    </row>
    <row r="295" spans="65:72" x14ac:dyDescent="0.25">
      <c r="BM295" s="81"/>
      <c r="BN295" s="81"/>
      <c r="BO295" s="81"/>
      <c r="BP295" s="81"/>
      <c r="BQ295" s="81"/>
      <c r="BR295" s="81"/>
      <c r="BS295" s="81"/>
      <c r="BT295" s="81"/>
    </row>
    <row r="296" spans="65:72" x14ac:dyDescent="0.25">
      <c r="BM296" s="81"/>
      <c r="BN296" s="81"/>
      <c r="BO296" s="81"/>
      <c r="BP296" s="81"/>
      <c r="BQ296" s="81"/>
      <c r="BR296" s="81"/>
      <c r="BS296" s="81"/>
      <c r="BT296" s="81"/>
    </row>
    <row r="297" spans="65:72" x14ac:dyDescent="0.25">
      <c r="BM297" s="81"/>
      <c r="BN297" s="81"/>
      <c r="BO297" s="81"/>
      <c r="BP297" s="81"/>
      <c r="BQ297" s="81"/>
      <c r="BR297" s="81"/>
      <c r="BS297" s="81"/>
      <c r="BT297" s="81"/>
    </row>
    <row r="298" spans="65:72" x14ac:dyDescent="0.25">
      <c r="BM298" s="81"/>
      <c r="BN298" s="81"/>
      <c r="BO298" s="81"/>
      <c r="BP298" s="81"/>
      <c r="BQ298" s="81"/>
      <c r="BR298" s="81"/>
      <c r="BS298" s="81"/>
      <c r="BT298" s="81"/>
    </row>
    <row r="299" spans="65:72" x14ac:dyDescent="0.25">
      <c r="BM299" s="81"/>
      <c r="BN299" s="81"/>
      <c r="BO299" s="81"/>
      <c r="BP299" s="81"/>
      <c r="BQ299" s="81"/>
      <c r="BR299" s="81"/>
      <c r="BS299" s="81"/>
      <c r="BT299" s="81"/>
    </row>
    <row r="300" spans="65:72" x14ac:dyDescent="0.25">
      <c r="BM300" s="81"/>
      <c r="BN300" s="81"/>
      <c r="BO300" s="81"/>
      <c r="BP300" s="81"/>
      <c r="BQ300" s="81"/>
      <c r="BR300" s="81"/>
      <c r="BS300" s="81"/>
      <c r="BT300" s="81"/>
    </row>
    <row r="301" spans="65:72" x14ac:dyDescent="0.25">
      <c r="BM301" s="81"/>
      <c r="BN301" s="81"/>
      <c r="BO301" s="81"/>
      <c r="BP301" s="81"/>
      <c r="BQ301" s="81"/>
      <c r="BR301" s="81"/>
      <c r="BS301" s="81"/>
      <c r="BT301" s="81"/>
    </row>
    <row r="302" spans="65:72" x14ac:dyDescent="0.25">
      <c r="BM302" s="81"/>
      <c r="BN302" s="81"/>
      <c r="BO302" s="81"/>
      <c r="BP302" s="81"/>
      <c r="BQ302" s="81"/>
      <c r="BR302" s="81"/>
      <c r="BS302" s="81"/>
      <c r="BT302" s="81"/>
    </row>
    <row r="303" spans="65:72" x14ac:dyDescent="0.25">
      <c r="BM303" s="81"/>
      <c r="BN303" s="81"/>
      <c r="BO303" s="81"/>
      <c r="BP303" s="81"/>
      <c r="BQ303" s="81"/>
      <c r="BR303" s="81"/>
      <c r="BS303" s="81"/>
      <c r="BT303" s="81"/>
    </row>
    <row r="304" spans="65:72" x14ac:dyDescent="0.25">
      <c r="BM304" s="81"/>
      <c r="BN304" s="81"/>
      <c r="BO304" s="81"/>
      <c r="BP304" s="81"/>
      <c r="BQ304" s="81"/>
      <c r="BR304" s="81"/>
      <c r="BS304" s="81"/>
      <c r="BT304" s="81"/>
    </row>
    <row r="305" spans="65:72" x14ac:dyDescent="0.25">
      <c r="BM305" s="81"/>
      <c r="BN305" s="81"/>
      <c r="BO305" s="81"/>
      <c r="BP305" s="81"/>
      <c r="BQ305" s="81"/>
      <c r="BR305" s="81"/>
      <c r="BS305" s="81"/>
      <c r="BT305" s="81"/>
    </row>
    <row r="306" spans="65:72" x14ac:dyDescent="0.25">
      <c r="BM306" s="81"/>
      <c r="BN306" s="81"/>
      <c r="BO306" s="81"/>
      <c r="BP306" s="81"/>
      <c r="BQ306" s="81"/>
      <c r="BR306" s="81"/>
      <c r="BS306" s="81"/>
      <c r="BT306" s="81"/>
    </row>
    <row r="307" spans="65:72" x14ac:dyDescent="0.25">
      <c r="BM307" s="81"/>
      <c r="BN307" s="81"/>
      <c r="BO307" s="81"/>
      <c r="BP307" s="81"/>
      <c r="BQ307" s="81"/>
      <c r="BR307" s="81"/>
      <c r="BS307" s="81"/>
      <c r="BT307" s="81"/>
    </row>
    <row r="308" spans="65:72" x14ac:dyDescent="0.25">
      <c r="BM308" s="81"/>
      <c r="BN308" s="81"/>
      <c r="BO308" s="81"/>
      <c r="BP308" s="81"/>
      <c r="BQ308" s="81"/>
      <c r="BR308" s="81"/>
      <c r="BS308" s="81"/>
      <c r="BT308" s="81"/>
    </row>
    <row r="309" spans="65:72" x14ac:dyDescent="0.25">
      <c r="BM309" s="81"/>
      <c r="BN309" s="81"/>
      <c r="BO309" s="81"/>
      <c r="BP309" s="81"/>
      <c r="BQ309" s="81"/>
      <c r="BR309" s="81"/>
      <c r="BS309" s="81"/>
      <c r="BT309" s="81"/>
    </row>
    <row r="310" spans="65:72" x14ac:dyDescent="0.25">
      <c r="BM310" s="81"/>
      <c r="BN310" s="81"/>
      <c r="BO310" s="81"/>
      <c r="BP310" s="81"/>
      <c r="BQ310" s="81"/>
      <c r="BR310" s="81"/>
      <c r="BS310" s="81"/>
      <c r="BT310" s="81"/>
    </row>
    <row r="311" spans="65:72" x14ac:dyDescent="0.25">
      <c r="BM311" s="81"/>
      <c r="BN311" s="81"/>
      <c r="BO311" s="81"/>
      <c r="BP311" s="81"/>
      <c r="BQ311" s="81"/>
      <c r="BR311" s="81"/>
      <c r="BS311" s="81"/>
      <c r="BT311" s="81"/>
    </row>
    <row r="312" spans="65:72" x14ac:dyDescent="0.25">
      <c r="BM312" s="81"/>
      <c r="BN312" s="81"/>
      <c r="BO312" s="81"/>
      <c r="BP312" s="81"/>
      <c r="BQ312" s="81"/>
      <c r="BR312" s="81"/>
      <c r="BS312" s="81"/>
      <c r="BT312" s="81"/>
    </row>
    <row r="313" spans="65:72" x14ac:dyDescent="0.25">
      <c r="BM313" s="81"/>
      <c r="BN313" s="81"/>
      <c r="BO313" s="81"/>
      <c r="BP313" s="81"/>
      <c r="BQ313" s="81"/>
      <c r="BR313" s="81"/>
      <c r="BS313" s="81"/>
      <c r="BT313" s="81"/>
    </row>
    <row r="314" spans="65:72" x14ac:dyDescent="0.25">
      <c r="BM314" s="81"/>
      <c r="BN314" s="81"/>
      <c r="BO314" s="81"/>
      <c r="BP314" s="81"/>
      <c r="BQ314" s="81"/>
      <c r="BR314" s="81"/>
      <c r="BS314" s="81"/>
      <c r="BT314" s="81"/>
    </row>
    <row r="315" spans="65:72" x14ac:dyDescent="0.25">
      <c r="BM315" s="81"/>
      <c r="BN315" s="81"/>
      <c r="BO315" s="81"/>
      <c r="BP315" s="81"/>
      <c r="BQ315" s="81"/>
      <c r="BR315" s="81"/>
      <c r="BS315" s="81"/>
      <c r="BT315" s="81"/>
    </row>
    <row r="316" spans="65:72" x14ac:dyDescent="0.25">
      <c r="BM316" s="81"/>
      <c r="BN316" s="81"/>
      <c r="BO316" s="81"/>
      <c r="BP316" s="81"/>
      <c r="BQ316" s="81"/>
      <c r="BR316" s="81"/>
      <c r="BS316" s="81"/>
      <c r="BT316" s="81"/>
    </row>
    <row r="317" spans="65:72" x14ac:dyDescent="0.25">
      <c r="BM317" s="81"/>
      <c r="BN317" s="81"/>
      <c r="BO317" s="81"/>
      <c r="BP317" s="81"/>
      <c r="BQ317" s="81"/>
      <c r="BR317" s="81"/>
      <c r="BS317" s="81"/>
      <c r="BT317" s="81"/>
    </row>
    <row r="318" spans="65:72" x14ac:dyDescent="0.25">
      <c r="BM318" s="81"/>
      <c r="BN318" s="81"/>
      <c r="BO318" s="81"/>
      <c r="BP318" s="81"/>
      <c r="BQ318" s="81"/>
      <c r="BR318" s="81"/>
      <c r="BS318" s="81"/>
      <c r="BT318" s="81"/>
    </row>
    <row r="319" spans="65:72" x14ac:dyDescent="0.25">
      <c r="BM319" s="81"/>
      <c r="BN319" s="81"/>
      <c r="BO319" s="81"/>
      <c r="BP319" s="81"/>
      <c r="BQ319" s="81"/>
      <c r="BR319" s="81"/>
      <c r="BS319" s="81"/>
      <c r="BT319" s="81"/>
    </row>
    <row r="320" spans="65:72" x14ac:dyDescent="0.25">
      <c r="BM320" s="81"/>
      <c r="BN320" s="81"/>
      <c r="BO320" s="81"/>
      <c r="BP320" s="81"/>
      <c r="BQ320" s="81"/>
      <c r="BR320" s="81"/>
      <c r="BS320" s="81"/>
      <c r="BT320" s="81"/>
    </row>
    <row r="321" spans="65:72" x14ac:dyDescent="0.25">
      <c r="BM321" s="81"/>
      <c r="BN321" s="81"/>
      <c r="BO321" s="81"/>
      <c r="BP321" s="81"/>
      <c r="BQ321" s="81"/>
      <c r="BR321" s="81"/>
      <c r="BS321" s="81"/>
      <c r="BT321" s="81"/>
    </row>
    <row r="322" spans="65:72" x14ac:dyDescent="0.25">
      <c r="BM322" s="81"/>
      <c r="BN322" s="81"/>
      <c r="BO322" s="81"/>
      <c r="BP322" s="81"/>
      <c r="BQ322" s="81"/>
      <c r="BR322" s="81"/>
      <c r="BS322" s="81"/>
      <c r="BT322" s="81"/>
    </row>
    <row r="323" spans="65:72" x14ac:dyDescent="0.25">
      <c r="BM323" s="81"/>
      <c r="BN323" s="81"/>
      <c r="BO323" s="81"/>
      <c r="BP323" s="81"/>
      <c r="BQ323" s="81"/>
      <c r="BR323" s="81"/>
      <c r="BS323" s="81"/>
      <c r="BT323" s="81"/>
    </row>
    <row r="324" spans="65:72" x14ac:dyDescent="0.25">
      <c r="BM324" s="81"/>
      <c r="BN324" s="81"/>
      <c r="BO324" s="81"/>
      <c r="BP324" s="81"/>
      <c r="BQ324" s="81"/>
      <c r="BR324" s="81"/>
      <c r="BS324" s="81"/>
      <c r="BT324" s="81"/>
    </row>
    <row r="325" spans="65:72" x14ac:dyDescent="0.25">
      <c r="BM325" s="81"/>
      <c r="BN325" s="81"/>
      <c r="BO325" s="81"/>
      <c r="BP325" s="81"/>
      <c r="BQ325" s="81"/>
      <c r="BR325" s="81"/>
      <c r="BS325" s="81"/>
      <c r="BT325" s="81"/>
    </row>
    <row r="326" spans="65:72" x14ac:dyDescent="0.25">
      <c r="BM326" s="81"/>
      <c r="BN326" s="81"/>
      <c r="BO326" s="81"/>
      <c r="BP326" s="81"/>
      <c r="BQ326" s="81"/>
      <c r="BR326" s="81"/>
      <c r="BS326" s="81"/>
      <c r="BT326" s="81"/>
    </row>
    <row r="327" spans="65:72" x14ac:dyDescent="0.25">
      <c r="BM327" s="81"/>
      <c r="BN327" s="81"/>
      <c r="BO327" s="81"/>
      <c r="BP327" s="81"/>
      <c r="BQ327" s="81"/>
      <c r="BR327" s="81"/>
      <c r="BS327" s="81"/>
      <c r="BT327" s="81"/>
    </row>
    <row r="328" spans="65:72" x14ac:dyDescent="0.25">
      <c r="BM328" s="81"/>
      <c r="BN328" s="81"/>
      <c r="BO328" s="81"/>
      <c r="BP328" s="81"/>
      <c r="BQ328" s="81"/>
      <c r="BR328" s="81"/>
      <c r="BS328" s="81"/>
      <c r="BT328" s="81"/>
    </row>
    <row r="329" spans="65:72" x14ac:dyDescent="0.25">
      <c r="BM329" s="81"/>
      <c r="BN329" s="81"/>
      <c r="BO329" s="81"/>
      <c r="BP329" s="81"/>
      <c r="BQ329" s="81"/>
      <c r="BR329" s="81"/>
      <c r="BS329" s="81"/>
      <c r="BT329" s="81"/>
    </row>
    <row r="330" spans="65:72" x14ac:dyDescent="0.25">
      <c r="BM330" s="81"/>
      <c r="BN330" s="81"/>
      <c r="BO330" s="81"/>
      <c r="BP330" s="81"/>
      <c r="BQ330" s="81"/>
      <c r="BR330" s="81"/>
      <c r="BS330" s="81"/>
      <c r="BT330" s="81"/>
    </row>
    <row r="331" spans="65:72" x14ac:dyDescent="0.25">
      <c r="BM331" s="81"/>
      <c r="BN331" s="81"/>
      <c r="BO331" s="81"/>
      <c r="BP331" s="81"/>
      <c r="BQ331" s="81"/>
      <c r="BR331" s="81"/>
      <c r="BS331" s="81"/>
      <c r="BT331" s="81"/>
    </row>
    <row r="332" spans="65:72" x14ac:dyDescent="0.25">
      <c r="BM332" s="81"/>
      <c r="BN332" s="81"/>
      <c r="BO332" s="81"/>
      <c r="BP332" s="81"/>
      <c r="BQ332" s="81"/>
      <c r="BR332" s="81"/>
      <c r="BS332" s="81"/>
      <c r="BT332" s="81"/>
    </row>
    <row r="333" spans="65:72" x14ac:dyDescent="0.25">
      <c r="BM333" s="81"/>
      <c r="BN333" s="81"/>
      <c r="BO333" s="81"/>
      <c r="BP333" s="81"/>
      <c r="BQ333" s="81"/>
      <c r="BR333" s="81"/>
      <c r="BS333" s="81"/>
      <c r="BT333" s="81"/>
    </row>
    <row r="334" spans="65:72" x14ac:dyDescent="0.25">
      <c r="BM334" s="81"/>
      <c r="BN334" s="81"/>
      <c r="BO334" s="81"/>
      <c r="BP334" s="81"/>
      <c r="BQ334" s="81"/>
      <c r="BR334" s="81"/>
      <c r="BS334" s="81"/>
      <c r="BT334" s="81"/>
    </row>
    <row r="335" spans="65:72" x14ac:dyDescent="0.25">
      <c r="BM335" s="81"/>
      <c r="BN335" s="81"/>
      <c r="BO335" s="81"/>
      <c r="BP335" s="81"/>
      <c r="BQ335" s="81"/>
      <c r="BR335" s="81"/>
      <c r="BS335" s="81"/>
      <c r="BT335" s="81"/>
    </row>
    <row r="336" spans="65:72" x14ac:dyDescent="0.25">
      <c r="BM336" s="81"/>
      <c r="BN336" s="81"/>
      <c r="BO336" s="81"/>
      <c r="BP336" s="81"/>
      <c r="BQ336" s="81"/>
      <c r="BR336" s="81"/>
      <c r="BS336" s="81"/>
      <c r="BT336" s="81"/>
    </row>
    <row r="337" spans="65:72" x14ac:dyDescent="0.25">
      <c r="BM337" s="81"/>
      <c r="BN337" s="81"/>
      <c r="BO337" s="81"/>
      <c r="BP337" s="81"/>
      <c r="BQ337" s="81"/>
      <c r="BR337" s="81"/>
      <c r="BS337" s="81"/>
      <c r="BT337" s="81"/>
    </row>
    <row r="338" spans="65:72" x14ac:dyDescent="0.25">
      <c r="BM338" s="81"/>
      <c r="BN338" s="81"/>
      <c r="BO338" s="81"/>
      <c r="BP338" s="81"/>
      <c r="BQ338" s="81"/>
      <c r="BR338" s="81"/>
      <c r="BS338" s="81"/>
      <c r="BT338" s="81"/>
    </row>
    <row r="339" spans="65:72" x14ac:dyDescent="0.25">
      <c r="BM339" s="81"/>
      <c r="BN339" s="81"/>
      <c r="BO339" s="81"/>
      <c r="BP339" s="81"/>
      <c r="BQ339" s="81"/>
      <c r="BR339" s="81"/>
      <c r="BS339" s="81"/>
      <c r="BT339" s="81"/>
    </row>
    <row r="340" spans="65:72" x14ac:dyDescent="0.25">
      <c r="BM340" s="81"/>
      <c r="BN340" s="81"/>
      <c r="BO340" s="81"/>
      <c r="BP340" s="81"/>
      <c r="BQ340" s="81"/>
      <c r="BR340" s="81"/>
      <c r="BS340" s="81"/>
      <c r="BT340" s="81"/>
    </row>
    <row r="341" spans="65:72" x14ac:dyDescent="0.25">
      <c r="BM341" s="81"/>
      <c r="BN341" s="81"/>
      <c r="BO341" s="81"/>
      <c r="BP341" s="81"/>
      <c r="BQ341" s="81"/>
      <c r="BR341" s="81"/>
      <c r="BS341" s="81"/>
      <c r="BT341" s="81"/>
    </row>
    <row r="342" spans="65:72" x14ac:dyDescent="0.25">
      <c r="BM342" s="81"/>
      <c r="BN342" s="81"/>
      <c r="BO342" s="81"/>
      <c r="BP342" s="81"/>
      <c r="BQ342" s="81"/>
      <c r="BR342" s="81"/>
      <c r="BS342" s="81"/>
      <c r="BT342" s="81"/>
    </row>
    <row r="343" spans="65:72" x14ac:dyDescent="0.25">
      <c r="BM343" s="81"/>
      <c r="BN343" s="81"/>
      <c r="BO343" s="81"/>
      <c r="BP343" s="81"/>
      <c r="BQ343" s="81"/>
      <c r="BR343" s="81"/>
      <c r="BS343" s="81"/>
      <c r="BT343" s="81"/>
    </row>
    <row r="344" spans="65:72" x14ac:dyDescent="0.25">
      <c r="BM344" s="81"/>
      <c r="BN344" s="81"/>
      <c r="BO344" s="81"/>
      <c r="BP344" s="81"/>
      <c r="BQ344" s="81"/>
      <c r="BR344" s="81"/>
      <c r="BS344" s="81"/>
      <c r="BT344" s="81"/>
    </row>
    <row r="345" spans="65:72" x14ac:dyDescent="0.25">
      <c r="BM345" s="81"/>
      <c r="BN345" s="81"/>
      <c r="BO345" s="81"/>
      <c r="BP345" s="81"/>
      <c r="BQ345" s="81"/>
      <c r="BR345" s="81"/>
      <c r="BS345" s="81"/>
      <c r="BT345" s="81"/>
    </row>
    <row r="346" spans="65:72" x14ac:dyDescent="0.25">
      <c r="BM346" s="81"/>
      <c r="BN346" s="81"/>
      <c r="BO346" s="81"/>
      <c r="BP346" s="81"/>
      <c r="BQ346" s="81"/>
      <c r="BR346" s="81"/>
      <c r="BS346" s="81"/>
      <c r="BT346" s="81"/>
    </row>
    <row r="347" spans="65:72" x14ac:dyDescent="0.25">
      <c r="BM347" s="81"/>
      <c r="BN347" s="81"/>
      <c r="BO347" s="81"/>
      <c r="BP347" s="81"/>
      <c r="BQ347" s="81"/>
      <c r="BR347" s="81"/>
      <c r="BS347" s="81"/>
      <c r="BT347" s="81"/>
    </row>
    <row r="348" spans="65:72" x14ac:dyDescent="0.25">
      <c r="BM348" s="81"/>
      <c r="BN348" s="81"/>
      <c r="BO348" s="81"/>
      <c r="BP348" s="81"/>
      <c r="BQ348" s="81"/>
      <c r="BR348" s="81"/>
      <c r="BS348" s="81"/>
      <c r="BT348" s="81"/>
    </row>
    <row r="349" spans="65:72" x14ac:dyDescent="0.25">
      <c r="BM349" s="81"/>
      <c r="BN349" s="81"/>
      <c r="BO349" s="81"/>
      <c r="BP349" s="81"/>
      <c r="BQ349" s="81"/>
      <c r="BR349" s="81"/>
      <c r="BS349" s="81"/>
      <c r="BT349" s="81"/>
    </row>
    <row r="350" spans="65:72" x14ac:dyDescent="0.25">
      <c r="BM350" s="81"/>
      <c r="BN350" s="81"/>
      <c r="BO350" s="81"/>
      <c r="BP350" s="81"/>
      <c r="BQ350" s="81"/>
      <c r="BR350" s="81"/>
      <c r="BS350" s="81"/>
      <c r="BT350" s="81"/>
    </row>
    <row r="351" spans="65:72" x14ac:dyDescent="0.25">
      <c r="BM351" s="81"/>
      <c r="BN351" s="81"/>
      <c r="BO351" s="81"/>
      <c r="BP351" s="81"/>
      <c r="BQ351" s="81"/>
      <c r="BR351" s="81"/>
      <c r="BS351" s="81"/>
      <c r="BT351" s="81"/>
    </row>
    <row r="352" spans="65:72" x14ac:dyDescent="0.25">
      <c r="BM352" s="81"/>
      <c r="BN352" s="81"/>
      <c r="BO352" s="81"/>
      <c r="BP352" s="81"/>
      <c r="BQ352" s="81"/>
      <c r="BR352" s="81"/>
      <c r="BS352" s="81"/>
      <c r="BT352" s="81"/>
    </row>
    <row r="353" spans="65:72" x14ac:dyDescent="0.25">
      <c r="BM353" s="81"/>
      <c r="BN353" s="81"/>
      <c r="BO353" s="81"/>
      <c r="BP353" s="81"/>
      <c r="BQ353" s="81"/>
      <c r="BR353" s="81"/>
      <c r="BS353" s="81"/>
      <c r="BT353" s="81"/>
    </row>
    <row r="354" spans="65:72" x14ac:dyDescent="0.25">
      <c r="BM354" s="81"/>
      <c r="BN354" s="81"/>
      <c r="BO354" s="81"/>
      <c r="BP354" s="81"/>
      <c r="BQ354" s="81"/>
      <c r="BR354" s="81"/>
      <c r="BS354" s="81"/>
      <c r="BT354" s="81"/>
    </row>
    <row r="355" spans="65:72" x14ac:dyDescent="0.25">
      <c r="BM355" s="81"/>
      <c r="BN355" s="81"/>
      <c r="BO355" s="81"/>
      <c r="BP355" s="81"/>
      <c r="BQ355" s="81"/>
      <c r="BR355" s="81"/>
      <c r="BS355" s="81"/>
      <c r="BT355" s="81"/>
    </row>
    <row r="356" spans="65:72" x14ac:dyDescent="0.25">
      <c r="BM356" s="81"/>
      <c r="BN356" s="81"/>
      <c r="BO356" s="81"/>
      <c r="BP356" s="81"/>
      <c r="BQ356" s="81"/>
      <c r="BR356" s="81"/>
      <c r="BS356" s="81"/>
      <c r="BT356" s="81"/>
    </row>
    <row r="357" spans="65:72" x14ac:dyDescent="0.25">
      <c r="BM357" s="81"/>
      <c r="BN357" s="81"/>
      <c r="BO357" s="81"/>
      <c r="BP357" s="81"/>
      <c r="BQ357" s="81"/>
      <c r="BR357" s="81"/>
      <c r="BS357" s="81"/>
      <c r="BT357" s="81"/>
    </row>
    <row r="358" spans="65:72" x14ac:dyDescent="0.25">
      <c r="BM358" s="81"/>
      <c r="BN358" s="81"/>
      <c r="BO358" s="81"/>
      <c r="BP358" s="81"/>
      <c r="BQ358" s="81"/>
      <c r="BR358" s="81"/>
      <c r="BS358" s="81"/>
      <c r="BT358" s="81"/>
    </row>
    <row r="359" spans="65:72" x14ac:dyDescent="0.25">
      <c r="BM359" s="81"/>
      <c r="BN359" s="81"/>
      <c r="BO359" s="81"/>
      <c r="BP359" s="81"/>
      <c r="BQ359" s="81"/>
      <c r="BR359" s="81"/>
      <c r="BS359" s="81"/>
      <c r="BT359" s="81"/>
    </row>
    <row r="360" spans="65:72" x14ac:dyDescent="0.25">
      <c r="BM360" s="81"/>
      <c r="BN360" s="81"/>
      <c r="BO360" s="81"/>
      <c r="BP360" s="81"/>
      <c r="BQ360" s="81"/>
      <c r="BR360" s="81"/>
      <c r="BS360" s="81"/>
      <c r="BT360" s="81"/>
    </row>
    <row r="361" spans="65:72" x14ac:dyDescent="0.25">
      <c r="BM361" s="81"/>
      <c r="BN361" s="81"/>
      <c r="BO361" s="81"/>
      <c r="BP361" s="81"/>
      <c r="BQ361" s="81"/>
      <c r="BR361" s="81"/>
      <c r="BS361" s="81"/>
      <c r="BT361" s="81"/>
    </row>
    <row r="362" spans="65:72" x14ac:dyDescent="0.25">
      <c r="BM362" s="81"/>
      <c r="BN362" s="81"/>
      <c r="BO362" s="81"/>
      <c r="BP362" s="81"/>
      <c r="BQ362" s="81"/>
      <c r="BR362" s="81"/>
      <c r="BS362" s="81"/>
      <c r="BT362" s="81"/>
    </row>
    <row r="363" spans="65:72" x14ac:dyDescent="0.25">
      <c r="BM363" s="81"/>
      <c r="BN363" s="81"/>
      <c r="BO363" s="81"/>
      <c r="BP363" s="81"/>
      <c r="BQ363" s="81"/>
      <c r="BR363" s="81"/>
      <c r="BS363" s="81"/>
      <c r="BT363" s="81"/>
    </row>
    <row r="364" spans="65:72" x14ac:dyDescent="0.25">
      <c r="BM364" s="81"/>
      <c r="BN364" s="81"/>
      <c r="BO364" s="81"/>
      <c r="BP364" s="81"/>
      <c r="BQ364" s="81"/>
      <c r="BR364" s="81"/>
      <c r="BS364" s="81"/>
      <c r="BT364" s="81"/>
    </row>
    <row r="365" spans="65:72" x14ac:dyDescent="0.25">
      <c r="BM365" s="81"/>
      <c r="BN365" s="81"/>
      <c r="BO365" s="81"/>
      <c r="BP365" s="81"/>
      <c r="BQ365" s="81"/>
      <c r="BR365" s="81"/>
      <c r="BS365" s="81"/>
      <c r="BT365" s="81"/>
    </row>
    <row r="366" spans="65:72" x14ac:dyDescent="0.25">
      <c r="BM366" s="81"/>
      <c r="BN366" s="81"/>
      <c r="BO366" s="81"/>
      <c r="BP366" s="81"/>
      <c r="BQ366" s="81"/>
      <c r="BR366" s="81"/>
      <c r="BS366" s="81"/>
      <c r="BT366" s="81"/>
    </row>
    <row r="367" spans="65:72" x14ac:dyDescent="0.25">
      <c r="BM367" s="81"/>
      <c r="BN367" s="81"/>
      <c r="BO367" s="81"/>
      <c r="BP367" s="81"/>
      <c r="BQ367" s="81"/>
      <c r="BR367" s="81"/>
      <c r="BS367" s="81"/>
      <c r="BT367" s="81"/>
    </row>
    <row r="368" spans="65:72" x14ac:dyDescent="0.25">
      <c r="BM368" s="81"/>
      <c r="BN368" s="81"/>
      <c r="BO368" s="81"/>
      <c r="BP368" s="81"/>
      <c r="BQ368" s="81"/>
      <c r="BR368" s="81"/>
      <c r="BS368" s="81"/>
      <c r="BT368" s="81"/>
    </row>
    <row r="369" spans="65:72" x14ac:dyDescent="0.25">
      <c r="BM369" s="81"/>
      <c r="BN369" s="81"/>
      <c r="BO369" s="81"/>
      <c r="BP369" s="81"/>
      <c r="BQ369" s="81"/>
      <c r="BR369" s="81"/>
      <c r="BS369" s="81"/>
      <c r="BT369" s="81"/>
    </row>
    <row r="370" spans="65:72" x14ac:dyDescent="0.25">
      <c r="BM370" s="81"/>
      <c r="BN370" s="81"/>
      <c r="BO370" s="81"/>
      <c r="BP370" s="81"/>
      <c r="BQ370" s="81"/>
      <c r="BR370" s="81"/>
      <c r="BS370" s="81"/>
      <c r="BT370" s="81"/>
    </row>
    <row r="371" spans="65:72" x14ac:dyDescent="0.25">
      <c r="BM371" s="81"/>
      <c r="BN371" s="81"/>
      <c r="BO371" s="81"/>
      <c r="BP371" s="81"/>
      <c r="BQ371" s="81"/>
      <c r="BR371" s="81"/>
      <c r="BS371" s="81"/>
      <c r="BT371" s="81"/>
    </row>
    <row r="372" spans="65:72" x14ac:dyDescent="0.25">
      <c r="BM372" s="81"/>
      <c r="BN372" s="81"/>
      <c r="BO372" s="81"/>
      <c r="BP372" s="81"/>
      <c r="BQ372" s="81"/>
      <c r="BR372" s="81"/>
      <c r="BS372" s="81"/>
      <c r="BT372" s="81"/>
    </row>
    <row r="373" spans="65:72" x14ac:dyDescent="0.25">
      <c r="BM373" s="81"/>
      <c r="BN373" s="81"/>
      <c r="BO373" s="81"/>
      <c r="BP373" s="81"/>
      <c r="BQ373" s="81"/>
      <c r="BR373" s="81"/>
      <c r="BS373" s="81"/>
      <c r="BT373" s="81"/>
    </row>
    <row r="374" spans="65:72" x14ac:dyDescent="0.25">
      <c r="BM374" s="81"/>
      <c r="BN374" s="81"/>
      <c r="BO374" s="81"/>
      <c r="BP374" s="81"/>
      <c r="BQ374" s="81"/>
      <c r="BR374" s="81"/>
      <c r="BS374" s="81"/>
      <c r="BT374" s="81"/>
    </row>
    <row r="375" spans="65:72" x14ac:dyDescent="0.25">
      <c r="BM375" s="81"/>
      <c r="BN375" s="81"/>
      <c r="BO375" s="81"/>
      <c r="BP375" s="81"/>
      <c r="BQ375" s="81"/>
      <c r="BR375" s="81"/>
      <c r="BS375" s="81"/>
      <c r="BT375" s="81"/>
    </row>
    <row r="376" spans="65:72" x14ac:dyDescent="0.25">
      <c r="BM376" s="81"/>
      <c r="BN376" s="81"/>
      <c r="BO376" s="81"/>
      <c r="BP376" s="81"/>
      <c r="BQ376" s="81"/>
      <c r="BR376" s="81"/>
      <c r="BS376" s="81"/>
      <c r="BT376" s="81"/>
    </row>
    <row r="377" spans="65:72" x14ac:dyDescent="0.25">
      <c r="BM377" s="81"/>
      <c r="BN377" s="81"/>
      <c r="BO377" s="81"/>
      <c r="BP377" s="81"/>
      <c r="BQ377" s="81"/>
      <c r="BR377" s="81"/>
      <c r="BS377" s="81"/>
      <c r="BT377" s="81"/>
    </row>
    <row r="378" spans="65:72" x14ac:dyDescent="0.25">
      <c r="BM378" s="81"/>
      <c r="BN378" s="81"/>
      <c r="BO378" s="81"/>
      <c r="BP378" s="81"/>
      <c r="BQ378" s="81"/>
      <c r="BR378" s="81"/>
      <c r="BS378" s="81"/>
      <c r="BT378" s="81"/>
    </row>
    <row r="379" spans="65:72" x14ac:dyDescent="0.25">
      <c r="BM379" s="81"/>
      <c r="BN379" s="81"/>
      <c r="BO379" s="81"/>
      <c r="BP379" s="81"/>
      <c r="BQ379" s="81"/>
      <c r="BR379" s="81"/>
      <c r="BS379" s="81"/>
      <c r="BT379" s="81"/>
    </row>
    <row r="380" spans="65:72" x14ac:dyDescent="0.25">
      <c r="BM380" s="81"/>
      <c r="BN380" s="81"/>
      <c r="BO380" s="81"/>
      <c r="BP380" s="81"/>
      <c r="BQ380" s="81"/>
      <c r="BR380" s="81"/>
      <c r="BS380" s="81"/>
      <c r="BT380" s="81"/>
    </row>
    <row r="381" spans="65:72" x14ac:dyDescent="0.25">
      <c r="BM381" s="81"/>
      <c r="BN381" s="81"/>
      <c r="BO381" s="81"/>
      <c r="BP381" s="81"/>
      <c r="BQ381" s="81"/>
      <c r="BR381" s="81"/>
      <c r="BS381" s="81"/>
      <c r="BT381" s="81"/>
    </row>
    <row r="382" spans="65:72" x14ac:dyDescent="0.25">
      <c r="BM382" s="81"/>
      <c r="BN382" s="81"/>
      <c r="BO382" s="81"/>
      <c r="BP382" s="81"/>
      <c r="BQ382" s="81"/>
      <c r="BR382" s="81"/>
      <c r="BS382" s="81"/>
      <c r="BT382" s="81"/>
    </row>
    <row r="383" spans="65:72" x14ac:dyDescent="0.25">
      <c r="BM383" s="81"/>
      <c r="BN383" s="81"/>
      <c r="BO383" s="81"/>
      <c r="BP383" s="81"/>
      <c r="BQ383" s="81"/>
      <c r="BR383" s="81"/>
      <c r="BS383" s="81"/>
      <c r="BT383" s="81"/>
    </row>
    <row r="384" spans="65:72" x14ac:dyDescent="0.25">
      <c r="BM384" s="81"/>
      <c r="BN384" s="81"/>
      <c r="BO384" s="81"/>
      <c r="BP384" s="81"/>
      <c r="BQ384" s="81"/>
      <c r="BR384" s="81"/>
      <c r="BS384" s="81"/>
      <c r="BT384" s="81"/>
    </row>
    <row r="385" spans="65:72" x14ac:dyDescent="0.25">
      <c r="BM385" s="81"/>
      <c r="BN385" s="81"/>
      <c r="BO385" s="81"/>
      <c r="BP385" s="81"/>
      <c r="BQ385" s="81"/>
      <c r="BR385" s="81"/>
      <c r="BS385" s="81"/>
      <c r="BT385" s="81"/>
    </row>
    <row r="386" spans="65:72" x14ac:dyDescent="0.25">
      <c r="BM386" s="81"/>
      <c r="BN386" s="81"/>
      <c r="BO386" s="81"/>
      <c r="BP386" s="81"/>
      <c r="BQ386" s="81"/>
      <c r="BR386" s="81"/>
      <c r="BS386" s="81"/>
      <c r="BT386" s="81"/>
    </row>
    <row r="387" spans="65:72" x14ac:dyDescent="0.25">
      <c r="BM387" s="81"/>
      <c r="BN387" s="81"/>
      <c r="BO387" s="81"/>
      <c r="BP387" s="81"/>
      <c r="BQ387" s="81"/>
      <c r="BR387" s="81"/>
      <c r="BS387" s="81"/>
      <c r="BT387" s="81"/>
    </row>
    <row r="388" spans="65:72" x14ac:dyDescent="0.25">
      <c r="BM388" s="81"/>
      <c r="BN388" s="81"/>
      <c r="BO388" s="81"/>
      <c r="BP388" s="81"/>
      <c r="BQ388" s="81"/>
      <c r="BR388" s="81"/>
      <c r="BS388" s="81"/>
      <c r="BT388" s="81"/>
    </row>
    <row r="389" spans="65:72" x14ac:dyDescent="0.25">
      <c r="BM389" s="81"/>
      <c r="BN389" s="81"/>
      <c r="BO389" s="81"/>
      <c r="BP389" s="81"/>
      <c r="BQ389" s="81"/>
      <c r="BR389" s="81"/>
      <c r="BS389" s="81"/>
      <c r="BT389" s="81"/>
    </row>
    <row r="390" spans="65:72" x14ac:dyDescent="0.25">
      <c r="BM390" s="81"/>
      <c r="BN390" s="81"/>
      <c r="BO390" s="81"/>
      <c r="BP390" s="81"/>
      <c r="BQ390" s="81"/>
      <c r="BR390" s="81"/>
      <c r="BS390" s="81"/>
      <c r="BT390" s="81"/>
    </row>
    <row r="391" spans="65:72" x14ac:dyDescent="0.25">
      <c r="BM391" s="81"/>
      <c r="BN391" s="81"/>
      <c r="BO391" s="81"/>
      <c r="BP391" s="81"/>
      <c r="BQ391" s="81"/>
      <c r="BR391" s="81"/>
      <c r="BS391" s="81"/>
      <c r="BT391" s="81"/>
    </row>
    <row r="392" spans="65:72" x14ac:dyDescent="0.25">
      <c r="BM392" s="81"/>
      <c r="BN392" s="81"/>
      <c r="BO392" s="81"/>
      <c r="BP392" s="81"/>
      <c r="BQ392" s="81"/>
      <c r="BR392" s="81"/>
      <c r="BS392" s="81"/>
      <c r="BT392" s="81"/>
    </row>
    <row r="393" spans="65:72" x14ac:dyDescent="0.25">
      <c r="BM393" s="81"/>
      <c r="BN393" s="81"/>
      <c r="BO393" s="81"/>
      <c r="BP393" s="81"/>
      <c r="BQ393" s="81"/>
      <c r="BR393" s="81"/>
      <c r="BS393" s="81"/>
      <c r="BT393" s="81"/>
    </row>
    <row r="394" spans="65:72" x14ac:dyDescent="0.25">
      <c r="BM394" s="81"/>
      <c r="BN394" s="81"/>
      <c r="BO394" s="81"/>
      <c r="BP394" s="81"/>
      <c r="BQ394" s="81"/>
      <c r="BR394" s="81"/>
      <c r="BS394" s="81"/>
      <c r="BT394" s="81"/>
    </row>
    <row r="395" spans="65:72" x14ac:dyDescent="0.25">
      <c r="BM395" s="81"/>
      <c r="BN395" s="81"/>
      <c r="BO395" s="81"/>
      <c r="BP395" s="81"/>
      <c r="BQ395" s="81"/>
      <c r="BR395" s="81"/>
      <c r="BS395" s="81"/>
      <c r="BT395" s="81"/>
    </row>
    <row r="396" spans="65:72" x14ac:dyDescent="0.25">
      <c r="BM396" s="81"/>
      <c r="BN396" s="81"/>
      <c r="BO396" s="81"/>
      <c r="BP396" s="81"/>
      <c r="BQ396" s="81"/>
      <c r="BR396" s="81"/>
      <c r="BS396" s="81"/>
      <c r="BT396" s="81"/>
    </row>
    <row r="397" spans="65:72" x14ac:dyDescent="0.25">
      <c r="BM397" s="81"/>
      <c r="BN397" s="81"/>
      <c r="BO397" s="81"/>
      <c r="BP397" s="81"/>
      <c r="BQ397" s="81"/>
      <c r="BR397" s="81"/>
      <c r="BS397" s="81"/>
      <c r="BT397" s="81"/>
    </row>
    <row r="398" spans="65:72" x14ac:dyDescent="0.25">
      <c r="BM398" s="81"/>
      <c r="BN398" s="81"/>
      <c r="BO398" s="81"/>
      <c r="BP398" s="81"/>
      <c r="BQ398" s="81"/>
      <c r="BR398" s="81"/>
      <c r="BS398" s="81"/>
      <c r="BT398" s="81"/>
    </row>
    <row r="399" spans="65:72" x14ac:dyDescent="0.25">
      <c r="BM399" s="81"/>
      <c r="BN399" s="81"/>
      <c r="BO399" s="81"/>
      <c r="BP399" s="81"/>
      <c r="BQ399" s="81"/>
      <c r="BR399" s="81"/>
      <c r="BS399" s="81"/>
      <c r="BT399" s="81"/>
    </row>
    <row r="400" spans="65:72" x14ac:dyDescent="0.25">
      <c r="BM400" s="81"/>
      <c r="BN400" s="81"/>
      <c r="BO400" s="81"/>
      <c r="BP400" s="81"/>
      <c r="BQ400" s="81"/>
      <c r="BR400" s="81"/>
      <c r="BS400" s="81"/>
      <c r="BT400" s="81"/>
    </row>
    <row r="401" spans="65:72" x14ac:dyDescent="0.25">
      <c r="BM401" s="81"/>
      <c r="BN401" s="81"/>
      <c r="BO401" s="81"/>
      <c r="BP401" s="81"/>
      <c r="BQ401" s="81"/>
      <c r="BR401" s="81"/>
      <c r="BS401" s="81"/>
      <c r="BT401" s="81"/>
    </row>
    <row r="402" spans="65:72" x14ac:dyDescent="0.25">
      <c r="BM402" s="81"/>
      <c r="BN402" s="81"/>
      <c r="BO402" s="81"/>
      <c r="BP402" s="81"/>
      <c r="BQ402" s="81"/>
      <c r="BR402" s="81"/>
      <c r="BS402" s="81"/>
      <c r="BT402" s="81"/>
    </row>
    <row r="403" spans="65:72" x14ac:dyDescent="0.25">
      <c r="BM403" s="81"/>
      <c r="BN403" s="81"/>
      <c r="BO403" s="81"/>
      <c r="BP403" s="81"/>
      <c r="BQ403" s="81"/>
      <c r="BR403" s="81"/>
      <c r="BS403" s="81"/>
      <c r="BT403" s="81"/>
    </row>
    <row r="404" spans="65:72" x14ac:dyDescent="0.25">
      <c r="BM404" s="81"/>
      <c r="BN404" s="81"/>
      <c r="BO404" s="81"/>
      <c r="BP404" s="81"/>
      <c r="BQ404" s="81"/>
      <c r="BR404" s="81"/>
      <c r="BS404" s="81"/>
      <c r="BT404" s="81"/>
    </row>
    <row r="405" spans="65:72" x14ac:dyDescent="0.25">
      <c r="BM405" s="81"/>
      <c r="BN405" s="81"/>
      <c r="BO405" s="81"/>
      <c r="BP405" s="81"/>
      <c r="BQ405" s="81"/>
      <c r="BR405" s="81"/>
      <c r="BS405" s="81"/>
      <c r="BT405" s="81"/>
    </row>
    <row r="406" spans="65:72" x14ac:dyDescent="0.25">
      <c r="BM406" s="81"/>
      <c r="BN406" s="81"/>
      <c r="BO406" s="81"/>
      <c r="BP406" s="81"/>
      <c r="BQ406" s="81"/>
      <c r="BR406" s="81"/>
      <c r="BS406" s="81"/>
      <c r="BT406" s="81"/>
    </row>
    <row r="407" spans="65:72" x14ac:dyDescent="0.25">
      <c r="BM407" s="81"/>
      <c r="BN407" s="81"/>
      <c r="BO407" s="81"/>
      <c r="BP407" s="81"/>
      <c r="BQ407" s="81"/>
      <c r="BR407" s="81"/>
      <c r="BS407" s="81"/>
      <c r="BT407" s="81"/>
    </row>
    <row r="408" spans="65:72" x14ac:dyDescent="0.25">
      <c r="BM408" s="81"/>
      <c r="BN408" s="81"/>
      <c r="BO408" s="81"/>
      <c r="BP408" s="81"/>
      <c r="BQ408" s="81"/>
      <c r="BR408" s="81"/>
      <c r="BS408" s="81"/>
      <c r="BT408" s="81"/>
    </row>
    <row r="409" spans="65:72" x14ac:dyDescent="0.25">
      <c r="BM409" s="81"/>
      <c r="BN409" s="81"/>
      <c r="BO409" s="81"/>
      <c r="BP409" s="81"/>
      <c r="BQ409" s="81"/>
      <c r="BR409" s="81"/>
      <c r="BS409" s="81"/>
      <c r="BT409" s="81"/>
    </row>
    <row r="410" spans="65:72" x14ac:dyDescent="0.25">
      <c r="BM410" s="81"/>
      <c r="BN410" s="81"/>
      <c r="BO410" s="81"/>
      <c r="BP410" s="81"/>
      <c r="BQ410" s="81"/>
      <c r="BR410" s="81"/>
      <c r="BS410" s="81"/>
      <c r="BT410" s="81"/>
    </row>
    <row r="411" spans="65:72" x14ac:dyDescent="0.25">
      <c r="BM411" s="81"/>
      <c r="BN411" s="81"/>
      <c r="BO411" s="81"/>
      <c r="BP411" s="81"/>
      <c r="BQ411" s="81"/>
      <c r="BR411" s="81"/>
      <c r="BS411" s="81"/>
      <c r="BT411" s="81"/>
    </row>
    <row r="412" spans="65:72" x14ac:dyDescent="0.25">
      <c r="BM412" s="81"/>
      <c r="BN412" s="81"/>
      <c r="BO412" s="81"/>
      <c r="BP412" s="81"/>
      <c r="BQ412" s="81"/>
      <c r="BR412" s="81"/>
      <c r="BS412" s="81"/>
      <c r="BT412" s="81"/>
    </row>
    <row r="413" spans="65:72" x14ac:dyDescent="0.25">
      <c r="BM413" s="81"/>
      <c r="BN413" s="81"/>
      <c r="BO413" s="81"/>
      <c r="BP413" s="81"/>
      <c r="BQ413" s="81"/>
      <c r="BR413" s="81"/>
      <c r="BS413" s="81"/>
      <c r="BT413" s="81"/>
    </row>
    <row r="414" spans="65:72" x14ac:dyDescent="0.25">
      <c r="BM414" s="81"/>
      <c r="BN414" s="81"/>
      <c r="BO414" s="81"/>
      <c r="BP414" s="81"/>
      <c r="BQ414" s="81"/>
      <c r="BR414" s="81"/>
      <c r="BS414" s="81"/>
      <c r="BT414" s="81"/>
    </row>
    <row r="415" spans="65:72" x14ac:dyDescent="0.25">
      <c r="BM415" s="81"/>
      <c r="BN415" s="81"/>
      <c r="BO415" s="81"/>
      <c r="BP415" s="81"/>
      <c r="BQ415" s="81"/>
      <c r="BR415" s="81"/>
      <c r="BS415" s="81"/>
      <c r="BT415" s="81"/>
    </row>
    <row r="416" spans="65:72" x14ac:dyDescent="0.25">
      <c r="BM416" s="81"/>
      <c r="BN416" s="81"/>
      <c r="BO416" s="81"/>
      <c r="BP416" s="81"/>
      <c r="BQ416" s="81"/>
      <c r="BR416" s="81"/>
      <c r="BS416" s="81"/>
      <c r="BT416" s="81"/>
    </row>
    <row r="417" spans="65:72" x14ac:dyDescent="0.25">
      <c r="BM417" s="81"/>
      <c r="BN417" s="81"/>
      <c r="BO417" s="81"/>
      <c r="BP417" s="81"/>
      <c r="BQ417" s="81"/>
      <c r="BR417" s="81"/>
      <c r="BS417" s="81"/>
      <c r="BT417" s="81"/>
    </row>
    <row r="418" spans="65:72" x14ac:dyDescent="0.25">
      <c r="BM418" s="81"/>
      <c r="BN418" s="81"/>
      <c r="BO418" s="81"/>
      <c r="BP418" s="81"/>
      <c r="BQ418" s="81"/>
      <c r="BR418" s="81"/>
      <c r="BS418" s="81"/>
      <c r="BT418" s="81"/>
    </row>
    <row r="419" spans="65:72" x14ac:dyDescent="0.25">
      <c r="BM419" s="81"/>
      <c r="BN419" s="81"/>
      <c r="BO419" s="81"/>
      <c r="BP419" s="81"/>
      <c r="BQ419" s="81"/>
      <c r="BR419" s="81"/>
      <c r="BS419" s="81"/>
      <c r="BT419" s="81"/>
    </row>
    <row r="420" spans="65:72" x14ac:dyDescent="0.25">
      <c r="BM420" s="81"/>
      <c r="BN420" s="81"/>
      <c r="BO420" s="81"/>
      <c r="BP420" s="81"/>
      <c r="BQ420" s="81"/>
      <c r="BR420" s="81"/>
      <c r="BS420" s="81"/>
      <c r="BT420" s="81"/>
    </row>
    <row r="421" spans="65:72" x14ac:dyDescent="0.25">
      <c r="BM421" s="81"/>
      <c r="BN421" s="81"/>
      <c r="BO421" s="81"/>
      <c r="BP421" s="81"/>
      <c r="BQ421" s="81"/>
      <c r="BR421" s="81"/>
      <c r="BS421" s="81"/>
      <c r="BT421" s="81"/>
    </row>
    <row r="422" spans="65:72" x14ac:dyDescent="0.25">
      <c r="BM422" s="81"/>
      <c r="BN422" s="81"/>
      <c r="BO422" s="81"/>
      <c r="BP422" s="81"/>
      <c r="BQ422" s="81"/>
      <c r="BR422" s="81"/>
      <c r="BS422" s="81"/>
      <c r="BT422" s="81"/>
    </row>
    <row r="423" spans="65:72" x14ac:dyDescent="0.25">
      <c r="BM423" s="81"/>
      <c r="BN423" s="81"/>
      <c r="BO423" s="81"/>
      <c r="BP423" s="81"/>
      <c r="BQ423" s="81"/>
      <c r="BR423" s="81"/>
      <c r="BS423" s="81"/>
      <c r="BT423" s="81"/>
    </row>
    <row r="424" spans="65:72" x14ac:dyDescent="0.25">
      <c r="BM424" s="81"/>
      <c r="BN424" s="81"/>
      <c r="BO424" s="81"/>
      <c r="BP424" s="81"/>
      <c r="BQ424" s="81"/>
      <c r="BR424" s="81"/>
      <c r="BS424" s="81"/>
      <c r="BT424" s="81"/>
    </row>
    <row r="425" spans="65:72" x14ac:dyDescent="0.25">
      <c r="BM425" s="81"/>
      <c r="BN425" s="81"/>
      <c r="BO425" s="81"/>
      <c r="BP425" s="81"/>
      <c r="BQ425" s="81"/>
      <c r="BR425" s="81"/>
      <c r="BS425" s="81"/>
      <c r="BT425" s="81"/>
    </row>
    <row r="426" spans="65:72" x14ac:dyDescent="0.25">
      <c r="BM426" s="81"/>
      <c r="BN426" s="81"/>
      <c r="BO426" s="81"/>
      <c r="BP426" s="81"/>
      <c r="BQ426" s="81"/>
      <c r="BR426" s="81"/>
      <c r="BS426" s="81"/>
      <c r="BT426" s="81"/>
    </row>
    <row r="427" spans="65:72" x14ac:dyDescent="0.25">
      <c r="BM427" s="81"/>
      <c r="BN427" s="81"/>
      <c r="BO427" s="81"/>
      <c r="BP427" s="81"/>
      <c r="BQ427" s="81"/>
      <c r="BR427" s="81"/>
      <c r="BS427" s="81"/>
      <c r="BT427" s="81"/>
    </row>
    <row r="428" spans="65:72" x14ac:dyDescent="0.25">
      <c r="BM428" s="81"/>
      <c r="BN428" s="81"/>
      <c r="BO428" s="81"/>
      <c r="BP428" s="81"/>
      <c r="BQ428" s="81"/>
      <c r="BR428" s="81"/>
      <c r="BS428" s="81"/>
      <c r="BT428" s="81"/>
    </row>
    <row r="429" spans="65:72" x14ac:dyDescent="0.25">
      <c r="BM429" s="81"/>
      <c r="BN429" s="81"/>
      <c r="BO429" s="81"/>
      <c r="BP429" s="81"/>
      <c r="BQ429" s="81"/>
      <c r="BR429" s="81"/>
      <c r="BS429" s="81"/>
      <c r="BT429" s="81"/>
    </row>
    <row r="430" spans="65:72" x14ac:dyDescent="0.25">
      <c r="BM430" s="81"/>
      <c r="BN430" s="81"/>
      <c r="BO430" s="81"/>
      <c r="BP430" s="81"/>
      <c r="BQ430" s="81"/>
      <c r="BR430" s="81"/>
      <c r="BS430" s="81"/>
      <c r="BT430" s="81"/>
    </row>
    <row r="431" spans="65:72" x14ac:dyDescent="0.25">
      <c r="BM431" s="81"/>
      <c r="BN431" s="81"/>
      <c r="BO431" s="81"/>
      <c r="BP431" s="81"/>
      <c r="BQ431" s="81"/>
      <c r="BR431" s="81"/>
      <c r="BS431" s="81"/>
      <c r="BT431" s="81"/>
    </row>
    <row r="432" spans="65:72" x14ac:dyDescent="0.25">
      <c r="BM432" s="81"/>
      <c r="BN432" s="81"/>
      <c r="BO432" s="81"/>
      <c r="BP432" s="81"/>
      <c r="BQ432" s="81"/>
      <c r="BR432" s="81"/>
      <c r="BS432" s="81"/>
      <c r="BT432" s="81"/>
    </row>
    <row r="433" spans="65:72" x14ac:dyDescent="0.25">
      <c r="BM433" s="81"/>
      <c r="BN433" s="81"/>
      <c r="BO433" s="81"/>
      <c r="BP433" s="81"/>
      <c r="BQ433" s="81"/>
      <c r="BR433" s="81"/>
      <c r="BS433" s="81"/>
      <c r="BT433" s="81"/>
    </row>
    <row r="434" spans="65:72" x14ac:dyDescent="0.25">
      <c r="BM434" s="81"/>
      <c r="BN434" s="81"/>
      <c r="BO434" s="81"/>
      <c r="BP434" s="81"/>
      <c r="BQ434" s="81"/>
      <c r="BR434" s="81"/>
      <c r="BS434" s="81"/>
      <c r="BT434" s="81"/>
    </row>
    <row r="435" spans="65:72" x14ac:dyDescent="0.25">
      <c r="BM435" s="81"/>
      <c r="BN435" s="81"/>
      <c r="BO435" s="81"/>
      <c r="BP435" s="81"/>
      <c r="BQ435" s="81"/>
      <c r="BR435" s="81"/>
      <c r="BS435" s="81"/>
      <c r="BT435" s="81"/>
    </row>
    <row r="436" spans="65:72" x14ac:dyDescent="0.25">
      <c r="BM436" s="81"/>
      <c r="BN436" s="81"/>
      <c r="BO436" s="81"/>
      <c r="BP436" s="81"/>
      <c r="BQ436" s="81"/>
      <c r="BR436" s="81"/>
      <c r="BS436" s="81"/>
      <c r="BT436" s="81"/>
    </row>
    <row r="437" spans="65:72" x14ac:dyDescent="0.25">
      <c r="BM437" s="81"/>
      <c r="BN437" s="81"/>
      <c r="BO437" s="81"/>
      <c r="BP437" s="81"/>
      <c r="BQ437" s="81"/>
      <c r="BR437" s="81"/>
      <c r="BS437" s="81"/>
      <c r="BT437" s="81"/>
    </row>
    <row r="438" spans="65:72" x14ac:dyDescent="0.25">
      <c r="BM438" s="81"/>
      <c r="BN438" s="81"/>
      <c r="BO438" s="81"/>
      <c r="BP438" s="81"/>
      <c r="BQ438" s="81"/>
      <c r="BR438" s="81"/>
      <c r="BS438" s="81"/>
      <c r="BT438" s="81"/>
    </row>
    <row r="439" spans="65:72" x14ac:dyDescent="0.25">
      <c r="BM439" s="81"/>
      <c r="BN439" s="81"/>
      <c r="BO439" s="81"/>
      <c r="BP439" s="81"/>
      <c r="BQ439" s="81"/>
      <c r="BR439" s="81"/>
      <c r="BS439" s="81"/>
      <c r="BT439" s="81"/>
    </row>
    <row r="440" spans="65:72" x14ac:dyDescent="0.25">
      <c r="BM440" s="81"/>
      <c r="BN440" s="81"/>
      <c r="BO440" s="81"/>
      <c r="BP440" s="81"/>
      <c r="BQ440" s="81"/>
      <c r="BR440" s="81"/>
      <c r="BS440" s="81"/>
      <c r="BT440" s="81"/>
    </row>
    <row r="441" spans="65:72" x14ac:dyDescent="0.25">
      <c r="BM441" s="81"/>
      <c r="BN441" s="81"/>
      <c r="BO441" s="81"/>
      <c r="BP441" s="81"/>
      <c r="BQ441" s="81"/>
      <c r="BR441" s="81"/>
      <c r="BS441" s="81"/>
      <c r="BT441" s="81"/>
    </row>
    <row r="442" spans="65:72" x14ac:dyDescent="0.25">
      <c r="BM442" s="81"/>
      <c r="BN442" s="81"/>
      <c r="BO442" s="81"/>
      <c r="BP442" s="81"/>
      <c r="BQ442" s="81"/>
      <c r="BR442" s="81"/>
      <c r="BS442" s="81"/>
      <c r="BT442" s="81"/>
    </row>
    <row r="443" spans="65:72" x14ac:dyDescent="0.25">
      <c r="BM443" s="81"/>
      <c r="BN443" s="81"/>
      <c r="BO443" s="81"/>
      <c r="BP443" s="81"/>
      <c r="BQ443" s="81"/>
      <c r="BR443" s="81"/>
      <c r="BS443" s="81"/>
      <c r="BT443" s="81"/>
    </row>
    <row r="444" spans="65:72" x14ac:dyDescent="0.25">
      <c r="BM444" s="81"/>
      <c r="BN444" s="81"/>
      <c r="BO444" s="81"/>
      <c r="BP444" s="81"/>
      <c r="BQ444" s="81"/>
      <c r="BR444" s="81"/>
      <c r="BS444" s="81"/>
      <c r="BT444" s="81"/>
    </row>
    <row r="445" spans="65:72" x14ac:dyDescent="0.25">
      <c r="BM445" s="81"/>
      <c r="BN445" s="81"/>
      <c r="BO445" s="81"/>
      <c r="BP445" s="81"/>
      <c r="BQ445" s="81"/>
      <c r="BR445" s="81"/>
      <c r="BS445" s="81"/>
      <c r="BT445" s="81"/>
    </row>
    <row r="446" spans="65:72" x14ac:dyDescent="0.25">
      <c r="BM446" s="81"/>
      <c r="BN446" s="81"/>
      <c r="BO446" s="81"/>
      <c r="BP446" s="81"/>
      <c r="BQ446" s="81"/>
      <c r="BR446" s="81"/>
      <c r="BS446" s="81"/>
      <c r="BT446" s="81"/>
    </row>
    <row r="447" spans="65:72" x14ac:dyDescent="0.25">
      <c r="BM447" s="81"/>
      <c r="BN447" s="81"/>
      <c r="BO447" s="81"/>
      <c r="BP447" s="81"/>
      <c r="BQ447" s="81"/>
      <c r="BR447" s="81"/>
      <c r="BS447" s="81"/>
      <c r="BT447" s="81"/>
    </row>
    <row r="448" spans="65:72" x14ac:dyDescent="0.25">
      <c r="BM448" s="81"/>
      <c r="BN448" s="81"/>
      <c r="BO448" s="81"/>
      <c r="BP448" s="81"/>
      <c r="BQ448" s="81"/>
      <c r="BR448" s="81"/>
      <c r="BS448" s="81"/>
      <c r="BT448" s="81"/>
    </row>
    <row r="449" spans="65:72" x14ac:dyDescent="0.25">
      <c r="BM449" s="81"/>
      <c r="BN449" s="81"/>
      <c r="BO449" s="81"/>
      <c r="BP449" s="81"/>
      <c r="BQ449" s="81"/>
      <c r="BR449" s="81"/>
      <c r="BS449" s="81"/>
      <c r="BT449" s="81"/>
    </row>
    <row r="450" spans="65:72" x14ac:dyDescent="0.25">
      <c r="BM450" s="81"/>
      <c r="BN450" s="81"/>
      <c r="BO450" s="81"/>
      <c r="BP450" s="81"/>
      <c r="BQ450" s="81"/>
      <c r="BR450" s="81"/>
      <c r="BS450" s="81"/>
      <c r="BT450" s="81"/>
    </row>
    <row r="451" spans="65:72" x14ac:dyDescent="0.25">
      <c r="BM451" s="81"/>
      <c r="BN451" s="81"/>
      <c r="BO451" s="81"/>
      <c r="BP451" s="81"/>
      <c r="BQ451" s="81"/>
      <c r="BR451" s="81"/>
      <c r="BS451" s="81"/>
      <c r="BT451" s="81"/>
    </row>
    <row r="452" spans="65:72" x14ac:dyDescent="0.25">
      <c r="BM452" s="81"/>
      <c r="BN452" s="81"/>
      <c r="BO452" s="81"/>
      <c r="BP452" s="81"/>
      <c r="BQ452" s="81"/>
      <c r="BR452" s="81"/>
      <c r="BS452" s="81"/>
      <c r="BT452" s="81"/>
    </row>
    <row r="453" spans="65:72" x14ac:dyDescent="0.25">
      <c r="BM453" s="81"/>
      <c r="BN453" s="81"/>
      <c r="BO453" s="81"/>
      <c r="BP453" s="81"/>
      <c r="BQ453" s="81"/>
      <c r="BR453" s="81"/>
      <c r="BS453" s="81"/>
      <c r="BT453" s="81"/>
    </row>
    <row r="454" spans="65:72" x14ac:dyDescent="0.25">
      <c r="BM454" s="81"/>
      <c r="BN454" s="81"/>
      <c r="BO454" s="81"/>
      <c r="BP454" s="81"/>
      <c r="BQ454" s="81"/>
      <c r="BR454" s="81"/>
      <c r="BS454" s="81"/>
      <c r="BT454" s="81"/>
    </row>
    <row r="455" spans="65:72" x14ac:dyDescent="0.25">
      <c r="BM455" s="81"/>
      <c r="BN455" s="81"/>
      <c r="BO455" s="81"/>
      <c r="BP455" s="81"/>
      <c r="BQ455" s="81"/>
      <c r="BR455" s="81"/>
      <c r="BS455" s="81"/>
      <c r="BT455" s="81"/>
    </row>
    <row r="456" spans="65:72" x14ac:dyDescent="0.25">
      <c r="BM456" s="81"/>
      <c r="BN456" s="81"/>
      <c r="BO456" s="81"/>
      <c r="BP456" s="81"/>
      <c r="BQ456" s="81"/>
      <c r="BR456" s="81"/>
      <c r="BS456" s="81"/>
      <c r="BT456" s="81"/>
    </row>
    <row r="457" spans="65:72" x14ac:dyDescent="0.25">
      <c r="BM457" s="81"/>
      <c r="BN457" s="81"/>
      <c r="BO457" s="81"/>
      <c r="BP457" s="81"/>
      <c r="BQ457" s="81"/>
      <c r="BR457" s="81"/>
      <c r="BS457" s="81"/>
      <c r="BT457" s="81"/>
    </row>
    <row r="458" spans="65:72" x14ac:dyDescent="0.25">
      <c r="BM458" s="81"/>
      <c r="BN458" s="81"/>
      <c r="BO458" s="81"/>
      <c r="BP458" s="81"/>
      <c r="BQ458" s="81"/>
      <c r="BR458" s="81"/>
      <c r="BS458" s="81"/>
      <c r="BT458" s="81"/>
    </row>
    <row r="459" spans="65:72" x14ac:dyDescent="0.25">
      <c r="BM459" s="81"/>
      <c r="BN459" s="81"/>
      <c r="BO459" s="81"/>
      <c r="BP459" s="81"/>
      <c r="BQ459" s="81"/>
      <c r="BR459" s="81"/>
      <c r="BS459" s="81"/>
      <c r="BT459" s="81"/>
    </row>
    <row r="460" spans="65:72" x14ac:dyDescent="0.25">
      <c r="BM460" s="81"/>
      <c r="BN460" s="81"/>
      <c r="BO460" s="81"/>
      <c r="BP460" s="81"/>
      <c r="BQ460" s="81"/>
      <c r="BR460" s="81"/>
      <c r="BS460" s="81"/>
      <c r="BT460" s="81"/>
    </row>
    <row r="461" spans="65:72" x14ac:dyDescent="0.25">
      <c r="BM461" s="81"/>
      <c r="BN461" s="81"/>
      <c r="BO461" s="81"/>
      <c r="BP461" s="81"/>
      <c r="BQ461" s="81"/>
      <c r="BR461" s="81"/>
      <c r="BS461" s="81"/>
      <c r="BT461" s="81"/>
    </row>
    <row r="462" spans="65:72" x14ac:dyDescent="0.25">
      <c r="BM462" s="81"/>
      <c r="BN462" s="81"/>
      <c r="BO462" s="81"/>
      <c r="BP462" s="81"/>
      <c r="BQ462" s="81"/>
      <c r="BR462" s="81"/>
      <c r="BS462" s="81"/>
      <c r="BT462" s="81"/>
    </row>
    <row r="463" spans="65:72" x14ac:dyDescent="0.25">
      <c r="BM463" s="81"/>
      <c r="BN463" s="81"/>
      <c r="BO463" s="81"/>
      <c r="BP463" s="81"/>
      <c r="BQ463" s="81"/>
      <c r="BR463" s="81"/>
      <c r="BS463" s="81"/>
      <c r="BT463" s="81"/>
    </row>
    <row r="464" spans="65:72" x14ac:dyDescent="0.25">
      <c r="BM464" s="81"/>
      <c r="BN464" s="81"/>
      <c r="BO464" s="81"/>
      <c r="BP464" s="81"/>
      <c r="BQ464" s="81"/>
      <c r="BR464" s="81"/>
      <c r="BS464" s="81"/>
      <c r="BT464" s="81"/>
    </row>
    <row r="465" spans="65:72" x14ac:dyDescent="0.25">
      <c r="BM465" s="81"/>
      <c r="BN465" s="81"/>
      <c r="BO465" s="81"/>
      <c r="BP465" s="81"/>
      <c r="BQ465" s="81"/>
      <c r="BR465" s="81"/>
      <c r="BS465" s="81"/>
      <c r="BT465" s="81"/>
    </row>
    <row r="466" spans="65:72" x14ac:dyDescent="0.25">
      <c r="BM466" s="81"/>
      <c r="BN466" s="81"/>
      <c r="BO466" s="81"/>
      <c r="BP466" s="81"/>
      <c r="BQ466" s="81"/>
      <c r="BR466" s="81"/>
      <c r="BS466" s="81"/>
      <c r="BT466" s="81"/>
    </row>
    <row r="467" spans="65:72" x14ac:dyDescent="0.25">
      <c r="BM467" s="81"/>
      <c r="BN467" s="81"/>
      <c r="BO467" s="81"/>
      <c r="BP467" s="81"/>
      <c r="BQ467" s="81"/>
      <c r="BR467" s="81"/>
      <c r="BS467" s="81"/>
      <c r="BT467" s="81"/>
    </row>
    <row r="468" spans="65:72" x14ac:dyDescent="0.25">
      <c r="BM468" s="81"/>
      <c r="BN468" s="81"/>
      <c r="BO468" s="81"/>
      <c r="BP468" s="81"/>
      <c r="BQ468" s="81"/>
      <c r="BR468" s="81"/>
      <c r="BS468" s="81"/>
      <c r="BT468" s="81"/>
    </row>
    <row r="469" spans="65:72" x14ac:dyDescent="0.25">
      <c r="BM469" s="81"/>
      <c r="BN469" s="81"/>
      <c r="BO469" s="81"/>
      <c r="BP469" s="81"/>
      <c r="BQ469" s="81"/>
      <c r="BR469" s="81"/>
      <c r="BS469" s="81"/>
      <c r="BT469" s="81"/>
    </row>
    <row r="470" spans="65:72" x14ac:dyDescent="0.25">
      <c r="BM470" s="81"/>
      <c r="BN470" s="81"/>
      <c r="BO470" s="81"/>
      <c r="BP470" s="81"/>
      <c r="BQ470" s="81"/>
      <c r="BR470" s="81"/>
      <c r="BS470" s="81"/>
      <c r="BT470" s="81"/>
    </row>
    <row r="471" spans="65:72" x14ac:dyDescent="0.25">
      <c r="BM471" s="81"/>
      <c r="BN471" s="81"/>
      <c r="BO471" s="81"/>
      <c r="BP471" s="81"/>
      <c r="BQ471" s="81"/>
      <c r="BR471" s="81"/>
      <c r="BS471" s="81"/>
      <c r="BT471" s="81"/>
    </row>
    <row r="472" spans="65:72" x14ac:dyDescent="0.25">
      <c r="BM472" s="81"/>
      <c r="BN472" s="81"/>
      <c r="BO472" s="81"/>
      <c r="BP472" s="81"/>
      <c r="BQ472" s="81"/>
      <c r="BR472" s="81"/>
      <c r="BS472" s="81"/>
      <c r="BT472" s="81"/>
    </row>
    <row r="473" spans="65:72" x14ac:dyDescent="0.25">
      <c r="BM473" s="81"/>
      <c r="BN473" s="81"/>
      <c r="BO473" s="81"/>
      <c r="BP473" s="81"/>
      <c r="BQ473" s="81"/>
      <c r="BR473" s="81"/>
      <c r="BS473" s="81"/>
      <c r="BT473" s="81"/>
    </row>
    <row r="474" spans="65:72" x14ac:dyDescent="0.25">
      <c r="BM474" s="81"/>
      <c r="BN474" s="81"/>
      <c r="BO474" s="81"/>
      <c r="BP474" s="81"/>
      <c r="BQ474" s="81"/>
      <c r="BR474" s="81"/>
      <c r="BS474" s="81"/>
      <c r="BT474" s="81"/>
    </row>
    <row r="475" spans="65:72" x14ac:dyDescent="0.25">
      <c r="BM475" s="81"/>
      <c r="BN475" s="81"/>
      <c r="BO475" s="81"/>
      <c r="BP475" s="81"/>
      <c r="BQ475" s="81"/>
      <c r="BR475" s="81"/>
      <c r="BS475" s="81"/>
      <c r="BT475" s="81"/>
    </row>
    <row r="476" spans="65:72" x14ac:dyDescent="0.25">
      <c r="BM476" s="81"/>
      <c r="BN476" s="81"/>
      <c r="BO476" s="81"/>
      <c r="BP476" s="81"/>
      <c r="BQ476" s="81"/>
      <c r="BR476" s="81"/>
      <c r="BS476" s="81"/>
      <c r="BT476" s="81"/>
    </row>
    <row r="477" spans="65:72" x14ac:dyDescent="0.25">
      <c r="BM477" s="81"/>
      <c r="BN477" s="81"/>
      <c r="BO477" s="81"/>
      <c r="BP477" s="81"/>
      <c r="BQ477" s="81"/>
      <c r="BR477" s="81"/>
      <c r="BS477" s="81"/>
      <c r="BT477" s="81"/>
    </row>
    <row r="478" spans="65:72" x14ac:dyDescent="0.25">
      <c r="BM478" s="81"/>
      <c r="BN478" s="81"/>
      <c r="BO478" s="81"/>
      <c r="BP478" s="81"/>
      <c r="BQ478" s="81"/>
      <c r="BR478" s="81"/>
      <c r="BS478" s="81"/>
      <c r="BT478" s="81"/>
    </row>
    <row r="479" spans="65:72" x14ac:dyDescent="0.25">
      <c r="BM479" s="81"/>
      <c r="BN479" s="81"/>
      <c r="BO479" s="81"/>
      <c r="BP479" s="81"/>
      <c r="BQ479" s="81"/>
      <c r="BR479" s="81"/>
      <c r="BS479" s="81"/>
      <c r="BT479" s="81"/>
    </row>
    <row r="480" spans="65:72" x14ac:dyDescent="0.25">
      <c r="BM480" s="81"/>
      <c r="BN480" s="81"/>
      <c r="BO480" s="81"/>
      <c r="BP480" s="81"/>
      <c r="BQ480" s="81"/>
      <c r="BR480" s="81"/>
      <c r="BS480" s="81"/>
      <c r="BT480" s="81"/>
    </row>
    <row r="481" spans="65:72" x14ac:dyDescent="0.25">
      <c r="BM481" s="81"/>
      <c r="BN481" s="81"/>
      <c r="BO481" s="81"/>
      <c r="BP481" s="81"/>
      <c r="BQ481" s="81"/>
      <c r="BR481" s="81"/>
      <c r="BS481" s="81"/>
      <c r="BT481" s="81"/>
    </row>
    <row r="482" spans="65:72" x14ac:dyDescent="0.25">
      <c r="BM482" s="81"/>
      <c r="BN482" s="81"/>
      <c r="BO482" s="81"/>
      <c r="BP482" s="81"/>
      <c r="BQ482" s="81"/>
      <c r="BR482" s="81"/>
      <c r="BS482" s="81"/>
      <c r="BT482" s="81"/>
    </row>
    <row r="483" spans="65:72" x14ac:dyDescent="0.25">
      <c r="BM483" s="81"/>
      <c r="BN483" s="81"/>
      <c r="BO483" s="81"/>
      <c r="BP483" s="81"/>
      <c r="BQ483" s="81"/>
      <c r="BR483" s="81"/>
      <c r="BS483" s="81"/>
      <c r="BT483" s="81"/>
    </row>
    <row r="484" spans="65:72" x14ac:dyDescent="0.25">
      <c r="BM484" s="81"/>
      <c r="BN484" s="81"/>
      <c r="BO484" s="81"/>
      <c r="BP484" s="81"/>
      <c r="BQ484" s="81"/>
      <c r="BR484" s="81"/>
      <c r="BS484" s="81"/>
      <c r="BT484" s="81"/>
    </row>
    <row r="485" spans="65:72" x14ac:dyDescent="0.25">
      <c r="BM485" s="81"/>
      <c r="BN485" s="81"/>
      <c r="BO485" s="81"/>
      <c r="BP485" s="81"/>
      <c r="BQ485" s="81"/>
      <c r="BR485" s="81"/>
      <c r="BS485" s="81"/>
      <c r="BT485" s="81"/>
    </row>
    <row r="486" spans="65:72" x14ac:dyDescent="0.25">
      <c r="BM486" s="81"/>
      <c r="BN486" s="81"/>
      <c r="BO486" s="81"/>
      <c r="BP486" s="81"/>
      <c r="BQ486" s="81"/>
      <c r="BR486" s="81"/>
      <c r="BS486" s="81"/>
      <c r="BT486" s="81"/>
    </row>
    <row r="487" spans="65:72" x14ac:dyDescent="0.25">
      <c r="BM487" s="81"/>
      <c r="BN487" s="81"/>
      <c r="BO487" s="81"/>
      <c r="BP487" s="81"/>
      <c r="BQ487" s="81"/>
      <c r="BR487" s="81"/>
      <c r="BS487" s="81"/>
      <c r="BT487" s="81"/>
    </row>
    <row r="488" spans="65:72" x14ac:dyDescent="0.25">
      <c r="BM488" s="81"/>
      <c r="BN488" s="81"/>
      <c r="BO488" s="81"/>
      <c r="BP488" s="81"/>
      <c r="BQ488" s="81"/>
      <c r="BR488" s="81"/>
      <c r="BS488" s="81"/>
      <c r="BT488" s="81"/>
    </row>
    <row r="489" spans="65:72" x14ac:dyDescent="0.25">
      <c r="BM489" s="81"/>
      <c r="BN489" s="81"/>
      <c r="BO489" s="81"/>
      <c r="BP489" s="81"/>
      <c r="BQ489" s="81"/>
      <c r="BR489" s="81"/>
      <c r="BS489" s="81"/>
      <c r="BT489" s="81"/>
    </row>
    <row r="490" spans="65:72" x14ac:dyDescent="0.25">
      <c r="BM490" s="81"/>
      <c r="BN490" s="81"/>
      <c r="BO490" s="81"/>
      <c r="BP490" s="81"/>
      <c r="BQ490" s="81"/>
      <c r="BR490" s="81"/>
      <c r="BS490" s="81"/>
      <c r="BT490" s="81"/>
    </row>
    <row r="491" spans="65:72" x14ac:dyDescent="0.25">
      <c r="BM491" s="81"/>
      <c r="BN491" s="81"/>
      <c r="BO491" s="81"/>
      <c r="BP491" s="81"/>
      <c r="BQ491" s="81"/>
      <c r="BR491" s="81"/>
      <c r="BS491" s="81"/>
      <c r="BT491" s="81"/>
    </row>
    <row r="492" spans="65:72" x14ac:dyDescent="0.25">
      <c r="BM492" s="81"/>
      <c r="BN492" s="81"/>
      <c r="BO492" s="81"/>
      <c r="BP492" s="81"/>
      <c r="BQ492" s="81"/>
      <c r="BR492" s="81"/>
      <c r="BS492" s="81"/>
      <c r="BT492" s="81"/>
    </row>
    <row r="493" spans="65:72" x14ac:dyDescent="0.25">
      <c r="BM493" s="81"/>
      <c r="BN493" s="81"/>
      <c r="BO493" s="81"/>
      <c r="BP493" s="81"/>
      <c r="BQ493" s="81"/>
      <c r="BR493" s="81"/>
      <c r="BS493" s="81"/>
      <c r="BT493" s="81"/>
    </row>
    <row r="494" spans="65:72" x14ac:dyDescent="0.25">
      <c r="BM494" s="81"/>
      <c r="BN494" s="81"/>
      <c r="BO494" s="81"/>
      <c r="BP494" s="81"/>
      <c r="BQ494" s="81"/>
      <c r="BR494" s="81"/>
      <c r="BS494" s="81"/>
      <c r="BT494" s="81"/>
    </row>
    <row r="495" spans="65:72" x14ac:dyDescent="0.25">
      <c r="BM495" s="81"/>
      <c r="BN495" s="81"/>
      <c r="BO495" s="81"/>
      <c r="BP495" s="81"/>
      <c r="BQ495" s="81"/>
      <c r="BR495" s="81"/>
      <c r="BS495" s="81"/>
      <c r="BT495" s="81"/>
    </row>
    <row r="496" spans="65:72" x14ac:dyDescent="0.25">
      <c r="BM496" s="81"/>
      <c r="BN496" s="81"/>
      <c r="BO496" s="81"/>
      <c r="BP496" s="81"/>
      <c r="BQ496" s="81"/>
      <c r="BR496" s="81"/>
      <c r="BS496" s="81"/>
      <c r="BT496" s="81"/>
    </row>
    <row r="497" spans="65:72" x14ac:dyDescent="0.25">
      <c r="BM497" s="81"/>
      <c r="BN497" s="81"/>
      <c r="BO497" s="81"/>
      <c r="BP497" s="81"/>
      <c r="BQ497" s="81"/>
      <c r="BR497" s="81"/>
      <c r="BS497" s="81"/>
      <c r="BT497" s="81"/>
    </row>
    <row r="498" spans="65:72" x14ac:dyDescent="0.25">
      <c r="BM498" s="81"/>
      <c r="BN498" s="81"/>
      <c r="BO498" s="81"/>
      <c r="BP498" s="81"/>
      <c r="BQ498" s="81"/>
      <c r="BR498" s="81"/>
      <c r="BS498" s="81"/>
      <c r="BT498" s="81"/>
    </row>
    <row r="499" spans="65:72" x14ac:dyDescent="0.25">
      <c r="BM499" s="81"/>
      <c r="BN499" s="81"/>
      <c r="BO499" s="81"/>
      <c r="BP499" s="81"/>
      <c r="BQ499" s="81"/>
      <c r="BR499" s="81"/>
      <c r="BS499" s="81"/>
      <c r="BT499" s="81"/>
    </row>
    <row r="500" spans="65:72" x14ac:dyDescent="0.25">
      <c r="BM500" s="81"/>
      <c r="BN500" s="81"/>
      <c r="BO500" s="81"/>
      <c r="BP500" s="81"/>
      <c r="BQ500" s="81"/>
      <c r="BR500" s="81"/>
      <c r="BS500" s="81"/>
      <c r="BT500" s="81"/>
    </row>
    <row r="501" spans="65:72" x14ac:dyDescent="0.25">
      <c r="BM501" s="81"/>
      <c r="BN501" s="81"/>
      <c r="BO501" s="81"/>
      <c r="BP501" s="81"/>
      <c r="BQ501" s="81"/>
      <c r="BR501" s="81"/>
      <c r="BS501" s="81"/>
      <c r="BT501" s="81"/>
    </row>
    <row r="502" spans="65:72" x14ac:dyDescent="0.25">
      <c r="BM502" s="81"/>
      <c r="BN502" s="81"/>
      <c r="BO502" s="81"/>
      <c r="BP502" s="81"/>
      <c r="BQ502" s="81"/>
      <c r="BR502" s="81"/>
      <c r="BS502" s="81"/>
      <c r="BT502" s="81"/>
    </row>
    <row r="503" spans="65:72" x14ac:dyDescent="0.25">
      <c r="BM503" s="81"/>
      <c r="BN503" s="81"/>
      <c r="BO503" s="81"/>
      <c r="BP503" s="81"/>
      <c r="BQ503" s="81"/>
      <c r="BR503" s="81"/>
      <c r="BS503" s="81"/>
      <c r="BT503" s="81"/>
    </row>
    <row r="504" spans="65:72" x14ac:dyDescent="0.25">
      <c r="BM504" s="81"/>
      <c r="BN504" s="81"/>
      <c r="BO504" s="81"/>
      <c r="BP504" s="81"/>
      <c r="BQ504" s="81"/>
      <c r="BR504" s="81"/>
      <c r="BS504" s="81"/>
      <c r="BT504" s="81"/>
    </row>
    <row r="505" spans="65:72" x14ac:dyDescent="0.25">
      <c r="BM505" s="81"/>
      <c r="BN505" s="81"/>
      <c r="BO505" s="81"/>
      <c r="BP505" s="81"/>
      <c r="BQ505" s="81"/>
      <c r="BR505" s="81"/>
      <c r="BS505" s="81"/>
      <c r="BT505" s="81"/>
    </row>
    <row r="506" spans="65:72" x14ac:dyDescent="0.25">
      <c r="BM506" s="81"/>
      <c r="BN506" s="81"/>
      <c r="BO506" s="81"/>
      <c r="BP506" s="81"/>
      <c r="BQ506" s="81"/>
      <c r="BR506" s="81"/>
      <c r="BS506" s="81"/>
      <c r="BT506" s="81"/>
    </row>
    <row r="507" spans="65:72" x14ac:dyDescent="0.25">
      <c r="BM507" s="81"/>
      <c r="BN507" s="81"/>
      <c r="BO507" s="81"/>
      <c r="BP507" s="81"/>
      <c r="BQ507" s="81"/>
      <c r="BR507" s="81"/>
      <c r="BS507" s="81"/>
      <c r="BT507" s="81"/>
    </row>
    <row r="508" spans="65:72" x14ac:dyDescent="0.25">
      <c r="BM508" s="81"/>
      <c r="BN508" s="81"/>
      <c r="BO508" s="81"/>
      <c r="BP508" s="81"/>
      <c r="BQ508" s="81"/>
      <c r="BR508" s="81"/>
      <c r="BS508" s="81"/>
      <c r="BT508" s="81"/>
    </row>
    <row r="509" spans="65:72" x14ac:dyDescent="0.25">
      <c r="BM509" s="81"/>
      <c r="BN509" s="81"/>
      <c r="BO509" s="81"/>
      <c r="BP509" s="81"/>
      <c r="BQ509" s="81"/>
      <c r="BR509" s="81"/>
      <c r="BS509" s="81"/>
      <c r="BT509" s="81"/>
    </row>
    <row r="510" spans="65:72" x14ac:dyDescent="0.25">
      <c r="BM510" s="81"/>
      <c r="BN510" s="81"/>
      <c r="BO510" s="81"/>
      <c r="BP510" s="81"/>
      <c r="BQ510" s="81"/>
      <c r="BR510" s="81"/>
      <c r="BS510" s="81"/>
      <c r="BT510" s="81"/>
    </row>
    <row r="511" spans="65:72" x14ac:dyDescent="0.25">
      <c r="BM511" s="81"/>
      <c r="BN511" s="81"/>
      <c r="BO511" s="81"/>
      <c r="BP511" s="81"/>
      <c r="BQ511" s="81"/>
      <c r="BR511" s="81"/>
      <c r="BS511" s="81"/>
      <c r="BT511" s="81"/>
    </row>
    <row r="512" spans="65:72" x14ac:dyDescent="0.25">
      <c r="BM512" s="81"/>
      <c r="BN512" s="81"/>
      <c r="BO512" s="81"/>
      <c r="BP512" s="81"/>
      <c r="BQ512" s="81"/>
      <c r="BR512" s="81"/>
      <c r="BS512" s="81"/>
      <c r="BT512" s="81"/>
    </row>
    <row r="513" spans="65:72" x14ac:dyDescent="0.25">
      <c r="BM513" s="81"/>
      <c r="BN513" s="81"/>
      <c r="BO513" s="81"/>
      <c r="BP513" s="81"/>
      <c r="BQ513" s="81"/>
      <c r="BR513" s="81"/>
      <c r="BS513" s="81"/>
      <c r="BT513" s="81"/>
    </row>
    <row r="514" spans="65:72" x14ac:dyDescent="0.25">
      <c r="BM514" s="81"/>
      <c r="BN514" s="81"/>
      <c r="BO514" s="81"/>
      <c r="BP514" s="81"/>
      <c r="BQ514" s="81"/>
      <c r="BR514" s="81"/>
      <c r="BS514" s="81"/>
      <c r="BT514" s="81"/>
    </row>
    <row r="515" spans="65:72" x14ac:dyDescent="0.25">
      <c r="BM515" s="81"/>
      <c r="BN515" s="81"/>
      <c r="BO515" s="81"/>
      <c r="BP515" s="81"/>
      <c r="BQ515" s="81"/>
      <c r="BR515" s="81"/>
      <c r="BS515" s="81"/>
      <c r="BT515" s="81"/>
    </row>
    <row r="516" spans="65:72" x14ac:dyDescent="0.25">
      <c r="BM516" s="81"/>
      <c r="BN516" s="81"/>
      <c r="BO516" s="81"/>
      <c r="BP516" s="81"/>
      <c r="BQ516" s="81"/>
      <c r="BR516" s="81"/>
      <c r="BS516" s="81"/>
      <c r="BT516" s="81"/>
    </row>
    <row r="517" spans="65:72" x14ac:dyDescent="0.25">
      <c r="BM517" s="81"/>
      <c r="BN517" s="81"/>
      <c r="BO517" s="81"/>
      <c r="BP517" s="81"/>
      <c r="BQ517" s="81"/>
      <c r="BR517" s="81"/>
      <c r="BS517" s="81"/>
      <c r="BT517" s="81"/>
    </row>
    <row r="518" spans="65:72" x14ac:dyDescent="0.25">
      <c r="BM518" s="81"/>
      <c r="BN518" s="81"/>
      <c r="BO518" s="81"/>
      <c r="BP518" s="81"/>
      <c r="BQ518" s="81"/>
      <c r="BR518" s="81"/>
      <c r="BS518" s="81"/>
      <c r="BT518" s="81"/>
    </row>
    <row r="519" spans="65:72" x14ac:dyDescent="0.25">
      <c r="BM519" s="81"/>
      <c r="BN519" s="81"/>
      <c r="BO519" s="81"/>
      <c r="BP519" s="81"/>
      <c r="BQ519" s="81"/>
      <c r="BR519" s="81"/>
      <c r="BS519" s="81"/>
      <c r="BT519" s="81"/>
    </row>
    <row r="520" spans="65:72" x14ac:dyDescent="0.25">
      <c r="BM520" s="81"/>
      <c r="BN520" s="81"/>
      <c r="BO520" s="81"/>
      <c r="BP520" s="81"/>
      <c r="BQ520" s="81"/>
      <c r="BR520" s="81"/>
      <c r="BS520" s="81"/>
      <c r="BT520" s="81"/>
    </row>
    <row r="521" spans="65:72" x14ac:dyDescent="0.25">
      <c r="BM521" s="81"/>
      <c r="BN521" s="81"/>
      <c r="BO521" s="81"/>
      <c r="BP521" s="81"/>
      <c r="BQ521" s="81"/>
      <c r="BR521" s="81"/>
      <c r="BS521" s="81"/>
      <c r="BT521" s="81"/>
    </row>
    <row r="522" spans="65:72" x14ac:dyDescent="0.25">
      <c r="BM522" s="81"/>
      <c r="BN522" s="81"/>
      <c r="BO522" s="81"/>
      <c r="BP522" s="81"/>
      <c r="BQ522" s="81"/>
      <c r="BR522" s="81"/>
      <c r="BS522" s="81"/>
      <c r="BT522" s="81"/>
    </row>
    <row r="523" spans="65:72" x14ac:dyDescent="0.25">
      <c r="BM523" s="81"/>
      <c r="BN523" s="81"/>
      <c r="BO523" s="81"/>
      <c r="BP523" s="81"/>
      <c r="BQ523" s="81"/>
      <c r="BR523" s="81"/>
      <c r="BS523" s="81"/>
      <c r="BT523" s="81"/>
    </row>
    <row r="524" spans="65:72" x14ac:dyDescent="0.25">
      <c r="BM524" s="81"/>
      <c r="BN524" s="81"/>
      <c r="BO524" s="81"/>
      <c r="BP524" s="81"/>
      <c r="BQ524" s="81"/>
      <c r="BR524" s="81"/>
      <c r="BS524" s="81"/>
      <c r="BT524" s="81"/>
    </row>
    <row r="525" spans="65:72" x14ac:dyDescent="0.25">
      <c r="BM525" s="81"/>
      <c r="BN525" s="81"/>
      <c r="BO525" s="81"/>
      <c r="BP525" s="81"/>
      <c r="BQ525" s="81"/>
      <c r="BR525" s="81"/>
      <c r="BS525" s="81"/>
      <c r="BT525" s="81"/>
    </row>
    <row r="526" spans="65:72" x14ac:dyDescent="0.25">
      <c r="BM526" s="81"/>
      <c r="BN526" s="81"/>
      <c r="BO526" s="81"/>
      <c r="BP526" s="81"/>
      <c r="BQ526" s="81"/>
      <c r="BR526" s="81"/>
      <c r="BS526" s="81"/>
      <c r="BT526" s="81"/>
    </row>
    <row r="527" spans="65:72" x14ac:dyDescent="0.25">
      <c r="BM527" s="81"/>
      <c r="BN527" s="81"/>
      <c r="BO527" s="81"/>
      <c r="BP527" s="81"/>
      <c r="BQ527" s="81"/>
      <c r="BR527" s="81"/>
      <c r="BS527" s="81"/>
      <c r="BT527" s="81"/>
    </row>
    <row r="528" spans="65:72" x14ac:dyDescent="0.25">
      <c r="BM528" s="81"/>
      <c r="BN528" s="81"/>
      <c r="BO528" s="81"/>
      <c r="BP528" s="81"/>
      <c r="BQ528" s="81"/>
      <c r="BR528" s="81"/>
      <c r="BS528" s="81"/>
      <c r="BT528" s="81"/>
    </row>
    <row r="529" spans="65:72" x14ac:dyDescent="0.25">
      <c r="BM529" s="81"/>
      <c r="BN529" s="81"/>
      <c r="BO529" s="81"/>
      <c r="BP529" s="81"/>
      <c r="BQ529" s="81"/>
      <c r="BR529" s="81"/>
      <c r="BS529" s="81"/>
      <c r="BT529" s="81"/>
    </row>
    <row r="530" spans="65:72" x14ac:dyDescent="0.25">
      <c r="BM530" s="81"/>
      <c r="BN530" s="81"/>
      <c r="BO530" s="81"/>
      <c r="BP530" s="81"/>
      <c r="BQ530" s="81"/>
      <c r="BR530" s="81"/>
      <c r="BS530" s="81"/>
      <c r="BT530" s="81"/>
    </row>
    <row r="531" spans="65:72" x14ac:dyDescent="0.25">
      <c r="BM531" s="81"/>
      <c r="BN531" s="81"/>
      <c r="BO531" s="81"/>
      <c r="BP531" s="81"/>
      <c r="BQ531" s="81"/>
      <c r="BR531" s="81"/>
      <c r="BS531" s="81"/>
      <c r="BT531" s="81"/>
    </row>
    <row r="532" spans="65:72" x14ac:dyDescent="0.25">
      <c r="BM532" s="81"/>
      <c r="BN532" s="81"/>
      <c r="BO532" s="81"/>
      <c r="BP532" s="81"/>
      <c r="BQ532" s="81"/>
      <c r="BR532" s="81"/>
      <c r="BS532" s="81"/>
      <c r="BT532" s="81"/>
    </row>
    <row r="533" spans="65:72" x14ac:dyDescent="0.25">
      <c r="BM533" s="81"/>
      <c r="BN533" s="81"/>
      <c r="BO533" s="81"/>
      <c r="BP533" s="81"/>
      <c r="BQ533" s="81"/>
      <c r="BR533" s="81"/>
      <c r="BS533" s="81"/>
      <c r="BT533" s="81"/>
    </row>
    <row r="534" spans="65:72" x14ac:dyDescent="0.25">
      <c r="BM534" s="81"/>
      <c r="BN534" s="81"/>
      <c r="BO534" s="81"/>
      <c r="BP534" s="81"/>
      <c r="BQ534" s="81"/>
      <c r="BR534" s="81"/>
      <c r="BS534" s="81"/>
      <c r="BT534" s="81"/>
    </row>
    <row r="535" spans="65:72" x14ac:dyDescent="0.25">
      <c r="BM535" s="81"/>
      <c r="BN535" s="81"/>
      <c r="BO535" s="81"/>
      <c r="BP535" s="81"/>
      <c r="BQ535" s="81"/>
      <c r="BR535" s="81"/>
      <c r="BS535" s="81"/>
      <c r="BT535" s="81"/>
    </row>
    <row r="536" spans="65:72" x14ac:dyDescent="0.25">
      <c r="BM536" s="81"/>
      <c r="BN536" s="81"/>
      <c r="BO536" s="81"/>
      <c r="BP536" s="81"/>
      <c r="BQ536" s="81"/>
      <c r="BR536" s="81"/>
      <c r="BS536" s="81"/>
      <c r="BT536" s="81"/>
    </row>
    <row r="537" spans="65:72" x14ac:dyDescent="0.25">
      <c r="BM537" s="81"/>
      <c r="BN537" s="81"/>
      <c r="BO537" s="81"/>
      <c r="BP537" s="81"/>
      <c r="BQ537" s="81"/>
      <c r="BR537" s="81"/>
      <c r="BS537" s="81"/>
      <c r="BT537" s="81"/>
    </row>
    <row r="538" spans="65:72" x14ac:dyDescent="0.25">
      <c r="BM538" s="81"/>
      <c r="BN538" s="81"/>
      <c r="BO538" s="81"/>
      <c r="BP538" s="81"/>
      <c r="BQ538" s="81"/>
      <c r="BR538" s="81"/>
      <c r="BS538" s="81"/>
      <c r="BT538" s="81"/>
    </row>
    <row r="539" spans="65:72" x14ac:dyDescent="0.25">
      <c r="BM539" s="81"/>
      <c r="BN539" s="81"/>
      <c r="BO539" s="81"/>
      <c r="BP539" s="81"/>
      <c r="BQ539" s="81"/>
      <c r="BR539" s="81"/>
      <c r="BS539" s="81"/>
      <c r="BT539" s="81"/>
    </row>
    <row r="540" spans="65:72" x14ac:dyDescent="0.25">
      <c r="BM540" s="81"/>
      <c r="BN540" s="81"/>
      <c r="BO540" s="81"/>
      <c r="BP540" s="81"/>
      <c r="BQ540" s="81"/>
      <c r="BR540" s="81"/>
      <c r="BS540" s="81"/>
      <c r="BT540" s="81"/>
    </row>
    <row r="541" spans="65:72" x14ac:dyDescent="0.25">
      <c r="BM541" s="81"/>
      <c r="BN541" s="81"/>
      <c r="BO541" s="81"/>
      <c r="BP541" s="81"/>
      <c r="BQ541" s="81"/>
      <c r="BR541" s="81"/>
      <c r="BS541" s="81"/>
      <c r="BT541" s="81"/>
    </row>
    <row r="542" spans="65:72" x14ac:dyDescent="0.25">
      <c r="BM542" s="81"/>
      <c r="BN542" s="81"/>
      <c r="BO542" s="81"/>
      <c r="BP542" s="81"/>
      <c r="BQ542" s="81"/>
      <c r="BR542" s="81"/>
      <c r="BS542" s="81"/>
      <c r="BT542" s="81"/>
    </row>
    <row r="543" spans="65:72" x14ac:dyDescent="0.25">
      <c r="BM543" s="81"/>
      <c r="BN543" s="81"/>
      <c r="BO543" s="81"/>
      <c r="BP543" s="81"/>
      <c r="BQ543" s="81"/>
      <c r="BR543" s="81"/>
      <c r="BS543" s="81"/>
      <c r="BT543" s="81"/>
    </row>
    <row r="544" spans="65:72" x14ac:dyDescent="0.25">
      <c r="BM544" s="81"/>
      <c r="BN544" s="81"/>
      <c r="BO544" s="81"/>
      <c r="BP544" s="81"/>
      <c r="BQ544" s="81"/>
      <c r="BR544" s="81"/>
      <c r="BS544" s="81"/>
      <c r="BT544" s="81"/>
    </row>
    <row r="545" spans="65:72" x14ac:dyDescent="0.25">
      <c r="BM545" s="81"/>
      <c r="BN545" s="81"/>
      <c r="BO545" s="81"/>
      <c r="BP545" s="81"/>
      <c r="BQ545" s="81"/>
      <c r="BR545" s="81"/>
      <c r="BS545" s="81"/>
      <c r="BT545" s="81"/>
    </row>
    <row r="546" spans="65:72" x14ac:dyDescent="0.25">
      <c r="BM546" s="81"/>
      <c r="BN546" s="81"/>
      <c r="BO546" s="81"/>
      <c r="BP546" s="81"/>
      <c r="BQ546" s="81"/>
      <c r="BR546" s="81"/>
      <c r="BS546" s="81"/>
      <c r="BT546" s="81"/>
    </row>
    <row r="547" spans="65:72" x14ac:dyDescent="0.25">
      <c r="BM547" s="81"/>
      <c r="BN547" s="81"/>
      <c r="BO547" s="81"/>
      <c r="BP547" s="81"/>
      <c r="BQ547" s="81"/>
      <c r="BR547" s="81"/>
      <c r="BS547" s="81"/>
      <c r="BT547" s="81"/>
    </row>
    <row r="548" spans="65:72" x14ac:dyDescent="0.25">
      <c r="BM548" s="81"/>
      <c r="BN548" s="81"/>
      <c r="BO548" s="81"/>
      <c r="BP548" s="81"/>
      <c r="BQ548" s="81"/>
      <c r="BR548" s="81"/>
      <c r="BS548" s="81"/>
      <c r="BT548" s="81"/>
    </row>
    <row r="549" spans="65:72" x14ac:dyDescent="0.25">
      <c r="BM549" s="81"/>
      <c r="BN549" s="81"/>
      <c r="BO549" s="81"/>
      <c r="BP549" s="81"/>
      <c r="BQ549" s="81"/>
      <c r="BR549" s="81"/>
      <c r="BS549" s="81"/>
      <c r="BT549" s="81"/>
    </row>
    <row r="550" spans="65:72" x14ac:dyDescent="0.25">
      <c r="BM550" s="81"/>
      <c r="BN550" s="81"/>
      <c r="BO550" s="81"/>
      <c r="BP550" s="81"/>
      <c r="BQ550" s="81"/>
      <c r="BR550" s="81"/>
      <c r="BS550" s="81"/>
      <c r="BT550" s="81"/>
    </row>
    <row r="551" spans="65:72" x14ac:dyDescent="0.25">
      <c r="BM551" s="81"/>
      <c r="BN551" s="81"/>
      <c r="BO551" s="81"/>
      <c r="BP551" s="81"/>
      <c r="BQ551" s="81"/>
      <c r="BR551" s="81"/>
      <c r="BS551" s="81"/>
      <c r="BT551" s="81"/>
    </row>
    <row r="552" spans="65:72" x14ac:dyDescent="0.25">
      <c r="BM552" s="81"/>
      <c r="BN552" s="81"/>
      <c r="BO552" s="81"/>
      <c r="BP552" s="81"/>
      <c r="BQ552" s="81"/>
      <c r="BR552" s="81"/>
      <c r="BS552" s="81"/>
      <c r="BT552" s="81"/>
    </row>
    <row r="553" spans="65:72" x14ac:dyDescent="0.25">
      <c r="BM553" s="81"/>
      <c r="BN553" s="81"/>
      <c r="BO553" s="81"/>
      <c r="BP553" s="81"/>
      <c r="BQ553" s="81"/>
      <c r="BR553" s="81"/>
      <c r="BS553" s="81"/>
      <c r="BT553" s="81"/>
    </row>
    <row r="554" spans="65:72" x14ac:dyDescent="0.25">
      <c r="BM554" s="81"/>
      <c r="BN554" s="81"/>
      <c r="BO554" s="81"/>
      <c r="BP554" s="81"/>
      <c r="BQ554" s="81"/>
      <c r="BR554" s="81"/>
      <c r="BS554" s="81"/>
      <c r="BT554" s="81"/>
    </row>
    <row r="555" spans="65:72" x14ac:dyDescent="0.25">
      <c r="BM555" s="81"/>
      <c r="BN555" s="81"/>
      <c r="BO555" s="81"/>
      <c r="BP555" s="81"/>
      <c r="BQ555" s="81"/>
      <c r="BR555" s="81"/>
      <c r="BS555" s="81"/>
      <c r="BT555" s="81"/>
    </row>
    <row r="556" spans="65:72" x14ac:dyDescent="0.25">
      <c r="BM556" s="81"/>
      <c r="BN556" s="81"/>
      <c r="BO556" s="81"/>
      <c r="BP556" s="81"/>
      <c r="BQ556" s="81"/>
      <c r="BR556" s="81"/>
      <c r="BS556" s="81"/>
      <c r="BT556" s="81"/>
    </row>
    <row r="557" spans="65:72" x14ac:dyDescent="0.25">
      <c r="BM557" s="81"/>
      <c r="BN557" s="81"/>
      <c r="BO557" s="81"/>
      <c r="BP557" s="81"/>
      <c r="BQ557" s="81"/>
      <c r="BR557" s="81"/>
      <c r="BS557" s="81"/>
      <c r="BT557" s="81"/>
    </row>
    <row r="558" spans="65:72" x14ac:dyDescent="0.25">
      <c r="BM558" s="81"/>
      <c r="BN558" s="81"/>
      <c r="BO558" s="81"/>
      <c r="BP558" s="81"/>
      <c r="BQ558" s="81"/>
      <c r="BR558" s="81"/>
      <c r="BS558" s="81"/>
      <c r="BT558" s="81"/>
    </row>
    <row r="559" spans="65:72" x14ac:dyDescent="0.25">
      <c r="BM559" s="81"/>
      <c r="BN559" s="81"/>
      <c r="BO559" s="81"/>
      <c r="BP559" s="81"/>
      <c r="BQ559" s="81"/>
      <c r="BR559" s="81"/>
      <c r="BS559" s="81"/>
      <c r="BT559" s="81"/>
    </row>
    <row r="560" spans="65:72" x14ac:dyDescent="0.25">
      <c r="BM560" s="81"/>
      <c r="BN560" s="81"/>
      <c r="BO560" s="81"/>
      <c r="BP560" s="81"/>
      <c r="BQ560" s="81"/>
      <c r="BR560" s="81"/>
      <c r="BS560" s="81"/>
      <c r="BT560" s="81"/>
    </row>
    <row r="561" spans="65:72" x14ac:dyDescent="0.25">
      <c r="BM561" s="81"/>
      <c r="BN561" s="81"/>
      <c r="BO561" s="81"/>
      <c r="BP561" s="81"/>
      <c r="BQ561" s="81"/>
      <c r="BR561" s="81"/>
      <c r="BS561" s="81"/>
      <c r="BT561" s="81"/>
    </row>
    <row r="562" spans="65:72" x14ac:dyDescent="0.25">
      <c r="BM562" s="81"/>
      <c r="BN562" s="81"/>
      <c r="BO562" s="81"/>
      <c r="BP562" s="81"/>
      <c r="BQ562" s="81"/>
      <c r="BR562" s="81"/>
      <c r="BS562" s="81"/>
      <c r="BT562" s="81"/>
    </row>
    <row r="563" spans="65:72" x14ac:dyDescent="0.25">
      <c r="BM563" s="81"/>
      <c r="BN563" s="81"/>
      <c r="BO563" s="81"/>
      <c r="BP563" s="81"/>
      <c r="BQ563" s="81"/>
      <c r="BR563" s="81"/>
      <c r="BS563" s="81"/>
      <c r="BT563" s="81"/>
    </row>
    <row r="564" spans="65:72" x14ac:dyDescent="0.25">
      <c r="BM564" s="81"/>
      <c r="BN564" s="81"/>
      <c r="BO564" s="81"/>
      <c r="BP564" s="81"/>
      <c r="BQ564" s="81"/>
      <c r="BR564" s="81"/>
      <c r="BS564" s="81"/>
      <c r="BT564" s="81"/>
    </row>
    <row r="565" spans="65:72" x14ac:dyDescent="0.25">
      <c r="BM565" s="81"/>
      <c r="BN565" s="81"/>
      <c r="BO565" s="81"/>
      <c r="BP565" s="81"/>
      <c r="BQ565" s="81"/>
      <c r="BR565" s="81"/>
      <c r="BS565" s="81"/>
      <c r="BT565" s="81"/>
    </row>
    <row r="566" spans="65:72" x14ac:dyDescent="0.25">
      <c r="BM566" s="81"/>
      <c r="BN566" s="81"/>
      <c r="BO566" s="81"/>
      <c r="BP566" s="81"/>
      <c r="BQ566" s="81"/>
      <c r="BR566" s="81"/>
      <c r="BS566" s="81"/>
      <c r="BT566" s="81"/>
    </row>
    <row r="567" spans="65:72" x14ac:dyDescent="0.25">
      <c r="BM567" s="81"/>
      <c r="BN567" s="81"/>
      <c r="BO567" s="81"/>
      <c r="BP567" s="81"/>
      <c r="BQ567" s="81"/>
      <c r="BR567" s="81"/>
      <c r="BS567" s="81"/>
      <c r="BT567" s="81"/>
    </row>
    <row r="568" spans="65:72" x14ac:dyDescent="0.25">
      <c r="BM568" s="81"/>
      <c r="BN568" s="81"/>
      <c r="BO568" s="81"/>
      <c r="BP568" s="81"/>
      <c r="BQ568" s="81"/>
      <c r="BR568" s="81"/>
      <c r="BS568" s="81"/>
      <c r="BT568" s="81"/>
    </row>
    <row r="569" spans="65:72" x14ac:dyDescent="0.25">
      <c r="BM569" s="81"/>
      <c r="BN569" s="81"/>
      <c r="BO569" s="81"/>
      <c r="BP569" s="81"/>
      <c r="BQ569" s="81"/>
      <c r="BR569" s="81"/>
      <c r="BS569" s="81"/>
      <c r="BT569" s="81"/>
    </row>
    <row r="570" spans="65:72" x14ac:dyDescent="0.25">
      <c r="BM570" s="81"/>
      <c r="BN570" s="81"/>
      <c r="BO570" s="81"/>
      <c r="BP570" s="81"/>
      <c r="BQ570" s="81"/>
      <c r="BR570" s="81"/>
      <c r="BS570" s="81"/>
      <c r="BT570" s="81"/>
    </row>
    <row r="571" spans="65:72" x14ac:dyDescent="0.25">
      <c r="BM571" s="81"/>
      <c r="BN571" s="81"/>
      <c r="BO571" s="81"/>
      <c r="BP571" s="81"/>
      <c r="BQ571" s="81"/>
      <c r="BR571" s="81"/>
      <c r="BS571" s="81"/>
      <c r="BT571" s="81"/>
    </row>
    <row r="572" spans="65:72" x14ac:dyDescent="0.25">
      <c r="BM572" s="81"/>
      <c r="BN572" s="81"/>
      <c r="BO572" s="81"/>
      <c r="BP572" s="81"/>
      <c r="BQ572" s="81"/>
      <c r="BR572" s="81"/>
      <c r="BS572" s="81"/>
      <c r="BT572" s="81"/>
    </row>
    <row r="573" spans="65:72" x14ac:dyDescent="0.25">
      <c r="BM573" s="81"/>
      <c r="BN573" s="81"/>
      <c r="BO573" s="81"/>
      <c r="BP573" s="81"/>
      <c r="BQ573" s="81"/>
      <c r="BR573" s="81"/>
      <c r="BS573" s="81"/>
      <c r="BT573" s="81"/>
    </row>
    <row r="574" spans="65:72" x14ac:dyDescent="0.25">
      <c r="BM574" s="81"/>
      <c r="BN574" s="81"/>
      <c r="BO574" s="81"/>
      <c r="BP574" s="81"/>
      <c r="BQ574" s="81"/>
      <c r="BR574" s="81"/>
      <c r="BS574" s="81"/>
      <c r="BT574" s="81"/>
    </row>
    <row r="575" spans="65:72" x14ac:dyDescent="0.25">
      <c r="BM575" s="81"/>
      <c r="BN575" s="81"/>
      <c r="BO575" s="81"/>
      <c r="BP575" s="81"/>
      <c r="BQ575" s="81"/>
      <c r="BR575" s="81"/>
      <c r="BS575" s="81"/>
      <c r="BT575" s="81"/>
    </row>
    <row r="576" spans="65:72" x14ac:dyDescent="0.25">
      <c r="BM576" s="81"/>
      <c r="BN576" s="81"/>
      <c r="BO576" s="81"/>
      <c r="BP576" s="81"/>
      <c r="BQ576" s="81"/>
      <c r="BR576" s="81"/>
      <c r="BS576" s="81"/>
      <c r="BT576" s="81"/>
    </row>
    <row r="577" spans="65:72" x14ac:dyDescent="0.25">
      <c r="BM577" s="81"/>
      <c r="BN577" s="81"/>
      <c r="BO577" s="81"/>
      <c r="BP577" s="81"/>
      <c r="BQ577" s="81"/>
      <c r="BR577" s="81"/>
      <c r="BS577" s="81"/>
      <c r="BT577" s="81"/>
    </row>
    <row r="578" spans="65:72" x14ac:dyDescent="0.25">
      <c r="BM578" s="81"/>
      <c r="BN578" s="81"/>
      <c r="BO578" s="81"/>
      <c r="BP578" s="81"/>
      <c r="BQ578" s="81"/>
      <c r="BR578" s="81"/>
      <c r="BS578" s="81"/>
      <c r="BT578" s="81"/>
    </row>
    <row r="579" spans="65:72" x14ac:dyDescent="0.25">
      <c r="BM579" s="81"/>
      <c r="BN579" s="81"/>
      <c r="BO579" s="81"/>
      <c r="BP579" s="81"/>
      <c r="BQ579" s="81"/>
      <c r="BR579" s="81"/>
      <c r="BS579" s="81"/>
      <c r="BT579" s="81"/>
    </row>
    <row r="580" spans="65:72" x14ac:dyDescent="0.25">
      <c r="BM580" s="81"/>
      <c r="BN580" s="81"/>
      <c r="BO580" s="81"/>
      <c r="BP580" s="81"/>
      <c r="BQ580" s="81"/>
      <c r="BR580" s="81"/>
      <c r="BS580" s="81"/>
      <c r="BT580" s="81"/>
    </row>
    <row r="581" spans="65:72" x14ac:dyDescent="0.25">
      <c r="BM581" s="81"/>
      <c r="BN581" s="81"/>
      <c r="BO581" s="81"/>
      <c r="BP581" s="81"/>
      <c r="BQ581" s="81"/>
      <c r="BR581" s="81"/>
      <c r="BS581" s="81"/>
      <c r="BT581" s="81"/>
    </row>
    <row r="582" spans="65:72" x14ac:dyDescent="0.25">
      <c r="BM582" s="81"/>
      <c r="BN582" s="81"/>
      <c r="BO582" s="81"/>
      <c r="BP582" s="81"/>
      <c r="BQ582" s="81"/>
      <c r="BR582" s="81"/>
      <c r="BS582" s="81"/>
      <c r="BT582" s="81"/>
    </row>
    <row r="583" spans="65:72" x14ac:dyDescent="0.25">
      <c r="BM583" s="81"/>
      <c r="BN583" s="81"/>
      <c r="BO583" s="81"/>
      <c r="BP583" s="81"/>
      <c r="BQ583" s="81"/>
      <c r="BR583" s="81"/>
      <c r="BS583" s="81"/>
      <c r="BT583" s="81"/>
    </row>
    <row r="584" spans="65:72" x14ac:dyDescent="0.25">
      <c r="BM584" s="81"/>
      <c r="BN584" s="81"/>
      <c r="BO584" s="81"/>
      <c r="BP584" s="81"/>
      <c r="BQ584" s="81"/>
      <c r="BR584" s="81"/>
      <c r="BS584" s="81"/>
      <c r="BT584" s="81"/>
    </row>
    <row r="585" spans="65:72" x14ac:dyDescent="0.25">
      <c r="BM585" s="81"/>
      <c r="BN585" s="81"/>
      <c r="BO585" s="81"/>
      <c r="BP585" s="81"/>
      <c r="BQ585" s="81"/>
      <c r="BR585" s="81"/>
      <c r="BS585" s="81"/>
      <c r="BT585" s="81"/>
    </row>
    <row r="586" spans="65:72" x14ac:dyDescent="0.25">
      <c r="BM586" s="81"/>
      <c r="BN586" s="81"/>
      <c r="BO586" s="81"/>
      <c r="BP586" s="81"/>
      <c r="BQ586" s="81"/>
      <c r="BR586" s="81"/>
      <c r="BS586" s="81"/>
      <c r="BT586" s="81"/>
    </row>
    <row r="587" spans="65:72" x14ac:dyDescent="0.25">
      <c r="BM587" s="81"/>
      <c r="BN587" s="81"/>
      <c r="BO587" s="81"/>
      <c r="BP587" s="81"/>
      <c r="BQ587" s="81"/>
      <c r="BR587" s="81"/>
      <c r="BS587" s="81"/>
      <c r="BT587" s="81"/>
    </row>
    <row r="588" spans="65:72" x14ac:dyDescent="0.25">
      <c r="BM588" s="81"/>
      <c r="BN588" s="81"/>
      <c r="BO588" s="81"/>
      <c r="BP588" s="81"/>
      <c r="BQ588" s="81"/>
      <c r="BR588" s="81"/>
      <c r="BS588" s="81"/>
      <c r="BT588" s="81"/>
    </row>
    <row r="589" spans="65:72" x14ac:dyDescent="0.25">
      <c r="BM589" s="81"/>
      <c r="BN589" s="81"/>
      <c r="BO589" s="81"/>
      <c r="BP589" s="81"/>
      <c r="BQ589" s="81"/>
      <c r="BR589" s="81"/>
      <c r="BS589" s="81"/>
      <c r="BT589" s="81"/>
    </row>
    <row r="590" spans="65:72" x14ac:dyDescent="0.25">
      <c r="BM590" s="81"/>
      <c r="BN590" s="81"/>
      <c r="BO590" s="81"/>
      <c r="BP590" s="81"/>
      <c r="BQ590" s="81"/>
      <c r="BR590" s="81"/>
      <c r="BS590" s="81"/>
      <c r="BT590" s="81"/>
    </row>
    <row r="591" spans="65:72" x14ac:dyDescent="0.25">
      <c r="BM591" s="81"/>
      <c r="BN591" s="81"/>
      <c r="BO591" s="81"/>
      <c r="BP591" s="81"/>
      <c r="BQ591" s="81"/>
      <c r="BR591" s="81"/>
      <c r="BS591" s="81"/>
      <c r="BT591" s="81"/>
    </row>
    <row r="592" spans="65:72" x14ac:dyDescent="0.25">
      <c r="BM592" s="81"/>
      <c r="BN592" s="81"/>
      <c r="BO592" s="81"/>
      <c r="BP592" s="81"/>
      <c r="BQ592" s="81"/>
      <c r="BR592" s="81"/>
      <c r="BS592" s="81"/>
      <c r="BT592" s="81"/>
    </row>
    <row r="593" spans="65:72" x14ac:dyDescent="0.25">
      <c r="BM593" s="81"/>
      <c r="BN593" s="81"/>
      <c r="BO593" s="81"/>
      <c r="BP593" s="81"/>
      <c r="BQ593" s="81"/>
      <c r="BR593" s="81"/>
      <c r="BS593" s="81"/>
      <c r="BT593" s="81"/>
    </row>
    <row r="594" spans="65:72" x14ac:dyDescent="0.25">
      <c r="BM594" s="81"/>
      <c r="BN594" s="81"/>
      <c r="BO594" s="81"/>
      <c r="BP594" s="81"/>
      <c r="BQ594" s="81"/>
      <c r="BR594" s="81"/>
      <c r="BS594" s="81"/>
      <c r="BT594" s="81"/>
    </row>
    <row r="595" spans="65:72" x14ac:dyDescent="0.25">
      <c r="BM595" s="81"/>
      <c r="BN595" s="81"/>
      <c r="BO595" s="81"/>
      <c r="BP595" s="81"/>
      <c r="BQ595" s="81"/>
      <c r="BR595" s="81"/>
      <c r="BS595" s="81"/>
      <c r="BT595" s="81"/>
    </row>
    <row r="596" spans="65:72" x14ac:dyDescent="0.25">
      <c r="BM596" s="81"/>
      <c r="BN596" s="81"/>
      <c r="BO596" s="81"/>
      <c r="BP596" s="81"/>
      <c r="BQ596" s="81"/>
      <c r="BR596" s="81"/>
      <c r="BS596" s="81"/>
      <c r="BT596" s="81"/>
    </row>
    <row r="597" spans="65:72" x14ac:dyDescent="0.25">
      <c r="BM597" s="81"/>
      <c r="BN597" s="81"/>
      <c r="BO597" s="81"/>
      <c r="BP597" s="81"/>
      <c r="BQ597" s="81"/>
      <c r="BR597" s="81"/>
      <c r="BS597" s="81"/>
      <c r="BT597" s="81"/>
    </row>
    <row r="598" spans="65:72" x14ac:dyDescent="0.25">
      <c r="BM598" s="81"/>
      <c r="BN598" s="81"/>
      <c r="BO598" s="81"/>
      <c r="BP598" s="81"/>
      <c r="BQ598" s="81"/>
      <c r="BR598" s="81"/>
      <c r="BS598" s="81"/>
      <c r="BT598" s="81"/>
    </row>
    <row r="599" spans="65:72" x14ac:dyDescent="0.25">
      <c r="BM599" s="81"/>
      <c r="BN599" s="81"/>
      <c r="BO599" s="81"/>
      <c r="BP599" s="81"/>
      <c r="BQ599" s="81"/>
      <c r="BR599" s="81"/>
      <c r="BS599" s="81"/>
      <c r="BT599" s="81"/>
    </row>
    <row r="600" spans="65:72" x14ac:dyDescent="0.25">
      <c r="BM600" s="81"/>
      <c r="BN600" s="81"/>
      <c r="BO600" s="81"/>
      <c r="BP600" s="81"/>
      <c r="BQ600" s="81"/>
      <c r="BR600" s="81"/>
      <c r="BS600" s="81"/>
      <c r="BT600" s="81"/>
    </row>
    <row r="601" spans="65:72" x14ac:dyDescent="0.25">
      <c r="BM601" s="81"/>
      <c r="BN601" s="81"/>
      <c r="BO601" s="81"/>
      <c r="BP601" s="81"/>
      <c r="BQ601" s="81"/>
      <c r="BR601" s="81"/>
      <c r="BS601" s="81"/>
      <c r="BT601" s="81"/>
    </row>
    <row r="602" spans="65:72" x14ac:dyDescent="0.25">
      <c r="BM602" s="81"/>
      <c r="BN602" s="81"/>
      <c r="BO602" s="81"/>
      <c r="BP602" s="81"/>
      <c r="BQ602" s="81"/>
      <c r="BR602" s="81"/>
      <c r="BS602" s="81"/>
      <c r="BT602" s="81"/>
    </row>
    <row r="603" spans="65:72" x14ac:dyDescent="0.25">
      <c r="BM603" s="81"/>
      <c r="BN603" s="81"/>
      <c r="BO603" s="81"/>
      <c r="BP603" s="81"/>
      <c r="BQ603" s="81"/>
      <c r="BR603" s="81"/>
      <c r="BS603" s="81"/>
      <c r="BT603" s="81"/>
    </row>
    <row r="604" spans="65:72" x14ac:dyDescent="0.25">
      <c r="BM604" s="81"/>
      <c r="BN604" s="81"/>
      <c r="BO604" s="81"/>
      <c r="BP604" s="81"/>
      <c r="BQ604" s="81"/>
      <c r="BR604" s="81"/>
      <c r="BS604" s="81"/>
      <c r="BT604" s="81"/>
    </row>
    <row r="605" spans="65:72" x14ac:dyDescent="0.25">
      <c r="BM605" s="81"/>
      <c r="BN605" s="81"/>
      <c r="BO605" s="81"/>
      <c r="BP605" s="81"/>
      <c r="BQ605" s="81"/>
      <c r="BR605" s="81"/>
      <c r="BS605" s="81"/>
      <c r="BT605" s="81"/>
    </row>
    <row r="606" spans="65:72" x14ac:dyDescent="0.25">
      <c r="BM606" s="81"/>
      <c r="BN606" s="81"/>
      <c r="BO606" s="81"/>
      <c r="BP606" s="81"/>
      <c r="BQ606" s="81"/>
      <c r="BR606" s="81"/>
      <c r="BS606" s="81"/>
      <c r="BT606" s="81"/>
    </row>
    <row r="607" spans="65:72" x14ac:dyDescent="0.25">
      <c r="BM607" s="81"/>
      <c r="BN607" s="81"/>
      <c r="BO607" s="81"/>
      <c r="BP607" s="81"/>
      <c r="BQ607" s="81"/>
      <c r="BR607" s="81"/>
      <c r="BS607" s="81"/>
      <c r="BT607" s="81"/>
    </row>
    <row r="608" spans="65:72" x14ac:dyDescent="0.25">
      <c r="BM608" s="81"/>
      <c r="BN608" s="81"/>
      <c r="BO608" s="81"/>
      <c r="BP608" s="81"/>
      <c r="BQ608" s="81"/>
      <c r="BR608" s="81"/>
      <c r="BS608" s="81"/>
      <c r="BT608" s="81"/>
    </row>
    <row r="609" spans="65:72" x14ac:dyDescent="0.25">
      <c r="BM609" s="81"/>
      <c r="BN609" s="81"/>
      <c r="BO609" s="81"/>
      <c r="BP609" s="81"/>
      <c r="BQ609" s="81"/>
      <c r="BR609" s="81"/>
      <c r="BS609" s="81"/>
      <c r="BT609" s="81"/>
    </row>
    <row r="610" spans="65:72" x14ac:dyDescent="0.25">
      <c r="BM610" s="81"/>
      <c r="BN610" s="81"/>
      <c r="BO610" s="81"/>
      <c r="BP610" s="81"/>
      <c r="BQ610" s="81"/>
      <c r="BR610" s="81"/>
      <c r="BS610" s="81"/>
      <c r="BT610" s="81"/>
    </row>
    <row r="611" spans="65:72" x14ac:dyDescent="0.25">
      <c r="BM611" s="81"/>
      <c r="BN611" s="81"/>
      <c r="BO611" s="81"/>
      <c r="BP611" s="81"/>
      <c r="BQ611" s="81"/>
      <c r="BR611" s="81"/>
      <c r="BS611" s="81"/>
      <c r="BT611" s="81"/>
    </row>
    <row r="612" spans="65:72" x14ac:dyDescent="0.25">
      <c r="BM612" s="81"/>
      <c r="BN612" s="81"/>
      <c r="BO612" s="81"/>
      <c r="BP612" s="81"/>
      <c r="BQ612" s="81"/>
      <c r="BR612" s="81"/>
      <c r="BS612" s="81"/>
      <c r="BT612" s="81"/>
    </row>
    <row r="613" spans="65:72" x14ac:dyDescent="0.25">
      <c r="BM613" s="81"/>
      <c r="BN613" s="81"/>
      <c r="BO613" s="81"/>
      <c r="BP613" s="81"/>
      <c r="BQ613" s="81"/>
      <c r="BR613" s="81"/>
      <c r="BS613" s="81"/>
      <c r="BT613" s="81"/>
    </row>
    <row r="614" spans="65:72" x14ac:dyDescent="0.25">
      <c r="BM614" s="81"/>
      <c r="BN614" s="81"/>
      <c r="BO614" s="81"/>
      <c r="BP614" s="81"/>
      <c r="BQ614" s="81"/>
      <c r="BR614" s="81"/>
      <c r="BS614" s="81"/>
      <c r="BT614" s="81"/>
    </row>
    <row r="615" spans="65:72" x14ac:dyDescent="0.25">
      <c r="BM615" s="81"/>
      <c r="BN615" s="81"/>
      <c r="BO615" s="81"/>
      <c r="BP615" s="81"/>
      <c r="BQ615" s="81"/>
      <c r="BR615" s="81"/>
      <c r="BS615" s="81"/>
      <c r="BT615" s="81"/>
    </row>
    <row r="616" spans="65:72" x14ac:dyDescent="0.25">
      <c r="BM616" s="81"/>
      <c r="BN616" s="81"/>
      <c r="BO616" s="81"/>
      <c r="BP616" s="81"/>
      <c r="BQ616" s="81"/>
      <c r="BR616" s="81"/>
      <c r="BS616" s="81"/>
      <c r="BT616" s="81"/>
    </row>
    <row r="617" spans="65:72" x14ac:dyDescent="0.25">
      <c r="BM617" s="81"/>
      <c r="BN617" s="81"/>
      <c r="BO617" s="81"/>
      <c r="BP617" s="81"/>
      <c r="BQ617" s="81"/>
      <c r="BR617" s="81"/>
      <c r="BS617" s="81"/>
      <c r="BT617" s="81"/>
    </row>
    <row r="618" spans="65:72" x14ac:dyDescent="0.25">
      <c r="BM618" s="81"/>
      <c r="BN618" s="81"/>
      <c r="BO618" s="81"/>
      <c r="BP618" s="81"/>
      <c r="BQ618" s="81"/>
      <c r="BR618" s="81"/>
      <c r="BS618" s="81"/>
      <c r="BT618" s="81"/>
    </row>
    <row r="619" spans="65:72" x14ac:dyDescent="0.25">
      <c r="BM619" s="81"/>
      <c r="BN619" s="81"/>
      <c r="BO619" s="81"/>
      <c r="BP619" s="81"/>
      <c r="BQ619" s="81"/>
      <c r="BR619" s="81"/>
      <c r="BS619" s="81"/>
      <c r="BT619" s="81"/>
    </row>
    <row r="620" spans="65:72" x14ac:dyDescent="0.25">
      <c r="BM620" s="81"/>
      <c r="BN620" s="81"/>
      <c r="BO620" s="81"/>
      <c r="BP620" s="81"/>
      <c r="BQ620" s="81"/>
      <c r="BR620" s="81"/>
      <c r="BS620" s="81"/>
      <c r="BT620" s="81"/>
    </row>
    <row r="621" spans="65:72" x14ac:dyDescent="0.25">
      <c r="BM621" s="81"/>
      <c r="BN621" s="81"/>
      <c r="BO621" s="81"/>
      <c r="BP621" s="81"/>
      <c r="BQ621" s="81"/>
      <c r="BR621" s="81"/>
      <c r="BS621" s="81"/>
      <c r="BT621" s="81"/>
    </row>
    <row r="622" spans="65:72" x14ac:dyDescent="0.25">
      <c r="BM622" s="81"/>
      <c r="BN622" s="81"/>
      <c r="BO622" s="81"/>
      <c r="BP622" s="81"/>
      <c r="BQ622" s="81"/>
      <c r="BR622" s="81"/>
      <c r="BS622" s="81"/>
      <c r="BT622" s="81"/>
    </row>
    <row r="623" spans="65:72" x14ac:dyDescent="0.25">
      <c r="BM623" s="81"/>
      <c r="BN623" s="81"/>
      <c r="BO623" s="81"/>
      <c r="BP623" s="81"/>
      <c r="BQ623" s="81"/>
      <c r="BR623" s="81"/>
      <c r="BS623" s="81"/>
      <c r="BT623" s="81"/>
    </row>
    <row r="624" spans="65:72" x14ac:dyDescent="0.25">
      <c r="BM624" s="81"/>
      <c r="BN624" s="81"/>
      <c r="BO624" s="81"/>
      <c r="BP624" s="81"/>
      <c r="BQ624" s="81"/>
      <c r="BR624" s="81"/>
      <c r="BS624" s="81"/>
      <c r="BT624" s="81"/>
    </row>
    <row r="625" spans="65:72" x14ac:dyDescent="0.25">
      <c r="BM625" s="81"/>
      <c r="BN625" s="81"/>
      <c r="BO625" s="81"/>
      <c r="BP625" s="81"/>
      <c r="BQ625" s="81"/>
      <c r="BR625" s="81"/>
      <c r="BS625" s="81"/>
      <c r="BT625" s="81"/>
    </row>
    <row r="626" spans="65:72" x14ac:dyDescent="0.25">
      <c r="BM626" s="81"/>
      <c r="BN626" s="81"/>
      <c r="BO626" s="81"/>
      <c r="BP626" s="81"/>
      <c r="BQ626" s="81"/>
      <c r="BR626" s="81"/>
      <c r="BS626" s="81"/>
      <c r="BT626" s="81"/>
    </row>
    <row r="627" spans="65:72" x14ac:dyDescent="0.25">
      <c r="BM627" s="81"/>
      <c r="BN627" s="81"/>
      <c r="BO627" s="81"/>
      <c r="BP627" s="81"/>
      <c r="BQ627" s="81"/>
      <c r="BR627" s="81"/>
      <c r="BS627" s="81"/>
      <c r="BT627" s="81"/>
    </row>
    <row r="628" spans="65:72" x14ac:dyDescent="0.25">
      <c r="BM628" s="81"/>
      <c r="BN628" s="81"/>
      <c r="BO628" s="81"/>
      <c r="BP628" s="81"/>
      <c r="BQ628" s="81"/>
      <c r="BR628" s="81"/>
      <c r="BS628" s="81"/>
      <c r="BT628" s="81"/>
    </row>
    <row r="629" spans="65:72" x14ac:dyDescent="0.25">
      <c r="BM629" s="81"/>
      <c r="BN629" s="81"/>
      <c r="BO629" s="81"/>
      <c r="BP629" s="81"/>
      <c r="BQ629" s="81"/>
      <c r="BR629" s="81"/>
      <c r="BS629" s="81"/>
      <c r="BT629" s="81"/>
    </row>
    <row r="630" spans="65:72" x14ac:dyDescent="0.25">
      <c r="BM630" s="81"/>
      <c r="BN630" s="81"/>
      <c r="BO630" s="81"/>
      <c r="BP630" s="81"/>
      <c r="BQ630" s="81"/>
      <c r="BR630" s="81"/>
      <c r="BS630" s="81"/>
      <c r="BT630" s="81"/>
    </row>
    <row r="631" spans="65:72" x14ac:dyDescent="0.25">
      <c r="BM631" s="81"/>
      <c r="BN631" s="81"/>
      <c r="BO631" s="81"/>
      <c r="BP631" s="81"/>
      <c r="BQ631" s="81"/>
      <c r="BR631" s="81"/>
      <c r="BS631" s="81"/>
      <c r="BT631" s="81"/>
    </row>
    <row r="632" spans="65:72" x14ac:dyDescent="0.25">
      <c r="BM632" s="81"/>
      <c r="BN632" s="81"/>
      <c r="BO632" s="81"/>
      <c r="BP632" s="81"/>
      <c r="BQ632" s="81"/>
      <c r="BR632" s="81"/>
      <c r="BS632" s="81"/>
      <c r="BT632" s="81"/>
    </row>
    <row r="633" spans="65:72" x14ac:dyDescent="0.25">
      <c r="BM633" s="81"/>
      <c r="BN633" s="81"/>
      <c r="BO633" s="81"/>
      <c r="BP633" s="81"/>
      <c r="BQ633" s="81"/>
      <c r="BR633" s="81"/>
      <c r="BS633" s="81"/>
      <c r="BT633" s="81"/>
    </row>
    <row r="634" spans="65:72" x14ac:dyDescent="0.25">
      <c r="BM634" s="81"/>
      <c r="BN634" s="81"/>
      <c r="BO634" s="81"/>
      <c r="BP634" s="81"/>
      <c r="BQ634" s="81"/>
      <c r="BR634" s="81"/>
      <c r="BS634" s="81"/>
      <c r="BT634" s="81"/>
    </row>
    <row r="635" spans="65:72" x14ac:dyDescent="0.25">
      <c r="BM635" s="81"/>
      <c r="BN635" s="81"/>
      <c r="BO635" s="81"/>
      <c r="BP635" s="81"/>
      <c r="BQ635" s="81"/>
      <c r="BR635" s="81"/>
      <c r="BS635" s="81"/>
      <c r="BT635" s="81"/>
    </row>
    <row r="636" spans="65:72" x14ac:dyDescent="0.25">
      <c r="BM636" s="81"/>
      <c r="BN636" s="81"/>
      <c r="BO636" s="81"/>
      <c r="BP636" s="81"/>
      <c r="BQ636" s="81"/>
      <c r="BR636" s="81"/>
      <c r="BS636" s="81"/>
      <c r="BT636" s="81"/>
    </row>
    <row r="637" spans="65:72" x14ac:dyDescent="0.25">
      <c r="BM637" s="81"/>
      <c r="BN637" s="81"/>
      <c r="BO637" s="81"/>
      <c r="BP637" s="81"/>
      <c r="BQ637" s="81"/>
      <c r="BR637" s="81"/>
      <c r="BS637" s="81"/>
      <c r="BT637" s="81"/>
    </row>
    <row r="638" spans="65:72" x14ac:dyDescent="0.25">
      <c r="BM638" s="81"/>
      <c r="BN638" s="81"/>
      <c r="BO638" s="81"/>
      <c r="BP638" s="81"/>
      <c r="BQ638" s="81"/>
      <c r="BR638" s="81"/>
      <c r="BS638" s="81"/>
      <c r="BT638" s="81"/>
    </row>
    <row r="639" spans="65:72" x14ac:dyDescent="0.25">
      <c r="BM639" s="81"/>
      <c r="BN639" s="81"/>
      <c r="BO639" s="81"/>
      <c r="BP639" s="81"/>
      <c r="BQ639" s="81"/>
      <c r="BR639" s="81"/>
      <c r="BS639" s="81"/>
      <c r="BT639" s="81"/>
    </row>
    <row r="640" spans="65:72" x14ac:dyDescent="0.25">
      <c r="BM640" s="81"/>
      <c r="BN640" s="81"/>
      <c r="BO640" s="81"/>
      <c r="BP640" s="81"/>
      <c r="BQ640" s="81"/>
      <c r="BR640" s="81"/>
      <c r="BS640" s="81"/>
      <c r="BT640" s="81"/>
    </row>
    <row r="641" spans="65:72" x14ac:dyDescent="0.25">
      <c r="BM641" s="81"/>
      <c r="BN641" s="81"/>
      <c r="BO641" s="81"/>
      <c r="BP641" s="81"/>
      <c r="BQ641" s="81"/>
      <c r="BR641" s="81"/>
      <c r="BS641" s="81"/>
      <c r="BT641" s="81"/>
    </row>
    <row r="642" spans="65:72" x14ac:dyDescent="0.25">
      <c r="BM642" s="81"/>
      <c r="BN642" s="81"/>
      <c r="BO642" s="81"/>
      <c r="BP642" s="81"/>
      <c r="BQ642" s="81"/>
      <c r="BR642" s="81"/>
      <c r="BS642" s="81"/>
      <c r="BT642" s="81"/>
    </row>
    <row r="643" spans="65:72" x14ac:dyDescent="0.25">
      <c r="BM643" s="81"/>
      <c r="BN643" s="81"/>
      <c r="BO643" s="81"/>
      <c r="BP643" s="81"/>
      <c r="BQ643" s="81"/>
      <c r="BR643" s="81"/>
      <c r="BS643" s="81"/>
      <c r="BT643" s="81"/>
    </row>
    <row r="644" spans="65:72" x14ac:dyDescent="0.25">
      <c r="BM644" s="81"/>
      <c r="BN644" s="81"/>
      <c r="BO644" s="81"/>
      <c r="BP644" s="81"/>
      <c r="BQ644" s="81"/>
      <c r="BR644" s="81"/>
      <c r="BS644" s="81"/>
      <c r="BT644" s="81"/>
    </row>
    <row r="645" spans="65:72" x14ac:dyDescent="0.25">
      <c r="BM645" s="81"/>
      <c r="BN645" s="81"/>
      <c r="BO645" s="81"/>
      <c r="BP645" s="81"/>
      <c r="BQ645" s="81"/>
      <c r="BR645" s="81"/>
      <c r="BS645" s="81"/>
      <c r="BT645" s="81"/>
    </row>
    <row r="646" spans="65:72" x14ac:dyDescent="0.25">
      <c r="BM646" s="81"/>
      <c r="BN646" s="81"/>
      <c r="BO646" s="81"/>
      <c r="BP646" s="81"/>
      <c r="BQ646" s="81"/>
      <c r="BR646" s="81"/>
      <c r="BS646" s="81"/>
      <c r="BT646" s="81"/>
    </row>
    <row r="647" spans="65:72" x14ac:dyDescent="0.25">
      <c r="BM647" s="81"/>
      <c r="BN647" s="81"/>
      <c r="BO647" s="81"/>
      <c r="BP647" s="81"/>
      <c r="BQ647" s="81"/>
      <c r="BR647" s="81"/>
      <c r="BS647" s="81"/>
      <c r="BT647" s="81"/>
    </row>
    <row r="648" spans="65:72" x14ac:dyDescent="0.25">
      <c r="BM648" s="81"/>
      <c r="BN648" s="81"/>
      <c r="BO648" s="81"/>
      <c r="BP648" s="81"/>
      <c r="BQ648" s="81"/>
      <c r="BR648" s="81"/>
      <c r="BS648" s="81"/>
      <c r="BT648" s="81"/>
    </row>
    <row r="649" spans="65:72" x14ac:dyDescent="0.25">
      <c r="BM649" s="81"/>
      <c r="BN649" s="81"/>
      <c r="BO649" s="81"/>
      <c r="BP649" s="81"/>
      <c r="BQ649" s="81"/>
      <c r="BR649" s="81"/>
      <c r="BS649" s="81"/>
      <c r="BT649" s="81"/>
    </row>
    <row r="650" spans="65:72" x14ac:dyDescent="0.25">
      <c r="BM650" s="81"/>
      <c r="BN650" s="81"/>
      <c r="BO650" s="81"/>
      <c r="BP650" s="81"/>
      <c r="BQ650" s="81"/>
      <c r="BR650" s="81"/>
      <c r="BS650" s="81"/>
      <c r="BT650" s="81"/>
    </row>
    <row r="651" spans="65:72" x14ac:dyDescent="0.25">
      <c r="BM651" s="81"/>
      <c r="BN651" s="81"/>
      <c r="BO651" s="81"/>
      <c r="BP651" s="81"/>
      <c r="BQ651" s="81"/>
      <c r="BR651" s="81"/>
      <c r="BS651" s="81"/>
      <c r="BT651" s="81"/>
    </row>
    <row r="652" spans="65:72" x14ac:dyDescent="0.25">
      <c r="BM652" s="81"/>
      <c r="BN652" s="81"/>
      <c r="BO652" s="81"/>
      <c r="BP652" s="81"/>
      <c r="BQ652" s="81"/>
      <c r="BR652" s="81"/>
      <c r="BS652" s="81"/>
      <c r="BT652" s="81"/>
    </row>
    <row r="653" spans="65:72" x14ac:dyDescent="0.25">
      <c r="BM653" s="81"/>
      <c r="BN653" s="81"/>
      <c r="BO653" s="81"/>
      <c r="BP653" s="81"/>
      <c r="BQ653" s="81"/>
      <c r="BR653" s="81"/>
      <c r="BS653" s="81"/>
      <c r="BT653" s="81"/>
    </row>
    <row r="654" spans="65:72" x14ac:dyDescent="0.25">
      <c r="BM654" s="81"/>
      <c r="BN654" s="81"/>
      <c r="BO654" s="81"/>
      <c r="BP654" s="81"/>
      <c r="BQ654" s="81"/>
      <c r="BR654" s="81"/>
      <c r="BS654" s="81"/>
      <c r="BT654" s="81"/>
    </row>
    <row r="655" spans="65:72" x14ac:dyDescent="0.25">
      <c r="BM655" s="81"/>
      <c r="BN655" s="81"/>
      <c r="BO655" s="81"/>
      <c r="BP655" s="81"/>
      <c r="BQ655" s="81"/>
      <c r="BR655" s="81"/>
      <c r="BS655" s="81"/>
      <c r="BT655" s="81"/>
    </row>
    <row r="656" spans="65:72" x14ac:dyDescent="0.25">
      <c r="BM656" s="81"/>
      <c r="BN656" s="81"/>
      <c r="BO656" s="81"/>
      <c r="BP656" s="81"/>
      <c r="BQ656" s="81"/>
      <c r="BR656" s="81"/>
      <c r="BS656" s="81"/>
      <c r="BT656" s="81"/>
    </row>
    <row r="657" spans="65:72" x14ac:dyDescent="0.25">
      <c r="BM657" s="81"/>
      <c r="BN657" s="81"/>
      <c r="BO657" s="81"/>
      <c r="BP657" s="81"/>
      <c r="BQ657" s="81"/>
      <c r="BR657" s="81"/>
      <c r="BS657" s="81"/>
      <c r="BT657" s="81"/>
    </row>
    <row r="658" spans="65:72" x14ac:dyDescent="0.25">
      <c r="BM658" s="81"/>
      <c r="BN658" s="81"/>
      <c r="BO658" s="81"/>
      <c r="BP658" s="81"/>
      <c r="BQ658" s="81"/>
      <c r="BR658" s="81"/>
      <c r="BS658" s="81"/>
      <c r="BT658" s="81"/>
    </row>
    <row r="659" spans="65:72" x14ac:dyDescent="0.25">
      <c r="BM659" s="81"/>
      <c r="BN659" s="81"/>
      <c r="BO659" s="81"/>
      <c r="BP659" s="81"/>
      <c r="BQ659" s="81"/>
      <c r="BR659" s="81"/>
      <c r="BS659" s="81"/>
      <c r="BT659" s="81"/>
    </row>
    <row r="660" spans="65:72" x14ac:dyDescent="0.25">
      <c r="BM660" s="81"/>
      <c r="BN660" s="81"/>
      <c r="BO660" s="81"/>
      <c r="BP660" s="81"/>
      <c r="BQ660" s="81"/>
      <c r="BR660" s="81"/>
      <c r="BS660" s="81"/>
      <c r="BT660" s="81"/>
    </row>
    <row r="661" spans="65:72" x14ac:dyDescent="0.25">
      <c r="BM661" s="81"/>
      <c r="BN661" s="81"/>
      <c r="BO661" s="81"/>
      <c r="BP661" s="81"/>
      <c r="BQ661" s="81"/>
      <c r="BR661" s="81"/>
      <c r="BS661" s="81"/>
      <c r="BT661" s="81"/>
    </row>
    <row r="662" spans="65:72" x14ac:dyDescent="0.25">
      <c r="BM662" s="81"/>
      <c r="BN662" s="81"/>
      <c r="BO662" s="81"/>
      <c r="BP662" s="81"/>
      <c r="BQ662" s="81"/>
      <c r="BR662" s="81"/>
      <c r="BS662" s="81"/>
      <c r="BT662" s="81"/>
    </row>
    <row r="663" spans="65:72" x14ac:dyDescent="0.25">
      <c r="BM663" s="81"/>
      <c r="BN663" s="81"/>
      <c r="BO663" s="81"/>
      <c r="BP663" s="81"/>
      <c r="BQ663" s="81"/>
      <c r="BR663" s="81"/>
      <c r="BS663" s="81"/>
      <c r="BT663" s="81"/>
    </row>
    <row r="664" spans="65:72" x14ac:dyDescent="0.25">
      <c r="BM664" s="81"/>
      <c r="BN664" s="81"/>
      <c r="BO664" s="81"/>
      <c r="BP664" s="81"/>
      <c r="BQ664" s="81"/>
      <c r="BR664" s="81"/>
      <c r="BS664" s="81"/>
      <c r="BT664" s="81"/>
    </row>
    <row r="665" spans="65:72" x14ac:dyDescent="0.25">
      <c r="BM665" s="81"/>
      <c r="BN665" s="81"/>
      <c r="BO665" s="81"/>
      <c r="BP665" s="81"/>
      <c r="BQ665" s="81"/>
      <c r="BR665" s="81"/>
      <c r="BS665" s="81"/>
      <c r="BT665" s="81"/>
    </row>
    <row r="666" spans="65:72" x14ac:dyDescent="0.25">
      <c r="BM666" s="81"/>
      <c r="BN666" s="81"/>
      <c r="BO666" s="81"/>
      <c r="BP666" s="81"/>
      <c r="BQ666" s="81"/>
      <c r="BR666" s="81"/>
      <c r="BS666" s="81"/>
      <c r="BT666" s="81"/>
    </row>
    <row r="667" spans="65:72" x14ac:dyDescent="0.25">
      <c r="BM667" s="81"/>
      <c r="BN667" s="81"/>
      <c r="BO667" s="81"/>
      <c r="BP667" s="81"/>
      <c r="BQ667" s="81"/>
      <c r="BR667" s="81"/>
      <c r="BS667" s="81"/>
      <c r="BT667" s="81"/>
    </row>
    <row r="668" spans="65:72" x14ac:dyDescent="0.25">
      <c r="BM668" s="81"/>
      <c r="BN668" s="81"/>
      <c r="BO668" s="81"/>
      <c r="BP668" s="81"/>
      <c r="BQ668" s="81"/>
      <c r="BR668" s="81"/>
      <c r="BS668" s="81"/>
      <c r="BT668" s="81"/>
    </row>
    <row r="669" spans="65:72" x14ac:dyDescent="0.25">
      <c r="BM669" s="81"/>
      <c r="BN669" s="81"/>
      <c r="BO669" s="81"/>
      <c r="BP669" s="81"/>
      <c r="BQ669" s="81"/>
      <c r="BR669" s="81"/>
      <c r="BS669" s="81"/>
      <c r="BT669" s="81"/>
    </row>
    <row r="670" spans="65:72" x14ac:dyDescent="0.25">
      <c r="BM670" s="81"/>
      <c r="BN670" s="81"/>
      <c r="BO670" s="81"/>
      <c r="BP670" s="81"/>
      <c r="BQ670" s="81"/>
      <c r="BR670" s="81"/>
      <c r="BS670" s="81"/>
      <c r="BT670" s="81"/>
    </row>
    <row r="671" spans="65:72" x14ac:dyDescent="0.25">
      <c r="BM671" s="81"/>
      <c r="BN671" s="81"/>
      <c r="BO671" s="81"/>
      <c r="BP671" s="81"/>
      <c r="BQ671" s="81"/>
      <c r="BR671" s="81"/>
      <c r="BS671" s="81"/>
      <c r="BT671" s="81"/>
    </row>
    <row r="672" spans="65:72" x14ac:dyDescent="0.25">
      <c r="BM672" s="81"/>
      <c r="BN672" s="81"/>
      <c r="BO672" s="81"/>
      <c r="BP672" s="81"/>
      <c r="BQ672" s="81"/>
      <c r="BR672" s="81"/>
      <c r="BS672" s="81"/>
      <c r="BT672" s="81"/>
    </row>
    <row r="673" spans="65:72" x14ac:dyDescent="0.25">
      <c r="BM673" s="81"/>
      <c r="BN673" s="81"/>
      <c r="BO673" s="81"/>
      <c r="BP673" s="81"/>
      <c r="BQ673" s="81"/>
      <c r="BR673" s="81"/>
      <c r="BS673" s="81"/>
      <c r="BT673" s="81"/>
    </row>
    <row r="674" spans="65:72" x14ac:dyDescent="0.25">
      <c r="BM674" s="81"/>
      <c r="BN674" s="81"/>
      <c r="BO674" s="81"/>
      <c r="BP674" s="81"/>
      <c r="BQ674" s="81"/>
      <c r="BR674" s="81"/>
      <c r="BS674" s="81"/>
      <c r="BT674" s="81"/>
    </row>
    <row r="675" spans="65:72" x14ac:dyDescent="0.25">
      <c r="BM675" s="81"/>
      <c r="BN675" s="81"/>
      <c r="BO675" s="81"/>
      <c r="BP675" s="81"/>
      <c r="BQ675" s="81"/>
      <c r="BR675" s="81"/>
      <c r="BS675" s="81"/>
      <c r="BT675" s="81"/>
    </row>
    <row r="676" spans="65:72" x14ac:dyDescent="0.25">
      <c r="BM676" s="81"/>
      <c r="BN676" s="81"/>
      <c r="BO676" s="81"/>
      <c r="BP676" s="81"/>
      <c r="BQ676" s="81"/>
      <c r="BR676" s="81"/>
      <c r="BS676" s="81"/>
      <c r="BT676" s="81"/>
    </row>
    <row r="677" spans="65:72" x14ac:dyDescent="0.25">
      <c r="BM677" s="81"/>
      <c r="BN677" s="81"/>
      <c r="BO677" s="81"/>
      <c r="BP677" s="81"/>
      <c r="BQ677" s="81"/>
      <c r="BR677" s="81"/>
      <c r="BS677" s="81"/>
      <c r="BT677" s="81"/>
    </row>
    <row r="678" spans="65:72" x14ac:dyDescent="0.25">
      <c r="BM678" s="81"/>
      <c r="BN678" s="81"/>
      <c r="BO678" s="81"/>
      <c r="BP678" s="81"/>
      <c r="BQ678" s="81"/>
      <c r="BR678" s="81"/>
      <c r="BS678" s="81"/>
      <c r="BT678" s="81"/>
    </row>
    <row r="679" spans="65:72" x14ac:dyDescent="0.25">
      <c r="BM679" s="81"/>
      <c r="BN679" s="81"/>
      <c r="BO679" s="81"/>
      <c r="BP679" s="81"/>
      <c r="BQ679" s="81"/>
      <c r="BR679" s="81"/>
      <c r="BS679" s="81"/>
      <c r="BT679" s="81"/>
    </row>
    <row r="680" spans="65:72" x14ac:dyDescent="0.25">
      <c r="BM680" s="81"/>
      <c r="BN680" s="81"/>
      <c r="BO680" s="81"/>
      <c r="BP680" s="81"/>
      <c r="BQ680" s="81"/>
      <c r="BR680" s="81"/>
      <c r="BS680" s="81"/>
      <c r="BT680" s="81"/>
    </row>
    <row r="681" spans="65:72" x14ac:dyDescent="0.25">
      <c r="BM681" s="81"/>
      <c r="BN681" s="81"/>
      <c r="BO681" s="81"/>
      <c r="BP681" s="81"/>
      <c r="BQ681" s="81"/>
      <c r="BR681" s="81"/>
      <c r="BS681" s="81"/>
      <c r="BT681" s="81"/>
    </row>
    <row r="682" spans="65:72" x14ac:dyDescent="0.25">
      <c r="BM682" s="81"/>
      <c r="BN682" s="81"/>
      <c r="BO682" s="81"/>
      <c r="BP682" s="81"/>
      <c r="BQ682" s="81"/>
      <c r="BR682" s="81"/>
      <c r="BS682" s="81"/>
      <c r="BT682" s="81"/>
    </row>
    <row r="683" spans="65:72" x14ac:dyDescent="0.25">
      <c r="BM683" s="81"/>
      <c r="BN683" s="81"/>
      <c r="BO683" s="81"/>
      <c r="BP683" s="81"/>
      <c r="BQ683" s="81"/>
      <c r="BR683" s="81"/>
      <c r="BS683" s="81"/>
      <c r="BT683" s="81"/>
    </row>
    <row r="684" spans="65:72" x14ac:dyDescent="0.25">
      <c r="BM684" s="81"/>
      <c r="BN684" s="81"/>
      <c r="BO684" s="81"/>
      <c r="BP684" s="81"/>
      <c r="BQ684" s="81"/>
      <c r="BR684" s="81"/>
      <c r="BS684" s="81"/>
      <c r="BT684" s="81"/>
    </row>
    <row r="685" spans="65:72" x14ac:dyDescent="0.25">
      <c r="BM685" s="81"/>
      <c r="BN685" s="81"/>
      <c r="BO685" s="81"/>
      <c r="BP685" s="81"/>
      <c r="BQ685" s="81"/>
      <c r="BR685" s="81"/>
      <c r="BS685" s="81"/>
      <c r="BT685" s="81"/>
    </row>
    <row r="686" spans="65:72" x14ac:dyDescent="0.25">
      <c r="BM686" s="81"/>
      <c r="BN686" s="81"/>
      <c r="BO686" s="81"/>
      <c r="BP686" s="81"/>
      <c r="BQ686" s="81"/>
      <c r="BR686" s="81"/>
      <c r="BS686" s="81"/>
      <c r="BT686" s="81"/>
    </row>
    <row r="687" spans="65:72" x14ac:dyDescent="0.25">
      <c r="BM687" s="81"/>
      <c r="BN687" s="81"/>
      <c r="BO687" s="81"/>
      <c r="BP687" s="81"/>
      <c r="BQ687" s="81"/>
      <c r="BR687" s="81"/>
      <c r="BS687" s="81"/>
      <c r="BT687" s="81"/>
    </row>
    <row r="688" spans="65:72" x14ac:dyDescent="0.25">
      <c r="BM688" s="81"/>
      <c r="BN688" s="81"/>
      <c r="BO688" s="81"/>
      <c r="BP688" s="81"/>
      <c r="BQ688" s="81"/>
      <c r="BR688" s="81"/>
      <c r="BS688" s="81"/>
      <c r="BT688" s="81"/>
    </row>
    <row r="689" spans="65:72" x14ac:dyDescent="0.25">
      <c r="BM689" s="81"/>
      <c r="BN689" s="81"/>
      <c r="BO689" s="81"/>
      <c r="BP689" s="81"/>
      <c r="BQ689" s="81"/>
      <c r="BR689" s="81"/>
      <c r="BS689" s="81"/>
      <c r="BT689" s="81"/>
    </row>
    <row r="690" spans="65:72" x14ac:dyDescent="0.25">
      <c r="BM690" s="81"/>
      <c r="BN690" s="81"/>
      <c r="BO690" s="81"/>
      <c r="BP690" s="81"/>
      <c r="BQ690" s="81"/>
      <c r="BR690" s="81"/>
      <c r="BS690" s="81"/>
      <c r="BT690" s="81"/>
    </row>
    <row r="691" spans="65:72" x14ac:dyDescent="0.25">
      <c r="BM691" s="81"/>
      <c r="BN691" s="81"/>
      <c r="BO691" s="81"/>
      <c r="BP691" s="81"/>
      <c r="BQ691" s="81"/>
      <c r="BR691" s="81"/>
      <c r="BS691" s="81"/>
      <c r="BT691" s="81"/>
    </row>
    <row r="692" spans="65:72" x14ac:dyDescent="0.25">
      <c r="BM692" s="81"/>
      <c r="BN692" s="81"/>
      <c r="BO692" s="81"/>
      <c r="BP692" s="81"/>
      <c r="BQ692" s="81"/>
      <c r="BR692" s="81"/>
      <c r="BS692" s="81"/>
      <c r="BT692" s="81"/>
    </row>
    <row r="693" spans="65:72" x14ac:dyDescent="0.25">
      <c r="BM693" s="81"/>
      <c r="BN693" s="81"/>
      <c r="BO693" s="81"/>
      <c r="BP693" s="81"/>
      <c r="BQ693" s="81"/>
      <c r="BR693" s="81"/>
      <c r="BS693" s="81"/>
      <c r="BT693" s="81"/>
    </row>
    <row r="694" spans="65:72" x14ac:dyDescent="0.25">
      <c r="BM694" s="81"/>
      <c r="BN694" s="81"/>
      <c r="BO694" s="81"/>
      <c r="BP694" s="81"/>
      <c r="BQ694" s="81"/>
      <c r="BR694" s="81"/>
      <c r="BS694" s="81"/>
      <c r="BT694" s="81"/>
    </row>
    <row r="695" spans="65:72" x14ac:dyDescent="0.25">
      <c r="BM695" s="81"/>
      <c r="BN695" s="81"/>
      <c r="BO695" s="81"/>
      <c r="BP695" s="81"/>
      <c r="BQ695" s="81"/>
      <c r="BR695" s="81"/>
      <c r="BS695" s="81"/>
      <c r="BT695" s="81"/>
    </row>
    <row r="696" spans="65:72" x14ac:dyDescent="0.25">
      <c r="BM696" s="81"/>
      <c r="BN696" s="81"/>
      <c r="BO696" s="81"/>
      <c r="BP696" s="81"/>
      <c r="BQ696" s="81"/>
      <c r="BR696" s="81"/>
      <c r="BS696" s="81"/>
      <c r="BT696" s="81"/>
    </row>
    <row r="697" spans="65:72" x14ac:dyDescent="0.25">
      <c r="BM697" s="81"/>
      <c r="BN697" s="81"/>
      <c r="BO697" s="81"/>
      <c r="BP697" s="81"/>
      <c r="BQ697" s="81"/>
      <c r="BR697" s="81"/>
      <c r="BS697" s="81"/>
      <c r="BT697" s="81"/>
    </row>
    <row r="698" spans="65:72" x14ac:dyDescent="0.25">
      <c r="BM698" s="81"/>
      <c r="BN698" s="81"/>
      <c r="BO698" s="81"/>
      <c r="BP698" s="81"/>
      <c r="BQ698" s="81"/>
      <c r="BR698" s="81"/>
      <c r="BS698" s="81"/>
      <c r="BT698" s="81"/>
    </row>
    <row r="699" spans="65:72" x14ac:dyDescent="0.25">
      <c r="BM699" s="81"/>
      <c r="BN699" s="81"/>
      <c r="BO699" s="81"/>
      <c r="BP699" s="81"/>
      <c r="BQ699" s="81"/>
      <c r="BR699" s="81"/>
      <c r="BS699" s="81"/>
      <c r="BT699" s="81"/>
    </row>
    <row r="700" spans="65:72" x14ac:dyDescent="0.25">
      <c r="BM700" s="81"/>
      <c r="BN700" s="81"/>
      <c r="BO700" s="81"/>
      <c r="BP700" s="81"/>
      <c r="BQ700" s="81"/>
      <c r="BR700" s="81"/>
      <c r="BS700" s="81"/>
      <c r="BT700" s="81"/>
    </row>
    <row r="701" spans="65:72" x14ac:dyDescent="0.25">
      <c r="BM701" s="81"/>
      <c r="BN701" s="81"/>
      <c r="BO701" s="81"/>
      <c r="BP701" s="81"/>
      <c r="BQ701" s="81"/>
      <c r="BR701" s="81"/>
      <c r="BS701" s="81"/>
      <c r="BT701" s="81"/>
    </row>
    <row r="702" spans="65:72" x14ac:dyDescent="0.25">
      <c r="BM702" s="81"/>
      <c r="BN702" s="81"/>
      <c r="BO702" s="81"/>
      <c r="BP702" s="81"/>
      <c r="BQ702" s="81"/>
      <c r="BR702" s="81"/>
      <c r="BS702" s="81"/>
      <c r="BT702" s="81"/>
    </row>
    <row r="703" spans="65:72" x14ac:dyDescent="0.25">
      <c r="BM703" s="81"/>
      <c r="BN703" s="81"/>
      <c r="BO703" s="81"/>
      <c r="BP703" s="81"/>
      <c r="BQ703" s="81"/>
      <c r="BR703" s="81"/>
      <c r="BS703" s="81"/>
      <c r="BT703" s="81"/>
    </row>
    <row r="704" spans="65:72" x14ac:dyDescent="0.25">
      <c r="BM704" s="81"/>
      <c r="BN704" s="81"/>
      <c r="BO704" s="81"/>
      <c r="BP704" s="81"/>
      <c r="BQ704" s="81"/>
      <c r="BR704" s="81"/>
      <c r="BS704" s="81"/>
      <c r="BT704" s="81"/>
    </row>
    <row r="705" spans="65:72" x14ac:dyDescent="0.25">
      <c r="BM705" s="81"/>
      <c r="BN705" s="81"/>
      <c r="BO705" s="81"/>
      <c r="BP705" s="81"/>
      <c r="BQ705" s="81"/>
      <c r="BR705" s="81"/>
      <c r="BS705" s="81"/>
      <c r="BT705" s="81"/>
    </row>
    <row r="706" spans="65:72" x14ac:dyDescent="0.25">
      <c r="BM706" s="81"/>
      <c r="BN706" s="81"/>
      <c r="BO706" s="81"/>
      <c r="BP706" s="81"/>
      <c r="BQ706" s="81"/>
      <c r="BR706" s="81"/>
      <c r="BS706" s="81"/>
      <c r="BT706" s="81"/>
    </row>
    <row r="707" spans="65:72" x14ac:dyDescent="0.25">
      <c r="BM707" s="81"/>
      <c r="BN707" s="81"/>
      <c r="BO707" s="81"/>
      <c r="BP707" s="81"/>
      <c r="BQ707" s="81"/>
      <c r="BR707" s="81"/>
      <c r="BS707" s="81"/>
      <c r="BT707" s="81"/>
    </row>
    <row r="708" spans="65:72" x14ac:dyDescent="0.25">
      <c r="BM708" s="81"/>
      <c r="BN708" s="81"/>
      <c r="BO708" s="81"/>
      <c r="BP708" s="81"/>
      <c r="BQ708" s="81"/>
      <c r="BR708" s="81"/>
      <c r="BS708" s="81"/>
      <c r="BT708" s="81"/>
    </row>
    <row r="709" spans="65:72" x14ac:dyDescent="0.25">
      <c r="BM709" s="81"/>
      <c r="BN709" s="81"/>
      <c r="BO709" s="81"/>
      <c r="BP709" s="81"/>
      <c r="BQ709" s="81"/>
      <c r="BR709" s="81"/>
      <c r="BS709" s="81"/>
      <c r="BT709" s="81"/>
    </row>
    <row r="710" spans="65:72" x14ac:dyDescent="0.25">
      <c r="BM710" s="81"/>
      <c r="BN710" s="81"/>
      <c r="BO710" s="81"/>
      <c r="BP710" s="81"/>
      <c r="BQ710" s="81"/>
      <c r="BR710" s="81"/>
      <c r="BS710" s="81"/>
      <c r="BT710" s="81"/>
    </row>
    <row r="711" spans="65:72" x14ac:dyDescent="0.25">
      <c r="BM711" s="81"/>
      <c r="BN711" s="81"/>
      <c r="BO711" s="81"/>
      <c r="BP711" s="81"/>
      <c r="BQ711" s="81"/>
      <c r="BR711" s="81"/>
      <c r="BS711" s="81"/>
      <c r="BT711" s="81"/>
    </row>
    <row r="712" spans="65:72" x14ac:dyDescent="0.25">
      <c r="BM712" s="81"/>
      <c r="BN712" s="81"/>
      <c r="BO712" s="81"/>
      <c r="BP712" s="81"/>
      <c r="BQ712" s="81"/>
      <c r="BR712" s="81"/>
      <c r="BS712" s="81"/>
      <c r="BT712" s="81"/>
    </row>
    <row r="713" spans="65:72" x14ac:dyDescent="0.25">
      <c r="BM713" s="81"/>
      <c r="BN713" s="81"/>
      <c r="BO713" s="81"/>
      <c r="BP713" s="81"/>
      <c r="BQ713" s="81"/>
      <c r="BR713" s="81"/>
      <c r="BS713" s="81"/>
      <c r="BT713" s="81"/>
    </row>
    <row r="714" spans="65:72" x14ac:dyDescent="0.25">
      <c r="BM714" s="81"/>
      <c r="BN714" s="81"/>
      <c r="BO714" s="81"/>
      <c r="BP714" s="81"/>
      <c r="BQ714" s="81"/>
      <c r="BR714" s="81"/>
      <c r="BS714" s="81"/>
      <c r="BT714" s="81"/>
    </row>
    <row r="715" spans="65:72" x14ac:dyDescent="0.25">
      <c r="BM715" s="81"/>
      <c r="BN715" s="81"/>
      <c r="BO715" s="81"/>
      <c r="BP715" s="81"/>
      <c r="BQ715" s="81"/>
      <c r="BR715" s="81"/>
      <c r="BS715" s="81"/>
      <c r="BT715" s="81"/>
    </row>
    <row r="716" spans="65:72" x14ac:dyDescent="0.25">
      <c r="BM716" s="81"/>
      <c r="BN716" s="81"/>
      <c r="BO716" s="81"/>
      <c r="BP716" s="81"/>
      <c r="BQ716" s="81"/>
      <c r="BR716" s="81"/>
      <c r="BS716" s="81"/>
      <c r="BT716" s="81"/>
    </row>
    <row r="717" spans="65:72" x14ac:dyDescent="0.25">
      <c r="BM717" s="81"/>
      <c r="BN717" s="81"/>
      <c r="BO717" s="81"/>
      <c r="BP717" s="81"/>
      <c r="BQ717" s="81"/>
      <c r="BR717" s="81"/>
      <c r="BS717" s="81"/>
      <c r="BT717" s="81"/>
    </row>
    <row r="718" spans="65:72" x14ac:dyDescent="0.25">
      <c r="BM718" s="81"/>
      <c r="BN718" s="81"/>
      <c r="BO718" s="81"/>
      <c r="BP718" s="81"/>
      <c r="BQ718" s="81"/>
      <c r="BR718" s="81"/>
      <c r="BS718" s="81"/>
      <c r="BT718" s="81"/>
    </row>
    <row r="719" spans="65:72" x14ac:dyDescent="0.25">
      <c r="BM719" s="81"/>
      <c r="BN719" s="81"/>
      <c r="BO719" s="81"/>
      <c r="BP719" s="81"/>
      <c r="BQ719" s="81"/>
      <c r="BR719" s="81"/>
      <c r="BS719" s="81"/>
      <c r="BT719" s="81"/>
    </row>
    <row r="720" spans="65:72" x14ac:dyDescent="0.25">
      <c r="BM720" s="81"/>
      <c r="BN720" s="81"/>
      <c r="BO720" s="81"/>
      <c r="BP720" s="81"/>
      <c r="BQ720" s="81"/>
      <c r="BR720" s="81"/>
      <c r="BS720" s="81"/>
      <c r="BT720" s="81"/>
    </row>
    <row r="721" spans="65:72" x14ac:dyDescent="0.25">
      <c r="BM721" s="81"/>
      <c r="BN721" s="81"/>
      <c r="BO721" s="81"/>
      <c r="BP721" s="81"/>
      <c r="BQ721" s="81"/>
      <c r="BR721" s="81"/>
      <c r="BS721" s="81"/>
      <c r="BT721" s="81"/>
    </row>
    <row r="722" spans="65:72" x14ac:dyDescent="0.25">
      <c r="BM722" s="81"/>
      <c r="BN722" s="81"/>
      <c r="BO722" s="81"/>
      <c r="BP722" s="81"/>
      <c r="BQ722" s="81"/>
      <c r="BR722" s="81"/>
      <c r="BS722" s="81"/>
      <c r="BT722" s="81"/>
    </row>
    <row r="723" spans="65:72" x14ac:dyDescent="0.25">
      <c r="BM723" s="81"/>
      <c r="BN723" s="81"/>
      <c r="BO723" s="81"/>
      <c r="BP723" s="81"/>
      <c r="BQ723" s="81"/>
      <c r="BR723" s="81"/>
      <c r="BS723" s="81"/>
      <c r="BT723" s="81"/>
    </row>
    <row r="724" spans="65:72" x14ac:dyDescent="0.25">
      <c r="BM724" s="81"/>
      <c r="BN724" s="81"/>
      <c r="BO724" s="81"/>
      <c r="BP724" s="81"/>
      <c r="BQ724" s="81"/>
      <c r="BR724" s="81"/>
      <c r="BS724" s="81"/>
      <c r="BT724" s="81"/>
    </row>
    <row r="725" spans="65:72" x14ac:dyDescent="0.25">
      <c r="BM725" s="81"/>
      <c r="BN725" s="81"/>
      <c r="BO725" s="81"/>
      <c r="BP725" s="81"/>
      <c r="BQ725" s="81"/>
      <c r="BR725" s="81"/>
      <c r="BS725" s="81"/>
      <c r="BT725" s="81"/>
    </row>
    <row r="726" spans="65:72" x14ac:dyDescent="0.25">
      <c r="BM726" s="81"/>
      <c r="BN726" s="81"/>
      <c r="BO726" s="81"/>
      <c r="BP726" s="81"/>
      <c r="BQ726" s="81"/>
      <c r="BR726" s="81"/>
      <c r="BS726" s="81"/>
      <c r="BT726" s="81"/>
    </row>
    <row r="727" spans="65:72" x14ac:dyDescent="0.25">
      <c r="BM727" s="81"/>
      <c r="BN727" s="81"/>
      <c r="BO727" s="81"/>
      <c r="BP727" s="81"/>
      <c r="BQ727" s="81"/>
      <c r="BR727" s="81"/>
      <c r="BS727" s="81"/>
      <c r="BT727" s="81"/>
    </row>
    <row r="728" spans="65:72" x14ac:dyDescent="0.25">
      <c r="BM728" s="81"/>
      <c r="BN728" s="81"/>
      <c r="BO728" s="81"/>
      <c r="BP728" s="81"/>
      <c r="BQ728" s="81"/>
      <c r="BR728" s="81"/>
      <c r="BS728" s="81"/>
      <c r="BT728" s="81"/>
    </row>
    <row r="729" spans="65:72" x14ac:dyDescent="0.25">
      <c r="BM729" s="81"/>
      <c r="BN729" s="81"/>
      <c r="BO729" s="81"/>
      <c r="BP729" s="81"/>
      <c r="BQ729" s="81"/>
      <c r="BR729" s="81"/>
      <c r="BS729" s="81"/>
      <c r="BT729" s="81"/>
    </row>
    <row r="730" spans="65:72" x14ac:dyDescent="0.25">
      <c r="BM730" s="81"/>
      <c r="BN730" s="81"/>
      <c r="BO730" s="81"/>
      <c r="BP730" s="81"/>
      <c r="BQ730" s="81"/>
      <c r="BR730" s="81"/>
      <c r="BS730" s="81"/>
      <c r="BT730" s="81"/>
    </row>
    <row r="731" spans="65:72" x14ac:dyDescent="0.25">
      <c r="BM731" s="81"/>
      <c r="BN731" s="81"/>
      <c r="BO731" s="81"/>
      <c r="BP731" s="81"/>
      <c r="BQ731" s="81"/>
      <c r="BR731" s="81"/>
      <c r="BS731" s="81"/>
      <c r="BT731" s="81"/>
    </row>
    <row r="732" spans="65:72" x14ac:dyDescent="0.25">
      <c r="BM732" s="81"/>
      <c r="BN732" s="81"/>
      <c r="BO732" s="81"/>
      <c r="BP732" s="81"/>
      <c r="BQ732" s="81"/>
      <c r="BR732" s="81"/>
      <c r="BS732" s="81"/>
      <c r="BT732" s="81"/>
    </row>
    <row r="733" spans="65:72" x14ac:dyDescent="0.25">
      <c r="BM733" s="81"/>
      <c r="BN733" s="81"/>
      <c r="BO733" s="81"/>
      <c r="BP733" s="81"/>
      <c r="BQ733" s="81"/>
      <c r="BR733" s="81"/>
      <c r="BS733" s="81"/>
      <c r="BT733" s="81"/>
    </row>
    <row r="734" spans="65:72" x14ac:dyDescent="0.25">
      <c r="BM734" s="81"/>
      <c r="BN734" s="81"/>
      <c r="BO734" s="81"/>
      <c r="BP734" s="81"/>
      <c r="BQ734" s="81"/>
      <c r="BR734" s="81"/>
      <c r="BS734" s="81"/>
      <c r="BT734" s="81"/>
    </row>
    <row r="735" spans="65:72" x14ac:dyDescent="0.25">
      <c r="BM735" s="81"/>
      <c r="BN735" s="81"/>
      <c r="BO735" s="81"/>
      <c r="BP735" s="81"/>
      <c r="BQ735" s="81"/>
      <c r="BR735" s="81"/>
      <c r="BS735" s="81"/>
      <c r="BT735" s="81"/>
    </row>
    <row r="736" spans="65:72" x14ac:dyDescent="0.25">
      <c r="BM736" s="81"/>
      <c r="BN736" s="81"/>
      <c r="BO736" s="81"/>
      <c r="BP736" s="81"/>
      <c r="BQ736" s="81"/>
      <c r="BR736" s="81"/>
      <c r="BS736" s="81"/>
      <c r="BT736" s="81"/>
    </row>
    <row r="737" spans="65:72" x14ac:dyDescent="0.25">
      <c r="BM737" s="81"/>
      <c r="BN737" s="81"/>
      <c r="BO737" s="81"/>
      <c r="BP737" s="81"/>
      <c r="BQ737" s="81"/>
      <c r="BR737" s="81"/>
      <c r="BS737" s="81"/>
      <c r="BT737" s="81"/>
    </row>
    <row r="738" spans="65:72" x14ac:dyDescent="0.25">
      <c r="BM738" s="81"/>
      <c r="BN738" s="81"/>
      <c r="BO738" s="81"/>
      <c r="BP738" s="81"/>
      <c r="BQ738" s="81"/>
      <c r="BR738" s="81"/>
      <c r="BS738" s="81"/>
      <c r="BT738" s="81"/>
    </row>
    <row r="739" spans="65:72" x14ac:dyDescent="0.25">
      <c r="BM739" s="81"/>
      <c r="BN739" s="81"/>
      <c r="BO739" s="81"/>
      <c r="BP739" s="81"/>
      <c r="BQ739" s="81"/>
      <c r="BR739" s="81"/>
      <c r="BS739" s="81"/>
      <c r="BT739" s="81"/>
    </row>
    <row r="740" spans="65:72" x14ac:dyDescent="0.25">
      <c r="BM740" s="81"/>
      <c r="BN740" s="81"/>
      <c r="BO740" s="81"/>
      <c r="BP740" s="81"/>
      <c r="BQ740" s="81"/>
      <c r="BR740" s="81"/>
      <c r="BS740" s="81"/>
      <c r="BT740" s="81"/>
    </row>
    <row r="741" spans="65:72" x14ac:dyDescent="0.25">
      <c r="BM741" s="81"/>
      <c r="BN741" s="81"/>
      <c r="BO741" s="81"/>
      <c r="BP741" s="81"/>
      <c r="BQ741" s="81"/>
      <c r="BR741" s="81"/>
      <c r="BS741" s="81"/>
      <c r="BT741" s="81"/>
    </row>
    <row r="742" spans="65:72" x14ac:dyDescent="0.25">
      <c r="BM742" s="81"/>
      <c r="BN742" s="81"/>
      <c r="BO742" s="81"/>
      <c r="BP742" s="81"/>
      <c r="BQ742" s="81"/>
      <c r="BR742" s="81"/>
      <c r="BS742" s="81"/>
      <c r="BT742" s="81"/>
    </row>
    <row r="743" spans="65:72" x14ac:dyDescent="0.25">
      <c r="BM743" s="81"/>
      <c r="BN743" s="81"/>
      <c r="BO743" s="81"/>
      <c r="BP743" s="81"/>
      <c r="BQ743" s="81"/>
      <c r="BR743" s="81"/>
      <c r="BS743" s="81"/>
      <c r="BT743" s="81"/>
    </row>
    <row r="744" spans="65:72" x14ac:dyDescent="0.25">
      <c r="BM744" s="81"/>
      <c r="BN744" s="81"/>
      <c r="BO744" s="81"/>
      <c r="BP744" s="81"/>
      <c r="BQ744" s="81"/>
      <c r="BR744" s="81"/>
      <c r="BS744" s="81"/>
      <c r="BT744" s="81"/>
    </row>
    <row r="745" spans="65:72" x14ac:dyDescent="0.25">
      <c r="BM745" s="81"/>
      <c r="BN745" s="81"/>
      <c r="BO745" s="81"/>
      <c r="BP745" s="81"/>
      <c r="BQ745" s="81"/>
      <c r="BR745" s="81"/>
      <c r="BS745" s="81"/>
      <c r="BT745" s="81"/>
    </row>
    <row r="746" spans="65:72" x14ac:dyDescent="0.25">
      <c r="BM746" s="81"/>
      <c r="BN746" s="81"/>
      <c r="BO746" s="81"/>
      <c r="BP746" s="81"/>
      <c r="BQ746" s="81"/>
      <c r="BR746" s="81"/>
      <c r="BS746" s="81"/>
      <c r="BT746" s="81"/>
    </row>
    <row r="747" spans="65:72" x14ac:dyDescent="0.25">
      <c r="BM747" s="81"/>
      <c r="BN747" s="81"/>
      <c r="BO747" s="81"/>
      <c r="BP747" s="81"/>
      <c r="BQ747" s="81"/>
      <c r="BR747" s="81"/>
      <c r="BS747" s="81"/>
      <c r="BT747" s="81"/>
    </row>
    <row r="748" spans="65:72" x14ac:dyDescent="0.25">
      <c r="BM748" s="81"/>
      <c r="BN748" s="81"/>
      <c r="BO748" s="81"/>
      <c r="BP748" s="81"/>
      <c r="BQ748" s="81"/>
      <c r="BR748" s="81"/>
      <c r="BS748" s="81"/>
      <c r="BT748" s="81"/>
    </row>
    <row r="749" spans="65:72" x14ac:dyDescent="0.25">
      <c r="BM749" s="81"/>
      <c r="BN749" s="81"/>
      <c r="BO749" s="81"/>
      <c r="BP749" s="81"/>
      <c r="BQ749" s="81"/>
      <c r="BR749" s="81"/>
      <c r="BS749" s="81"/>
      <c r="BT749" s="81"/>
    </row>
    <row r="750" spans="65:72" x14ac:dyDescent="0.25">
      <c r="BM750" s="81"/>
      <c r="BN750" s="81"/>
      <c r="BO750" s="81"/>
      <c r="BP750" s="81"/>
      <c r="BQ750" s="81"/>
      <c r="BR750" s="81"/>
      <c r="BS750" s="81"/>
      <c r="BT750" s="81"/>
    </row>
    <row r="751" spans="65:72" x14ac:dyDescent="0.25">
      <c r="BM751" s="81"/>
      <c r="BN751" s="81"/>
      <c r="BO751" s="81"/>
      <c r="BP751" s="81"/>
      <c r="BQ751" s="81"/>
      <c r="BR751" s="81"/>
      <c r="BS751" s="81"/>
      <c r="BT751" s="81"/>
    </row>
    <row r="752" spans="65:72" x14ac:dyDescent="0.25">
      <c r="BM752" s="81"/>
      <c r="BN752" s="81"/>
      <c r="BO752" s="81"/>
      <c r="BP752" s="81"/>
      <c r="BQ752" s="81"/>
      <c r="BR752" s="81"/>
      <c r="BS752" s="81"/>
      <c r="BT752" s="81"/>
    </row>
    <row r="753" spans="65:72" x14ac:dyDescent="0.25">
      <c r="BM753" s="81"/>
      <c r="BN753" s="81"/>
      <c r="BO753" s="81"/>
      <c r="BP753" s="81"/>
      <c r="BQ753" s="81"/>
      <c r="BR753" s="81"/>
      <c r="BS753" s="81"/>
      <c r="BT753" s="81"/>
    </row>
    <row r="754" spans="65:72" x14ac:dyDescent="0.25">
      <c r="BM754" s="81"/>
      <c r="BN754" s="81"/>
      <c r="BO754" s="81"/>
      <c r="BP754" s="81"/>
      <c r="BQ754" s="81"/>
      <c r="BR754" s="81"/>
      <c r="BS754" s="81"/>
      <c r="BT754" s="81"/>
    </row>
    <row r="755" spans="65:72" x14ac:dyDescent="0.25">
      <c r="BM755" s="81"/>
      <c r="BN755" s="81"/>
      <c r="BO755" s="81"/>
      <c r="BP755" s="81"/>
      <c r="BQ755" s="81"/>
      <c r="BR755" s="81"/>
      <c r="BS755" s="81"/>
      <c r="BT755" s="81"/>
    </row>
    <row r="756" spans="65:72" x14ac:dyDescent="0.25">
      <c r="BM756" s="81"/>
      <c r="BN756" s="81"/>
      <c r="BO756" s="81"/>
      <c r="BP756" s="81"/>
      <c r="BQ756" s="81"/>
      <c r="BR756" s="81"/>
      <c r="BS756" s="81"/>
      <c r="BT756" s="81"/>
    </row>
    <row r="757" spans="65:72" x14ac:dyDescent="0.25">
      <c r="BM757" s="81"/>
      <c r="BN757" s="81"/>
      <c r="BO757" s="81"/>
      <c r="BP757" s="81"/>
      <c r="BQ757" s="81"/>
      <c r="BR757" s="81"/>
      <c r="BS757" s="81"/>
      <c r="BT757" s="81"/>
    </row>
    <row r="758" spans="65:72" x14ac:dyDescent="0.25">
      <c r="BM758" s="81"/>
      <c r="BN758" s="81"/>
      <c r="BO758" s="81"/>
      <c r="BP758" s="81"/>
      <c r="BQ758" s="81"/>
      <c r="BR758" s="81"/>
      <c r="BS758" s="81"/>
      <c r="BT758" s="81"/>
    </row>
    <row r="759" spans="65:72" x14ac:dyDescent="0.25">
      <c r="BM759" s="81"/>
      <c r="BN759" s="81"/>
      <c r="BO759" s="81"/>
      <c r="BP759" s="81"/>
      <c r="BQ759" s="81"/>
      <c r="BR759" s="81"/>
      <c r="BS759" s="81"/>
      <c r="BT759" s="81"/>
    </row>
    <row r="760" spans="65:72" x14ac:dyDescent="0.25">
      <c r="BM760" s="81"/>
      <c r="BN760" s="81"/>
      <c r="BO760" s="81"/>
      <c r="BP760" s="81"/>
      <c r="BQ760" s="81"/>
      <c r="BR760" s="81"/>
      <c r="BS760" s="81"/>
      <c r="BT760" s="81"/>
    </row>
    <row r="761" spans="65:72" x14ac:dyDescent="0.25">
      <c r="BM761" s="81"/>
      <c r="BN761" s="81"/>
      <c r="BO761" s="81"/>
      <c r="BP761" s="81"/>
      <c r="BQ761" s="81"/>
      <c r="BR761" s="81"/>
      <c r="BS761" s="81"/>
      <c r="BT761" s="81"/>
    </row>
    <row r="762" spans="65:72" x14ac:dyDescent="0.25">
      <c r="BM762" s="81"/>
      <c r="BN762" s="81"/>
      <c r="BO762" s="81"/>
      <c r="BP762" s="81"/>
      <c r="BQ762" s="81"/>
      <c r="BR762" s="81"/>
      <c r="BS762" s="81"/>
      <c r="BT762" s="81"/>
    </row>
    <row r="763" spans="65:72" x14ac:dyDescent="0.25">
      <c r="BM763" s="81"/>
      <c r="BN763" s="81"/>
      <c r="BO763" s="81"/>
      <c r="BP763" s="81"/>
      <c r="BQ763" s="81"/>
      <c r="BR763" s="81"/>
      <c r="BS763" s="81"/>
      <c r="BT763" s="81"/>
    </row>
    <row r="764" spans="65:72" x14ac:dyDescent="0.25">
      <c r="BM764" s="81"/>
      <c r="BN764" s="81"/>
      <c r="BO764" s="81"/>
      <c r="BP764" s="81"/>
      <c r="BQ764" s="81"/>
      <c r="BR764" s="81"/>
      <c r="BS764" s="81"/>
      <c r="BT764" s="81"/>
    </row>
    <row r="765" spans="65:72" x14ac:dyDescent="0.25">
      <c r="BM765" s="81"/>
      <c r="BN765" s="81"/>
      <c r="BO765" s="81"/>
      <c r="BP765" s="81"/>
      <c r="BQ765" s="81"/>
      <c r="BR765" s="81"/>
      <c r="BS765" s="81"/>
      <c r="BT765" s="81"/>
    </row>
    <row r="766" spans="65:72" x14ac:dyDescent="0.25">
      <c r="BM766" s="81"/>
      <c r="BN766" s="81"/>
      <c r="BO766" s="81"/>
      <c r="BP766" s="81"/>
      <c r="BQ766" s="81"/>
      <c r="BR766" s="81"/>
      <c r="BS766" s="81"/>
      <c r="BT766" s="81"/>
    </row>
    <row r="767" spans="65:72" x14ac:dyDescent="0.25">
      <c r="BM767" s="81"/>
      <c r="BN767" s="81"/>
      <c r="BO767" s="81"/>
      <c r="BP767" s="81"/>
      <c r="BQ767" s="81"/>
      <c r="BR767" s="81"/>
      <c r="BS767" s="81"/>
      <c r="BT767" s="81"/>
    </row>
    <row r="768" spans="65:72" x14ac:dyDescent="0.25">
      <c r="BM768" s="81"/>
      <c r="BN768" s="81"/>
      <c r="BO768" s="81"/>
      <c r="BP768" s="81"/>
      <c r="BQ768" s="81"/>
      <c r="BR768" s="81"/>
      <c r="BS768" s="81"/>
      <c r="BT768" s="81"/>
    </row>
    <row r="769" spans="65:72" x14ac:dyDescent="0.25">
      <c r="BM769" s="81"/>
      <c r="BN769" s="81"/>
      <c r="BO769" s="81"/>
      <c r="BP769" s="81"/>
      <c r="BQ769" s="81"/>
      <c r="BR769" s="81"/>
      <c r="BS769" s="81"/>
      <c r="BT769" s="81"/>
    </row>
    <row r="770" spans="65:72" x14ac:dyDescent="0.25">
      <c r="BM770" s="81"/>
      <c r="BN770" s="81"/>
      <c r="BO770" s="81"/>
      <c r="BP770" s="81"/>
      <c r="BQ770" s="81"/>
      <c r="BR770" s="81"/>
      <c r="BS770" s="81"/>
      <c r="BT770" s="81"/>
    </row>
    <row r="771" spans="65:72" x14ac:dyDescent="0.25">
      <c r="BM771" s="81"/>
      <c r="BN771" s="81"/>
      <c r="BO771" s="81"/>
      <c r="BP771" s="81"/>
      <c r="BQ771" s="81"/>
      <c r="BR771" s="81"/>
      <c r="BS771" s="81"/>
      <c r="BT771" s="81"/>
    </row>
    <row r="772" spans="65:72" x14ac:dyDescent="0.25">
      <c r="BM772" s="81"/>
      <c r="BN772" s="81"/>
      <c r="BO772" s="81"/>
      <c r="BP772" s="81"/>
      <c r="BQ772" s="81"/>
      <c r="BR772" s="81"/>
      <c r="BS772" s="81"/>
      <c r="BT772" s="81"/>
    </row>
    <row r="773" spans="65:72" x14ac:dyDescent="0.25">
      <c r="BM773" s="81"/>
      <c r="BN773" s="81"/>
      <c r="BO773" s="81"/>
      <c r="BP773" s="81"/>
      <c r="BQ773" s="81"/>
      <c r="BR773" s="81"/>
      <c r="BS773" s="81"/>
      <c r="BT773" s="81"/>
    </row>
    <row r="774" spans="65:72" x14ac:dyDescent="0.25">
      <c r="BM774" s="81"/>
      <c r="BN774" s="81"/>
      <c r="BO774" s="81"/>
      <c r="BP774" s="81"/>
      <c r="BQ774" s="81"/>
      <c r="BR774" s="81"/>
      <c r="BS774" s="81"/>
      <c r="BT774" s="81"/>
    </row>
    <row r="775" spans="65:72" x14ac:dyDescent="0.25">
      <c r="BM775" s="81"/>
      <c r="BN775" s="81"/>
      <c r="BO775" s="81"/>
      <c r="BP775" s="81"/>
      <c r="BQ775" s="81"/>
      <c r="BR775" s="81"/>
      <c r="BS775" s="81"/>
      <c r="BT775" s="81"/>
    </row>
    <row r="776" spans="65:72" x14ac:dyDescent="0.25">
      <c r="BM776" s="81"/>
      <c r="BN776" s="81"/>
      <c r="BO776" s="81"/>
      <c r="BP776" s="81"/>
      <c r="BQ776" s="81"/>
      <c r="BR776" s="81"/>
      <c r="BS776" s="81"/>
      <c r="BT776" s="81"/>
    </row>
    <row r="777" spans="65:72" x14ac:dyDescent="0.25">
      <c r="BM777" s="81"/>
      <c r="BN777" s="81"/>
      <c r="BO777" s="81"/>
      <c r="BP777" s="81"/>
      <c r="BQ777" s="81"/>
      <c r="BR777" s="81"/>
      <c r="BS777" s="81"/>
      <c r="BT777" s="81"/>
    </row>
    <row r="778" spans="65:72" x14ac:dyDescent="0.25">
      <c r="BM778" s="81"/>
      <c r="BN778" s="81"/>
      <c r="BO778" s="81"/>
      <c r="BP778" s="81"/>
      <c r="BQ778" s="81"/>
      <c r="BR778" s="81"/>
      <c r="BS778" s="81"/>
      <c r="BT778" s="81"/>
    </row>
    <row r="779" spans="65:72" x14ac:dyDescent="0.25">
      <c r="BM779" s="81"/>
      <c r="BN779" s="81"/>
      <c r="BO779" s="81"/>
      <c r="BP779" s="81"/>
      <c r="BQ779" s="81"/>
      <c r="BR779" s="81"/>
      <c r="BS779" s="81"/>
      <c r="BT779" s="81"/>
    </row>
    <row r="780" spans="65:72" x14ac:dyDescent="0.25">
      <c r="BM780" s="81"/>
      <c r="BN780" s="81"/>
      <c r="BO780" s="81"/>
      <c r="BP780" s="81"/>
      <c r="BQ780" s="81"/>
      <c r="BR780" s="81"/>
      <c r="BS780" s="81"/>
      <c r="BT780" s="81"/>
    </row>
    <row r="781" spans="65:72" x14ac:dyDescent="0.25">
      <c r="BM781" s="81"/>
      <c r="BN781" s="81"/>
      <c r="BO781" s="81"/>
      <c r="BP781" s="81"/>
      <c r="BQ781" s="81"/>
      <c r="BR781" s="81"/>
      <c r="BS781" s="81"/>
      <c r="BT781" s="81"/>
    </row>
    <row r="782" spans="65:72" x14ac:dyDescent="0.25">
      <c r="BM782" s="81"/>
      <c r="BN782" s="81"/>
      <c r="BO782" s="81"/>
      <c r="BP782" s="81"/>
      <c r="BQ782" s="81"/>
      <c r="BR782" s="81"/>
      <c r="BS782" s="81"/>
      <c r="BT782" s="81"/>
    </row>
    <row r="783" spans="65:72" x14ac:dyDescent="0.25">
      <c r="BM783" s="81"/>
      <c r="BN783" s="81"/>
      <c r="BO783" s="81"/>
      <c r="BP783" s="81"/>
      <c r="BQ783" s="81"/>
      <c r="BR783" s="81"/>
      <c r="BS783" s="81"/>
      <c r="BT783" s="81"/>
    </row>
    <row r="784" spans="65:72" x14ac:dyDescent="0.25">
      <c r="BM784" s="81"/>
      <c r="BN784" s="81"/>
      <c r="BO784" s="81"/>
      <c r="BP784" s="81"/>
      <c r="BQ784" s="81"/>
      <c r="BR784" s="81"/>
      <c r="BS784" s="81"/>
      <c r="BT784" s="81"/>
    </row>
    <row r="785" spans="65:72" x14ac:dyDescent="0.25">
      <c r="BM785" s="81"/>
      <c r="BN785" s="81"/>
      <c r="BO785" s="81"/>
      <c r="BP785" s="81"/>
      <c r="BQ785" s="81"/>
      <c r="BR785" s="81"/>
      <c r="BS785" s="81"/>
      <c r="BT785" s="81"/>
    </row>
    <row r="786" spans="65:72" x14ac:dyDescent="0.25">
      <c r="BM786" s="81"/>
      <c r="BN786" s="81"/>
      <c r="BO786" s="81"/>
      <c r="BP786" s="81"/>
      <c r="BQ786" s="81"/>
      <c r="BR786" s="81"/>
      <c r="BS786" s="81"/>
      <c r="BT786" s="81"/>
    </row>
    <row r="787" spans="65:72" x14ac:dyDescent="0.25">
      <c r="BM787" s="81"/>
      <c r="BN787" s="81"/>
      <c r="BO787" s="81"/>
      <c r="BP787" s="81"/>
      <c r="BQ787" s="81"/>
      <c r="BR787" s="81"/>
      <c r="BS787" s="81"/>
      <c r="BT787" s="81"/>
    </row>
    <row r="788" spans="65:72" x14ac:dyDescent="0.25">
      <c r="BM788" s="81"/>
      <c r="BN788" s="81"/>
      <c r="BO788" s="81"/>
      <c r="BP788" s="81"/>
      <c r="BQ788" s="81"/>
      <c r="BR788" s="81"/>
      <c r="BS788" s="81"/>
      <c r="BT788" s="81"/>
    </row>
    <row r="789" spans="65:72" x14ac:dyDescent="0.25">
      <c r="BM789" s="81"/>
      <c r="BN789" s="81"/>
      <c r="BO789" s="81"/>
      <c r="BP789" s="81"/>
      <c r="BQ789" s="81"/>
      <c r="BR789" s="81"/>
      <c r="BS789" s="81"/>
      <c r="BT789" s="81"/>
    </row>
    <row r="790" spans="65:72" x14ac:dyDescent="0.25">
      <c r="BM790" s="81"/>
      <c r="BN790" s="81"/>
      <c r="BO790" s="81"/>
      <c r="BP790" s="81"/>
      <c r="BQ790" s="81"/>
      <c r="BR790" s="81"/>
      <c r="BS790" s="81"/>
      <c r="BT790" s="81"/>
    </row>
    <row r="791" spans="65:72" x14ac:dyDescent="0.25">
      <c r="BM791" s="81"/>
      <c r="BN791" s="81"/>
      <c r="BO791" s="81"/>
      <c r="BP791" s="81"/>
      <c r="BQ791" s="81"/>
      <c r="BR791" s="81"/>
      <c r="BS791" s="81"/>
      <c r="BT791" s="81"/>
    </row>
    <row r="792" spans="65:72" x14ac:dyDescent="0.25">
      <c r="BM792" s="81"/>
      <c r="BN792" s="81"/>
      <c r="BO792" s="81"/>
      <c r="BP792" s="81"/>
      <c r="BQ792" s="81"/>
      <c r="BR792" s="81"/>
      <c r="BS792" s="81"/>
      <c r="BT792" s="81"/>
    </row>
    <row r="793" spans="65:72" x14ac:dyDescent="0.25">
      <c r="BM793" s="81"/>
      <c r="BN793" s="81"/>
      <c r="BO793" s="81"/>
      <c r="BP793" s="81"/>
      <c r="BQ793" s="81"/>
      <c r="BR793" s="81"/>
      <c r="BS793" s="81"/>
      <c r="BT793" s="81"/>
    </row>
    <row r="794" spans="65:72" x14ac:dyDescent="0.25">
      <c r="BM794" s="81"/>
      <c r="BN794" s="81"/>
      <c r="BO794" s="81"/>
      <c r="BP794" s="81"/>
      <c r="BQ794" s="81"/>
      <c r="BR794" s="81"/>
      <c r="BS794" s="81"/>
      <c r="BT794" s="81"/>
    </row>
    <row r="795" spans="65:72" x14ac:dyDescent="0.25">
      <c r="BM795" s="81"/>
      <c r="BN795" s="81"/>
      <c r="BO795" s="81"/>
      <c r="BP795" s="81"/>
      <c r="BQ795" s="81"/>
      <c r="BR795" s="81"/>
      <c r="BS795" s="81"/>
      <c r="BT795" s="81"/>
    </row>
    <row r="796" spans="65:72" x14ac:dyDescent="0.25">
      <c r="BM796" s="81"/>
      <c r="BN796" s="81"/>
      <c r="BO796" s="81"/>
      <c r="BP796" s="81"/>
      <c r="BQ796" s="81"/>
      <c r="BR796" s="81"/>
      <c r="BS796" s="81"/>
      <c r="BT796" s="81"/>
    </row>
    <row r="797" spans="65:72" x14ac:dyDescent="0.25">
      <c r="BM797" s="81"/>
      <c r="BN797" s="81"/>
      <c r="BO797" s="81"/>
      <c r="BP797" s="81"/>
      <c r="BQ797" s="81"/>
      <c r="BR797" s="81"/>
      <c r="BS797" s="81"/>
      <c r="BT797" s="81"/>
    </row>
    <row r="798" spans="65:72" x14ac:dyDescent="0.25">
      <c r="BM798" s="81"/>
      <c r="BN798" s="81"/>
      <c r="BO798" s="81"/>
      <c r="BP798" s="81"/>
      <c r="BQ798" s="81"/>
      <c r="BR798" s="81"/>
      <c r="BS798" s="81"/>
      <c r="BT798" s="81"/>
    </row>
    <row r="799" spans="65:72" x14ac:dyDescent="0.25">
      <c r="BM799" s="81"/>
      <c r="BN799" s="81"/>
      <c r="BO799" s="81"/>
      <c r="BP799" s="81"/>
      <c r="BQ799" s="81"/>
      <c r="BR799" s="81"/>
      <c r="BS799" s="81"/>
      <c r="BT799" s="81"/>
    </row>
    <row r="800" spans="65:72" x14ac:dyDescent="0.25">
      <c r="BM800" s="81"/>
      <c r="BN800" s="81"/>
      <c r="BO800" s="81"/>
      <c r="BP800" s="81"/>
      <c r="BQ800" s="81"/>
      <c r="BR800" s="81"/>
      <c r="BS800" s="81"/>
      <c r="BT800" s="81"/>
    </row>
    <row r="801" spans="65:72" x14ac:dyDescent="0.25">
      <c r="BM801" s="81"/>
      <c r="BN801" s="81"/>
      <c r="BO801" s="81"/>
      <c r="BP801" s="81"/>
      <c r="BQ801" s="81"/>
      <c r="BR801" s="81"/>
      <c r="BS801" s="81"/>
      <c r="BT801" s="81"/>
    </row>
    <row r="802" spans="65:72" x14ac:dyDescent="0.25">
      <c r="BM802" s="81"/>
      <c r="BN802" s="81"/>
      <c r="BO802" s="81"/>
      <c r="BP802" s="81"/>
      <c r="BQ802" s="81"/>
      <c r="BR802" s="81"/>
      <c r="BS802" s="81"/>
      <c r="BT802" s="81"/>
    </row>
    <row r="803" spans="65:72" x14ac:dyDescent="0.25">
      <c r="BM803" s="81"/>
      <c r="BN803" s="81"/>
      <c r="BO803" s="81"/>
      <c r="BP803" s="81"/>
      <c r="BQ803" s="81"/>
      <c r="BR803" s="81"/>
      <c r="BS803" s="81"/>
      <c r="BT803" s="81"/>
    </row>
    <row r="804" spans="65:72" x14ac:dyDescent="0.25">
      <c r="BM804" s="81"/>
      <c r="BN804" s="81"/>
      <c r="BO804" s="81"/>
      <c r="BP804" s="81"/>
      <c r="BQ804" s="81"/>
      <c r="BR804" s="81"/>
      <c r="BS804" s="81"/>
      <c r="BT804" s="81"/>
    </row>
    <row r="805" spans="65:72" x14ac:dyDescent="0.25">
      <c r="BM805" s="81"/>
      <c r="BN805" s="81"/>
      <c r="BO805" s="81"/>
      <c r="BP805" s="81"/>
      <c r="BQ805" s="81"/>
      <c r="BR805" s="81"/>
      <c r="BS805" s="81"/>
      <c r="BT805" s="81"/>
    </row>
    <row r="806" spans="65:72" x14ac:dyDescent="0.25">
      <c r="BM806" s="81"/>
      <c r="BN806" s="81"/>
      <c r="BO806" s="81"/>
      <c r="BP806" s="81"/>
      <c r="BQ806" s="81"/>
      <c r="BR806" s="81"/>
      <c r="BS806" s="81"/>
      <c r="BT806" s="81"/>
    </row>
    <row r="807" spans="65:72" x14ac:dyDescent="0.25">
      <c r="BM807" s="81"/>
      <c r="BN807" s="81"/>
      <c r="BO807" s="81"/>
      <c r="BP807" s="81"/>
      <c r="BQ807" s="81"/>
      <c r="BR807" s="81"/>
      <c r="BS807" s="81"/>
      <c r="BT807" s="81"/>
    </row>
    <row r="808" spans="65:72" x14ac:dyDescent="0.25">
      <c r="BM808" s="81"/>
      <c r="BN808" s="81"/>
      <c r="BO808" s="81"/>
      <c r="BP808" s="81"/>
      <c r="BQ808" s="81"/>
      <c r="BR808" s="81"/>
      <c r="BS808" s="81"/>
      <c r="BT808" s="81"/>
    </row>
    <row r="809" spans="65:72" x14ac:dyDescent="0.25">
      <c r="BM809" s="81"/>
      <c r="BN809" s="81"/>
      <c r="BO809" s="81"/>
      <c r="BP809" s="81"/>
      <c r="BQ809" s="81"/>
      <c r="BR809" s="81"/>
      <c r="BS809" s="81"/>
      <c r="BT809" s="81"/>
    </row>
    <row r="810" spans="65:72" x14ac:dyDescent="0.25">
      <c r="BM810" s="81"/>
      <c r="BN810" s="81"/>
      <c r="BO810" s="81"/>
      <c r="BP810" s="81"/>
      <c r="BQ810" s="81"/>
      <c r="BR810" s="81"/>
      <c r="BS810" s="81"/>
      <c r="BT810" s="81"/>
    </row>
    <row r="811" spans="65:72" x14ac:dyDescent="0.25">
      <c r="BM811" s="81"/>
      <c r="BN811" s="81"/>
      <c r="BO811" s="81"/>
      <c r="BP811" s="81"/>
      <c r="BQ811" s="81"/>
      <c r="BR811" s="81"/>
      <c r="BS811" s="81"/>
      <c r="BT811" s="81"/>
    </row>
    <row r="812" spans="65:72" x14ac:dyDescent="0.25">
      <c r="BM812" s="81"/>
      <c r="BN812" s="81"/>
      <c r="BO812" s="81"/>
      <c r="BP812" s="81"/>
      <c r="BQ812" s="81"/>
      <c r="BR812" s="81"/>
      <c r="BS812" s="81"/>
      <c r="BT812" s="81"/>
    </row>
    <row r="813" spans="65:72" x14ac:dyDescent="0.25">
      <c r="BM813" s="81"/>
      <c r="BN813" s="81"/>
      <c r="BO813" s="81"/>
      <c r="BP813" s="81"/>
      <c r="BQ813" s="81"/>
      <c r="BR813" s="81"/>
      <c r="BS813" s="81"/>
      <c r="BT813" s="81"/>
    </row>
    <row r="814" spans="65:72" x14ac:dyDescent="0.25">
      <c r="BM814" s="81"/>
      <c r="BN814" s="81"/>
      <c r="BO814" s="81"/>
      <c r="BP814" s="81"/>
      <c r="BQ814" s="81"/>
      <c r="BR814" s="81"/>
      <c r="BS814" s="81"/>
      <c r="BT814" s="81"/>
    </row>
    <row r="815" spans="65:72" x14ac:dyDescent="0.25">
      <c r="BM815" s="81"/>
      <c r="BN815" s="81"/>
      <c r="BO815" s="81"/>
      <c r="BP815" s="81"/>
      <c r="BQ815" s="81"/>
      <c r="BR815" s="81"/>
      <c r="BS815" s="81"/>
      <c r="BT815" s="81"/>
    </row>
    <row r="816" spans="65:72" x14ac:dyDescent="0.25">
      <c r="BM816" s="81"/>
      <c r="BN816" s="81"/>
      <c r="BO816" s="81"/>
      <c r="BP816" s="81"/>
      <c r="BQ816" s="81"/>
      <c r="BR816" s="81"/>
      <c r="BS816" s="81"/>
      <c r="BT816" s="81"/>
    </row>
    <row r="817" spans="65:72" x14ac:dyDescent="0.25">
      <c r="BM817" s="81"/>
      <c r="BN817" s="81"/>
      <c r="BO817" s="81"/>
      <c r="BP817" s="81"/>
      <c r="BQ817" s="81"/>
      <c r="BR817" s="81"/>
      <c r="BS817" s="81"/>
      <c r="BT817" s="81"/>
    </row>
    <row r="818" spans="65:72" x14ac:dyDescent="0.25">
      <c r="BM818" s="81"/>
      <c r="BN818" s="81"/>
      <c r="BO818" s="81"/>
      <c r="BP818" s="81"/>
      <c r="BQ818" s="81"/>
      <c r="BR818" s="81"/>
      <c r="BS818" s="81"/>
      <c r="BT818" s="81"/>
    </row>
    <row r="819" spans="65:72" x14ac:dyDescent="0.25">
      <c r="BM819" s="81"/>
      <c r="BN819" s="81"/>
      <c r="BO819" s="81"/>
      <c r="BP819" s="81"/>
      <c r="BQ819" s="81"/>
      <c r="BR819" s="81"/>
      <c r="BS819" s="81"/>
      <c r="BT819" s="81"/>
    </row>
    <row r="820" spans="65:72" x14ac:dyDescent="0.25">
      <c r="BM820" s="81"/>
      <c r="BN820" s="81"/>
      <c r="BO820" s="81"/>
      <c r="BP820" s="81"/>
      <c r="BQ820" s="81"/>
      <c r="BR820" s="81"/>
      <c r="BS820" s="81"/>
      <c r="BT820" s="81"/>
    </row>
    <row r="821" spans="65:72" x14ac:dyDescent="0.25">
      <c r="BM821" s="81"/>
      <c r="BN821" s="81"/>
      <c r="BO821" s="81"/>
      <c r="BP821" s="81"/>
      <c r="BQ821" s="81"/>
      <c r="BR821" s="81"/>
      <c r="BS821" s="81"/>
      <c r="BT821" s="81"/>
    </row>
    <row r="822" spans="65:72" x14ac:dyDescent="0.25">
      <c r="BM822" s="81"/>
      <c r="BN822" s="81"/>
      <c r="BO822" s="81"/>
      <c r="BP822" s="81"/>
      <c r="BQ822" s="81"/>
      <c r="BR822" s="81"/>
      <c r="BS822" s="81"/>
      <c r="BT822" s="81"/>
    </row>
    <row r="823" spans="65:72" x14ac:dyDescent="0.25">
      <c r="BM823" s="81"/>
      <c r="BN823" s="81"/>
      <c r="BO823" s="81"/>
      <c r="BP823" s="81"/>
      <c r="BQ823" s="81"/>
      <c r="BR823" s="81"/>
      <c r="BS823" s="81"/>
      <c r="BT823" s="81"/>
    </row>
    <row r="824" spans="65:72" x14ac:dyDescent="0.25">
      <c r="BM824" s="81"/>
      <c r="BN824" s="81"/>
      <c r="BO824" s="81"/>
      <c r="BP824" s="81"/>
      <c r="BQ824" s="81"/>
      <c r="BR824" s="81"/>
      <c r="BS824" s="81"/>
      <c r="BT824" s="81"/>
    </row>
    <row r="825" spans="65:72" x14ac:dyDescent="0.25">
      <c r="BM825" s="81"/>
      <c r="BN825" s="81"/>
      <c r="BO825" s="81"/>
      <c r="BP825" s="81"/>
      <c r="BQ825" s="81"/>
      <c r="BR825" s="81"/>
      <c r="BS825" s="81"/>
      <c r="BT825" s="81"/>
    </row>
    <row r="826" spans="65:72" x14ac:dyDescent="0.25">
      <c r="BM826" s="81"/>
      <c r="BN826" s="81"/>
      <c r="BO826" s="81"/>
      <c r="BP826" s="81"/>
      <c r="BQ826" s="81"/>
      <c r="BR826" s="81"/>
      <c r="BS826" s="81"/>
      <c r="BT826" s="81"/>
    </row>
    <row r="827" spans="65:72" x14ac:dyDescent="0.25">
      <c r="BM827" s="81"/>
      <c r="BN827" s="81"/>
      <c r="BO827" s="81"/>
      <c r="BP827" s="81"/>
      <c r="BQ827" s="81"/>
      <c r="BR827" s="81"/>
      <c r="BS827" s="81"/>
      <c r="BT827" s="81"/>
    </row>
    <row r="828" spans="65:72" x14ac:dyDescent="0.25">
      <c r="BM828" s="81"/>
      <c r="BN828" s="81"/>
      <c r="BO828" s="81"/>
      <c r="BP828" s="81"/>
      <c r="BQ828" s="81"/>
      <c r="BR828" s="81"/>
      <c r="BS828" s="81"/>
      <c r="BT828" s="81"/>
    </row>
    <row r="829" spans="65:72" x14ac:dyDescent="0.25">
      <c r="BM829" s="81"/>
      <c r="BN829" s="81"/>
      <c r="BO829" s="81"/>
      <c r="BP829" s="81"/>
      <c r="BQ829" s="81"/>
      <c r="BR829" s="81"/>
      <c r="BS829" s="81"/>
      <c r="BT829" s="81"/>
    </row>
    <row r="830" spans="65:72" x14ac:dyDescent="0.25">
      <c r="BM830" s="81"/>
      <c r="BN830" s="81"/>
      <c r="BO830" s="81"/>
      <c r="BP830" s="81"/>
      <c r="BQ830" s="81"/>
      <c r="BR830" s="81"/>
      <c r="BS830" s="81"/>
      <c r="BT830" s="81"/>
    </row>
    <row r="831" spans="65:72" x14ac:dyDescent="0.25">
      <c r="BM831" s="81"/>
      <c r="BN831" s="81"/>
      <c r="BO831" s="81"/>
      <c r="BP831" s="81"/>
      <c r="BQ831" s="81"/>
      <c r="BR831" s="81"/>
      <c r="BS831" s="81"/>
      <c r="BT831" s="81"/>
    </row>
    <row r="832" spans="65:72" x14ac:dyDescent="0.25">
      <c r="BM832" s="81"/>
      <c r="BN832" s="81"/>
      <c r="BO832" s="81"/>
      <c r="BP832" s="81"/>
      <c r="BQ832" s="81"/>
      <c r="BR832" s="81"/>
      <c r="BS832" s="81"/>
      <c r="BT832" s="81"/>
    </row>
    <row r="833" spans="65:72" x14ac:dyDescent="0.25">
      <c r="BM833" s="81"/>
      <c r="BN833" s="81"/>
      <c r="BO833" s="81"/>
      <c r="BP833" s="81"/>
      <c r="BQ833" s="81"/>
      <c r="BR833" s="81"/>
      <c r="BS833" s="81"/>
      <c r="BT833" s="81"/>
    </row>
    <row r="834" spans="65:72" x14ac:dyDescent="0.25">
      <c r="BM834" s="81"/>
      <c r="BN834" s="81"/>
      <c r="BO834" s="81"/>
      <c r="BP834" s="81"/>
      <c r="BQ834" s="81"/>
      <c r="BR834" s="81"/>
      <c r="BS834" s="81"/>
      <c r="BT834" s="81"/>
    </row>
    <row r="835" spans="65:72" x14ac:dyDescent="0.25">
      <c r="BM835" s="81"/>
      <c r="BN835" s="81"/>
      <c r="BO835" s="81"/>
      <c r="BP835" s="81"/>
      <c r="BQ835" s="81"/>
      <c r="BR835" s="81"/>
      <c r="BS835" s="81"/>
      <c r="BT835" s="81"/>
    </row>
    <row r="836" spans="65:72" x14ac:dyDescent="0.25">
      <c r="BM836" s="81"/>
      <c r="BN836" s="81"/>
      <c r="BO836" s="81"/>
      <c r="BP836" s="81"/>
      <c r="BQ836" s="81"/>
      <c r="BR836" s="81"/>
      <c r="BS836" s="81"/>
      <c r="BT836" s="81"/>
    </row>
    <row r="837" spans="65:72" x14ac:dyDescent="0.25">
      <c r="BM837" s="81"/>
      <c r="BN837" s="81"/>
      <c r="BO837" s="81"/>
      <c r="BP837" s="81"/>
      <c r="BQ837" s="81"/>
      <c r="BR837" s="81"/>
      <c r="BS837" s="81"/>
      <c r="BT837" s="81"/>
    </row>
    <row r="838" spans="65:72" x14ac:dyDescent="0.25">
      <c r="BM838" s="81"/>
      <c r="BN838" s="81"/>
      <c r="BO838" s="81"/>
      <c r="BP838" s="81"/>
      <c r="BQ838" s="81"/>
      <c r="BR838" s="81"/>
      <c r="BS838" s="81"/>
      <c r="BT838" s="81"/>
    </row>
    <row r="839" spans="65:72" x14ac:dyDescent="0.25">
      <c r="BM839" s="81"/>
      <c r="BN839" s="81"/>
      <c r="BO839" s="81"/>
      <c r="BP839" s="81"/>
      <c r="BQ839" s="81"/>
      <c r="BR839" s="81"/>
      <c r="BS839" s="81"/>
      <c r="BT839" s="81"/>
    </row>
    <row r="840" spans="65:72" x14ac:dyDescent="0.25">
      <c r="BM840" s="81"/>
      <c r="BN840" s="81"/>
      <c r="BO840" s="81"/>
      <c r="BP840" s="81"/>
      <c r="BQ840" s="81"/>
      <c r="BR840" s="81"/>
      <c r="BS840" s="81"/>
      <c r="BT840" s="81"/>
    </row>
    <row r="841" spans="65:72" x14ac:dyDescent="0.25">
      <c r="BM841" s="81"/>
      <c r="BN841" s="81"/>
      <c r="BO841" s="81"/>
      <c r="BP841" s="81"/>
      <c r="BQ841" s="81"/>
      <c r="BR841" s="81"/>
      <c r="BS841" s="81"/>
      <c r="BT841" s="81"/>
    </row>
    <row r="842" spans="65:72" x14ac:dyDescent="0.25">
      <c r="BM842" s="81"/>
      <c r="BN842" s="81"/>
      <c r="BO842" s="81"/>
      <c r="BP842" s="81"/>
      <c r="BQ842" s="81"/>
      <c r="BR842" s="81"/>
      <c r="BS842" s="81"/>
      <c r="BT842" s="81"/>
    </row>
    <row r="843" spans="65:72" x14ac:dyDescent="0.25">
      <c r="BM843" s="81"/>
      <c r="BN843" s="81"/>
      <c r="BO843" s="81"/>
      <c r="BP843" s="81"/>
      <c r="BQ843" s="81"/>
      <c r="BR843" s="81"/>
      <c r="BS843" s="81"/>
      <c r="BT843" s="81"/>
    </row>
    <row r="844" spans="65:72" x14ac:dyDescent="0.25">
      <c r="BM844" s="81"/>
      <c r="BN844" s="81"/>
      <c r="BO844" s="81"/>
      <c r="BP844" s="81"/>
      <c r="BQ844" s="81"/>
      <c r="BR844" s="81"/>
      <c r="BS844" s="81"/>
      <c r="BT844" s="81"/>
    </row>
    <row r="845" spans="65:72" x14ac:dyDescent="0.25">
      <c r="BM845" s="81"/>
      <c r="BN845" s="81"/>
      <c r="BO845" s="81"/>
      <c r="BP845" s="81"/>
      <c r="BQ845" s="81"/>
      <c r="BR845" s="81"/>
      <c r="BS845" s="81"/>
      <c r="BT845" s="81"/>
    </row>
    <row r="846" spans="65:72" x14ac:dyDescent="0.25">
      <c r="BM846" s="81"/>
      <c r="BN846" s="81"/>
      <c r="BO846" s="81"/>
      <c r="BP846" s="81"/>
      <c r="BQ846" s="81"/>
      <c r="BR846" s="81"/>
      <c r="BS846" s="81"/>
      <c r="BT846" s="81"/>
    </row>
    <row r="847" spans="65:72" x14ac:dyDescent="0.25">
      <c r="BM847" s="81"/>
      <c r="BN847" s="81"/>
      <c r="BO847" s="81"/>
      <c r="BP847" s="81"/>
      <c r="BQ847" s="81"/>
      <c r="BR847" s="81"/>
      <c r="BS847" s="81"/>
      <c r="BT847" s="81"/>
    </row>
    <row r="848" spans="65:72" x14ac:dyDescent="0.25">
      <c r="BM848" s="81"/>
      <c r="BN848" s="81"/>
      <c r="BO848" s="81"/>
      <c r="BP848" s="81"/>
      <c r="BQ848" s="81"/>
      <c r="BR848" s="81"/>
      <c r="BS848" s="81"/>
      <c r="BT848" s="81"/>
    </row>
    <row r="849" spans="65:72" x14ac:dyDescent="0.25">
      <c r="BM849" s="81"/>
      <c r="BN849" s="81"/>
      <c r="BO849" s="81"/>
      <c r="BP849" s="81"/>
      <c r="BQ849" s="81"/>
      <c r="BR849" s="81"/>
      <c r="BS849" s="81"/>
      <c r="BT849" s="81"/>
    </row>
    <row r="850" spans="65:72" x14ac:dyDescent="0.25">
      <c r="BM850" s="81"/>
      <c r="BN850" s="81"/>
      <c r="BO850" s="81"/>
      <c r="BP850" s="81"/>
      <c r="BQ850" s="81"/>
      <c r="BR850" s="81"/>
      <c r="BS850" s="81"/>
      <c r="BT850" s="81"/>
    </row>
    <row r="851" spans="65:72" x14ac:dyDescent="0.25">
      <c r="BM851" s="81"/>
      <c r="BN851" s="81"/>
      <c r="BO851" s="81"/>
      <c r="BP851" s="81"/>
      <c r="BQ851" s="81"/>
      <c r="BR851" s="81"/>
      <c r="BS851" s="81"/>
      <c r="BT851" s="81"/>
    </row>
    <row r="852" spans="65:72" x14ac:dyDescent="0.25">
      <c r="BM852" s="81"/>
      <c r="BN852" s="81"/>
      <c r="BO852" s="81"/>
      <c r="BP852" s="81"/>
      <c r="BQ852" s="81"/>
      <c r="BR852" s="81"/>
      <c r="BS852" s="81"/>
      <c r="BT852" s="81"/>
    </row>
    <row r="853" spans="65:72" x14ac:dyDescent="0.25">
      <c r="BM853" s="81"/>
      <c r="BN853" s="81"/>
      <c r="BO853" s="81"/>
      <c r="BP853" s="81"/>
      <c r="BQ853" s="81"/>
      <c r="BR853" s="81"/>
      <c r="BS853" s="81"/>
      <c r="BT853" s="81"/>
    </row>
    <row r="854" spans="65:72" x14ac:dyDescent="0.25">
      <c r="BM854" s="81"/>
      <c r="BN854" s="81"/>
      <c r="BO854" s="81"/>
      <c r="BP854" s="81"/>
      <c r="BQ854" s="81"/>
      <c r="BR854" s="81"/>
      <c r="BS854" s="81"/>
      <c r="BT854" s="81"/>
    </row>
    <row r="855" spans="65:72" x14ac:dyDescent="0.25">
      <c r="BM855" s="81"/>
      <c r="BN855" s="81"/>
      <c r="BO855" s="81"/>
      <c r="BP855" s="81"/>
      <c r="BQ855" s="81"/>
      <c r="BR855" s="81"/>
      <c r="BS855" s="81"/>
      <c r="BT855" s="81"/>
    </row>
    <row r="856" spans="65:72" x14ac:dyDescent="0.25">
      <c r="BM856" s="81"/>
      <c r="BN856" s="81"/>
      <c r="BO856" s="81"/>
      <c r="BP856" s="81"/>
      <c r="BQ856" s="81"/>
      <c r="BR856" s="81"/>
      <c r="BS856" s="81"/>
      <c r="BT856" s="81"/>
    </row>
    <row r="857" spans="65:72" x14ac:dyDescent="0.25">
      <c r="BM857" s="81"/>
      <c r="BN857" s="81"/>
      <c r="BO857" s="81"/>
      <c r="BP857" s="81"/>
      <c r="BQ857" s="81"/>
      <c r="BR857" s="81"/>
      <c r="BS857" s="81"/>
      <c r="BT857" s="81"/>
    </row>
    <row r="858" spans="65:72" x14ac:dyDescent="0.25">
      <c r="BM858" s="81"/>
      <c r="BN858" s="81"/>
      <c r="BO858" s="81"/>
      <c r="BP858" s="81"/>
      <c r="BQ858" s="81"/>
      <c r="BR858" s="81"/>
      <c r="BS858" s="81"/>
      <c r="BT858" s="81"/>
    </row>
    <row r="859" spans="65:72" x14ac:dyDescent="0.25">
      <c r="BM859" s="81"/>
      <c r="BN859" s="81"/>
      <c r="BO859" s="81"/>
      <c r="BP859" s="81"/>
      <c r="BQ859" s="81"/>
      <c r="BR859" s="81"/>
      <c r="BS859" s="81"/>
      <c r="BT859" s="81"/>
    </row>
    <row r="860" spans="65:72" x14ac:dyDescent="0.25">
      <c r="BM860" s="81"/>
      <c r="BN860" s="81"/>
      <c r="BO860" s="81"/>
      <c r="BP860" s="81"/>
      <c r="BQ860" s="81"/>
      <c r="BR860" s="81"/>
      <c r="BS860" s="81"/>
      <c r="BT860" s="81"/>
    </row>
    <row r="861" spans="65:72" x14ac:dyDescent="0.25">
      <c r="BM861" s="81"/>
      <c r="BN861" s="81"/>
      <c r="BO861" s="81"/>
      <c r="BP861" s="81"/>
      <c r="BQ861" s="81"/>
      <c r="BR861" s="81"/>
      <c r="BS861" s="81"/>
      <c r="BT861" s="81"/>
    </row>
    <row r="862" spans="65:72" x14ac:dyDescent="0.25">
      <c r="BM862" s="81"/>
      <c r="BN862" s="81"/>
      <c r="BO862" s="81"/>
      <c r="BP862" s="81"/>
      <c r="BQ862" s="81"/>
      <c r="BR862" s="81"/>
      <c r="BS862" s="81"/>
      <c r="BT862" s="81"/>
    </row>
    <row r="863" spans="65:72" x14ac:dyDescent="0.25">
      <c r="BM863" s="81"/>
      <c r="BN863" s="81"/>
      <c r="BO863" s="81"/>
      <c r="BP863" s="81"/>
      <c r="BQ863" s="81"/>
      <c r="BR863" s="81"/>
      <c r="BS863" s="81"/>
      <c r="BT863" s="81"/>
    </row>
    <row r="864" spans="65:72" x14ac:dyDescent="0.25">
      <c r="BM864" s="81"/>
      <c r="BN864" s="81"/>
      <c r="BO864" s="81"/>
      <c r="BP864" s="81"/>
      <c r="BQ864" s="81"/>
      <c r="BR864" s="81"/>
      <c r="BS864" s="81"/>
      <c r="BT864" s="81"/>
    </row>
    <row r="865" spans="65:72" x14ac:dyDescent="0.25">
      <c r="BM865" s="81"/>
      <c r="BN865" s="81"/>
      <c r="BO865" s="81"/>
      <c r="BP865" s="81"/>
      <c r="BQ865" s="81"/>
      <c r="BR865" s="81"/>
      <c r="BS865" s="81"/>
      <c r="BT865" s="81"/>
    </row>
    <row r="866" spans="65:72" x14ac:dyDescent="0.25">
      <c r="BM866" s="81"/>
      <c r="BN866" s="81"/>
      <c r="BO866" s="81"/>
      <c r="BP866" s="81"/>
      <c r="BQ866" s="81"/>
      <c r="BR866" s="81"/>
      <c r="BS866" s="81"/>
      <c r="BT866" s="81"/>
    </row>
    <row r="867" spans="65:72" x14ac:dyDescent="0.25">
      <c r="BM867" s="81"/>
      <c r="BN867" s="81"/>
      <c r="BO867" s="81"/>
      <c r="BP867" s="81"/>
      <c r="BQ867" s="81"/>
      <c r="BR867" s="81"/>
      <c r="BS867" s="81"/>
      <c r="BT867" s="81"/>
    </row>
    <row r="868" spans="65:72" x14ac:dyDescent="0.25">
      <c r="BM868" s="81"/>
      <c r="BN868" s="81"/>
      <c r="BO868" s="81"/>
      <c r="BP868" s="81"/>
      <c r="BQ868" s="81"/>
      <c r="BR868" s="81"/>
      <c r="BS868" s="81"/>
      <c r="BT868" s="81"/>
    </row>
    <row r="869" spans="65:72" x14ac:dyDescent="0.25">
      <c r="BM869" s="81"/>
      <c r="BN869" s="81"/>
      <c r="BO869" s="81"/>
      <c r="BP869" s="81"/>
      <c r="BQ869" s="81"/>
      <c r="BR869" s="81"/>
      <c r="BS869" s="81"/>
      <c r="BT869" s="81"/>
    </row>
    <row r="870" spans="65:72" x14ac:dyDescent="0.25">
      <c r="BM870" s="81"/>
      <c r="BN870" s="81"/>
      <c r="BO870" s="81"/>
      <c r="BP870" s="81"/>
      <c r="BQ870" s="81"/>
      <c r="BR870" s="81"/>
      <c r="BS870" s="81"/>
      <c r="BT870" s="81"/>
    </row>
    <row r="871" spans="65:72" x14ac:dyDescent="0.25">
      <c r="BM871" s="81"/>
      <c r="BN871" s="81"/>
      <c r="BO871" s="81"/>
      <c r="BP871" s="81"/>
      <c r="BQ871" s="81"/>
      <c r="BR871" s="81"/>
      <c r="BS871" s="81"/>
      <c r="BT871" s="81"/>
    </row>
    <row r="872" spans="65:72" x14ac:dyDescent="0.25">
      <c r="BM872" s="81"/>
      <c r="BN872" s="81"/>
      <c r="BO872" s="81"/>
      <c r="BP872" s="81"/>
      <c r="BQ872" s="81"/>
      <c r="BR872" s="81"/>
      <c r="BS872" s="81"/>
      <c r="BT872" s="81"/>
    </row>
    <row r="873" spans="65:72" x14ac:dyDescent="0.25">
      <c r="BM873" s="81"/>
      <c r="BN873" s="81"/>
      <c r="BO873" s="81"/>
      <c r="BP873" s="81"/>
      <c r="BQ873" s="81"/>
      <c r="BR873" s="81"/>
      <c r="BS873" s="81"/>
      <c r="BT873" s="81"/>
    </row>
    <row r="874" spans="65:72" x14ac:dyDescent="0.25">
      <c r="BM874" s="81"/>
      <c r="BN874" s="81"/>
      <c r="BO874" s="81"/>
      <c r="BP874" s="81"/>
      <c r="BQ874" s="81"/>
      <c r="BR874" s="81"/>
      <c r="BS874" s="81"/>
      <c r="BT874" s="81"/>
    </row>
    <row r="875" spans="65:72" x14ac:dyDescent="0.25">
      <c r="BM875" s="81"/>
      <c r="BN875" s="81"/>
      <c r="BO875" s="81"/>
      <c r="BP875" s="81"/>
      <c r="BQ875" s="81"/>
      <c r="BR875" s="81"/>
      <c r="BS875" s="81"/>
      <c r="BT875" s="81"/>
    </row>
    <row r="876" spans="65:72" x14ac:dyDescent="0.25">
      <c r="BM876" s="81"/>
      <c r="BN876" s="81"/>
      <c r="BO876" s="81"/>
      <c r="BP876" s="81"/>
      <c r="BQ876" s="81"/>
      <c r="BR876" s="81"/>
      <c r="BS876" s="81"/>
      <c r="BT876" s="81"/>
    </row>
    <row r="877" spans="65:72" x14ac:dyDescent="0.25">
      <c r="BM877" s="81"/>
      <c r="BN877" s="81"/>
      <c r="BO877" s="81"/>
      <c r="BP877" s="81"/>
      <c r="BQ877" s="81"/>
      <c r="BR877" s="81"/>
      <c r="BS877" s="81"/>
      <c r="BT877" s="81"/>
    </row>
    <row r="878" spans="65:72" x14ac:dyDescent="0.25">
      <c r="BM878" s="81"/>
      <c r="BN878" s="81"/>
      <c r="BO878" s="81"/>
      <c r="BP878" s="81"/>
      <c r="BQ878" s="81"/>
      <c r="BR878" s="81"/>
      <c r="BS878" s="81"/>
      <c r="BT878" s="81"/>
    </row>
    <row r="879" spans="65:72" x14ac:dyDescent="0.25">
      <c r="BM879" s="81"/>
      <c r="BN879" s="81"/>
      <c r="BO879" s="81"/>
      <c r="BP879" s="81"/>
      <c r="BQ879" s="81"/>
      <c r="BR879" s="81"/>
      <c r="BS879" s="81"/>
      <c r="BT879" s="81"/>
    </row>
    <row r="880" spans="65:72" x14ac:dyDescent="0.25">
      <c r="BM880" s="81"/>
      <c r="BN880" s="81"/>
      <c r="BO880" s="81"/>
      <c r="BP880" s="81"/>
      <c r="BQ880" s="81"/>
      <c r="BR880" s="81"/>
      <c r="BS880" s="81"/>
      <c r="BT880" s="81"/>
    </row>
    <row r="881" spans="65:72" x14ac:dyDescent="0.25">
      <c r="BM881" s="81"/>
      <c r="BN881" s="81"/>
      <c r="BO881" s="81"/>
      <c r="BP881" s="81"/>
      <c r="BQ881" s="81"/>
      <c r="BR881" s="81"/>
      <c r="BS881" s="81"/>
      <c r="BT881" s="81"/>
    </row>
    <row r="882" spans="65:72" x14ac:dyDescent="0.25">
      <c r="BM882" s="81"/>
      <c r="BN882" s="81"/>
      <c r="BO882" s="81"/>
      <c r="BP882" s="81"/>
      <c r="BQ882" s="81"/>
      <c r="BR882" s="81"/>
      <c r="BS882" s="81"/>
      <c r="BT882" s="81"/>
    </row>
    <row r="883" spans="65:72" x14ac:dyDescent="0.25">
      <c r="BM883" s="81"/>
      <c r="BN883" s="81"/>
      <c r="BO883" s="81"/>
      <c r="BP883" s="81"/>
      <c r="BQ883" s="81"/>
      <c r="BR883" s="81"/>
      <c r="BS883" s="81"/>
      <c r="BT883" s="81"/>
    </row>
    <row r="884" spans="65:72" x14ac:dyDescent="0.25">
      <c r="BM884" s="81"/>
      <c r="BN884" s="81"/>
      <c r="BO884" s="81"/>
      <c r="BP884" s="81"/>
      <c r="BQ884" s="81"/>
      <c r="BR884" s="81"/>
      <c r="BS884" s="81"/>
      <c r="BT884" s="81"/>
    </row>
    <row r="885" spans="65:72" x14ac:dyDescent="0.25">
      <c r="BM885" s="81"/>
      <c r="BN885" s="81"/>
      <c r="BO885" s="81"/>
      <c r="BP885" s="81"/>
      <c r="BQ885" s="81"/>
      <c r="BR885" s="81"/>
      <c r="BS885" s="81"/>
      <c r="BT885" s="81"/>
    </row>
    <row r="886" spans="65:72" x14ac:dyDescent="0.25">
      <c r="BM886" s="81"/>
      <c r="BN886" s="81"/>
      <c r="BO886" s="81"/>
      <c r="BP886" s="81"/>
      <c r="BQ886" s="81"/>
      <c r="BR886" s="81"/>
      <c r="BS886" s="81"/>
      <c r="BT886" s="81"/>
    </row>
    <row r="887" spans="65:72" x14ac:dyDescent="0.25">
      <c r="BM887" s="81"/>
      <c r="BN887" s="81"/>
      <c r="BO887" s="81"/>
      <c r="BP887" s="81"/>
      <c r="BQ887" s="81"/>
      <c r="BR887" s="81"/>
      <c r="BS887" s="81"/>
      <c r="BT887" s="81"/>
    </row>
    <row r="888" spans="65:72" x14ac:dyDescent="0.25">
      <c r="BM888" s="81"/>
      <c r="BN888" s="81"/>
      <c r="BO888" s="81"/>
      <c r="BP888" s="81"/>
      <c r="BQ888" s="81"/>
      <c r="BR888" s="81"/>
      <c r="BS888" s="81"/>
      <c r="BT888" s="81"/>
    </row>
    <row r="889" spans="65:72" x14ac:dyDescent="0.25">
      <c r="BM889" s="81"/>
      <c r="BN889" s="81"/>
      <c r="BO889" s="81"/>
      <c r="BP889" s="81"/>
      <c r="BQ889" s="81"/>
      <c r="BR889" s="81"/>
      <c r="BS889" s="81"/>
      <c r="BT889" s="81"/>
    </row>
    <row r="890" spans="65:72" x14ac:dyDescent="0.25">
      <c r="BM890" s="81"/>
      <c r="BN890" s="81"/>
      <c r="BO890" s="81"/>
      <c r="BP890" s="81"/>
      <c r="BQ890" s="81"/>
      <c r="BR890" s="81"/>
      <c r="BS890" s="81"/>
      <c r="BT890" s="81"/>
    </row>
    <row r="891" spans="65:72" x14ac:dyDescent="0.25">
      <c r="BM891" s="81"/>
      <c r="BN891" s="81"/>
      <c r="BO891" s="81"/>
      <c r="BP891" s="81"/>
      <c r="BQ891" s="81"/>
      <c r="BR891" s="81"/>
      <c r="BS891" s="81"/>
      <c r="BT891" s="81"/>
    </row>
    <row r="892" spans="65:72" x14ac:dyDescent="0.25">
      <c r="BM892" s="81"/>
      <c r="BN892" s="81"/>
      <c r="BO892" s="81"/>
      <c r="BP892" s="81"/>
      <c r="BQ892" s="81"/>
      <c r="BR892" s="81"/>
      <c r="BS892" s="81"/>
      <c r="BT892" s="81"/>
    </row>
    <row r="893" spans="65:72" x14ac:dyDescent="0.25">
      <c r="BM893" s="81"/>
      <c r="BN893" s="81"/>
      <c r="BO893" s="81"/>
      <c r="BP893" s="81"/>
      <c r="BQ893" s="81"/>
      <c r="BR893" s="81"/>
      <c r="BS893" s="81"/>
      <c r="BT893" s="81"/>
    </row>
    <row r="894" spans="65:72" x14ac:dyDescent="0.25">
      <c r="BM894" s="81"/>
      <c r="BN894" s="81"/>
      <c r="BO894" s="81"/>
      <c r="BP894" s="81"/>
      <c r="BQ894" s="81"/>
      <c r="BR894" s="81"/>
      <c r="BS894" s="81"/>
      <c r="BT894" s="81"/>
    </row>
    <row r="895" spans="65:72" x14ac:dyDescent="0.25">
      <c r="BM895" s="81"/>
      <c r="BN895" s="81"/>
      <c r="BO895" s="81"/>
      <c r="BP895" s="81"/>
      <c r="BQ895" s="81"/>
      <c r="BR895" s="81"/>
      <c r="BS895" s="81"/>
      <c r="BT895" s="81"/>
    </row>
    <row r="896" spans="65:72" x14ac:dyDescent="0.25">
      <c r="BM896" s="81"/>
      <c r="BN896" s="81"/>
      <c r="BO896" s="81"/>
      <c r="BP896" s="81"/>
      <c r="BQ896" s="81"/>
      <c r="BR896" s="81"/>
      <c r="BS896" s="81"/>
      <c r="BT896" s="81"/>
    </row>
    <row r="897" spans="65:72" x14ac:dyDescent="0.25">
      <c r="BM897" s="81"/>
      <c r="BN897" s="81"/>
      <c r="BO897" s="81"/>
      <c r="BP897" s="81"/>
      <c r="BQ897" s="81"/>
      <c r="BR897" s="81"/>
      <c r="BS897" s="81"/>
      <c r="BT897" s="81"/>
    </row>
    <row r="898" spans="65:72" x14ac:dyDescent="0.25">
      <c r="BM898" s="81"/>
      <c r="BN898" s="81"/>
      <c r="BO898" s="81"/>
      <c r="BP898" s="81"/>
      <c r="BQ898" s="81"/>
      <c r="BR898" s="81"/>
      <c r="BS898" s="81"/>
      <c r="BT898" s="81"/>
    </row>
    <row r="899" spans="65:72" x14ac:dyDescent="0.25">
      <c r="BM899" s="81"/>
      <c r="BN899" s="81"/>
      <c r="BO899" s="81"/>
      <c r="BP899" s="81"/>
      <c r="BQ899" s="81"/>
      <c r="BR899" s="81"/>
      <c r="BS899" s="81"/>
      <c r="BT899" s="81"/>
    </row>
    <row r="900" spans="65:72" x14ac:dyDescent="0.25">
      <c r="BM900" s="81"/>
      <c r="BN900" s="81"/>
      <c r="BO900" s="81"/>
      <c r="BP900" s="81"/>
      <c r="BQ900" s="81"/>
      <c r="BR900" s="81"/>
      <c r="BS900" s="81"/>
      <c r="BT900" s="81"/>
    </row>
    <row r="901" spans="65:72" x14ac:dyDescent="0.25">
      <c r="BM901" s="81"/>
      <c r="BN901" s="81"/>
      <c r="BO901" s="81"/>
      <c r="BP901" s="81"/>
      <c r="BQ901" s="81"/>
      <c r="BR901" s="81"/>
      <c r="BS901" s="81"/>
      <c r="BT901" s="81"/>
    </row>
    <row r="902" spans="65:72" x14ac:dyDescent="0.25">
      <c r="BM902" s="81"/>
      <c r="BN902" s="81"/>
      <c r="BO902" s="81"/>
      <c r="BP902" s="81"/>
      <c r="BQ902" s="81"/>
      <c r="BR902" s="81"/>
      <c r="BS902" s="81"/>
      <c r="BT902" s="81"/>
    </row>
    <row r="903" spans="65:72" x14ac:dyDescent="0.25">
      <c r="BM903" s="81"/>
      <c r="BN903" s="81"/>
      <c r="BO903" s="81"/>
      <c r="BP903" s="81"/>
      <c r="BQ903" s="81"/>
      <c r="BR903" s="81"/>
      <c r="BS903" s="81"/>
      <c r="BT903" s="81"/>
    </row>
    <row r="904" spans="65:72" x14ac:dyDescent="0.25">
      <c r="BM904" s="81"/>
      <c r="BN904" s="81"/>
      <c r="BO904" s="81"/>
      <c r="BP904" s="81"/>
      <c r="BQ904" s="81"/>
      <c r="BR904" s="81"/>
      <c r="BS904" s="81"/>
      <c r="BT904" s="81"/>
    </row>
    <row r="905" spans="65:72" x14ac:dyDescent="0.25">
      <c r="BM905" s="81"/>
      <c r="BN905" s="81"/>
      <c r="BO905" s="81"/>
      <c r="BP905" s="81"/>
      <c r="BQ905" s="81"/>
      <c r="BR905" s="81"/>
      <c r="BS905" s="81"/>
      <c r="BT905" s="81"/>
    </row>
    <row r="906" spans="65:72" x14ac:dyDescent="0.25">
      <c r="BM906" s="81"/>
      <c r="BN906" s="81"/>
      <c r="BO906" s="81"/>
      <c r="BP906" s="81"/>
      <c r="BQ906" s="81"/>
      <c r="BR906" s="81"/>
      <c r="BS906" s="81"/>
      <c r="BT906" s="81"/>
    </row>
    <row r="907" spans="65:72" x14ac:dyDescent="0.25">
      <c r="BM907" s="81"/>
      <c r="BN907" s="81"/>
      <c r="BO907" s="81"/>
      <c r="BP907" s="81"/>
      <c r="BQ907" s="81"/>
      <c r="BR907" s="81"/>
      <c r="BS907" s="81"/>
      <c r="BT907" s="81"/>
    </row>
    <row r="908" spans="65:72" x14ac:dyDescent="0.25">
      <c r="BM908" s="81"/>
      <c r="BN908" s="81"/>
      <c r="BO908" s="81"/>
      <c r="BP908" s="81"/>
      <c r="BQ908" s="81"/>
      <c r="BR908" s="81"/>
      <c r="BS908" s="81"/>
      <c r="BT908" s="81"/>
    </row>
    <row r="909" spans="65:72" x14ac:dyDescent="0.25">
      <c r="BM909" s="81"/>
      <c r="BN909" s="81"/>
      <c r="BO909" s="81"/>
      <c r="BP909" s="81"/>
      <c r="BQ909" s="81"/>
      <c r="BR909" s="81"/>
      <c r="BS909" s="81"/>
      <c r="BT909" s="81"/>
    </row>
    <row r="910" spans="65:72" x14ac:dyDescent="0.25">
      <c r="BM910" s="81"/>
      <c r="BN910" s="81"/>
      <c r="BO910" s="81"/>
      <c r="BP910" s="81"/>
      <c r="BQ910" s="81"/>
      <c r="BR910" s="81"/>
      <c r="BS910" s="81"/>
      <c r="BT910" s="81"/>
    </row>
    <row r="911" spans="65:72" x14ac:dyDescent="0.25">
      <c r="BM911" s="81"/>
      <c r="BN911" s="81"/>
      <c r="BO911" s="81"/>
      <c r="BP911" s="81"/>
      <c r="BQ911" s="81"/>
      <c r="BR911" s="81"/>
      <c r="BS911" s="81"/>
      <c r="BT911" s="81"/>
    </row>
    <row r="912" spans="65:72" x14ac:dyDescent="0.25">
      <c r="BM912" s="81"/>
      <c r="BN912" s="81"/>
      <c r="BO912" s="81"/>
      <c r="BP912" s="81"/>
      <c r="BQ912" s="81"/>
      <c r="BR912" s="81"/>
      <c r="BS912" s="81"/>
      <c r="BT912" s="81"/>
    </row>
    <row r="913" spans="65:72" x14ac:dyDescent="0.25">
      <c r="BM913" s="81"/>
      <c r="BN913" s="81"/>
      <c r="BO913" s="81"/>
      <c r="BP913" s="81"/>
      <c r="BQ913" s="81"/>
      <c r="BR913" s="81"/>
      <c r="BS913" s="81"/>
      <c r="BT913" s="81"/>
    </row>
    <row r="914" spans="65:72" x14ac:dyDescent="0.25">
      <c r="BM914" s="81"/>
      <c r="BN914" s="81"/>
      <c r="BO914" s="81"/>
      <c r="BP914" s="81"/>
      <c r="BQ914" s="81"/>
      <c r="BR914" s="81"/>
      <c r="BS914" s="81"/>
      <c r="BT914" s="81"/>
    </row>
    <row r="915" spans="65:72" x14ac:dyDescent="0.25">
      <c r="BM915" s="81"/>
      <c r="BN915" s="81"/>
      <c r="BO915" s="81"/>
      <c r="BP915" s="81"/>
      <c r="BQ915" s="81"/>
      <c r="BR915" s="81"/>
      <c r="BS915" s="81"/>
      <c r="BT915" s="81"/>
    </row>
    <row r="916" spans="65:72" x14ac:dyDescent="0.25">
      <c r="BM916" s="81"/>
      <c r="BN916" s="81"/>
      <c r="BO916" s="81"/>
      <c r="BP916" s="81"/>
      <c r="BQ916" s="81"/>
      <c r="BR916" s="81"/>
      <c r="BS916" s="81"/>
      <c r="BT916" s="81"/>
    </row>
    <row r="917" spans="65:72" x14ac:dyDescent="0.25">
      <c r="BM917" s="81"/>
      <c r="BN917" s="81"/>
      <c r="BO917" s="81"/>
      <c r="BP917" s="81"/>
      <c r="BQ917" s="81"/>
      <c r="BR917" s="81"/>
      <c r="BS917" s="81"/>
      <c r="BT917" s="81"/>
    </row>
    <row r="918" spans="65:72" x14ac:dyDescent="0.25">
      <c r="BM918" s="81"/>
      <c r="BN918" s="81"/>
      <c r="BO918" s="81"/>
      <c r="BP918" s="81"/>
      <c r="BQ918" s="81"/>
      <c r="BR918" s="81"/>
      <c r="BS918" s="81"/>
      <c r="BT918" s="81"/>
    </row>
    <row r="919" spans="65:72" x14ac:dyDescent="0.25">
      <c r="BM919" s="81"/>
      <c r="BN919" s="81"/>
      <c r="BO919" s="81"/>
      <c r="BP919" s="81"/>
      <c r="BQ919" s="81"/>
      <c r="BR919" s="81"/>
      <c r="BS919" s="81"/>
      <c r="BT919" s="81"/>
    </row>
    <row r="920" spans="65:72" x14ac:dyDescent="0.25">
      <c r="BM920" s="81"/>
      <c r="BN920" s="81"/>
      <c r="BO920" s="81"/>
      <c r="BP920" s="81"/>
      <c r="BQ920" s="81"/>
      <c r="BR920" s="81"/>
      <c r="BS920" s="81"/>
      <c r="BT920" s="81"/>
    </row>
    <row r="921" spans="65:72" x14ac:dyDescent="0.25">
      <c r="BM921" s="81"/>
      <c r="BN921" s="81"/>
      <c r="BO921" s="81"/>
      <c r="BP921" s="81"/>
      <c r="BQ921" s="81"/>
      <c r="BR921" s="81"/>
      <c r="BS921" s="81"/>
      <c r="BT921" s="81"/>
    </row>
    <row r="922" spans="65:72" x14ac:dyDescent="0.25">
      <c r="BM922" s="81"/>
      <c r="BN922" s="81"/>
      <c r="BO922" s="81"/>
      <c r="BP922" s="81"/>
      <c r="BQ922" s="81"/>
      <c r="BR922" s="81"/>
      <c r="BS922" s="81"/>
      <c r="BT922" s="81"/>
    </row>
    <row r="923" spans="65:72" x14ac:dyDescent="0.25">
      <c r="BM923" s="81"/>
      <c r="BN923" s="81"/>
      <c r="BO923" s="81"/>
      <c r="BP923" s="81"/>
      <c r="BQ923" s="81"/>
      <c r="BR923" s="81"/>
      <c r="BS923" s="81"/>
      <c r="BT923" s="81"/>
    </row>
    <row r="924" spans="65:72" x14ac:dyDescent="0.25">
      <c r="BM924" s="81"/>
      <c r="BN924" s="81"/>
      <c r="BO924" s="81"/>
      <c r="BP924" s="81"/>
      <c r="BQ924" s="81"/>
      <c r="BR924" s="81"/>
      <c r="BS924" s="81"/>
      <c r="BT924" s="81"/>
    </row>
    <row r="925" spans="65:72" x14ac:dyDescent="0.25">
      <c r="BM925" s="81"/>
      <c r="BN925" s="81"/>
      <c r="BO925" s="81"/>
      <c r="BP925" s="81"/>
      <c r="BQ925" s="81"/>
      <c r="BR925" s="81"/>
      <c r="BS925" s="81"/>
      <c r="BT925" s="81"/>
    </row>
    <row r="926" spans="65:72" x14ac:dyDescent="0.25">
      <c r="BM926" s="81"/>
      <c r="BN926" s="81"/>
      <c r="BO926" s="81"/>
      <c r="BP926" s="81"/>
      <c r="BQ926" s="81"/>
      <c r="BR926" s="81"/>
      <c r="BS926" s="81"/>
      <c r="BT926" s="81"/>
    </row>
    <row r="927" spans="65:72" x14ac:dyDescent="0.25">
      <c r="BM927" s="81"/>
      <c r="BN927" s="81"/>
      <c r="BO927" s="81"/>
      <c r="BP927" s="81"/>
      <c r="BQ927" s="81"/>
      <c r="BR927" s="81"/>
      <c r="BS927" s="81"/>
      <c r="BT927" s="81"/>
    </row>
    <row r="928" spans="65:72" x14ac:dyDescent="0.25">
      <c r="BM928" s="81"/>
      <c r="BN928" s="81"/>
      <c r="BO928" s="81"/>
      <c r="BP928" s="81"/>
      <c r="BQ928" s="81"/>
      <c r="BR928" s="81"/>
      <c r="BS928" s="81"/>
      <c r="BT928" s="81"/>
    </row>
    <row r="929" spans="65:72" x14ac:dyDescent="0.25">
      <c r="BM929" s="81"/>
      <c r="BN929" s="81"/>
      <c r="BO929" s="81"/>
      <c r="BP929" s="81"/>
      <c r="BQ929" s="81"/>
      <c r="BR929" s="81"/>
      <c r="BS929" s="81"/>
      <c r="BT929" s="81"/>
    </row>
    <row r="930" spans="65:72" x14ac:dyDescent="0.25">
      <c r="BM930" s="81"/>
      <c r="BN930" s="81"/>
      <c r="BO930" s="81"/>
      <c r="BP930" s="81"/>
      <c r="BQ930" s="81"/>
      <c r="BR930" s="81"/>
      <c r="BS930" s="81"/>
      <c r="BT930" s="81"/>
    </row>
    <row r="931" spans="65:72" x14ac:dyDescent="0.25">
      <c r="BM931" s="81"/>
      <c r="BN931" s="81"/>
      <c r="BO931" s="81"/>
      <c r="BP931" s="81"/>
      <c r="BQ931" s="81"/>
      <c r="BR931" s="81"/>
      <c r="BS931" s="81"/>
      <c r="BT931" s="81"/>
    </row>
    <row r="932" spans="65:72" x14ac:dyDescent="0.25">
      <c r="BM932" s="81"/>
      <c r="BN932" s="81"/>
      <c r="BO932" s="81"/>
      <c r="BP932" s="81"/>
      <c r="BQ932" s="81"/>
      <c r="BR932" s="81"/>
      <c r="BS932" s="81"/>
      <c r="BT932" s="81"/>
    </row>
    <row r="933" spans="65:72" x14ac:dyDescent="0.25">
      <c r="BM933" s="81"/>
      <c r="BN933" s="81"/>
      <c r="BO933" s="81"/>
      <c r="BP933" s="81"/>
      <c r="BQ933" s="81"/>
      <c r="BR933" s="81"/>
      <c r="BS933" s="81"/>
      <c r="BT933" s="81"/>
    </row>
    <row r="934" spans="65:72" x14ac:dyDescent="0.25">
      <c r="BM934" s="81"/>
      <c r="BN934" s="81"/>
      <c r="BO934" s="81"/>
      <c r="BP934" s="81"/>
      <c r="BQ934" s="81"/>
      <c r="BR934" s="81"/>
      <c r="BS934" s="81"/>
      <c r="BT934" s="81"/>
    </row>
    <row r="935" spans="65:72" x14ac:dyDescent="0.25">
      <c r="BM935" s="81"/>
      <c r="BN935" s="81"/>
      <c r="BO935" s="81"/>
      <c r="BP935" s="81"/>
      <c r="BQ935" s="81"/>
      <c r="BR935" s="81"/>
      <c r="BS935" s="81"/>
      <c r="BT935" s="81"/>
    </row>
    <row r="936" spans="65:72" x14ac:dyDescent="0.25">
      <c r="BM936" s="81"/>
      <c r="BN936" s="81"/>
      <c r="BO936" s="81"/>
      <c r="BP936" s="81"/>
      <c r="BQ936" s="81"/>
      <c r="BR936" s="81"/>
      <c r="BS936" s="81"/>
      <c r="BT936" s="81"/>
    </row>
    <row r="937" spans="65:72" x14ac:dyDescent="0.25">
      <c r="BM937" s="81"/>
      <c r="BN937" s="81"/>
      <c r="BO937" s="81"/>
      <c r="BP937" s="81"/>
      <c r="BQ937" s="81"/>
      <c r="BR937" s="81"/>
      <c r="BS937" s="81"/>
      <c r="BT937" s="81"/>
    </row>
    <row r="938" spans="65:72" x14ac:dyDescent="0.25">
      <c r="BM938" s="81"/>
      <c r="BN938" s="81"/>
      <c r="BO938" s="81"/>
      <c r="BP938" s="81"/>
      <c r="BQ938" s="81"/>
      <c r="BR938" s="81"/>
      <c r="BS938" s="81"/>
      <c r="BT938" s="81"/>
    </row>
    <row r="939" spans="65:72" x14ac:dyDescent="0.25">
      <c r="BM939" s="81"/>
      <c r="BN939" s="81"/>
      <c r="BO939" s="81"/>
      <c r="BP939" s="81"/>
      <c r="BQ939" s="81"/>
      <c r="BR939" s="81"/>
      <c r="BS939" s="81"/>
      <c r="BT939" s="81"/>
    </row>
    <row r="940" spans="65:72" x14ac:dyDescent="0.25">
      <c r="BM940" s="81"/>
      <c r="BN940" s="81"/>
      <c r="BO940" s="81"/>
      <c r="BP940" s="81"/>
      <c r="BQ940" s="81"/>
      <c r="BR940" s="81"/>
      <c r="BS940" s="81"/>
      <c r="BT940" s="81"/>
    </row>
    <row r="941" spans="65:72" x14ac:dyDescent="0.25">
      <c r="BM941" s="81"/>
      <c r="BN941" s="81"/>
      <c r="BO941" s="81"/>
      <c r="BP941" s="81"/>
      <c r="BQ941" s="81"/>
      <c r="BR941" s="81"/>
      <c r="BS941" s="81"/>
      <c r="BT941" s="81"/>
    </row>
    <row r="942" spans="65:72" x14ac:dyDescent="0.25">
      <c r="BM942" s="81"/>
      <c r="BN942" s="81"/>
      <c r="BO942" s="81"/>
      <c r="BP942" s="81"/>
      <c r="BQ942" s="81"/>
      <c r="BR942" s="81"/>
      <c r="BS942" s="81"/>
      <c r="BT942" s="81"/>
    </row>
    <row r="943" spans="65:72" x14ac:dyDescent="0.25">
      <c r="BM943" s="81"/>
      <c r="BN943" s="81"/>
      <c r="BO943" s="81"/>
      <c r="BP943" s="81"/>
      <c r="BQ943" s="81"/>
      <c r="BR943" s="81"/>
      <c r="BS943" s="81"/>
      <c r="BT943" s="81"/>
    </row>
    <row r="944" spans="65:72" x14ac:dyDescent="0.25">
      <c r="BM944" s="81"/>
      <c r="BN944" s="81"/>
      <c r="BO944" s="81"/>
      <c r="BP944" s="81"/>
      <c r="BQ944" s="81"/>
      <c r="BR944" s="81"/>
      <c r="BS944" s="81"/>
      <c r="BT944" s="81"/>
    </row>
    <row r="945" spans="65:72" x14ac:dyDescent="0.25">
      <c r="BM945" s="81"/>
      <c r="BN945" s="81"/>
      <c r="BO945" s="81"/>
      <c r="BP945" s="81"/>
      <c r="BQ945" s="81"/>
      <c r="BR945" s="81"/>
      <c r="BS945" s="81"/>
      <c r="BT945" s="81"/>
    </row>
    <row r="946" spans="65:72" x14ac:dyDescent="0.25">
      <c r="BM946" s="81"/>
      <c r="BN946" s="81"/>
      <c r="BO946" s="81"/>
      <c r="BP946" s="81"/>
      <c r="BQ946" s="81"/>
      <c r="BR946" s="81"/>
      <c r="BS946" s="81"/>
      <c r="BT946" s="81"/>
    </row>
    <row r="947" spans="65:72" x14ac:dyDescent="0.25">
      <c r="BM947" s="81"/>
      <c r="BN947" s="81"/>
      <c r="BO947" s="81"/>
      <c r="BP947" s="81"/>
      <c r="BQ947" s="81"/>
      <c r="BR947" s="81"/>
      <c r="BS947" s="81"/>
      <c r="BT947" s="81"/>
    </row>
    <row r="948" spans="65:72" x14ac:dyDescent="0.25">
      <c r="BM948" s="81"/>
      <c r="BN948" s="81"/>
      <c r="BO948" s="81"/>
      <c r="BP948" s="81"/>
      <c r="BQ948" s="81"/>
      <c r="BR948" s="81"/>
      <c r="BS948" s="81"/>
      <c r="BT948" s="81"/>
    </row>
    <row r="949" spans="65:72" x14ac:dyDescent="0.25">
      <c r="BM949" s="81"/>
      <c r="BN949" s="81"/>
      <c r="BO949" s="81"/>
      <c r="BP949" s="81"/>
      <c r="BQ949" s="81"/>
      <c r="BR949" s="81"/>
      <c r="BS949" s="81"/>
      <c r="BT949" s="81"/>
    </row>
    <row r="950" spans="65:72" x14ac:dyDescent="0.25">
      <c r="BM950" s="81"/>
      <c r="BN950" s="81"/>
      <c r="BO950" s="81"/>
      <c r="BP950" s="81"/>
      <c r="BQ950" s="81"/>
      <c r="BR950" s="81"/>
      <c r="BS950" s="81"/>
      <c r="BT950" s="81"/>
    </row>
    <row r="951" spans="65:72" x14ac:dyDescent="0.25">
      <c r="BM951" s="81"/>
      <c r="BN951" s="81"/>
      <c r="BO951" s="81"/>
      <c r="BP951" s="81"/>
      <c r="BQ951" s="81"/>
      <c r="BR951" s="81"/>
      <c r="BS951" s="81"/>
      <c r="BT951" s="81"/>
    </row>
    <row r="952" spans="65:72" x14ac:dyDescent="0.25">
      <c r="BM952" s="81"/>
      <c r="BN952" s="81"/>
      <c r="BO952" s="81"/>
      <c r="BP952" s="81"/>
      <c r="BQ952" s="81"/>
      <c r="BR952" s="81"/>
      <c r="BS952" s="81"/>
      <c r="BT952" s="81"/>
    </row>
    <row r="953" spans="65:72" x14ac:dyDescent="0.25">
      <c r="BM953" s="81"/>
      <c r="BN953" s="81"/>
      <c r="BO953" s="81"/>
      <c r="BP953" s="81"/>
      <c r="BQ953" s="81"/>
      <c r="BR953" s="81"/>
      <c r="BS953" s="81"/>
      <c r="BT953" s="81"/>
    </row>
    <row r="954" spans="65:72" x14ac:dyDescent="0.25">
      <c r="BM954" s="81"/>
      <c r="BN954" s="81"/>
      <c r="BO954" s="81"/>
      <c r="BP954" s="81"/>
      <c r="BQ954" s="81"/>
      <c r="BR954" s="81"/>
      <c r="BS954" s="81"/>
      <c r="BT954" s="81"/>
    </row>
    <row r="955" spans="65:72" x14ac:dyDescent="0.25">
      <c r="BM955" s="81"/>
      <c r="BN955" s="81"/>
      <c r="BO955" s="81"/>
      <c r="BP955" s="81"/>
      <c r="BQ955" s="81"/>
      <c r="BR955" s="81"/>
      <c r="BS955" s="81"/>
      <c r="BT955" s="81"/>
    </row>
    <row r="956" spans="65:72" x14ac:dyDescent="0.25">
      <c r="BM956" s="81"/>
      <c r="BN956" s="81"/>
      <c r="BO956" s="81"/>
      <c r="BP956" s="81"/>
      <c r="BQ956" s="81"/>
      <c r="BR956" s="81"/>
      <c r="BS956" s="81"/>
      <c r="BT956" s="81"/>
    </row>
    <row r="957" spans="65:72" x14ac:dyDescent="0.25">
      <c r="BM957" s="81"/>
      <c r="BN957" s="81"/>
      <c r="BO957" s="81"/>
      <c r="BP957" s="81"/>
      <c r="BQ957" s="81"/>
      <c r="BR957" s="81"/>
      <c r="BS957" s="81"/>
      <c r="BT957" s="81"/>
    </row>
    <row r="958" spans="65:72" x14ac:dyDescent="0.25">
      <c r="BM958" s="81"/>
      <c r="BN958" s="81"/>
      <c r="BO958" s="81"/>
      <c r="BP958" s="81"/>
      <c r="BQ958" s="81"/>
      <c r="BR958" s="81"/>
      <c r="BS958" s="81"/>
      <c r="BT958" s="81"/>
    </row>
    <row r="959" spans="65:72" x14ac:dyDescent="0.25">
      <c r="BM959" s="81"/>
      <c r="BN959" s="81"/>
      <c r="BO959" s="81"/>
      <c r="BP959" s="81"/>
      <c r="BQ959" s="81"/>
      <c r="BR959" s="81"/>
      <c r="BS959" s="81"/>
      <c r="BT959" s="81"/>
    </row>
    <row r="960" spans="65:72" x14ac:dyDescent="0.25">
      <c r="BM960" s="81"/>
      <c r="BN960" s="81"/>
      <c r="BO960" s="81"/>
      <c r="BP960" s="81"/>
      <c r="BQ960" s="81"/>
      <c r="BR960" s="81"/>
      <c r="BS960" s="81"/>
      <c r="BT960" s="81"/>
    </row>
    <row r="961" spans="65:72" x14ac:dyDescent="0.25">
      <c r="BM961" s="81"/>
      <c r="BN961" s="81"/>
      <c r="BO961" s="81"/>
      <c r="BP961" s="81"/>
      <c r="BQ961" s="81"/>
      <c r="BR961" s="81"/>
      <c r="BS961" s="81"/>
      <c r="BT961" s="81"/>
    </row>
    <row r="962" spans="65:72" x14ac:dyDescent="0.25">
      <c r="BM962" s="81"/>
      <c r="BN962" s="81"/>
      <c r="BO962" s="81"/>
      <c r="BP962" s="81"/>
      <c r="BQ962" s="81"/>
      <c r="BR962" s="81"/>
      <c r="BS962" s="81"/>
      <c r="BT962" s="81"/>
    </row>
    <row r="963" spans="65:72" x14ac:dyDescent="0.25">
      <c r="BM963" s="81"/>
      <c r="BN963" s="81"/>
      <c r="BO963" s="81"/>
      <c r="BP963" s="81"/>
      <c r="BQ963" s="81"/>
      <c r="BR963" s="81"/>
      <c r="BS963" s="81"/>
      <c r="BT963" s="81"/>
    </row>
    <row r="964" spans="65:72" x14ac:dyDescent="0.25">
      <c r="BM964" s="81"/>
      <c r="BN964" s="81"/>
      <c r="BO964" s="81"/>
      <c r="BP964" s="81"/>
      <c r="BQ964" s="81"/>
      <c r="BR964" s="81"/>
      <c r="BS964" s="81"/>
      <c r="BT964" s="81"/>
    </row>
    <row r="965" spans="65:72" x14ac:dyDescent="0.25">
      <c r="BM965" s="81"/>
      <c r="BN965" s="81"/>
      <c r="BO965" s="81"/>
      <c r="BP965" s="81"/>
      <c r="BQ965" s="81"/>
      <c r="BR965" s="81"/>
      <c r="BS965" s="81"/>
      <c r="BT965" s="81"/>
    </row>
    <row r="966" spans="65:72" x14ac:dyDescent="0.25">
      <c r="BM966" s="81"/>
      <c r="BN966" s="81"/>
      <c r="BO966" s="81"/>
      <c r="BP966" s="81"/>
      <c r="BQ966" s="81"/>
      <c r="BR966" s="81"/>
      <c r="BS966" s="81"/>
      <c r="BT966" s="81"/>
    </row>
    <row r="967" spans="65:72" x14ac:dyDescent="0.25">
      <c r="BM967" s="81"/>
      <c r="BN967" s="81"/>
      <c r="BO967" s="81"/>
      <c r="BP967" s="81"/>
      <c r="BQ967" s="81"/>
      <c r="BR967" s="81"/>
      <c r="BS967" s="81"/>
      <c r="BT967" s="81"/>
    </row>
    <row r="968" spans="65:72" x14ac:dyDescent="0.25">
      <c r="BM968" s="81"/>
      <c r="BN968" s="81"/>
      <c r="BO968" s="81"/>
      <c r="BP968" s="81"/>
      <c r="BQ968" s="81"/>
      <c r="BR968" s="81"/>
      <c r="BS968" s="81"/>
      <c r="BT968" s="81"/>
    </row>
    <row r="969" spans="65:72" x14ac:dyDescent="0.25">
      <c r="BM969" s="81"/>
      <c r="BN969" s="81"/>
      <c r="BO969" s="81"/>
      <c r="BP969" s="81"/>
      <c r="BQ969" s="81"/>
      <c r="BR969" s="81"/>
      <c r="BS969" s="81"/>
      <c r="BT969" s="81"/>
    </row>
    <row r="970" spans="65:72" x14ac:dyDescent="0.25">
      <c r="BM970" s="81"/>
      <c r="BN970" s="81"/>
      <c r="BO970" s="81"/>
      <c r="BP970" s="81"/>
      <c r="BQ970" s="81"/>
      <c r="BR970" s="81"/>
      <c r="BS970" s="81"/>
      <c r="BT970" s="81"/>
    </row>
    <row r="971" spans="65:72" x14ac:dyDescent="0.25">
      <c r="BM971" s="81"/>
      <c r="BN971" s="81"/>
      <c r="BO971" s="81"/>
      <c r="BP971" s="81"/>
      <c r="BQ971" s="81"/>
      <c r="BR971" s="81"/>
      <c r="BS971" s="81"/>
      <c r="BT971" s="81"/>
    </row>
    <row r="972" spans="65:72" x14ac:dyDescent="0.25">
      <c r="BM972" s="81"/>
      <c r="BN972" s="81"/>
      <c r="BO972" s="81"/>
      <c r="BP972" s="81"/>
      <c r="BQ972" s="81"/>
      <c r="BR972" s="81"/>
      <c r="BS972" s="81"/>
      <c r="BT972" s="81"/>
    </row>
    <row r="973" spans="65:72" x14ac:dyDescent="0.25">
      <c r="BM973" s="81"/>
      <c r="BN973" s="81"/>
      <c r="BO973" s="81"/>
      <c r="BP973" s="81"/>
      <c r="BQ973" s="81"/>
      <c r="BR973" s="81"/>
      <c r="BS973" s="81"/>
      <c r="BT973" s="81"/>
    </row>
    <row r="974" spans="65:72" x14ac:dyDescent="0.25">
      <c r="BM974" s="81"/>
      <c r="BN974" s="81"/>
      <c r="BO974" s="81"/>
      <c r="BP974" s="81"/>
      <c r="BQ974" s="81"/>
      <c r="BR974" s="81"/>
      <c r="BS974" s="81"/>
      <c r="BT974" s="81"/>
    </row>
    <row r="975" spans="65:72" x14ac:dyDescent="0.25">
      <c r="BM975" s="81"/>
      <c r="BN975" s="81"/>
      <c r="BO975" s="81"/>
      <c r="BP975" s="81"/>
      <c r="BQ975" s="81"/>
      <c r="BR975" s="81"/>
      <c r="BS975" s="81"/>
      <c r="BT975" s="81"/>
    </row>
    <row r="976" spans="65:72" x14ac:dyDescent="0.25">
      <c r="BM976" s="81"/>
      <c r="BN976" s="81"/>
      <c r="BO976" s="81"/>
      <c r="BP976" s="81"/>
      <c r="BQ976" s="81"/>
      <c r="BR976" s="81"/>
      <c r="BS976" s="81"/>
      <c r="BT976" s="81"/>
    </row>
    <row r="977" spans="65:72" x14ac:dyDescent="0.25">
      <c r="BM977" s="81"/>
      <c r="BN977" s="81"/>
      <c r="BO977" s="81"/>
      <c r="BP977" s="81"/>
      <c r="BQ977" s="81"/>
      <c r="BR977" s="81"/>
      <c r="BS977" s="81"/>
      <c r="BT977" s="81"/>
    </row>
    <row r="978" spans="65:72" x14ac:dyDescent="0.25">
      <c r="BM978" s="81"/>
      <c r="BN978" s="81"/>
      <c r="BO978" s="81"/>
      <c r="BP978" s="81"/>
      <c r="BQ978" s="81"/>
      <c r="BR978" s="81"/>
      <c r="BS978" s="81"/>
      <c r="BT978" s="81"/>
    </row>
    <row r="979" spans="65:72" x14ac:dyDescent="0.25">
      <c r="BM979" s="81"/>
      <c r="BN979" s="81"/>
      <c r="BO979" s="81"/>
      <c r="BP979" s="81"/>
      <c r="BQ979" s="81"/>
      <c r="BR979" s="81"/>
      <c r="BS979" s="81"/>
      <c r="BT979" s="81"/>
    </row>
    <row r="980" spans="65:72" x14ac:dyDescent="0.25">
      <c r="BM980" s="81"/>
      <c r="BN980" s="81"/>
      <c r="BO980" s="81"/>
      <c r="BP980" s="81"/>
      <c r="BQ980" s="81"/>
      <c r="BR980" s="81"/>
      <c r="BS980" s="81"/>
      <c r="BT980" s="81"/>
    </row>
    <row r="981" spans="65:72" x14ac:dyDescent="0.25">
      <c r="BM981" s="81"/>
      <c r="BN981" s="81"/>
      <c r="BO981" s="81"/>
      <c r="BP981" s="81"/>
      <c r="BQ981" s="81"/>
      <c r="BR981" s="81"/>
      <c r="BS981" s="81"/>
      <c r="BT981" s="81"/>
    </row>
    <row r="982" spans="65:72" x14ac:dyDescent="0.25">
      <c r="BM982" s="81"/>
      <c r="BN982" s="81"/>
      <c r="BO982" s="81"/>
      <c r="BP982" s="81"/>
      <c r="BQ982" s="81"/>
      <c r="BR982" s="81"/>
      <c r="BS982" s="81"/>
      <c r="BT982" s="81"/>
    </row>
    <row r="983" spans="65:72" x14ac:dyDescent="0.25">
      <c r="BM983" s="81"/>
      <c r="BN983" s="81"/>
      <c r="BO983" s="81"/>
      <c r="BP983" s="81"/>
      <c r="BQ983" s="81"/>
      <c r="BR983" s="81"/>
      <c r="BS983" s="81"/>
      <c r="BT983" s="81"/>
    </row>
    <row r="984" spans="65:72" x14ac:dyDescent="0.25">
      <c r="BM984" s="81"/>
      <c r="BN984" s="81"/>
      <c r="BO984" s="81"/>
      <c r="BP984" s="81"/>
      <c r="BQ984" s="81"/>
      <c r="BR984" s="81"/>
      <c r="BS984" s="81"/>
      <c r="BT984" s="81"/>
    </row>
    <row r="985" spans="65:72" x14ac:dyDescent="0.25">
      <c r="BM985" s="81"/>
      <c r="BN985" s="81"/>
      <c r="BO985" s="81"/>
      <c r="BP985" s="81"/>
      <c r="BQ985" s="81"/>
      <c r="BR985" s="81"/>
      <c r="BS985" s="81"/>
      <c r="BT985" s="81"/>
    </row>
    <row r="986" spans="65:72" x14ac:dyDescent="0.25">
      <c r="BM986" s="81"/>
      <c r="BN986" s="81"/>
      <c r="BO986" s="81"/>
      <c r="BP986" s="81"/>
      <c r="BQ986" s="81"/>
      <c r="BR986" s="81"/>
      <c r="BS986" s="81"/>
      <c r="BT986" s="81"/>
    </row>
    <row r="987" spans="65:72" x14ac:dyDescent="0.25">
      <c r="BM987" s="81"/>
      <c r="BN987" s="81"/>
      <c r="BO987" s="81"/>
      <c r="BP987" s="81"/>
      <c r="BQ987" s="81"/>
      <c r="BR987" s="81"/>
      <c r="BS987" s="81"/>
      <c r="BT987" s="81"/>
    </row>
    <row r="988" spans="65:72" x14ac:dyDescent="0.25">
      <c r="BM988" s="81"/>
      <c r="BN988" s="81"/>
      <c r="BO988" s="81"/>
      <c r="BP988" s="81"/>
      <c r="BQ988" s="81"/>
      <c r="BR988" s="81"/>
      <c r="BS988" s="81"/>
      <c r="BT988" s="81"/>
    </row>
    <row r="989" spans="65:72" x14ac:dyDescent="0.25">
      <c r="BM989" s="81"/>
      <c r="BN989" s="81"/>
      <c r="BO989" s="81"/>
      <c r="BP989" s="81"/>
      <c r="BQ989" s="81"/>
      <c r="BR989" s="81"/>
      <c r="BS989" s="81"/>
      <c r="BT989" s="81"/>
    </row>
    <row r="990" spans="65:72" x14ac:dyDescent="0.25">
      <c r="BM990" s="81"/>
      <c r="BN990" s="81"/>
      <c r="BO990" s="81"/>
      <c r="BP990" s="81"/>
      <c r="BQ990" s="81"/>
      <c r="BR990" s="81"/>
      <c r="BS990" s="81"/>
      <c r="BT990" s="81"/>
    </row>
    <row r="991" spans="65:72" x14ac:dyDescent="0.25">
      <c r="BM991" s="81"/>
      <c r="BN991" s="81"/>
      <c r="BO991" s="81"/>
      <c r="BP991" s="81"/>
      <c r="BQ991" s="81"/>
      <c r="BR991" s="81"/>
      <c r="BS991" s="81"/>
      <c r="BT991" s="81"/>
    </row>
    <row r="992" spans="65:72" x14ac:dyDescent="0.25">
      <c r="BM992" s="81"/>
      <c r="BN992" s="81"/>
      <c r="BO992" s="81"/>
      <c r="BP992" s="81"/>
      <c r="BQ992" s="81"/>
      <c r="BR992" s="81"/>
      <c r="BS992" s="81"/>
      <c r="BT992" s="81"/>
    </row>
    <row r="993" spans="65:72" x14ac:dyDescent="0.25">
      <c r="BM993" s="81"/>
      <c r="BN993" s="81"/>
      <c r="BO993" s="81"/>
      <c r="BP993" s="81"/>
      <c r="BQ993" s="81"/>
      <c r="BR993" s="81"/>
      <c r="BS993" s="81"/>
      <c r="BT993" s="81"/>
    </row>
    <row r="994" spans="65:72" x14ac:dyDescent="0.25">
      <c r="BM994" s="81"/>
      <c r="BN994" s="81"/>
      <c r="BO994" s="81"/>
      <c r="BP994" s="81"/>
      <c r="BQ994" s="81"/>
      <c r="BR994" s="81"/>
      <c r="BS994" s="81"/>
      <c r="BT994" s="81"/>
    </row>
    <row r="995" spans="65:72" x14ac:dyDescent="0.25">
      <c r="BM995" s="81"/>
      <c r="BN995" s="81"/>
      <c r="BO995" s="81"/>
      <c r="BP995" s="81"/>
      <c r="BQ995" s="81"/>
      <c r="BR995" s="81"/>
      <c r="BS995" s="81"/>
      <c r="BT995" s="81"/>
    </row>
    <row r="996" spans="65:72" x14ac:dyDescent="0.25">
      <c r="BM996" s="81"/>
      <c r="BN996" s="81"/>
      <c r="BO996" s="81"/>
      <c r="BP996" s="81"/>
      <c r="BQ996" s="81"/>
      <c r="BR996" s="81"/>
      <c r="BS996" s="81"/>
      <c r="BT996" s="81"/>
    </row>
    <row r="997" spans="65:72" x14ac:dyDescent="0.25">
      <c r="BM997" s="81"/>
      <c r="BN997" s="81"/>
      <c r="BO997" s="81"/>
      <c r="BP997" s="81"/>
      <c r="BQ997" s="81"/>
      <c r="BR997" s="81"/>
      <c r="BS997" s="81"/>
      <c r="BT997" s="81"/>
    </row>
    <row r="998" spans="65:72" x14ac:dyDescent="0.25">
      <c r="BM998" s="81"/>
      <c r="BN998" s="81"/>
      <c r="BO998" s="81"/>
      <c r="BP998" s="81"/>
      <c r="BQ998" s="81"/>
      <c r="BR998" s="81"/>
      <c r="BS998" s="81"/>
      <c r="BT998" s="81"/>
    </row>
    <row r="999" spans="65:72" x14ac:dyDescent="0.25">
      <c r="BM999" s="81"/>
      <c r="BN999" s="81"/>
      <c r="BO999" s="81"/>
      <c r="BP999" s="81"/>
      <c r="BQ999" s="81"/>
      <c r="BR999" s="81"/>
      <c r="BS999" s="81"/>
      <c r="BT999" s="81"/>
    </row>
    <row r="1000" spans="65:72" x14ac:dyDescent="0.25">
      <c r="BM1000" s="81"/>
      <c r="BN1000" s="81"/>
      <c r="BO1000" s="81"/>
      <c r="BP1000" s="81"/>
      <c r="BQ1000" s="81"/>
      <c r="BR1000" s="81"/>
      <c r="BS1000" s="81"/>
      <c r="BT1000" s="81"/>
    </row>
    <row r="1001" spans="65:72" x14ac:dyDescent="0.25">
      <c r="BM1001" s="81"/>
      <c r="BN1001" s="81"/>
      <c r="BO1001" s="81"/>
      <c r="BP1001" s="81"/>
      <c r="BQ1001" s="81"/>
      <c r="BR1001" s="81"/>
      <c r="BS1001" s="81"/>
      <c r="BT1001" s="81"/>
    </row>
    <row r="1002" spans="65:72" x14ac:dyDescent="0.25">
      <c r="BM1002" s="81"/>
      <c r="BN1002" s="81"/>
      <c r="BO1002" s="81"/>
      <c r="BP1002" s="81"/>
      <c r="BQ1002" s="81"/>
      <c r="BR1002" s="81"/>
      <c r="BS1002" s="81"/>
      <c r="BT1002" s="81"/>
    </row>
    <row r="1003" spans="65:72" x14ac:dyDescent="0.25">
      <c r="BM1003" s="81"/>
      <c r="BN1003" s="81"/>
      <c r="BO1003" s="81"/>
      <c r="BP1003" s="81"/>
      <c r="BQ1003" s="81"/>
      <c r="BR1003" s="81"/>
      <c r="BS1003" s="81"/>
      <c r="BT1003" s="81"/>
    </row>
    <row r="1004" spans="65:72" x14ac:dyDescent="0.25">
      <c r="BM1004" s="81"/>
      <c r="BN1004" s="81"/>
      <c r="BO1004" s="81"/>
      <c r="BP1004" s="81"/>
      <c r="BQ1004" s="81"/>
      <c r="BR1004" s="81"/>
      <c r="BS1004" s="81"/>
      <c r="BT1004" s="81"/>
    </row>
    <row r="1005" spans="65:72" x14ac:dyDescent="0.25">
      <c r="BM1005" s="81"/>
      <c r="BN1005" s="81"/>
      <c r="BO1005" s="81"/>
      <c r="BP1005" s="81"/>
      <c r="BQ1005" s="81"/>
      <c r="BR1005" s="81"/>
      <c r="BS1005" s="81"/>
      <c r="BT1005" s="81"/>
    </row>
    <row r="1006" spans="65:72" x14ac:dyDescent="0.25">
      <c r="BM1006" s="81"/>
      <c r="BN1006" s="81"/>
      <c r="BO1006" s="81"/>
      <c r="BP1006" s="81"/>
      <c r="BQ1006" s="81"/>
      <c r="BR1006" s="81"/>
      <c r="BS1006" s="81"/>
      <c r="BT1006" s="81"/>
    </row>
    <row r="1007" spans="65:72" x14ac:dyDescent="0.25">
      <c r="BM1007" s="81"/>
      <c r="BN1007" s="81"/>
      <c r="BO1007" s="81"/>
      <c r="BP1007" s="81"/>
      <c r="BQ1007" s="81"/>
      <c r="BR1007" s="81"/>
      <c r="BS1007" s="81"/>
      <c r="BT1007" s="81"/>
    </row>
    <row r="1008" spans="65:72" x14ac:dyDescent="0.25">
      <c r="BM1008" s="81"/>
      <c r="BN1008" s="81"/>
      <c r="BO1008" s="81"/>
      <c r="BP1008" s="81"/>
      <c r="BQ1008" s="81"/>
      <c r="BR1008" s="81"/>
      <c r="BS1008" s="81"/>
      <c r="BT1008" s="81"/>
    </row>
    <row r="1009" spans="65:72" x14ac:dyDescent="0.25">
      <c r="BM1009" s="81"/>
      <c r="BN1009" s="81"/>
      <c r="BO1009" s="81"/>
      <c r="BP1009" s="81"/>
      <c r="BQ1009" s="81"/>
      <c r="BR1009" s="81"/>
      <c r="BS1009" s="81"/>
      <c r="BT1009" s="81"/>
    </row>
    <row r="1010" spans="65:72" x14ac:dyDescent="0.25">
      <c r="BM1010" s="81"/>
      <c r="BN1010" s="81"/>
      <c r="BO1010" s="81"/>
      <c r="BP1010" s="81"/>
      <c r="BQ1010" s="81"/>
      <c r="BR1010" s="81"/>
      <c r="BS1010" s="81"/>
      <c r="BT1010" s="81"/>
    </row>
    <row r="1011" spans="65:72" x14ac:dyDescent="0.25">
      <c r="BM1011" s="81"/>
      <c r="BN1011" s="81"/>
      <c r="BO1011" s="81"/>
      <c r="BP1011" s="81"/>
      <c r="BQ1011" s="81"/>
      <c r="BR1011" s="81"/>
      <c r="BS1011" s="81"/>
      <c r="BT1011" s="81"/>
    </row>
    <row r="1012" spans="65:72" x14ac:dyDescent="0.25">
      <c r="BM1012" s="81"/>
      <c r="BN1012" s="81"/>
      <c r="BO1012" s="81"/>
      <c r="BP1012" s="81"/>
      <c r="BQ1012" s="81"/>
      <c r="BR1012" s="81"/>
      <c r="BS1012" s="81"/>
      <c r="BT1012" s="81"/>
    </row>
    <row r="1013" spans="65:72" x14ac:dyDescent="0.25">
      <c r="BM1013" s="81"/>
      <c r="BN1013" s="81"/>
      <c r="BO1013" s="81"/>
      <c r="BP1013" s="81"/>
      <c r="BQ1013" s="81"/>
      <c r="BR1013" s="81"/>
      <c r="BS1013" s="81"/>
      <c r="BT1013" s="81"/>
    </row>
    <row r="1014" spans="65:72" x14ac:dyDescent="0.25">
      <c r="BM1014" s="81"/>
      <c r="BN1014" s="81"/>
      <c r="BO1014" s="81"/>
      <c r="BP1014" s="81"/>
      <c r="BQ1014" s="81"/>
      <c r="BR1014" s="81"/>
      <c r="BS1014" s="81"/>
      <c r="BT1014" s="81"/>
    </row>
    <row r="1015" spans="65:72" x14ac:dyDescent="0.25">
      <c r="BM1015" s="81"/>
      <c r="BN1015" s="81"/>
      <c r="BO1015" s="81"/>
      <c r="BP1015" s="81"/>
      <c r="BQ1015" s="81"/>
      <c r="BR1015" s="81"/>
      <c r="BS1015" s="81"/>
      <c r="BT1015" s="81"/>
    </row>
    <row r="1016" spans="65:72" x14ac:dyDescent="0.25">
      <c r="BM1016" s="81"/>
      <c r="BN1016" s="81"/>
      <c r="BO1016" s="81"/>
      <c r="BP1016" s="81"/>
      <c r="BQ1016" s="81"/>
      <c r="BR1016" s="81"/>
      <c r="BS1016" s="81"/>
      <c r="BT1016" s="81"/>
    </row>
    <row r="1017" spans="65:72" x14ac:dyDescent="0.25">
      <c r="BM1017" s="81"/>
      <c r="BN1017" s="81"/>
      <c r="BO1017" s="81"/>
      <c r="BP1017" s="81"/>
      <c r="BQ1017" s="81"/>
      <c r="BR1017" s="81"/>
      <c r="BS1017" s="81"/>
      <c r="BT1017" s="81"/>
    </row>
    <row r="1018" spans="65:72" x14ac:dyDescent="0.25">
      <c r="BM1018" s="81"/>
      <c r="BN1018" s="81"/>
      <c r="BO1018" s="81"/>
      <c r="BP1018" s="81"/>
      <c r="BQ1018" s="81"/>
      <c r="BR1018" s="81"/>
      <c r="BS1018" s="81"/>
      <c r="BT1018" s="81"/>
    </row>
    <row r="1019" spans="65:72" x14ac:dyDescent="0.25">
      <c r="BM1019" s="81"/>
      <c r="BN1019" s="81"/>
      <c r="BO1019" s="81"/>
      <c r="BP1019" s="81"/>
      <c r="BQ1019" s="81"/>
      <c r="BR1019" s="81"/>
      <c r="BS1019" s="81"/>
      <c r="BT1019" s="81"/>
    </row>
    <row r="1020" spans="65:72" x14ac:dyDescent="0.25">
      <c r="BM1020" s="81"/>
      <c r="BN1020" s="81"/>
      <c r="BO1020" s="81"/>
      <c r="BP1020" s="81"/>
      <c r="BQ1020" s="81"/>
      <c r="BR1020" s="81"/>
      <c r="BS1020" s="81"/>
      <c r="BT1020" s="81"/>
    </row>
    <row r="1021" spans="65:72" x14ac:dyDescent="0.25">
      <c r="BM1021" s="81"/>
      <c r="BN1021" s="81"/>
      <c r="BO1021" s="81"/>
      <c r="BP1021" s="81"/>
      <c r="BQ1021" s="81"/>
      <c r="BR1021" s="81"/>
      <c r="BS1021" s="81"/>
      <c r="BT1021" s="81"/>
    </row>
    <row r="1022" spans="65:72" x14ac:dyDescent="0.25">
      <c r="BM1022" s="81"/>
      <c r="BN1022" s="81"/>
      <c r="BO1022" s="81"/>
      <c r="BP1022" s="81"/>
      <c r="BQ1022" s="81"/>
      <c r="BR1022" s="81"/>
      <c r="BS1022" s="81"/>
      <c r="BT1022" s="81"/>
    </row>
    <row r="1023" spans="65:72" x14ac:dyDescent="0.25">
      <c r="BM1023" s="81"/>
      <c r="BN1023" s="81"/>
      <c r="BO1023" s="81"/>
      <c r="BP1023" s="81"/>
      <c r="BQ1023" s="81"/>
      <c r="BR1023" s="81"/>
      <c r="BS1023" s="81"/>
      <c r="BT1023" s="81"/>
    </row>
    <row r="1024" spans="65:72" x14ac:dyDescent="0.25">
      <c r="BM1024" s="81"/>
      <c r="BN1024" s="81"/>
      <c r="BO1024" s="81"/>
      <c r="BP1024" s="81"/>
      <c r="BQ1024" s="81"/>
      <c r="BR1024" s="81"/>
      <c r="BS1024" s="81"/>
      <c r="BT1024" s="81"/>
    </row>
    <row r="1025" spans="65:72" x14ac:dyDescent="0.25">
      <c r="BM1025" s="81"/>
      <c r="BN1025" s="81"/>
      <c r="BO1025" s="81"/>
      <c r="BP1025" s="81"/>
      <c r="BQ1025" s="81"/>
      <c r="BR1025" s="81"/>
      <c r="BS1025" s="81"/>
      <c r="BT1025" s="81"/>
    </row>
    <row r="1026" spans="65:72" x14ac:dyDescent="0.25">
      <c r="BM1026" s="81"/>
      <c r="BN1026" s="81"/>
      <c r="BO1026" s="81"/>
      <c r="BP1026" s="81"/>
      <c r="BQ1026" s="81"/>
      <c r="BR1026" s="81"/>
      <c r="BS1026" s="81"/>
      <c r="BT1026" s="81"/>
    </row>
    <row r="1027" spans="65:72" x14ac:dyDescent="0.25">
      <c r="BM1027" s="81"/>
      <c r="BN1027" s="81"/>
      <c r="BO1027" s="81"/>
      <c r="BP1027" s="81"/>
      <c r="BQ1027" s="81"/>
      <c r="BR1027" s="81"/>
      <c r="BS1027" s="81"/>
      <c r="BT1027" s="81"/>
    </row>
    <row r="1028" spans="65:72" x14ac:dyDescent="0.25">
      <c r="BM1028" s="81"/>
      <c r="BN1028" s="81"/>
      <c r="BO1028" s="81"/>
      <c r="BP1028" s="81"/>
      <c r="BQ1028" s="81"/>
      <c r="BR1028" s="81"/>
      <c r="BS1028" s="81"/>
      <c r="BT1028" s="81"/>
    </row>
    <row r="1029" spans="65:72" x14ac:dyDescent="0.25">
      <c r="BM1029" s="81"/>
      <c r="BN1029" s="81"/>
      <c r="BO1029" s="81"/>
      <c r="BP1029" s="81"/>
      <c r="BQ1029" s="81"/>
      <c r="BR1029" s="81"/>
      <c r="BS1029" s="81"/>
      <c r="BT1029" s="81"/>
    </row>
    <row r="1030" spans="65:72" x14ac:dyDescent="0.25">
      <c r="BM1030" s="81"/>
      <c r="BN1030" s="81"/>
      <c r="BO1030" s="81"/>
      <c r="BP1030" s="81"/>
      <c r="BQ1030" s="81"/>
      <c r="BR1030" s="81"/>
      <c r="BS1030" s="81"/>
      <c r="BT1030" s="81"/>
    </row>
    <row r="1031" spans="65:72" x14ac:dyDescent="0.25">
      <c r="BM1031" s="81"/>
      <c r="BN1031" s="81"/>
      <c r="BO1031" s="81"/>
      <c r="BP1031" s="81"/>
      <c r="BQ1031" s="81"/>
      <c r="BR1031" s="81"/>
      <c r="BS1031" s="81"/>
      <c r="BT1031" s="81"/>
    </row>
    <row r="1032" spans="65:72" x14ac:dyDescent="0.25">
      <c r="BM1032" s="81"/>
      <c r="BN1032" s="81"/>
      <c r="BO1032" s="81"/>
      <c r="BP1032" s="81"/>
      <c r="BQ1032" s="81"/>
      <c r="BR1032" s="81"/>
      <c r="BS1032" s="81"/>
      <c r="BT1032" s="81"/>
    </row>
    <row r="1033" spans="65:72" x14ac:dyDescent="0.25">
      <c r="BM1033" s="81"/>
      <c r="BN1033" s="81"/>
      <c r="BO1033" s="81"/>
      <c r="BP1033" s="81"/>
      <c r="BQ1033" s="81"/>
      <c r="BR1033" s="81"/>
      <c r="BS1033" s="81"/>
      <c r="BT1033" s="81"/>
    </row>
    <row r="1034" spans="65:72" x14ac:dyDescent="0.25">
      <c r="BM1034" s="81"/>
      <c r="BN1034" s="81"/>
      <c r="BO1034" s="81"/>
      <c r="BP1034" s="81"/>
      <c r="BQ1034" s="81"/>
      <c r="BR1034" s="81"/>
      <c r="BS1034" s="81"/>
      <c r="BT1034" s="81"/>
    </row>
    <row r="1035" spans="65:72" x14ac:dyDescent="0.25">
      <c r="BM1035" s="81"/>
      <c r="BN1035" s="81"/>
      <c r="BO1035" s="81"/>
      <c r="BP1035" s="81"/>
      <c r="BQ1035" s="81"/>
      <c r="BR1035" s="81"/>
      <c r="BS1035" s="81"/>
      <c r="BT1035" s="81"/>
    </row>
    <row r="1036" spans="65:72" x14ac:dyDescent="0.25">
      <c r="BM1036" s="81"/>
      <c r="BN1036" s="81"/>
      <c r="BO1036" s="81"/>
      <c r="BP1036" s="81"/>
      <c r="BQ1036" s="81"/>
      <c r="BR1036" s="81"/>
      <c r="BS1036" s="81"/>
      <c r="BT1036" s="81"/>
    </row>
    <row r="1037" spans="65:72" x14ac:dyDescent="0.25">
      <c r="BM1037" s="81"/>
      <c r="BN1037" s="81"/>
      <c r="BO1037" s="81"/>
      <c r="BP1037" s="81"/>
      <c r="BQ1037" s="81"/>
      <c r="BR1037" s="81"/>
      <c r="BS1037" s="81"/>
      <c r="BT1037" s="81"/>
    </row>
    <row r="1038" spans="65:72" x14ac:dyDescent="0.25">
      <c r="BM1038" s="81"/>
      <c r="BN1038" s="81"/>
      <c r="BO1038" s="81"/>
      <c r="BP1038" s="81"/>
      <c r="BQ1038" s="81"/>
      <c r="BR1038" s="81"/>
      <c r="BS1038" s="81"/>
      <c r="BT1038" s="81"/>
    </row>
    <row r="1039" spans="65:72" x14ac:dyDescent="0.25">
      <c r="BM1039" s="81"/>
      <c r="BN1039" s="81"/>
      <c r="BO1039" s="81"/>
      <c r="BP1039" s="81"/>
      <c r="BQ1039" s="81"/>
      <c r="BR1039" s="81"/>
      <c r="BS1039" s="81"/>
      <c r="BT1039" s="81"/>
    </row>
    <row r="1040" spans="65:72" x14ac:dyDescent="0.25">
      <c r="BM1040" s="81"/>
      <c r="BN1040" s="81"/>
      <c r="BO1040" s="81"/>
      <c r="BP1040" s="81"/>
      <c r="BQ1040" s="81"/>
      <c r="BR1040" s="81"/>
      <c r="BS1040" s="81"/>
      <c r="BT1040" s="81"/>
    </row>
    <row r="1041" spans="65:72" x14ac:dyDescent="0.25">
      <c r="BM1041" s="81"/>
      <c r="BN1041" s="81"/>
      <c r="BO1041" s="81"/>
      <c r="BP1041" s="81"/>
      <c r="BQ1041" s="81"/>
      <c r="BR1041" s="81"/>
      <c r="BS1041" s="81"/>
      <c r="BT1041" s="81"/>
    </row>
    <row r="1042" spans="65:72" x14ac:dyDescent="0.25">
      <c r="BM1042" s="81"/>
      <c r="BN1042" s="81"/>
      <c r="BO1042" s="81"/>
      <c r="BP1042" s="81"/>
      <c r="BQ1042" s="81"/>
      <c r="BR1042" s="81"/>
      <c r="BS1042" s="81"/>
      <c r="BT1042" s="81"/>
    </row>
    <row r="1043" spans="65:72" x14ac:dyDescent="0.25">
      <c r="BM1043" s="81"/>
      <c r="BN1043" s="81"/>
      <c r="BO1043" s="81"/>
      <c r="BP1043" s="81"/>
      <c r="BQ1043" s="81"/>
      <c r="BR1043" s="81"/>
      <c r="BS1043" s="81"/>
      <c r="BT1043" s="81"/>
    </row>
    <row r="1044" spans="65:72" x14ac:dyDescent="0.25">
      <c r="BM1044" s="81"/>
      <c r="BN1044" s="81"/>
      <c r="BO1044" s="81"/>
      <c r="BP1044" s="81"/>
      <c r="BQ1044" s="81"/>
      <c r="BR1044" s="81"/>
      <c r="BS1044" s="81"/>
      <c r="BT1044" s="81"/>
    </row>
    <row r="1045" spans="65:72" x14ac:dyDescent="0.25">
      <c r="BM1045" s="81"/>
      <c r="BN1045" s="81"/>
      <c r="BO1045" s="81"/>
      <c r="BP1045" s="81"/>
      <c r="BQ1045" s="81"/>
      <c r="BR1045" s="81"/>
      <c r="BS1045" s="81"/>
      <c r="BT1045" s="81"/>
    </row>
    <row r="1046" spans="65:72" x14ac:dyDescent="0.25">
      <c r="BM1046" s="81"/>
      <c r="BN1046" s="81"/>
      <c r="BO1046" s="81"/>
      <c r="BP1046" s="81"/>
      <c r="BQ1046" s="81"/>
      <c r="BR1046" s="81"/>
      <c r="BS1046" s="81"/>
      <c r="BT1046" s="81"/>
    </row>
    <row r="1047" spans="65:72" x14ac:dyDescent="0.25">
      <c r="BM1047" s="81"/>
      <c r="BN1047" s="81"/>
      <c r="BO1047" s="81"/>
      <c r="BP1047" s="81"/>
      <c r="BQ1047" s="81"/>
      <c r="BR1047" s="81"/>
      <c r="BS1047" s="81"/>
      <c r="BT1047" s="81"/>
    </row>
    <row r="1048" spans="65:72" x14ac:dyDescent="0.25">
      <c r="BM1048" s="81"/>
      <c r="BN1048" s="81"/>
      <c r="BO1048" s="81"/>
      <c r="BP1048" s="81"/>
      <c r="BQ1048" s="81"/>
      <c r="BR1048" s="81"/>
      <c r="BS1048" s="81"/>
      <c r="BT1048" s="81"/>
    </row>
    <row r="1049" spans="65:72" x14ac:dyDescent="0.25">
      <c r="BM1049" s="81"/>
      <c r="BN1049" s="81"/>
      <c r="BO1049" s="81"/>
      <c r="BP1049" s="81"/>
      <c r="BQ1049" s="81"/>
      <c r="BR1049" s="81"/>
      <c r="BS1049" s="81"/>
      <c r="BT1049" s="81"/>
    </row>
    <row r="1050" spans="65:72" x14ac:dyDescent="0.25">
      <c r="BM1050" s="81"/>
      <c r="BN1050" s="81"/>
      <c r="BO1050" s="81"/>
      <c r="BP1050" s="81"/>
      <c r="BQ1050" s="81"/>
      <c r="BR1050" s="81"/>
      <c r="BS1050" s="81"/>
      <c r="BT1050" s="81"/>
    </row>
    <row r="1051" spans="65:72" x14ac:dyDescent="0.25">
      <c r="BM1051" s="81"/>
      <c r="BN1051" s="81"/>
      <c r="BO1051" s="81"/>
      <c r="BP1051" s="81"/>
      <c r="BQ1051" s="81"/>
      <c r="BR1051" s="81"/>
      <c r="BS1051" s="81"/>
      <c r="BT1051" s="81"/>
    </row>
    <row r="1052" spans="65:72" x14ac:dyDescent="0.25">
      <c r="BM1052" s="81"/>
      <c r="BN1052" s="81"/>
      <c r="BO1052" s="81"/>
      <c r="BP1052" s="81"/>
      <c r="BQ1052" s="81"/>
      <c r="BR1052" s="81"/>
      <c r="BS1052" s="81"/>
      <c r="BT1052" s="81"/>
    </row>
    <row r="1053" spans="65:72" x14ac:dyDescent="0.25">
      <c r="BM1053" s="81"/>
      <c r="BN1053" s="81"/>
      <c r="BO1053" s="81"/>
      <c r="BP1053" s="81"/>
      <c r="BQ1053" s="81"/>
      <c r="BR1053" s="81"/>
      <c r="BS1053" s="81"/>
      <c r="BT1053" s="81"/>
    </row>
    <row r="1054" spans="65:72" x14ac:dyDescent="0.25">
      <c r="BM1054" s="81"/>
      <c r="BN1054" s="81"/>
      <c r="BO1054" s="81"/>
      <c r="BP1054" s="81"/>
      <c r="BQ1054" s="81"/>
      <c r="BR1054" s="81"/>
      <c r="BS1054" s="81"/>
      <c r="BT1054" s="81"/>
    </row>
    <row r="1055" spans="65:72" x14ac:dyDescent="0.25">
      <c r="BM1055" s="81"/>
      <c r="BN1055" s="81"/>
      <c r="BO1055" s="81"/>
      <c r="BP1055" s="81"/>
      <c r="BQ1055" s="81"/>
      <c r="BR1055" s="81"/>
      <c r="BS1055" s="81"/>
      <c r="BT1055" s="81"/>
    </row>
    <row r="1056" spans="65:72" x14ac:dyDescent="0.25">
      <c r="BM1056" s="81"/>
      <c r="BN1056" s="81"/>
      <c r="BO1056" s="81"/>
      <c r="BP1056" s="81"/>
      <c r="BQ1056" s="81"/>
      <c r="BR1056" s="81"/>
      <c r="BS1056" s="81"/>
      <c r="BT1056" s="81"/>
    </row>
    <row r="1057" spans="65:72" x14ac:dyDescent="0.25">
      <c r="BM1057" s="81"/>
      <c r="BN1057" s="81"/>
      <c r="BO1057" s="81"/>
      <c r="BP1057" s="81"/>
      <c r="BQ1057" s="81"/>
      <c r="BR1057" s="81"/>
      <c r="BS1057" s="81"/>
      <c r="BT1057" s="81"/>
    </row>
    <row r="1058" spans="65:72" x14ac:dyDescent="0.25">
      <c r="BM1058" s="81"/>
      <c r="BN1058" s="81"/>
      <c r="BO1058" s="81"/>
      <c r="BP1058" s="81"/>
      <c r="BQ1058" s="81"/>
      <c r="BR1058" s="81"/>
      <c r="BS1058" s="81"/>
      <c r="BT1058" s="81"/>
    </row>
    <row r="1059" spans="65:72" x14ac:dyDescent="0.25">
      <c r="BM1059" s="81"/>
      <c r="BN1059" s="81"/>
      <c r="BO1059" s="81"/>
      <c r="BP1059" s="81"/>
      <c r="BQ1059" s="81"/>
      <c r="BR1059" s="81"/>
      <c r="BS1059" s="81"/>
      <c r="BT1059" s="81"/>
    </row>
    <row r="1060" spans="65:72" x14ac:dyDescent="0.25">
      <c r="BM1060" s="81"/>
      <c r="BN1060" s="81"/>
      <c r="BO1060" s="81"/>
      <c r="BP1060" s="81"/>
      <c r="BQ1060" s="81"/>
      <c r="BR1060" s="81"/>
      <c r="BS1060" s="81"/>
      <c r="BT1060" s="81"/>
    </row>
    <row r="1061" spans="65:72" x14ac:dyDescent="0.25">
      <c r="BM1061" s="81"/>
      <c r="BN1061" s="81"/>
      <c r="BO1061" s="81"/>
      <c r="BP1061" s="81"/>
      <c r="BQ1061" s="81"/>
      <c r="BR1061" s="81"/>
      <c r="BS1061" s="81"/>
      <c r="BT1061" s="81"/>
    </row>
    <row r="1062" spans="65:72" x14ac:dyDescent="0.25">
      <c r="BM1062" s="81"/>
      <c r="BN1062" s="81"/>
      <c r="BO1062" s="81"/>
      <c r="BP1062" s="81"/>
      <c r="BQ1062" s="81"/>
      <c r="BR1062" s="81"/>
      <c r="BS1062" s="81"/>
      <c r="BT1062" s="81"/>
    </row>
    <row r="1063" spans="65:72" x14ac:dyDescent="0.25">
      <c r="BM1063" s="81"/>
      <c r="BN1063" s="81"/>
      <c r="BO1063" s="81"/>
      <c r="BP1063" s="81"/>
      <c r="BQ1063" s="81"/>
      <c r="BR1063" s="81"/>
      <c r="BS1063" s="81"/>
      <c r="BT1063" s="81"/>
    </row>
    <row r="1064" spans="65:72" x14ac:dyDescent="0.25">
      <c r="BM1064" s="81"/>
      <c r="BN1064" s="81"/>
      <c r="BO1064" s="81"/>
      <c r="BP1064" s="81"/>
      <c r="BQ1064" s="81"/>
      <c r="BR1064" s="81"/>
      <c r="BS1064" s="81"/>
      <c r="BT1064" s="81"/>
    </row>
    <row r="1065" spans="65:72" x14ac:dyDescent="0.25">
      <c r="BM1065" s="81"/>
      <c r="BN1065" s="81"/>
      <c r="BO1065" s="81"/>
      <c r="BP1065" s="81"/>
      <c r="BQ1065" s="81"/>
      <c r="BR1065" s="81"/>
      <c r="BS1065" s="81"/>
      <c r="BT1065" s="81"/>
    </row>
    <row r="1066" spans="65:72" x14ac:dyDescent="0.25">
      <c r="BM1066" s="81"/>
      <c r="BN1066" s="81"/>
      <c r="BO1066" s="81"/>
      <c r="BP1066" s="81"/>
      <c r="BQ1066" s="81"/>
      <c r="BR1066" s="81"/>
      <c r="BS1066" s="81"/>
      <c r="BT1066" s="81"/>
    </row>
    <row r="1067" spans="65:72" x14ac:dyDescent="0.25">
      <c r="BM1067" s="81"/>
      <c r="BN1067" s="81"/>
      <c r="BO1067" s="81"/>
      <c r="BP1067" s="81"/>
      <c r="BQ1067" s="81"/>
      <c r="BR1067" s="81"/>
      <c r="BS1067" s="81"/>
      <c r="BT1067" s="81"/>
    </row>
    <row r="1068" spans="65:72" x14ac:dyDescent="0.25">
      <c r="BM1068" s="81"/>
      <c r="BN1068" s="81"/>
      <c r="BO1068" s="81"/>
      <c r="BP1068" s="81"/>
      <c r="BQ1068" s="81"/>
      <c r="BR1068" s="81"/>
      <c r="BS1068" s="81"/>
      <c r="BT1068" s="81"/>
    </row>
    <row r="1069" spans="65:72" x14ac:dyDescent="0.25">
      <c r="BM1069" s="81"/>
      <c r="BN1069" s="81"/>
      <c r="BO1069" s="81"/>
      <c r="BP1069" s="81"/>
      <c r="BQ1069" s="81"/>
      <c r="BR1069" s="81"/>
      <c r="BS1069" s="81"/>
      <c r="BT1069" s="81"/>
    </row>
    <row r="1070" spans="65:72" x14ac:dyDescent="0.25">
      <c r="BM1070" s="81"/>
      <c r="BN1070" s="81"/>
      <c r="BO1070" s="81"/>
      <c r="BP1070" s="81"/>
      <c r="BQ1070" s="81"/>
      <c r="BR1070" s="81"/>
      <c r="BS1070" s="81"/>
      <c r="BT1070" s="81"/>
    </row>
    <row r="1071" spans="65:72" x14ac:dyDescent="0.25">
      <c r="BM1071" s="81"/>
      <c r="BN1071" s="81"/>
      <c r="BO1071" s="81"/>
      <c r="BP1071" s="81"/>
      <c r="BQ1071" s="81"/>
      <c r="BR1071" s="81"/>
      <c r="BS1071" s="81"/>
      <c r="BT1071" s="81"/>
    </row>
    <row r="1072" spans="65:72" x14ac:dyDescent="0.25">
      <c r="BM1072" s="81"/>
      <c r="BN1072" s="81"/>
      <c r="BO1072" s="81"/>
      <c r="BP1072" s="81"/>
      <c r="BQ1072" s="81"/>
      <c r="BR1072" s="81"/>
      <c r="BS1072" s="81"/>
      <c r="BT1072" s="81"/>
    </row>
    <row r="1073" spans="65:72" x14ac:dyDescent="0.25">
      <c r="BM1073" s="81"/>
      <c r="BN1073" s="81"/>
      <c r="BO1073" s="81"/>
      <c r="BP1073" s="81"/>
      <c r="BQ1073" s="81"/>
      <c r="BR1073" s="81"/>
      <c r="BS1073" s="81"/>
      <c r="BT1073" s="81"/>
    </row>
    <row r="1074" spans="65:72" x14ac:dyDescent="0.25">
      <c r="BM1074" s="81"/>
      <c r="BN1074" s="81"/>
      <c r="BO1074" s="81"/>
      <c r="BP1074" s="81"/>
      <c r="BQ1074" s="81"/>
      <c r="BR1074" s="81"/>
      <c r="BS1074" s="81"/>
      <c r="BT1074" s="81"/>
    </row>
    <row r="1075" spans="65:72" x14ac:dyDescent="0.25">
      <c r="BM1075" s="81"/>
      <c r="BN1075" s="81"/>
      <c r="BO1075" s="81"/>
      <c r="BP1075" s="81"/>
      <c r="BQ1075" s="81"/>
      <c r="BR1075" s="81"/>
      <c r="BS1075" s="81"/>
      <c r="BT1075" s="81"/>
    </row>
    <row r="1076" spans="65:72" x14ac:dyDescent="0.25">
      <c r="BM1076" s="81"/>
      <c r="BN1076" s="81"/>
      <c r="BO1076" s="81"/>
      <c r="BP1076" s="81"/>
      <c r="BQ1076" s="81"/>
      <c r="BR1076" s="81"/>
      <c r="BS1076" s="81"/>
      <c r="BT1076" s="81"/>
    </row>
    <row r="1077" spans="65:72" x14ac:dyDescent="0.25">
      <c r="BM1077" s="81"/>
      <c r="BN1077" s="81"/>
      <c r="BO1077" s="81"/>
      <c r="BP1077" s="81"/>
      <c r="BQ1077" s="81"/>
      <c r="BR1077" s="81"/>
      <c r="BS1077" s="81"/>
      <c r="BT1077" s="81"/>
    </row>
    <row r="1078" spans="65:72" x14ac:dyDescent="0.25">
      <c r="BM1078" s="81"/>
      <c r="BN1078" s="81"/>
      <c r="BO1078" s="81"/>
      <c r="BP1078" s="81"/>
      <c r="BQ1078" s="81"/>
      <c r="BR1078" s="81"/>
      <c r="BS1078" s="81"/>
      <c r="BT1078" s="81"/>
    </row>
    <row r="1079" spans="65:72" x14ac:dyDescent="0.25">
      <c r="BM1079" s="81"/>
      <c r="BN1079" s="81"/>
      <c r="BO1079" s="81"/>
      <c r="BP1079" s="81"/>
      <c r="BQ1079" s="81"/>
      <c r="BR1079" s="81"/>
      <c r="BS1079" s="81"/>
      <c r="BT1079" s="81"/>
    </row>
    <row r="1080" spans="65:72" x14ac:dyDescent="0.25">
      <c r="BM1080" s="81"/>
      <c r="BN1080" s="81"/>
      <c r="BO1080" s="81"/>
      <c r="BP1080" s="81"/>
      <c r="BQ1080" s="81"/>
      <c r="BR1080" s="81"/>
      <c r="BS1080" s="81"/>
      <c r="BT1080" s="81"/>
    </row>
    <row r="1081" spans="65:72" x14ac:dyDescent="0.25">
      <c r="BM1081" s="81"/>
      <c r="BN1081" s="81"/>
      <c r="BO1081" s="81"/>
      <c r="BP1081" s="81"/>
      <c r="BQ1081" s="81"/>
      <c r="BR1081" s="81"/>
      <c r="BS1081" s="81"/>
      <c r="BT1081" s="81"/>
    </row>
    <row r="1082" spans="65:72" x14ac:dyDescent="0.25">
      <c r="BM1082" s="81"/>
      <c r="BN1082" s="81"/>
      <c r="BO1082" s="81"/>
      <c r="BP1082" s="81"/>
      <c r="BQ1082" s="81"/>
      <c r="BR1082" s="81"/>
      <c r="BS1082" s="81"/>
      <c r="BT1082" s="81"/>
    </row>
    <row r="1083" spans="65:72" x14ac:dyDescent="0.25">
      <c r="BM1083" s="81"/>
      <c r="BN1083" s="81"/>
      <c r="BO1083" s="81"/>
      <c r="BP1083" s="81"/>
      <c r="BQ1083" s="81"/>
      <c r="BR1083" s="81"/>
      <c r="BS1083" s="81"/>
      <c r="BT1083" s="81"/>
    </row>
    <row r="1084" spans="65:72" x14ac:dyDescent="0.25">
      <c r="BM1084" s="81"/>
      <c r="BN1084" s="81"/>
      <c r="BO1084" s="81"/>
      <c r="BP1084" s="81"/>
      <c r="BQ1084" s="81"/>
      <c r="BR1084" s="81"/>
      <c r="BS1084" s="81"/>
      <c r="BT1084" s="81"/>
    </row>
    <row r="1085" spans="65:72" x14ac:dyDescent="0.25">
      <c r="BM1085" s="81"/>
      <c r="BN1085" s="81"/>
      <c r="BO1085" s="81"/>
      <c r="BP1085" s="81"/>
      <c r="BQ1085" s="81"/>
      <c r="BR1085" s="81"/>
      <c r="BS1085" s="81"/>
      <c r="BT1085" s="81"/>
    </row>
    <row r="1086" spans="65:72" x14ac:dyDescent="0.25">
      <c r="BM1086" s="81"/>
      <c r="BN1086" s="81"/>
      <c r="BO1086" s="81"/>
      <c r="BP1086" s="81"/>
      <c r="BQ1086" s="81"/>
      <c r="BR1086" s="81"/>
      <c r="BS1086" s="81"/>
      <c r="BT1086" s="81"/>
    </row>
    <row r="1087" spans="65:72" x14ac:dyDescent="0.25">
      <c r="BM1087" s="81"/>
      <c r="BN1087" s="81"/>
      <c r="BO1087" s="81"/>
      <c r="BP1087" s="81"/>
      <c r="BQ1087" s="81"/>
      <c r="BR1087" s="81"/>
      <c r="BS1087" s="81"/>
      <c r="BT1087" s="81"/>
    </row>
    <row r="1088" spans="65:72" x14ac:dyDescent="0.25">
      <c r="BM1088" s="81"/>
      <c r="BN1088" s="81"/>
      <c r="BO1088" s="81"/>
      <c r="BP1088" s="81"/>
      <c r="BQ1088" s="81"/>
      <c r="BR1088" s="81"/>
      <c r="BS1088" s="81"/>
      <c r="BT1088" s="81"/>
    </row>
    <row r="1089" spans="65:72" x14ac:dyDescent="0.25">
      <c r="BM1089" s="81"/>
      <c r="BN1089" s="81"/>
      <c r="BO1089" s="81"/>
      <c r="BP1089" s="81"/>
      <c r="BQ1089" s="81"/>
      <c r="BR1089" s="81"/>
      <c r="BS1089" s="81"/>
      <c r="BT1089" s="81"/>
    </row>
    <row r="1090" spans="65:72" x14ac:dyDescent="0.25">
      <c r="BM1090" s="81"/>
      <c r="BN1090" s="81"/>
      <c r="BO1090" s="81"/>
      <c r="BP1090" s="81"/>
      <c r="BQ1090" s="81"/>
      <c r="BR1090" s="81"/>
      <c r="BS1090" s="81"/>
      <c r="BT1090" s="81"/>
    </row>
    <row r="1091" spans="65:72" x14ac:dyDescent="0.25">
      <c r="BM1091" s="81"/>
      <c r="BN1091" s="81"/>
      <c r="BO1091" s="81"/>
      <c r="BP1091" s="81"/>
      <c r="BQ1091" s="81"/>
      <c r="BR1091" s="81"/>
      <c r="BS1091" s="81"/>
      <c r="BT1091" s="81"/>
    </row>
    <row r="1092" spans="65:72" x14ac:dyDescent="0.25">
      <c r="BM1092" s="81"/>
      <c r="BN1092" s="81"/>
      <c r="BO1092" s="81"/>
      <c r="BP1092" s="81"/>
      <c r="BQ1092" s="81"/>
      <c r="BR1092" s="81"/>
      <c r="BS1092" s="81"/>
      <c r="BT1092" s="81"/>
    </row>
    <row r="1093" spans="65:72" x14ac:dyDescent="0.25">
      <c r="BM1093" s="81"/>
      <c r="BN1093" s="81"/>
      <c r="BO1093" s="81"/>
      <c r="BP1093" s="81"/>
      <c r="BQ1093" s="81"/>
      <c r="BR1093" s="81"/>
      <c r="BS1093" s="81"/>
      <c r="BT1093" s="81"/>
    </row>
    <row r="1094" spans="65:72" x14ac:dyDescent="0.25">
      <c r="BM1094" s="81"/>
      <c r="BN1094" s="81"/>
      <c r="BO1094" s="81"/>
      <c r="BP1094" s="81"/>
      <c r="BQ1094" s="81"/>
      <c r="BR1094" s="81"/>
      <c r="BS1094" s="81"/>
      <c r="BT1094" s="81"/>
    </row>
    <row r="1095" spans="65:72" x14ac:dyDescent="0.25">
      <c r="BM1095" s="81"/>
      <c r="BN1095" s="81"/>
      <c r="BO1095" s="81"/>
      <c r="BP1095" s="81"/>
      <c r="BQ1095" s="81"/>
      <c r="BR1095" s="81"/>
      <c r="BS1095" s="81"/>
      <c r="BT1095" s="81"/>
    </row>
    <row r="1096" spans="65:72" x14ac:dyDescent="0.25">
      <c r="BM1096" s="81"/>
      <c r="BN1096" s="81"/>
      <c r="BO1096" s="81"/>
      <c r="BP1096" s="81"/>
      <c r="BQ1096" s="81"/>
      <c r="BR1096" s="81"/>
      <c r="BS1096" s="81"/>
      <c r="BT1096" s="81"/>
    </row>
    <row r="1097" spans="65:72" x14ac:dyDescent="0.25">
      <c r="BM1097" s="81"/>
      <c r="BN1097" s="81"/>
      <c r="BO1097" s="81"/>
      <c r="BP1097" s="81"/>
      <c r="BQ1097" s="81"/>
      <c r="BR1097" s="81"/>
      <c r="BS1097" s="81"/>
      <c r="BT1097" s="81"/>
    </row>
    <row r="1098" spans="65:72" x14ac:dyDescent="0.25">
      <c r="BM1098" s="81"/>
      <c r="BN1098" s="81"/>
      <c r="BO1098" s="81"/>
      <c r="BP1098" s="81"/>
      <c r="BQ1098" s="81"/>
      <c r="BR1098" s="81"/>
      <c r="BS1098" s="81"/>
      <c r="BT1098" s="81"/>
    </row>
    <row r="1099" spans="65:72" x14ac:dyDescent="0.25">
      <c r="BM1099" s="81"/>
      <c r="BN1099" s="81"/>
      <c r="BO1099" s="81"/>
      <c r="BP1099" s="81"/>
      <c r="BQ1099" s="81"/>
      <c r="BR1099" s="81"/>
      <c r="BS1099" s="81"/>
      <c r="BT1099" s="81"/>
    </row>
    <row r="1100" spans="65:72" x14ac:dyDescent="0.25">
      <c r="BM1100" s="81"/>
      <c r="BN1100" s="81"/>
      <c r="BO1100" s="81"/>
      <c r="BP1100" s="81"/>
      <c r="BQ1100" s="81"/>
      <c r="BR1100" s="81"/>
      <c r="BS1100" s="81"/>
      <c r="BT1100" s="81"/>
    </row>
    <row r="1101" spans="65:72" x14ac:dyDescent="0.25">
      <c r="BM1101" s="81"/>
      <c r="BN1101" s="81"/>
      <c r="BO1101" s="81"/>
      <c r="BP1101" s="81"/>
      <c r="BQ1101" s="81"/>
      <c r="BR1101" s="81"/>
      <c r="BS1101" s="81"/>
      <c r="BT1101" s="81"/>
    </row>
    <row r="1102" spans="65:72" x14ac:dyDescent="0.25">
      <c r="BM1102" s="81"/>
      <c r="BN1102" s="81"/>
      <c r="BO1102" s="81"/>
      <c r="BP1102" s="81"/>
      <c r="BQ1102" s="81"/>
      <c r="BR1102" s="81"/>
      <c r="BS1102" s="81"/>
      <c r="BT1102" s="81"/>
    </row>
    <row r="1103" spans="65:72" x14ac:dyDescent="0.25">
      <c r="BM1103" s="81"/>
      <c r="BN1103" s="81"/>
      <c r="BO1103" s="81"/>
      <c r="BP1103" s="81"/>
      <c r="BQ1103" s="81"/>
      <c r="BR1103" s="81"/>
      <c r="BS1103" s="81"/>
      <c r="BT1103" s="81"/>
    </row>
    <row r="1104" spans="65:72" x14ac:dyDescent="0.25">
      <c r="BM1104" s="81"/>
      <c r="BN1104" s="81"/>
      <c r="BO1104" s="81"/>
      <c r="BP1104" s="81"/>
      <c r="BQ1104" s="81"/>
      <c r="BR1104" s="81"/>
      <c r="BS1104" s="81"/>
      <c r="BT1104" s="81"/>
    </row>
    <row r="1105" spans="65:72" x14ac:dyDescent="0.25">
      <c r="BM1105" s="81"/>
      <c r="BN1105" s="81"/>
      <c r="BO1105" s="81"/>
      <c r="BP1105" s="81"/>
      <c r="BQ1105" s="81"/>
      <c r="BR1105" s="81"/>
      <c r="BS1105" s="81"/>
      <c r="BT1105" s="81"/>
    </row>
    <row r="1106" spans="65:72" x14ac:dyDescent="0.25">
      <c r="BM1106" s="81"/>
      <c r="BN1106" s="81"/>
      <c r="BO1106" s="81"/>
      <c r="BP1106" s="81"/>
      <c r="BQ1106" s="81"/>
      <c r="BR1106" s="81"/>
      <c r="BS1106" s="81"/>
      <c r="BT1106" s="81"/>
    </row>
    <row r="1107" spans="65:72" x14ac:dyDescent="0.25">
      <c r="BM1107" s="81"/>
      <c r="BN1107" s="81"/>
      <c r="BO1107" s="81"/>
      <c r="BP1107" s="81"/>
      <c r="BQ1107" s="81"/>
      <c r="BR1107" s="81"/>
      <c r="BS1107" s="81"/>
      <c r="BT1107" s="81"/>
    </row>
    <row r="1108" spans="65:72" x14ac:dyDescent="0.25">
      <c r="BM1108" s="81"/>
      <c r="BN1108" s="81"/>
      <c r="BO1108" s="81"/>
      <c r="BP1108" s="81"/>
      <c r="BQ1108" s="81"/>
      <c r="BR1108" s="81"/>
      <c r="BS1108" s="81"/>
      <c r="BT1108" s="81"/>
    </row>
    <row r="1109" spans="65:72" x14ac:dyDescent="0.25">
      <c r="BM1109" s="81"/>
      <c r="BN1109" s="81"/>
      <c r="BO1109" s="81"/>
      <c r="BP1109" s="81"/>
      <c r="BQ1109" s="81"/>
      <c r="BR1109" s="81"/>
      <c r="BS1109" s="81"/>
      <c r="BT1109" s="81"/>
    </row>
    <row r="1110" spans="65:72" x14ac:dyDescent="0.25">
      <c r="BM1110" s="81"/>
      <c r="BN1110" s="81"/>
      <c r="BO1110" s="81"/>
      <c r="BP1110" s="81"/>
      <c r="BQ1110" s="81"/>
      <c r="BR1110" s="81"/>
      <c r="BS1110" s="81"/>
      <c r="BT1110" s="81"/>
    </row>
    <row r="1111" spans="65:72" x14ac:dyDescent="0.25">
      <c r="BM1111" s="81"/>
      <c r="BN1111" s="81"/>
      <c r="BO1111" s="81"/>
      <c r="BP1111" s="81"/>
      <c r="BQ1111" s="81"/>
      <c r="BR1111" s="81"/>
      <c r="BS1111" s="81"/>
      <c r="BT1111" s="81"/>
    </row>
    <row r="1112" spans="65:72" x14ac:dyDescent="0.25">
      <c r="BM1112" s="81"/>
      <c r="BN1112" s="81"/>
      <c r="BO1112" s="81"/>
      <c r="BP1112" s="81"/>
      <c r="BQ1112" s="81"/>
      <c r="BR1112" s="81"/>
      <c r="BS1112" s="81"/>
      <c r="BT1112" s="81"/>
    </row>
    <row r="1113" spans="65:72" x14ac:dyDescent="0.25">
      <c r="BM1113" s="81"/>
      <c r="BN1113" s="81"/>
      <c r="BO1113" s="81"/>
      <c r="BP1113" s="81"/>
      <c r="BQ1113" s="81"/>
      <c r="BR1113" s="81"/>
      <c r="BS1113" s="81"/>
      <c r="BT1113" s="81"/>
    </row>
    <row r="1114" spans="65:72" x14ac:dyDescent="0.25">
      <c r="BM1114" s="81"/>
      <c r="BN1114" s="81"/>
      <c r="BO1114" s="81"/>
      <c r="BP1114" s="81"/>
      <c r="BQ1114" s="81"/>
      <c r="BR1114" s="81"/>
      <c r="BS1114" s="81"/>
      <c r="BT1114" s="81"/>
    </row>
    <row r="1115" spans="65:72" x14ac:dyDescent="0.25">
      <c r="BM1115" s="81"/>
      <c r="BN1115" s="81"/>
      <c r="BO1115" s="81"/>
      <c r="BP1115" s="81"/>
      <c r="BQ1115" s="81"/>
      <c r="BR1115" s="81"/>
      <c r="BS1115" s="81"/>
      <c r="BT1115" s="81"/>
    </row>
    <row r="1116" spans="65:72" x14ac:dyDescent="0.25">
      <c r="BM1116" s="81"/>
      <c r="BN1116" s="81"/>
      <c r="BO1116" s="81"/>
      <c r="BP1116" s="81"/>
      <c r="BQ1116" s="81"/>
      <c r="BR1116" s="81"/>
      <c r="BS1116" s="81"/>
      <c r="BT1116" s="81"/>
    </row>
    <row r="1117" spans="65:72" x14ac:dyDescent="0.25">
      <c r="BM1117" s="81"/>
      <c r="BN1117" s="81"/>
      <c r="BO1117" s="81"/>
      <c r="BP1117" s="81"/>
      <c r="BQ1117" s="81"/>
      <c r="BR1117" s="81"/>
      <c r="BS1117" s="81"/>
      <c r="BT1117" s="81"/>
    </row>
    <row r="1118" spans="65:72" x14ac:dyDescent="0.25">
      <c r="BM1118" s="81"/>
      <c r="BN1118" s="81"/>
      <c r="BO1118" s="81"/>
      <c r="BP1118" s="81"/>
      <c r="BQ1118" s="81"/>
      <c r="BR1118" s="81"/>
      <c r="BS1118" s="81"/>
      <c r="BT1118" s="81"/>
    </row>
    <row r="1119" spans="65:72" x14ac:dyDescent="0.25">
      <c r="BM1119" s="81"/>
      <c r="BN1119" s="81"/>
      <c r="BO1119" s="81"/>
      <c r="BP1119" s="81"/>
      <c r="BQ1119" s="81"/>
      <c r="BR1119" s="81"/>
      <c r="BS1119" s="81"/>
      <c r="BT1119" s="81"/>
    </row>
    <row r="1120" spans="65:72" x14ac:dyDescent="0.25">
      <c r="BM1120" s="81"/>
      <c r="BN1120" s="81"/>
      <c r="BO1120" s="81"/>
      <c r="BP1120" s="81"/>
      <c r="BQ1120" s="81"/>
      <c r="BR1120" s="81"/>
      <c r="BS1120" s="81"/>
      <c r="BT1120" s="81"/>
    </row>
    <row r="1121" spans="65:72" x14ac:dyDescent="0.25">
      <c r="BM1121" s="81"/>
      <c r="BN1121" s="81"/>
      <c r="BO1121" s="81"/>
      <c r="BP1121" s="81"/>
      <c r="BQ1121" s="81"/>
      <c r="BR1121" s="81"/>
      <c r="BS1121" s="81"/>
      <c r="BT1121" s="81"/>
    </row>
    <row r="1122" spans="65:72" x14ac:dyDescent="0.25">
      <c r="BM1122" s="81"/>
      <c r="BN1122" s="81"/>
      <c r="BO1122" s="81"/>
      <c r="BP1122" s="81"/>
      <c r="BQ1122" s="81"/>
      <c r="BR1122" s="81"/>
      <c r="BS1122" s="81"/>
      <c r="BT1122" s="81"/>
    </row>
    <row r="1123" spans="65:72" x14ac:dyDescent="0.25">
      <c r="BM1123" s="81"/>
      <c r="BN1123" s="81"/>
      <c r="BO1123" s="81"/>
      <c r="BP1123" s="81"/>
      <c r="BQ1123" s="81"/>
      <c r="BR1123" s="81"/>
      <c r="BS1123" s="81"/>
      <c r="BT1123" s="81"/>
    </row>
    <row r="1124" spans="65:72" x14ac:dyDescent="0.25">
      <c r="BM1124" s="81"/>
      <c r="BN1124" s="81"/>
      <c r="BO1124" s="81"/>
      <c r="BP1124" s="81"/>
      <c r="BQ1124" s="81"/>
      <c r="BR1124" s="81"/>
      <c r="BS1124" s="81"/>
      <c r="BT1124" s="81"/>
    </row>
    <row r="1125" spans="65:72" x14ac:dyDescent="0.25">
      <c r="BM1125" s="81"/>
      <c r="BN1125" s="81"/>
      <c r="BO1125" s="81"/>
      <c r="BP1125" s="81"/>
      <c r="BQ1125" s="81"/>
      <c r="BR1125" s="81"/>
      <c r="BS1125" s="81"/>
      <c r="BT1125" s="81"/>
    </row>
    <row r="1126" spans="65:72" x14ac:dyDescent="0.25">
      <c r="BM1126" s="81"/>
      <c r="BN1126" s="81"/>
      <c r="BO1126" s="81"/>
      <c r="BP1126" s="81"/>
      <c r="BQ1126" s="81"/>
      <c r="BR1126" s="81"/>
      <c r="BS1126" s="81"/>
      <c r="BT1126" s="81"/>
    </row>
    <row r="1127" spans="65:72" x14ac:dyDescent="0.25">
      <c r="BM1127" s="81"/>
      <c r="BN1127" s="81"/>
      <c r="BO1127" s="81"/>
      <c r="BP1127" s="81"/>
      <c r="BQ1127" s="81"/>
      <c r="BR1127" s="81"/>
      <c r="BS1127" s="81"/>
      <c r="BT1127" s="81"/>
    </row>
    <row r="1128" spans="65:72" x14ac:dyDescent="0.25">
      <c r="BM1128" s="81"/>
      <c r="BN1128" s="81"/>
      <c r="BO1128" s="81"/>
      <c r="BP1128" s="81"/>
      <c r="BQ1128" s="81"/>
      <c r="BR1128" s="81"/>
      <c r="BS1128" s="81"/>
      <c r="BT1128" s="81"/>
    </row>
    <row r="1129" spans="65:72" x14ac:dyDescent="0.25">
      <c r="BM1129" s="81"/>
      <c r="BN1129" s="81"/>
      <c r="BO1129" s="81"/>
      <c r="BP1129" s="81"/>
      <c r="BQ1129" s="81"/>
      <c r="BR1129" s="81"/>
      <c r="BS1129" s="81"/>
      <c r="BT1129" s="81"/>
    </row>
    <row r="1130" spans="65:72" x14ac:dyDescent="0.25">
      <c r="BM1130" s="81"/>
      <c r="BN1130" s="81"/>
      <c r="BO1130" s="81"/>
      <c r="BP1130" s="81"/>
      <c r="BQ1130" s="81"/>
      <c r="BR1130" s="81"/>
      <c r="BS1130" s="81"/>
      <c r="BT1130" s="81"/>
    </row>
    <row r="1131" spans="65:72" x14ac:dyDescent="0.25">
      <c r="BM1131" s="81"/>
      <c r="BN1131" s="81"/>
      <c r="BO1131" s="81"/>
      <c r="BP1131" s="81"/>
      <c r="BQ1131" s="81"/>
      <c r="BR1131" s="81"/>
      <c r="BS1131" s="81"/>
      <c r="BT1131" s="81"/>
    </row>
    <row r="1132" spans="65:72" x14ac:dyDescent="0.25">
      <c r="BM1132" s="81"/>
      <c r="BN1132" s="81"/>
      <c r="BO1132" s="81"/>
      <c r="BP1132" s="81"/>
      <c r="BQ1132" s="81"/>
      <c r="BR1132" s="81"/>
      <c r="BS1132" s="81"/>
      <c r="BT1132" s="81"/>
    </row>
    <row r="1133" spans="65:72" x14ac:dyDescent="0.25">
      <c r="BM1133" s="81"/>
      <c r="BN1133" s="81"/>
      <c r="BO1133" s="81"/>
      <c r="BP1133" s="81"/>
      <c r="BQ1133" s="81"/>
      <c r="BR1133" s="81"/>
      <c r="BS1133" s="81"/>
      <c r="BT1133" s="81"/>
    </row>
    <row r="1134" spans="65:72" x14ac:dyDescent="0.25">
      <c r="BM1134" s="81"/>
      <c r="BN1134" s="81"/>
      <c r="BO1134" s="81"/>
      <c r="BP1134" s="81"/>
      <c r="BQ1134" s="81"/>
      <c r="BR1134" s="81"/>
      <c r="BS1134" s="81"/>
      <c r="BT1134" s="81"/>
    </row>
    <row r="1135" spans="65:72" x14ac:dyDescent="0.25">
      <c r="BM1135" s="81"/>
      <c r="BN1135" s="81"/>
      <c r="BO1135" s="81"/>
      <c r="BP1135" s="81"/>
      <c r="BQ1135" s="81"/>
      <c r="BR1135" s="81"/>
      <c r="BS1135" s="81"/>
      <c r="BT1135" s="81"/>
    </row>
    <row r="1136" spans="65:72" x14ac:dyDescent="0.25">
      <c r="BM1136" s="81"/>
      <c r="BN1136" s="81"/>
      <c r="BO1136" s="81"/>
      <c r="BP1136" s="81"/>
      <c r="BQ1136" s="81"/>
      <c r="BR1136" s="81"/>
      <c r="BS1136" s="81"/>
      <c r="BT1136" s="81"/>
    </row>
    <row r="1137" spans="65:72" x14ac:dyDescent="0.25">
      <c r="BM1137" s="81"/>
      <c r="BN1137" s="81"/>
      <c r="BO1137" s="81"/>
      <c r="BP1137" s="81"/>
      <c r="BQ1137" s="81"/>
      <c r="BR1137" s="81"/>
      <c r="BS1137" s="81"/>
      <c r="BT1137" s="81"/>
    </row>
    <row r="1138" spans="65:72" x14ac:dyDescent="0.25">
      <c r="BM1138" s="81"/>
      <c r="BN1138" s="81"/>
      <c r="BO1138" s="81"/>
      <c r="BP1138" s="81"/>
      <c r="BQ1138" s="81"/>
      <c r="BR1138" s="81"/>
      <c r="BS1138" s="81"/>
      <c r="BT1138" s="81"/>
    </row>
    <row r="1139" spans="65:72" x14ac:dyDescent="0.25">
      <c r="BM1139" s="81"/>
      <c r="BN1139" s="81"/>
      <c r="BO1139" s="81"/>
      <c r="BP1139" s="81"/>
      <c r="BQ1139" s="81"/>
      <c r="BR1139" s="81"/>
      <c r="BS1139" s="81"/>
      <c r="BT1139" s="81"/>
    </row>
    <row r="1140" spans="65:72" x14ac:dyDescent="0.25">
      <c r="BM1140" s="81"/>
      <c r="BN1140" s="81"/>
      <c r="BO1140" s="81"/>
      <c r="BP1140" s="81"/>
      <c r="BQ1140" s="81"/>
      <c r="BR1140" s="81"/>
      <c r="BS1140" s="81"/>
      <c r="BT1140" s="81"/>
    </row>
    <row r="1141" spans="65:72" x14ac:dyDescent="0.25">
      <c r="BM1141" s="81"/>
      <c r="BN1141" s="81"/>
      <c r="BO1141" s="81"/>
      <c r="BP1141" s="81"/>
      <c r="BQ1141" s="81"/>
      <c r="BR1141" s="81"/>
      <c r="BS1141" s="81"/>
      <c r="BT1141" s="81"/>
    </row>
    <row r="1142" spans="65:72" x14ac:dyDescent="0.25">
      <c r="BM1142" s="81"/>
      <c r="BN1142" s="81"/>
      <c r="BO1142" s="81"/>
      <c r="BP1142" s="81"/>
      <c r="BQ1142" s="81"/>
      <c r="BR1142" s="81"/>
      <c r="BS1142" s="81"/>
      <c r="BT1142" s="81"/>
    </row>
    <row r="1143" spans="65:72" x14ac:dyDescent="0.25">
      <c r="BM1143" s="81"/>
      <c r="BN1143" s="81"/>
      <c r="BO1143" s="81"/>
      <c r="BP1143" s="81"/>
      <c r="BQ1143" s="81"/>
      <c r="BR1143" s="81"/>
      <c r="BS1143" s="81"/>
      <c r="BT1143" s="81"/>
    </row>
    <row r="1144" spans="65:72" x14ac:dyDescent="0.25">
      <c r="BM1144" s="81"/>
      <c r="BN1144" s="81"/>
      <c r="BO1144" s="81"/>
      <c r="BP1144" s="81"/>
      <c r="BQ1144" s="81"/>
      <c r="BR1144" s="81"/>
      <c r="BS1144" s="81"/>
      <c r="BT1144" s="81"/>
    </row>
    <row r="1145" spans="65:72" x14ac:dyDescent="0.25">
      <c r="BM1145" s="81"/>
      <c r="BN1145" s="81"/>
      <c r="BO1145" s="81"/>
      <c r="BP1145" s="81"/>
      <c r="BQ1145" s="81"/>
      <c r="BR1145" s="81"/>
      <c r="BS1145" s="81"/>
      <c r="BT1145" s="81"/>
    </row>
    <row r="1146" spans="65:72" x14ac:dyDescent="0.25">
      <c r="BM1146" s="81"/>
      <c r="BN1146" s="81"/>
      <c r="BO1146" s="81"/>
      <c r="BP1146" s="81"/>
      <c r="BQ1146" s="81"/>
      <c r="BR1146" s="81"/>
      <c r="BS1146" s="81"/>
      <c r="BT1146" s="81"/>
    </row>
    <row r="1147" spans="65:72" x14ac:dyDescent="0.25">
      <c r="BM1147" s="81"/>
      <c r="BN1147" s="81"/>
      <c r="BO1147" s="81"/>
      <c r="BP1147" s="81"/>
      <c r="BQ1147" s="81"/>
      <c r="BR1147" s="81"/>
      <c r="BS1147" s="81"/>
      <c r="BT1147" s="81"/>
    </row>
    <row r="1148" spans="65:72" x14ac:dyDescent="0.25">
      <c r="BM1148" s="81"/>
      <c r="BN1148" s="81"/>
      <c r="BO1148" s="81"/>
      <c r="BP1148" s="81"/>
      <c r="BQ1148" s="81"/>
      <c r="BR1148" s="81"/>
      <c r="BS1148" s="81"/>
      <c r="BT1148" s="81"/>
    </row>
    <row r="1149" spans="65:72" x14ac:dyDescent="0.25">
      <c r="BM1149" s="81"/>
      <c r="BN1149" s="81"/>
      <c r="BO1149" s="81"/>
      <c r="BP1149" s="81"/>
      <c r="BQ1149" s="81"/>
      <c r="BR1149" s="81"/>
      <c r="BS1149" s="81"/>
      <c r="BT1149" s="81"/>
    </row>
    <row r="1150" spans="65:72" x14ac:dyDescent="0.25">
      <c r="BM1150" s="81"/>
      <c r="BN1150" s="81"/>
      <c r="BO1150" s="81"/>
      <c r="BP1150" s="81"/>
      <c r="BQ1150" s="81"/>
      <c r="BR1150" s="81"/>
      <c r="BS1150" s="81"/>
      <c r="BT1150" s="81"/>
    </row>
    <row r="1151" spans="65:72" x14ac:dyDescent="0.25">
      <c r="BM1151" s="81"/>
      <c r="BN1151" s="81"/>
      <c r="BO1151" s="81"/>
      <c r="BP1151" s="81"/>
      <c r="BQ1151" s="81"/>
      <c r="BR1151" s="81"/>
      <c r="BS1151" s="81"/>
      <c r="BT1151" s="81"/>
    </row>
    <row r="1152" spans="65:72" x14ac:dyDescent="0.25">
      <c r="BM1152" s="81"/>
      <c r="BN1152" s="81"/>
      <c r="BO1152" s="81"/>
      <c r="BP1152" s="81"/>
      <c r="BQ1152" s="81"/>
      <c r="BR1152" s="81"/>
      <c r="BS1152" s="81"/>
      <c r="BT1152" s="81"/>
    </row>
    <row r="1153" spans="65:72" x14ac:dyDescent="0.25">
      <c r="BM1153" s="81"/>
      <c r="BN1153" s="81"/>
      <c r="BO1153" s="81"/>
      <c r="BP1153" s="81"/>
      <c r="BQ1153" s="81"/>
      <c r="BR1153" s="81"/>
      <c r="BS1153" s="81"/>
      <c r="BT1153" s="81"/>
    </row>
    <row r="1154" spans="65:72" x14ac:dyDescent="0.25">
      <c r="BM1154" s="81"/>
      <c r="BN1154" s="81"/>
      <c r="BO1154" s="81"/>
      <c r="BP1154" s="81"/>
      <c r="BQ1154" s="81"/>
      <c r="BR1154" s="81"/>
      <c r="BS1154" s="81"/>
      <c r="BT1154" s="81"/>
    </row>
    <row r="1155" spans="65:72" x14ac:dyDescent="0.25">
      <c r="BM1155" s="81"/>
      <c r="BN1155" s="81"/>
      <c r="BO1155" s="81"/>
      <c r="BP1155" s="81"/>
      <c r="BQ1155" s="81"/>
      <c r="BR1155" s="81"/>
      <c r="BS1155" s="81"/>
      <c r="BT1155" s="81"/>
    </row>
    <row r="1156" spans="65:72" x14ac:dyDescent="0.25">
      <c r="BM1156" s="81"/>
      <c r="BN1156" s="81"/>
      <c r="BO1156" s="81"/>
      <c r="BP1156" s="81"/>
      <c r="BQ1156" s="81"/>
      <c r="BR1156" s="81"/>
      <c r="BS1156" s="81"/>
      <c r="BT1156" s="81"/>
    </row>
    <row r="1157" spans="65:72" x14ac:dyDescent="0.25">
      <c r="BM1157" s="81"/>
      <c r="BN1157" s="81"/>
      <c r="BO1157" s="81"/>
      <c r="BP1157" s="81"/>
      <c r="BQ1157" s="81"/>
      <c r="BR1157" s="81"/>
      <c r="BS1157" s="81"/>
      <c r="BT1157" s="81"/>
    </row>
    <row r="1158" spans="65:72" x14ac:dyDescent="0.25">
      <c r="BM1158" s="81"/>
      <c r="BN1158" s="81"/>
      <c r="BO1158" s="81"/>
      <c r="BP1158" s="81"/>
      <c r="BQ1158" s="81"/>
      <c r="BR1158" s="81"/>
      <c r="BS1158" s="81"/>
      <c r="BT1158" s="81"/>
    </row>
    <row r="1159" spans="65:72" x14ac:dyDescent="0.25">
      <c r="BM1159" s="81"/>
      <c r="BN1159" s="81"/>
      <c r="BO1159" s="81"/>
      <c r="BP1159" s="81"/>
      <c r="BQ1159" s="81"/>
      <c r="BR1159" s="81"/>
      <c r="BS1159" s="81"/>
      <c r="BT1159" s="81"/>
    </row>
    <row r="1160" spans="65:72" x14ac:dyDescent="0.25">
      <c r="BM1160" s="81"/>
      <c r="BN1160" s="81"/>
      <c r="BO1160" s="81"/>
      <c r="BP1160" s="81"/>
      <c r="BQ1160" s="81"/>
      <c r="BR1160" s="81"/>
      <c r="BS1160" s="81"/>
      <c r="BT1160" s="81"/>
    </row>
    <row r="1161" spans="65:72" x14ac:dyDescent="0.25">
      <c r="BM1161" s="81"/>
      <c r="BN1161" s="81"/>
      <c r="BO1161" s="81"/>
      <c r="BP1161" s="81"/>
      <c r="BQ1161" s="81"/>
      <c r="BR1161" s="81"/>
      <c r="BS1161" s="81"/>
      <c r="BT1161" s="81"/>
    </row>
    <row r="1162" spans="65:72" x14ac:dyDescent="0.25">
      <c r="BM1162" s="81"/>
      <c r="BN1162" s="81"/>
      <c r="BO1162" s="81"/>
      <c r="BP1162" s="81"/>
      <c r="BQ1162" s="81"/>
      <c r="BR1162" s="81"/>
      <c r="BS1162" s="81"/>
      <c r="BT1162" s="81"/>
    </row>
    <row r="1163" spans="65:72" x14ac:dyDescent="0.25">
      <c r="BM1163" s="81"/>
      <c r="BN1163" s="81"/>
      <c r="BO1163" s="81"/>
      <c r="BP1163" s="81"/>
      <c r="BQ1163" s="81"/>
      <c r="BR1163" s="81"/>
      <c r="BS1163" s="81"/>
      <c r="BT1163" s="81"/>
    </row>
    <row r="1164" spans="65:72" x14ac:dyDescent="0.25">
      <c r="BM1164" s="81"/>
      <c r="BN1164" s="81"/>
      <c r="BO1164" s="81"/>
      <c r="BP1164" s="81"/>
      <c r="BQ1164" s="81"/>
      <c r="BR1164" s="81"/>
      <c r="BS1164" s="81"/>
      <c r="BT1164" s="81"/>
    </row>
    <row r="1165" spans="65:72" x14ac:dyDescent="0.25">
      <c r="BM1165" s="81"/>
      <c r="BN1165" s="81"/>
      <c r="BO1165" s="81"/>
      <c r="BP1165" s="81"/>
      <c r="BQ1165" s="81"/>
      <c r="BR1165" s="81"/>
      <c r="BS1165" s="81"/>
      <c r="BT1165" s="81"/>
    </row>
    <row r="1166" spans="65:72" x14ac:dyDescent="0.25">
      <c r="BM1166" s="81"/>
      <c r="BN1166" s="81"/>
      <c r="BO1166" s="81"/>
      <c r="BP1166" s="81"/>
      <c r="BQ1166" s="81"/>
      <c r="BR1166" s="81"/>
      <c r="BS1166" s="81"/>
      <c r="BT1166" s="81"/>
    </row>
    <row r="1167" spans="65:72" x14ac:dyDescent="0.25">
      <c r="BM1167" s="81"/>
      <c r="BN1167" s="81"/>
      <c r="BO1167" s="81"/>
      <c r="BP1167" s="81"/>
      <c r="BQ1167" s="81"/>
      <c r="BR1167" s="81"/>
      <c r="BS1167" s="81"/>
      <c r="BT1167" s="81"/>
    </row>
    <row r="1168" spans="65:72" x14ac:dyDescent="0.25">
      <c r="BM1168" s="81"/>
      <c r="BN1168" s="81"/>
      <c r="BO1168" s="81"/>
      <c r="BP1168" s="81"/>
      <c r="BQ1168" s="81"/>
      <c r="BR1168" s="81"/>
      <c r="BS1168" s="81"/>
      <c r="BT1168" s="81"/>
    </row>
    <row r="1169" spans="65:72" x14ac:dyDescent="0.25">
      <c r="BM1169" s="81"/>
      <c r="BN1169" s="81"/>
      <c r="BO1169" s="81"/>
      <c r="BP1169" s="81"/>
      <c r="BQ1169" s="81"/>
      <c r="BR1169" s="81"/>
      <c r="BS1169" s="81"/>
      <c r="BT1169" s="81"/>
    </row>
    <row r="1170" spans="65:72" x14ac:dyDescent="0.25">
      <c r="BM1170" s="81"/>
      <c r="BN1170" s="81"/>
      <c r="BO1170" s="81"/>
      <c r="BP1170" s="81"/>
      <c r="BQ1170" s="81"/>
      <c r="BR1170" s="81"/>
      <c r="BS1170" s="81"/>
      <c r="BT1170" s="81"/>
    </row>
    <row r="1171" spans="65:72" x14ac:dyDescent="0.25">
      <c r="BM1171" s="81"/>
      <c r="BN1171" s="81"/>
      <c r="BO1171" s="81"/>
      <c r="BP1171" s="81"/>
      <c r="BQ1171" s="81"/>
      <c r="BR1171" s="81"/>
      <c r="BS1171" s="81"/>
      <c r="BT1171" s="81"/>
    </row>
    <row r="1172" spans="65:72" x14ac:dyDescent="0.25">
      <c r="BM1172" s="81"/>
      <c r="BN1172" s="81"/>
      <c r="BO1172" s="81"/>
      <c r="BP1172" s="81"/>
      <c r="BQ1172" s="81"/>
      <c r="BR1172" s="81"/>
      <c r="BS1172" s="81"/>
      <c r="BT1172" s="81"/>
    </row>
    <row r="1173" spans="65:72" x14ac:dyDescent="0.25">
      <c r="BM1173" s="81"/>
      <c r="BN1173" s="81"/>
      <c r="BO1173" s="81"/>
      <c r="BP1173" s="81"/>
      <c r="BQ1173" s="81"/>
      <c r="BR1173" s="81"/>
      <c r="BS1173" s="81"/>
      <c r="BT1173" s="81"/>
    </row>
    <row r="1174" spans="65:72" x14ac:dyDescent="0.25">
      <c r="BM1174" s="81"/>
      <c r="BN1174" s="81"/>
      <c r="BO1174" s="81"/>
      <c r="BP1174" s="81"/>
      <c r="BQ1174" s="81"/>
      <c r="BR1174" s="81"/>
      <c r="BS1174" s="81"/>
      <c r="BT1174" s="81"/>
    </row>
    <row r="1175" spans="65:72" x14ac:dyDescent="0.25">
      <c r="BM1175" s="81"/>
      <c r="BN1175" s="81"/>
      <c r="BO1175" s="81"/>
      <c r="BP1175" s="81"/>
      <c r="BQ1175" s="81"/>
      <c r="BR1175" s="81"/>
      <c r="BS1175" s="81"/>
      <c r="BT1175" s="81"/>
    </row>
    <row r="1176" spans="65:72" x14ac:dyDescent="0.25">
      <c r="BM1176" s="81"/>
      <c r="BN1176" s="81"/>
      <c r="BO1176" s="81"/>
      <c r="BP1176" s="81"/>
      <c r="BQ1176" s="81"/>
      <c r="BR1176" s="81"/>
      <c r="BS1176" s="81"/>
      <c r="BT1176" s="81"/>
    </row>
    <row r="1177" spans="65:72" x14ac:dyDescent="0.25">
      <c r="BM1177" s="81"/>
      <c r="BN1177" s="81"/>
      <c r="BO1177" s="81"/>
      <c r="BP1177" s="81"/>
      <c r="BQ1177" s="81"/>
      <c r="BR1177" s="81"/>
      <c r="BS1177" s="81"/>
      <c r="BT1177" s="81"/>
    </row>
    <row r="1178" spans="65:72" x14ac:dyDescent="0.25">
      <c r="BM1178" s="81"/>
      <c r="BN1178" s="81"/>
      <c r="BO1178" s="81"/>
      <c r="BP1178" s="81"/>
      <c r="BQ1178" s="81"/>
      <c r="BR1178" s="81"/>
      <c r="BS1178" s="81"/>
      <c r="BT1178" s="81"/>
    </row>
    <row r="1179" spans="65:72" x14ac:dyDescent="0.25">
      <c r="BM1179" s="81"/>
      <c r="BN1179" s="81"/>
      <c r="BO1179" s="81"/>
      <c r="BP1179" s="81"/>
      <c r="BQ1179" s="81"/>
      <c r="BR1179" s="81"/>
      <c r="BS1179" s="81"/>
      <c r="BT1179" s="81"/>
    </row>
    <row r="1180" spans="65:72" x14ac:dyDescent="0.25">
      <c r="BM1180" s="81"/>
      <c r="BN1180" s="81"/>
      <c r="BO1180" s="81"/>
      <c r="BP1180" s="81"/>
      <c r="BQ1180" s="81"/>
      <c r="BR1180" s="81"/>
      <c r="BS1180" s="81"/>
      <c r="BT1180" s="81"/>
    </row>
    <row r="1181" spans="65:72" x14ac:dyDescent="0.25">
      <c r="BM1181" s="81"/>
      <c r="BN1181" s="81"/>
      <c r="BO1181" s="81"/>
      <c r="BP1181" s="81"/>
      <c r="BQ1181" s="81"/>
      <c r="BR1181" s="81"/>
      <c r="BS1181" s="81"/>
      <c r="BT1181" s="81"/>
    </row>
    <row r="1182" spans="65:72" x14ac:dyDescent="0.25">
      <c r="BM1182" s="81"/>
      <c r="BN1182" s="81"/>
      <c r="BO1182" s="81"/>
      <c r="BP1182" s="81"/>
      <c r="BQ1182" s="81"/>
      <c r="BR1182" s="81"/>
      <c r="BS1182" s="81"/>
      <c r="BT1182" s="81"/>
    </row>
    <row r="1183" spans="65:72" x14ac:dyDescent="0.25">
      <c r="BM1183" s="81"/>
      <c r="BN1183" s="81"/>
      <c r="BO1183" s="81"/>
      <c r="BP1183" s="81"/>
      <c r="BQ1183" s="81"/>
      <c r="BR1183" s="81"/>
      <c r="BS1183" s="81"/>
      <c r="BT1183" s="81"/>
    </row>
    <row r="1184" spans="65:72" x14ac:dyDescent="0.25">
      <c r="BM1184" s="81"/>
      <c r="BN1184" s="81"/>
      <c r="BO1184" s="81"/>
      <c r="BP1184" s="81"/>
      <c r="BQ1184" s="81"/>
      <c r="BR1184" s="81"/>
      <c r="BS1184" s="81"/>
      <c r="BT1184" s="81"/>
    </row>
    <row r="1185" spans="65:72" x14ac:dyDescent="0.25">
      <c r="BM1185" s="81"/>
      <c r="BN1185" s="81"/>
      <c r="BO1185" s="81"/>
      <c r="BP1185" s="81"/>
      <c r="BQ1185" s="81"/>
      <c r="BR1185" s="81"/>
      <c r="BS1185" s="81"/>
      <c r="BT1185" s="81"/>
    </row>
    <row r="1186" spans="65:72" x14ac:dyDescent="0.25">
      <c r="BM1186" s="81"/>
      <c r="BN1186" s="81"/>
      <c r="BO1186" s="81"/>
      <c r="BP1186" s="81"/>
      <c r="BQ1186" s="81"/>
      <c r="BR1186" s="81"/>
      <c r="BS1186" s="81"/>
      <c r="BT1186" s="81"/>
    </row>
    <row r="1187" spans="65:72" x14ac:dyDescent="0.25">
      <c r="BM1187" s="81"/>
      <c r="BN1187" s="81"/>
      <c r="BO1187" s="81"/>
      <c r="BP1187" s="81"/>
      <c r="BQ1187" s="81"/>
      <c r="BR1187" s="81"/>
      <c r="BS1187" s="81"/>
      <c r="BT1187" s="81"/>
    </row>
    <row r="1188" spans="65:72" x14ac:dyDescent="0.25">
      <c r="BM1188" s="81"/>
      <c r="BN1188" s="81"/>
      <c r="BO1188" s="81"/>
      <c r="BP1188" s="81"/>
      <c r="BQ1188" s="81"/>
      <c r="BR1188" s="81"/>
      <c r="BS1188" s="81"/>
      <c r="BT1188" s="81"/>
    </row>
    <row r="1189" spans="65:72" x14ac:dyDescent="0.25">
      <c r="BM1189" s="81"/>
      <c r="BN1189" s="81"/>
      <c r="BO1189" s="81"/>
      <c r="BP1189" s="81"/>
      <c r="BQ1189" s="81"/>
      <c r="BR1189" s="81"/>
      <c r="BS1189" s="81"/>
      <c r="BT1189" s="81"/>
    </row>
    <row r="1190" spans="65:72" x14ac:dyDescent="0.25">
      <c r="BM1190" s="81"/>
      <c r="BN1190" s="81"/>
      <c r="BO1190" s="81"/>
      <c r="BP1190" s="81"/>
      <c r="BQ1190" s="81"/>
      <c r="BR1190" s="81"/>
      <c r="BS1190" s="81"/>
      <c r="BT1190" s="81"/>
    </row>
    <row r="1191" spans="65:72" x14ac:dyDescent="0.25">
      <c r="BM1191" s="81"/>
      <c r="BN1191" s="81"/>
      <c r="BO1191" s="81"/>
      <c r="BP1191" s="81"/>
      <c r="BQ1191" s="81"/>
      <c r="BR1191" s="81"/>
      <c r="BS1191" s="81"/>
      <c r="BT1191" s="81"/>
    </row>
    <row r="1192" spans="65:72" x14ac:dyDescent="0.25">
      <c r="BM1192" s="81"/>
      <c r="BN1192" s="81"/>
      <c r="BO1192" s="81"/>
      <c r="BP1192" s="81"/>
      <c r="BQ1192" s="81"/>
      <c r="BR1192" s="81"/>
      <c r="BS1192" s="81"/>
      <c r="BT1192" s="81"/>
    </row>
    <row r="1193" spans="65:72" x14ac:dyDescent="0.25">
      <c r="BM1193" s="81"/>
      <c r="BN1193" s="81"/>
      <c r="BO1193" s="81"/>
      <c r="BP1193" s="81"/>
      <c r="BQ1193" s="81"/>
      <c r="BR1193" s="81"/>
      <c r="BS1193" s="81"/>
      <c r="BT1193" s="81"/>
    </row>
    <row r="1194" spans="65:72" x14ac:dyDescent="0.25">
      <c r="BM1194" s="81"/>
      <c r="BN1194" s="81"/>
      <c r="BO1194" s="81"/>
      <c r="BP1194" s="81"/>
      <c r="BQ1194" s="81"/>
      <c r="BR1194" s="81"/>
      <c r="BS1194" s="81"/>
      <c r="BT1194" s="81"/>
    </row>
    <row r="1195" spans="65:72" x14ac:dyDescent="0.25">
      <c r="BM1195" s="81"/>
      <c r="BN1195" s="81"/>
      <c r="BO1195" s="81"/>
      <c r="BP1195" s="81"/>
      <c r="BQ1195" s="81"/>
      <c r="BR1195" s="81"/>
      <c r="BS1195" s="81"/>
      <c r="BT1195" s="81"/>
    </row>
    <row r="1196" spans="65:72" x14ac:dyDescent="0.25">
      <c r="BM1196" s="81"/>
      <c r="BN1196" s="81"/>
      <c r="BO1196" s="81"/>
      <c r="BP1196" s="81"/>
      <c r="BQ1196" s="81"/>
      <c r="BR1196" s="81"/>
      <c r="BS1196" s="81"/>
      <c r="BT1196" s="81"/>
    </row>
    <row r="1197" spans="65:72" x14ac:dyDescent="0.25">
      <c r="BM1197" s="81"/>
      <c r="BN1197" s="81"/>
      <c r="BO1197" s="81"/>
      <c r="BP1197" s="81"/>
      <c r="BQ1197" s="81"/>
      <c r="BR1197" s="81"/>
      <c r="BS1197" s="81"/>
      <c r="BT1197" s="81"/>
    </row>
    <row r="1198" spans="65:72" x14ac:dyDescent="0.25">
      <c r="BM1198" s="81"/>
      <c r="BN1198" s="81"/>
      <c r="BO1198" s="81"/>
      <c r="BP1198" s="81"/>
      <c r="BQ1198" s="81"/>
      <c r="BR1198" s="81"/>
      <c r="BS1198" s="81"/>
      <c r="BT1198" s="81"/>
    </row>
    <row r="1199" spans="65:72" x14ac:dyDescent="0.25">
      <c r="BM1199" s="81"/>
      <c r="BN1199" s="81"/>
      <c r="BO1199" s="81"/>
      <c r="BP1199" s="81"/>
      <c r="BQ1199" s="81"/>
      <c r="BR1199" s="81"/>
      <c r="BS1199" s="81"/>
      <c r="BT1199" s="81"/>
    </row>
    <row r="1200" spans="65:72" x14ac:dyDescent="0.25">
      <c r="BM1200" s="81"/>
      <c r="BN1200" s="81"/>
      <c r="BO1200" s="81"/>
      <c r="BP1200" s="81"/>
      <c r="BQ1200" s="81"/>
      <c r="BR1200" s="81"/>
      <c r="BS1200" s="81"/>
      <c r="BT1200" s="81"/>
    </row>
    <row r="1201" spans="65:72" x14ac:dyDescent="0.25">
      <c r="BM1201" s="81"/>
      <c r="BN1201" s="81"/>
      <c r="BO1201" s="81"/>
      <c r="BP1201" s="81"/>
      <c r="BQ1201" s="81"/>
      <c r="BR1201" s="81"/>
      <c r="BS1201" s="81"/>
      <c r="BT1201" s="81"/>
    </row>
    <row r="1202" spans="65:72" x14ac:dyDescent="0.25">
      <c r="BM1202" s="81"/>
      <c r="BN1202" s="81"/>
      <c r="BO1202" s="81"/>
      <c r="BP1202" s="81"/>
      <c r="BQ1202" s="81"/>
      <c r="BR1202" s="81"/>
      <c r="BS1202" s="81"/>
      <c r="BT1202" s="81"/>
    </row>
    <row r="1203" spans="65:72" x14ac:dyDescent="0.25">
      <c r="BM1203" s="81"/>
      <c r="BN1203" s="81"/>
      <c r="BO1203" s="81"/>
      <c r="BP1203" s="81"/>
      <c r="BQ1203" s="81"/>
      <c r="BR1203" s="81"/>
      <c r="BS1203" s="81"/>
      <c r="BT1203" s="81"/>
    </row>
    <row r="1204" spans="65:72" x14ac:dyDescent="0.25">
      <c r="BM1204" s="81"/>
      <c r="BN1204" s="81"/>
      <c r="BO1204" s="81"/>
      <c r="BP1204" s="81"/>
      <c r="BQ1204" s="81"/>
      <c r="BR1204" s="81"/>
      <c r="BS1204" s="81"/>
      <c r="BT1204" s="81"/>
    </row>
    <row r="1205" spans="65:72" x14ac:dyDescent="0.25">
      <c r="BM1205" s="81"/>
      <c r="BN1205" s="81"/>
      <c r="BO1205" s="81"/>
      <c r="BP1205" s="81"/>
      <c r="BQ1205" s="81"/>
      <c r="BR1205" s="81"/>
      <c r="BS1205" s="81"/>
      <c r="BT1205" s="81"/>
    </row>
    <row r="1206" spans="65:72" x14ac:dyDescent="0.25">
      <c r="BM1206" s="81"/>
      <c r="BN1206" s="81"/>
      <c r="BO1206" s="81"/>
      <c r="BP1206" s="81"/>
      <c r="BQ1206" s="81"/>
      <c r="BR1206" s="81"/>
      <c r="BS1206" s="81"/>
      <c r="BT1206" s="81"/>
    </row>
    <row r="1207" spans="65:72" x14ac:dyDescent="0.25">
      <c r="BM1207" s="81"/>
      <c r="BN1207" s="81"/>
      <c r="BO1207" s="81"/>
      <c r="BP1207" s="81"/>
      <c r="BQ1207" s="81"/>
      <c r="BR1207" s="81"/>
      <c r="BS1207" s="81"/>
      <c r="BT1207" s="81"/>
    </row>
    <row r="1208" spans="65:72" x14ac:dyDescent="0.25">
      <c r="BM1208" s="81"/>
      <c r="BN1208" s="81"/>
      <c r="BO1208" s="81"/>
      <c r="BP1208" s="81"/>
      <c r="BQ1208" s="81"/>
      <c r="BR1208" s="81"/>
      <c r="BS1208" s="81"/>
      <c r="BT1208" s="81"/>
    </row>
    <row r="1209" spans="65:72" x14ac:dyDescent="0.25">
      <c r="BM1209" s="81"/>
      <c r="BN1209" s="81"/>
      <c r="BO1209" s="81"/>
      <c r="BP1209" s="81"/>
      <c r="BQ1209" s="81"/>
      <c r="BR1209" s="81"/>
      <c r="BS1209" s="81"/>
      <c r="BT1209" s="81"/>
    </row>
    <row r="1210" spans="65:72" x14ac:dyDescent="0.25">
      <c r="BM1210" s="81"/>
      <c r="BN1210" s="81"/>
      <c r="BO1210" s="81"/>
      <c r="BP1210" s="81"/>
      <c r="BQ1210" s="81"/>
      <c r="BR1210" s="81"/>
      <c r="BS1210" s="81"/>
      <c r="BT1210" s="81"/>
    </row>
    <row r="1211" spans="65:72" x14ac:dyDescent="0.25">
      <c r="BM1211" s="81"/>
      <c r="BN1211" s="81"/>
      <c r="BO1211" s="81"/>
      <c r="BP1211" s="81"/>
      <c r="BQ1211" s="81"/>
      <c r="BR1211" s="81"/>
      <c r="BS1211" s="81"/>
      <c r="BT1211" s="81"/>
    </row>
    <row r="1212" spans="65:72" x14ac:dyDescent="0.25">
      <c r="BM1212" s="81"/>
      <c r="BN1212" s="81"/>
      <c r="BO1212" s="81"/>
      <c r="BP1212" s="81"/>
      <c r="BQ1212" s="81"/>
      <c r="BR1212" s="81"/>
      <c r="BS1212" s="81"/>
      <c r="BT1212" s="81"/>
    </row>
    <row r="1213" spans="65:72" x14ac:dyDescent="0.25">
      <c r="BM1213" s="81"/>
      <c r="BN1213" s="81"/>
      <c r="BO1213" s="81"/>
      <c r="BP1213" s="81"/>
      <c r="BQ1213" s="81"/>
      <c r="BR1213" s="81"/>
      <c r="BS1213" s="81"/>
      <c r="BT1213" s="81"/>
    </row>
    <row r="1214" spans="65:72" x14ac:dyDescent="0.25">
      <c r="BM1214" s="81"/>
      <c r="BN1214" s="81"/>
      <c r="BO1214" s="81"/>
      <c r="BP1214" s="81"/>
      <c r="BQ1214" s="81"/>
      <c r="BR1214" s="81"/>
      <c r="BS1214" s="81"/>
      <c r="BT1214" s="81"/>
    </row>
    <row r="1215" spans="65:72" x14ac:dyDescent="0.25">
      <c r="BM1215" s="81"/>
      <c r="BN1215" s="81"/>
      <c r="BO1215" s="81"/>
      <c r="BP1215" s="81"/>
      <c r="BQ1215" s="81"/>
      <c r="BR1215" s="81"/>
      <c r="BS1215" s="81"/>
      <c r="BT1215" s="81"/>
    </row>
    <row r="1216" spans="65:72" x14ac:dyDescent="0.25">
      <c r="BM1216" s="81"/>
      <c r="BN1216" s="81"/>
      <c r="BO1216" s="81"/>
      <c r="BP1216" s="81"/>
      <c r="BQ1216" s="81"/>
      <c r="BR1216" s="81"/>
      <c r="BS1216" s="81"/>
      <c r="BT1216" s="81"/>
    </row>
    <row r="1217" spans="65:72" x14ac:dyDescent="0.25">
      <c r="BM1217" s="81"/>
      <c r="BN1217" s="81"/>
      <c r="BO1217" s="81"/>
      <c r="BP1217" s="81"/>
      <c r="BQ1217" s="81"/>
      <c r="BR1217" s="81"/>
      <c r="BS1217" s="81"/>
      <c r="BT1217" s="81"/>
    </row>
    <row r="1218" spans="65:72" x14ac:dyDescent="0.25">
      <c r="BM1218" s="81"/>
      <c r="BN1218" s="81"/>
      <c r="BO1218" s="81"/>
      <c r="BP1218" s="81"/>
      <c r="BQ1218" s="81"/>
      <c r="BR1218" s="81"/>
      <c r="BS1218" s="81"/>
      <c r="BT1218" s="81"/>
    </row>
    <row r="1219" spans="65:72" x14ac:dyDescent="0.25">
      <c r="BM1219" s="81"/>
      <c r="BN1219" s="81"/>
      <c r="BO1219" s="81"/>
      <c r="BP1219" s="81"/>
      <c r="BQ1219" s="81"/>
      <c r="BR1219" s="81"/>
      <c r="BS1219" s="81"/>
      <c r="BT1219" s="81"/>
    </row>
    <row r="1220" spans="65:72" x14ac:dyDescent="0.25">
      <c r="BM1220" s="81"/>
      <c r="BN1220" s="81"/>
      <c r="BO1220" s="81"/>
      <c r="BP1220" s="81"/>
      <c r="BQ1220" s="81"/>
      <c r="BR1220" s="81"/>
      <c r="BS1220" s="81"/>
      <c r="BT1220" s="81"/>
    </row>
    <row r="1221" spans="65:72" x14ac:dyDescent="0.25">
      <c r="BM1221" s="81"/>
      <c r="BN1221" s="81"/>
      <c r="BO1221" s="81"/>
      <c r="BP1221" s="81"/>
      <c r="BQ1221" s="81"/>
      <c r="BR1221" s="81"/>
      <c r="BS1221" s="81"/>
      <c r="BT1221" s="81"/>
    </row>
    <row r="1222" spans="65:72" x14ac:dyDescent="0.25">
      <c r="BM1222" s="81"/>
      <c r="BN1222" s="81"/>
      <c r="BO1222" s="81"/>
      <c r="BP1222" s="81"/>
      <c r="BQ1222" s="81"/>
      <c r="BR1222" s="81"/>
      <c r="BS1222" s="81"/>
      <c r="BT1222" s="81"/>
    </row>
    <row r="1223" spans="65:72" x14ac:dyDescent="0.25">
      <c r="BM1223" s="81"/>
      <c r="BN1223" s="81"/>
      <c r="BO1223" s="81"/>
      <c r="BP1223" s="81"/>
      <c r="BQ1223" s="81"/>
      <c r="BR1223" s="81"/>
      <c r="BS1223" s="81"/>
      <c r="BT1223" s="81"/>
    </row>
    <row r="1224" spans="65:72" x14ac:dyDescent="0.25">
      <c r="BM1224" s="81"/>
      <c r="BN1224" s="81"/>
      <c r="BO1224" s="81"/>
      <c r="BP1224" s="81"/>
      <c r="BQ1224" s="81"/>
      <c r="BR1224" s="81"/>
      <c r="BS1224" s="81"/>
      <c r="BT1224" s="81"/>
    </row>
    <row r="1225" spans="65:72" x14ac:dyDescent="0.25">
      <c r="BM1225" s="81"/>
      <c r="BN1225" s="81"/>
      <c r="BO1225" s="81"/>
      <c r="BP1225" s="81"/>
      <c r="BQ1225" s="81"/>
      <c r="BR1225" s="81"/>
      <c r="BS1225" s="81"/>
      <c r="BT1225" s="81"/>
    </row>
    <row r="1226" spans="65:72" x14ac:dyDescent="0.25">
      <c r="BM1226" s="81"/>
      <c r="BN1226" s="81"/>
      <c r="BO1226" s="81"/>
      <c r="BP1226" s="81"/>
      <c r="BQ1226" s="81"/>
      <c r="BR1226" s="81"/>
      <c r="BS1226" s="81"/>
      <c r="BT1226" s="81"/>
    </row>
    <row r="1227" spans="65:72" x14ac:dyDescent="0.25">
      <c r="BM1227" s="81"/>
      <c r="BN1227" s="81"/>
      <c r="BO1227" s="81"/>
      <c r="BP1227" s="81"/>
      <c r="BQ1227" s="81"/>
      <c r="BR1227" s="81"/>
      <c r="BS1227" s="81"/>
      <c r="BT1227" s="81"/>
    </row>
    <row r="1228" spans="65:72" x14ac:dyDescent="0.25">
      <c r="BM1228" s="81"/>
      <c r="BN1228" s="81"/>
      <c r="BO1228" s="81"/>
      <c r="BP1228" s="81"/>
      <c r="BQ1228" s="81"/>
      <c r="BR1228" s="81"/>
      <c r="BS1228" s="81"/>
      <c r="BT1228" s="81"/>
    </row>
    <row r="1229" spans="65:72" x14ac:dyDescent="0.25">
      <c r="BM1229" s="81"/>
      <c r="BN1229" s="81"/>
      <c r="BO1229" s="81"/>
      <c r="BP1229" s="81"/>
      <c r="BQ1229" s="81"/>
      <c r="BR1229" s="81"/>
      <c r="BS1229" s="81"/>
      <c r="BT1229" s="81"/>
    </row>
    <row r="1230" spans="65:72" x14ac:dyDescent="0.25">
      <c r="BM1230" s="81"/>
      <c r="BN1230" s="81"/>
      <c r="BO1230" s="81"/>
      <c r="BP1230" s="81"/>
      <c r="BQ1230" s="81"/>
      <c r="BR1230" s="81"/>
      <c r="BS1230" s="81"/>
      <c r="BT1230" s="81"/>
    </row>
    <row r="1231" spans="65:72" x14ac:dyDescent="0.25">
      <c r="BM1231" s="81"/>
      <c r="BN1231" s="81"/>
      <c r="BO1231" s="81"/>
      <c r="BP1231" s="81"/>
      <c r="BQ1231" s="81"/>
      <c r="BR1231" s="81"/>
      <c r="BS1231" s="81"/>
      <c r="BT1231" s="81"/>
    </row>
    <row r="1232" spans="65:72" x14ac:dyDescent="0.25">
      <c r="BM1232" s="81"/>
      <c r="BN1232" s="81"/>
      <c r="BO1232" s="81"/>
      <c r="BP1232" s="81"/>
      <c r="BQ1232" s="81"/>
      <c r="BR1232" s="81"/>
      <c r="BS1232" s="81"/>
      <c r="BT1232" s="81"/>
    </row>
    <row r="1233" spans="65:72" x14ac:dyDescent="0.25">
      <c r="BM1233" s="81"/>
      <c r="BN1233" s="81"/>
      <c r="BO1233" s="81"/>
      <c r="BP1233" s="81"/>
      <c r="BQ1233" s="81"/>
      <c r="BR1233" s="81"/>
      <c r="BS1233" s="81"/>
      <c r="BT1233" s="81"/>
    </row>
    <row r="1234" spans="65:72" x14ac:dyDescent="0.25">
      <c r="BM1234" s="81"/>
      <c r="BN1234" s="81"/>
      <c r="BO1234" s="81"/>
      <c r="BP1234" s="81"/>
      <c r="BQ1234" s="81"/>
      <c r="BR1234" s="81"/>
      <c r="BS1234" s="81"/>
      <c r="BT1234" s="81"/>
    </row>
    <row r="1235" spans="65:72" x14ac:dyDescent="0.25">
      <c r="BM1235" s="81"/>
      <c r="BN1235" s="81"/>
      <c r="BO1235" s="81"/>
      <c r="BP1235" s="81"/>
      <c r="BQ1235" s="81"/>
      <c r="BR1235" s="81"/>
      <c r="BS1235" s="81"/>
      <c r="BT1235" s="81"/>
    </row>
    <row r="1236" spans="65:72" x14ac:dyDescent="0.25">
      <c r="BM1236" s="81"/>
      <c r="BN1236" s="81"/>
      <c r="BO1236" s="81"/>
      <c r="BP1236" s="81"/>
      <c r="BQ1236" s="81"/>
      <c r="BR1236" s="81"/>
      <c r="BS1236" s="81"/>
      <c r="BT1236" s="81"/>
    </row>
    <row r="1237" spans="65:72" x14ac:dyDescent="0.25">
      <c r="BM1237" s="81"/>
      <c r="BN1237" s="81"/>
      <c r="BO1237" s="81"/>
      <c r="BP1237" s="81"/>
      <c r="BQ1237" s="81"/>
      <c r="BR1237" s="81"/>
      <c r="BS1237" s="81"/>
      <c r="BT1237" s="81"/>
    </row>
    <row r="1238" spans="65:72" x14ac:dyDescent="0.25">
      <c r="BM1238" s="81"/>
      <c r="BN1238" s="81"/>
      <c r="BO1238" s="81"/>
      <c r="BP1238" s="81"/>
      <c r="BQ1238" s="81"/>
      <c r="BR1238" s="81"/>
      <c r="BS1238" s="81"/>
      <c r="BT1238" s="81"/>
    </row>
    <row r="1239" spans="65:72" x14ac:dyDescent="0.25">
      <c r="BM1239" s="81"/>
      <c r="BN1239" s="81"/>
      <c r="BO1239" s="81"/>
      <c r="BP1239" s="81"/>
      <c r="BQ1239" s="81"/>
      <c r="BR1239" s="81"/>
      <c r="BS1239" s="81"/>
      <c r="BT1239" s="81"/>
    </row>
    <row r="1240" spans="65:72" x14ac:dyDescent="0.25">
      <c r="BM1240" s="81"/>
      <c r="BN1240" s="81"/>
      <c r="BO1240" s="81"/>
      <c r="BP1240" s="81"/>
      <c r="BQ1240" s="81"/>
      <c r="BR1240" s="81"/>
      <c r="BS1240" s="81"/>
      <c r="BT1240" s="81"/>
    </row>
    <row r="1241" spans="65:72" x14ac:dyDescent="0.25">
      <c r="BM1241" s="81"/>
      <c r="BN1241" s="81"/>
      <c r="BO1241" s="81"/>
      <c r="BP1241" s="81"/>
      <c r="BQ1241" s="81"/>
      <c r="BR1241" s="81"/>
      <c r="BS1241" s="81"/>
      <c r="BT1241" s="81"/>
    </row>
    <row r="1242" spans="65:72" x14ac:dyDescent="0.25">
      <c r="BM1242" s="81"/>
      <c r="BN1242" s="81"/>
      <c r="BO1242" s="81"/>
      <c r="BP1242" s="81"/>
      <c r="BQ1242" s="81"/>
      <c r="BR1242" s="81"/>
      <c r="BS1242" s="81"/>
      <c r="BT1242" s="81"/>
    </row>
    <row r="1243" spans="65:72" x14ac:dyDescent="0.25">
      <c r="BM1243" s="81"/>
      <c r="BN1243" s="81"/>
      <c r="BO1243" s="81"/>
      <c r="BP1243" s="81"/>
      <c r="BQ1243" s="81"/>
      <c r="BR1243" s="81"/>
      <c r="BS1243" s="81"/>
      <c r="BT1243" s="81"/>
    </row>
    <row r="1244" spans="65:72" x14ac:dyDescent="0.25">
      <c r="BM1244" s="81"/>
      <c r="BN1244" s="81"/>
      <c r="BO1244" s="81"/>
      <c r="BP1244" s="81"/>
      <c r="BQ1244" s="81"/>
      <c r="BR1244" s="81"/>
      <c r="BS1244" s="81"/>
      <c r="BT1244" s="81"/>
    </row>
    <row r="1245" spans="65:72" x14ac:dyDescent="0.25">
      <c r="BM1245" s="81"/>
      <c r="BN1245" s="81"/>
      <c r="BO1245" s="81"/>
      <c r="BP1245" s="81"/>
      <c r="BQ1245" s="81"/>
      <c r="BR1245" s="81"/>
      <c r="BS1245" s="81"/>
      <c r="BT1245" s="81"/>
    </row>
    <row r="1246" spans="65:72" x14ac:dyDescent="0.25">
      <c r="BM1246" s="81"/>
      <c r="BN1246" s="81"/>
      <c r="BO1246" s="81"/>
      <c r="BP1246" s="81"/>
      <c r="BQ1246" s="81"/>
      <c r="BR1246" s="81"/>
      <c r="BS1246" s="81"/>
      <c r="BT1246" s="81"/>
    </row>
    <row r="1247" spans="65:72" x14ac:dyDescent="0.25">
      <c r="BM1247" s="81"/>
      <c r="BN1247" s="81"/>
      <c r="BO1247" s="81"/>
      <c r="BP1247" s="81"/>
      <c r="BQ1247" s="81"/>
      <c r="BR1247" s="81"/>
      <c r="BS1247" s="81"/>
      <c r="BT1247" s="81"/>
    </row>
    <row r="1248" spans="65:72" x14ac:dyDescent="0.25">
      <c r="BM1248" s="81"/>
      <c r="BN1248" s="81"/>
      <c r="BO1248" s="81"/>
      <c r="BP1248" s="81"/>
      <c r="BQ1248" s="81"/>
      <c r="BR1248" s="81"/>
      <c r="BS1248" s="81"/>
      <c r="BT1248" s="81"/>
    </row>
    <row r="1249" spans="65:72" x14ac:dyDescent="0.25">
      <c r="BM1249" s="81"/>
      <c r="BN1249" s="81"/>
      <c r="BO1249" s="81"/>
      <c r="BP1249" s="81"/>
      <c r="BQ1249" s="81"/>
      <c r="BR1249" s="81"/>
      <c r="BS1249" s="81"/>
      <c r="BT1249" s="81"/>
    </row>
    <row r="1250" spans="65:72" x14ac:dyDescent="0.25">
      <c r="BM1250" s="81"/>
      <c r="BN1250" s="81"/>
      <c r="BO1250" s="81"/>
      <c r="BP1250" s="81"/>
      <c r="BQ1250" s="81"/>
      <c r="BR1250" s="81"/>
      <c r="BS1250" s="81"/>
      <c r="BT1250" s="81"/>
    </row>
    <row r="1251" spans="65:72" x14ac:dyDescent="0.25">
      <c r="BM1251" s="81"/>
      <c r="BN1251" s="81"/>
      <c r="BO1251" s="81"/>
      <c r="BP1251" s="81"/>
      <c r="BQ1251" s="81"/>
      <c r="BR1251" s="81"/>
      <c r="BS1251" s="81"/>
      <c r="BT1251" s="81"/>
    </row>
    <row r="1252" spans="65:72" x14ac:dyDescent="0.25">
      <c r="BM1252" s="81"/>
      <c r="BN1252" s="81"/>
      <c r="BO1252" s="81"/>
      <c r="BP1252" s="81"/>
      <c r="BQ1252" s="81"/>
      <c r="BR1252" s="81"/>
      <c r="BS1252" s="81"/>
      <c r="BT1252" s="81"/>
    </row>
    <row r="1253" spans="65:72" x14ac:dyDescent="0.25">
      <c r="BM1253" s="81"/>
      <c r="BN1253" s="81"/>
      <c r="BO1253" s="81"/>
      <c r="BP1253" s="81"/>
      <c r="BQ1253" s="81"/>
      <c r="BR1253" s="81"/>
      <c r="BS1253" s="81"/>
      <c r="BT1253" s="81"/>
    </row>
    <row r="1254" spans="65:72" x14ac:dyDescent="0.25">
      <c r="BM1254" s="81"/>
      <c r="BN1254" s="81"/>
      <c r="BO1254" s="81"/>
      <c r="BP1254" s="81"/>
      <c r="BQ1254" s="81"/>
      <c r="BR1254" s="81"/>
      <c r="BS1254" s="81"/>
      <c r="BT1254" s="81"/>
    </row>
    <row r="1255" spans="65:72" x14ac:dyDescent="0.25">
      <c r="BM1255" s="81"/>
      <c r="BN1255" s="81"/>
      <c r="BO1255" s="81"/>
      <c r="BP1255" s="81"/>
      <c r="BQ1255" s="81"/>
      <c r="BR1255" s="81"/>
      <c r="BS1255" s="81"/>
      <c r="BT1255" s="81"/>
    </row>
    <row r="1256" spans="65:72" x14ac:dyDescent="0.25">
      <c r="BM1256" s="81"/>
      <c r="BN1256" s="81"/>
      <c r="BO1256" s="81"/>
      <c r="BP1256" s="81"/>
      <c r="BQ1256" s="81"/>
      <c r="BR1256" s="81"/>
      <c r="BS1256" s="81"/>
      <c r="BT1256" s="81"/>
    </row>
    <row r="1257" spans="65:72" x14ac:dyDescent="0.25">
      <c r="BM1257" s="81"/>
      <c r="BN1257" s="81"/>
      <c r="BO1257" s="81"/>
      <c r="BP1257" s="81"/>
      <c r="BQ1257" s="81"/>
      <c r="BR1257" s="81"/>
      <c r="BS1257" s="81"/>
      <c r="BT1257" s="81"/>
    </row>
    <row r="1258" spans="65:72" x14ac:dyDescent="0.25">
      <c r="BM1258" s="81"/>
      <c r="BN1258" s="81"/>
      <c r="BO1258" s="81"/>
      <c r="BP1258" s="81"/>
      <c r="BQ1258" s="81"/>
      <c r="BR1258" s="81"/>
      <c r="BS1258" s="81"/>
      <c r="BT1258" s="81"/>
    </row>
    <row r="1259" spans="65:72" x14ac:dyDescent="0.25">
      <c r="BM1259" s="81"/>
      <c r="BN1259" s="81"/>
      <c r="BO1259" s="81"/>
      <c r="BP1259" s="81"/>
      <c r="BQ1259" s="81"/>
      <c r="BR1259" s="81"/>
      <c r="BS1259" s="81"/>
      <c r="BT1259" s="81"/>
    </row>
    <row r="1260" spans="65:72" x14ac:dyDescent="0.25">
      <c r="BM1260" s="81"/>
      <c r="BN1260" s="81"/>
      <c r="BO1260" s="81"/>
      <c r="BP1260" s="81"/>
      <c r="BQ1260" s="81"/>
      <c r="BR1260" s="81"/>
      <c r="BS1260" s="81"/>
      <c r="BT1260" s="81"/>
    </row>
    <row r="1261" spans="65:72" x14ac:dyDescent="0.25">
      <c r="BM1261" s="81"/>
      <c r="BN1261" s="81"/>
      <c r="BO1261" s="81"/>
      <c r="BP1261" s="81"/>
      <c r="BQ1261" s="81"/>
      <c r="BR1261" s="81"/>
      <c r="BS1261" s="81"/>
      <c r="BT1261" s="81"/>
    </row>
    <row r="1262" spans="65:72" x14ac:dyDescent="0.25">
      <c r="BM1262" s="81"/>
      <c r="BN1262" s="81"/>
      <c r="BO1262" s="81"/>
      <c r="BP1262" s="81"/>
      <c r="BQ1262" s="81"/>
      <c r="BR1262" s="81"/>
      <c r="BS1262" s="81"/>
      <c r="BT1262" s="81"/>
    </row>
    <row r="1263" spans="65:72" x14ac:dyDescent="0.25">
      <c r="BM1263" s="81"/>
      <c r="BN1263" s="81"/>
      <c r="BO1263" s="81"/>
      <c r="BP1263" s="81"/>
      <c r="BQ1263" s="81"/>
      <c r="BR1263" s="81"/>
      <c r="BS1263" s="81"/>
      <c r="BT1263" s="81"/>
    </row>
    <row r="1264" spans="65:72" x14ac:dyDescent="0.25">
      <c r="BM1264" s="81"/>
      <c r="BN1264" s="81"/>
      <c r="BO1264" s="81"/>
      <c r="BP1264" s="81"/>
      <c r="BQ1264" s="81"/>
      <c r="BR1264" s="81"/>
      <c r="BS1264" s="81"/>
      <c r="BT1264" s="81"/>
    </row>
    <row r="1265" spans="65:72" x14ac:dyDescent="0.25">
      <c r="BM1265" s="81"/>
      <c r="BN1265" s="81"/>
      <c r="BO1265" s="81"/>
      <c r="BP1265" s="81"/>
      <c r="BQ1265" s="81"/>
      <c r="BR1265" s="81"/>
      <c r="BS1265" s="81"/>
      <c r="BT1265" s="81"/>
    </row>
    <row r="1266" spans="65:72" x14ac:dyDescent="0.25">
      <c r="BM1266" s="81"/>
      <c r="BN1266" s="81"/>
      <c r="BO1266" s="81"/>
      <c r="BP1266" s="81"/>
      <c r="BQ1266" s="81"/>
      <c r="BR1266" s="81"/>
      <c r="BS1266" s="81"/>
      <c r="BT1266" s="81"/>
    </row>
    <row r="1267" spans="65:72" x14ac:dyDescent="0.25">
      <c r="BM1267" s="81"/>
      <c r="BN1267" s="81"/>
      <c r="BO1267" s="81"/>
      <c r="BP1267" s="81"/>
      <c r="BQ1267" s="81"/>
      <c r="BR1267" s="81"/>
      <c r="BS1267" s="81"/>
      <c r="BT1267" s="81"/>
    </row>
    <row r="1268" spans="65:72" x14ac:dyDescent="0.25">
      <c r="BM1268" s="81"/>
      <c r="BN1268" s="81"/>
      <c r="BO1268" s="81"/>
      <c r="BP1268" s="81"/>
      <c r="BQ1268" s="81"/>
      <c r="BR1268" s="81"/>
      <c r="BS1268" s="81"/>
      <c r="BT1268" s="81"/>
    </row>
    <row r="1269" spans="65:72" x14ac:dyDescent="0.25">
      <c r="BM1269" s="81"/>
      <c r="BN1269" s="81"/>
      <c r="BO1269" s="81"/>
      <c r="BP1269" s="81"/>
      <c r="BQ1269" s="81"/>
      <c r="BR1269" s="81"/>
      <c r="BS1269" s="81"/>
      <c r="BT1269" s="81"/>
    </row>
    <row r="1270" spans="65:72" x14ac:dyDescent="0.25">
      <c r="BM1270" s="81"/>
      <c r="BN1270" s="81"/>
      <c r="BO1270" s="81"/>
      <c r="BP1270" s="81"/>
      <c r="BQ1270" s="81"/>
      <c r="BR1270" s="81"/>
      <c r="BS1270" s="81"/>
      <c r="BT1270" s="81"/>
    </row>
    <row r="1271" spans="65:72" x14ac:dyDescent="0.25">
      <c r="BM1271" s="81"/>
      <c r="BN1271" s="81"/>
      <c r="BO1271" s="81"/>
      <c r="BP1271" s="81"/>
      <c r="BQ1271" s="81"/>
      <c r="BR1271" s="81"/>
      <c r="BS1271" s="81"/>
      <c r="BT1271" s="81"/>
    </row>
    <row r="1272" spans="65:72" x14ac:dyDescent="0.25">
      <c r="BM1272" s="81"/>
      <c r="BN1272" s="81"/>
      <c r="BO1272" s="81"/>
      <c r="BP1272" s="81"/>
      <c r="BQ1272" s="81"/>
      <c r="BR1272" s="81"/>
      <c r="BS1272" s="81"/>
      <c r="BT1272" s="81"/>
    </row>
    <row r="1273" spans="65:72" x14ac:dyDescent="0.25">
      <c r="BM1273" s="81"/>
      <c r="BN1273" s="81"/>
      <c r="BO1273" s="81"/>
      <c r="BP1273" s="81"/>
      <c r="BQ1273" s="81"/>
      <c r="BR1273" s="81"/>
      <c r="BS1273" s="81"/>
      <c r="BT1273" s="81"/>
    </row>
    <row r="1274" spans="65:72" x14ac:dyDescent="0.25">
      <c r="BM1274" s="81"/>
      <c r="BN1274" s="81"/>
      <c r="BO1274" s="81"/>
      <c r="BP1274" s="81"/>
      <c r="BQ1274" s="81"/>
      <c r="BR1274" s="81"/>
      <c r="BS1274" s="81"/>
      <c r="BT1274" s="81"/>
    </row>
    <row r="1275" spans="65:72" x14ac:dyDescent="0.25">
      <c r="BM1275" s="81"/>
      <c r="BN1275" s="81"/>
      <c r="BO1275" s="81"/>
      <c r="BP1275" s="81"/>
      <c r="BQ1275" s="81"/>
      <c r="BR1275" s="81"/>
      <c r="BS1275" s="81"/>
      <c r="BT1275" s="81"/>
    </row>
    <row r="1276" spans="65:72" x14ac:dyDescent="0.25">
      <c r="BM1276" s="81"/>
      <c r="BN1276" s="81"/>
      <c r="BO1276" s="81"/>
      <c r="BP1276" s="81"/>
      <c r="BQ1276" s="81"/>
      <c r="BR1276" s="81"/>
      <c r="BS1276" s="81"/>
      <c r="BT1276" s="81"/>
    </row>
    <row r="1277" spans="65:72" x14ac:dyDescent="0.25">
      <c r="BM1277" s="81"/>
      <c r="BN1277" s="81"/>
      <c r="BO1277" s="81"/>
      <c r="BP1277" s="81"/>
      <c r="BQ1277" s="81"/>
      <c r="BR1277" s="81"/>
      <c r="BS1277" s="81"/>
      <c r="BT1277" s="81"/>
    </row>
    <row r="1278" spans="65:72" x14ac:dyDescent="0.25">
      <c r="BM1278" s="81"/>
      <c r="BN1278" s="81"/>
      <c r="BO1278" s="81"/>
      <c r="BP1278" s="81"/>
      <c r="BQ1278" s="81"/>
      <c r="BR1278" s="81"/>
      <c r="BS1278" s="81"/>
      <c r="BT1278" s="81"/>
    </row>
    <row r="1279" spans="65:72" x14ac:dyDescent="0.25">
      <c r="BM1279" s="81"/>
      <c r="BN1279" s="81"/>
      <c r="BO1279" s="81"/>
      <c r="BP1279" s="81"/>
      <c r="BQ1279" s="81"/>
      <c r="BR1279" s="81"/>
      <c r="BS1279" s="81"/>
      <c r="BT1279" s="81"/>
    </row>
    <row r="1280" spans="65:72" x14ac:dyDescent="0.25">
      <c r="BM1280" s="81"/>
      <c r="BN1280" s="81"/>
      <c r="BO1280" s="81"/>
      <c r="BP1280" s="81"/>
      <c r="BQ1280" s="81"/>
      <c r="BR1280" s="81"/>
      <c r="BS1280" s="81"/>
      <c r="BT1280" s="81"/>
    </row>
    <row r="1281" spans="65:72" x14ac:dyDescent="0.25">
      <c r="BM1281" s="81"/>
      <c r="BN1281" s="81"/>
      <c r="BO1281" s="81"/>
      <c r="BP1281" s="81"/>
      <c r="BQ1281" s="81"/>
      <c r="BR1281" s="81"/>
      <c r="BS1281" s="81"/>
      <c r="BT1281" s="81"/>
    </row>
    <row r="1282" spans="65:72" x14ac:dyDescent="0.25">
      <c r="BM1282" s="81"/>
      <c r="BN1282" s="81"/>
      <c r="BO1282" s="81"/>
      <c r="BP1282" s="81"/>
      <c r="BQ1282" s="81"/>
      <c r="BR1282" s="81"/>
      <c r="BS1282" s="81"/>
      <c r="BT1282" s="81"/>
    </row>
    <row r="1283" spans="65:72" x14ac:dyDescent="0.25">
      <c r="BM1283" s="81"/>
      <c r="BN1283" s="81"/>
      <c r="BO1283" s="81"/>
      <c r="BP1283" s="81"/>
      <c r="BQ1283" s="81"/>
      <c r="BR1283" s="81"/>
      <c r="BS1283" s="81"/>
      <c r="BT1283" s="81"/>
    </row>
    <row r="1284" spans="65:72" x14ac:dyDescent="0.25">
      <c r="BM1284" s="81"/>
      <c r="BN1284" s="81"/>
      <c r="BO1284" s="81"/>
      <c r="BP1284" s="81"/>
      <c r="BQ1284" s="81"/>
      <c r="BR1284" s="81"/>
      <c r="BS1284" s="81"/>
      <c r="BT1284" s="81"/>
    </row>
    <row r="1285" spans="65:72" x14ac:dyDescent="0.25">
      <c r="BM1285" s="81"/>
      <c r="BN1285" s="81"/>
      <c r="BO1285" s="81"/>
      <c r="BP1285" s="81"/>
      <c r="BQ1285" s="81"/>
      <c r="BR1285" s="81"/>
      <c r="BS1285" s="81"/>
      <c r="BT1285" s="81"/>
    </row>
    <row r="1286" spans="65:72" x14ac:dyDescent="0.25">
      <c r="BM1286" s="81"/>
      <c r="BN1286" s="81"/>
      <c r="BO1286" s="81"/>
      <c r="BP1286" s="81"/>
      <c r="BQ1286" s="81"/>
      <c r="BR1286" s="81"/>
      <c r="BS1286" s="81"/>
      <c r="BT1286" s="81"/>
    </row>
    <row r="1287" spans="65:72" x14ac:dyDescent="0.25">
      <c r="BM1287" s="81"/>
      <c r="BN1287" s="81"/>
      <c r="BO1287" s="81"/>
      <c r="BP1287" s="81"/>
      <c r="BQ1287" s="81"/>
      <c r="BR1287" s="81"/>
      <c r="BS1287" s="81"/>
      <c r="BT1287" s="81"/>
    </row>
    <row r="1288" spans="65:72" x14ac:dyDescent="0.25">
      <c r="BM1288" s="81"/>
      <c r="BN1288" s="81"/>
      <c r="BO1288" s="81"/>
      <c r="BP1288" s="81"/>
      <c r="BQ1288" s="81"/>
      <c r="BR1288" s="81"/>
      <c r="BS1288" s="81"/>
      <c r="BT1288" s="81"/>
    </row>
    <row r="1289" spans="65:72" x14ac:dyDescent="0.25">
      <c r="BM1289" s="81"/>
      <c r="BN1289" s="81"/>
      <c r="BO1289" s="81"/>
      <c r="BP1289" s="81"/>
      <c r="BQ1289" s="81"/>
      <c r="BR1289" s="81"/>
      <c r="BS1289" s="81"/>
      <c r="BT1289" s="81"/>
    </row>
    <row r="1290" spans="65:72" x14ac:dyDescent="0.25">
      <c r="BM1290" s="81"/>
      <c r="BN1290" s="81"/>
      <c r="BO1290" s="81"/>
      <c r="BP1290" s="81"/>
      <c r="BQ1290" s="81"/>
      <c r="BR1290" s="81"/>
      <c r="BS1290" s="81"/>
      <c r="BT1290" s="81"/>
    </row>
    <row r="1291" spans="65:72" x14ac:dyDescent="0.25">
      <c r="BM1291" s="81"/>
      <c r="BN1291" s="81"/>
      <c r="BO1291" s="81"/>
      <c r="BP1291" s="81"/>
      <c r="BQ1291" s="81"/>
      <c r="BR1291" s="81"/>
      <c r="BS1291" s="81"/>
      <c r="BT1291" s="81"/>
    </row>
    <row r="1292" spans="65:72" x14ac:dyDescent="0.25">
      <c r="BM1292" s="81"/>
      <c r="BN1292" s="81"/>
      <c r="BO1292" s="81"/>
      <c r="BP1292" s="81"/>
      <c r="BQ1292" s="81"/>
      <c r="BR1292" s="81"/>
      <c r="BS1292" s="81"/>
      <c r="BT1292" s="81"/>
    </row>
    <row r="1293" spans="65:72" x14ac:dyDescent="0.25">
      <c r="BM1293" s="81"/>
      <c r="BN1293" s="81"/>
      <c r="BO1293" s="81"/>
      <c r="BP1293" s="81"/>
      <c r="BQ1293" s="81"/>
      <c r="BR1293" s="81"/>
      <c r="BS1293" s="81"/>
      <c r="BT1293" s="81"/>
    </row>
    <row r="1294" spans="65:72" x14ac:dyDescent="0.25">
      <c r="BM1294" s="81"/>
      <c r="BN1294" s="81"/>
      <c r="BO1294" s="81"/>
      <c r="BP1294" s="81"/>
      <c r="BQ1294" s="81"/>
      <c r="BR1294" s="81"/>
      <c r="BS1294" s="81"/>
      <c r="BT1294" s="81"/>
    </row>
    <row r="1295" spans="65:72" x14ac:dyDescent="0.25">
      <c r="BM1295" s="81"/>
      <c r="BN1295" s="81"/>
      <c r="BO1295" s="81"/>
      <c r="BP1295" s="81"/>
      <c r="BQ1295" s="81"/>
      <c r="BR1295" s="81"/>
      <c r="BS1295" s="81"/>
      <c r="BT1295" s="81"/>
    </row>
    <row r="1296" spans="65:72" x14ac:dyDescent="0.25">
      <c r="BM1296" s="81"/>
      <c r="BN1296" s="81"/>
      <c r="BO1296" s="81"/>
      <c r="BP1296" s="81"/>
      <c r="BQ1296" s="81"/>
      <c r="BR1296" s="81"/>
      <c r="BS1296" s="81"/>
      <c r="BT1296" s="81"/>
    </row>
    <row r="1297" spans="65:72" x14ac:dyDescent="0.25">
      <c r="BM1297" s="81"/>
      <c r="BN1297" s="81"/>
      <c r="BO1297" s="81"/>
      <c r="BP1297" s="81"/>
      <c r="BQ1297" s="81"/>
      <c r="BR1297" s="81"/>
      <c r="BS1297" s="81"/>
      <c r="BT1297" s="81"/>
    </row>
    <row r="1298" spans="65:72" x14ac:dyDescent="0.25">
      <c r="BM1298" s="81"/>
      <c r="BN1298" s="81"/>
      <c r="BO1298" s="81"/>
      <c r="BP1298" s="81"/>
      <c r="BQ1298" s="81"/>
      <c r="BR1298" s="81"/>
      <c r="BS1298" s="81"/>
      <c r="BT1298" s="81"/>
    </row>
    <row r="1299" spans="65:72" x14ac:dyDescent="0.25">
      <c r="BM1299" s="81"/>
      <c r="BN1299" s="81"/>
      <c r="BO1299" s="81"/>
      <c r="BP1299" s="81"/>
      <c r="BQ1299" s="81"/>
      <c r="BR1299" s="81"/>
      <c r="BS1299" s="81"/>
      <c r="BT1299" s="81"/>
    </row>
    <row r="1300" spans="65:72" x14ac:dyDescent="0.25">
      <c r="BM1300" s="81"/>
      <c r="BN1300" s="81"/>
      <c r="BO1300" s="81"/>
      <c r="BP1300" s="81"/>
      <c r="BQ1300" s="81"/>
      <c r="BR1300" s="81"/>
      <c r="BS1300" s="81"/>
      <c r="BT1300" s="81"/>
    </row>
    <row r="1301" spans="65:72" x14ac:dyDescent="0.25">
      <c r="BM1301" s="81"/>
      <c r="BN1301" s="81"/>
      <c r="BO1301" s="81"/>
      <c r="BP1301" s="81"/>
      <c r="BQ1301" s="81"/>
      <c r="BR1301" s="81"/>
      <c r="BS1301" s="81"/>
      <c r="BT1301" s="81"/>
    </row>
    <row r="1302" spans="65:72" x14ac:dyDescent="0.25">
      <c r="BM1302" s="81"/>
      <c r="BN1302" s="81"/>
      <c r="BO1302" s="81"/>
      <c r="BP1302" s="81"/>
      <c r="BQ1302" s="81"/>
      <c r="BR1302" s="81"/>
      <c r="BS1302" s="81"/>
      <c r="BT1302" s="81"/>
    </row>
    <row r="1303" spans="65:72" x14ac:dyDescent="0.25">
      <c r="BM1303" s="81"/>
      <c r="BN1303" s="81"/>
      <c r="BO1303" s="81"/>
      <c r="BP1303" s="81"/>
      <c r="BQ1303" s="81"/>
      <c r="BR1303" s="81"/>
      <c r="BS1303" s="81"/>
      <c r="BT1303" s="81"/>
    </row>
    <row r="1304" spans="65:72" x14ac:dyDescent="0.25">
      <c r="BM1304" s="81"/>
      <c r="BN1304" s="81"/>
      <c r="BO1304" s="81"/>
      <c r="BP1304" s="81"/>
      <c r="BQ1304" s="81"/>
      <c r="BR1304" s="81"/>
      <c r="BS1304" s="81"/>
      <c r="BT1304" s="81"/>
    </row>
    <row r="1305" spans="65:72" x14ac:dyDescent="0.25">
      <c r="BM1305" s="81"/>
      <c r="BN1305" s="81"/>
      <c r="BO1305" s="81"/>
      <c r="BP1305" s="81"/>
      <c r="BQ1305" s="81"/>
      <c r="BR1305" s="81"/>
      <c r="BS1305" s="81"/>
      <c r="BT1305" s="81"/>
    </row>
    <row r="1306" spans="65:72" x14ac:dyDescent="0.25">
      <c r="BM1306" s="81"/>
      <c r="BN1306" s="81"/>
      <c r="BO1306" s="81"/>
      <c r="BP1306" s="81"/>
      <c r="BQ1306" s="81"/>
      <c r="BR1306" s="81"/>
      <c r="BS1306" s="81"/>
      <c r="BT1306" s="81"/>
    </row>
    <row r="1307" spans="65:72" x14ac:dyDescent="0.25">
      <c r="BM1307" s="81"/>
      <c r="BN1307" s="81"/>
      <c r="BO1307" s="81"/>
      <c r="BP1307" s="81"/>
      <c r="BQ1307" s="81"/>
      <c r="BR1307" s="81"/>
      <c r="BS1307" s="81"/>
      <c r="BT1307" s="81"/>
    </row>
    <row r="1308" spans="65:72" x14ac:dyDescent="0.25">
      <c r="BM1308" s="81"/>
      <c r="BN1308" s="81"/>
      <c r="BO1308" s="81"/>
      <c r="BP1308" s="81"/>
      <c r="BQ1308" s="81"/>
      <c r="BR1308" s="81"/>
      <c r="BS1308" s="81"/>
      <c r="BT1308" s="81"/>
    </row>
    <row r="1309" spans="65:72" x14ac:dyDescent="0.25">
      <c r="BM1309" s="81"/>
      <c r="BN1309" s="81"/>
      <c r="BO1309" s="81"/>
      <c r="BP1309" s="81"/>
      <c r="BQ1309" s="81"/>
      <c r="BR1309" s="81"/>
      <c r="BS1309" s="81"/>
      <c r="BT1309" s="81"/>
    </row>
    <row r="1310" spans="65:72" x14ac:dyDescent="0.25">
      <c r="BM1310" s="81"/>
      <c r="BN1310" s="81"/>
      <c r="BO1310" s="81"/>
      <c r="BP1310" s="81"/>
      <c r="BQ1310" s="81"/>
      <c r="BR1310" s="81"/>
      <c r="BS1310" s="81"/>
      <c r="BT1310" s="81"/>
    </row>
    <row r="1311" spans="65:72" x14ac:dyDescent="0.25">
      <c r="BM1311" s="81"/>
      <c r="BN1311" s="81"/>
      <c r="BO1311" s="81"/>
      <c r="BP1311" s="81"/>
      <c r="BQ1311" s="81"/>
      <c r="BR1311" s="81"/>
      <c r="BS1311" s="81"/>
      <c r="BT1311" s="81"/>
    </row>
    <row r="1312" spans="65:72" x14ac:dyDescent="0.25">
      <c r="BM1312" s="81"/>
      <c r="BN1312" s="81"/>
      <c r="BO1312" s="81"/>
      <c r="BP1312" s="81"/>
      <c r="BQ1312" s="81"/>
      <c r="BR1312" s="81"/>
      <c r="BS1312" s="81"/>
      <c r="BT1312" s="81"/>
    </row>
    <row r="1313" spans="65:72" x14ac:dyDescent="0.25">
      <c r="BM1313" s="81"/>
      <c r="BN1313" s="81"/>
      <c r="BO1313" s="81"/>
      <c r="BP1313" s="81"/>
      <c r="BQ1313" s="81"/>
      <c r="BR1313" s="81"/>
      <c r="BS1313" s="81"/>
      <c r="BT1313" s="81"/>
    </row>
    <row r="1314" spans="65:72" x14ac:dyDescent="0.25">
      <c r="BM1314" s="81"/>
      <c r="BN1314" s="81"/>
      <c r="BO1314" s="81"/>
      <c r="BP1314" s="81"/>
      <c r="BQ1314" s="81"/>
      <c r="BR1314" s="81"/>
      <c r="BS1314" s="81"/>
      <c r="BT1314" s="81"/>
    </row>
    <row r="1315" spans="65:72" x14ac:dyDescent="0.25">
      <c r="BM1315" s="81"/>
      <c r="BN1315" s="81"/>
      <c r="BO1315" s="81"/>
      <c r="BP1315" s="81"/>
      <c r="BQ1315" s="81"/>
      <c r="BR1315" s="81"/>
      <c r="BS1315" s="81"/>
      <c r="BT1315" s="81"/>
    </row>
    <row r="1316" spans="65:72" x14ac:dyDescent="0.25">
      <c r="BM1316" s="81"/>
      <c r="BN1316" s="81"/>
      <c r="BO1316" s="81"/>
      <c r="BP1316" s="81"/>
      <c r="BQ1316" s="81"/>
      <c r="BR1316" s="81"/>
      <c r="BS1316" s="81"/>
      <c r="BT1316" s="81"/>
    </row>
    <row r="1317" spans="65:72" x14ac:dyDescent="0.25">
      <c r="BM1317" s="81"/>
      <c r="BN1317" s="81"/>
      <c r="BO1317" s="81"/>
      <c r="BP1317" s="81"/>
      <c r="BQ1317" s="81"/>
      <c r="BR1317" s="81"/>
      <c r="BS1317" s="81"/>
      <c r="BT1317" s="81"/>
    </row>
    <row r="1318" spans="65:72" x14ac:dyDescent="0.25">
      <c r="BM1318" s="81"/>
      <c r="BN1318" s="81"/>
      <c r="BO1318" s="81"/>
      <c r="BP1318" s="81"/>
      <c r="BQ1318" s="81"/>
      <c r="BR1318" s="81"/>
      <c r="BS1318" s="81"/>
      <c r="BT1318" s="81"/>
    </row>
    <row r="1319" spans="65:72" x14ac:dyDescent="0.25">
      <c r="BM1319" s="81"/>
      <c r="BN1319" s="81"/>
      <c r="BO1319" s="81"/>
      <c r="BP1319" s="81"/>
      <c r="BQ1319" s="81"/>
      <c r="BR1319" s="81"/>
      <c r="BS1319" s="81"/>
      <c r="BT1319" s="81"/>
    </row>
    <row r="1320" spans="65:72" x14ac:dyDescent="0.25">
      <c r="BM1320" s="81"/>
      <c r="BN1320" s="81"/>
      <c r="BO1320" s="81"/>
      <c r="BP1320" s="81"/>
      <c r="BQ1320" s="81"/>
      <c r="BR1320" s="81"/>
      <c r="BS1320" s="81"/>
      <c r="BT1320" s="81"/>
    </row>
    <row r="1321" spans="65:72" x14ac:dyDescent="0.25">
      <c r="BM1321" s="81"/>
      <c r="BN1321" s="81"/>
      <c r="BO1321" s="81"/>
      <c r="BP1321" s="81"/>
      <c r="BQ1321" s="81"/>
      <c r="BR1321" s="81"/>
      <c r="BS1321" s="81"/>
      <c r="BT1321" s="81"/>
    </row>
    <row r="1322" spans="65:72" x14ac:dyDescent="0.25">
      <c r="BM1322" s="81"/>
      <c r="BN1322" s="81"/>
      <c r="BO1322" s="81"/>
      <c r="BP1322" s="81"/>
      <c r="BQ1322" s="81"/>
      <c r="BR1322" s="81"/>
      <c r="BS1322" s="81"/>
      <c r="BT1322" s="81"/>
    </row>
    <row r="1323" spans="65:72" x14ac:dyDescent="0.25">
      <c r="BM1323" s="81"/>
      <c r="BN1323" s="81"/>
      <c r="BO1323" s="81"/>
      <c r="BP1323" s="81"/>
      <c r="BQ1323" s="81"/>
      <c r="BR1323" s="81"/>
      <c r="BS1323" s="81"/>
      <c r="BT1323" s="81"/>
    </row>
    <row r="1324" spans="65:72" x14ac:dyDescent="0.25">
      <c r="BM1324" s="81"/>
      <c r="BN1324" s="81"/>
      <c r="BO1324" s="81"/>
      <c r="BP1324" s="81"/>
      <c r="BQ1324" s="81"/>
      <c r="BR1324" s="81"/>
      <c r="BS1324" s="81"/>
      <c r="BT1324" s="81"/>
    </row>
    <row r="1325" spans="65:72" x14ac:dyDescent="0.25">
      <c r="BM1325" s="81"/>
      <c r="BN1325" s="81"/>
      <c r="BO1325" s="81"/>
      <c r="BP1325" s="81"/>
      <c r="BQ1325" s="81"/>
      <c r="BR1325" s="81"/>
      <c r="BS1325" s="81"/>
      <c r="BT1325" s="81"/>
    </row>
    <row r="1326" spans="65:72" x14ac:dyDescent="0.25">
      <c r="BM1326" s="81"/>
      <c r="BN1326" s="81"/>
      <c r="BO1326" s="81"/>
      <c r="BP1326" s="81"/>
      <c r="BQ1326" s="81"/>
      <c r="BR1326" s="81"/>
      <c r="BS1326" s="81"/>
      <c r="BT1326" s="81"/>
    </row>
    <row r="1327" spans="65:72" x14ac:dyDescent="0.25">
      <c r="BM1327" s="81"/>
      <c r="BN1327" s="81"/>
      <c r="BO1327" s="81"/>
      <c r="BP1327" s="81"/>
      <c r="BQ1327" s="81"/>
      <c r="BR1327" s="81"/>
      <c r="BS1327" s="81"/>
      <c r="BT1327" s="81"/>
    </row>
    <row r="1328" spans="65:72" x14ac:dyDescent="0.25">
      <c r="BM1328" s="81"/>
      <c r="BN1328" s="81"/>
      <c r="BO1328" s="81"/>
      <c r="BP1328" s="81"/>
      <c r="BQ1328" s="81"/>
      <c r="BR1328" s="81"/>
      <c r="BS1328" s="81"/>
      <c r="BT1328" s="81"/>
    </row>
    <row r="1329" spans="65:72" x14ac:dyDescent="0.25">
      <c r="BM1329" s="81"/>
      <c r="BN1329" s="81"/>
      <c r="BO1329" s="81"/>
      <c r="BP1329" s="81"/>
      <c r="BQ1329" s="81"/>
      <c r="BR1329" s="81"/>
      <c r="BS1329" s="81"/>
      <c r="BT1329" s="81"/>
    </row>
    <row r="1330" spans="65:72" x14ac:dyDescent="0.25">
      <c r="BM1330" s="81"/>
      <c r="BN1330" s="81"/>
      <c r="BO1330" s="81"/>
      <c r="BP1330" s="81"/>
      <c r="BQ1330" s="81"/>
      <c r="BR1330" s="81"/>
      <c r="BS1330" s="81"/>
      <c r="BT1330" s="81"/>
    </row>
    <row r="1331" spans="65:72" x14ac:dyDescent="0.25">
      <c r="BM1331" s="81"/>
      <c r="BN1331" s="81"/>
      <c r="BO1331" s="81"/>
      <c r="BP1331" s="81"/>
      <c r="BQ1331" s="81"/>
      <c r="BR1331" s="81"/>
      <c r="BS1331" s="81"/>
      <c r="BT1331" s="81"/>
    </row>
    <row r="1332" spans="65:72" x14ac:dyDescent="0.25">
      <c r="BM1332" s="81"/>
      <c r="BN1332" s="81"/>
      <c r="BO1332" s="81"/>
      <c r="BP1332" s="81"/>
      <c r="BQ1332" s="81"/>
      <c r="BR1332" s="81"/>
      <c r="BS1332" s="81"/>
      <c r="BT1332" s="81"/>
    </row>
    <row r="1333" spans="65:72" x14ac:dyDescent="0.25">
      <c r="BM1333" s="81"/>
      <c r="BN1333" s="81"/>
      <c r="BO1333" s="81"/>
      <c r="BP1333" s="81"/>
      <c r="BQ1333" s="81"/>
      <c r="BR1333" s="81"/>
      <c r="BS1333" s="81"/>
      <c r="BT1333" s="81"/>
    </row>
    <row r="1334" spans="65:72" x14ac:dyDescent="0.25">
      <c r="BM1334" s="81"/>
      <c r="BN1334" s="81"/>
      <c r="BO1334" s="81"/>
      <c r="BP1334" s="81"/>
      <c r="BQ1334" s="81"/>
      <c r="BR1334" s="81"/>
      <c r="BS1334" s="81"/>
      <c r="BT1334" s="81"/>
    </row>
    <row r="1335" spans="65:72" x14ac:dyDescent="0.25">
      <c r="BM1335" s="81"/>
      <c r="BN1335" s="81"/>
      <c r="BO1335" s="81"/>
      <c r="BP1335" s="81"/>
      <c r="BQ1335" s="81"/>
      <c r="BR1335" s="81"/>
      <c r="BS1335" s="81"/>
      <c r="BT1335" s="81"/>
    </row>
    <row r="1336" spans="65:72" x14ac:dyDescent="0.25">
      <c r="BM1336" s="81"/>
      <c r="BN1336" s="81"/>
      <c r="BO1336" s="81"/>
      <c r="BP1336" s="81"/>
      <c r="BQ1336" s="81"/>
      <c r="BR1336" s="81"/>
      <c r="BS1336" s="81"/>
      <c r="BT1336" s="81"/>
    </row>
    <row r="1337" spans="65:72" x14ac:dyDescent="0.25">
      <c r="BM1337" s="81"/>
      <c r="BN1337" s="81"/>
      <c r="BO1337" s="81"/>
      <c r="BP1337" s="81"/>
      <c r="BQ1337" s="81"/>
      <c r="BR1337" s="81"/>
      <c r="BS1337" s="81"/>
      <c r="BT1337" s="81"/>
    </row>
    <row r="1338" spans="65:72" x14ac:dyDescent="0.25">
      <c r="BM1338" s="81"/>
      <c r="BN1338" s="81"/>
      <c r="BO1338" s="81"/>
      <c r="BP1338" s="81"/>
      <c r="BQ1338" s="81"/>
      <c r="BR1338" s="81"/>
      <c r="BS1338" s="81"/>
      <c r="BT1338" s="81"/>
    </row>
    <row r="1339" spans="65:72" x14ac:dyDescent="0.25">
      <c r="BM1339" s="81"/>
      <c r="BN1339" s="81"/>
      <c r="BO1339" s="81"/>
      <c r="BP1339" s="81"/>
      <c r="BQ1339" s="81"/>
      <c r="BR1339" s="81"/>
      <c r="BS1339" s="81"/>
      <c r="BT1339" s="81"/>
    </row>
    <row r="1340" spans="65:72" x14ac:dyDescent="0.25">
      <c r="BM1340" s="81"/>
      <c r="BN1340" s="81"/>
      <c r="BO1340" s="81"/>
      <c r="BP1340" s="81"/>
      <c r="BQ1340" s="81"/>
      <c r="BR1340" s="81"/>
      <c r="BS1340" s="81"/>
      <c r="BT1340" s="81"/>
    </row>
    <row r="1341" spans="65:72" x14ac:dyDescent="0.25">
      <c r="BM1341" s="81"/>
      <c r="BN1341" s="81"/>
      <c r="BO1341" s="81"/>
      <c r="BP1341" s="81"/>
      <c r="BQ1341" s="81"/>
      <c r="BR1341" s="81"/>
      <c r="BS1341" s="81"/>
      <c r="BT1341" s="81"/>
    </row>
    <row r="1342" spans="65:72" x14ac:dyDescent="0.25">
      <c r="BM1342" s="81"/>
      <c r="BN1342" s="81"/>
      <c r="BO1342" s="81"/>
      <c r="BP1342" s="81"/>
      <c r="BQ1342" s="81"/>
      <c r="BR1342" s="81"/>
      <c r="BS1342" s="81"/>
      <c r="BT1342" s="81"/>
    </row>
    <row r="1343" spans="65:72" x14ac:dyDescent="0.25">
      <c r="BM1343" s="81"/>
      <c r="BN1343" s="81"/>
      <c r="BO1343" s="81"/>
      <c r="BP1343" s="81"/>
      <c r="BQ1343" s="81"/>
      <c r="BR1343" s="81"/>
      <c r="BS1343" s="81"/>
      <c r="BT1343" s="81"/>
    </row>
    <row r="1344" spans="65:72" x14ac:dyDescent="0.25">
      <c r="BM1344" s="81"/>
      <c r="BN1344" s="81"/>
      <c r="BO1344" s="81"/>
      <c r="BP1344" s="81"/>
      <c r="BQ1344" s="81"/>
      <c r="BR1344" s="81"/>
      <c r="BS1344" s="81"/>
      <c r="BT1344" s="81"/>
    </row>
    <row r="1345" spans="65:72" x14ac:dyDescent="0.25">
      <c r="BM1345" s="81"/>
      <c r="BN1345" s="81"/>
      <c r="BO1345" s="81"/>
      <c r="BP1345" s="81"/>
      <c r="BQ1345" s="81"/>
      <c r="BR1345" s="81"/>
      <c r="BS1345" s="81"/>
      <c r="BT1345" s="81"/>
    </row>
    <row r="1346" spans="65:72" x14ac:dyDescent="0.25">
      <c r="BM1346" s="81"/>
      <c r="BN1346" s="81"/>
      <c r="BO1346" s="81"/>
      <c r="BP1346" s="81"/>
      <c r="BQ1346" s="81"/>
      <c r="BR1346" s="81"/>
      <c r="BS1346" s="81"/>
      <c r="BT1346" s="81"/>
    </row>
    <row r="1347" spans="65:72" x14ac:dyDescent="0.25">
      <c r="BM1347" s="81"/>
      <c r="BN1347" s="81"/>
      <c r="BO1347" s="81"/>
      <c r="BP1347" s="81"/>
      <c r="BQ1347" s="81"/>
      <c r="BR1347" s="81"/>
      <c r="BS1347" s="81"/>
      <c r="BT1347" s="81"/>
    </row>
    <row r="1348" spans="65:72" x14ac:dyDescent="0.25">
      <c r="BM1348" s="81"/>
      <c r="BN1348" s="81"/>
      <c r="BO1348" s="81"/>
      <c r="BP1348" s="81"/>
      <c r="BQ1348" s="81"/>
      <c r="BR1348" s="81"/>
      <c r="BS1348" s="81"/>
      <c r="BT1348" s="81"/>
    </row>
    <row r="1349" spans="65:72" x14ac:dyDescent="0.25">
      <c r="BM1349" s="81"/>
      <c r="BN1349" s="81"/>
      <c r="BO1349" s="81"/>
      <c r="BP1349" s="81"/>
      <c r="BQ1349" s="81"/>
      <c r="BR1349" s="81"/>
      <c r="BS1349" s="81"/>
      <c r="BT1349" s="81"/>
    </row>
    <row r="1350" spans="65:72" x14ac:dyDescent="0.25">
      <c r="BM1350" s="81"/>
      <c r="BN1350" s="81"/>
      <c r="BO1350" s="81"/>
      <c r="BP1350" s="81"/>
      <c r="BQ1350" s="81"/>
      <c r="BR1350" s="81"/>
      <c r="BS1350" s="81"/>
      <c r="BT1350" s="81"/>
    </row>
    <row r="1351" spans="65:72" x14ac:dyDescent="0.25">
      <c r="BM1351" s="81"/>
      <c r="BN1351" s="81"/>
      <c r="BO1351" s="81"/>
      <c r="BP1351" s="81"/>
      <c r="BQ1351" s="81"/>
      <c r="BR1351" s="81"/>
      <c r="BS1351" s="81"/>
      <c r="BT1351" s="81"/>
    </row>
    <row r="1352" spans="65:72" x14ac:dyDescent="0.25">
      <c r="BM1352" s="81"/>
      <c r="BN1352" s="81"/>
      <c r="BO1352" s="81"/>
      <c r="BP1352" s="81"/>
      <c r="BQ1352" s="81"/>
      <c r="BR1352" s="81"/>
      <c r="BS1352" s="81"/>
      <c r="BT1352" s="81"/>
    </row>
    <row r="1353" spans="65:72" x14ac:dyDescent="0.25">
      <c r="BM1353" s="81"/>
      <c r="BN1353" s="81"/>
      <c r="BO1353" s="81"/>
      <c r="BP1353" s="81"/>
      <c r="BQ1353" s="81"/>
      <c r="BR1353" s="81"/>
      <c r="BS1353" s="81"/>
      <c r="BT1353" s="81"/>
    </row>
    <row r="1354" spans="65:72" x14ac:dyDescent="0.25">
      <c r="BM1354" s="81"/>
      <c r="BN1354" s="81"/>
      <c r="BO1354" s="81"/>
      <c r="BP1354" s="81"/>
      <c r="BQ1354" s="81"/>
      <c r="BR1354" s="81"/>
      <c r="BS1354" s="81"/>
      <c r="BT1354" s="81"/>
    </row>
    <row r="1355" spans="65:72" x14ac:dyDescent="0.25">
      <c r="BM1355" s="81"/>
      <c r="BN1355" s="81"/>
      <c r="BO1355" s="81"/>
      <c r="BP1355" s="81"/>
      <c r="BQ1355" s="81"/>
      <c r="BR1355" s="81"/>
      <c r="BS1355" s="81"/>
      <c r="BT1355" s="81"/>
    </row>
    <row r="1356" spans="65:72" x14ac:dyDescent="0.25">
      <c r="BM1356" s="81"/>
      <c r="BN1356" s="81"/>
      <c r="BO1356" s="81"/>
      <c r="BP1356" s="81"/>
      <c r="BQ1356" s="81"/>
      <c r="BR1356" s="81"/>
      <c r="BS1356" s="81"/>
      <c r="BT1356" s="81"/>
    </row>
    <row r="1357" spans="65:72" x14ac:dyDescent="0.25">
      <c r="BM1357" s="81"/>
      <c r="BN1357" s="81"/>
      <c r="BO1357" s="81"/>
      <c r="BP1357" s="81"/>
      <c r="BQ1357" s="81"/>
      <c r="BR1357" s="81"/>
      <c r="BS1357" s="81"/>
      <c r="BT1357" s="81"/>
    </row>
    <row r="1358" spans="65:72" x14ac:dyDescent="0.25">
      <c r="BM1358" s="81"/>
      <c r="BN1358" s="81"/>
      <c r="BO1358" s="81"/>
      <c r="BP1358" s="81"/>
      <c r="BQ1358" s="81"/>
      <c r="BR1358" s="81"/>
      <c r="BS1358" s="81"/>
      <c r="BT1358" s="81"/>
    </row>
    <row r="1359" spans="65:72" x14ac:dyDescent="0.25">
      <c r="BM1359" s="81"/>
      <c r="BN1359" s="81"/>
      <c r="BO1359" s="81"/>
      <c r="BP1359" s="81"/>
      <c r="BQ1359" s="81"/>
      <c r="BR1359" s="81"/>
      <c r="BS1359" s="81"/>
      <c r="BT1359" s="81"/>
    </row>
    <row r="1360" spans="65:72" x14ac:dyDescent="0.25">
      <c r="BM1360" s="81"/>
      <c r="BN1360" s="81"/>
      <c r="BO1360" s="81"/>
      <c r="BP1360" s="81"/>
      <c r="BQ1360" s="81"/>
      <c r="BR1360" s="81"/>
      <c r="BS1360" s="81"/>
      <c r="BT1360" s="81"/>
    </row>
    <row r="1361" spans="65:72" x14ac:dyDescent="0.25">
      <c r="BM1361" s="81"/>
      <c r="BN1361" s="81"/>
      <c r="BO1361" s="81"/>
      <c r="BP1361" s="81"/>
      <c r="BQ1361" s="81"/>
      <c r="BR1361" s="81"/>
      <c r="BS1361" s="81"/>
      <c r="BT1361" s="81"/>
    </row>
    <row r="1362" spans="65:72" x14ac:dyDescent="0.25">
      <c r="BM1362" s="81"/>
      <c r="BN1362" s="81"/>
      <c r="BO1362" s="81"/>
      <c r="BP1362" s="81"/>
      <c r="BQ1362" s="81"/>
      <c r="BR1362" s="81"/>
      <c r="BS1362" s="81"/>
      <c r="BT1362" s="81"/>
    </row>
    <row r="1363" spans="65:72" x14ac:dyDescent="0.25">
      <c r="BM1363" s="81"/>
      <c r="BN1363" s="81"/>
      <c r="BO1363" s="81"/>
      <c r="BP1363" s="81"/>
      <c r="BQ1363" s="81"/>
      <c r="BR1363" s="81"/>
      <c r="BS1363" s="81"/>
      <c r="BT1363" s="81"/>
    </row>
    <row r="1364" spans="65:72" x14ac:dyDescent="0.25">
      <c r="BM1364" s="81"/>
      <c r="BN1364" s="81"/>
      <c r="BO1364" s="81"/>
      <c r="BP1364" s="81"/>
      <c r="BQ1364" s="81"/>
      <c r="BR1364" s="81"/>
      <c r="BS1364" s="81"/>
      <c r="BT1364" s="81"/>
    </row>
    <row r="1365" spans="65:72" x14ac:dyDescent="0.25">
      <c r="BM1365" s="81"/>
      <c r="BN1365" s="81"/>
      <c r="BO1365" s="81"/>
      <c r="BP1365" s="81"/>
      <c r="BQ1365" s="81"/>
      <c r="BR1365" s="81"/>
      <c r="BS1365" s="81"/>
      <c r="BT1365" s="81"/>
    </row>
    <row r="1366" spans="65:72" x14ac:dyDescent="0.25">
      <c r="BM1366" s="81"/>
      <c r="BN1366" s="81"/>
      <c r="BO1366" s="81"/>
      <c r="BP1366" s="81"/>
      <c r="BQ1366" s="81"/>
      <c r="BR1366" s="81"/>
      <c r="BS1366" s="81"/>
      <c r="BT1366" s="81"/>
    </row>
    <row r="1367" spans="65:72" x14ac:dyDescent="0.25">
      <c r="BM1367" s="81"/>
      <c r="BN1367" s="81"/>
      <c r="BO1367" s="81"/>
      <c r="BP1367" s="81"/>
      <c r="BQ1367" s="81"/>
      <c r="BR1367" s="81"/>
      <c r="BS1367" s="81"/>
      <c r="BT1367" s="81"/>
    </row>
    <row r="1368" spans="65:72" x14ac:dyDescent="0.25">
      <c r="BM1368" s="81"/>
      <c r="BN1368" s="81"/>
      <c r="BO1368" s="81"/>
      <c r="BP1368" s="81"/>
      <c r="BQ1368" s="81"/>
      <c r="BR1368" s="81"/>
      <c r="BS1368" s="81"/>
      <c r="BT1368" s="81"/>
    </row>
    <row r="1369" spans="65:72" x14ac:dyDescent="0.25">
      <c r="BM1369" s="81"/>
      <c r="BN1369" s="81"/>
      <c r="BO1369" s="81"/>
      <c r="BP1369" s="81"/>
      <c r="BQ1369" s="81"/>
      <c r="BR1369" s="81"/>
      <c r="BS1369" s="81"/>
      <c r="BT1369" s="81"/>
    </row>
    <row r="1370" spans="65:72" x14ac:dyDescent="0.25">
      <c r="BM1370" s="81"/>
      <c r="BN1370" s="81"/>
      <c r="BO1370" s="81"/>
      <c r="BP1370" s="81"/>
      <c r="BQ1370" s="81"/>
      <c r="BR1370" s="81"/>
      <c r="BS1370" s="81"/>
      <c r="BT1370" s="81"/>
    </row>
    <row r="1371" spans="65:72" x14ac:dyDescent="0.25">
      <c r="BM1371" s="81"/>
      <c r="BN1371" s="81"/>
      <c r="BO1371" s="81"/>
      <c r="BP1371" s="81"/>
      <c r="BQ1371" s="81"/>
      <c r="BR1371" s="81"/>
      <c r="BS1371" s="81"/>
      <c r="BT1371" s="81"/>
    </row>
    <row r="1372" spans="65:72" x14ac:dyDescent="0.25">
      <c r="BM1372" s="81"/>
      <c r="BN1372" s="81"/>
      <c r="BO1372" s="81"/>
      <c r="BP1372" s="81"/>
      <c r="BQ1372" s="81"/>
      <c r="BR1372" s="81"/>
      <c r="BS1372" s="81"/>
      <c r="BT1372" s="81"/>
    </row>
    <row r="1373" spans="65:72" x14ac:dyDescent="0.25">
      <c r="BM1373" s="81"/>
      <c r="BN1373" s="81"/>
      <c r="BO1373" s="81"/>
      <c r="BP1373" s="81"/>
      <c r="BQ1373" s="81"/>
      <c r="BR1373" s="81"/>
      <c r="BS1373" s="81"/>
      <c r="BT1373" s="81"/>
    </row>
    <row r="1374" spans="65:72" x14ac:dyDescent="0.25">
      <c r="BM1374" s="81"/>
      <c r="BN1374" s="81"/>
      <c r="BO1374" s="81"/>
      <c r="BP1374" s="81"/>
      <c r="BQ1374" s="81"/>
      <c r="BR1374" s="81"/>
      <c r="BS1374" s="81"/>
      <c r="BT1374" s="81"/>
    </row>
    <row r="1375" spans="65:72" x14ac:dyDescent="0.25">
      <c r="BM1375" s="81"/>
      <c r="BN1375" s="81"/>
      <c r="BO1375" s="81"/>
      <c r="BP1375" s="81"/>
      <c r="BQ1375" s="81"/>
      <c r="BR1375" s="81"/>
      <c r="BS1375" s="81"/>
      <c r="BT1375" s="81"/>
    </row>
    <row r="1376" spans="65:72" x14ac:dyDescent="0.25">
      <c r="BM1376" s="81"/>
      <c r="BN1376" s="81"/>
      <c r="BO1376" s="81"/>
      <c r="BP1376" s="81"/>
      <c r="BQ1376" s="81"/>
      <c r="BR1376" s="81"/>
      <c r="BS1376" s="81"/>
      <c r="BT1376" s="81"/>
    </row>
    <row r="1377" spans="65:72" x14ac:dyDescent="0.25">
      <c r="BM1377" s="81"/>
      <c r="BN1377" s="81"/>
      <c r="BO1377" s="81"/>
      <c r="BP1377" s="81"/>
      <c r="BQ1377" s="81"/>
      <c r="BR1377" s="81"/>
      <c r="BS1377" s="81"/>
      <c r="BT1377" s="81"/>
    </row>
    <row r="1378" spans="65:72" x14ac:dyDescent="0.25">
      <c r="BM1378" s="81"/>
      <c r="BN1378" s="81"/>
      <c r="BO1378" s="81"/>
      <c r="BP1378" s="81"/>
      <c r="BQ1378" s="81"/>
      <c r="BR1378" s="81"/>
      <c r="BS1378" s="81"/>
      <c r="BT1378" s="81"/>
    </row>
    <row r="1379" spans="65:72" x14ac:dyDescent="0.25">
      <c r="BM1379" s="81"/>
      <c r="BN1379" s="81"/>
      <c r="BO1379" s="81"/>
      <c r="BP1379" s="81"/>
      <c r="BQ1379" s="81"/>
      <c r="BR1379" s="81"/>
      <c r="BS1379" s="81"/>
      <c r="BT1379" s="81"/>
    </row>
    <row r="1380" spans="65:72" x14ac:dyDescent="0.25">
      <c r="BM1380" s="81"/>
      <c r="BN1380" s="81"/>
      <c r="BO1380" s="81"/>
      <c r="BP1380" s="81"/>
      <c r="BQ1380" s="81"/>
      <c r="BR1380" s="81"/>
      <c r="BS1380" s="81"/>
      <c r="BT1380" s="81"/>
    </row>
    <row r="1381" spans="65:72" x14ac:dyDescent="0.25">
      <c r="BM1381" s="81"/>
      <c r="BN1381" s="81"/>
      <c r="BO1381" s="81"/>
      <c r="BP1381" s="81"/>
      <c r="BQ1381" s="81"/>
      <c r="BR1381" s="81"/>
      <c r="BS1381" s="81"/>
      <c r="BT1381" s="81"/>
    </row>
    <row r="1382" spans="65:72" x14ac:dyDescent="0.25">
      <c r="BM1382" s="81"/>
      <c r="BN1382" s="81"/>
      <c r="BO1382" s="81"/>
      <c r="BP1382" s="81"/>
      <c r="BQ1382" s="81"/>
      <c r="BR1382" s="81"/>
      <c r="BS1382" s="81"/>
      <c r="BT1382" s="81"/>
    </row>
    <row r="1383" spans="65:72" x14ac:dyDescent="0.25">
      <c r="BM1383" s="81"/>
      <c r="BN1383" s="81"/>
      <c r="BO1383" s="81"/>
      <c r="BP1383" s="81"/>
      <c r="BQ1383" s="81"/>
      <c r="BR1383" s="81"/>
      <c r="BS1383" s="81"/>
      <c r="BT1383" s="81"/>
    </row>
    <row r="1384" spans="65:72" x14ac:dyDescent="0.25">
      <c r="BM1384" s="81"/>
      <c r="BN1384" s="81"/>
      <c r="BO1384" s="81"/>
      <c r="BP1384" s="81"/>
      <c r="BQ1384" s="81"/>
      <c r="BR1384" s="81"/>
      <c r="BS1384" s="81"/>
      <c r="BT1384" s="81"/>
    </row>
    <row r="1385" spans="65:72" x14ac:dyDescent="0.25">
      <c r="BM1385" s="81"/>
      <c r="BN1385" s="81"/>
      <c r="BO1385" s="81"/>
      <c r="BP1385" s="81"/>
      <c r="BQ1385" s="81"/>
      <c r="BR1385" s="81"/>
      <c r="BS1385" s="81"/>
      <c r="BT1385" s="81"/>
    </row>
    <row r="1386" spans="65:72" x14ac:dyDescent="0.25">
      <c r="BM1386" s="81"/>
      <c r="BN1386" s="81"/>
      <c r="BO1386" s="81"/>
      <c r="BP1386" s="81"/>
      <c r="BQ1386" s="81"/>
      <c r="BR1386" s="81"/>
      <c r="BS1386" s="81"/>
      <c r="BT1386" s="81"/>
    </row>
    <row r="1387" spans="65:72" x14ac:dyDescent="0.25">
      <c r="BM1387" s="81"/>
      <c r="BN1387" s="81"/>
      <c r="BO1387" s="81"/>
      <c r="BP1387" s="81"/>
      <c r="BQ1387" s="81"/>
      <c r="BR1387" s="81"/>
      <c r="BS1387" s="81"/>
      <c r="BT1387" s="81"/>
    </row>
    <row r="1388" spans="65:72" x14ac:dyDescent="0.25">
      <c r="BM1388" s="81"/>
      <c r="BN1388" s="81"/>
      <c r="BO1388" s="81"/>
      <c r="BP1388" s="81"/>
      <c r="BQ1388" s="81"/>
      <c r="BR1388" s="81"/>
      <c r="BS1388" s="81"/>
      <c r="BT1388" s="81"/>
    </row>
    <row r="1389" spans="65:72" x14ac:dyDescent="0.25">
      <c r="BM1389" s="81"/>
      <c r="BN1389" s="81"/>
      <c r="BO1389" s="81"/>
      <c r="BP1389" s="81"/>
      <c r="BQ1389" s="81"/>
      <c r="BR1389" s="81"/>
      <c r="BS1389" s="81"/>
      <c r="BT1389" s="81"/>
    </row>
    <row r="1390" spans="65:72" x14ac:dyDescent="0.25">
      <c r="BM1390" s="81"/>
      <c r="BN1390" s="81"/>
      <c r="BO1390" s="81"/>
      <c r="BP1390" s="81"/>
      <c r="BQ1390" s="81"/>
      <c r="BR1390" s="81"/>
      <c r="BS1390" s="81"/>
      <c r="BT1390" s="81"/>
    </row>
    <row r="1391" spans="65:72" x14ac:dyDescent="0.25">
      <c r="BM1391" s="81"/>
      <c r="BN1391" s="81"/>
      <c r="BO1391" s="81"/>
      <c r="BP1391" s="81"/>
      <c r="BQ1391" s="81"/>
      <c r="BR1391" s="81"/>
      <c r="BS1391" s="81"/>
      <c r="BT1391" s="81"/>
    </row>
    <row r="1392" spans="65:72" x14ac:dyDescent="0.25">
      <c r="BM1392" s="81"/>
      <c r="BN1392" s="81"/>
      <c r="BO1392" s="81"/>
      <c r="BP1392" s="81"/>
      <c r="BQ1392" s="81"/>
      <c r="BR1392" s="81"/>
      <c r="BS1392" s="81"/>
      <c r="BT1392" s="81"/>
    </row>
    <row r="1393" spans="65:72" x14ac:dyDescent="0.25">
      <c r="BM1393" s="81"/>
      <c r="BN1393" s="81"/>
      <c r="BO1393" s="81"/>
      <c r="BP1393" s="81"/>
      <c r="BQ1393" s="81"/>
      <c r="BR1393" s="81"/>
      <c r="BS1393" s="81"/>
      <c r="BT1393" s="81"/>
    </row>
    <row r="1394" spans="65:72" x14ac:dyDescent="0.25">
      <c r="BM1394" s="81"/>
      <c r="BN1394" s="81"/>
      <c r="BO1394" s="81"/>
      <c r="BP1394" s="81"/>
      <c r="BQ1394" s="81"/>
      <c r="BR1394" s="81"/>
      <c r="BS1394" s="81"/>
      <c r="BT1394" s="81"/>
    </row>
    <row r="1395" spans="65:72" x14ac:dyDescent="0.25">
      <c r="BM1395" s="81"/>
      <c r="BN1395" s="81"/>
      <c r="BO1395" s="81"/>
      <c r="BP1395" s="81"/>
      <c r="BQ1395" s="81"/>
      <c r="BR1395" s="81"/>
      <c r="BS1395" s="81"/>
      <c r="BT1395" s="81"/>
    </row>
    <row r="1396" spans="65:72" x14ac:dyDescent="0.25">
      <c r="BM1396" s="81"/>
      <c r="BN1396" s="81"/>
      <c r="BO1396" s="81"/>
      <c r="BP1396" s="81"/>
      <c r="BQ1396" s="81"/>
      <c r="BR1396" s="81"/>
      <c r="BS1396" s="81"/>
      <c r="BT1396" s="81"/>
    </row>
    <row r="1397" spans="65:72" x14ac:dyDescent="0.25">
      <c r="BM1397" s="81"/>
      <c r="BN1397" s="81"/>
      <c r="BO1397" s="81"/>
      <c r="BP1397" s="81"/>
      <c r="BQ1397" s="81"/>
      <c r="BR1397" s="81"/>
      <c r="BS1397" s="81"/>
      <c r="BT1397" s="81"/>
    </row>
    <row r="1398" spans="65:72" x14ac:dyDescent="0.25">
      <c r="BM1398" s="81"/>
      <c r="BN1398" s="81"/>
      <c r="BO1398" s="81"/>
      <c r="BP1398" s="81"/>
      <c r="BQ1398" s="81"/>
      <c r="BR1398" s="81"/>
      <c r="BS1398" s="81"/>
      <c r="BT1398" s="81"/>
    </row>
    <row r="1399" spans="65:72" x14ac:dyDescent="0.25">
      <c r="BM1399" s="81"/>
      <c r="BN1399" s="81"/>
      <c r="BO1399" s="81"/>
      <c r="BP1399" s="81"/>
      <c r="BQ1399" s="81"/>
      <c r="BR1399" s="81"/>
      <c r="BS1399" s="81"/>
      <c r="BT1399" s="81"/>
    </row>
    <row r="1400" spans="65:72" x14ac:dyDescent="0.25">
      <c r="BM1400" s="81"/>
      <c r="BN1400" s="81"/>
      <c r="BO1400" s="81"/>
      <c r="BP1400" s="81"/>
      <c r="BQ1400" s="81"/>
      <c r="BR1400" s="81"/>
      <c r="BS1400" s="81"/>
      <c r="BT1400" s="81"/>
    </row>
    <row r="1401" spans="65:72" x14ac:dyDescent="0.25">
      <c r="BM1401" s="81"/>
      <c r="BN1401" s="81"/>
      <c r="BO1401" s="81"/>
      <c r="BP1401" s="81"/>
      <c r="BQ1401" s="81"/>
      <c r="BR1401" s="81"/>
      <c r="BS1401" s="81"/>
      <c r="BT1401" s="81"/>
    </row>
    <row r="1402" spans="65:72" x14ac:dyDescent="0.25">
      <c r="BM1402" s="81"/>
      <c r="BN1402" s="81"/>
      <c r="BO1402" s="81"/>
      <c r="BP1402" s="81"/>
      <c r="BQ1402" s="81"/>
      <c r="BR1402" s="81"/>
      <c r="BS1402" s="81"/>
      <c r="BT1402" s="81"/>
    </row>
    <row r="1403" spans="65:72" x14ac:dyDescent="0.25">
      <c r="BM1403" s="81"/>
      <c r="BN1403" s="81"/>
      <c r="BO1403" s="81"/>
      <c r="BP1403" s="81"/>
      <c r="BQ1403" s="81"/>
      <c r="BR1403" s="81"/>
      <c r="BS1403" s="81"/>
      <c r="BT1403" s="81"/>
    </row>
    <row r="1404" spans="65:72" x14ac:dyDescent="0.25">
      <c r="BM1404" s="81"/>
      <c r="BN1404" s="81"/>
      <c r="BO1404" s="81"/>
      <c r="BP1404" s="81"/>
      <c r="BQ1404" s="81"/>
      <c r="BR1404" s="81"/>
      <c r="BS1404" s="81"/>
      <c r="BT1404" s="81"/>
    </row>
    <row r="1405" spans="65:72" x14ac:dyDescent="0.25">
      <c r="BM1405" s="81"/>
      <c r="BN1405" s="81"/>
      <c r="BO1405" s="81"/>
      <c r="BP1405" s="81"/>
      <c r="BQ1405" s="81"/>
      <c r="BR1405" s="81"/>
      <c r="BS1405" s="81"/>
      <c r="BT1405" s="81"/>
    </row>
    <row r="1406" spans="65:72" x14ac:dyDescent="0.25">
      <c r="BM1406" s="81"/>
      <c r="BN1406" s="81"/>
      <c r="BO1406" s="81"/>
      <c r="BP1406" s="81"/>
      <c r="BQ1406" s="81"/>
      <c r="BR1406" s="81"/>
      <c r="BS1406" s="81"/>
      <c r="BT1406" s="81"/>
    </row>
    <row r="1407" spans="65:72" x14ac:dyDescent="0.25">
      <c r="BM1407" s="81"/>
      <c r="BN1407" s="81"/>
      <c r="BO1407" s="81"/>
      <c r="BP1407" s="81"/>
      <c r="BQ1407" s="81"/>
      <c r="BR1407" s="81"/>
      <c r="BS1407" s="81"/>
      <c r="BT1407" s="81"/>
    </row>
    <row r="1408" spans="65:72" x14ac:dyDescent="0.25">
      <c r="BM1408" s="81"/>
      <c r="BN1408" s="81"/>
      <c r="BO1408" s="81"/>
      <c r="BP1408" s="81"/>
      <c r="BQ1408" s="81"/>
      <c r="BR1408" s="81"/>
      <c r="BS1408" s="81"/>
      <c r="BT1408" s="81"/>
    </row>
    <row r="1409" spans="65:72" x14ac:dyDescent="0.25">
      <c r="BM1409" s="81"/>
      <c r="BN1409" s="81"/>
      <c r="BO1409" s="81"/>
      <c r="BP1409" s="81"/>
      <c r="BQ1409" s="81"/>
      <c r="BR1409" s="81"/>
      <c r="BS1409" s="81"/>
      <c r="BT1409" s="81"/>
    </row>
    <row r="1410" spans="65:72" x14ac:dyDescent="0.25">
      <c r="BM1410" s="81"/>
      <c r="BN1410" s="81"/>
      <c r="BO1410" s="81"/>
      <c r="BP1410" s="81"/>
      <c r="BQ1410" s="81"/>
      <c r="BR1410" s="81"/>
      <c r="BS1410" s="81"/>
      <c r="BT1410" s="81"/>
    </row>
    <row r="1411" spans="65:72" x14ac:dyDescent="0.25">
      <c r="BM1411" s="81"/>
      <c r="BN1411" s="81"/>
      <c r="BO1411" s="81"/>
      <c r="BP1411" s="81"/>
      <c r="BQ1411" s="81"/>
      <c r="BR1411" s="81"/>
      <c r="BS1411" s="81"/>
      <c r="BT1411" s="81"/>
    </row>
    <row r="1412" spans="65:72" x14ac:dyDescent="0.25">
      <c r="BM1412" s="81"/>
      <c r="BN1412" s="81"/>
      <c r="BO1412" s="81"/>
      <c r="BP1412" s="81"/>
      <c r="BQ1412" s="81"/>
      <c r="BR1412" s="81"/>
      <c r="BS1412" s="81"/>
      <c r="BT1412" s="81"/>
    </row>
    <row r="1413" spans="65:72" x14ac:dyDescent="0.25">
      <c r="BM1413" s="81"/>
      <c r="BN1413" s="81"/>
      <c r="BO1413" s="81"/>
      <c r="BP1413" s="81"/>
      <c r="BQ1413" s="81"/>
      <c r="BR1413" s="81"/>
      <c r="BS1413" s="81"/>
      <c r="BT1413" s="81"/>
    </row>
    <row r="1414" spans="65:72" x14ac:dyDescent="0.25">
      <c r="BM1414" s="81"/>
      <c r="BN1414" s="81"/>
      <c r="BO1414" s="81"/>
      <c r="BP1414" s="81"/>
      <c r="BQ1414" s="81"/>
      <c r="BR1414" s="81"/>
      <c r="BS1414" s="81"/>
      <c r="BT1414" s="81"/>
    </row>
    <row r="1415" spans="65:72" x14ac:dyDescent="0.25">
      <c r="BM1415" s="81"/>
      <c r="BN1415" s="81"/>
      <c r="BO1415" s="81"/>
      <c r="BP1415" s="81"/>
      <c r="BQ1415" s="81"/>
      <c r="BR1415" s="81"/>
      <c r="BS1415" s="81"/>
      <c r="BT1415" s="81"/>
    </row>
    <row r="1416" spans="65:72" x14ac:dyDescent="0.25">
      <c r="BM1416" s="81"/>
      <c r="BN1416" s="81"/>
      <c r="BO1416" s="81"/>
      <c r="BP1416" s="81"/>
      <c r="BQ1416" s="81"/>
      <c r="BR1416" s="81"/>
      <c r="BS1416" s="81"/>
      <c r="BT1416" s="81"/>
    </row>
    <row r="1417" spans="65:72" x14ac:dyDescent="0.25">
      <c r="BM1417" s="81"/>
      <c r="BN1417" s="81"/>
      <c r="BO1417" s="81"/>
      <c r="BP1417" s="81"/>
      <c r="BQ1417" s="81"/>
      <c r="BR1417" s="81"/>
      <c r="BS1417" s="81"/>
      <c r="BT1417" s="81"/>
    </row>
    <row r="1418" spans="65:72" x14ac:dyDescent="0.25">
      <c r="BM1418" s="81"/>
      <c r="BN1418" s="81"/>
      <c r="BO1418" s="81"/>
      <c r="BP1418" s="81"/>
      <c r="BQ1418" s="81"/>
      <c r="BR1418" s="81"/>
      <c r="BS1418" s="81"/>
      <c r="BT1418" s="81"/>
    </row>
    <row r="1419" spans="65:72" x14ac:dyDescent="0.25">
      <c r="BM1419" s="81"/>
      <c r="BN1419" s="81"/>
      <c r="BO1419" s="81"/>
      <c r="BP1419" s="81"/>
      <c r="BQ1419" s="81"/>
      <c r="BR1419" s="81"/>
      <c r="BS1419" s="81"/>
      <c r="BT1419" s="81"/>
    </row>
    <row r="1420" spans="65:72" x14ac:dyDescent="0.25">
      <c r="BM1420" s="81"/>
      <c r="BN1420" s="81"/>
      <c r="BO1420" s="81"/>
      <c r="BP1420" s="81"/>
      <c r="BQ1420" s="81"/>
      <c r="BR1420" s="81"/>
      <c r="BS1420" s="81"/>
      <c r="BT1420" s="81"/>
    </row>
    <row r="1421" spans="65:72" x14ac:dyDescent="0.25">
      <c r="BM1421" s="81"/>
      <c r="BN1421" s="81"/>
      <c r="BO1421" s="81"/>
      <c r="BP1421" s="81"/>
      <c r="BQ1421" s="81"/>
      <c r="BR1421" s="81"/>
      <c r="BS1421" s="81"/>
      <c r="BT1421" s="81"/>
    </row>
    <row r="1422" spans="65:72" x14ac:dyDescent="0.25">
      <c r="BM1422" s="81"/>
      <c r="BN1422" s="81"/>
      <c r="BO1422" s="81"/>
      <c r="BP1422" s="81"/>
      <c r="BQ1422" s="81"/>
      <c r="BR1422" s="81"/>
      <c r="BS1422" s="81"/>
      <c r="BT1422" s="81"/>
    </row>
    <row r="1423" spans="65:72" x14ac:dyDescent="0.25">
      <c r="BM1423" s="81"/>
      <c r="BN1423" s="81"/>
      <c r="BO1423" s="81"/>
      <c r="BP1423" s="81"/>
      <c r="BQ1423" s="81"/>
      <c r="BR1423" s="81"/>
      <c r="BS1423" s="81"/>
      <c r="BT1423" s="81"/>
    </row>
    <row r="1424" spans="65:72" x14ac:dyDescent="0.25">
      <c r="BM1424" s="81"/>
      <c r="BN1424" s="81"/>
      <c r="BO1424" s="81"/>
      <c r="BP1424" s="81"/>
      <c r="BQ1424" s="81"/>
      <c r="BR1424" s="81"/>
      <c r="BS1424" s="81"/>
      <c r="BT1424" s="81"/>
    </row>
    <row r="1425" spans="65:72" x14ac:dyDescent="0.25">
      <c r="BM1425" s="81"/>
      <c r="BN1425" s="81"/>
      <c r="BO1425" s="81"/>
      <c r="BP1425" s="81"/>
      <c r="BQ1425" s="81"/>
      <c r="BR1425" s="81"/>
      <c r="BS1425" s="81"/>
      <c r="BT1425" s="81"/>
    </row>
    <row r="1426" spans="65:72" x14ac:dyDescent="0.25">
      <c r="BM1426" s="81"/>
      <c r="BN1426" s="81"/>
      <c r="BO1426" s="81"/>
      <c r="BP1426" s="81"/>
      <c r="BQ1426" s="81"/>
      <c r="BR1426" s="81"/>
      <c r="BS1426" s="81"/>
      <c r="BT1426" s="81"/>
    </row>
    <row r="1427" spans="65:72" x14ac:dyDescent="0.25">
      <c r="BM1427" s="81"/>
      <c r="BN1427" s="81"/>
      <c r="BO1427" s="81"/>
      <c r="BP1427" s="81"/>
      <c r="BQ1427" s="81"/>
      <c r="BR1427" s="81"/>
      <c r="BS1427" s="81"/>
      <c r="BT1427" s="81"/>
    </row>
    <row r="1428" spans="65:72" x14ac:dyDescent="0.25">
      <c r="BM1428" s="81"/>
      <c r="BN1428" s="81"/>
      <c r="BO1428" s="81"/>
      <c r="BP1428" s="81"/>
      <c r="BQ1428" s="81"/>
      <c r="BR1428" s="81"/>
      <c r="BS1428" s="81"/>
      <c r="BT1428" s="81"/>
    </row>
    <row r="1429" spans="65:72" x14ac:dyDescent="0.25">
      <c r="BM1429" s="81"/>
      <c r="BN1429" s="81"/>
      <c r="BO1429" s="81"/>
      <c r="BP1429" s="81"/>
      <c r="BQ1429" s="81"/>
      <c r="BR1429" s="81"/>
      <c r="BS1429" s="81"/>
      <c r="BT1429" s="81"/>
    </row>
    <row r="1430" spans="65:72" x14ac:dyDescent="0.25">
      <c r="BM1430" s="81"/>
      <c r="BN1430" s="81"/>
      <c r="BO1430" s="81"/>
      <c r="BP1430" s="81"/>
      <c r="BQ1430" s="81"/>
      <c r="BR1430" s="81"/>
      <c r="BS1430" s="81"/>
      <c r="BT1430" s="81"/>
    </row>
    <row r="1431" spans="65:72" x14ac:dyDescent="0.25">
      <c r="BM1431" s="81"/>
      <c r="BN1431" s="81"/>
      <c r="BO1431" s="81"/>
      <c r="BP1431" s="81"/>
      <c r="BQ1431" s="81"/>
      <c r="BR1431" s="81"/>
      <c r="BS1431" s="81"/>
      <c r="BT1431" s="81"/>
    </row>
    <row r="1432" spans="65:72" x14ac:dyDescent="0.25">
      <c r="BM1432" s="81"/>
      <c r="BN1432" s="81"/>
      <c r="BO1432" s="81"/>
      <c r="BP1432" s="81"/>
      <c r="BQ1432" s="81"/>
      <c r="BR1432" s="81"/>
      <c r="BS1432" s="81"/>
      <c r="BT1432" s="81"/>
    </row>
    <row r="1433" spans="65:72" x14ac:dyDescent="0.25">
      <c r="BM1433" s="81"/>
      <c r="BN1433" s="81"/>
      <c r="BO1433" s="81"/>
      <c r="BP1433" s="81"/>
      <c r="BQ1433" s="81"/>
      <c r="BR1433" s="81"/>
      <c r="BS1433" s="81"/>
      <c r="BT1433" s="81"/>
    </row>
    <row r="1434" spans="65:72" x14ac:dyDescent="0.25">
      <c r="BM1434" s="81"/>
      <c r="BN1434" s="81"/>
      <c r="BO1434" s="81"/>
      <c r="BP1434" s="81"/>
      <c r="BQ1434" s="81"/>
      <c r="BR1434" s="81"/>
      <c r="BS1434" s="81"/>
      <c r="BT1434" s="81"/>
    </row>
    <row r="1435" spans="65:72" x14ac:dyDescent="0.25">
      <c r="BM1435" s="81"/>
      <c r="BN1435" s="81"/>
      <c r="BO1435" s="81"/>
      <c r="BP1435" s="81"/>
      <c r="BQ1435" s="81"/>
      <c r="BR1435" s="81"/>
      <c r="BS1435" s="81"/>
      <c r="BT1435" s="81"/>
    </row>
    <row r="1436" spans="65:72" x14ac:dyDescent="0.25">
      <c r="BM1436" s="81"/>
      <c r="BN1436" s="81"/>
      <c r="BO1436" s="81"/>
      <c r="BP1436" s="81"/>
      <c r="BQ1436" s="81"/>
      <c r="BR1436" s="81"/>
      <c r="BS1436" s="81"/>
      <c r="BT1436" s="81"/>
    </row>
    <row r="1437" spans="65:72" x14ac:dyDescent="0.25">
      <c r="BM1437" s="81"/>
      <c r="BN1437" s="81"/>
      <c r="BO1437" s="81"/>
      <c r="BP1437" s="81"/>
      <c r="BQ1437" s="81"/>
      <c r="BR1437" s="81"/>
      <c r="BS1437" s="81"/>
      <c r="BT1437" s="81"/>
    </row>
    <row r="1438" spans="65:72" x14ac:dyDescent="0.25">
      <c r="BM1438" s="81"/>
      <c r="BN1438" s="81"/>
      <c r="BO1438" s="81"/>
      <c r="BP1438" s="81"/>
      <c r="BQ1438" s="81"/>
      <c r="BR1438" s="81"/>
      <c r="BS1438" s="81"/>
      <c r="BT1438" s="81"/>
    </row>
    <row r="1439" spans="65:72" x14ac:dyDescent="0.25">
      <c r="BM1439" s="81"/>
      <c r="BN1439" s="81"/>
      <c r="BO1439" s="81"/>
      <c r="BP1439" s="81"/>
      <c r="BQ1439" s="81"/>
      <c r="BR1439" s="81"/>
      <c r="BS1439" s="81"/>
      <c r="BT1439" s="81"/>
    </row>
    <row r="1440" spans="65:72" x14ac:dyDescent="0.25">
      <c r="BM1440" s="81"/>
      <c r="BN1440" s="81"/>
      <c r="BO1440" s="81"/>
      <c r="BP1440" s="81"/>
      <c r="BQ1440" s="81"/>
      <c r="BR1440" s="81"/>
      <c r="BS1440" s="81"/>
      <c r="BT1440" s="81"/>
    </row>
    <row r="1441" spans="65:72" x14ac:dyDescent="0.25">
      <c r="BM1441" s="81"/>
      <c r="BN1441" s="81"/>
      <c r="BO1441" s="81"/>
      <c r="BP1441" s="81"/>
      <c r="BQ1441" s="81"/>
      <c r="BR1441" s="81"/>
      <c r="BS1441" s="81"/>
      <c r="BT1441" s="81"/>
    </row>
    <row r="1442" spans="65:72" x14ac:dyDescent="0.25">
      <c r="BM1442" s="81"/>
      <c r="BN1442" s="81"/>
      <c r="BO1442" s="81"/>
      <c r="BP1442" s="81"/>
      <c r="BQ1442" s="81"/>
      <c r="BR1442" s="81"/>
      <c r="BS1442" s="81"/>
      <c r="BT1442" s="81"/>
    </row>
    <row r="1443" spans="65:72" x14ac:dyDescent="0.25">
      <c r="BM1443" s="81"/>
      <c r="BN1443" s="81"/>
      <c r="BO1443" s="81"/>
      <c r="BP1443" s="81"/>
      <c r="BQ1443" s="81"/>
      <c r="BR1443" s="81"/>
      <c r="BS1443" s="81"/>
      <c r="BT1443" s="81"/>
    </row>
    <row r="1444" spans="65:72" x14ac:dyDescent="0.25">
      <c r="BM1444" s="81"/>
      <c r="BN1444" s="81"/>
      <c r="BO1444" s="81"/>
      <c r="BP1444" s="81"/>
      <c r="BQ1444" s="81"/>
      <c r="BR1444" s="81"/>
      <c r="BS1444" s="81"/>
      <c r="BT1444" s="81"/>
    </row>
    <row r="1445" spans="65:72" x14ac:dyDescent="0.25">
      <c r="BM1445" s="81"/>
      <c r="BN1445" s="81"/>
      <c r="BO1445" s="81"/>
      <c r="BP1445" s="81"/>
      <c r="BQ1445" s="81"/>
      <c r="BR1445" s="81"/>
      <c r="BS1445" s="81"/>
      <c r="BT1445" s="81"/>
    </row>
    <row r="1446" spans="65:72" x14ac:dyDescent="0.25">
      <c r="BM1446" s="81"/>
      <c r="BN1446" s="81"/>
      <c r="BO1446" s="81"/>
      <c r="BP1446" s="81"/>
      <c r="BQ1446" s="81"/>
      <c r="BR1446" s="81"/>
      <c r="BS1446" s="81"/>
      <c r="BT1446" s="81"/>
    </row>
    <row r="1447" spans="65:72" x14ac:dyDescent="0.25">
      <c r="BM1447" s="81"/>
      <c r="BN1447" s="81"/>
      <c r="BO1447" s="81"/>
      <c r="BP1447" s="81"/>
      <c r="BQ1447" s="81"/>
      <c r="BR1447" s="81"/>
      <c r="BS1447" s="81"/>
      <c r="BT1447" s="81"/>
    </row>
    <row r="1448" spans="65:72" x14ac:dyDescent="0.25">
      <c r="BM1448" s="81"/>
      <c r="BN1448" s="81"/>
      <c r="BO1448" s="81"/>
      <c r="BP1448" s="81"/>
      <c r="BQ1448" s="81"/>
      <c r="BR1448" s="81"/>
      <c r="BS1448" s="81"/>
      <c r="BT1448" s="81"/>
    </row>
    <row r="1449" spans="65:72" x14ac:dyDescent="0.25">
      <c r="BM1449" s="81"/>
      <c r="BN1449" s="81"/>
      <c r="BO1449" s="81"/>
      <c r="BP1449" s="81"/>
      <c r="BQ1449" s="81"/>
      <c r="BR1449" s="81"/>
      <c r="BS1449" s="81"/>
      <c r="BT1449" s="81"/>
    </row>
    <row r="1450" spans="65:72" x14ac:dyDescent="0.25">
      <c r="BM1450" s="81"/>
      <c r="BN1450" s="81"/>
      <c r="BO1450" s="81"/>
      <c r="BP1450" s="81"/>
      <c r="BQ1450" s="81"/>
      <c r="BR1450" s="81"/>
      <c r="BS1450" s="81"/>
      <c r="BT1450" s="81"/>
    </row>
    <row r="1451" spans="65:72" x14ac:dyDescent="0.25">
      <c r="BM1451" s="81"/>
      <c r="BN1451" s="81"/>
      <c r="BO1451" s="81"/>
      <c r="BP1451" s="81"/>
      <c r="BQ1451" s="81"/>
      <c r="BR1451" s="81"/>
      <c r="BS1451" s="81"/>
      <c r="BT1451" s="81"/>
    </row>
    <row r="1452" spans="65:72" x14ac:dyDescent="0.25">
      <c r="BM1452" s="81"/>
      <c r="BN1452" s="81"/>
      <c r="BO1452" s="81"/>
      <c r="BP1452" s="81"/>
      <c r="BQ1452" s="81"/>
      <c r="BR1452" s="81"/>
      <c r="BS1452" s="81"/>
      <c r="BT1452" s="81"/>
    </row>
    <row r="1453" spans="65:72" x14ac:dyDescent="0.25">
      <c r="BM1453" s="81"/>
      <c r="BN1453" s="81"/>
      <c r="BO1453" s="81"/>
      <c r="BP1453" s="81"/>
      <c r="BQ1453" s="81"/>
      <c r="BR1453" s="81"/>
      <c r="BS1453" s="81"/>
      <c r="BT1453" s="81"/>
    </row>
    <row r="1454" spans="65:72" x14ac:dyDescent="0.25">
      <c r="BM1454" s="81"/>
      <c r="BN1454" s="81"/>
      <c r="BO1454" s="81"/>
      <c r="BP1454" s="81"/>
      <c r="BQ1454" s="81"/>
      <c r="BR1454" s="81"/>
      <c r="BS1454" s="81"/>
      <c r="BT1454" s="81"/>
    </row>
    <row r="1455" spans="65:72" x14ac:dyDescent="0.25">
      <c r="BM1455" s="81"/>
      <c r="BN1455" s="81"/>
      <c r="BO1455" s="81"/>
      <c r="BP1455" s="81"/>
      <c r="BQ1455" s="81"/>
      <c r="BR1455" s="81"/>
      <c r="BS1455" s="81"/>
      <c r="BT1455" s="81"/>
    </row>
    <row r="1456" spans="65:72" x14ac:dyDescent="0.25">
      <c r="BM1456" s="81"/>
      <c r="BN1456" s="81"/>
      <c r="BO1456" s="81"/>
      <c r="BP1456" s="81"/>
      <c r="BQ1456" s="81"/>
      <c r="BR1456" s="81"/>
      <c r="BS1456" s="81"/>
      <c r="BT1456" s="81"/>
    </row>
    <row r="1457" spans="65:72" x14ac:dyDescent="0.25">
      <c r="BM1457" s="81"/>
      <c r="BN1457" s="81"/>
      <c r="BO1457" s="81"/>
      <c r="BP1457" s="81"/>
      <c r="BQ1457" s="81"/>
      <c r="BR1457" s="81"/>
      <c r="BS1457" s="81"/>
      <c r="BT1457" s="81"/>
    </row>
    <row r="1458" spans="65:72" x14ac:dyDescent="0.25">
      <c r="BM1458" s="81"/>
      <c r="BN1458" s="81"/>
      <c r="BO1458" s="81"/>
      <c r="BP1458" s="81"/>
      <c r="BQ1458" s="81"/>
      <c r="BR1458" s="81"/>
      <c r="BS1458" s="81"/>
      <c r="BT1458" s="81"/>
    </row>
    <row r="1459" spans="65:72" x14ac:dyDescent="0.25">
      <c r="BM1459" s="81"/>
      <c r="BN1459" s="81"/>
      <c r="BO1459" s="81"/>
      <c r="BP1459" s="81"/>
      <c r="BQ1459" s="81"/>
      <c r="BR1459" s="81"/>
      <c r="BS1459" s="81"/>
      <c r="BT1459" s="81"/>
    </row>
    <row r="1460" spans="65:72" x14ac:dyDescent="0.25">
      <c r="BM1460" s="81"/>
      <c r="BN1460" s="81"/>
      <c r="BO1460" s="81"/>
      <c r="BP1460" s="81"/>
      <c r="BQ1460" s="81"/>
      <c r="BR1460" s="81"/>
      <c r="BS1460" s="81"/>
      <c r="BT1460" s="81"/>
    </row>
    <row r="1461" spans="65:72" x14ac:dyDescent="0.25">
      <c r="BM1461" s="81"/>
      <c r="BN1461" s="81"/>
      <c r="BO1461" s="81"/>
      <c r="BP1461" s="81"/>
      <c r="BQ1461" s="81"/>
      <c r="BR1461" s="81"/>
      <c r="BS1461" s="81"/>
      <c r="BT1461" s="81"/>
    </row>
    <row r="1462" spans="65:72" x14ac:dyDescent="0.25">
      <c r="BM1462" s="81"/>
      <c r="BN1462" s="81"/>
      <c r="BO1462" s="81"/>
      <c r="BP1462" s="81"/>
      <c r="BQ1462" s="81"/>
      <c r="BR1462" s="81"/>
      <c r="BS1462" s="81"/>
      <c r="BT1462" s="81"/>
    </row>
    <row r="1463" spans="65:72" x14ac:dyDescent="0.25">
      <c r="BM1463" s="81"/>
      <c r="BN1463" s="81"/>
      <c r="BO1463" s="81"/>
      <c r="BP1463" s="81"/>
      <c r="BQ1463" s="81"/>
      <c r="BR1463" s="81"/>
      <c r="BS1463" s="81"/>
      <c r="BT1463" s="81"/>
    </row>
    <row r="1464" spans="65:72" x14ac:dyDescent="0.25">
      <c r="BM1464" s="81"/>
      <c r="BN1464" s="81"/>
      <c r="BO1464" s="81"/>
      <c r="BP1464" s="81"/>
      <c r="BQ1464" s="81"/>
      <c r="BR1464" s="81"/>
      <c r="BS1464" s="81"/>
      <c r="BT1464" s="81"/>
    </row>
    <row r="1465" spans="65:72" x14ac:dyDescent="0.25">
      <c r="BM1465" s="81"/>
      <c r="BN1465" s="81"/>
      <c r="BO1465" s="81"/>
      <c r="BP1465" s="81"/>
      <c r="BQ1465" s="81"/>
      <c r="BR1465" s="81"/>
      <c r="BS1465" s="81"/>
      <c r="BT1465" s="81"/>
    </row>
    <row r="1466" spans="65:72" x14ac:dyDescent="0.25">
      <c r="BM1466" s="81"/>
      <c r="BN1466" s="81"/>
      <c r="BO1466" s="81"/>
      <c r="BP1466" s="81"/>
      <c r="BQ1466" s="81"/>
      <c r="BR1466" s="81"/>
      <c r="BS1466" s="81"/>
      <c r="BT1466" s="81"/>
    </row>
    <row r="1467" spans="65:72" x14ac:dyDescent="0.25">
      <c r="BM1467" s="81"/>
      <c r="BN1467" s="81"/>
      <c r="BO1467" s="81"/>
      <c r="BP1467" s="81"/>
      <c r="BQ1467" s="81"/>
      <c r="BR1467" s="81"/>
      <c r="BS1467" s="81"/>
      <c r="BT1467" s="81"/>
    </row>
    <row r="1468" spans="65:72" x14ac:dyDescent="0.25">
      <c r="BM1468" s="81"/>
      <c r="BN1468" s="81"/>
      <c r="BO1468" s="81"/>
      <c r="BP1468" s="81"/>
      <c r="BQ1468" s="81"/>
      <c r="BR1468" s="81"/>
      <c r="BS1468" s="81"/>
      <c r="BT1468" s="81"/>
    </row>
    <row r="1469" spans="65:72" x14ac:dyDescent="0.25">
      <c r="BM1469" s="81"/>
      <c r="BN1469" s="81"/>
      <c r="BO1469" s="81"/>
      <c r="BP1469" s="81"/>
      <c r="BQ1469" s="81"/>
      <c r="BR1469" s="81"/>
      <c r="BS1469" s="81"/>
      <c r="BT1469" s="81"/>
    </row>
    <row r="1470" spans="65:72" x14ac:dyDescent="0.25">
      <c r="BM1470" s="81"/>
      <c r="BN1470" s="81"/>
      <c r="BO1470" s="81"/>
      <c r="BP1470" s="81"/>
      <c r="BQ1470" s="81"/>
      <c r="BR1470" s="81"/>
      <c r="BS1470" s="81"/>
      <c r="BT1470" s="81"/>
    </row>
    <row r="1471" spans="65:72" x14ac:dyDescent="0.25">
      <c r="BM1471" s="81"/>
      <c r="BN1471" s="81"/>
      <c r="BO1471" s="81"/>
      <c r="BP1471" s="81"/>
      <c r="BQ1471" s="81"/>
      <c r="BR1471" s="81"/>
      <c r="BS1471" s="81"/>
      <c r="BT1471" s="81"/>
    </row>
    <row r="1472" spans="65:72" x14ac:dyDescent="0.25">
      <c r="BM1472" s="81"/>
      <c r="BN1472" s="81"/>
      <c r="BO1472" s="81"/>
      <c r="BP1472" s="81"/>
      <c r="BQ1472" s="81"/>
      <c r="BR1472" s="81"/>
      <c r="BS1472" s="81"/>
      <c r="BT1472" s="81"/>
    </row>
    <row r="1473" spans="65:72" x14ac:dyDescent="0.25">
      <c r="BM1473" s="81"/>
      <c r="BN1473" s="81"/>
      <c r="BO1473" s="81"/>
      <c r="BP1473" s="81"/>
      <c r="BQ1473" s="81"/>
      <c r="BR1473" s="81"/>
      <c r="BS1473" s="81"/>
      <c r="BT1473" s="81"/>
    </row>
    <row r="1474" spans="65:72" x14ac:dyDescent="0.25">
      <c r="BM1474" s="81"/>
      <c r="BN1474" s="81"/>
      <c r="BO1474" s="81"/>
      <c r="BP1474" s="81"/>
      <c r="BQ1474" s="81"/>
      <c r="BR1474" s="81"/>
      <c r="BS1474" s="81"/>
      <c r="BT1474" s="81"/>
    </row>
    <row r="1475" spans="65:72" x14ac:dyDescent="0.25">
      <c r="BM1475" s="81"/>
      <c r="BN1475" s="81"/>
      <c r="BO1475" s="81"/>
      <c r="BP1475" s="81"/>
      <c r="BQ1475" s="81"/>
      <c r="BR1475" s="81"/>
      <c r="BS1475" s="81"/>
      <c r="BT1475" s="81"/>
    </row>
    <row r="1476" spans="65:72" x14ac:dyDescent="0.25">
      <c r="BM1476" s="81"/>
      <c r="BN1476" s="81"/>
      <c r="BO1476" s="81"/>
      <c r="BP1476" s="81"/>
      <c r="BQ1476" s="81"/>
      <c r="BR1476" s="81"/>
      <c r="BS1476" s="81"/>
      <c r="BT1476" s="81"/>
    </row>
    <row r="1477" spans="65:72" x14ac:dyDescent="0.25">
      <c r="BM1477" s="81"/>
      <c r="BN1477" s="81"/>
      <c r="BO1477" s="81"/>
      <c r="BP1477" s="81"/>
      <c r="BQ1477" s="81"/>
      <c r="BR1477" s="81"/>
      <c r="BS1477" s="81"/>
      <c r="BT1477" s="81"/>
    </row>
    <row r="1478" spans="65:72" x14ac:dyDescent="0.25">
      <c r="BM1478" s="81"/>
      <c r="BN1478" s="81"/>
      <c r="BO1478" s="81"/>
      <c r="BP1478" s="81"/>
      <c r="BQ1478" s="81"/>
      <c r="BR1478" s="81"/>
      <c r="BS1478" s="81"/>
      <c r="BT1478" s="81"/>
    </row>
    <row r="1479" spans="65:72" x14ac:dyDescent="0.25">
      <c r="BM1479" s="81"/>
      <c r="BN1479" s="81"/>
      <c r="BO1479" s="81"/>
      <c r="BP1479" s="81"/>
      <c r="BQ1479" s="81"/>
      <c r="BR1479" s="81"/>
      <c r="BS1479" s="81"/>
      <c r="BT1479" s="81"/>
    </row>
    <row r="1480" spans="65:72" x14ac:dyDescent="0.25">
      <c r="BM1480" s="81"/>
      <c r="BN1480" s="81"/>
      <c r="BO1480" s="81"/>
      <c r="BP1480" s="81"/>
      <c r="BQ1480" s="81"/>
      <c r="BR1480" s="81"/>
      <c r="BS1480" s="81"/>
      <c r="BT1480" s="81"/>
    </row>
    <row r="1481" spans="65:72" x14ac:dyDescent="0.25">
      <c r="BM1481" s="81"/>
      <c r="BN1481" s="81"/>
      <c r="BO1481" s="81"/>
      <c r="BP1481" s="81"/>
      <c r="BQ1481" s="81"/>
      <c r="BR1481" s="81"/>
      <c r="BS1481" s="81"/>
      <c r="BT1481" s="81"/>
    </row>
    <row r="1482" spans="65:72" x14ac:dyDescent="0.25">
      <c r="BM1482" s="81"/>
      <c r="BN1482" s="81"/>
      <c r="BO1482" s="81"/>
      <c r="BP1482" s="81"/>
      <c r="BQ1482" s="81"/>
      <c r="BR1482" s="81"/>
      <c r="BS1482" s="81"/>
      <c r="BT1482" s="81"/>
    </row>
    <row r="1483" spans="65:72" x14ac:dyDescent="0.25">
      <c r="BM1483" s="81"/>
      <c r="BN1483" s="81"/>
      <c r="BO1483" s="81"/>
      <c r="BP1483" s="81"/>
      <c r="BQ1483" s="81"/>
      <c r="BR1483" s="81"/>
      <c r="BS1483" s="81"/>
      <c r="BT1483" s="81"/>
    </row>
    <row r="1484" spans="65:72" x14ac:dyDescent="0.25">
      <c r="BM1484" s="81"/>
      <c r="BN1484" s="81"/>
      <c r="BO1484" s="81"/>
      <c r="BP1484" s="81"/>
      <c r="BQ1484" s="81"/>
      <c r="BR1484" s="81"/>
      <c r="BS1484" s="81"/>
      <c r="BT1484" s="81"/>
    </row>
    <row r="1485" spans="65:72" x14ac:dyDescent="0.25">
      <c r="BM1485" s="81"/>
      <c r="BN1485" s="81"/>
      <c r="BO1485" s="81"/>
      <c r="BP1485" s="81"/>
      <c r="BQ1485" s="81"/>
      <c r="BR1485" s="81"/>
      <c r="BS1485" s="81"/>
      <c r="BT1485" s="81"/>
    </row>
    <row r="1486" spans="65:72" x14ac:dyDescent="0.25">
      <c r="BM1486" s="81"/>
      <c r="BN1486" s="81"/>
      <c r="BO1486" s="81"/>
      <c r="BP1486" s="81"/>
      <c r="BQ1486" s="81"/>
      <c r="BR1486" s="81"/>
      <c r="BS1486" s="81"/>
      <c r="BT1486" s="81"/>
    </row>
    <row r="1487" spans="65:72" x14ac:dyDescent="0.25">
      <c r="BM1487" s="81"/>
      <c r="BN1487" s="81"/>
      <c r="BO1487" s="81"/>
      <c r="BP1487" s="81"/>
      <c r="BQ1487" s="81"/>
      <c r="BR1487" s="81"/>
      <c r="BS1487" s="81"/>
      <c r="BT1487" s="81"/>
    </row>
    <row r="1488" spans="65:72" x14ac:dyDescent="0.25">
      <c r="BM1488" s="81"/>
      <c r="BN1488" s="81"/>
      <c r="BO1488" s="81"/>
      <c r="BP1488" s="81"/>
      <c r="BQ1488" s="81"/>
      <c r="BR1488" s="81"/>
      <c r="BS1488" s="81"/>
      <c r="BT1488" s="81"/>
    </row>
    <row r="1489" spans="65:72" x14ac:dyDescent="0.25">
      <c r="BM1489" s="81"/>
      <c r="BN1489" s="81"/>
      <c r="BO1489" s="81"/>
      <c r="BP1489" s="81"/>
      <c r="BQ1489" s="81"/>
      <c r="BR1489" s="81"/>
      <c r="BS1489" s="81"/>
      <c r="BT1489" s="81"/>
    </row>
    <row r="1490" spans="65:72" x14ac:dyDescent="0.25">
      <c r="BM1490" s="81"/>
      <c r="BN1490" s="81"/>
      <c r="BO1490" s="81"/>
      <c r="BP1490" s="81"/>
      <c r="BQ1490" s="81"/>
      <c r="BR1490" s="81"/>
      <c r="BS1490" s="81"/>
      <c r="BT1490" s="81"/>
    </row>
    <row r="1491" spans="65:72" x14ac:dyDescent="0.25">
      <c r="BM1491" s="81"/>
      <c r="BN1491" s="81"/>
      <c r="BO1491" s="81"/>
      <c r="BP1491" s="81"/>
      <c r="BQ1491" s="81"/>
      <c r="BR1491" s="81"/>
      <c r="BS1491" s="81"/>
      <c r="BT1491" s="81"/>
    </row>
    <row r="1492" spans="65:72" x14ac:dyDescent="0.25">
      <c r="BM1492" s="81"/>
      <c r="BN1492" s="81"/>
      <c r="BO1492" s="81"/>
      <c r="BP1492" s="81"/>
      <c r="BQ1492" s="81"/>
      <c r="BR1492" s="81"/>
      <c r="BS1492" s="81"/>
      <c r="BT1492" s="81"/>
    </row>
    <row r="1493" spans="65:72" x14ac:dyDescent="0.25">
      <c r="BM1493" s="81"/>
      <c r="BN1493" s="81"/>
      <c r="BO1493" s="81"/>
      <c r="BP1493" s="81"/>
      <c r="BQ1493" s="81"/>
      <c r="BR1493" s="81"/>
      <c r="BS1493" s="81"/>
      <c r="BT1493" s="81"/>
    </row>
    <row r="1494" spans="65:72" x14ac:dyDescent="0.25">
      <c r="BM1494" s="81"/>
      <c r="BN1494" s="81"/>
      <c r="BO1494" s="81"/>
      <c r="BP1494" s="81"/>
      <c r="BQ1494" s="81"/>
      <c r="BR1494" s="81"/>
      <c r="BS1494" s="81"/>
      <c r="BT1494" s="81"/>
    </row>
    <row r="1495" spans="65:72" x14ac:dyDescent="0.25">
      <c r="BM1495" s="81"/>
      <c r="BN1495" s="81"/>
      <c r="BO1495" s="81"/>
      <c r="BP1495" s="81"/>
      <c r="BQ1495" s="81"/>
      <c r="BR1495" s="81"/>
      <c r="BS1495" s="81"/>
      <c r="BT1495" s="81"/>
    </row>
    <row r="1496" spans="65:72" x14ac:dyDescent="0.25">
      <c r="BM1496" s="81"/>
      <c r="BN1496" s="81"/>
      <c r="BO1496" s="81"/>
      <c r="BP1496" s="81"/>
      <c r="BQ1496" s="81"/>
      <c r="BR1496" s="81"/>
      <c r="BS1496" s="81"/>
      <c r="BT1496" s="81"/>
    </row>
    <row r="1497" spans="65:72" x14ac:dyDescent="0.25">
      <c r="BM1497" s="81"/>
      <c r="BN1497" s="81"/>
      <c r="BO1497" s="81"/>
      <c r="BP1497" s="81"/>
      <c r="BQ1497" s="81"/>
      <c r="BR1497" s="81"/>
      <c r="BS1497" s="81"/>
      <c r="BT1497" s="81"/>
    </row>
    <row r="1498" spans="65:72" x14ac:dyDescent="0.25">
      <c r="BM1498" s="81"/>
      <c r="BN1498" s="81"/>
      <c r="BO1498" s="81"/>
      <c r="BP1498" s="81"/>
      <c r="BQ1498" s="81"/>
      <c r="BR1498" s="81"/>
      <c r="BS1498" s="81"/>
      <c r="BT1498" s="81"/>
    </row>
    <row r="1499" spans="65:72" x14ac:dyDescent="0.25">
      <c r="BM1499" s="81"/>
      <c r="BN1499" s="81"/>
      <c r="BO1499" s="81"/>
      <c r="BP1499" s="81"/>
      <c r="BQ1499" s="81"/>
      <c r="BR1499" s="81"/>
      <c r="BS1499" s="81"/>
      <c r="BT1499" s="81"/>
    </row>
    <row r="1500" spans="65:72" x14ac:dyDescent="0.25">
      <c r="BM1500" s="81"/>
      <c r="BN1500" s="81"/>
      <c r="BO1500" s="81"/>
      <c r="BP1500" s="81"/>
      <c r="BQ1500" s="81"/>
      <c r="BR1500" s="81"/>
      <c r="BS1500" s="81"/>
      <c r="BT1500" s="81"/>
    </row>
    <row r="1501" spans="65:72" x14ac:dyDescent="0.25">
      <c r="BM1501" s="81"/>
      <c r="BN1501" s="81"/>
      <c r="BO1501" s="81"/>
      <c r="BP1501" s="81"/>
      <c r="BQ1501" s="81"/>
      <c r="BR1501" s="81"/>
      <c r="BS1501" s="81"/>
      <c r="BT1501" s="81"/>
    </row>
    <row r="1502" spans="65:72" x14ac:dyDescent="0.25">
      <c r="BM1502" s="81"/>
      <c r="BN1502" s="81"/>
      <c r="BO1502" s="81"/>
      <c r="BP1502" s="81"/>
      <c r="BQ1502" s="81"/>
      <c r="BR1502" s="81"/>
      <c r="BS1502" s="81"/>
      <c r="BT1502" s="81"/>
    </row>
    <row r="1503" spans="65:72" x14ac:dyDescent="0.25">
      <c r="BM1503" s="81"/>
      <c r="BN1503" s="81"/>
      <c r="BO1503" s="81"/>
      <c r="BP1503" s="81"/>
      <c r="BQ1503" s="81"/>
      <c r="BR1503" s="81"/>
      <c r="BS1503" s="81"/>
      <c r="BT1503" s="81"/>
    </row>
    <row r="1504" spans="65:72" x14ac:dyDescent="0.25">
      <c r="BM1504" s="81"/>
      <c r="BN1504" s="81"/>
      <c r="BO1504" s="81"/>
      <c r="BP1504" s="81"/>
      <c r="BQ1504" s="81"/>
      <c r="BR1504" s="81"/>
      <c r="BS1504" s="81"/>
      <c r="BT1504" s="81"/>
    </row>
    <row r="1505" spans="65:72" x14ac:dyDescent="0.25">
      <c r="BM1505" s="81"/>
      <c r="BN1505" s="81"/>
      <c r="BO1505" s="81"/>
      <c r="BP1505" s="81"/>
      <c r="BQ1505" s="81"/>
      <c r="BR1505" s="81"/>
      <c r="BS1505" s="81"/>
      <c r="BT1505" s="81"/>
    </row>
    <row r="1506" spans="65:72" x14ac:dyDescent="0.25">
      <c r="BM1506" s="81"/>
      <c r="BN1506" s="81"/>
      <c r="BO1506" s="81"/>
      <c r="BP1506" s="81"/>
      <c r="BQ1506" s="81"/>
      <c r="BR1506" s="81"/>
      <c r="BS1506" s="81"/>
      <c r="BT1506" s="81"/>
    </row>
    <row r="1507" spans="65:72" x14ac:dyDescent="0.25">
      <c r="BM1507" s="81"/>
      <c r="BN1507" s="81"/>
      <c r="BO1507" s="81"/>
      <c r="BP1507" s="81"/>
      <c r="BQ1507" s="81"/>
      <c r="BR1507" s="81"/>
      <c r="BS1507" s="81"/>
      <c r="BT1507" s="81"/>
    </row>
    <row r="1508" spans="65:72" x14ac:dyDescent="0.25">
      <c r="BM1508" s="81"/>
      <c r="BN1508" s="81"/>
      <c r="BO1508" s="81"/>
      <c r="BP1508" s="81"/>
      <c r="BQ1508" s="81"/>
      <c r="BR1508" s="81"/>
      <c r="BS1508" s="81"/>
      <c r="BT1508" s="81"/>
    </row>
    <row r="1509" spans="65:72" x14ac:dyDescent="0.25">
      <c r="BM1509" s="81"/>
      <c r="BN1509" s="81"/>
      <c r="BO1509" s="81"/>
      <c r="BP1509" s="81"/>
      <c r="BQ1509" s="81"/>
      <c r="BR1509" s="81"/>
      <c r="BS1509" s="81"/>
      <c r="BT1509" s="81"/>
    </row>
    <row r="1510" spans="65:72" x14ac:dyDescent="0.25">
      <c r="BM1510" s="81"/>
      <c r="BN1510" s="81"/>
      <c r="BO1510" s="81"/>
      <c r="BP1510" s="81"/>
      <c r="BQ1510" s="81"/>
      <c r="BR1510" s="81"/>
      <c r="BS1510" s="81"/>
      <c r="BT1510" s="81"/>
    </row>
    <row r="1511" spans="65:72" x14ac:dyDescent="0.25">
      <c r="BM1511" s="81"/>
      <c r="BN1511" s="81"/>
      <c r="BO1511" s="81"/>
      <c r="BP1511" s="81"/>
      <c r="BQ1511" s="81"/>
      <c r="BR1511" s="81"/>
      <c r="BS1511" s="81"/>
      <c r="BT1511" s="81"/>
    </row>
    <row r="1512" spans="65:72" x14ac:dyDescent="0.25">
      <c r="BM1512" s="81"/>
      <c r="BN1512" s="81"/>
      <c r="BO1512" s="81"/>
      <c r="BP1512" s="81"/>
      <c r="BQ1512" s="81"/>
      <c r="BR1512" s="81"/>
      <c r="BS1512" s="81"/>
      <c r="BT1512" s="81"/>
    </row>
    <row r="1513" spans="65:72" x14ac:dyDescent="0.25">
      <c r="BM1513" s="81"/>
      <c r="BN1513" s="81"/>
      <c r="BO1513" s="81"/>
      <c r="BP1513" s="81"/>
      <c r="BQ1513" s="81"/>
      <c r="BR1513" s="81"/>
      <c r="BS1513" s="81"/>
      <c r="BT1513" s="81"/>
    </row>
    <row r="1514" spans="65:72" x14ac:dyDescent="0.25">
      <c r="BM1514" s="81"/>
      <c r="BN1514" s="81"/>
      <c r="BO1514" s="81"/>
      <c r="BP1514" s="81"/>
      <c r="BQ1514" s="81"/>
      <c r="BR1514" s="81"/>
      <c r="BS1514" s="81"/>
      <c r="BT1514" s="81"/>
    </row>
    <row r="1515" spans="65:72" x14ac:dyDescent="0.25">
      <c r="BM1515" s="81"/>
      <c r="BN1515" s="81"/>
      <c r="BO1515" s="81"/>
      <c r="BP1515" s="81"/>
      <c r="BQ1515" s="81"/>
      <c r="BR1515" s="81"/>
      <c r="BS1515" s="81"/>
      <c r="BT1515" s="81"/>
    </row>
    <row r="1516" spans="65:72" x14ac:dyDescent="0.25">
      <c r="BM1516" s="81"/>
      <c r="BN1516" s="81"/>
      <c r="BO1516" s="81"/>
      <c r="BP1516" s="81"/>
      <c r="BQ1516" s="81"/>
      <c r="BR1516" s="81"/>
      <c r="BS1516" s="81"/>
      <c r="BT1516" s="81"/>
    </row>
    <row r="1517" spans="65:72" x14ac:dyDescent="0.25">
      <c r="BM1517" s="81"/>
      <c r="BN1517" s="81"/>
      <c r="BO1517" s="81"/>
      <c r="BP1517" s="81"/>
      <c r="BQ1517" s="81"/>
      <c r="BR1517" s="81"/>
      <c r="BS1517" s="81"/>
      <c r="BT1517" s="81"/>
    </row>
    <row r="1518" spans="65:72" x14ac:dyDescent="0.25">
      <c r="BM1518" s="81"/>
      <c r="BN1518" s="81"/>
      <c r="BO1518" s="81"/>
      <c r="BP1518" s="81"/>
      <c r="BQ1518" s="81"/>
      <c r="BR1518" s="81"/>
      <c r="BS1518" s="81"/>
      <c r="BT1518" s="81"/>
    </row>
    <row r="1519" spans="65:72" x14ac:dyDescent="0.25">
      <c r="BM1519" s="81"/>
      <c r="BN1519" s="81"/>
      <c r="BO1519" s="81"/>
      <c r="BP1519" s="81"/>
      <c r="BQ1519" s="81"/>
      <c r="BR1519" s="81"/>
      <c r="BS1519" s="81"/>
      <c r="BT1519" s="81"/>
    </row>
    <row r="1520" spans="65:72" x14ac:dyDescent="0.25">
      <c r="BM1520" s="81"/>
      <c r="BN1520" s="81"/>
      <c r="BO1520" s="81"/>
      <c r="BP1520" s="81"/>
      <c r="BQ1520" s="81"/>
      <c r="BR1520" s="81"/>
      <c r="BS1520" s="81"/>
      <c r="BT1520" s="81"/>
    </row>
    <row r="1521" spans="65:72" x14ac:dyDescent="0.25">
      <c r="BM1521" s="81"/>
      <c r="BN1521" s="81"/>
      <c r="BO1521" s="81"/>
      <c r="BP1521" s="81"/>
      <c r="BQ1521" s="81"/>
      <c r="BR1521" s="81"/>
      <c r="BS1521" s="81"/>
      <c r="BT1521" s="81"/>
    </row>
    <row r="1522" spans="65:72" x14ac:dyDescent="0.25">
      <c r="BM1522" s="81"/>
      <c r="BN1522" s="81"/>
      <c r="BO1522" s="81"/>
      <c r="BP1522" s="81"/>
      <c r="BQ1522" s="81"/>
      <c r="BR1522" s="81"/>
      <c r="BS1522" s="81"/>
      <c r="BT1522" s="81"/>
    </row>
    <row r="1523" spans="65:72" x14ac:dyDescent="0.25">
      <c r="BM1523" s="81"/>
      <c r="BN1523" s="81"/>
      <c r="BO1523" s="81"/>
      <c r="BP1523" s="81"/>
      <c r="BQ1523" s="81"/>
      <c r="BR1523" s="81"/>
      <c r="BS1523" s="81"/>
      <c r="BT1523" s="81"/>
    </row>
    <row r="1524" spans="65:72" x14ac:dyDescent="0.25">
      <c r="BM1524" s="81"/>
      <c r="BN1524" s="81"/>
      <c r="BO1524" s="81"/>
      <c r="BP1524" s="81"/>
      <c r="BQ1524" s="81"/>
      <c r="BR1524" s="81"/>
      <c r="BS1524" s="81"/>
      <c r="BT1524" s="81"/>
    </row>
    <row r="1525" spans="65:72" x14ac:dyDescent="0.25">
      <c r="BM1525" s="81"/>
      <c r="BN1525" s="81"/>
      <c r="BO1525" s="81"/>
      <c r="BP1525" s="81"/>
      <c r="BQ1525" s="81"/>
      <c r="BR1525" s="81"/>
      <c r="BS1525" s="81"/>
      <c r="BT1525" s="81"/>
    </row>
    <row r="1526" spans="65:72" x14ac:dyDescent="0.25">
      <c r="BM1526" s="81"/>
      <c r="BN1526" s="81"/>
      <c r="BO1526" s="81"/>
      <c r="BP1526" s="81"/>
      <c r="BQ1526" s="81"/>
      <c r="BR1526" s="81"/>
      <c r="BS1526" s="81"/>
      <c r="BT1526" s="81"/>
    </row>
    <row r="1527" spans="65:72" x14ac:dyDescent="0.25">
      <c r="BM1527" s="81"/>
      <c r="BN1527" s="81"/>
      <c r="BO1527" s="81"/>
      <c r="BP1527" s="81"/>
      <c r="BQ1527" s="81"/>
      <c r="BR1527" s="81"/>
      <c r="BS1527" s="81"/>
      <c r="BT1527" s="81"/>
    </row>
    <row r="1528" spans="65:72" x14ac:dyDescent="0.25">
      <c r="BM1528" s="81"/>
      <c r="BN1528" s="81"/>
      <c r="BO1528" s="81"/>
      <c r="BP1528" s="81"/>
      <c r="BQ1528" s="81"/>
      <c r="BR1528" s="81"/>
      <c r="BS1528" s="81"/>
      <c r="BT1528" s="81"/>
    </row>
    <row r="1529" spans="65:72" x14ac:dyDescent="0.25">
      <c r="BM1529" s="81"/>
      <c r="BN1529" s="81"/>
      <c r="BO1529" s="81"/>
      <c r="BP1529" s="81"/>
      <c r="BQ1529" s="81"/>
      <c r="BR1529" s="81"/>
      <c r="BS1529" s="81"/>
      <c r="BT1529" s="81"/>
    </row>
    <row r="1530" spans="65:72" x14ac:dyDescent="0.25">
      <c r="BM1530" s="81"/>
      <c r="BN1530" s="81"/>
      <c r="BO1530" s="81"/>
      <c r="BP1530" s="81"/>
      <c r="BQ1530" s="81"/>
      <c r="BR1530" s="81"/>
      <c r="BS1530" s="81"/>
      <c r="BT1530" s="81"/>
    </row>
    <row r="1531" spans="65:72" x14ac:dyDescent="0.25">
      <c r="BM1531" s="81"/>
      <c r="BN1531" s="81"/>
      <c r="BO1531" s="81"/>
      <c r="BP1531" s="81"/>
      <c r="BQ1531" s="81"/>
      <c r="BR1531" s="81"/>
      <c r="BS1531" s="81"/>
      <c r="BT1531" s="81"/>
    </row>
    <row r="1532" spans="65:72" x14ac:dyDescent="0.25">
      <c r="BM1532" s="81"/>
      <c r="BN1532" s="81"/>
      <c r="BO1532" s="81"/>
      <c r="BP1532" s="81"/>
      <c r="BQ1532" s="81"/>
      <c r="BR1532" s="81"/>
      <c r="BS1532" s="81"/>
      <c r="BT1532" s="81"/>
    </row>
    <row r="1533" spans="65:72" x14ac:dyDescent="0.25">
      <c r="BM1533" s="81"/>
      <c r="BN1533" s="81"/>
      <c r="BO1533" s="81"/>
      <c r="BP1533" s="81"/>
      <c r="BQ1533" s="81"/>
      <c r="BR1533" s="81"/>
      <c r="BS1533" s="81"/>
      <c r="BT1533" s="81"/>
    </row>
    <row r="1534" spans="65:72" x14ac:dyDescent="0.25">
      <c r="BM1534" s="81"/>
      <c r="BN1534" s="81"/>
      <c r="BO1534" s="81"/>
      <c r="BP1534" s="81"/>
      <c r="BQ1534" s="81"/>
      <c r="BR1534" s="81"/>
      <c r="BS1534" s="81"/>
      <c r="BT1534" s="81"/>
    </row>
    <row r="1535" spans="65:72" x14ac:dyDescent="0.25">
      <c r="BM1535" s="81"/>
      <c r="BN1535" s="81"/>
      <c r="BO1535" s="81"/>
      <c r="BP1535" s="81"/>
      <c r="BQ1535" s="81"/>
      <c r="BR1535" s="81"/>
      <c r="BS1535" s="81"/>
      <c r="BT1535" s="81"/>
    </row>
    <row r="1536" spans="65:72" x14ac:dyDescent="0.25">
      <c r="BM1536" s="81"/>
      <c r="BN1536" s="81"/>
      <c r="BO1536" s="81"/>
      <c r="BP1536" s="81"/>
      <c r="BQ1536" s="81"/>
      <c r="BR1536" s="81"/>
      <c r="BS1536" s="81"/>
      <c r="BT1536" s="81"/>
    </row>
    <row r="1537" spans="65:72" x14ac:dyDescent="0.25">
      <c r="BM1537" s="81"/>
      <c r="BN1537" s="81"/>
      <c r="BO1537" s="81"/>
      <c r="BP1537" s="81"/>
      <c r="BQ1537" s="81"/>
      <c r="BR1537" s="81"/>
      <c r="BS1537" s="81"/>
      <c r="BT1537" s="81"/>
    </row>
    <row r="1538" spans="65:72" x14ac:dyDescent="0.25">
      <c r="BM1538" s="81"/>
      <c r="BN1538" s="81"/>
      <c r="BO1538" s="81"/>
      <c r="BP1538" s="81"/>
      <c r="BQ1538" s="81"/>
      <c r="BR1538" s="81"/>
      <c r="BS1538" s="81"/>
      <c r="BT1538" s="81"/>
    </row>
    <row r="1539" spans="65:72" x14ac:dyDescent="0.25">
      <c r="BM1539" s="81"/>
      <c r="BN1539" s="81"/>
      <c r="BO1539" s="81"/>
      <c r="BP1539" s="81"/>
      <c r="BQ1539" s="81"/>
      <c r="BR1539" s="81"/>
      <c r="BS1539" s="81"/>
      <c r="BT1539" s="81"/>
    </row>
    <row r="1540" spans="65:72" x14ac:dyDescent="0.25">
      <c r="BM1540" s="81"/>
      <c r="BN1540" s="81"/>
      <c r="BO1540" s="81"/>
      <c r="BP1540" s="81"/>
      <c r="BQ1540" s="81"/>
      <c r="BR1540" s="81"/>
      <c r="BS1540" s="81"/>
      <c r="BT1540" s="81"/>
    </row>
    <row r="1541" spans="65:72" x14ac:dyDescent="0.25">
      <c r="BM1541" s="81"/>
      <c r="BN1541" s="81"/>
      <c r="BO1541" s="81"/>
      <c r="BP1541" s="81"/>
      <c r="BQ1541" s="81"/>
      <c r="BR1541" s="81"/>
      <c r="BS1541" s="81"/>
      <c r="BT1541" s="81"/>
    </row>
    <row r="1542" spans="65:72" x14ac:dyDescent="0.25">
      <c r="BM1542" s="81"/>
      <c r="BN1542" s="81"/>
      <c r="BO1542" s="81"/>
      <c r="BP1542" s="81"/>
      <c r="BQ1542" s="81"/>
      <c r="BR1542" s="81"/>
      <c r="BS1542" s="81"/>
      <c r="BT1542" s="81"/>
    </row>
    <row r="1543" spans="65:72" x14ac:dyDescent="0.25">
      <c r="BM1543" s="81"/>
      <c r="BN1543" s="81"/>
      <c r="BO1543" s="81"/>
      <c r="BP1543" s="81"/>
      <c r="BQ1543" s="81"/>
      <c r="BR1543" s="81"/>
      <c r="BS1543" s="81"/>
      <c r="BT1543" s="81"/>
    </row>
    <row r="1544" spans="65:72" x14ac:dyDescent="0.25">
      <c r="BM1544" s="81"/>
      <c r="BN1544" s="81"/>
      <c r="BO1544" s="81"/>
      <c r="BP1544" s="81"/>
      <c r="BQ1544" s="81"/>
      <c r="BR1544" s="81"/>
      <c r="BS1544" s="81"/>
      <c r="BT1544" s="81"/>
    </row>
    <row r="1545" spans="65:72" x14ac:dyDescent="0.25">
      <c r="BM1545" s="81"/>
      <c r="BN1545" s="81"/>
      <c r="BO1545" s="81"/>
      <c r="BP1545" s="81"/>
      <c r="BQ1545" s="81"/>
      <c r="BR1545" s="81"/>
      <c r="BS1545" s="81"/>
      <c r="BT1545" s="81"/>
    </row>
    <row r="1546" spans="65:72" x14ac:dyDescent="0.25">
      <c r="BM1546" s="81"/>
      <c r="BN1546" s="81"/>
      <c r="BO1546" s="81"/>
      <c r="BP1546" s="81"/>
      <c r="BQ1546" s="81"/>
      <c r="BR1546" s="81"/>
      <c r="BS1546" s="81"/>
      <c r="BT1546" s="81"/>
    </row>
    <row r="1547" spans="65:72" x14ac:dyDescent="0.25">
      <c r="BM1547" s="81"/>
      <c r="BN1547" s="81"/>
      <c r="BO1547" s="81"/>
      <c r="BP1547" s="81"/>
      <c r="BQ1547" s="81"/>
      <c r="BR1547" s="81"/>
      <c r="BS1547" s="81"/>
      <c r="BT1547" s="81"/>
    </row>
    <row r="1548" spans="65:72" x14ac:dyDescent="0.25">
      <c r="BM1548" s="81"/>
      <c r="BN1548" s="81"/>
      <c r="BO1548" s="81"/>
      <c r="BP1548" s="81"/>
      <c r="BQ1548" s="81"/>
      <c r="BR1548" s="81"/>
      <c r="BS1548" s="81"/>
      <c r="BT1548" s="81"/>
    </row>
    <row r="1549" spans="65:72" x14ac:dyDescent="0.25">
      <c r="BM1549" s="81"/>
      <c r="BN1549" s="81"/>
      <c r="BO1549" s="81"/>
      <c r="BP1549" s="81"/>
      <c r="BQ1549" s="81"/>
      <c r="BR1549" s="81"/>
      <c r="BS1549" s="81"/>
      <c r="BT1549" s="81"/>
    </row>
    <row r="1550" spans="65:72" x14ac:dyDescent="0.25">
      <c r="BM1550" s="81"/>
      <c r="BN1550" s="81"/>
      <c r="BO1550" s="81"/>
      <c r="BP1550" s="81"/>
      <c r="BQ1550" s="81"/>
      <c r="BR1550" s="81"/>
      <c r="BS1550" s="81"/>
      <c r="BT1550" s="81"/>
    </row>
    <row r="1551" spans="65:72" x14ac:dyDescent="0.25">
      <c r="BM1551" s="81"/>
      <c r="BN1551" s="81"/>
      <c r="BO1551" s="81"/>
      <c r="BP1551" s="81"/>
      <c r="BQ1551" s="81"/>
      <c r="BR1551" s="81"/>
      <c r="BS1551" s="81"/>
      <c r="BT1551" s="81"/>
    </row>
    <row r="1552" spans="65:72" x14ac:dyDescent="0.25">
      <c r="BM1552" s="81"/>
      <c r="BN1552" s="81"/>
      <c r="BO1552" s="81"/>
      <c r="BP1552" s="81"/>
      <c r="BQ1552" s="81"/>
      <c r="BR1552" s="81"/>
      <c r="BS1552" s="81"/>
      <c r="BT1552" s="81"/>
    </row>
    <row r="1553" spans="65:72" x14ac:dyDescent="0.25">
      <c r="BM1553" s="81"/>
      <c r="BN1553" s="81"/>
      <c r="BO1553" s="81"/>
      <c r="BP1553" s="81"/>
      <c r="BQ1553" s="81"/>
      <c r="BR1553" s="81"/>
      <c r="BS1553" s="81"/>
      <c r="BT1553" s="81"/>
    </row>
    <row r="1554" spans="65:72" x14ac:dyDescent="0.25">
      <c r="BM1554" s="81"/>
      <c r="BN1554" s="81"/>
      <c r="BO1554" s="81"/>
      <c r="BP1554" s="81"/>
      <c r="BQ1554" s="81"/>
      <c r="BR1554" s="81"/>
      <c r="BS1554" s="81"/>
      <c r="BT1554" s="81"/>
    </row>
    <row r="1555" spans="65:72" x14ac:dyDescent="0.25">
      <c r="BM1555" s="81"/>
      <c r="BN1555" s="81"/>
      <c r="BO1555" s="81"/>
      <c r="BP1555" s="81"/>
      <c r="BQ1555" s="81"/>
      <c r="BR1555" s="81"/>
      <c r="BS1555" s="81"/>
      <c r="BT1555" s="81"/>
    </row>
    <row r="1556" spans="65:72" x14ac:dyDescent="0.25">
      <c r="BM1556" s="81"/>
      <c r="BN1556" s="81"/>
      <c r="BO1556" s="81"/>
      <c r="BP1556" s="81"/>
      <c r="BQ1556" s="81"/>
      <c r="BR1556" s="81"/>
      <c r="BS1556" s="81"/>
      <c r="BT1556" s="81"/>
    </row>
    <row r="1557" spans="65:72" x14ac:dyDescent="0.25">
      <c r="BM1557" s="81"/>
      <c r="BN1557" s="81"/>
      <c r="BO1557" s="81"/>
      <c r="BP1557" s="81"/>
      <c r="BQ1557" s="81"/>
      <c r="BR1557" s="81"/>
      <c r="BS1557" s="81"/>
      <c r="BT1557" s="81"/>
    </row>
    <row r="1558" spans="65:72" x14ac:dyDescent="0.25">
      <c r="BM1558" s="81"/>
      <c r="BN1558" s="81"/>
      <c r="BO1558" s="81"/>
      <c r="BP1558" s="81"/>
      <c r="BQ1558" s="81"/>
      <c r="BR1558" s="81"/>
      <c r="BS1558" s="81"/>
      <c r="BT1558" s="81"/>
    </row>
    <row r="1559" spans="65:72" x14ac:dyDescent="0.25">
      <c r="BM1559" s="81"/>
      <c r="BN1559" s="81"/>
      <c r="BO1559" s="81"/>
      <c r="BP1559" s="81"/>
      <c r="BQ1559" s="81"/>
      <c r="BR1559" s="81"/>
      <c r="BS1559" s="81"/>
      <c r="BT1559" s="81"/>
    </row>
    <row r="1560" spans="65:72" x14ac:dyDescent="0.25">
      <c r="BM1560" s="81"/>
      <c r="BN1560" s="81"/>
      <c r="BO1560" s="81"/>
      <c r="BP1560" s="81"/>
      <c r="BQ1560" s="81"/>
      <c r="BR1560" s="81"/>
      <c r="BS1560" s="81"/>
      <c r="BT1560" s="81"/>
    </row>
    <row r="1561" spans="65:72" x14ac:dyDescent="0.25">
      <c r="BM1561" s="81"/>
      <c r="BN1561" s="81"/>
      <c r="BO1561" s="81"/>
      <c r="BP1561" s="81"/>
      <c r="BQ1561" s="81"/>
      <c r="BR1561" s="81"/>
      <c r="BS1561" s="81"/>
      <c r="BT1561" s="81"/>
    </row>
    <row r="1562" spans="65:72" x14ac:dyDescent="0.25">
      <c r="BM1562" s="81"/>
      <c r="BN1562" s="81"/>
      <c r="BO1562" s="81"/>
      <c r="BP1562" s="81"/>
      <c r="BQ1562" s="81"/>
      <c r="BR1562" s="81"/>
      <c r="BS1562" s="81"/>
      <c r="BT1562" s="81"/>
    </row>
    <row r="1563" spans="65:72" x14ac:dyDescent="0.25">
      <c r="BM1563" s="81"/>
      <c r="BN1563" s="81"/>
      <c r="BO1563" s="81"/>
      <c r="BP1563" s="81"/>
      <c r="BQ1563" s="81"/>
      <c r="BR1563" s="81"/>
      <c r="BS1563" s="81"/>
      <c r="BT1563" s="81"/>
    </row>
    <row r="1564" spans="65:72" x14ac:dyDescent="0.25">
      <c r="BM1564" s="81"/>
      <c r="BN1564" s="81"/>
      <c r="BO1564" s="81"/>
      <c r="BP1564" s="81"/>
      <c r="BQ1564" s="81"/>
      <c r="BR1564" s="81"/>
      <c r="BS1564" s="81"/>
      <c r="BT1564" s="81"/>
    </row>
    <row r="1565" spans="65:72" x14ac:dyDescent="0.25">
      <c r="BM1565" s="81"/>
      <c r="BN1565" s="81"/>
      <c r="BO1565" s="81"/>
      <c r="BP1565" s="81"/>
      <c r="BQ1565" s="81"/>
      <c r="BR1565" s="81"/>
      <c r="BS1565" s="81"/>
      <c r="BT1565" s="81"/>
    </row>
    <row r="1566" spans="65:72" x14ac:dyDescent="0.25">
      <c r="BM1566" s="81"/>
      <c r="BN1566" s="81"/>
      <c r="BO1566" s="81"/>
      <c r="BP1566" s="81"/>
      <c r="BQ1566" s="81"/>
      <c r="BR1566" s="81"/>
      <c r="BS1566" s="81"/>
      <c r="BT1566" s="81"/>
    </row>
    <row r="1567" spans="65:72" x14ac:dyDescent="0.25">
      <c r="BM1567" s="81"/>
      <c r="BN1567" s="81"/>
      <c r="BO1567" s="81"/>
      <c r="BP1567" s="81"/>
      <c r="BQ1567" s="81"/>
      <c r="BR1567" s="81"/>
      <c r="BS1567" s="81"/>
      <c r="BT1567" s="81"/>
    </row>
    <row r="1568" spans="65:72" x14ac:dyDescent="0.25">
      <c r="BM1568" s="81"/>
      <c r="BN1568" s="81"/>
      <c r="BO1568" s="81"/>
      <c r="BP1568" s="81"/>
      <c r="BQ1568" s="81"/>
      <c r="BR1568" s="81"/>
      <c r="BS1568" s="81"/>
      <c r="BT1568" s="81"/>
    </row>
    <row r="1569" spans="65:72" x14ac:dyDescent="0.25">
      <c r="BM1569" s="81"/>
      <c r="BN1569" s="81"/>
      <c r="BO1569" s="81"/>
      <c r="BP1569" s="81"/>
      <c r="BQ1569" s="81"/>
      <c r="BR1569" s="81"/>
      <c r="BS1569" s="81"/>
      <c r="BT1569" s="81"/>
    </row>
    <row r="1570" spans="65:72" x14ac:dyDescent="0.25">
      <c r="BM1570" s="81"/>
      <c r="BN1570" s="81"/>
      <c r="BO1570" s="81"/>
      <c r="BP1570" s="81"/>
      <c r="BQ1570" s="81"/>
      <c r="BR1570" s="81"/>
      <c r="BS1570" s="81"/>
      <c r="BT1570" s="81"/>
    </row>
    <row r="1571" spans="65:72" x14ac:dyDescent="0.25">
      <c r="BM1571" s="81"/>
      <c r="BN1571" s="81"/>
      <c r="BO1571" s="81"/>
      <c r="BP1571" s="81"/>
      <c r="BQ1571" s="81"/>
      <c r="BR1571" s="81"/>
      <c r="BS1571" s="81"/>
      <c r="BT1571" s="81"/>
    </row>
    <row r="1572" spans="65:72" x14ac:dyDescent="0.25">
      <c r="BM1572" s="81"/>
      <c r="BN1572" s="81"/>
      <c r="BO1572" s="81"/>
      <c r="BP1572" s="81"/>
      <c r="BQ1572" s="81"/>
      <c r="BR1572" s="81"/>
      <c r="BS1572" s="81"/>
      <c r="BT1572" s="81"/>
    </row>
    <row r="1573" spans="65:72" x14ac:dyDescent="0.25">
      <c r="BM1573" s="81"/>
      <c r="BN1573" s="81"/>
      <c r="BO1573" s="81"/>
      <c r="BP1573" s="81"/>
      <c r="BQ1573" s="81"/>
      <c r="BR1573" s="81"/>
      <c r="BS1573" s="81"/>
      <c r="BT1573" s="81"/>
    </row>
    <row r="1574" spans="65:72" x14ac:dyDescent="0.25">
      <c r="BM1574" s="81"/>
      <c r="BN1574" s="81"/>
      <c r="BO1574" s="81"/>
      <c r="BP1574" s="81"/>
      <c r="BQ1574" s="81"/>
      <c r="BR1574" s="81"/>
      <c r="BS1574" s="81"/>
      <c r="BT1574" s="81"/>
    </row>
    <row r="1575" spans="65:72" x14ac:dyDescent="0.25">
      <c r="BM1575" s="81"/>
      <c r="BN1575" s="81"/>
      <c r="BO1575" s="81"/>
      <c r="BP1575" s="81"/>
      <c r="BQ1575" s="81"/>
      <c r="BR1575" s="81"/>
      <c r="BS1575" s="81"/>
      <c r="BT1575" s="81"/>
    </row>
    <row r="1576" spans="65:72" x14ac:dyDescent="0.25">
      <c r="BM1576" s="81"/>
      <c r="BN1576" s="81"/>
      <c r="BO1576" s="81"/>
      <c r="BP1576" s="81"/>
      <c r="BQ1576" s="81"/>
      <c r="BR1576" s="81"/>
      <c r="BS1576" s="81"/>
      <c r="BT1576" s="81"/>
    </row>
    <row r="1577" spans="65:72" x14ac:dyDescent="0.25">
      <c r="BM1577" s="81"/>
      <c r="BN1577" s="81"/>
      <c r="BO1577" s="81"/>
      <c r="BP1577" s="81"/>
      <c r="BQ1577" s="81"/>
      <c r="BR1577" s="81"/>
      <c r="BS1577" s="81"/>
      <c r="BT1577" s="81"/>
    </row>
    <row r="1578" spans="65:72" x14ac:dyDescent="0.25">
      <c r="BM1578" s="81"/>
      <c r="BN1578" s="81"/>
      <c r="BO1578" s="81"/>
      <c r="BP1578" s="81"/>
      <c r="BQ1578" s="81"/>
      <c r="BR1578" s="81"/>
      <c r="BS1578" s="81"/>
      <c r="BT1578" s="81"/>
    </row>
    <row r="1579" spans="65:72" x14ac:dyDescent="0.25">
      <c r="BM1579" s="81"/>
      <c r="BN1579" s="81"/>
      <c r="BO1579" s="81"/>
      <c r="BP1579" s="81"/>
      <c r="BQ1579" s="81"/>
      <c r="BR1579" s="81"/>
      <c r="BS1579" s="81"/>
      <c r="BT1579" s="81"/>
    </row>
    <row r="1580" spans="65:72" x14ac:dyDescent="0.25">
      <c r="BM1580" s="81"/>
      <c r="BN1580" s="81"/>
      <c r="BO1580" s="81"/>
      <c r="BP1580" s="81"/>
      <c r="BQ1580" s="81"/>
      <c r="BR1580" s="81"/>
      <c r="BS1580" s="81"/>
      <c r="BT1580" s="81"/>
    </row>
    <row r="1581" spans="65:72" x14ac:dyDescent="0.25">
      <c r="BM1581" s="81"/>
      <c r="BN1581" s="81"/>
      <c r="BO1581" s="81"/>
      <c r="BP1581" s="81"/>
      <c r="BQ1581" s="81"/>
      <c r="BR1581" s="81"/>
      <c r="BS1581" s="81"/>
      <c r="BT1581" s="81"/>
    </row>
    <row r="1582" spans="65:72" x14ac:dyDescent="0.25">
      <c r="BM1582" s="81"/>
      <c r="BN1582" s="81"/>
      <c r="BO1582" s="81"/>
      <c r="BP1582" s="81"/>
      <c r="BQ1582" s="81"/>
      <c r="BR1582" s="81"/>
      <c r="BS1582" s="81"/>
      <c r="BT1582" s="81"/>
    </row>
    <row r="1583" spans="65:72" x14ac:dyDescent="0.25">
      <c r="BM1583" s="81"/>
      <c r="BN1583" s="81"/>
      <c r="BO1583" s="81"/>
      <c r="BP1583" s="81"/>
      <c r="BQ1583" s="81"/>
      <c r="BR1583" s="81"/>
      <c r="BS1583" s="81"/>
      <c r="BT1583" s="81"/>
    </row>
    <row r="1584" spans="65:72" x14ac:dyDescent="0.25">
      <c r="BM1584" s="81"/>
      <c r="BN1584" s="81"/>
      <c r="BO1584" s="81"/>
      <c r="BP1584" s="81"/>
      <c r="BQ1584" s="81"/>
      <c r="BR1584" s="81"/>
      <c r="BS1584" s="81"/>
      <c r="BT1584" s="81"/>
    </row>
    <row r="1585" spans="65:72" x14ac:dyDescent="0.25">
      <c r="BM1585" s="81"/>
      <c r="BN1585" s="81"/>
      <c r="BO1585" s="81"/>
      <c r="BP1585" s="81"/>
      <c r="BQ1585" s="81"/>
      <c r="BR1585" s="81"/>
      <c r="BS1585" s="81"/>
      <c r="BT1585" s="81"/>
    </row>
    <row r="1586" spans="65:72" x14ac:dyDescent="0.25">
      <c r="BM1586" s="81"/>
      <c r="BN1586" s="81"/>
      <c r="BO1586" s="81"/>
      <c r="BP1586" s="81"/>
      <c r="BQ1586" s="81"/>
      <c r="BR1586" s="81"/>
      <c r="BS1586" s="81"/>
      <c r="BT1586" s="81"/>
    </row>
    <row r="1587" spans="65:72" x14ac:dyDescent="0.25">
      <c r="BM1587" s="81"/>
      <c r="BN1587" s="81"/>
      <c r="BO1587" s="81"/>
      <c r="BP1587" s="81"/>
      <c r="BQ1587" s="81"/>
      <c r="BR1587" s="81"/>
      <c r="BS1587" s="81"/>
      <c r="BT1587" s="81"/>
    </row>
    <row r="1588" spans="65:72" x14ac:dyDescent="0.25">
      <c r="BM1588" s="81"/>
      <c r="BN1588" s="81"/>
      <c r="BO1588" s="81"/>
      <c r="BP1588" s="81"/>
      <c r="BQ1588" s="81"/>
      <c r="BR1588" s="81"/>
      <c r="BS1588" s="81"/>
      <c r="BT1588" s="81"/>
    </row>
    <row r="1589" spans="65:72" x14ac:dyDescent="0.25">
      <c r="BM1589" s="81"/>
      <c r="BN1589" s="81"/>
      <c r="BO1589" s="81"/>
      <c r="BP1589" s="81"/>
      <c r="BQ1589" s="81"/>
      <c r="BR1589" s="81"/>
      <c r="BS1589" s="81"/>
      <c r="BT1589" s="81"/>
    </row>
    <row r="1590" spans="65:72" x14ac:dyDescent="0.25">
      <c r="BM1590" s="81"/>
      <c r="BN1590" s="81"/>
      <c r="BO1590" s="81"/>
      <c r="BP1590" s="81"/>
      <c r="BQ1590" s="81"/>
      <c r="BR1590" s="81"/>
      <c r="BS1590" s="81"/>
      <c r="BT1590" s="81"/>
    </row>
    <row r="1591" spans="65:72" x14ac:dyDescent="0.25">
      <c r="BM1591" s="81"/>
      <c r="BN1591" s="81"/>
      <c r="BO1591" s="81"/>
      <c r="BP1591" s="81"/>
      <c r="BQ1591" s="81"/>
      <c r="BR1591" s="81"/>
      <c r="BS1591" s="81"/>
      <c r="BT1591" s="81"/>
    </row>
    <row r="1592" spans="65:72" x14ac:dyDescent="0.25">
      <c r="BM1592" s="81"/>
      <c r="BN1592" s="81"/>
      <c r="BO1592" s="81"/>
      <c r="BP1592" s="81"/>
      <c r="BQ1592" s="81"/>
      <c r="BR1592" s="81"/>
      <c r="BS1592" s="81"/>
      <c r="BT1592" s="81"/>
    </row>
    <row r="1593" spans="65:72" x14ac:dyDescent="0.25">
      <c r="BM1593" s="81"/>
      <c r="BN1593" s="81"/>
      <c r="BO1593" s="81"/>
      <c r="BP1593" s="81"/>
      <c r="BQ1593" s="81"/>
      <c r="BR1593" s="81"/>
      <c r="BS1593" s="81"/>
      <c r="BT1593" s="81"/>
    </row>
    <row r="1594" spans="65:72" x14ac:dyDescent="0.25">
      <c r="BM1594" s="81"/>
      <c r="BN1594" s="81"/>
      <c r="BO1594" s="81"/>
      <c r="BP1594" s="81"/>
      <c r="BQ1594" s="81"/>
      <c r="BR1594" s="81"/>
      <c r="BS1594" s="81"/>
      <c r="BT1594" s="81"/>
    </row>
    <row r="1595" spans="65:72" x14ac:dyDescent="0.25">
      <c r="BM1595" s="81"/>
      <c r="BN1595" s="81"/>
      <c r="BO1595" s="81"/>
      <c r="BP1595" s="81"/>
      <c r="BQ1595" s="81"/>
      <c r="BR1595" s="81"/>
      <c r="BS1595" s="81"/>
      <c r="BT1595" s="81"/>
    </row>
    <row r="1596" spans="65:72" x14ac:dyDescent="0.25">
      <c r="BM1596" s="81"/>
      <c r="BN1596" s="81"/>
      <c r="BO1596" s="81"/>
      <c r="BP1596" s="81"/>
      <c r="BQ1596" s="81"/>
      <c r="BR1596" s="81"/>
      <c r="BS1596" s="81"/>
      <c r="BT1596" s="81"/>
    </row>
    <row r="1597" spans="65:72" x14ac:dyDescent="0.25">
      <c r="BM1597" s="81"/>
      <c r="BN1597" s="81"/>
      <c r="BO1597" s="81"/>
      <c r="BP1597" s="81"/>
      <c r="BQ1597" s="81"/>
      <c r="BR1597" s="81"/>
      <c r="BS1597" s="81"/>
      <c r="BT1597" s="81"/>
    </row>
    <row r="1598" spans="65:72" x14ac:dyDescent="0.25">
      <c r="BM1598" s="81"/>
      <c r="BN1598" s="81"/>
      <c r="BO1598" s="81"/>
      <c r="BP1598" s="81"/>
      <c r="BQ1598" s="81"/>
      <c r="BR1598" s="81"/>
      <c r="BS1598" s="81"/>
      <c r="BT1598" s="81"/>
    </row>
    <row r="1599" spans="65:72" x14ac:dyDescent="0.25">
      <c r="BM1599" s="81"/>
      <c r="BN1599" s="81"/>
      <c r="BO1599" s="81"/>
      <c r="BP1599" s="81"/>
      <c r="BQ1599" s="81"/>
      <c r="BR1599" s="81"/>
      <c r="BS1599" s="81"/>
      <c r="BT1599" s="81"/>
    </row>
    <row r="1600" spans="65:72" x14ac:dyDescent="0.25">
      <c r="BM1600" s="81"/>
      <c r="BN1600" s="81"/>
      <c r="BO1600" s="81"/>
      <c r="BP1600" s="81"/>
      <c r="BQ1600" s="81"/>
      <c r="BR1600" s="81"/>
      <c r="BS1600" s="81"/>
      <c r="BT1600" s="81"/>
    </row>
    <row r="1601" spans="65:72" x14ac:dyDescent="0.25">
      <c r="BM1601" s="81"/>
      <c r="BN1601" s="81"/>
      <c r="BO1601" s="81"/>
      <c r="BP1601" s="81"/>
      <c r="BQ1601" s="81"/>
      <c r="BR1601" s="81"/>
      <c r="BS1601" s="81"/>
      <c r="BT1601" s="81"/>
    </row>
    <row r="1602" spans="65:72" x14ac:dyDescent="0.25">
      <c r="BM1602" s="81"/>
      <c r="BN1602" s="81"/>
      <c r="BO1602" s="81"/>
      <c r="BP1602" s="81"/>
      <c r="BQ1602" s="81"/>
      <c r="BR1602" s="81"/>
      <c r="BS1602" s="81"/>
      <c r="BT1602" s="81"/>
    </row>
    <row r="1603" spans="65:72" x14ac:dyDescent="0.25">
      <c r="BM1603" s="81"/>
      <c r="BN1603" s="81"/>
      <c r="BO1603" s="81"/>
      <c r="BP1603" s="81"/>
      <c r="BQ1603" s="81"/>
      <c r="BR1603" s="81"/>
      <c r="BS1603" s="81"/>
      <c r="BT1603" s="81"/>
    </row>
    <row r="1604" spans="65:72" x14ac:dyDescent="0.25">
      <c r="BM1604" s="81"/>
      <c r="BN1604" s="81"/>
      <c r="BO1604" s="81"/>
      <c r="BP1604" s="81"/>
      <c r="BQ1604" s="81"/>
      <c r="BR1604" s="81"/>
      <c r="BS1604" s="81"/>
      <c r="BT1604" s="81"/>
    </row>
    <row r="1605" spans="65:72" x14ac:dyDescent="0.25">
      <c r="BM1605" s="81"/>
      <c r="BN1605" s="81"/>
      <c r="BO1605" s="81"/>
      <c r="BP1605" s="81"/>
      <c r="BQ1605" s="81"/>
      <c r="BR1605" s="81"/>
      <c r="BS1605" s="81"/>
      <c r="BT1605" s="81"/>
    </row>
    <row r="1606" spans="65:72" x14ac:dyDescent="0.25">
      <c r="BM1606" s="81"/>
      <c r="BN1606" s="81"/>
      <c r="BO1606" s="81"/>
      <c r="BP1606" s="81"/>
      <c r="BQ1606" s="81"/>
      <c r="BR1606" s="81"/>
      <c r="BS1606" s="81"/>
      <c r="BT1606" s="81"/>
    </row>
    <row r="1607" spans="65:72" x14ac:dyDescent="0.25">
      <c r="BM1607" s="81"/>
      <c r="BN1607" s="81"/>
      <c r="BO1607" s="81"/>
      <c r="BP1607" s="81"/>
      <c r="BQ1607" s="81"/>
      <c r="BR1607" s="81"/>
      <c r="BS1607" s="81"/>
      <c r="BT1607" s="81"/>
    </row>
    <row r="1608" spans="65:72" x14ac:dyDescent="0.25">
      <c r="BM1608" s="81"/>
      <c r="BN1608" s="81"/>
      <c r="BO1608" s="81"/>
      <c r="BP1608" s="81"/>
      <c r="BQ1608" s="81"/>
      <c r="BR1608" s="81"/>
      <c r="BS1608" s="81"/>
      <c r="BT1608" s="81"/>
    </row>
    <row r="1609" spans="65:72" x14ac:dyDescent="0.25">
      <c r="BM1609" s="81"/>
      <c r="BN1609" s="81"/>
      <c r="BO1609" s="81"/>
      <c r="BP1609" s="81"/>
      <c r="BQ1609" s="81"/>
      <c r="BR1609" s="81"/>
      <c r="BS1609" s="81"/>
      <c r="BT1609" s="81"/>
    </row>
    <row r="1610" spans="65:72" x14ac:dyDescent="0.25">
      <c r="BM1610" s="81"/>
      <c r="BN1610" s="81"/>
      <c r="BO1610" s="81"/>
      <c r="BP1610" s="81"/>
      <c r="BQ1610" s="81"/>
      <c r="BR1610" s="81"/>
      <c r="BS1610" s="81"/>
      <c r="BT1610" s="81"/>
    </row>
    <row r="1611" spans="65:72" x14ac:dyDescent="0.25">
      <c r="BM1611" s="81"/>
      <c r="BN1611" s="81"/>
      <c r="BO1611" s="81"/>
      <c r="BP1611" s="81"/>
      <c r="BQ1611" s="81"/>
      <c r="BR1611" s="81"/>
      <c r="BS1611" s="81"/>
      <c r="BT1611" s="81"/>
    </row>
    <row r="1612" spans="65:72" x14ac:dyDescent="0.25">
      <c r="BM1612" s="81"/>
      <c r="BN1612" s="81"/>
      <c r="BO1612" s="81"/>
      <c r="BP1612" s="81"/>
      <c r="BQ1612" s="81"/>
      <c r="BR1612" s="81"/>
      <c r="BS1612" s="81"/>
      <c r="BT1612" s="81"/>
    </row>
    <row r="1613" spans="65:72" x14ac:dyDescent="0.25">
      <c r="BM1613" s="81"/>
      <c r="BN1613" s="81"/>
      <c r="BO1613" s="81"/>
      <c r="BP1613" s="81"/>
      <c r="BQ1613" s="81"/>
      <c r="BR1613" s="81"/>
      <c r="BS1613" s="81"/>
      <c r="BT1613" s="81"/>
    </row>
    <row r="1614" spans="65:72" x14ac:dyDescent="0.25">
      <c r="BM1614" s="81"/>
      <c r="BN1614" s="81"/>
      <c r="BO1614" s="81"/>
      <c r="BP1614" s="81"/>
      <c r="BQ1614" s="81"/>
      <c r="BR1614" s="81"/>
      <c r="BS1614" s="81"/>
      <c r="BT1614" s="81"/>
    </row>
    <row r="1615" spans="65:72" x14ac:dyDescent="0.25">
      <c r="BM1615" s="81"/>
      <c r="BN1615" s="81"/>
      <c r="BO1615" s="81"/>
      <c r="BP1615" s="81"/>
      <c r="BQ1615" s="81"/>
      <c r="BR1615" s="81"/>
      <c r="BS1615" s="81"/>
      <c r="BT1615" s="81"/>
    </row>
    <row r="1616" spans="65:72" x14ac:dyDescent="0.25">
      <c r="BM1616" s="81"/>
      <c r="BN1616" s="81"/>
      <c r="BO1616" s="81"/>
      <c r="BP1616" s="81"/>
      <c r="BQ1616" s="81"/>
      <c r="BR1616" s="81"/>
      <c r="BS1616" s="81"/>
      <c r="BT1616" s="81"/>
    </row>
    <row r="1617" spans="65:72" x14ac:dyDescent="0.25">
      <c r="BM1617" s="81"/>
      <c r="BN1617" s="81"/>
      <c r="BO1617" s="81"/>
      <c r="BP1617" s="81"/>
      <c r="BQ1617" s="81"/>
      <c r="BR1617" s="81"/>
      <c r="BS1617" s="81"/>
      <c r="BT1617" s="81"/>
    </row>
    <row r="1618" spans="65:72" x14ac:dyDescent="0.25">
      <c r="BM1618" s="81"/>
      <c r="BN1618" s="81"/>
      <c r="BO1618" s="81"/>
      <c r="BP1618" s="81"/>
      <c r="BQ1618" s="81"/>
      <c r="BR1618" s="81"/>
      <c r="BS1618" s="81"/>
      <c r="BT1618" s="81"/>
    </row>
    <row r="1619" spans="65:72" x14ac:dyDescent="0.25">
      <c r="BM1619" s="81"/>
      <c r="BN1619" s="81"/>
      <c r="BO1619" s="81"/>
      <c r="BP1619" s="81"/>
      <c r="BQ1619" s="81"/>
      <c r="BR1619" s="81"/>
      <c r="BS1619" s="81"/>
      <c r="BT1619" s="81"/>
    </row>
    <row r="1620" spans="65:72" x14ac:dyDescent="0.25">
      <c r="BM1620" s="81"/>
      <c r="BN1620" s="81"/>
      <c r="BO1620" s="81"/>
      <c r="BP1620" s="81"/>
      <c r="BQ1620" s="81"/>
      <c r="BR1620" s="81"/>
      <c r="BS1620" s="81"/>
      <c r="BT1620" s="81"/>
    </row>
    <row r="1621" spans="65:72" x14ac:dyDescent="0.25">
      <c r="BM1621" s="81"/>
      <c r="BN1621" s="81"/>
      <c r="BO1621" s="81"/>
      <c r="BP1621" s="81"/>
      <c r="BQ1621" s="81"/>
      <c r="BR1621" s="81"/>
      <c r="BS1621" s="81"/>
      <c r="BT1621" s="81"/>
    </row>
    <row r="1622" spans="65:72" x14ac:dyDescent="0.25">
      <c r="BM1622" s="81"/>
      <c r="BN1622" s="81"/>
      <c r="BO1622" s="81"/>
      <c r="BP1622" s="81"/>
      <c r="BQ1622" s="81"/>
      <c r="BR1622" s="81"/>
      <c r="BS1622" s="81"/>
      <c r="BT1622" s="81"/>
    </row>
    <row r="1623" spans="65:72" x14ac:dyDescent="0.25">
      <c r="BM1623" s="81"/>
      <c r="BN1623" s="81"/>
      <c r="BO1623" s="81"/>
      <c r="BP1623" s="81"/>
      <c r="BQ1623" s="81"/>
      <c r="BR1623" s="81"/>
      <c r="BS1623" s="81"/>
      <c r="BT1623" s="81"/>
    </row>
    <row r="1624" spans="65:72" x14ac:dyDescent="0.25">
      <c r="BM1624" s="81"/>
      <c r="BN1624" s="81"/>
      <c r="BO1624" s="81"/>
      <c r="BP1624" s="81"/>
      <c r="BQ1624" s="81"/>
      <c r="BR1624" s="81"/>
      <c r="BS1624" s="81"/>
      <c r="BT1624" s="81"/>
    </row>
    <row r="1625" spans="65:72" x14ac:dyDescent="0.25">
      <c r="BM1625" s="81"/>
      <c r="BN1625" s="81"/>
      <c r="BO1625" s="81"/>
      <c r="BP1625" s="81"/>
      <c r="BQ1625" s="81"/>
      <c r="BR1625" s="81"/>
      <c r="BS1625" s="81"/>
      <c r="BT1625" s="81"/>
    </row>
    <row r="1626" spans="65:72" x14ac:dyDescent="0.25">
      <c r="BM1626" s="81"/>
      <c r="BN1626" s="81"/>
      <c r="BO1626" s="81"/>
      <c r="BP1626" s="81"/>
      <c r="BQ1626" s="81"/>
      <c r="BR1626" s="81"/>
      <c r="BS1626" s="81"/>
      <c r="BT1626" s="81"/>
    </row>
    <row r="1627" spans="65:72" x14ac:dyDescent="0.25">
      <c r="BM1627" s="81"/>
      <c r="BN1627" s="81"/>
      <c r="BO1627" s="81"/>
      <c r="BP1627" s="81"/>
      <c r="BQ1627" s="81"/>
      <c r="BR1627" s="81"/>
      <c r="BS1627" s="81"/>
      <c r="BT1627" s="81"/>
    </row>
    <row r="1628" spans="65:72" x14ac:dyDescent="0.25">
      <c r="BM1628" s="81"/>
      <c r="BN1628" s="81"/>
      <c r="BO1628" s="81"/>
      <c r="BP1628" s="81"/>
      <c r="BQ1628" s="81"/>
      <c r="BR1628" s="81"/>
      <c r="BS1628" s="81"/>
      <c r="BT1628" s="81"/>
    </row>
    <row r="1629" spans="65:72" x14ac:dyDescent="0.25">
      <c r="BM1629" s="81"/>
      <c r="BN1629" s="81"/>
      <c r="BO1629" s="81"/>
      <c r="BP1629" s="81"/>
      <c r="BQ1629" s="81"/>
      <c r="BR1629" s="81"/>
      <c r="BS1629" s="81"/>
      <c r="BT1629" s="81"/>
    </row>
    <row r="1630" spans="65:72" x14ac:dyDescent="0.25">
      <c r="BM1630" s="81"/>
      <c r="BN1630" s="81"/>
      <c r="BO1630" s="81"/>
      <c r="BP1630" s="81"/>
      <c r="BQ1630" s="81"/>
      <c r="BR1630" s="81"/>
      <c r="BS1630" s="81"/>
      <c r="BT1630" s="81"/>
    </row>
    <row r="1631" spans="65:72" x14ac:dyDescent="0.25">
      <c r="BM1631" s="81"/>
      <c r="BN1631" s="81"/>
      <c r="BO1631" s="81"/>
      <c r="BP1631" s="81"/>
      <c r="BQ1631" s="81"/>
      <c r="BR1631" s="81"/>
      <c r="BS1631" s="81"/>
      <c r="BT1631" s="81"/>
    </row>
    <row r="1632" spans="65:72" x14ac:dyDescent="0.25">
      <c r="BM1632" s="81"/>
      <c r="BN1632" s="81"/>
      <c r="BO1632" s="81"/>
      <c r="BP1632" s="81"/>
      <c r="BQ1632" s="81"/>
      <c r="BR1632" s="81"/>
      <c r="BS1632" s="81"/>
      <c r="BT1632" s="81"/>
    </row>
    <row r="1633" spans="65:72" x14ac:dyDescent="0.25">
      <c r="BM1633" s="81"/>
      <c r="BN1633" s="81"/>
      <c r="BO1633" s="81"/>
      <c r="BP1633" s="81"/>
      <c r="BQ1633" s="81"/>
      <c r="BR1633" s="81"/>
      <c r="BS1633" s="81"/>
      <c r="BT1633" s="81"/>
    </row>
    <row r="1634" spans="65:72" x14ac:dyDescent="0.25">
      <c r="BM1634" s="81"/>
      <c r="BN1634" s="81"/>
      <c r="BO1634" s="81"/>
      <c r="BP1634" s="81"/>
      <c r="BQ1634" s="81"/>
      <c r="BR1634" s="81"/>
      <c r="BS1634" s="81"/>
      <c r="BT1634" s="81"/>
    </row>
    <row r="1635" spans="65:72" x14ac:dyDescent="0.25">
      <c r="BM1635" s="81"/>
      <c r="BN1635" s="81"/>
      <c r="BO1635" s="81"/>
      <c r="BP1635" s="81"/>
      <c r="BQ1635" s="81"/>
      <c r="BR1635" s="81"/>
      <c r="BS1635" s="81"/>
      <c r="BT1635" s="81"/>
    </row>
    <row r="1636" spans="65:72" x14ac:dyDescent="0.25">
      <c r="BM1636" s="81"/>
      <c r="BN1636" s="81"/>
      <c r="BO1636" s="81"/>
      <c r="BP1636" s="81"/>
      <c r="BQ1636" s="81"/>
      <c r="BR1636" s="81"/>
      <c r="BS1636" s="81"/>
      <c r="BT1636" s="81"/>
    </row>
    <row r="1637" spans="65:72" x14ac:dyDescent="0.25">
      <c r="BM1637" s="81"/>
      <c r="BN1637" s="81"/>
      <c r="BO1637" s="81"/>
      <c r="BP1637" s="81"/>
      <c r="BQ1637" s="81"/>
      <c r="BR1637" s="81"/>
      <c r="BS1637" s="81"/>
      <c r="BT1637" s="81"/>
    </row>
    <row r="1638" spans="65:72" x14ac:dyDescent="0.25">
      <c r="BM1638" s="81"/>
      <c r="BN1638" s="81"/>
      <c r="BO1638" s="81"/>
      <c r="BP1638" s="81"/>
      <c r="BQ1638" s="81"/>
      <c r="BR1638" s="81"/>
      <c r="BS1638" s="81"/>
      <c r="BT1638" s="81"/>
    </row>
    <row r="1639" spans="65:72" x14ac:dyDescent="0.25">
      <c r="BM1639" s="81"/>
      <c r="BN1639" s="81"/>
      <c r="BO1639" s="81"/>
      <c r="BP1639" s="81"/>
      <c r="BQ1639" s="81"/>
      <c r="BR1639" s="81"/>
      <c r="BS1639" s="81"/>
      <c r="BT1639" s="81"/>
    </row>
    <row r="1640" spans="65:72" x14ac:dyDescent="0.25">
      <c r="BM1640" s="81"/>
      <c r="BN1640" s="81"/>
      <c r="BO1640" s="81"/>
      <c r="BP1640" s="81"/>
      <c r="BQ1640" s="81"/>
      <c r="BR1640" s="81"/>
      <c r="BS1640" s="81"/>
      <c r="BT1640" s="81"/>
    </row>
    <row r="1641" spans="65:72" x14ac:dyDescent="0.25">
      <c r="BM1641" s="81"/>
      <c r="BN1641" s="81"/>
      <c r="BO1641" s="81"/>
      <c r="BP1641" s="81"/>
      <c r="BQ1641" s="81"/>
      <c r="BR1641" s="81"/>
      <c r="BS1641" s="81"/>
      <c r="BT1641" s="81"/>
    </row>
    <row r="1642" spans="65:72" x14ac:dyDescent="0.25">
      <c r="BM1642" s="81"/>
      <c r="BN1642" s="81"/>
      <c r="BO1642" s="81"/>
      <c r="BP1642" s="81"/>
      <c r="BQ1642" s="81"/>
      <c r="BR1642" s="81"/>
      <c r="BS1642" s="81"/>
      <c r="BT1642" s="81"/>
    </row>
    <row r="1643" spans="65:72" x14ac:dyDescent="0.25">
      <c r="BM1643" s="81"/>
      <c r="BN1643" s="81"/>
      <c r="BO1643" s="81"/>
      <c r="BP1643" s="81"/>
      <c r="BQ1643" s="81"/>
      <c r="BR1643" s="81"/>
      <c r="BS1643" s="81"/>
      <c r="BT1643" s="81"/>
    </row>
    <row r="1644" spans="65:72" x14ac:dyDescent="0.25">
      <c r="BM1644" s="81"/>
      <c r="BN1644" s="81"/>
      <c r="BO1644" s="81"/>
      <c r="BP1644" s="81"/>
      <c r="BQ1644" s="81"/>
      <c r="BR1644" s="81"/>
      <c r="BS1644" s="81"/>
      <c r="BT1644" s="81"/>
    </row>
    <row r="1645" spans="65:72" x14ac:dyDescent="0.25">
      <c r="BM1645" s="81"/>
      <c r="BN1645" s="81"/>
      <c r="BO1645" s="81"/>
      <c r="BP1645" s="81"/>
      <c r="BQ1645" s="81"/>
      <c r="BR1645" s="81"/>
      <c r="BS1645" s="81"/>
      <c r="BT1645" s="81"/>
    </row>
    <row r="1646" spans="65:72" x14ac:dyDescent="0.25">
      <c r="BM1646" s="81"/>
      <c r="BN1646" s="81"/>
      <c r="BO1646" s="81"/>
      <c r="BP1646" s="81"/>
      <c r="BQ1646" s="81"/>
      <c r="BR1646" s="81"/>
      <c r="BS1646" s="81"/>
      <c r="BT1646" s="81"/>
    </row>
    <row r="1647" spans="65:72" x14ac:dyDescent="0.25">
      <c r="BM1647" s="81"/>
      <c r="BN1647" s="81"/>
      <c r="BO1647" s="81"/>
      <c r="BP1647" s="81"/>
      <c r="BQ1647" s="81"/>
      <c r="BR1647" s="81"/>
      <c r="BS1647" s="81"/>
      <c r="BT1647" s="81"/>
    </row>
    <row r="1648" spans="65:72" x14ac:dyDescent="0.25">
      <c r="BM1648" s="81"/>
      <c r="BN1648" s="81"/>
      <c r="BO1648" s="81"/>
      <c r="BP1648" s="81"/>
      <c r="BQ1648" s="81"/>
      <c r="BR1648" s="81"/>
      <c r="BS1648" s="81"/>
      <c r="BT1648" s="81"/>
    </row>
    <row r="1649" spans="65:72" x14ac:dyDescent="0.25">
      <c r="BM1649" s="81"/>
      <c r="BN1649" s="81"/>
      <c r="BO1649" s="81"/>
      <c r="BP1649" s="81"/>
      <c r="BQ1649" s="81"/>
      <c r="BR1649" s="81"/>
      <c r="BS1649" s="81"/>
      <c r="BT1649" s="81"/>
    </row>
    <row r="1650" spans="65:72" x14ac:dyDescent="0.25">
      <c r="BM1650" s="81"/>
      <c r="BN1650" s="81"/>
      <c r="BO1650" s="81"/>
      <c r="BP1650" s="81"/>
      <c r="BQ1650" s="81"/>
      <c r="BR1650" s="81"/>
      <c r="BS1650" s="81"/>
      <c r="BT1650" s="81"/>
    </row>
    <row r="1651" spans="65:72" x14ac:dyDescent="0.25">
      <c r="BM1651" s="81"/>
      <c r="BN1651" s="81"/>
      <c r="BO1651" s="81"/>
      <c r="BP1651" s="81"/>
      <c r="BQ1651" s="81"/>
      <c r="BR1651" s="81"/>
      <c r="BS1651" s="81"/>
      <c r="BT1651" s="81"/>
    </row>
    <row r="1652" spans="65:72" x14ac:dyDescent="0.25">
      <c r="BM1652" s="81"/>
      <c r="BN1652" s="81"/>
      <c r="BO1652" s="81"/>
      <c r="BP1652" s="81"/>
      <c r="BQ1652" s="81"/>
      <c r="BR1652" s="81"/>
      <c r="BS1652" s="81"/>
      <c r="BT1652" s="81"/>
    </row>
    <row r="1653" spans="65:72" x14ac:dyDescent="0.25">
      <c r="BM1653" s="81"/>
      <c r="BN1653" s="81"/>
      <c r="BO1653" s="81"/>
      <c r="BP1653" s="81"/>
      <c r="BQ1653" s="81"/>
      <c r="BR1653" s="81"/>
      <c r="BS1653" s="81"/>
      <c r="BT1653" s="81"/>
    </row>
    <row r="1654" spans="65:72" x14ac:dyDescent="0.25">
      <c r="BM1654" s="81"/>
      <c r="BN1654" s="81"/>
      <c r="BO1654" s="81"/>
      <c r="BP1654" s="81"/>
      <c r="BQ1654" s="81"/>
      <c r="BR1654" s="81"/>
      <c r="BS1654" s="81"/>
      <c r="BT1654" s="81"/>
    </row>
    <row r="1655" spans="65:72" x14ac:dyDescent="0.25">
      <c r="BM1655" s="81"/>
      <c r="BN1655" s="81"/>
      <c r="BO1655" s="81"/>
      <c r="BP1655" s="81"/>
      <c r="BQ1655" s="81"/>
      <c r="BR1655" s="81"/>
      <c r="BS1655" s="81"/>
      <c r="BT1655" s="81"/>
    </row>
    <row r="1656" spans="65:72" x14ac:dyDescent="0.25">
      <c r="BM1656" s="81"/>
      <c r="BN1656" s="81"/>
      <c r="BO1656" s="81"/>
      <c r="BP1656" s="81"/>
      <c r="BQ1656" s="81"/>
      <c r="BR1656" s="81"/>
      <c r="BS1656" s="81"/>
      <c r="BT1656" s="81"/>
    </row>
    <row r="1657" spans="65:72" x14ac:dyDescent="0.25">
      <c r="BM1657" s="81"/>
      <c r="BN1657" s="81"/>
      <c r="BO1657" s="81"/>
      <c r="BP1657" s="81"/>
      <c r="BQ1657" s="81"/>
      <c r="BR1657" s="81"/>
      <c r="BS1657" s="81"/>
      <c r="BT1657" s="81"/>
    </row>
    <row r="1658" spans="65:72" x14ac:dyDescent="0.25">
      <c r="BM1658" s="81"/>
      <c r="BN1658" s="81"/>
      <c r="BO1658" s="81"/>
      <c r="BP1658" s="81"/>
      <c r="BQ1658" s="81"/>
      <c r="BR1658" s="81"/>
      <c r="BS1658" s="81"/>
      <c r="BT1658" s="81"/>
    </row>
    <row r="1659" spans="65:72" x14ac:dyDescent="0.25">
      <c r="BM1659" s="81"/>
      <c r="BN1659" s="81"/>
      <c r="BO1659" s="81"/>
      <c r="BP1659" s="81"/>
      <c r="BQ1659" s="81"/>
      <c r="BR1659" s="81"/>
      <c r="BS1659" s="81"/>
      <c r="BT1659" s="81"/>
    </row>
    <row r="1660" spans="65:72" x14ac:dyDescent="0.25">
      <c r="BM1660" s="81"/>
      <c r="BN1660" s="81"/>
      <c r="BO1660" s="81"/>
      <c r="BP1660" s="81"/>
      <c r="BQ1660" s="81"/>
      <c r="BR1660" s="81"/>
      <c r="BS1660" s="81"/>
      <c r="BT1660" s="81"/>
    </row>
    <row r="1661" spans="65:72" x14ac:dyDescent="0.25">
      <c r="BM1661" s="81"/>
      <c r="BN1661" s="81"/>
      <c r="BO1661" s="81"/>
      <c r="BP1661" s="81"/>
      <c r="BQ1661" s="81"/>
      <c r="BR1661" s="81"/>
      <c r="BS1661" s="81"/>
      <c r="BT1661" s="81"/>
    </row>
    <row r="1662" spans="65:72" x14ac:dyDescent="0.25">
      <c r="BM1662" s="81"/>
      <c r="BN1662" s="81"/>
      <c r="BO1662" s="81"/>
      <c r="BP1662" s="81"/>
      <c r="BQ1662" s="81"/>
      <c r="BR1662" s="81"/>
      <c r="BS1662" s="81"/>
      <c r="BT1662" s="81"/>
    </row>
    <row r="1663" spans="65:72" x14ac:dyDescent="0.25">
      <c r="BM1663" s="81"/>
      <c r="BN1663" s="81"/>
      <c r="BO1663" s="81"/>
      <c r="BP1663" s="81"/>
      <c r="BQ1663" s="81"/>
      <c r="BR1663" s="81"/>
      <c r="BS1663" s="81"/>
      <c r="BT1663" s="81"/>
    </row>
    <row r="1664" spans="65:72" x14ac:dyDescent="0.25">
      <c r="BM1664" s="81"/>
      <c r="BN1664" s="81"/>
      <c r="BO1664" s="81"/>
      <c r="BP1664" s="81"/>
      <c r="BQ1664" s="81"/>
      <c r="BR1664" s="81"/>
      <c r="BS1664" s="81"/>
      <c r="BT1664" s="81"/>
    </row>
    <row r="1665" spans="65:72" x14ac:dyDescent="0.25">
      <c r="BM1665" s="81"/>
      <c r="BN1665" s="81"/>
      <c r="BO1665" s="81"/>
      <c r="BP1665" s="81"/>
      <c r="BQ1665" s="81"/>
      <c r="BR1665" s="81"/>
      <c r="BS1665" s="81"/>
      <c r="BT1665" s="81"/>
    </row>
    <row r="1666" spans="65:72" x14ac:dyDescent="0.25">
      <c r="BM1666" s="81"/>
      <c r="BN1666" s="81"/>
      <c r="BO1666" s="81"/>
      <c r="BP1666" s="81"/>
      <c r="BQ1666" s="81"/>
      <c r="BR1666" s="81"/>
      <c r="BS1666" s="81"/>
      <c r="BT1666" s="81"/>
    </row>
    <row r="1667" spans="65:72" x14ac:dyDescent="0.25">
      <c r="BM1667" s="81"/>
      <c r="BN1667" s="81"/>
      <c r="BO1667" s="81"/>
      <c r="BP1667" s="81"/>
      <c r="BQ1667" s="81"/>
      <c r="BR1667" s="81"/>
      <c r="BS1667" s="81"/>
      <c r="BT1667" s="81"/>
    </row>
    <row r="1668" spans="65:72" x14ac:dyDescent="0.25">
      <c r="BM1668" s="81"/>
      <c r="BN1668" s="81"/>
      <c r="BO1668" s="81"/>
      <c r="BP1668" s="81"/>
      <c r="BQ1668" s="81"/>
      <c r="BR1668" s="81"/>
      <c r="BS1668" s="81"/>
      <c r="BT1668" s="81"/>
    </row>
    <row r="1669" spans="65:72" x14ac:dyDescent="0.25">
      <c r="BM1669" s="81"/>
      <c r="BN1669" s="81"/>
      <c r="BO1669" s="81"/>
      <c r="BP1669" s="81"/>
      <c r="BQ1669" s="81"/>
      <c r="BR1669" s="81"/>
      <c r="BS1669" s="81"/>
      <c r="BT1669" s="81"/>
    </row>
    <row r="1670" spans="65:72" x14ac:dyDescent="0.25">
      <c r="BM1670" s="81"/>
      <c r="BN1670" s="81"/>
      <c r="BO1670" s="81"/>
      <c r="BP1670" s="81"/>
      <c r="BQ1670" s="81"/>
      <c r="BR1670" s="81"/>
      <c r="BS1670" s="81"/>
      <c r="BT1670" s="81"/>
    </row>
    <row r="1671" spans="65:72" x14ac:dyDescent="0.25">
      <c r="BM1671" s="81"/>
      <c r="BN1671" s="81"/>
      <c r="BO1671" s="81"/>
      <c r="BP1671" s="81"/>
      <c r="BQ1671" s="81"/>
      <c r="BR1671" s="81"/>
      <c r="BS1671" s="81"/>
      <c r="BT1671" s="81"/>
    </row>
    <row r="1672" spans="65:72" x14ac:dyDescent="0.25">
      <c r="BM1672" s="81"/>
      <c r="BN1672" s="81"/>
      <c r="BO1672" s="81"/>
      <c r="BP1672" s="81"/>
      <c r="BQ1672" s="81"/>
      <c r="BR1672" s="81"/>
      <c r="BS1672" s="81"/>
      <c r="BT1672" s="81"/>
    </row>
    <row r="1673" spans="65:72" x14ac:dyDescent="0.25">
      <c r="BM1673" s="81"/>
      <c r="BN1673" s="81"/>
      <c r="BO1673" s="81"/>
      <c r="BP1673" s="81"/>
      <c r="BQ1673" s="81"/>
      <c r="BR1673" s="81"/>
      <c r="BS1673" s="81"/>
      <c r="BT1673" s="81"/>
    </row>
    <row r="1674" spans="65:72" x14ac:dyDescent="0.25">
      <c r="BM1674" s="81"/>
      <c r="BN1674" s="81"/>
      <c r="BO1674" s="81"/>
      <c r="BP1674" s="81"/>
      <c r="BQ1674" s="81"/>
      <c r="BR1674" s="81"/>
      <c r="BS1674" s="81"/>
      <c r="BT1674" s="81"/>
    </row>
    <row r="1675" spans="65:72" x14ac:dyDescent="0.25">
      <c r="BM1675" s="81"/>
      <c r="BN1675" s="81"/>
      <c r="BO1675" s="81"/>
      <c r="BP1675" s="81"/>
      <c r="BQ1675" s="81"/>
      <c r="BR1675" s="81"/>
      <c r="BS1675" s="81"/>
      <c r="BT1675" s="81"/>
    </row>
    <row r="1676" spans="65:72" x14ac:dyDescent="0.25">
      <c r="BM1676" s="81"/>
      <c r="BN1676" s="81"/>
      <c r="BO1676" s="81"/>
      <c r="BP1676" s="81"/>
      <c r="BQ1676" s="81"/>
      <c r="BR1676" s="81"/>
      <c r="BS1676" s="81"/>
      <c r="BT1676" s="81"/>
    </row>
    <row r="1677" spans="65:72" x14ac:dyDescent="0.25">
      <c r="BM1677" s="81"/>
      <c r="BN1677" s="81"/>
      <c r="BO1677" s="81"/>
      <c r="BP1677" s="81"/>
      <c r="BQ1677" s="81"/>
      <c r="BR1677" s="81"/>
      <c r="BS1677" s="81"/>
      <c r="BT1677" s="81"/>
    </row>
    <row r="1678" spans="65:72" x14ac:dyDescent="0.25">
      <c r="BM1678" s="81"/>
      <c r="BN1678" s="81"/>
      <c r="BO1678" s="81"/>
      <c r="BP1678" s="81"/>
      <c r="BQ1678" s="81"/>
      <c r="BR1678" s="81"/>
      <c r="BS1678" s="81"/>
      <c r="BT1678" s="81"/>
    </row>
    <row r="1679" spans="65:72" x14ac:dyDescent="0.25">
      <c r="BM1679" s="81"/>
      <c r="BN1679" s="81"/>
      <c r="BO1679" s="81"/>
      <c r="BP1679" s="81"/>
      <c r="BQ1679" s="81"/>
      <c r="BR1679" s="81"/>
      <c r="BS1679" s="81"/>
      <c r="BT1679" s="81"/>
    </row>
    <row r="1680" spans="65:72" x14ac:dyDescent="0.25">
      <c r="BM1680" s="81"/>
      <c r="BN1680" s="81"/>
      <c r="BO1680" s="81"/>
      <c r="BP1680" s="81"/>
      <c r="BQ1680" s="81"/>
      <c r="BR1680" s="81"/>
      <c r="BS1680" s="81"/>
      <c r="BT1680" s="81"/>
    </row>
    <row r="1681" spans="65:72" x14ac:dyDescent="0.25">
      <c r="BM1681" s="81"/>
      <c r="BN1681" s="81"/>
      <c r="BO1681" s="81"/>
      <c r="BP1681" s="81"/>
      <c r="BQ1681" s="81"/>
      <c r="BR1681" s="81"/>
      <c r="BS1681" s="81"/>
      <c r="BT1681" s="81"/>
    </row>
    <row r="1682" spans="65:72" x14ac:dyDescent="0.25">
      <c r="BM1682" s="81"/>
      <c r="BN1682" s="81"/>
      <c r="BO1682" s="81"/>
      <c r="BP1682" s="81"/>
      <c r="BQ1682" s="81"/>
      <c r="BR1682" s="81"/>
      <c r="BS1682" s="81"/>
      <c r="BT1682" s="81"/>
    </row>
    <row r="1683" spans="65:72" x14ac:dyDescent="0.25">
      <c r="BM1683" s="81"/>
      <c r="BN1683" s="81"/>
      <c r="BO1683" s="81"/>
      <c r="BP1683" s="81"/>
      <c r="BQ1683" s="81"/>
      <c r="BR1683" s="81"/>
      <c r="BS1683" s="81"/>
      <c r="BT1683" s="81"/>
    </row>
    <row r="1684" spans="65:72" x14ac:dyDescent="0.25">
      <c r="BM1684" s="81"/>
      <c r="BN1684" s="81"/>
      <c r="BO1684" s="81"/>
      <c r="BP1684" s="81"/>
      <c r="BQ1684" s="81"/>
      <c r="BR1684" s="81"/>
      <c r="BS1684" s="81"/>
      <c r="BT1684" s="81"/>
    </row>
    <row r="1685" spans="65:72" x14ac:dyDescent="0.25">
      <c r="BM1685" s="81"/>
      <c r="BN1685" s="81"/>
      <c r="BO1685" s="81"/>
      <c r="BP1685" s="81"/>
      <c r="BQ1685" s="81"/>
      <c r="BR1685" s="81"/>
      <c r="BS1685" s="81"/>
      <c r="BT1685" s="81"/>
    </row>
    <row r="1686" spans="65:72" x14ac:dyDescent="0.25">
      <c r="BM1686" s="81"/>
      <c r="BN1686" s="81"/>
      <c r="BO1686" s="81"/>
      <c r="BP1686" s="81"/>
      <c r="BQ1686" s="81"/>
      <c r="BR1686" s="81"/>
      <c r="BS1686" s="81"/>
      <c r="BT1686" s="81"/>
    </row>
    <row r="1687" spans="65:72" x14ac:dyDescent="0.25">
      <c r="BM1687" s="81"/>
      <c r="BN1687" s="81"/>
      <c r="BO1687" s="81"/>
      <c r="BP1687" s="81"/>
      <c r="BQ1687" s="81"/>
      <c r="BR1687" s="81"/>
      <c r="BS1687" s="81"/>
      <c r="BT1687" s="81"/>
    </row>
    <row r="1688" spans="65:72" x14ac:dyDescent="0.25">
      <c r="BM1688" s="81"/>
      <c r="BN1688" s="81"/>
      <c r="BO1688" s="81"/>
      <c r="BP1688" s="81"/>
      <c r="BQ1688" s="81"/>
      <c r="BR1688" s="81"/>
      <c r="BS1688" s="81"/>
      <c r="BT1688" s="81"/>
    </row>
    <row r="1689" spans="65:72" x14ac:dyDescent="0.25">
      <c r="BM1689" s="81"/>
      <c r="BN1689" s="81"/>
      <c r="BO1689" s="81"/>
      <c r="BP1689" s="81"/>
      <c r="BQ1689" s="81"/>
      <c r="BR1689" s="81"/>
      <c r="BS1689" s="81"/>
      <c r="BT1689" s="81"/>
    </row>
    <row r="1690" spans="65:72" x14ac:dyDescent="0.25">
      <c r="BM1690" s="81"/>
      <c r="BN1690" s="81"/>
      <c r="BO1690" s="81"/>
      <c r="BP1690" s="81"/>
      <c r="BQ1690" s="81"/>
      <c r="BR1690" s="81"/>
      <c r="BS1690" s="81"/>
      <c r="BT1690" s="81"/>
    </row>
    <row r="1691" spans="65:72" x14ac:dyDescent="0.25">
      <c r="BM1691" s="81"/>
      <c r="BN1691" s="81"/>
      <c r="BO1691" s="81"/>
      <c r="BP1691" s="81"/>
      <c r="BQ1691" s="81"/>
      <c r="BR1691" s="81"/>
      <c r="BS1691" s="81"/>
      <c r="BT1691" s="81"/>
    </row>
    <row r="1692" spans="65:72" x14ac:dyDescent="0.25">
      <c r="BM1692" s="81"/>
      <c r="BN1692" s="81"/>
      <c r="BO1692" s="81"/>
      <c r="BP1692" s="81"/>
      <c r="BQ1692" s="81"/>
      <c r="BR1692" s="81"/>
      <c r="BS1692" s="81"/>
      <c r="BT1692" s="81"/>
    </row>
    <row r="1693" spans="65:72" x14ac:dyDescent="0.25">
      <c r="BM1693" s="81"/>
      <c r="BN1693" s="81"/>
      <c r="BO1693" s="81"/>
      <c r="BP1693" s="81"/>
      <c r="BQ1693" s="81"/>
      <c r="BR1693" s="81"/>
      <c r="BS1693" s="81"/>
      <c r="BT1693" s="81"/>
    </row>
    <row r="1694" spans="65:72" x14ac:dyDescent="0.25">
      <c r="BM1694" s="81"/>
      <c r="BN1694" s="81"/>
      <c r="BO1694" s="81"/>
      <c r="BP1694" s="81"/>
      <c r="BQ1694" s="81"/>
      <c r="BR1694" s="81"/>
      <c r="BS1694" s="81"/>
      <c r="BT1694" s="81"/>
    </row>
    <row r="1695" spans="65:72" x14ac:dyDescent="0.25">
      <c r="BM1695" s="81"/>
      <c r="BN1695" s="81"/>
      <c r="BO1695" s="81"/>
      <c r="BP1695" s="81"/>
      <c r="BQ1695" s="81"/>
      <c r="BR1695" s="81"/>
      <c r="BS1695" s="81"/>
      <c r="BT1695" s="81"/>
    </row>
    <row r="1696" spans="65:72" x14ac:dyDescent="0.25">
      <c r="BM1696" s="81"/>
      <c r="BN1696" s="81"/>
      <c r="BO1696" s="81"/>
      <c r="BP1696" s="81"/>
      <c r="BQ1696" s="81"/>
      <c r="BR1696" s="81"/>
      <c r="BS1696" s="81"/>
      <c r="BT1696" s="81"/>
    </row>
    <row r="1697" spans="65:72" x14ac:dyDescent="0.25">
      <c r="BM1697" s="81"/>
      <c r="BN1697" s="81"/>
      <c r="BO1697" s="81"/>
      <c r="BP1697" s="81"/>
      <c r="BQ1697" s="81"/>
      <c r="BR1697" s="81"/>
      <c r="BS1697" s="81"/>
      <c r="BT1697" s="81"/>
    </row>
    <row r="1698" spans="65:72" x14ac:dyDescent="0.25">
      <c r="BM1698" s="81"/>
      <c r="BN1698" s="81"/>
      <c r="BO1698" s="81"/>
      <c r="BP1698" s="81"/>
      <c r="BQ1698" s="81"/>
      <c r="BR1698" s="81"/>
      <c r="BS1698" s="81"/>
      <c r="BT1698" s="81"/>
    </row>
    <row r="1699" spans="65:72" x14ac:dyDescent="0.25">
      <c r="BM1699" s="81"/>
      <c r="BN1699" s="81"/>
      <c r="BO1699" s="81"/>
      <c r="BP1699" s="81"/>
      <c r="BQ1699" s="81"/>
      <c r="BR1699" s="81"/>
      <c r="BS1699" s="81"/>
      <c r="BT1699" s="81"/>
    </row>
    <row r="1700" spans="65:72" x14ac:dyDescent="0.25">
      <c r="BM1700" s="81"/>
      <c r="BN1700" s="81"/>
      <c r="BO1700" s="81"/>
      <c r="BP1700" s="81"/>
      <c r="BQ1700" s="81"/>
      <c r="BR1700" s="81"/>
      <c r="BS1700" s="81"/>
      <c r="BT1700" s="81"/>
    </row>
    <row r="1701" spans="65:72" x14ac:dyDescent="0.25">
      <c r="BM1701" s="81"/>
      <c r="BN1701" s="81"/>
      <c r="BO1701" s="81"/>
      <c r="BP1701" s="81"/>
      <c r="BQ1701" s="81"/>
      <c r="BR1701" s="81"/>
      <c r="BS1701" s="81"/>
      <c r="BT1701" s="81"/>
    </row>
    <row r="1702" spans="65:72" x14ac:dyDescent="0.25">
      <c r="BM1702" s="81"/>
      <c r="BN1702" s="81"/>
      <c r="BO1702" s="81"/>
      <c r="BP1702" s="81"/>
      <c r="BQ1702" s="81"/>
      <c r="BR1702" s="81"/>
      <c r="BS1702" s="81"/>
      <c r="BT1702" s="81"/>
    </row>
    <row r="1703" spans="65:72" x14ac:dyDescent="0.25">
      <c r="BM1703" s="81"/>
      <c r="BN1703" s="81"/>
      <c r="BO1703" s="81"/>
      <c r="BP1703" s="81"/>
      <c r="BQ1703" s="81"/>
      <c r="BR1703" s="81"/>
      <c r="BS1703" s="81"/>
      <c r="BT1703" s="81"/>
    </row>
    <row r="1704" spans="65:72" x14ac:dyDescent="0.25">
      <c r="BM1704" s="81"/>
      <c r="BN1704" s="81"/>
      <c r="BO1704" s="81"/>
      <c r="BP1704" s="81"/>
      <c r="BQ1704" s="81"/>
      <c r="BR1704" s="81"/>
      <c r="BS1704" s="81"/>
      <c r="BT1704" s="81"/>
    </row>
    <row r="1705" spans="65:72" x14ac:dyDescent="0.25">
      <c r="BM1705" s="81"/>
      <c r="BN1705" s="81"/>
      <c r="BO1705" s="81"/>
      <c r="BP1705" s="81"/>
      <c r="BQ1705" s="81"/>
      <c r="BR1705" s="81"/>
      <c r="BS1705" s="81"/>
      <c r="BT1705" s="81"/>
    </row>
    <row r="1706" spans="65:72" x14ac:dyDescent="0.25">
      <c r="BM1706" s="81"/>
      <c r="BN1706" s="81"/>
      <c r="BO1706" s="81"/>
      <c r="BP1706" s="81"/>
      <c r="BQ1706" s="81"/>
      <c r="BR1706" s="81"/>
      <c r="BS1706" s="81"/>
      <c r="BT1706" s="81"/>
    </row>
    <row r="1707" spans="65:72" x14ac:dyDescent="0.25">
      <c r="BM1707" s="81"/>
      <c r="BN1707" s="81"/>
      <c r="BO1707" s="81"/>
      <c r="BP1707" s="81"/>
      <c r="BQ1707" s="81"/>
      <c r="BR1707" s="81"/>
      <c r="BS1707" s="81"/>
      <c r="BT1707" s="81"/>
    </row>
    <row r="1708" spans="65:72" x14ac:dyDescent="0.25">
      <c r="BM1708" s="81"/>
      <c r="BN1708" s="81"/>
      <c r="BO1708" s="81"/>
      <c r="BP1708" s="81"/>
      <c r="BQ1708" s="81"/>
      <c r="BR1708" s="81"/>
      <c r="BS1708" s="81"/>
      <c r="BT1708" s="81"/>
    </row>
    <row r="1709" spans="65:72" x14ac:dyDescent="0.25">
      <c r="BM1709" s="81"/>
      <c r="BN1709" s="81"/>
      <c r="BO1709" s="81"/>
      <c r="BP1709" s="81"/>
      <c r="BQ1709" s="81"/>
      <c r="BR1709" s="81"/>
      <c r="BS1709" s="81"/>
      <c r="BT1709" s="81"/>
    </row>
    <row r="1710" spans="65:72" x14ac:dyDescent="0.25">
      <c r="BM1710" s="81"/>
      <c r="BN1710" s="81"/>
      <c r="BO1710" s="81"/>
      <c r="BP1710" s="81"/>
      <c r="BQ1710" s="81"/>
      <c r="BR1710" s="81"/>
      <c r="BS1710" s="81"/>
      <c r="BT1710" s="81"/>
    </row>
    <row r="1711" spans="65:72" x14ac:dyDescent="0.25">
      <c r="BM1711" s="81"/>
      <c r="BN1711" s="81"/>
      <c r="BO1711" s="81"/>
      <c r="BP1711" s="81"/>
      <c r="BQ1711" s="81"/>
      <c r="BR1711" s="81"/>
      <c r="BS1711" s="81"/>
      <c r="BT1711" s="81"/>
    </row>
    <row r="1712" spans="65:72" x14ac:dyDescent="0.25">
      <c r="BM1712" s="81"/>
      <c r="BN1712" s="81"/>
      <c r="BO1712" s="81"/>
      <c r="BP1712" s="81"/>
      <c r="BQ1712" s="81"/>
      <c r="BR1712" s="81"/>
      <c r="BS1712" s="81"/>
      <c r="BT1712" s="81"/>
    </row>
    <row r="1713" spans="65:72" x14ac:dyDescent="0.25">
      <c r="BM1713" s="81"/>
      <c r="BN1713" s="81"/>
      <c r="BO1713" s="81"/>
      <c r="BP1713" s="81"/>
      <c r="BQ1713" s="81"/>
      <c r="BR1713" s="81"/>
      <c r="BS1713" s="81"/>
      <c r="BT1713" s="81"/>
    </row>
    <row r="1714" spans="65:72" x14ac:dyDescent="0.25">
      <c r="BM1714" s="81"/>
      <c r="BN1714" s="81"/>
      <c r="BO1714" s="81"/>
      <c r="BP1714" s="81"/>
      <c r="BQ1714" s="81"/>
      <c r="BR1714" s="81"/>
      <c r="BS1714" s="81"/>
      <c r="BT1714" s="81"/>
    </row>
    <row r="1715" spans="65:72" x14ac:dyDescent="0.25">
      <c r="BM1715" s="81"/>
      <c r="BN1715" s="81"/>
      <c r="BO1715" s="81"/>
      <c r="BP1715" s="81"/>
      <c r="BQ1715" s="81"/>
      <c r="BR1715" s="81"/>
      <c r="BS1715" s="81"/>
      <c r="BT1715" s="81"/>
    </row>
    <row r="1716" spans="65:72" x14ac:dyDescent="0.25">
      <c r="BM1716" s="81"/>
      <c r="BN1716" s="81"/>
      <c r="BO1716" s="81"/>
      <c r="BP1716" s="81"/>
      <c r="BQ1716" s="81"/>
      <c r="BR1716" s="81"/>
      <c r="BS1716" s="81"/>
      <c r="BT1716" s="81"/>
    </row>
    <row r="1717" spans="65:72" x14ac:dyDescent="0.25">
      <c r="BM1717" s="81"/>
      <c r="BN1717" s="81"/>
      <c r="BO1717" s="81"/>
      <c r="BP1717" s="81"/>
      <c r="BQ1717" s="81"/>
      <c r="BR1717" s="81"/>
      <c r="BS1717" s="81"/>
      <c r="BT1717" s="81"/>
    </row>
    <row r="1718" spans="65:72" x14ac:dyDescent="0.25">
      <c r="BM1718" s="81"/>
      <c r="BN1718" s="81"/>
      <c r="BO1718" s="81"/>
      <c r="BP1718" s="81"/>
      <c r="BQ1718" s="81"/>
      <c r="BR1718" s="81"/>
      <c r="BS1718" s="81"/>
      <c r="BT1718" s="81"/>
    </row>
    <row r="1719" spans="65:72" x14ac:dyDescent="0.25">
      <c r="BM1719" s="81"/>
      <c r="BN1719" s="81"/>
      <c r="BO1719" s="81"/>
      <c r="BP1719" s="81"/>
      <c r="BQ1719" s="81"/>
      <c r="BR1719" s="81"/>
      <c r="BS1719" s="81"/>
      <c r="BT1719" s="81"/>
    </row>
    <row r="1720" spans="65:72" x14ac:dyDescent="0.25">
      <c r="BM1720" s="81"/>
      <c r="BN1720" s="81"/>
      <c r="BO1720" s="81"/>
      <c r="BP1720" s="81"/>
      <c r="BQ1720" s="81"/>
      <c r="BR1720" s="81"/>
      <c r="BS1720" s="81"/>
      <c r="BT1720" s="81"/>
    </row>
    <row r="1721" spans="65:72" x14ac:dyDescent="0.25">
      <c r="BM1721" s="81"/>
      <c r="BN1721" s="81"/>
      <c r="BO1721" s="81"/>
      <c r="BP1721" s="81"/>
      <c r="BQ1721" s="81"/>
      <c r="BR1721" s="81"/>
      <c r="BS1721" s="81"/>
      <c r="BT1721" s="81"/>
    </row>
    <row r="1722" spans="65:72" x14ac:dyDescent="0.25">
      <c r="BM1722" s="81"/>
      <c r="BN1722" s="81"/>
      <c r="BO1722" s="81"/>
      <c r="BP1722" s="81"/>
      <c r="BQ1722" s="81"/>
      <c r="BR1722" s="81"/>
      <c r="BS1722" s="81"/>
      <c r="BT1722" s="81"/>
    </row>
    <row r="1723" spans="65:72" x14ac:dyDescent="0.25">
      <c r="BM1723" s="81"/>
      <c r="BN1723" s="81"/>
      <c r="BO1723" s="81"/>
      <c r="BP1723" s="81"/>
      <c r="BQ1723" s="81"/>
      <c r="BR1723" s="81"/>
      <c r="BS1723" s="81"/>
      <c r="BT1723" s="81"/>
    </row>
    <row r="1724" spans="65:72" x14ac:dyDescent="0.25">
      <c r="BM1724" s="81"/>
      <c r="BN1724" s="81"/>
      <c r="BO1724" s="81"/>
      <c r="BP1724" s="81"/>
      <c r="BQ1724" s="81"/>
      <c r="BR1724" s="81"/>
      <c r="BS1724" s="81"/>
      <c r="BT1724" s="81"/>
    </row>
    <row r="1725" spans="65:72" x14ac:dyDescent="0.25">
      <c r="BM1725" s="81"/>
      <c r="BN1725" s="81"/>
      <c r="BO1725" s="81"/>
      <c r="BP1725" s="81"/>
      <c r="BQ1725" s="81"/>
      <c r="BR1725" s="81"/>
      <c r="BS1725" s="81"/>
      <c r="BT1725" s="81"/>
    </row>
    <row r="1726" spans="65:72" x14ac:dyDescent="0.25">
      <c r="BM1726" s="81"/>
      <c r="BN1726" s="81"/>
      <c r="BO1726" s="81"/>
      <c r="BP1726" s="81"/>
      <c r="BQ1726" s="81"/>
      <c r="BR1726" s="81"/>
      <c r="BS1726" s="81"/>
      <c r="BT1726" s="81"/>
    </row>
    <row r="1727" spans="65:72" x14ac:dyDescent="0.25">
      <c r="BM1727" s="81"/>
      <c r="BN1727" s="81"/>
      <c r="BO1727" s="81"/>
      <c r="BP1727" s="81"/>
      <c r="BQ1727" s="81"/>
      <c r="BR1727" s="81"/>
      <c r="BS1727" s="81"/>
      <c r="BT1727" s="81"/>
    </row>
    <row r="1728" spans="65:72" x14ac:dyDescent="0.25">
      <c r="BM1728" s="81"/>
      <c r="BN1728" s="81"/>
      <c r="BO1728" s="81"/>
      <c r="BP1728" s="81"/>
      <c r="BQ1728" s="81"/>
      <c r="BR1728" s="81"/>
      <c r="BS1728" s="81"/>
      <c r="BT1728" s="81"/>
    </row>
    <row r="1729" spans="65:72" x14ac:dyDescent="0.25">
      <c r="BM1729" s="81"/>
      <c r="BN1729" s="81"/>
      <c r="BO1729" s="81"/>
      <c r="BP1729" s="81"/>
      <c r="BQ1729" s="81"/>
      <c r="BR1729" s="81"/>
      <c r="BS1729" s="81"/>
      <c r="BT1729" s="81"/>
    </row>
    <row r="1730" spans="65:72" x14ac:dyDescent="0.25">
      <c r="BM1730" s="81"/>
      <c r="BN1730" s="81"/>
      <c r="BO1730" s="81"/>
      <c r="BP1730" s="81"/>
      <c r="BQ1730" s="81"/>
      <c r="BR1730" s="81"/>
      <c r="BS1730" s="81"/>
      <c r="BT1730" s="81"/>
    </row>
    <row r="1731" spans="65:72" x14ac:dyDescent="0.25">
      <c r="BM1731" s="81"/>
      <c r="BN1731" s="81"/>
      <c r="BO1731" s="81"/>
      <c r="BP1731" s="81"/>
      <c r="BQ1731" s="81"/>
      <c r="BR1731" s="81"/>
      <c r="BS1731" s="81"/>
      <c r="BT1731" s="81"/>
    </row>
    <row r="1732" spans="65:72" x14ac:dyDescent="0.25">
      <c r="BM1732" s="81"/>
      <c r="BN1732" s="81"/>
      <c r="BO1732" s="81"/>
      <c r="BP1732" s="81"/>
      <c r="BQ1732" s="81"/>
      <c r="BR1732" s="81"/>
      <c r="BS1732" s="81"/>
      <c r="BT1732" s="81"/>
    </row>
    <row r="1733" spans="65:72" x14ac:dyDescent="0.25">
      <c r="BM1733" s="81"/>
      <c r="BN1733" s="81"/>
      <c r="BO1733" s="81"/>
      <c r="BP1733" s="81"/>
      <c r="BQ1733" s="81"/>
      <c r="BR1733" s="81"/>
      <c r="BS1733" s="81"/>
      <c r="BT1733" s="81"/>
    </row>
    <row r="1734" spans="65:72" x14ac:dyDescent="0.25">
      <c r="BM1734" s="81"/>
      <c r="BN1734" s="81"/>
      <c r="BO1734" s="81"/>
      <c r="BP1734" s="81"/>
      <c r="BQ1734" s="81"/>
      <c r="BR1734" s="81"/>
      <c r="BS1734" s="81"/>
      <c r="BT1734" s="81"/>
    </row>
    <row r="1735" spans="65:72" x14ac:dyDescent="0.25">
      <c r="BM1735" s="81"/>
      <c r="BN1735" s="81"/>
      <c r="BO1735" s="81"/>
      <c r="BP1735" s="81"/>
      <c r="BQ1735" s="81"/>
      <c r="BR1735" s="81"/>
      <c r="BS1735" s="81"/>
      <c r="BT1735" s="81"/>
    </row>
    <row r="1736" spans="65:72" x14ac:dyDescent="0.25">
      <c r="BM1736" s="81"/>
      <c r="BN1736" s="81"/>
      <c r="BO1736" s="81"/>
      <c r="BP1736" s="81"/>
      <c r="BQ1736" s="81"/>
      <c r="BR1736" s="81"/>
      <c r="BS1736" s="81"/>
      <c r="BT1736" s="81"/>
    </row>
    <row r="1737" spans="65:72" x14ac:dyDescent="0.25">
      <c r="BM1737" s="81"/>
      <c r="BN1737" s="81"/>
      <c r="BO1737" s="81"/>
      <c r="BP1737" s="81"/>
      <c r="BQ1737" s="81"/>
      <c r="BR1737" s="81"/>
      <c r="BS1737" s="81"/>
      <c r="BT1737" s="81"/>
    </row>
    <row r="1738" spans="65:72" x14ac:dyDescent="0.25">
      <c r="BM1738" s="81"/>
      <c r="BN1738" s="81"/>
      <c r="BO1738" s="81"/>
      <c r="BP1738" s="81"/>
      <c r="BQ1738" s="81"/>
      <c r="BR1738" s="81"/>
      <c r="BS1738" s="81"/>
      <c r="BT1738" s="81"/>
    </row>
    <row r="1739" spans="65:72" x14ac:dyDescent="0.25">
      <c r="BM1739" s="81"/>
      <c r="BN1739" s="81"/>
      <c r="BO1739" s="81"/>
      <c r="BP1739" s="81"/>
      <c r="BQ1739" s="81"/>
      <c r="BR1739" s="81"/>
      <c r="BS1739" s="81"/>
      <c r="BT1739" s="81"/>
    </row>
    <row r="1740" spans="65:72" x14ac:dyDescent="0.25">
      <c r="BM1740" s="81"/>
      <c r="BN1740" s="81"/>
      <c r="BO1740" s="81"/>
      <c r="BP1740" s="81"/>
      <c r="BQ1740" s="81"/>
      <c r="BR1740" s="81"/>
      <c r="BS1740" s="81"/>
      <c r="BT1740" s="81"/>
    </row>
    <row r="1741" spans="65:72" x14ac:dyDescent="0.25">
      <c r="BM1741" s="81"/>
      <c r="BN1741" s="81"/>
      <c r="BO1741" s="81"/>
      <c r="BP1741" s="81"/>
      <c r="BQ1741" s="81"/>
      <c r="BR1741" s="81"/>
      <c r="BS1741" s="81"/>
      <c r="BT1741" s="81"/>
    </row>
    <row r="1742" spans="65:72" x14ac:dyDescent="0.25">
      <c r="BM1742" s="81"/>
      <c r="BN1742" s="81"/>
      <c r="BO1742" s="81"/>
      <c r="BP1742" s="81"/>
      <c r="BQ1742" s="81"/>
      <c r="BR1742" s="81"/>
      <c r="BS1742" s="81"/>
      <c r="BT1742" s="81"/>
    </row>
    <row r="1743" spans="65:72" x14ac:dyDescent="0.25">
      <c r="BM1743" s="81"/>
      <c r="BN1743" s="81"/>
      <c r="BO1743" s="81"/>
      <c r="BP1743" s="81"/>
      <c r="BQ1743" s="81"/>
      <c r="BR1743" s="81"/>
      <c r="BS1743" s="81"/>
      <c r="BT1743" s="81"/>
    </row>
    <row r="1744" spans="65:72" x14ac:dyDescent="0.25">
      <c r="BM1744" s="81"/>
      <c r="BN1744" s="81"/>
      <c r="BO1744" s="81"/>
      <c r="BP1744" s="81"/>
      <c r="BQ1744" s="81"/>
      <c r="BR1744" s="81"/>
      <c r="BS1744" s="81"/>
      <c r="BT1744" s="81"/>
    </row>
    <row r="1745" spans="65:72" x14ac:dyDescent="0.25">
      <c r="BM1745" s="81"/>
      <c r="BN1745" s="81"/>
      <c r="BO1745" s="81"/>
      <c r="BP1745" s="81"/>
      <c r="BQ1745" s="81"/>
      <c r="BR1745" s="81"/>
      <c r="BS1745" s="81"/>
      <c r="BT1745" s="81"/>
    </row>
    <row r="1746" spans="65:72" x14ac:dyDescent="0.25">
      <c r="BM1746" s="81"/>
      <c r="BN1746" s="81"/>
      <c r="BO1746" s="81"/>
      <c r="BP1746" s="81"/>
      <c r="BQ1746" s="81"/>
      <c r="BR1746" s="81"/>
      <c r="BS1746" s="81"/>
      <c r="BT1746" s="81"/>
    </row>
    <row r="1747" spans="65:72" x14ac:dyDescent="0.25">
      <c r="BM1747" s="81"/>
      <c r="BN1747" s="81"/>
      <c r="BO1747" s="81"/>
      <c r="BP1747" s="81"/>
      <c r="BQ1747" s="81"/>
      <c r="BR1747" s="81"/>
      <c r="BS1747" s="81"/>
      <c r="BT1747" s="81"/>
    </row>
    <row r="1748" spans="65:72" x14ac:dyDescent="0.25">
      <c r="BM1748" s="81"/>
      <c r="BN1748" s="81"/>
      <c r="BO1748" s="81"/>
      <c r="BP1748" s="81"/>
      <c r="BQ1748" s="81"/>
      <c r="BR1748" s="81"/>
      <c r="BS1748" s="81"/>
      <c r="BT1748" s="81"/>
    </row>
    <row r="1749" spans="65:72" x14ac:dyDescent="0.25">
      <c r="BM1749" s="81"/>
      <c r="BN1749" s="81"/>
      <c r="BO1749" s="81"/>
      <c r="BP1749" s="81"/>
      <c r="BQ1749" s="81"/>
      <c r="BR1749" s="81"/>
      <c r="BS1749" s="81"/>
      <c r="BT1749" s="81"/>
    </row>
    <row r="1750" spans="65:72" x14ac:dyDescent="0.25">
      <c r="BM1750" s="81"/>
      <c r="BN1750" s="81"/>
      <c r="BO1750" s="81"/>
      <c r="BP1750" s="81"/>
      <c r="BQ1750" s="81"/>
      <c r="BR1750" s="81"/>
      <c r="BS1750" s="81"/>
      <c r="BT1750" s="81"/>
    </row>
    <row r="1751" spans="65:72" x14ac:dyDescent="0.25">
      <c r="BM1751" s="81"/>
      <c r="BN1751" s="81"/>
      <c r="BO1751" s="81"/>
      <c r="BP1751" s="81"/>
      <c r="BQ1751" s="81"/>
      <c r="BR1751" s="81"/>
      <c r="BS1751" s="81"/>
      <c r="BT1751" s="81"/>
    </row>
    <row r="1752" spans="65:72" x14ac:dyDescent="0.25">
      <c r="BM1752" s="81"/>
      <c r="BN1752" s="81"/>
      <c r="BO1752" s="81"/>
      <c r="BP1752" s="81"/>
      <c r="BQ1752" s="81"/>
      <c r="BR1752" s="81"/>
      <c r="BS1752" s="81"/>
      <c r="BT1752" s="81"/>
    </row>
    <row r="1753" spans="65:72" x14ac:dyDescent="0.25">
      <c r="BM1753" s="81"/>
      <c r="BN1753" s="81"/>
      <c r="BO1753" s="81"/>
      <c r="BP1753" s="81"/>
      <c r="BQ1753" s="81"/>
      <c r="BR1753" s="81"/>
      <c r="BS1753" s="81"/>
      <c r="BT1753" s="81"/>
    </row>
    <row r="1754" spans="65:72" x14ac:dyDescent="0.25">
      <c r="BM1754" s="81"/>
      <c r="BN1754" s="81"/>
      <c r="BO1754" s="81"/>
      <c r="BP1754" s="81"/>
      <c r="BQ1754" s="81"/>
      <c r="BR1754" s="81"/>
      <c r="BS1754" s="81"/>
      <c r="BT1754" s="81"/>
    </row>
    <row r="1755" spans="65:72" x14ac:dyDescent="0.25">
      <c r="BM1755" s="81"/>
      <c r="BN1755" s="81"/>
      <c r="BO1755" s="81"/>
      <c r="BP1755" s="81"/>
      <c r="BQ1755" s="81"/>
      <c r="BR1755" s="81"/>
      <c r="BS1755" s="81"/>
      <c r="BT1755" s="81"/>
    </row>
    <row r="1756" spans="65:72" x14ac:dyDescent="0.25">
      <c r="BM1756" s="81"/>
      <c r="BN1756" s="81"/>
      <c r="BO1756" s="81"/>
      <c r="BP1756" s="81"/>
      <c r="BQ1756" s="81"/>
      <c r="BR1756" s="81"/>
      <c r="BS1756" s="81"/>
      <c r="BT1756" s="81"/>
    </row>
    <row r="1757" spans="65:72" x14ac:dyDescent="0.25">
      <c r="BM1757" s="81"/>
      <c r="BN1757" s="81"/>
      <c r="BO1757" s="81"/>
      <c r="BP1757" s="81"/>
      <c r="BQ1757" s="81"/>
      <c r="BR1757" s="81"/>
      <c r="BS1757" s="81"/>
      <c r="BT1757" s="81"/>
    </row>
    <row r="1758" spans="65:72" x14ac:dyDescent="0.25">
      <c r="BM1758" s="81"/>
      <c r="BN1758" s="81"/>
      <c r="BO1758" s="81"/>
      <c r="BP1758" s="81"/>
      <c r="BQ1758" s="81"/>
      <c r="BR1758" s="81"/>
      <c r="BS1758" s="81"/>
      <c r="BT1758" s="81"/>
    </row>
    <row r="1759" spans="65:72" x14ac:dyDescent="0.25">
      <c r="BM1759" s="81"/>
      <c r="BN1759" s="81"/>
      <c r="BO1759" s="81"/>
      <c r="BP1759" s="81"/>
      <c r="BQ1759" s="81"/>
      <c r="BR1759" s="81"/>
      <c r="BS1759" s="81"/>
      <c r="BT1759" s="81"/>
    </row>
    <row r="1760" spans="65:72" x14ac:dyDescent="0.25">
      <c r="BM1760" s="81"/>
      <c r="BN1760" s="81"/>
      <c r="BO1760" s="81"/>
      <c r="BP1760" s="81"/>
      <c r="BQ1760" s="81"/>
      <c r="BR1760" s="81"/>
      <c r="BS1760" s="81"/>
      <c r="BT1760" s="81"/>
    </row>
    <row r="1761" spans="65:72" x14ac:dyDescent="0.25">
      <c r="BM1761" s="81"/>
      <c r="BN1761" s="81"/>
      <c r="BO1761" s="81"/>
      <c r="BP1761" s="81"/>
      <c r="BQ1761" s="81"/>
      <c r="BR1761" s="81"/>
      <c r="BS1761" s="81"/>
      <c r="BT1761" s="81"/>
    </row>
    <row r="1762" spans="65:72" x14ac:dyDescent="0.25">
      <c r="BM1762" s="81"/>
      <c r="BN1762" s="81"/>
      <c r="BO1762" s="81"/>
      <c r="BP1762" s="81"/>
      <c r="BQ1762" s="81"/>
      <c r="BR1762" s="81"/>
      <c r="BS1762" s="81"/>
      <c r="BT1762" s="81"/>
    </row>
    <row r="1763" spans="65:72" x14ac:dyDescent="0.25">
      <c r="BM1763" s="81"/>
      <c r="BN1763" s="81"/>
      <c r="BO1763" s="81"/>
      <c r="BP1763" s="81"/>
      <c r="BQ1763" s="81"/>
      <c r="BR1763" s="81"/>
      <c r="BS1763" s="81"/>
      <c r="BT1763" s="81"/>
    </row>
    <row r="1764" spans="65:72" x14ac:dyDescent="0.25">
      <c r="BM1764" s="81"/>
      <c r="BN1764" s="81"/>
      <c r="BO1764" s="81"/>
      <c r="BP1764" s="81"/>
      <c r="BQ1764" s="81"/>
      <c r="BR1764" s="81"/>
      <c r="BS1764" s="81"/>
      <c r="BT1764" s="81"/>
    </row>
    <row r="1765" spans="65:72" x14ac:dyDescent="0.25">
      <c r="BM1765" s="81"/>
      <c r="BN1765" s="81"/>
      <c r="BO1765" s="81"/>
      <c r="BP1765" s="81"/>
      <c r="BQ1765" s="81"/>
      <c r="BR1765" s="81"/>
      <c r="BS1765" s="81"/>
      <c r="BT1765" s="81"/>
    </row>
    <row r="1766" spans="65:72" x14ac:dyDescent="0.25">
      <c r="BM1766" s="81"/>
      <c r="BN1766" s="81"/>
      <c r="BO1766" s="81"/>
      <c r="BP1766" s="81"/>
      <c r="BQ1766" s="81"/>
      <c r="BR1766" s="81"/>
      <c r="BS1766" s="81"/>
      <c r="BT1766" s="81"/>
    </row>
    <row r="1767" spans="65:72" x14ac:dyDescent="0.25">
      <c r="BM1767" s="81"/>
      <c r="BN1767" s="81"/>
      <c r="BO1767" s="81"/>
      <c r="BP1767" s="81"/>
      <c r="BQ1767" s="81"/>
      <c r="BR1767" s="81"/>
      <c r="BS1767" s="81"/>
      <c r="BT1767" s="81"/>
    </row>
    <row r="1768" spans="65:72" x14ac:dyDescent="0.25">
      <c r="BM1768" s="81"/>
      <c r="BN1768" s="81"/>
      <c r="BO1768" s="81"/>
      <c r="BP1768" s="81"/>
      <c r="BQ1768" s="81"/>
      <c r="BR1768" s="81"/>
      <c r="BS1768" s="81"/>
      <c r="BT1768" s="81"/>
    </row>
    <row r="1769" spans="65:72" x14ac:dyDescent="0.25">
      <c r="BM1769" s="81"/>
      <c r="BN1769" s="81"/>
      <c r="BO1769" s="81"/>
      <c r="BP1769" s="81"/>
      <c r="BQ1769" s="81"/>
      <c r="BR1769" s="81"/>
      <c r="BS1769" s="81"/>
      <c r="BT1769" s="81"/>
    </row>
    <row r="1770" spans="65:72" x14ac:dyDescent="0.25">
      <c r="BM1770" s="81"/>
      <c r="BN1770" s="81"/>
      <c r="BO1770" s="81"/>
      <c r="BP1770" s="81"/>
      <c r="BQ1770" s="81"/>
      <c r="BR1770" s="81"/>
      <c r="BS1770" s="81"/>
      <c r="BT1770" s="81"/>
    </row>
    <row r="1771" spans="65:72" x14ac:dyDescent="0.25">
      <c r="BM1771" s="81"/>
      <c r="BN1771" s="81"/>
      <c r="BO1771" s="81"/>
      <c r="BP1771" s="81"/>
      <c r="BQ1771" s="81"/>
      <c r="BR1771" s="81"/>
      <c r="BS1771" s="81"/>
      <c r="BT1771" s="81"/>
    </row>
    <row r="1772" spans="65:72" x14ac:dyDescent="0.25">
      <c r="BM1772" s="81"/>
      <c r="BN1772" s="81"/>
      <c r="BO1772" s="81"/>
      <c r="BP1772" s="81"/>
      <c r="BQ1772" s="81"/>
      <c r="BR1772" s="81"/>
      <c r="BS1772" s="81"/>
      <c r="BT1772" s="81"/>
    </row>
    <row r="1773" spans="65:72" x14ac:dyDescent="0.25">
      <c r="BM1773" s="81"/>
      <c r="BN1773" s="81"/>
      <c r="BO1773" s="81"/>
      <c r="BP1773" s="81"/>
      <c r="BQ1773" s="81"/>
      <c r="BR1773" s="81"/>
      <c r="BS1773" s="81"/>
      <c r="BT1773" s="81"/>
    </row>
    <row r="1774" spans="65:72" x14ac:dyDescent="0.25">
      <c r="BM1774" s="81"/>
      <c r="BN1774" s="81"/>
      <c r="BO1774" s="81"/>
      <c r="BP1774" s="81"/>
      <c r="BQ1774" s="81"/>
      <c r="BR1774" s="81"/>
      <c r="BS1774" s="81"/>
      <c r="BT1774" s="81"/>
    </row>
    <row r="1775" spans="65:72" x14ac:dyDescent="0.25">
      <c r="BM1775" s="81"/>
      <c r="BN1775" s="81"/>
      <c r="BO1775" s="81"/>
      <c r="BP1775" s="81"/>
      <c r="BQ1775" s="81"/>
      <c r="BR1775" s="81"/>
      <c r="BS1775" s="81"/>
      <c r="BT1775" s="81"/>
    </row>
    <row r="1776" spans="65:72" x14ac:dyDescent="0.25">
      <c r="BM1776" s="81"/>
      <c r="BN1776" s="81"/>
      <c r="BO1776" s="81"/>
      <c r="BP1776" s="81"/>
      <c r="BQ1776" s="81"/>
      <c r="BR1776" s="81"/>
      <c r="BS1776" s="81"/>
      <c r="BT1776" s="81"/>
    </row>
    <row r="1777" spans="65:72" x14ac:dyDescent="0.25">
      <c r="BM1777" s="81"/>
      <c r="BN1777" s="81"/>
      <c r="BO1777" s="81"/>
      <c r="BP1777" s="81"/>
      <c r="BQ1777" s="81"/>
      <c r="BR1777" s="81"/>
      <c r="BS1777" s="81"/>
      <c r="BT1777" s="81"/>
    </row>
    <row r="1778" spans="65:72" x14ac:dyDescent="0.25">
      <c r="BM1778" s="81"/>
      <c r="BN1778" s="81"/>
      <c r="BO1778" s="81"/>
      <c r="BP1778" s="81"/>
      <c r="BQ1778" s="81"/>
      <c r="BR1778" s="81"/>
      <c r="BS1778" s="81"/>
      <c r="BT1778" s="81"/>
    </row>
    <row r="1779" spans="65:72" x14ac:dyDescent="0.25">
      <c r="BM1779" s="81"/>
      <c r="BN1779" s="81"/>
      <c r="BO1779" s="81"/>
      <c r="BP1779" s="81"/>
      <c r="BQ1779" s="81"/>
      <c r="BR1779" s="81"/>
      <c r="BS1779" s="81"/>
      <c r="BT1779" s="81"/>
    </row>
    <row r="1780" spans="65:72" x14ac:dyDescent="0.25">
      <c r="BM1780" s="81"/>
      <c r="BN1780" s="81"/>
      <c r="BO1780" s="81"/>
      <c r="BP1780" s="81"/>
      <c r="BQ1780" s="81"/>
      <c r="BR1780" s="81"/>
      <c r="BS1780" s="81"/>
      <c r="BT1780" s="81"/>
    </row>
    <row r="1781" spans="65:72" x14ac:dyDescent="0.25">
      <c r="BM1781" s="81"/>
      <c r="BN1781" s="81"/>
      <c r="BO1781" s="81"/>
      <c r="BP1781" s="81"/>
      <c r="BQ1781" s="81"/>
      <c r="BR1781" s="81"/>
      <c r="BS1781" s="81"/>
      <c r="BT1781" s="81"/>
    </row>
    <row r="1782" spans="65:72" x14ac:dyDescent="0.25">
      <c r="BM1782" s="81"/>
      <c r="BN1782" s="81"/>
      <c r="BO1782" s="81"/>
      <c r="BP1782" s="81"/>
      <c r="BQ1782" s="81"/>
      <c r="BR1782" s="81"/>
      <c r="BS1782" s="81"/>
      <c r="BT1782" s="81"/>
    </row>
    <row r="1783" spans="65:72" x14ac:dyDescent="0.25">
      <c r="BM1783" s="81"/>
      <c r="BN1783" s="81"/>
      <c r="BO1783" s="81"/>
      <c r="BP1783" s="81"/>
      <c r="BQ1783" s="81"/>
      <c r="BR1783" s="81"/>
      <c r="BS1783" s="81"/>
      <c r="BT1783" s="81"/>
    </row>
    <row r="1784" spans="65:72" x14ac:dyDescent="0.25">
      <c r="BM1784" s="81"/>
      <c r="BN1784" s="81"/>
      <c r="BO1784" s="81"/>
      <c r="BP1784" s="81"/>
      <c r="BQ1784" s="81"/>
      <c r="BR1784" s="81"/>
      <c r="BS1784" s="81"/>
      <c r="BT1784" s="81"/>
    </row>
    <row r="1785" spans="65:72" x14ac:dyDescent="0.25">
      <c r="BM1785" s="81"/>
      <c r="BN1785" s="81"/>
      <c r="BO1785" s="81"/>
      <c r="BP1785" s="81"/>
      <c r="BQ1785" s="81"/>
      <c r="BR1785" s="81"/>
      <c r="BS1785" s="81"/>
      <c r="BT1785" s="81"/>
    </row>
    <row r="1786" spans="65:72" x14ac:dyDescent="0.25">
      <c r="BM1786" s="81"/>
      <c r="BN1786" s="81"/>
      <c r="BO1786" s="81"/>
      <c r="BP1786" s="81"/>
      <c r="BQ1786" s="81"/>
      <c r="BR1786" s="81"/>
      <c r="BS1786" s="81"/>
      <c r="BT1786" s="81"/>
    </row>
    <row r="1787" spans="65:72" x14ac:dyDescent="0.25">
      <c r="BM1787" s="81"/>
      <c r="BN1787" s="81"/>
      <c r="BO1787" s="81"/>
      <c r="BP1787" s="81"/>
      <c r="BQ1787" s="81"/>
      <c r="BR1787" s="81"/>
      <c r="BS1787" s="81"/>
      <c r="BT1787" s="81"/>
    </row>
    <row r="1788" spans="65:72" x14ac:dyDescent="0.25">
      <c r="BM1788" s="81"/>
      <c r="BN1788" s="81"/>
      <c r="BO1788" s="81"/>
      <c r="BP1788" s="81"/>
      <c r="BQ1788" s="81"/>
      <c r="BR1788" s="81"/>
      <c r="BS1788" s="81"/>
      <c r="BT1788" s="81"/>
    </row>
    <row r="1789" spans="65:72" x14ac:dyDescent="0.25">
      <c r="BM1789" s="81"/>
      <c r="BN1789" s="81"/>
      <c r="BO1789" s="81"/>
      <c r="BP1789" s="81"/>
      <c r="BQ1789" s="81"/>
      <c r="BR1789" s="81"/>
      <c r="BS1789" s="81"/>
      <c r="BT1789" s="81"/>
    </row>
    <row r="1790" spans="65:72" x14ac:dyDescent="0.25">
      <c r="BM1790" s="81"/>
      <c r="BN1790" s="81"/>
      <c r="BO1790" s="81"/>
      <c r="BP1790" s="81"/>
      <c r="BQ1790" s="81"/>
      <c r="BR1790" s="81"/>
      <c r="BS1790" s="81"/>
      <c r="BT1790" s="81"/>
    </row>
    <row r="1791" spans="65:72" x14ac:dyDescent="0.25">
      <c r="BM1791" s="81"/>
      <c r="BN1791" s="81"/>
      <c r="BO1791" s="81"/>
      <c r="BP1791" s="81"/>
      <c r="BQ1791" s="81"/>
      <c r="BR1791" s="81"/>
      <c r="BS1791" s="81"/>
      <c r="BT1791" s="81"/>
    </row>
    <row r="1792" spans="65:72" x14ac:dyDescent="0.25">
      <c r="BM1792" s="81"/>
      <c r="BN1792" s="81"/>
      <c r="BO1792" s="81"/>
      <c r="BP1792" s="81"/>
      <c r="BQ1792" s="81"/>
      <c r="BR1792" s="81"/>
      <c r="BS1792" s="81"/>
      <c r="BT1792" s="81"/>
    </row>
    <row r="1793" spans="65:72" x14ac:dyDescent="0.25">
      <c r="BM1793" s="81"/>
      <c r="BN1793" s="81"/>
      <c r="BO1793" s="81"/>
      <c r="BP1793" s="81"/>
      <c r="BQ1793" s="81"/>
      <c r="BR1793" s="81"/>
      <c r="BS1793" s="81"/>
      <c r="BT1793" s="81"/>
    </row>
    <row r="1794" spans="65:72" x14ac:dyDescent="0.25">
      <c r="BM1794" s="81"/>
      <c r="BN1794" s="81"/>
      <c r="BO1794" s="81"/>
      <c r="BP1794" s="81"/>
      <c r="BQ1794" s="81"/>
      <c r="BR1794" s="81"/>
      <c r="BS1794" s="81"/>
      <c r="BT1794" s="81"/>
    </row>
    <row r="1795" spans="65:72" x14ac:dyDescent="0.25">
      <c r="BM1795" s="81"/>
      <c r="BN1795" s="81"/>
      <c r="BO1795" s="81"/>
      <c r="BP1795" s="81"/>
      <c r="BQ1795" s="81"/>
      <c r="BR1795" s="81"/>
      <c r="BS1795" s="81"/>
      <c r="BT1795" s="81"/>
    </row>
    <row r="1796" spans="65:72" x14ac:dyDescent="0.25">
      <c r="BM1796" s="81"/>
      <c r="BN1796" s="81"/>
      <c r="BO1796" s="81"/>
      <c r="BP1796" s="81"/>
      <c r="BQ1796" s="81"/>
      <c r="BR1796" s="81"/>
      <c r="BS1796" s="81"/>
      <c r="BT1796" s="81"/>
    </row>
    <row r="1797" spans="65:72" x14ac:dyDescent="0.25">
      <c r="BM1797" s="81"/>
      <c r="BN1797" s="81"/>
      <c r="BO1797" s="81"/>
      <c r="BP1797" s="81"/>
      <c r="BQ1797" s="81"/>
      <c r="BR1797" s="81"/>
      <c r="BS1797" s="81"/>
      <c r="BT1797" s="81"/>
    </row>
    <row r="1798" spans="65:72" x14ac:dyDescent="0.25">
      <c r="BM1798" s="81"/>
      <c r="BN1798" s="81"/>
      <c r="BO1798" s="81"/>
      <c r="BP1798" s="81"/>
      <c r="BQ1798" s="81"/>
      <c r="BR1798" s="81"/>
      <c r="BS1798" s="81"/>
      <c r="BT1798" s="81"/>
    </row>
    <row r="1799" spans="65:72" x14ac:dyDescent="0.25">
      <c r="BM1799" s="81"/>
      <c r="BN1799" s="81"/>
      <c r="BO1799" s="81"/>
      <c r="BP1799" s="81"/>
      <c r="BQ1799" s="81"/>
      <c r="BR1799" s="81"/>
      <c r="BS1799" s="81"/>
      <c r="BT1799" s="81"/>
    </row>
    <row r="1800" spans="65:72" x14ac:dyDescent="0.25">
      <c r="BM1800" s="81"/>
      <c r="BN1800" s="81"/>
      <c r="BO1800" s="81"/>
      <c r="BP1800" s="81"/>
      <c r="BQ1800" s="81"/>
      <c r="BR1800" s="81"/>
      <c r="BS1800" s="81"/>
      <c r="BT1800" s="81"/>
    </row>
    <row r="1801" spans="65:72" x14ac:dyDescent="0.25">
      <c r="BM1801" s="81"/>
      <c r="BN1801" s="81"/>
      <c r="BO1801" s="81"/>
      <c r="BP1801" s="81"/>
      <c r="BQ1801" s="81"/>
      <c r="BR1801" s="81"/>
      <c r="BS1801" s="81"/>
      <c r="BT1801" s="81"/>
    </row>
    <row r="1802" spans="65:72" x14ac:dyDescent="0.25">
      <c r="BM1802" s="81"/>
      <c r="BN1802" s="81"/>
      <c r="BO1802" s="81"/>
      <c r="BP1802" s="81"/>
      <c r="BQ1802" s="81"/>
      <c r="BR1802" s="81"/>
      <c r="BS1802" s="81"/>
      <c r="BT1802" s="81"/>
    </row>
    <row r="1803" spans="65:72" x14ac:dyDescent="0.25">
      <c r="BM1803" s="81"/>
      <c r="BN1803" s="81"/>
      <c r="BO1803" s="81"/>
      <c r="BP1803" s="81"/>
      <c r="BQ1803" s="81"/>
      <c r="BR1803" s="81"/>
      <c r="BS1803" s="81"/>
      <c r="BT1803" s="81"/>
    </row>
    <row r="1804" spans="65:72" x14ac:dyDescent="0.25">
      <c r="BM1804" s="81"/>
      <c r="BN1804" s="81"/>
      <c r="BO1804" s="81"/>
      <c r="BP1804" s="81"/>
      <c r="BQ1804" s="81"/>
      <c r="BR1804" s="81"/>
      <c r="BS1804" s="81"/>
      <c r="BT1804" s="81"/>
    </row>
    <row r="1805" spans="65:72" x14ac:dyDescent="0.25">
      <c r="BM1805" s="81"/>
      <c r="BN1805" s="81"/>
      <c r="BO1805" s="81"/>
      <c r="BP1805" s="81"/>
      <c r="BQ1805" s="81"/>
      <c r="BR1805" s="81"/>
      <c r="BS1805" s="81"/>
      <c r="BT1805" s="81"/>
    </row>
    <row r="1806" spans="65:72" x14ac:dyDescent="0.25">
      <c r="BM1806" s="81"/>
      <c r="BN1806" s="81"/>
      <c r="BO1806" s="81"/>
      <c r="BP1806" s="81"/>
      <c r="BQ1806" s="81"/>
      <c r="BR1806" s="81"/>
      <c r="BS1806" s="81"/>
      <c r="BT1806" s="81"/>
    </row>
    <row r="1807" spans="65:72" x14ac:dyDescent="0.25">
      <c r="BM1807" s="81"/>
      <c r="BN1807" s="81"/>
      <c r="BO1807" s="81"/>
      <c r="BP1807" s="81"/>
      <c r="BQ1807" s="81"/>
      <c r="BR1807" s="81"/>
      <c r="BS1807" s="81"/>
      <c r="BT1807" s="81"/>
    </row>
    <row r="1808" spans="65:72" x14ac:dyDescent="0.25">
      <c r="BM1808" s="81"/>
      <c r="BN1808" s="81"/>
      <c r="BO1808" s="81"/>
      <c r="BP1808" s="81"/>
      <c r="BQ1808" s="81"/>
      <c r="BR1808" s="81"/>
      <c r="BS1808" s="81"/>
      <c r="BT1808" s="81"/>
    </row>
    <row r="1809" spans="65:72" x14ac:dyDescent="0.25">
      <c r="BM1809" s="81"/>
      <c r="BN1809" s="81"/>
      <c r="BO1809" s="81"/>
      <c r="BP1809" s="81"/>
      <c r="BQ1809" s="81"/>
      <c r="BR1809" s="81"/>
      <c r="BS1809" s="81"/>
      <c r="BT1809" s="81"/>
    </row>
    <row r="1810" spans="65:72" x14ac:dyDescent="0.25">
      <c r="BM1810" s="81"/>
      <c r="BN1810" s="81"/>
      <c r="BO1810" s="81"/>
      <c r="BP1810" s="81"/>
      <c r="BQ1810" s="81"/>
      <c r="BR1810" s="81"/>
      <c r="BS1810" s="81"/>
      <c r="BT1810" s="81"/>
    </row>
    <row r="1811" spans="65:72" x14ac:dyDescent="0.25">
      <c r="BM1811" s="81"/>
      <c r="BN1811" s="81"/>
      <c r="BO1811" s="81"/>
      <c r="BP1811" s="81"/>
      <c r="BQ1811" s="81"/>
      <c r="BR1811" s="81"/>
      <c r="BS1811" s="81"/>
      <c r="BT1811" s="81"/>
    </row>
    <row r="1812" spans="65:72" x14ac:dyDescent="0.25">
      <c r="BM1812" s="81"/>
      <c r="BN1812" s="81"/>
      <c r="BO1812" s="81"/>
      <c r="BP1812" s="81"/>
      <c r="BQ1812" s="81"/>
      <c r="BR1812" s="81"/>
      <c r="BS1812" s="81"/>
      <c r="BT1812" s="81"/>
    </row>
    <row r="1813" spans="65:72" x14ac:dyDescent="0.25">
      <c r="BM1813" s="81"/>
      <c r="BN1813" s="81"/>
      <c r="BO1813" s="81"/>
      <c r="BP1813" s="81"/>
      <c r="BQ1813" s="81"/>
      <c r="BR1813" s="81"/>
      <c r="BS1813" s="81"/>
      <c r="BT1813" s="81"/>
    </row>
    <row r="1814" spans="65:72" x14ac:dyDescent="0.25">
      <c r="BM1814" s="81"/>
      <c r="BN1814" s="81"/>
      <c r="BO1814" s="81"/>
      <c r="BP1814" s="81"/>
      <c r="BQ1814" s="81"/>
      <c r="BR1814" s="81"/>
      <c r="BS1814" s="81"/>
      <c r="BT1814" s="81"/>
    </row>
    <row r="1815" spans="65:72" x14ac:dyDescent="0.25">
      <c r="BM1815" s="81"/>
      <c r="BN1815" s="81"/>
      <c r="BO1815" s="81"/>
      <c r="BP1815" s="81"/>
      <c r="BQ1815" s="81"/>
      <c r="BR1815" s="81"/>
      <c r="BS1815" s="81"/>
      <c r="BT1815" s="81"/>
    </row>
    <row r="1816" spans="65:72" x14ac:dyDescent="0.25">
      <c r="BM1816" s="81"/>
      <c r="BN1816" s="81"/>
      <c r="BO1816" s="81"/>
      <c r="BP1816" s="81"/>
      <c r="BQ1816" s="81"/>
      <c r="BR1816" s="81"/>
      <c r="BS1816" s="81"/>
      <c r="BT1816" s="81"/>
    </row>
    <row r="1817" spans="65:72" x14ac:dyDescent="0.25">
      <c r="BM1817" s="81"/>
      <c r="BN1817" s="81"/>
      <c r="BO1817" s="81"/>
      <c r="BP1817" s="81"/>
      <c r="BQ1817" s="81"/>
      <c r="BR1817" s="81"/>
      <c r="BS1817" s="81"/>
      <c r="BT1817" s="81"/>
    </row>
    <row r="1818" spans="65:72" x14ac:dyDescent="0.25">
      <c r="BM1818" s="81"/>
      <c r="BN1818" s="81"/>
      <c r="BO1818" s="81"/>
      <c r="BP1818" s="81"/>
      <c r="BQ1818" s="81"/>
      <c r="BR1818" s="81"/>
      <c r="BS1818" s="81"/>
      <c r="BT1818" s="81"/>
    </row>
    <row r="1819" spans="65:72" x14ac:dyDescent="0.25">
      <c r="BM1819" s="81"/>
      <c r="BN1819" s="81"/>
      <c r="BO1819" s="81"/>
      <c r="BP1819" s="81"/>
      <c r="BQ1819" s="81"/>
      <c r="BR1819" s="81"/>
      <c r="BS1819" s="81"/>
      <c r="BT1819" s="81"/>
    </row>
    <row r="1820" spans="65:72" x14ac:dyDescent="0.25">
      <c r="BM1820" s="81"/>
      <c r="BN1820" s="81"/>
      <c r="BO1820" s="81"/>
      <c r="BP1820" s="81"/>
      <c r="BQ1820" s="81"/>
      <c r="BR1820" s="81"/>
      <c r="BS1820" s="81"/>
      <c r="BT1820" s="81"/>
    </row>
    <row r="1821" spans="65:72" x14ac:dyDescent="0.25">
      <c r="BM1821" s="81"/>
      <c r="BN1821" s="81"/>
      <c r="BO1821" s="81"/>
      <c r="BP1821" s="81"/>
      <c r="BQ1821" s="81"/>
      <c r="BR1821" s="81"/>
      <c r="BS1821" s="81"/>
      <c r="BT1821" s="81"/>
    </row>
    <row r="1822" spans="65:72" x14ac:dyDescent="0.25">
      <c r="BM1822" s="81"/>
      <c r="BN1822" s="81"/>
      <c r="BO1822" s="81"/>
      <c r="BP1822" s="81"/>
      <c r="BQ1822" s="81"/>
      <c r="BR1822" s="81"/>
      <c r="BS1822" s="81"/>
      <c r="BT1822" s="81"/>
    </row>
    <row r="1823" spans="65:72" x14ac:dyDescent="0.25">
      <c r="BM1823" s="81"/>
      <c r="BN1823" s="81"/>
      <c r="BO1823" s="81"/>
      <c r="BP1823" s="81"/>
      <c r="BQ1823" s="81"/>
      <c r="BR1823" s="81"/>
      <c r="BS1823" s="81"/>
      <c r="BT1823" s="81"/>
    </row>
    <row r="1824" spans="65:72" x14ac:dyDescent="0.25">
      <c r="BM1824" s="81"/>
      <c r="BN1824" s="81"/>
      <c r="BO1824" s="81"/>
      <c r="BP1824" s="81"/>
      <c r="BQ1824" s="81"/>
      <c r="BR1824" s="81"/>
      <c r="BS1824" s="81"/>
      <c r="BT1824" s="81"/>
    </row>
    <row r="1825" spans="65:72" x14ac:dyDescent="0.25">
      <c r="BM1825" s="81"/>
      <c r="BN1825" s="81"/>
      <c r="BO1825" s="81"/>
      <c r="BP1825" s="81"/>
      <c r="BQ1825" s="81"/>
      <c r="BR1825" s="81"/>
      <c r="BS1825" s="81"/>
      <c r="BT1825" s="81"/>
    </row>
    <row r="1826" spans="65:72" x14ac:dyDescent="0.25">
      <c r="BM1826" s="81"/>
      <c r="BN1826" s="81"/>
      <c r="BO1826" s="81"/>
      <c r="BP1826" s="81"/>
      <c r="BQ1826" s="81"/>
      <c r="BR1826" s="81"/>
      <c r="BS1826" s="81"/>
      <c r="BT1826" s="81"/>
    </row>
    <row r="1827" spans="65:72" x14ac:dyDescent="0.25">
      <c r="BM1827" s="81"/>
      <c r="BN1827" s="81"/>
      <c r="BO1827" s="81"/>
      <c r="BP1827" s="81"/>
      <c r="BQ1827" s="81"/>
      <c r="BR1827" s="81"/>
      <c r="BS1827" s="81"/>
      <c r="BT1827" s="81"/>
    </row>
    <row r="1828" spans="65:72" x14ac:dyDescent="0.25">
      <c r="BM1828" s="81"/>
      <c r="BN1828" s="81"/>
      <c r="BO1828" s="81"/>
      <c r="BP1828" s="81"/>
      <c r="BQ1828" s="81"/>
      <c r="BR1828" s="81"/>
      <c r="BS1828" s="81"/>
      <c r="BT1828" s="81"/>
    </row>
    <row r="1829" spans="65:72" x14ac:dyDescent="0.25">
      <c r="BM1829" s="81"/>
      <c r="BN1829" s="81"/>
      <c r="BO1829" s="81"/>
      <c r="BP1829" s="81"/>
      <c r="BQ1829" s="81"/>
      <c r="BR1829" s="81"/>
      <c r="BS1829" s="81"/>
      <c r="BT1829" s="81"/>
    </row>
    <row r="1830" spans="65:72" x14ac:dyDescent="0.25">
      <c r="BM1830" s="81"/>
      <c r="BN1830" s="81"/>
      <c r="BO1830" s="81"/>
      <c r="BP1830" s="81"/>
      <c r="BQ1830" s="81"/>
      <c r="BR1830" s="81"/>
      <c r="BS1830" s="81"/>
      <c r="BT1830" s="81"/>
    </row>
    <row r="1831" spans="65:72" x14ac:dyDescent="0.25">
      <c r="BM1831" s="81"/>
      <c r="BN1831" s="81"/>
      <c r="BO1831" s="81"/>
      <c r="BP1831" s="81"/>
      <c r="BQ1831" s="81"/>
      <c r="BR1831" s="81"/>
      <c r="BS1831" s="81"/>
      <c r="BT1831" s="81"/>
    </row>
    <row r="1832" spans="65:72" x14ac:dyDescent="0.25">
      <c r="BM1832" s="81"/>
      <c r="BN1832" s="81"/>
      <c r="BO1832" s="81"/>
      <c r="BP1832" s="81"/>
      <c r="BQ1832" s="81"/>
      <c r="BR1832" s="81"/>
      <c r="BS1832" s="81"/>
      <c r="BT1832" s="81"/>
    </row>
    <row r="1833" spans="65:72" x14ac:dyDescent="0.25">
      <c r="BM1833" s="81"/>
      <c r="BN1833" s="81"/>
      <c r="BO1833" s="81"/>
      <c r="BP1833" s="81"/>
      <c r="BQ1833" s="81"/>
      <c r="BR1833" s="81"/>
      <c r="BS1833" s="81"/>
      <c r="BT1833" s="81"/>
    </row>
    <row r="1834" spans="65:72" x14ac:dyDescent="0.25">
      <c r="BM1834" s="81"/>
      <c r="BN1834" s="81"/>
      <c r="BO1834" s="81"/>
      <c r="BP1834" s="81"/>
      <c r="BQ1834" s="81"/>
      <c r="BR1834" s="81"/>
      <c r="BS1834" s="81"/>
      <c r="BT1834" s="81"/>
    </row>
    <row r="1835" spans="65:72" x14ac:dyDescent="0.25">
      <c r="BM1835" s="81"/>
      <c r="BN1835" s="81"/>
      <c r="BO1835" s="81"/>
      <c r="BP1835" s="81"/>
      <c r="BQ1835" s="81"/>
      <c r="BR1835" s="81"/>
      <c r="BS1835" s="81"/>
      <c r="BT1835" s="81"/>
    </row>
    <row r="1836" spans="65:72" x14ac:dyDescent="0.25">
      <c r="BM1836" s="81"/>
      <c r="BN1836" s="81"/>
      <c r="BO1836" s="81"/>
      <c r="BP1836" s="81"/>
      <c r="BQ1836" s="81"/>
      <c r="BR1836" s="81"/>
      <c r="BS1836" s="81"/>
      <c r="BT1836" s="81"/>
    </row>
    <row r="1837" spans="65:72" x14ac:dyDescent="0.25">
      <c r="BM1837" s="81"/>
      <c r="BN1837" s="81"/>
      <c r="BO1837" s="81"/>
      <c r="BP1837" s="81"/>
      <c r="BQ1837" s="81"/>
      <c r="BR1837" s="81"/>
      <c r="BS1837" s="81"/>
      <c r="BT1837" s="81"/>
    </row>
    <row r="1838" spans="65:72" x14ac:dyDescent="0.25">
      <c r="BM1838" s="81"/>
      <c r="BN1838" s="81"/>
      <c r="BO1838" s="81"/>
      <c r="BP1838" s="81"/>
      <c r="BQ1838" s="81"/>
      <c r="BR1838" s="81"/>
      <c r="BS1838" s="81"/>
      <c r="BT1838" s="81"/>
    </row>
    <row r="1839" spans="65:72" x14ac:dyDescent="0.25">
      <c r="BM1839" s="81"/>
      <c r="BN1839" s="81"/>
      <c r="BO1839" s="81"/>
      <c r="BP1839" s="81"/>
      <c r="BQ1839" s="81"/>
      <c r="BR1839" s="81"/>
      <c r="BS1839" s="81"/>
      <c r="BT1839" s="81"/>
    </row>
    <row r="1840" spans="65:72" x14ac:dyDescent="0.25">
      <c r="BM1840" s="81"/>
      <c r="BN1840" s="81"/>
      <c r="BO1840" s="81"/>
      <c r="BP1840" s="81"/>
      <c r="BQ1840" s="81"/>
      <c r="BR1840" s="81"/>
      <c r="BS1840" s="81"/>
      <c r="BT1840" s="81"/>
    </row>
    <row r="1841" spans="65:72" x14ac:dyDescent="0.25">
      <c r="BM1841" s="81"/>
      <c r="BN1841" s="81"/>
      <c r="BO1841" s="81"/>
      <c r="BP1841" s="81"/>
      <c r="BQ1841" s="81"/>
      <c r="BR1841" s="81"/>
      <c r="BS1841" s="81"/>
      <c r="BT1841" s="81"/>
    </row>
    <row r="1842" spans="65:72" x14ac:dyDescent="0.25">
      <c r="BM1842" s="81"/>
      <c r="BN1842" s="81"/>
      <c r="BO1842" s="81"/>
      <c r="BP1842" s="81"/>
      <c r="BQ1842" s="81"/>
      <c r="BR1842" s="81"/>
      <c r="BS1842" s="81"/>
      <c r="BT1842" s="81"/>
    </row>
    <row r="1843" spans="65:72" x14ac:dyDescent="0.25">
      <c r="BM1843" s="81"/>
      <c r="BN1843" s="81"/>
      <c r="BO1843" s="81"/>
      <c r="BP1843" s="81"/>
      <c r="BQ1843" s="81"/>
      <c r="BR1843" s="81"/>
      <c r="BS1843" s="81"/>
      <c r="BT1843" s="81"/>
    </row>
    <row r="1844" spans="65:72" x14ac:dyDescent="0.25">
      <c r="BM1844" s="81"/>
      <c r="BN1844" s="81"/>
      <c r="BO1844" s="81"/>
      <c r="BP1844" s="81"/>
      <c r="BQ1844" s="81"/>
      <c r="BR1844" s="81"/>
      <c r="BS1844" s="81"/>
      <c r="BT1844" s="81"/>
    </row>
    <row r="1845" spans="65:72" x14ac:dyDescent="0.25">
      <c r="BM1845" s="81"/>
      <c r="BN1845" s="81"/>
      <c r="BO1845" s="81"/>
      <c r="BP1845" s="81"/>
      <c r="BQ1845" s="81"/>
      <c r="BR1845" s="81"/>
      <c r="BS1845" s="81"/>
      <c r="BT1845" s="81"/>
    </row>
    <row r="1846" spans="65:72" x14ac:dyDescent="0.25">
      <c r="BM1846" s="81"/>
      <c r="BN1846" s="81"/>
      <c r="BO1846" s="81"/>
      <c r="BP1846" s="81"/>
      <c r="BQ1846" s="81"/>
      <c r="BR1846" s="81"/>
      <c r="BS1846" s="81"/>
      <c r="BT1846" s="81"/>
    </row>
    <row r="1847" spans="65:72" x14ac:dyDescent="0.25">
      <c r="BM1847" s="81"/>
      <c r="BN1847" s="81"/>
      <c r="BO1847" s="81"/>
      <c r="BP1847" s="81"/>
      <c r="BQ1847" s="81"/>
      <c r="BR1847" s="81"/>
      <c r="BS1847" s="81"/>
      <c r="BT1847" s="81"/>
    </row>
    <row r="1848" spans="65:72" x14ac:dyDescent="0.25">
      <c r="BM1848" s="81"/>
      <c r="BN1848" s="81"/>
      <c r="BO1848" s="81"/>
      <c r="BP1848" s="81"/>
      <c r="BQ1848" s="81"/>
      <c r="BR1848" s="81"/>
      <c r="BS1848" s="81"/>
      <c r="BT1848" s="81"/>
    </row>
    <row r="1849" spans="65:72" x14ac:dyDescent="0.25">
      <c r="BM1849" s="81"/>
      <c r="BN1849" s="81"/>
      <c r="BO1849" s="81"/>
      <c r="BP1849" s="81"/>
      <c r="BQ1849" s="81"/>
      <c r="BR1849" s="81"/>
      <c r="BS1849" s="81"/>
      <c r="BT1849" s="81"/>
    </row>
    <row r="1850" spans="65:72" x14ac:dyDescent="0.25">
      <c r="BM1850" s="81"/>
      <c r="BN1850" s="81"/>
      <c r="BO1850" s="81"/>
      <c r="BP1850" s="81"/>
      <c r="BQ1850" s="81"/>
      <c r="BR1850" s="81"/>
      <c r="BS1850" s="81"/>
      <c r="BT1850" s="81"/>
    </row>
    <row r="1851" spans="65:72" x14ac:dyDescent="0.25">
      <c r="BM1851" s="81"/>
      <c r="BN1851" s="81"/>
      <c r="BO1851" s="81"/>
      <c r="BP1851" s="81"/>
      <c r="BQ1851" s="81"/>
      <c r="BR1851" s="81"/>
      <c r="BS1851" s="81"/>
      <c r="BT1851" s="81"/>
    </row>
    <row r="1852" spans="65:72" x14ac:dyDescent="0.25">
      <c r="BM1852" s="81"/>
      <c r="BN1852" s="81"/>
      <c r="BO1852" s="81"/>
      <c r="BP1852" s="81"/>
      <c r="BQ1852" s="81"/>
      <c r="BR1852" s="81"/>
      <c r="BS1852" s="81"/>
      <c r="BT1852" s="81"/>
    </row>
    <row r="1853" spans="65:72" x14ac:dyDescent="0.25">
      <c r="BM1853" s="81"/>
      <c r="BN1853" s="81"/>
      <c r="BO1853" s="81"/>
      <c r="BP1853" s="81"/>
      <c r="BQ1853" s="81"/>
      <c r="BR1853" s="81"/>
      <c r="BS1853" s="81"/>
      <c r="BT1853" s="81"/>
    </row>
    <row r="1854" spans="65:72" x14ac:dyDescent="0.25">
      <c r="BM1854" s="81"/>
      <c r="BN1854" s="81"/>
      <c r="BO1854" s="81"/>
      <c r="BP1854" s="81"/>
      <c r="BQ1854" s="81"/>
      <c r="BR1854" s="81"/>
      <c r="BS1854" s="81"/>
      <c r="BT1854" s="81"/>
    </row>
    <row r="1855" spans="65:72" x14ac:dyDescent="0.25">
      <c r="BM1855" s="81"/>
      <c r="BN1855" s="81"/>
      <c r="BO1855" s="81"/>
      <c r="BP1855" s="81"/>
      <c r="BQ1855" s="81"/>
      <c r="BR1855" s="81"/>
      <c r="BS1855" s="81"/>
      <c r="BT1855" s="81"/>
    </row>
    <row r="1856" spans="65:72" x14ac:dyDescent="0.25">
      <c r="BM1856" s="81"/>
      <c r="BN1856" s="81"/>
      <c r="BO1856" s="81"/>
      <c r="BP1856" s="81"/>
      <c r="BQ1856" s="81"/>
      <c r="BR1856" s="81"/>
      <c r="BS1856" s="81"/>
      <c r="BT1856" s="81"/>
    </row>
    <row r="1857" spans="65:72" x14ac:dyDescent="0.25">
      <c r="BM1857" s="81"/>
      <c r="BN1857" s="81"/>
      <c r="BO1857" s="81"/>
      <c r="BP1857" s="81"/>
      <c r="BQ1857" s="81"/>
      <c r="BR1857" s="81"/>
      <c r="BS1857" s="81"/>
      <c r="BT1857" s="81"/>
    </row>
    <row r="1858" spans="65:72" x14ac:dyDescent="0.25">
      <c r="BM1858" s="81"/>
      <c r="BN1858" s="81"/>
      <c r="BO1858" s="81"/>
      <c r="BP1858" s="81"/>
      <c r="BQ1858" s="81"/>
      <c r="BR1858" s="81"/>
      <c r="BS1858" s="81"/>
      <c r="BT1858" s="81"/>
    </row>
    <row r="1859" spans="65:72" x14ac:dyDescent="0.25">
      <c r="BM1859" s="81"/>
      <c r="BN1859" s="81"/>
      <c r="BO1859" s="81"/>
      <c r="BP1859" s="81"/>
      <c r="BQ1859" s="81"/>
      <c r="BR1859" s="81"/>
      <c r="BS1859" s="81"/>
      <c r="BT1859" s="81"/>
    </row>
    <row r="1860" spans="65:72" x14ac:dyDescent="0.25">
      <c r="BM1860" s="81"/>
      <c r="BN1860" s="81"/>
      <c r="BO1860" s="81"/>
      <c r="BP1860" s="81"/>
      <c r="BQ1860" s="81"/>
      <c r="BR1860" s="81"/>
      <c r="BS1860" s="81"/>
      <c r="BT1860" s="81"/>
    </row>
    <row r="1861" spans="65:72" x14ac:dyDescent="0.25">
      <c r="BM1861" s="81"/>
      <c r="BN1861" s="81"/>
      <c r="BO1861" s="81"/>
      <c r="BP1861" s="81"/>
      <c r="BQ1861" s="81"/>
      <c r="BR1861" s="81"/>
      <c r="BS1861" s="81"/>
      <c r="BT1861" s="81"/>
    </row>
    <row r="1862" spans="65:72" x14ac:dyDescent="0.25">
      <c r="BM1862" s="81"/>
      <c r="BN1862" s="81"/>
      <c r="BO1862" s="81"/>
      <c r="BP1862" s="81"/>
      <c r="BQ1862" s="81"/>
      <c r="BR1862" s="81"/>
      <c r="BS1862" s="81"/>
      <c r="BT1862" s="81"/>
    </row>
    <row r="1863" spans="65:72" x14ac:dyDescent="0.25">
      <c r="BM1863" s="81"/>
      <c r="BN1863" s="81"/>
      <c r="BO1863" s="81"/>
      <c r="BP1863" s="81"/>
      <c r="BQ1863" s="81"/>
      <c r="BR1863" s="81"/>
      <c r="BS1863" s="81"/>
      <c r="BT1863" s="81"/>
    </row>
    <row r="1864" spans="65:72" x14ac:dyDescent="0.25">
      <c r="BM1864" s="81"/>
      <c r="BN1864" s="81"/>
      <c r="BO1864" s="81"/>
      <c r="BP1864" s="81"/>
      <c r="BQ1864" s="81"/>
      <c r="BR1864" s="81"/>
      <c r="BS1864" s="81"/>
      <c r="BT1864" s="81"/>
    </row>
    <row r="1865" spans="65:72" x14ac:dyDescent="0.25">
      <c r="BM1865" s="81"/>
      <c r="BN1865" s="81"/>
      <c r="BO1865" s="81"/>
      <c r="BP1865" s="81"/>
      <c r="BQ1865" s="81"/>
      <c r="BR1865" s="81"/>
      <c r="BS1865" s="81"/>
      <c r="BT1865" s="81"/>
    </row>
    <row r="1866" spans="65:72" x14ac:dyDescent="0.25">
      <c r="BM1866" s="81"/>
      <c r="BN1866" s="81"/>
      <c r="BO1866" s="81"/>
      <c r="BP1866" s="81"/>
      <c r="BQ1866" s="81"/>
      <c r="BR1866" s="81"/>
      <c r="BS1866" s="81"/>
      <c r="BT1866" s="81"/>
    </row>
    <row r="1867" spans="65:72" x14ac:dyDescent="0.25">
      <c r="BM1867" s="81"/>
      <c r="BN1867" s="81"/>
      <c r="BO1867" s="81"/>
      <c r="BP1867" s="81"/>
      <c r="BQ1867" s="81"/>
      <c r="BR1867" s="81"/>
      <c r="BS1867" s="81"/>
      <c r="BT1867" s="81"/>
    </row>
    <row r="1868" spans="65:72" x14ac:dyDescent="0.25">
      <c r="BM1868" s="81"/>
      <c r="BN1868" s="81"/>
      <c r="BO1868" s="81"/>
      <c r="BP1868" s="81"/>
      <c r="BQ1868" s="81"/>
      <c r="BR1868" s="81"/>
      <c r="BS1868" s="81"/>
      <c r="BT1868" s="81"/>
    </row>
    <row r="1869" spans="65:72" x14ac:dyDescent="0.25">
      <c r="BM1869" s="81"/>
      <c r="BN1869" s="81"/>
      <c r="BO1869" s="81"/>
      <c r="BP1869" s="81"/>
      <c r="BQ1869" s="81"/>
      <c r="BR1869" s="81"/>
      <c r="BS1869" s="81"/>
      <c r="BT1869" s="81"/>
    </row>
    <row r="1870" spans="65:72" x14ac:dyDescent="0.25">
      <c r="BM1870" s="81"/>
      <c r="BN1870" s="81"/>
      <c r="BO1870" s="81"/>
      <c r="BP1870" s="81"/>
      <c r="BQ1870" s="81"/>
      <c r="BR1870" s="81"/>
      <c r="BS1870" s="81"/>
      <c r="BT1870" s="81"/>
    </row>
    <row r="1871" spans="65:72" x14ac:dyDescent="0.25">
      <c r="BM1871" s="81"/>
      <c r="BN1871" s="81"/>
      <c r="BO1871" s="81"/>
      <c r="BP1871" s="81"/>
      <c r="BQ1871" s="81"/>
      <c r="BR1871" s="81"/>
      <c r="BS1871" s="81"/>
      <c r="BT1871" s="81"/>
    </row>
    <row r="1872" spans="65:72" x14ac:dyDescent="0.25">
      <c r="BM1872" s="81"/>
      <c r="BN1872" s="81"/>
      <c r="BO1872" s="81"/>
      <c r="BP1872" s="81"/>
      <c r="BQ1872" s="81"/>
      <c r="BR1872" s="81"/>
      <c r="BS1872" s="81"/>
      <c r="BT1872" s="81"/>
    </row>
    <row r="1873" spans="65:72" x14ac:dyDescent="0.25">
      <c r="BM1873" s="81"/>
      <c r="BN1873" s="81"/>
      <c r="BO1873" s="81"/>
      <c r="BP1873" s="81"/>
      <c r="BQ1873" s="81"/>
      <c r="BR1873" s="81"/>
      <c r="BS1873" s="81"/>
      <c r="BT1873" s="81"/>
    </row>
    <row r="1874" spans="65:72" x14ac:dyDescent="0.25">
      <c r="BM1874" s="81"/>
      <c r="BN1874" s="81"/>
      <c r="BO1874" s="81"/>
      <c r="BP1874" s="81"/>
      <c r="BQ1874" s="81"/>
      <c r="BR1874" s="81"/>
      <c r="BS1874" s="81"/>
      <c r="BT1874" s="81"/>
    </row>
    <row r="1875" spans="65:72" x14ac:dyDescent="0.25">
      <c r="BM1875" s="81"/>
      <c r="BN1875" s="81"/>
      <c r="BO1875" s="81"/>
      <c r="BP1875" s="81"/>
      <c r="BQ1875" s="81"/>
      <c r="BR1875" s="81"/>
      <c r="BS1875" s="81"/>
      <c r="BT1875" s="81"/>
    </row>
    <row r="1876" spans="65:72" x14ac:dyDescent="0.25">
      <c r="BM1876" s="81"/>
      <c r="BN1876" s="81"/>
      <c r="BO1876" s="81"/>
      <c r="BP1876" s="81"/>
      <c r="BQ1876" s="81"/>
      <c r="BR1876" s="81"/>
      <c r="BS1876" s="81"/>
      <c r="BT1876" s="81"/>
    </row>
    <row r="1877" spans="65:72" x14ac:dyDescent="0.25">
      <c r="BM1877" s="81"/>
      <c r="BN1877" s="81"/>
      <c r="BO1877" s="81"/>
      <c r="BP1877" s="81"/>
      <c r="BQ1877" s="81"/>
      <c r="BR1877" s="81"/>
      <c r="BS1877" s="81"/>
      <c r="BT1877" s="81"/>
    </row>
    <row r="1878" spans="65:72" x14ac:dyDescent="0.25">
      <c r="BM1878" s="81"/>
      <c r="BN1878" s="81"/>
      <c r="BO1878" s="81"/>
      <c r="BP1878" s="81"/>
      <c r="BQ1878" s="81"/>
      <c r="BR1878" s="81"/>
      <c r="BS1878" s="81"/>
      <c r="BT1878" s="81"/>
    </row>
    <row r="1879" spans="65:72" x14ac:dyDescent="0.25">
      <c r="BM1879" s="81"/>
      <c r="BN1879" s="81"/>
      <c r="BO1879" s="81"/>
      <c r="BP1879" s="81"/>
      <c r="BQ1879" s="81"/>
      <c r="BR1879" s="81"/>
      <c r="BS1879" s="81"/>
      <c r="BT1879" s="81"/>
    </row>
    <row r="1880" spans="65:72" x14ac:dyDescent="0.25">
      <c r="BM1880" s="81"/>
      <c r="BN1880" s="81"/>
      <c r="BO1880" s="81"/>
      <c r="BP1880" s="81"/>
      <c r="BQ1880" s="81"/>
      <c r="BR1880" s="81"/>
      <c r="BS1880" s="81"/>
      <c r="BT1880" s="81"/>
    </row>
    <row r="1881" spans="65:72" x14ac:dyDescent="0.25">
      <c r="BM1881" s="81"/>
      <c r="BN1881" s="81"/>
      <c r="BO1881" s="81"/>
      <c r="BP1881" s="81"/>
      <c r="BQ1881" s="81"/>
      <c r="BR1881" s="81"/>
      <c r="BS1881" s="81"/>
      <c r="BT1881" s="81"/>
    </row>
    <row r="1882" spans="65:72" x14ac:dyDescent="0.25">
      <c r="BM1882" s="81"/>
      <c r="BN1882" s="81"/>
      <c r="BO1882" s="81"/>
      <c r="BP1882" s="81"/>
      <c r="BQ1882" s="81"/>
      <c r="BR1882" s="81"/>
      <c r="BS1882" s="81"/>
      <c r="BT1882" s="81"/>
    </row>
    <row r="1883" spans="65:72" x14ac:dyDescent="0.25">
      <c r="BM1883" s="81"/>
      <c r="BN1883" s="81"/>
      <c r="BO1883" s="81"/>
      <c r="BP1883" s="81"/>
      <c r="BQ1883" s="81"/>
      <c r="BR1883" s="81"/>
      <c r="BS1883" s="81"/>
      <c r="BT1883" s="81"/>
    </row>
    <row r="1884" spans="65:72" x14ac:dyDescent="0.25">
      <c r="BM1884" s="81"/>
      <c r="BN1884" s="81"/>
      <c r="BO1884" s="81"/>
      <c r="BP1884" s="81"/>
      <c r="BQ1884" s="81"/>
      <c r="BR1884" s="81"/>
      <c r="BS1884" s="81"/>
      <c r="BT1884" s="81"/>
    </row>
    <row r="1885" spans="65:72" x14ac:dyDescent="0.25">
      <c r="BM1885" s="81"/>
      <c r="BN1885" s="81"/>
      <c r="BO1885" s="81"/>
      <c r="BP1885" s="81"/>
      <c r="BQ1885" s="81"/>
      <c r="BR1885" s="81"/>
      <c r="BS1885" s="81"/>
      <c r="BT1885" s="81"/>
    </row>
    <row r="1886" spans="65:72" x14ac:dyDescent="0.25">
      <c r="BM1886" s="81"/>
      <c r="BN1886" s="81"/>
      <c r="BO1886" s="81"/>
      <c r="BP1886" s="81"/>
      <c r="BQ1886" s="81"/>
      <c r="BR1886" s="81"/>
      <c r="BS1886" s="81"/>
      <c r="BT1886" s="81"/>
    </row>
    <row r="1887" spans="65:72" x14ac:dyDescent="0.25">
      <c r="BM1887" s="81"/>
      <c r="BN1887" s="81"/>
      <c r="BO1887" s="81"/>
      <c r="BP1887" s="81"/>
      <c r="BQ1887" s="81"/>
      <c r="BR1887" s="81"/>
      <c r="BS1887" s="81"/>
      <c r="BT1887" s="81"/>
    </row>
    <row r="1888" spans="65:72" x14ac:dyDescent="0.25">
      <c r="BM1888" s="81"/>
      <c r="BN1888" s="81"/>
      <c r="BO1888" s="81"/>
      <c r="BP1888" s="81"/>
      <c r="BQ1888" s="81"/>
      <c r="BR1888" s="81"/>
      <c r="BS1888" s="81"/>
      <c r="BT1888" s="81"/>
    </row>
    <row r="1889" spans="65:72" x14ac:dyDescent="0.25">
      <c r="BM1889" s="81"/>
      <c r="BN1889" s="81"/>
      <c r="BO1889" s="81"/>
      <c r="BP1889" s="81"/>
      <c r="BQ1889" s="81"/>
      <c r="BR1889" s="81"/>
      <c r="BS1889" s="81"/>
      <c r="BT1889" s="81"/>
    </row>
    <row r="1890" spans="65:72" x14ac:dyDescent="0.25">
      <c r="BM1890" s="81"/>
      <c r="BN1890" s="81"/>
      <c r="BO1890" s="81"/>
      <c r="BP1890" s="81"/>
      <c r="BQ1890" s="81"/>
      <c r="BR1890" s="81"/>
      <c r="BS1890" s="81"/>
      <c r="BT1890" s="81"/>
    </row>
    <row r="1891" spans="65:72" x14ac:dyDescent="0.25">
      <c r="BM1891" s="81"/>
      <c r="BN1891" s="81"/>
      <c r="BO1891" s="81"/>
      <c r="BP1891" s="81"/>
      <c r="BQ1891" s="81"/>
      <c r="BR1891" s="81"/>
      <c r="BS1891" s="81"/>
      <c r="BT1891" s="81"/>
    </row>
    <row r="1892" spans="65:72" x14ac:dyDescent="0.25">
      <c r="BM1892" s="81"/>
      <c r="BN1892" s="81"/>
      <c r="BO1892" s="81"/>
      <c r="BP1892" s="81"/>
      <c r="BQ1892" s="81"/>
      <c r="BR1892" s="81"/>
      <c r="BS1892" s="81"/>
      <c r="BT1892" s="81"/>
    </row>
    <row r="1893" spans="65:72" x14ac:dyDescent="0.25">
      <c r="BM1893" s="81"/>
      <c r="BN1893" s="81"/>
      <c r="BO1893" s="81"/>
      <c r="BP1893" s="81"/>
      <c r="BQ1893" s="81"/>
      <c r="BR1893" s="81"/>
      <c r="BS1893" s="81"/>
      <c r="BT1893" s="81"/>
    </row>
    <row r="1894" spans="65:72" x14ac:dyDescent="0.25">
      <c r="BM1894" s="81"/>
      <c r="BN1894" s="81"/>
      <c r="BO1894" s="81"/>
      <c r="BP1894" s="81"/>
      <c r="BQ1894" s="81"/>
      <c r="BR1894" s="81"/>
      <c r="BS1894" s="81"/>
      <c r="BT1894" s="81"/>
    </row>
    <row r="1895" spans="65:72" x14ac:dyDescent="0.25">
      <c r="BM1895" s="81"/>
      <c r="BN1895" s="81"/>
      <c r="BO1895" s="81"/>
      <c r="BP1895" s="81"/>
      <c r="BQ1895" s="81"/>
      <c r="BR1895" s="81"/>
      <c r="BS1895" s="81"/>
      <c r="BT1895" s="81"/>
    </row>
    <row r="1896" spans="65:72" x14ac:dyDescent="0.25">
      <c r="BM1896" s="81"/>
      <c r="BN1896" s="81"/>
      <c r="BO1896" s="81"/>
      <c r="BP1896" s="81"/>
      <c r="BQ1896" s="81"/>
      <c r="BR1896" s="81"/>
      <c r="BS1896" s="81"/>
      <c r="BT1896" s="81"/>
    </row>
    <row r="1897" spans="65:72" x14ac:dyDescent="0.25">
      <c r="BM1897" s="81"/>
      <c r="BN1897" s="81"/>
      <c r="BO1897" s="81"/>
      <c r="BP1897" s="81"/>
      <c r="BQ1897" s="81"/>
      <c r="BR1897" s="81"/>
      <c r="BS1897" s="81"/>
      <c r="BT1897" s="81"/>
    </row>
    <row r="1898" spans="65:72" x14ac:dyDescent="0.25">
      <c r="BM1898" s="81"/>
      <c r="BN1898" s="81"/>
      <c r="BO1898" s="81"/>
      <c r="BP1898" s="81"/>
      <c r="BQ1898" s="81"/>
      <c r="BR1898" s="81"/>
      <c r="BS1898" s="81"/>
      <c r="BT1898" s="81"/>
    </row>
    <row r="1899" spans="65:72" x14ac:dyDescent="0.25">
      <c r="BM1899" s="81"/>
      <c r="BN1899" s="81"/>
      <c r="BO1899" s="81"/>
      <c r="BP1899" s="81"/>
      <c r="BQ1899" s="81"/>
      <c r="BR1899" s="81"/>
      <c r="BS1899" s="81"/>
      <c r="BT1899" s="81"/>
    </row>
    <row r="1900" spans="65:72" x14ac:dyDescent="0.25">
      <c r="BM1900" s="81"/>
      <c r="BN1900" s="81"/>
      <c r="BO1900" s="81"/>
      <c r="BP1900" s="81"/>
      <c r="BQ1900" s="81"/>
      <c r="BR1900" s="81"/>
      <c r="BS1900" s="81"/>
      <c r="BT1900" s="81"/>
    </row>
    <row r="1901" spans="65:72" x14ac:dyDescent="0.25">
      <c r="BM1901" s="81"/>
      <c r="BN1901" s="81"/>
      <c r="BO1901" s="81"/>
      <c r="BP1901" s="81"/>
      <c r="BQ1901" s="81"/>
      <c r="BR1901" s="81"/>
      <c r="BS1901" s="81"/>
      <c r="BT1901" s="81"/>
    </row>
    <row r="1902" spans="65:72" x14ac:dyDescent="0.25">
      <c r="BM1902" s="81"/>
      <c r="BN1902" s="81"/>
      <c r="BO1902" s="81"/>
      <c r="BP1902" s="81"/>
      <c r="BQ1902" s="81"/>
      <c r="BR1902" s="81"/>
      <c r="BS1902" s="81"/>
      <c r="BT1902" s="81"/>
    </row>
    <row r="1903" spans="65:72" x14ac:dyDescent="0.25">
      <c r="BM1903" s="81"/>
      <c r="BN1903" s="81"/>
      <c r="BO1903" s="81"/>
      <c r="BP1903" s="81"/>
      <c r="BQ1903" s="81"/>
      <c r="BR1903" s="81"/>
      <c r="BS1903" s="81"/>
      <c r="BT1903" s="81"/>
    </row>
    <row r="1904" spans="65:72" x14ac:dyDescent="0.25">
      <c r="BM1904" s="81"/>
      <c r="BN1904" s="81"/>
      <c r="BO1904" s="81"/>
      <c r="BP1904" s="81"/>
      <c r="BQ1904" s="81"/>
      <c r="BR1904" s="81"/>
      <c r="BS1904" s="81"/>
      <c r="BT1904" s="81"/>
    </row>
    <row r="1905" spans="65:72" x14ac:dyDescent="0.25">
      <c r="BM1905" s="81"/>
      <c r="BN1905" s="81"/>
      <c r="BO1905" s="81"/>
      <c r="BP1905" s="81"/>
      <c r="BQ1905" s="81"/>
      <c r="BR1905" s="81"/>
      <c r="BS1905" s="81"/>
      <c r="BT1905" s="81"/>
    </row>
    <row r="1906" spans="65:72" x14ac:dyDescent="0.25">
      <c r="BM1906" s="81"/>
      <c r="BN1906" s="81"/>
      <c r="BO1906" s="81"/>
      <c r="BP1906" s="81"/>
      <c r="BQ1906" s="81"/>
      <c r="BR1906" s="81"/>
      <c r="BS1906" s="81"/>
      <c r="BT1906" s="81"/>
    </row>
    <row r="1907" spans="65:72" x14ac:dyDescent="0.25">
      <c r="BM1907" s="81"/>
      <c r="BN1907" s="81"/>
      <c r="BO1907" s="81"/>
      <c r="BP1907" s="81"/>
      <c r="BQ1907" s="81"/>
      <c r="BR1907" s="81"/>
      <c r="BS1907" s="81"/>
      <c r="BT1907" s="81"/>
    </row>
    <row r="1908" spans="65:72" x14ac:dyDescent="0.25">
      <c r="BM1908" s="81"/>
      <c r="BN1908" s="81"/>
      <c r="BO1908" s="81"/>
      <c r="BP1908" s="81"/>
      <c r="BQ1908" s="81"/>
      <c r="BR1908" s="81"/>
      <c r="BS1908" s="81"/>
      <c r="BT1908" s="81"/>
    </row>
    <row r="1909" spans="65:72" x14ac:dyDescent="0.25">
      <c r="BM1909" s="81"/>
      <c r="BN1909" s="81"/>
      <c r="BO1909" s="81"/>
      <c r="BP1909" s="81"/>
      <c r="BQ1909" s="81"/>
      <c r="BR1909" s="81"/>
      <c r="BS1909" s="81"/>
      <c r="BT1909" s="81"/>
    </row>
    <row r="1910" spans="65:72" x14ac:dyDescent="0.25">
      <c r="BM1910" s="81"/>
      <c r="BN1910" s="81"/>
      <c r="BO1910" s="81"/>
      <c r="BP1910" s="81"/>
      <c r="BQ1910" s="81"/>
      <c r="BR1910" s="81"/>
      <c r="BS1910" s="81"/>
      <c r="BT1910" s="81"/>
    </row>
    <row r="1911" spans="65:72" x14ac:dyDescent="0.25">
      <c r="BM1911" s="81"/>
      <c r="BN1911" s="81"/>
      <c r="BO1911" s="81"/>
      <c r="BP1911" s="81"/>
      <c r="BQ1911" s="81"/>
      <c r="BR1911" s="81"/>
      <c r="BS1911" s="81"/>
      <c r="BT1911" s="81"/>
    </row>
    <row r="1912" spans="65:72" x14ac:dyDescent="0.25">
      <c r="BM1912" s="81"/>
      <c r="BN1912" s="81"/>
      <c r="BO1912" s="81"/>
      <c r="BP1912" s="81"/>
      <c r="BQ1912" s="81"/>
      <c r="BR1912" s="81"/>
      <c r="BS1912" s="81"/>
      <c r="BT1912" s="81"/>
    </row>
    <row r="1913" spans="65:72" x14ac:dyDescent="0.25">
      <c r="BM1913" s="81"/>
      <c r="BN1913" s="81"/>
      <c r="BO1913" s="81"/>
      <c r="BP1913" s="81"/>
      <c r="BQ1913" s="81"/>
      <c r="BR1913" s="81"/>
      <c r="BS1913" s="81"/>
      <c r="BT1913" s="81"/>
    </row>
    <row r="1914" spans="65:72" x14ac:dyDescent="0.25">
      <c r="BM1914" s="81"/>
      <c r="BN1914" s="81"/>
      <c r="BO1914" s="81"/>
      <c r="BP1914" s="81"/>
      <c r="BQ1914" s="81"/>
      <c r="BR1914" s="81"/>
      <c r="BS1914" s="81"/>
      <c r="BT1914" s="81"/>
    </row>
    <row r="1915" spans="65:72" x14ac:dyDescent="0.25">
      <c r="BM1915" s="81"/>
      <c r="BN1915" s="81"/>
      <c r="BO1915" s="81"/>
      <c r="BP1915" s="81"/>
      <c r="BQ1915" s="81"/>
      <c r="BR1915" s="81"/>
      <c r="BS1915" s="81"/>
      <c r="BT1915" s="81"/>
    </row>
    <row r="1916" spans="65:72" x14ac:dyDescent="0.25">
      <c r="BM1916" s="81"/>
      <c r="BN1916" s="81"/>
      <c r="BO1916" s="81"/>
      <c r="BP1916" s="81"/>
      <c r="BQ1916" s="81"/>
      <c r="BR1916" s="81"/>
      <c r="BS1916" s="81"/>
      <c r="BT1916" s="81"/>
    </row>
    <row r="1917" spans="65:72" x14ac:dyDescent="0.25">
      <c r="BM1917" s="81"/>
      <c r="BN1917" s="81"/>
      <c r="BO1917" s="81"/>
      <c r="BP1917" s="81"/>
      <c r="BQ1917" s="81"/>
      <c r="BR1917" s="81"/>
      <c r="BS1917" s="81"/>
      <c r="BT1917" s="81"/>
    </row>
    <row r="1918" spans="65:72" x14ac:dyDescent="0.25">
      <c r="BM1918" s="81"/>
      <c r="BN1918" s="81"/>
      <c r="BO1918" s="81"/>
      <c r="BP1918" s="81"/>
      <c r="BQ1918" s="81"/>
      <c r="BR1918" s="81"/>
      <c r="BS1918" s="81"/>
      <c r="BT1918" s="81"/>
    </row>
    <row r="1919" spans="65:72" x14ac:dyDescent="0.25">
      <c r="BM1919" s="81"/>
      <c r="BN1919" s="81"/>
      <c r="BO1919" s="81"/>
      <c r="BP1919" s="81"/>
      <c r="BQ1919" s="81"/>
      <c r="BR1919" s="81"/>
      <c r="BS1919" s="81"/>
      <c r="BT1919" s="81"/>
    </row>
    <row r="1920" spans="65:72" x14ac:dyDescent="0.25">
      <c r="BM1920" s="81"/>
      <c r="BN1920" s="81"/>
      <c r="BO1920" s="81"/>
      <c r="BP1920" s="81"/>
      <c r="BQ1920" s="81"/>
      <c r="BR1920" s="81"/>
      <c r="BS1920" s="81"/>
      <c r="BT1920" s="81"/>
    </row>
    <row r="1921" spans="65:72" x14ac:dyDescent="0.25">
      <c r="BM1921" s="81"/>
      <c r="BN1921" s="81"/>
      <c r="BO1921" s="81"/>
      <c r="BP1921" s="81"/>
      <c r="BQ1921" s="81"/>
      <c r="BR1921" s="81"/>
      <c r="BS1921" s="81"/>
      <c r="BT1921" s="81"/>
    </row>
    <row r="1922" spans="65:72" x14ac:dyDescent="0.25">
      <c r="BM1922" s="81"/>
      <c r="BN1922" s="81"/>
      <c r="BO1922" s="81"/>
      <c r="BP1922" s="81"/>
      <c r="BQ1922" s="81"/>
      <c r="BR1922" s="81"/>
      <c r="BS1922" s="81"/>
      <c r="BT1922" s="81"/>
    </row>
    <row r="1923" spans="65:72" x14ac:dyDescent="0.25">
      <c r="BM1923" s="81"/>
      <c r="BN1923" s="81"/>
      <c r="BO1923" s="81"/>
      <c r="BP1923" s="81"/>
      <c r="BQ1923" s="81"/>
      <c r="BR1923" s="81"/>
      <c r="BS1923" s="81"/>
      <c r="BT1923" s="81"/>
    </row>
    <row r="1924" spans="65:72" x14ac:dyDescent="0.25">
      <c r="BM1924" s="81"/>
      <c r="BN1924" s="81"/>
      <c r="BO1924" s="81"/>
      <c r="BP1924" s="81"/>
      <c r="BQ1924" s="81"/>
      <c r="BR1924" s="81"/>
      <c r="BS1924" s="81"/>
      <c r="BT1924" s="81"/>
    </row>
    <row r="1925" spans="65:72" x14ac:dyDescent="0.25">
      <c r="BM1925" s="81"/>
      <c r="BN1925" s="81"/>
      <c r="BO1925" s="81"/>
      <c r="BP1925" s="81"/>
      <c r="BQ1925" s="81"/>
      <c r="BR1925" s="81"/>
      <c r="BS1925" s="81"/>
      <c r="BT1925" s="81"/>
    </row>
    <row r="1926" spans="65:72" x14ac:dyDescent="0.25">
      <c r="BM1926" s="81"/>
      <c r="BN1926" s="81"/>
      <c r="BO1926" s="81"/>
      <c r="BP1926" s="81"/>
      <c r="BQ1926" s="81"/>
      <c r="BR1926" s="81"/>
      <c r="BS1926" s="81"/>
      <c r="BT1926" s="81"/>
    </row>
    <row r="1927" spans="65:72" x14ac:dyDescent="0.25">
      <c r="BM1927" s="81"/>
      <c r="BN1927" s="81"/>
      <c r="BO1927" s="81"/>
      <c r="BP1927" s="81"/>
      <c r="BQ1927" s="81"/>
      <c r="BR1927" s="81"/>
      <c r="BS1927" s="81"/>
      <c r="BT1927" s="81"/>
    </row>
    <row r="1928" spans="65:72" x14ac:dyDescent="0.25">
      <c r="BM1928" s="81"/>
      <c r="BN1928" s="81"/>
      <c r="BO1928" s="81"/>
      <c r="BP1928" s="81"/>
      <c r="BQ1928" s="81"/>
      <c r="BR1928" s="81"/>
      <c r="BS1928" s="81"/>
      <c r="BT1928" s="81"/>
    </row>
    <row r="1929" spans="65:72" x14ac:dyDescent="0.25">
      <c r="BM1929" s="81"/>
      <c r="BN1929" s="81"/>
      <c r="BO1929" s="81"/>
      <c r="BP1929" s="81"/>
      <c r="BQ1929" s="81"/>
      <c r="BR1929" s="81"/>
      <c r="BS1929" s="81"/>
      <c r="BT1929" s="81"/>
    </row>
    <row r="1930" spans="65:72" x14ac:dyDescent="0.25">
      <c r="BM1930" s="81"/>
      <c r="BN1930" s="81"/>
      <c r="BO1930" s="81"/>
      <c r="BP1930" s="81"/>
      <c r="BQ1930" s="81"/>
      <c r="BR1930" s="81"/>
      <c r="BS1930" s="81"/>
      <c r="BT1930" s="81"/>
    </row>
    <row r="1931" spans="65:72" x14ac:dyDescent="0.25">
      <c r="BM1931" s="81"/>
      <c r="BN1931" s="81"/>
      <c r="BO1931" s="81"/>
      <c r="BP1931" s="81"/>
      <c r="BQ1931" s="81"/>
      <c r="BR1931" s="81"/>
      <c r="BS1931" s="81"/>
      <c r="BT1931" s="81"/>
    </row>
    <row r="1932" spans="65:72" x14ac:dyDescent="0.25">
      <c r="BM1932" s="81"/>
      <c r="BN1932" s="81"/>
      <c r="BO1932" s="81"/>
      <c r="BP1932" s="81"/>
      <c r="BQ1932" s="81"/>
      <c r="BR1932" s="81"/>
      <c r="BS1932" s="81"/>
      <c r="BT1932" s="81"/>
    </row>
    <row r="1933" spans="65:72" x14ac:dyDescent="0.25">
      <c r="BM1933" s="81"/>
      <c r="BN1933" s="81"/>
      <c r="BO1933" s="81"/>
      <c r="BP1933" s="81"/>
      <c r="BQ1933" s="81"/>
      <c r="BR1933" s="81"/>
      <c r="BS1933" s="81"/>
      <c r="BT1933" s="81"/>
    </row>
    <row r="1934" spans="65:72" x14ac:dyDescent="0.25">
      <c r="BM1934" s="81"/>
      <c r="BN1934" s="81"/>
      <c r="BO1934" s="81"/>
      <c r="BP1934" s="81"/>
      <c r="BQ1934" s="81"/>
      <c r="BR1934" s="81"/>
      <c r="BS1934" s="81"/>
      <c r="BT1934" s="81"/>
    </row>
    <row r="1935" spans="65:72" x14ac:dyDescent="0.25">
      <c r="BM1935" s="81"/>
      <c r="BN1935" s="81"/>
      <c r="BO1935" s="81"/>
      <c r="BP1935" s="81"/>
      <c r="BQ1935" s="81"/>
      <c r="BR1935" s="81"/>
      <c r="BS1935" s="81"/>
      <c r="BT1935" s="81"/>
    </row>
    <row r="1936" spans="65:72" x14ac:dyDescent="0.25">
      <c r="BM1936" s="81"/>
      <c r="BN1936" s="81"/>
      <c r="BO1936" s="81"/>
      <c r="BP1936" s="81"/>
      <c r="BQ1936" s="81"/>
      <c r="BR1936" s="81"/>
      <c r="BS1936" s="81"/>
      <c r="BT1936" s="81"/>
    </row>
    <row r="1937" spans="65:72" x14ac:dyDescent="0.25">
      <c r="BM1937" s="81"/>
      <c r="BN1937" s="81"/>
      <c r="BO1937" s="81"/>
      <c r="BP1937" s="81"/>
      <c r="BQ1937" s="81"/>
      <c r="BR1937" s="81"/>
      <c r="BS1937" s="81"/>
      <c r="BT1937" s="81"/>
    </row>
    <row r="1938" spans="65:72" x14ac:dyDescent="0.25">
      <c r="BM1938" s="81"/>
      <c r="BN1938" s="81"/>
      <c r="BO1938" s="81"/>
      <c r="BP1938" s="81"/>
      <c r="BQ1938" s="81"/>
      <c r="BR1938" s="81"/>
      <c r="BS1938" s="81"/>
      <c r="BT1938" s="81"/>
    </row>
    <row r="1939" spans="65:72" x14ac:dyDescent="0.25">
      <c r="BM1939" s="81"/>
      <c r="BN1939" s="81"/>
      <c r="BO1939" s="81"/>
      <c r="BP1939" s="81"/>
      <c r="BQ1939" s="81"/>
      <c r="BR1939" s="81"/>
      <c r="BS1939" s="81"/>
      <c r="BT1939" s="81"/>
    </row>
    <row r="1940" spans="65:72" x14ac:dyDescent="0.25">
      <c r="BM1940" s="81"/>
      <c r="BN1940" s="81"/>
      <c r="BO1940" s="81"/>
      <c r="BP1940" s="81"/>
      <c r="BQ1940" s="81"/>
      <c r="BR1940" s="81"/>
      <c r="BS1940" s="81"/>
      <c r="BT1940" s="81"/>
    </row>
    <row r="1941" spans="65:72" x14ac:dyDescent="0.25">
      <c r="BM1941" s="81"/>
      <c r="BN1941" s="81"/>
      <c r="BO1941" s="81"/>
      <c r="BP1941" s="81"/>
      <c r="BQ1941" s="81"/>
      <c r="BR1941" s="81"/>
      <c r="BS1941" s="81"/>
      <c r="BT1941" s="81"/>
    </row>
    <row r="1942" spans="65:72" x14ac:dyDescent="0.25">
      <c r="BM1942" s="81"/>
      <c r="BN1942" s="81"/>
      <c r="BO1942" s="81"/>
      <c r="BP1942" s="81"/>
      <c r="BQ1942" s="81"/>
      <c r="BR1942" s="81"/>
      <c r="BS1942" s="81"/>
      <c r="BT1942" s="81"/>
    </row>
    <row r="1943" spans="65:72" x14ac:dyDescent="0.25">
      <c r="BM1943" s="81"/>
      <c r="BN1943" s="81"/>
      <c r="BO1943" s="81"/>
      <c r="BP1943" s="81"/>
      <c r="BQ1943" s="81"/>
      <c r="BR1943" s="81"/>
      <c r="BS1943" s="81"/>
      <c r="BT1943" s="81"/>
    </row>
    <row r="1944" spans="65:72" x14ac:dyDescent="0.25">
      <c r="BM1944" s="81"/>
      <c r="BN1944" s="81"/>
      <c r="BO1944" s="81"/>
      <c r="BP1944" s="81"/>
      <c r="BQ1944" s="81"/>
      <c r="BR1944" s="81"/>
      <c r="BS1944" s="81"/>
      <c r="BT1944" s="81"/>
    </row>
    <row r="1945" spans="65:72" x14ac:dyDescent="0.25">
      <c r="BM1945" s="81"/>
      <c r="BN1945" s="81"/>
      <c r="BO1945" s="81"/>
      <c r="BP1945" s="81"/>
      <c r="BQ1945" s="81"/>
      <c r="BR1945" s="81"/>
      <c r="BS1945" s="81"/>
      <c r="BT1945" s="81"/>
    </row>
    <row r="1946" spans="65:72" x14ac:dyDescent="0.25">
      <c r="BM1946" s="81"/>
      <c r="BN1946" s="81"/>
      <c r="BO1946" s="81"/>
      <c r="BP1946" s="81"/>
      <c r="BQ1946" s="81"/>
      <c r="BR1946" s="81"/>
      <c r="BS1946" s="81"/>
      <c r="BT1946" s="81"/>
    </row>
    <row r="1947" spans="65:72" x14ac:dyDescent="0.25">
      <c r="BM1947" s="81"/>
      <c r="BN1947" s="81"/>
      <c r="BO1947" s="81"/>
      <c r="BP1947" s="81"/>
      <c r="BQ1947" s="81"/>
      <c r="BR1947" s="81"/>
      <c r="BS1947" s="81"/>
      <c r="BT1947" s="81"/>
    </row>
    <row r="1948" spans="65:72" x14ac:dyDescent="0.25">
      <c r="BM1948" s="81"/>
      <c r="BN1948" s="81"/>
      <c r="BO1948" s="81"/>
      <c r="BP1948" s="81"/>
      <c r="BQ1948" s="81"/>
      <c r="BR1948" s="81"/>
      <c r="BS1948" s="81"/>
      <c r="BT1948" s="81"/>
    </row>
    <row r="1949" spans="65:72" x14ac:dyDescent="0.25">
      <c r="BM1949" s="81"/>
      <c r="BN1949" s="81"/>
      <c r="BO1949" s="81"/>
      <c r="BP1949" s="81"/>
      <c r="BQ1949" s="81"/>
      <c r="BR1949" s="81"/>
      <c r="BS1949" s="81"/>
      <c r="BT1949" s="81"/>
    </row>
    <row r="1950" spans="65:72" x14ac:dyDescent="0.25">
      <c r="BM1950" s="81"/>
      <c r="BN1950" s="81"/>
      <c r="BO1950" s="81"/>
      <c r="BP1950" s="81"/>
      <c r="BQ1950" s="81"/>
      <c r="BR1950" s="81"/>
      <c r="BS1950" s="81"/>
      <c r="BT1950" s="81"/>
    </row>
    <row r="1951" spans="65:72" x14ac:dyDescent="0.25">
      <c r="BM1951" s="81"/>
      <c r="BN1951" s="81"/>
      <c r="BO1951" s="81"/>
      <c r="BP1951" s="81"/>
      <c r="BQ1951" s="81"/>
      <c r="BR1951" s="81"/>
      <c r="BS1951" s="81"/>
      <c r="BT1951" s="81"/>
    </row>
    <row r="1952" spans="65:72" x14ac:dyDescent="0.25">
      <c r="BM1952" s="81"/>
      <c r="BN1952" s="81"/>
      <c r="BO1952" s="81"/>
      <c r="BP1952" s="81"/>
      <c r="BQ1952" s="81"/>
      <c r="BR1952" s="81"/>
      <c r="BS1952" s="81"/>
      <c r="BT1952" s="81"/>
    </row>
    <row r="1953" spans="65:72" x14ac:dyDescent="0.25">
      <c r="BM1953" s="81"/>
      <c r="BN1953" s="81"/>
      <c r="BO1953" s="81"/>
      <c r="BP1953" s="81"/>
      <c r="BQ1953" s="81"/>
      <c r="BR1953" s="81"/>
      <c r="BS1953" s="81"/>
      <c r="BT1953" s="81"/>
    </row>
    <row r="1954" spans="65:72" x14ac:dyDescent="0.25">
      <c r="BM1954" s="81"/>
      <c r="BN1954" s="81"/>
      <c r="BO1954" s="81"/>
      <c r="BP1954" s="81"/>
      <c r="BQ1954" s="81"/>
      <c r="BR1954" s="81"/>
      <c r="BS1954" s="81"/>
      <c r="BT1954" s="81"/>
    </row>
    <row r="1955" spans="65:72" x14ac:dyDescent="0.25">
      <c r="BM1955" s="81"/>
      <c r="BN1955" s="81"/>
      <c r="BO1955" s="81"/>
      <c r="BP1955" s="81"/>
      <c r="BQ1955" s="81"/>
      <c r="BR1955" s="81"/>
      <c r="BS1955" s="81"/>
      <c r="BT1955" s="81"/>
    </row>
    <row r="1956" spans="65:72" x14ac:dyDescent="0.25">
      <c r="BM1956" s="81"/>
      <c r="BN1956" s="81"/>
      <c r="BO1956" s="81"/>
      <c r="BP1956" s="81"/>
      <c r="BQ1956" s="81"/>
      <c r="BR1956" s="81"/>
      <c r="BS1956" s="81"/>
      <c r="BT1956" s="81"/>
    </row>
    <row r="1957" spans="65:72" x14ac:dyDescent="0.25">
      <c r="BM1957" s="81"/>
      <c r="BN1957" s="81"/>
      <c r="BO1957" s="81"/>
      <c r="BP1957" s="81"/>
      <c r="BQ1957" s="81"/>
      <c r="BR1957" s="81"/>
      <c r="BS1957" s="81"/>
      <c r="BT1957" s="81"/>
    </row>
    <row r="1958" spans="65:72" x14ac:dyDescent="0.25">
      <c r="BM1958" s="81"/>
      <c r="BN1958" s="81"/>
      <c r="BO1958" s="81"/>
      <c r="BP1958" s="81"/>
      <c r="BQ1958" s="81"/>
      <c r="BR1958" s="81"/>
      <c r="BS1958" s="81"/>
      <c r="BT1958" s="81"/>
    </row>
    <row r="1959" spans="65:72" x14ac:dyDescent="0.25">
      <c r="BM1959" s="81"/>
      <c r="BN1959" s="81"/>
      <c r="BO1959" s="81"/>
      <c r="BP1959" s="81"/>
      <c r="BQ1959" s="81"/>
      <c r="BR1959" s="81"/>
      <c r="BS1959" s="81"/>
      <c r="BT1959" s="81"/>
    </row>
    <row r="1960" spans="65:72" x14ac:dyDescent="0.25">
      <c r="BM1960" s="81"/>
      <c r="BN1960" s="81"/>
      <c r="BO1960" s="81"/>
      <c r="BP1960" s="81"/>
      <c r="BQ1960" s="81"/>
      <c r="BR1960" s="81"/>
      <c r="BS1960" s="81"/>
      <c r="BT1960" s="81"/>
    </row>
    <row r="1961" spans="65:72" x14ac:dyDescent="0.25">
      <c r="BM1961" s="81"/>
      <c r="BN1961" s="81"/>
      <c r="BO1961" s="81"/>
      <c r="BP1961" s="81"/>
      <c r="BQ1961" s="81"/>
      <c r="BR1961" s="81"/>
      <c r="BS1961" s="81"/>
      <c r="BT1961" s="81"/>
    </row>
    <row r="1962" spans="65:72" x14ac:dyDescent="0.25">
      <c r="BM1962" s="81"/>
      <c r="BN1962" s="81"/>
      <c r="BO1962" s="81"/>
      <c r="BP1962" s="81"/>
      <c r="BQ1962" s="81"/>
      <c r="BR1962" s="81"/>
      <c r="BS1962" s="81"/>
      <c r="BT1962" s="81"/>
    </row>
    <row r="1963" spans="65:72" x14ac:dyDescent="0.25">
      <c r="BM1963" s="81"/>
      <c r="BN1963" s="81"/>
      <c r="BO1963" s="81"/>
      <c r="BP1963" s="81"/>
      <c r="BQ1963" s="81"/>
      <c r="BR1963" s="81"/>
      <c r="BS1963" s="81"/>
      <c r="BT1963" s="81"/>
    </row>
    <row r="1964" spans="65:72" x14ac:dyDescent="0.25">
      <c r="BM1964" s="81"/>
      <c r="BN1964" s="81"/>
      <c r="BO1964" s="81"/>
      <c r="BP1964" s="81"/>
      <c r="BQ1964" s="81"/>
      <c r="BR1964" s="81"/>
      <c r="BS1964" s="81"/>
      <c r="BT1964" s="81"/>
    </row>
    <row r="1965" spans="65:72" x14ac:dyDescent="0.25">
      <c r="BM1965" s="81"/>
      <c r="BN1965" s="81"/>
      <c r="BO1965" s="81"/>
      <c r="BP1965" s="81"/>
      <c r="BQ1965" s="81"/>
      <c r="BR1965" s="81"/>
      <c r="BS1965" s="81"/>
      <c r="BT1965" s="81"/>
    </row>
    <row r="1966" spans="65:72" x14ac:dyDescent="0.25">
      <c r="BM1966" s="81"/>
      <c r="BN1966" s="81"/>
      <c r="BO1966" s="81"/>
      <c r="BP1966" s="81"/>
      <c r="BQ1966" s="81"/>
      <c r="BR1966" s="81"/>
      <c r="BS1966" s="81"/>
      <c r="BT1966" s="81"/>
    </row>
    <row r="1967" spans="65:72" x14ac:dyDescent="0.25">
      <c r="BM1967" s="81"/>
      <c r="BN1967" s="81"/>
      <c r="BO1967" s="81"/>
      <c r="BP1967" s="81"/>
      <c r="BQ1967" s="81"/>
      <c r="BR1967" s="81"/>
      <c r="BS1967" s="81"/>
      <c r="BT1967" s="81"/>
    </row>
    <row r="1968" spans="65:72" x14ac:dyDescent="0.25">
      <c r="BM1968" s="81"/>
      <c r="BN1968" s="81"/>
      <c r="BO1968" s="81"/>
      <c r="BP1968" s="81"/>
      <c r="BQ1968" s="81"/>
      <c r="BR1968" s="81"/>
      <c r="BS1968" s="81"/>
      <c r="BT1968" s="81"/>
    </row>
    <row r="1969" spans="65:72" x14ac:dyDescent="0.25">
      <c r="BM1969" s="81"/>
      <c r="BN1969" s="81"/>
      <c r="BO1969" s="81"/>
      <c r="BP1969" s="81"/>
      <c r="BQ1969" s="81"/>
      <c r="BR1969" s="81"/>
      <c r="BS1969" s="81"/>
      <c r="BT1969" s="81"/>
    </row>
    <row r="1970" spans="65:72" x14ac:dyDescent="0.25">
      <c r="BM1970" s="81"/>
      <c r="BN1970" s="81"/>
      <c r="BO1970" s="81"/>
      <c r="BP1970" s="81"/>
      <c r="BQ1970" s="81"/>
      <c r="BR1970" s="81"/>
      <c r="BS1970" s="81"/>
      <c r="BT1970" s="81"/>
    </row>
    <row r="1971" spans="65:72" x14ac:dyDescent="0.25">
      <c r="BM1971" s="81"/>
      <c r="BN1971" s="81"/>
      <c r="BO1971" s="81"/>
      <c r="BP1971" s="81"/>
      <c r="BQ1971" s="81"/>
      <c r="BR1971" s="81"/>
      <c r="BS1971" s="81"/>
      <c r="BT1971" s="81"/>
    </row>
    <row r="1972" spans="65:72" x14ac:dyDescent="0.25">
      <c r="BM1972" s="81"/>
      <c r="BN1972" s="81"/>
      <c r="BO1972" s="81"/>
      <c r="BP1972" s="81"/>
      <c r="BQ1972" s="81"/>
      <c r="BR1972" s="81"/>
      <c r="BS1972" s="81"/>
      <c r="BT1972" s="81"/>
    </row>
    <row r="1973" spans="65:72" x14ac:dyDescent="0.25">
      <c r="BM1973" s="81"/>
      <c r="BN1973" s="81"/>
      <c r="BO1973" s="81"/>
      <c r="BP1973" s="81"/>
      <c r="BQ1973" s="81"/>
      <c r="BR1973" s="81"/>
      <c r="BS1973" s="81"/>
      <c r="BT1973" s="81"/>
    </row>
    <row r="1974" spans="65:72" x14ac:dyDescent="0.25">
      <c r="BM1974" s="81"/>
      <c r="BN1974" s="81"/>
      <c r="BO1974" s="81"/>
      <c r="BP1974" s="81"/>
      <c r="BQ1974" s="81"/>
      <c r="BR1974" s="81"/>
      <c r="BS1974" s="81"/>
      <c r="BT1974" s="81"/>
    </row>
    <row r="1975" spans="65:72" x14ac:dyDescent="0.25">
      <c r="BM1975" s="81"/>
      <c r="BN1975" s="81"/>
      <c r="BO1975" s="81"/>
      <c r="BP1975" s="81"/>
      <c r="BQ1975" s="81"/>
      <c r="BR1975" s="81"/>
      <c r="BS1975" s="81"/>
      <c r="BT1975" s="81"/>
    </row>
    <row r="1976" spans="65:72" x14ac:dyDescent="0.25">
      <c r="BM1976" s="81"/>
      <c r="BN1976" s="81"/>
      <c r="BO1976" s="81"/>
      <c r="BP1976" s="81"/>
      <c r="BQ1976" s="81"/>
      <c r="BR1976" s="81"/>
      <c r="BS1976" s="81"/>
      <c r="BT1976" s="81"/>
    </row>
    <row r="1977" spans="65:72" x14ac:dyDescent="0.25">
      <c r="BM1977" s="81"/>
      <c r="BN1977" s="81"/>
      <c r="BO1977" s="81"/>
      <c r="BP1977" s="81"/>
      <c r="BQ1977" s="81"/>
      <c r="BR1977" s="81"/>
      <c r="BS1977" s="81"/>
      <c r="BT1977" s="81"/>
    </row>
    <row r="1978" spans="65:72" x14ac:dyDescent="0.25">
      <c r="BM1978" s="81"/>
      <c r="BN1978" s="81"/>
      <c r="BO1978" s="81"/>
      <c r="BP1978" s="81"/>
      <c r="BQ1978" s="81"/>
      <c r="BR1978" s="81"/>
      <c r="BS1978" s="81"/>
      <c r="BT1978" s="81"/>
    </row>
    <row r="1979" spans="65:72" x14ac:dyDescent="0.25">
      <c r="BM1979" s="81"/>
      <c r="BN1979" s="81"/>
      <c r="BO1979" s="81"/>
      <c r="BP1979" s="81"/>
      <c r="BQ1979" s="81"/>
      <c r="BR1979" s="81"/>
      <c r="BS1979" s="81"/>
      <c r="BT1979" s="81"/>
    </row>
    <row r="1980" spans="65:72" x14ac:dyDescent="0.25">
      <c r="BM1980" s="81"/>
      <c r="BN1980" s="81"/>
      <c r="BO1980" s="81"/>
      <c r="BP1980" s="81"/>
      <c r="BQ1980" s="81"/>
      <c r="BR1980" s="81"/>
      <c r="BS1980" s="81"/>
      <c r="BT1980" s="81"/>
    </row>
    <row r="1981" spans="65:72" x14ac:dyDescent="0.25">
      <c r="BM1981" s="81"/>
      <c r="BN1981" s="81"/>
      <c r="BO1981" s="81"/>
      <c r="BP1981" s="81"/>
      <c r="BQ1981" s="81"/>
      <c r="BR1981" s="81"/>
      <c r="BS1981" s="81"/>
      <c r="BT1981" s="81"/>
    </row>
    <row r="1982" spans="65:72" x14ac:dyDescent="0.25">
      <c r="BM1982" s="81"/>
      <c r="BN1982" s="81"/>
      <c r="BO1982" s="81"/>
      <c r="BP1982" s="81"/>
      <c r="BQ1982" s="81"/>
      <c r="BR1982" s="81"/>
      <c r="BS1982" s="81"/>
      <c r="BT1982" s="81"/>
    </row>
    <row r="1983" spans="65:72" x14ac:dyDescent="0.25">
      <c r="BM1983" s="81"/>
      <c r="BN1983" s="81"/>
      <c r="BO1983" s="81"/>
      <c r="BP1983" s="81"/>
      <c r="BQ1983" s="81"/>
      <c r="BR1983" s="81"/>
      <c r="BS1983" s="81"/>
      <c r="BT1983" s="81"/>
    </row>
    <row r="1984" spans="65:72" x14ac:dyDescent="0.25">
      <c r="BM1984" s="81"/>
      <c r="BN1984" s="81"/>
      <c r="BO1984" s="81"/>
      <c r="BP1984" s="81"/>
      <c r="BQ1984" s="81"/>
      <c r="BR1984" s="81"/>
      <c r="BS1984" s="81"/>
      <c r="BT1984" s="81"/>
    </row>
    <row r="1985" spans="65:72" x14ac:dyDescent="0.25">
      <c r="BM1985" s="81"/>
      <c r="BN1985" s="81"/>
      <c r="BO1985" s="81"/>
      <c r="BP1985" s="81"/>
      <c r="BQ1985" s="81"/>
      <c r="BR1985" s="81"/>
      <c r="BS1985" s="81"/>
      <c r="BT1985" s="81"/>
    </row>
    <row r="1986" spans="65:72" x14ac:dyDescent="0.25">
      <c r="BM1986" s="81"/>
      <c r="BN1986" s="81"/>
      <c r="BO1986" s="81"/>
      <c r="BP1986" s="81"/>
      <c r="BQ1986" s="81"/>
      <c r="BR1986" s="81"/>
      <c r="BS1986" s="81"/>
      <c r="BT1986" s="81"/>
    </row>
    <row r="1987" spans="65:72" x14ac:dyDescent="0.25">
      <c r="BM1987" s="81"/>
      <c r="BN1987" s="81"/>
      <c r="BO1987" s="81"/>
      <c r="BP1987" s="81"/>
      <c r="BQ1987" s="81"/>
      <c r="BR1987" s="81"/>
      <c r="BS1987" s="81"/>
      <c r="BT1987" s="81"/>
    </row>
    <row r="1988" spans="65:72" x14ac:dyDescent="0.25">
      <c r="BM1988" s="81"/>
      <c r="BN1988" s="81"/>
      <c r="BO1988" s="81"/>
      <c r="BP1988" s="81"/>
      <c r="BQ1988" s="81"/>
      <c r="BR1988" s="81"/>
      <c r="BS1988" s="81"/>
      <c r="BT1988" s="81"/>
    </row>
    <row r="1989" spans="65:72" x14ac:dyDescent="0.25">
      <c r="BM1989" s="81"/>
      <c r="BN1989" s="81"/>
      <c r="BO1989" s="81"/>
      <c r="BP1989" s="81"/>
      <c r="BQ1989" s="81"/>
      <c r="BR1989" s="81"/>
      <c r="BS1989" s="81"/>
      <c r="BT1989" s="81"/>
    </row>
    <row r="1990" spans="65:72" x14ac:dyDescent="0.25">
      <c r="BM1990" s="81"/>
      <c r="BN1990" s="81"/>
      <c r="BO1990" s="81"/>
      <c r="BP1990" s="81"/>
      <c r="BQ1990" s="81"/>
      <c r="BR1990" s="81"/>
      <c r="BS1990" s="81"/>
      <c r="BT1990" s="81"/>
    </row>
    <row r="1991" spans="65:72" x14ac:dyDescent="0.25">
      <c r="BM1991" s="81"/>
      <c r="BN1991" s="81"/>
      <c r="BO1991" s="81"/>
      <c r="BP1991" s="81"/>
      <c r="BQ1991" s="81"/>
      <c r="BR1991" s="81"/>
      <c r="BS1991" s="81"/>
      <c r="BT1991" s="81"/>
    </row>
    <row r="1992" spans="65:72" x14ac:dyDescent="0.25">
      <c r="BM1992" s="81"/>
      <c r="BN1992" s="81"/>
      <c r="BO1992" s="81"/>
      <c r="BP1992" s="81"/>
      <c r="BQ1992" s="81"/>
      <c r="BR1992" s="81"/>
      <c r="BS1992" s="81"/>
      <c r="BT1992" s="81"/>
    </row>
    <row r="1993" spans="65:72" x14ac:dyDescent="0.25">
      <c r="BM1993" s="81"/>
      <c r="BN1993" s="81"/>
      <c r="BO1993" s="81"/>
      <c r="BP1993" s="81"/>
      <c r="BQ1993" s="81"/>
      <c r="BR1993" s="81"/>
      <c r="BS1993" s="81"/>
      <c r="BT1993" s="81"/>
    </row>
    <row r="1994" spans="65:72" x14ac:dyDescent="0.25">
      <c r="BM1994" s="81"/>
      <c r="BN1994" s="81"/>
      <c r="BO1994" s="81"/>
      <c r="BP1994" s="81"/>
      <c r="BQ1994" s="81"/>
      <c r="BR1994" s="81"/>
      <c r="BS1994" s="81"/>
      <c r="BT1994" s="81"/>
    </row>
    <row r="1995" spans="65:72" x14ac:dyDescent="0.25">
      <c r="BM1995" s="81"/>
      <c r="BN1995" s="81"/>
      <c r="BO1995" s="81"/>
      <c r="BP1995" s="81"/>
      <c r="BQ1995" s="81"/>
      <c r="BR1995" s="81"/>
      <c r="BS1995" s="81"/>
      <c r="BT1995" s="81"/>
    </row>
    <row r="1996" spans="65:72" x14ac:dyDescent="0.25">
      <c r="BM1996" s="81"/>
      <c r="BN1996" s="81"/>
      <c r="BO1996" s="81"/>
      <c r="BP1996" s="81"/>
      <c r="BQ1996" s="81"/>
      <c r="BR1996" s="81"/>
      <c r="BS1996" s="81"/>
      <c r="BT1996" s="81"/>
    </row>
    <row r="1997" spans="65:72" x14ac:dyDescent="0.25">
      <c r="BM1997" s="81"/>
      <c r="BN1997" s="81"/>
      <c r="BO1997" s="81"/>
      <c r="BP1997" s="81"/>
      <c r="BQ1997" s="81"/>
      <c r="BR1997" s="81"/>
      <c r="BS1997" s="81"/>
      <c r="BT1997" s="81"/>
    </row>
    <row r="1998" spans="65:72" x14ac:dyDescent="0.25">
      <c r="BM1998" s="81"/>
      <c r="BN1998" s="81"/>
      <c r="BO1998" s="81"/>
      <c r="BP1998" s="81"/>
      <c r="BQ1998" s="81"/>
      <c r="BR1998" s="81"/>
      <c r="BS1998" s="81"/>
      <c r="BT1998" s="81"/>
    </row>
    <row r="1999" spans="65:72" x14ac:dyDescent="0.25">
      <c r="BM1999" s="81"/>
      <c r="BN1999" s="81"/>
      <c r="BO1999" s="81"/>
      <c r="BP1999" s="81"/>
      <c r="BQ1999" s="81"/>
      <c r="BR1999" s="81"/>
      <c r="BS1999" s="81"/>
      <c r="BT1999" s="81"/>
    </row>
    <row r="2000" spans="65:72" x14ac:dyDescent="0.25">
      <c r="BM2000" s="81"/>
      <c r="BN2000" s="81"/>
      <c r="BO2000" s="81"/>
      <c r="BP2000" s="81"/>
      <c r="BQ2000" s="81"/>
      <c r="BR2000" s="81"/>
      <c r="BS2000" s="81"/>
      <c r="BT2000" s="81"/>
    </row>
    <row r="2001" spans="65:72" x14ac:dyDescent="0.25">
      <c r="BM2001" s="81"/>
      <c r="BN2001" s="81"/>
      <c r="BO2001" s="81"/>
      <c r="BP2001" s="81"/>
      <c r="BQ2001" s="81"/>
      <c r="BR2001" s="81"/>
      <c r="BS2001" s="81"/>
      <c r="BT2001" s="81"/>
    </row>
    <row r="2002" spans="65:72" x14ac:dyDescent="0.25">
      <c r="BM2002" s="81"/>
      <c r="BN2002" s="81"/>
      <c r="BO2002" s="81"/>
      <c r="BP2002" s="81"/>
      <c r="BQ2002" s="81"/>
      <c r="BR2002" s="81"/>
      <c r="BS2002" s="81"/>
      <c r="BT2002" s="81"/>
    </row>
    <row r="2003" spans="65:72" x14ac:dyDescent="0.25">
      <c r="BM2003" s="81"/>
      <c r="BN2003" s="81"/>
      <c r="BO2003" s="81"/>
      <c r="BP2003" s="81"/>
      <c r="BQ2003" s="81"/>
      <c r="BR2003" s="81"/>
      <c r="BS2003" s="81"/>
      <c r="BT2003" s="81"/>
    </row>
    <row r="2004" spans="65:72" x14ac:dyDescent="0.25">
      <c r="BM2004" s="81"/>
      <c r="BN2004" s="81"/>
      <c r="BO2004" s="81"/>
      <c r="BP2004" s="81"/>
      <c r="BQ2004" s="81"/>
      <c r="BR2004" s="81"/>
      <c r="BS2004" s="81"/>
      <c r="BT2004" s="81"/>
    </row>
    <row r="2005" spans="65:72" x14ac:dyDescent="0.25">
      <c r="BM2005" s="81"/>
      <c r="BN2005" s="81"/>
      <c r="BO2005" s="81"/>
      <c r="BP2005" s="81"/>
      <c r="BQ2005" s="81"/>
      <c r="BR2005" s="81"/>
      <c r="BS2005" s="81"/>
      <c r="BT2005" s="81"/>
    </row>
    <row r="2006" spans="65:72" x14ac:dyDescent="0.25">
      <c r="BM2006" s="81"/>
      <c r="BN2006" s="81"/>
      <c r="BO2006" s="81"/>
      <c r="BP2006" s="81"/>
      <c r="BQ2006" s="81"/>
      <c r="BR2006" s="81"/>
      <c r="BS2006" s="81"/>
      <c r="BT2006" s="81"/>
    </row>
    <row r="2007" spans="65:72" x14ac:dyDescent="0.25">
      <c r="BM2007" s="81"/>
      <c r="BN2007" s="81"/>
      <c r="BO2007" s="81"/>
      <c r="BP2007" s="81"/>
      <c r="BQ2007" s="81"/>
      <c r="BR2007" s="81"/>
      <c r="BS2007" s="81"/>
      <c r="BT2007" s="81"/>
    </row>
    <row r="2008" spans="65:72" x14ac:dyDescent="0.25">
      <c r="BM2008" s="81"/>
      <c r="BN2008" s="81"/>
      <c r="BO2008" s="81"/>
      <c r="BP2008" s="81"/>
      <c r="BQ2008" s="81"/>
      <c r="BR2008" s="81"/>
      <c r="BS2008" s="81"/>
      <c r="BT2008" s="81"/>
    </row>
    <row r="2009" spans="65:72" x14ac:dyDescent="0.25">
      <c r="BM2009" s="81"/>
      <c r="BN2009" s="81"/>
      <c r="BO2009" s="81"/>
      <c r="BP2009" s="81"/>
      <c r="BQ2009" s="81"/>
      <c r="BR2009" s="81"/>
      <c r="BS2009" s="81"/>
      <c r="BT2009" s="81"/>
    </row>
    <row r="2010" spans="65:72" x14ac:dyDescent="0.25">
      <c r="BM2010" s="81"/>
      <c r="BN2010" s="81"/>
      <c r="BO2010" s="81"/>
      <c r="BP2010" s="81"/>
      <c r="BQ2010" s="81"/>
      <c r="BR2010" s="81"/>
      <c r="BS2010" s="81"/>
      <c r="BT2010" s="81"/>
    </row>
    <row r="2011" spans="65:72" x14ac:dyDescent="0.25">
      <c r="BM2011" s="81"/>
      <c r="BN2011" s="81"/>
      <c r="BO2011" s="81"/>
      <c r="BP2011" s="81"/>
      <c r="BQ2011" s="81"/>
      <c r="BR2011" s="81"/>
      <c r="BS2011" s="81"/>
      <c r="BT2011" s="81"/>
    </row>
    <row r="2012" spans="65:72" x14ac:dyDescent="0.25">
      <c r="BM2012" s="81"/>
      <c r="BN2012" s="81"/>
      <c r="BO2012" s="81"/>
      <c r="BP2012" s="81"/>
      <c r="BQ2012" s="81"/>
      <c r="BR2012" s="81"/>
      <c r="BS2012" s="81"/>
      <c r="BT2012" s="81"/>
    </row>
    <row r="2013" spans="65:72" x14ac:dyDescent="0.25">
      <c r="BM2013" s="81"/>
      <c r="BN2013" s="81"/>
      <c r="BO2013" s="81"/>
      <c r="BP2013" s="81"/>
      <c r="BQ2013" s="81"/>
      <c r="BR2013" s="81"/>
      <c r="BS2013" s="81"/>
      <c r="BT2013" s="81"/>
    </row>
    <row r="2014" spans="65:72" x14ac:dyDescent="0.25">
      <c r="BM2014" s="81"/>
      <c r="BN2014" s="81"/>
      <c r="BO2014" s="81"/>
      <c r="BP2014" s="81"/>
      <c r="BQ2014" s="81"/>
      <c r="BR2014" s="81"/>
      <c r="BS2014" s="81"/>
      <c r="BT2014" s="81"/>
    </row>
    <row r="2015" spans="65:72" x14ac:dyDescent="0.25">
      <c r="BM2015" s="81"/>
      <c r="BN2015" s="81"/>
      <c r="BO2015" s="81"/>
      <c r="BP2015" s="81"/>
      <c r="BQ2015" s="81"/>
      <c r="BR2015" s="81"/>
      <c r="BS2015" s="81"/>
      <c r="BT2015" s="81"/>
    </row>
    <row r="2016" spans="65:72" x14ac:dyDescent="0.25">
      <c r="BM2016" s="81"/>
      <c r="BN2016" s="81"/>
      <c r="BO2016" s="81"/>
      <c r="BP2016" s="81"/>
      <c r="BQ2016" s="81"/>
      <c r="BR2016" s="81"/>
      <c r="BS2016" s="81"/>
      <c r="BT2016" s="81"/>
    </row>
    <row r="2017" spans="65:72" x14ac:dyDescent="0.25">
      <c r="BM2017" s="81"/>
      <c r="BN2017" s="81"/>
      <c r="BO2017" s="81"/>
      <c r="BP2017" s="81"/>
      <c r="BQ2017" s="81"/>
      <c r="BR2017" s="81"/>
      <c r="BS2017" s="81"/>
      <c r="BT2017" s="81"/>
    </row>
    <row r="2018" spans="65:72" x14ac:dyDescent="0.25">
      <c r="BM2018" s="81"/>
      <c r="BN2018" s="81"/>
      <c r="BO2018" s="81"/>
      <c r="BP2018" s="81"/>
      <c r="BQ2018" s="81"/>
      <c r="BR2018" s="81"/>
      <c r="BS2018" s="81"/>
      <c r="BT2018" s="81"/>
    </row>
    <row r="2019" spans="65:72" x14ac:dyDescent="0.25">
      <c r="BM2019" s="81"/>
      <c r="BN2019" s="81"/>
      <c r="BO2019" s="81"/>
      <c r="BP2019" s="81"/>
      <c r="BQ2019" s="81"/>
      <c r="BR2019" s="81"/>
      <c r="BS2019" s="81"/>
      <c r="BT2019" s="81"/>
    </row>
    <row r="2020" spans="65:72" x14ac:dyDescent="0.25">
      <c r="BM2020" s="81"/>
      <c r="BN2020" s="81"/>
      <c r="BO2020" s="81"/>
      <c r="BP2020" s="81"/>
      <c r="BQ2020" s="81"/>
      <c r="BR2020" s="81"/>
      <c r="BS2020" s="81"/>
      <c r="BT2020" s="81"/>
    </row>
    <row r="2021" spans="65:72" x14ac:dyDescent="0.25">
      <c r="BM2021" s="81"/>
      <c r="BN2021" s="81"/>
      <c r="BO2021" s="81"/>
      <c r="BP2021" s="81"/>
      <c r="BQ2021" s="81"/>
      <c r="BR2021" s="81"/>
      <c r="BS2021" s="81"/>
      <c r="BT2021" s="81"/>
    </row>
    <row r="2022" spans="65:72" x14ac:dyDescent="0.25">
      <c r="BM2022" s="81"/>
      <c r="BN2022" s="81"/>
      <c r="BO2022" s="81"/>
      <c r="BP2022" s="81"/>
      <c r="BQ2022" s="81"/>
      <c r="BR2022" s="81"/>
      <c r="BS2022" s="81"/>
      <c r="BT2022" s="81"/>
    </row>
    <row r="2023" spans="65:72" x14ac:dyDescent="0.25">
      <c r="BM2023" s="81"/>
      <c r="BN2023" s="81"/>
      <c r="BO2023" s="81"/>
      <c r="BP2023" s="81"/>
      <c r="BQ2023" s="81"/>
      <c r="BR2023" s="81"/>
      <c r="BS2023" s="81"/>
      <c r="BT2023" s="81"/>
    </row>
    <row r="2024" spans="65:72" x14ac:dyDescent="0.25">
      <c r="BM2024" s="81"/>
      <c r="BN2024" s="81"/>
      <c r="BO2024" s="81"/>
      <c r="BP2024" s="81"/>
      <c r="BQ2024" s="81"/>
      <c r="BR2024" s="81"/>
      <c r="BS2024" s="81"/>
      <c r="BT2024" s="81"/>
    </row>
    <row r="2025" spans="65:72" x14ac:dyDescent="0.25">
      <c r="BM2025" s="81"/>
      <c r="BN2025" s="81"/>
      <c r="BO2025" s="81"/>
      <c r="BP2025" s="81"/>
      <c r="BQ2025" s="81"/>
      <c r="BR2025" s="81"/>
      <c r="BS2025" s="81"/>
      <c r="BT2025" s="81"/>
    </row>
    <row r="2026" spans="65:72" x14ac:dyDescent="0.25">
      <c r="BM2026" s="81"/>
      <c r="BN2026" s="81"/>
      <c r="BO2026" s="81"/>
      <c r="BP2026" s="81"/>
      <c r="BQ2026" s="81"/>
      <c r="BR2026" s="81"/>
      <c r="BS2026" s="81"/>
      <c r="BT2026" s="81"/>
    </row>
    <row r="2027" spans="65:72" x14ac:dyDescent="0.25">
      <c r="BM2027" s="81"/>
      <c r="BN2027" s="81"/>
      <c r="BO2027" s="81"/>
      <c r="BP2027" s="81"/>
      <c r="BQ2027" s="81"/>
      <c r="BR2027" s="81"/>
      <c r="BS2027" s="81"/>
      <c r="BT2027" s="81"/>
    </row>
    <row r="2028" spans="65:72" x14ac:dyDescent="0.25">
      <c r="BM2028" s="81"/>
      <c r="BN2028" s="81"/>
      <c r="BO2028" s="81"/>
      <c r="BP2028" s="81"/>
      <c r="BQ2028" s="81"/>
      <c r="BR2028" s="81"/>
      <c r="BS2028" s="81"/>
      <c r="BT2028" s="81"/>
    </row>
    <row r="2029" spans="65:72" x14ac:dyDescent="0.25">
      <c r="BM2029" s="81"/>
      <c r="BN2029" s="81"/>
      <c r="BO2029" s="81"/>
      <c r="BP2029" s="81"/>
      <c r="BQ2029" s="81"/>
      <c r="BR2029" s="81"/>
      <c r="BS2029" s="81"/>
      <c r="BT2029" s="81"/>
    </row>
    <row r="2030" spans="65:72" x14ac:dyDescent="0.25">
      <c r="BM2030" s="81"/>
      <c r="BN2030" s="81"/>
      <c r="BO2030" s="81"/>
      <c r="BP2030" s="81"/>
      <c r="BQ2030" s="81"/>
      <c r="BR2030" s="81"/>
      <c r="BS2030" s="81"/>
      <c r="BT2030" s="81"/>
    </row>
    <row r="2031" spans="65:72" x14ac:dyDescent="0.25">
      <c r="BM2031" s="81"/>
      <c r="BN2031" s="81"/>
      <c r="BO2031" s="81"/>
      <c r="BP2031" s="81"/>
      <c r="BQ2031" s="81"/>
      <c r="BR2031" s="81"/>
      <c r="BS2031" s="81"/>
      <c r="BT2031" s="81"/>
    </row>
    <row r="2032" spans="65:72" x14ac:dyDescent="0.25">
      <c r="BM2032" s="81"/>
      <c r="BN2032" s="81"/>
      <c r="BO2032" s="81"/>
      <c r="BP2032" s="81"/>
      <c r="BQ2032" s="81"/>
      <c r="BR2032" s="81"/>
      <c r="BS2032" s="81"/>
      <c r="BT2032" s="81"/>
    </row>
    <row r="2033" spans="65:72" x14ac:dyDescent="0.25">
      <c r="BM2033" s="81"/>
      <c r="BN2033" s="81"/>
      <c r="BO2033" s="81"/>
      <c r="BP2033" s="81"/>
      <c r="BQ2033" s="81"/>
      <c r="BR2033" s="81"/>
      <c r="BS2033" s="81"/>
      <c r="BT2033" s="81"/>
    </row>
    <row r="2034" spans="65:72" x14ac:dyDescent="0.25">
      <c r="BM2034" s="81"/>
      <c r="BN2034" s="81"/>
      <c r="BO2034" s="81"/>
      <c r="BP2034" s="81"/>
      <c r="BQ2034" s="81"/>
      <c r="BR2034" s="81"/>
      <c r="BS2034" s="81"/>
      <c r="BT2034" s="81"/>
    </row>
    <row r="2035" spans="65:72" x14ac:dyDescent="0.25">
      <c r="BM2035" s="81"/>
      <c r="BN2035" s="81"/>
      <c r="BO2035" s="81"/>
      <c r="BP2035" s="81"/>
      <c r="BQ2035" s="81"/>
      <c r="BR2035" s="81"/>
      <c r="BS2035" s="81"/>
      <c r="BT2035" s="81"/>
    </row>
    <row r="2036" spans="65:72" x14ac:dyDescent="0.25">
      <c r="BM2036" s="81"/>
      <c r="BN2036" s="81"/>
      <c r="BO2036" s="81"/>
      <c r="BP2036" s="81"/>
      <c r="BQ2036" s="81"/>
      <c r="BR2036" s="81"/>
      <c r="BS2036" s="81"/>
      <c r="BT2036" s="81"/>
    </row>
    <row r="2037" spans="65:72" x14ac:dyDescent="0.25">
      <c r="BM2037" s="81"/>
      <c r="BN2037" s="81"/>
      <c r="BO2037" s="81"/>
      <c r="BP2037" s="81"/>
      <c r="BQ2037" s="81"/>
      <c r="BR2037" s="81"/>
      <c r="BS2037" s="81"/>
      <c r="BT2037" s="81"/>
    </row>
    <row r="2038" spans="65:72" x14ac:dyDescent="0.25">
      <c r="BM2038" s="81"/>
      <c r="BN2038" s="81"/>
      <c r="BO2038" s="81"/>
      <c r="BP2038" s="81"/>
      <c r="BQ2038" s="81"/>
      <c r="BR2038" s="81"/>
      <c r="BS2038" s="81"/>
      <c r="BT2038" s="81"/>
    </row>
    <row r="2039" spans="65:72" x14ac:dyDescent="0.25">
      <c r="BM2039" s="81"/>
      <c r="BN2039" s="81"/>
      <c r="BO2039" s="81"/>
      <c r="BP2039" s="81"/>
      <c r="BQ2039" s="81"/>
      <c r="BR2039" s="81"/>
      <c r="BS2039" s="81"/>
      <c r="BT2039" s="81"/>
    </row>
    <row r="2040" spans="65:72" x14ac:dyDescent="0.25">
      <c r="BM2040" s="81"/>
      <c r="BN2040" s="81"/>
      <c r="BO2040" s="81"/>
      <c r="BP2040" s="81"/>
      <c r="BQ2040" s="81"/>
      <c r="BR2040" s="81"/>
      <c r="BS2040" s="81"/>
      <c r="BT2040" s="81"/>
    </row>
    <row r="2041" spans="65:72" x14ac:dyDescent="0.25">
      <c r="BM2041" s="81"/>
      <c r="BN2041" s="81"/>
      <c r="BO2041" s="81"/>
      <c r="BP2041" s="81"/>
      <c r="BQ2041" s="81"/>
      <c r="BR2041" s="81"/>
      <c r="BS2041" s="81"/>
      <c r="BT2041" s="81"/>
    </row>
    <row r="2042" spans="65:72" x14ac:dyDescent="0.25">
      <c r="BM2042" s="81"/>
      <c r="BN2042" s="81"/>
      <c r="BO2042" s="81"/>
      <c r="BP2042" s="81"/>
      <c r="BQ2042" s="81"/>
      <c r="BR2042" s="81"/>
      <c r="BS2042" s="81"/>
      <c r="BT2042" s="81"/>
    </row>
    <row r="2043" spans="65:72" x14ac:dyDescent="0.25">
      <c r="BM2043" s="81"/>
      <c r="BN2043" s="81"/>
      <c r="BO2043" s="81"/>
      <c r="BP2043" s="81"/>
      <c r="BQ2043" s="81"/>
      <c r="BR2043" s="81"/>
      <c r="BS2043" s="81"/>
      <c r="BT2043" s="81"/>
    </row>
    <row r="2044" spans="65:72" x14ac:dyDescent="0.25">
      <c r="BM2044" s="81"/>
      <c r="BN2044" s="81"/>
      <c r="BO2044" s="81"/>
      <c r="BP2044" s="81"/>
      <c r="BQ2044" s="81"/>
      <c r="BR2044" s="81"/>
      <c r="BS2044" s="81"/>
      <c r="BT2044" s="81"/>
    </row>
    <row r="2045" spans="65:72" x14ac:dyDescent="0.25">
      <c r="BM2045" s="81"/>
      <c r="BN2045" s="81"/>
      <c r="BO2045" s="81"/>
      <c r="BP2045" s="81"/>
      <c r="BQ2045" s="81"/>
      <c r="BR2045" s="81"/>
      <c r="BS2045" s="81"/>
      <c r="BT2045" s="81"/>
    </row>
    <row r="2046" spans="65:72" x14ac:dyDescent="0.25">
      <c r="BM2046" s="81"/>
      <c r="BN2046" s="81"/>
      <c r="BO2046" s="81"/>
      <c r="BP2046" s="81"/>
      <c r="BQ2046" s="81"/>
      <c r="BR2046" s="81"/>
      <c r="BS2046" s="81"/>
      <c r="BT2046" s="81"/>
    </row>
    <row r="2047" spans="65:72" x14ac:dyDescent="0.25">
      <c r="BM2047" s="81"/>
      <c r="BN2047" s="81"/>
      <c r="BO2047" s="81"/>
      <c r="BP2047" s="81"/>
      <c r="BQ2047" s="81"/>
      <c r="BR2047" s="81"/>
      <c r="BS2047" s="81"/>
      <c r="BT2047" s="81"/>
    </row>
    <row r="2048" spans="65:72" x14ac:dyDescent="0.25">
      <c r="BM2048" s="81"/>
      <c r="BN2048" s="81"/>
      <c r="BO2048" s="81"/>
      <c r="BP2048" s="81"/>
      <c r="BQ2048" s="81"/>
      <c r="BR2048" s="81"/>
      <c r="BS2048" s="81"/>
      <c r="BT2048" s="81"/>
    </row>
    <row r="2049" spans="65:72" x14ac:dyDescent="0.25">
      <c r="BM2049" s="81"/>
      <c r="BN2049" s="81"/>
      <c r="BO2049" s="81"/>
      <c r="BP2049" s="81"/>
      <c r="BQ2049" s="81"/>
      <c r="BR2049" s="81"/>
      <c r="BS2049" s="81"/>
      <c r="BT2049" s="81"/>
    </row>
    <row r="2050" spans="65:72" x14ac:dyDescent="0.25">
      <c r="BM2050" s="81"/>
      <c r="BN2050" s="81"/>
      <c r="BO2050" s="81"/>
      <c r="BP2050" s="81"/>
      <c r="BQ2050" s="81"/>
      <c r="BR2050" s="81"/>
      <c r="BS2050" s="81"/>
      <c r="BT2050" s="81"/>
    </row>
    <row r="2051" spans="65:72" x14ac:dyDescent="0.25">
      <c r="BM2051" s="81"/>
      <c r="BN2051" s="81"/>
      <c r="BO2051" s="81"/>
      <c r="BP2051" s="81"/>
      <c r="BQ2051" s="81"/>
      <c r="BR2051" s="81"/>
      <c r="BS2051" s="81"/>
      <c r="BT2051" s="81"/>
    </row>
    <row r="2052" spans="65:72" x14ac:dyDescent="0.25">
      <c r="BM2052" s="81"/>
      <c r="BN2052" s="81"/>
      <c r="BO2052" s="81"/>
      <c r="BP2052" s="81"/>
      <c r="BQ2052" s="81"/>
      <c r="BR2052" s="81"/>
      <c r="BS2052" s="81"/>
      <c r="BT2052" s="81"/>
    </row>
    <row r="2053" spans="65:72" x14ac:dyDescent="0.25">
      <c r="BM2053" s="81"/>
      <c r="BN2053" s="81"/>
      <c r="BO2053" s="81"/>
      <c r="BP2053" s="81"/>
      <c r="BQ2053" s="81"/>
      <c r="BR2053" s="81"/>
      <c r="BS2053" s="81"/>
      <c r="BT2053" s="81"/>
    </row>
    <row r="2054" spans="65:72" x14ac:dyDescent="0.25">
      <c r="BM2054" s="81"/>
      <c r="BN2054" s="81"/>
      <c r="BO2054" s="81"/>
      <c r="BP2054" s="81"/>
      <c r="BQ2054" s="81"/>
      <c r="BR2054" s="81"/>
      <c r="BS2054" s="81"/>
      <c r="BT2054" s="81"/>
    </row>
    <row r="2055" spans="65:72" x14ac:dyDescent="0.25">
      <c r="BM2055" s="81"/>
      <c r="BN2055" s="81"/>
      <c r="BO2055" s="81"/>
      <c r="BP2055" s="81"/>
      <c r="BQ2055" s="81"/>
      <c r="BR2055" s="81"/>
      <c r="BS2055" s="81"/>
      <c r="BT2055" s="81"/>
    </row>
    <row r="2056" spans="65:72" x14ac:dyDescent="0.25">
      <c r="BM2056" s="81"/>
      <c r="BN2056" s="81"/>
      <c r="BO2056" s="81"/>
      <c r="BP2056" s="81"/>
      <c r="BQ2056" s="81"/>
      <c r="BR2056" s="81"/>
      <c r="BS2056" s="81"/>
      <c r="BT2056" s="81"/>
    </row>
    <row r="2057" spans="65:72" x14ac:dyDescent="0.25">
      <c r="BM2057" s="81"/>
      <c r="BN2057" s="81"/>
      <c r="BO2057" s="81"/>
      <c r="BP2057" s="81"/>
      <c r="BQ2057" s="81"/>
      <c r="BR2057" s="81"/>
      <c r="BS2057" s="81"/>
      <c r="BT2057" s="81"/>
    </row>
    <row r="2058" spans="65:72" x14ac:dyDescent="0.25">
      <c r="BM2058" s="81"/>
      <c r="BN2058" s="81"/>
      <c r="BO2058" s="81"/>
      <c r="BP2058" s="81"/>
      <c r="BQ2058" s="81"/>
      <c r="BR2058" s="81"/>
      <c r="BS2058" s="81"/>
      <c r="BT2058" s="81"/>
    </row>
    <row r="2059" spans="65:72" x14ac:dyDescent="0.25">
      <c r="BM2059" s="81"/>
      <c r="BN2059" s="81"/>
      <c r="BO2059" s="81"/>
      <c r="BP2059" s="81"/>
      <c r="BQ2059" s="81"/>
      <c r="BR2059" s="81"/>
      <c r="BS2059" s="81"/>
      <c r="BT2059" s="81"/>
    </row>
    <row r="2060" spans="65:72" x14ac:dyDescent="0.25">
      <c r="BM2060" s="81"/>
      <c r="BN2060" s="81"/>
      <c r="BO2060" s="81"/>
      <c r="BP2060" s="81"/>
      <c r="BQ2060" s="81"/>
      <c r="BR2060" s="81"/>
      <c r="BS2060" s="81"/>
      <c r="BT2060" s="81"/>
    </row>
    <row r="2061" spans="65:72" x14ac:dyDescent="0.25">
      <c r="BM2061" s="81"/>
      <c r="BN2061" s="81"/>
      <c r="BO2061" s="81"/>
      <c r="BP2061" s="81"/>
      <c r="BQ2061" s="81"/>
      <c r="BR2061" s="81"/>
      <c r="BS2061" s="81"/>
      <c r="BT2061" s="81"/>
    </row>
    <row r="2062" spans="65:72" x14ac:dyDescent="0.25">
      <c r="BM2062" s="81"/>
      <c r="BN2062" s="81"/>
      <c r="BO2062" s="81"/>
      <c r="BP2062" s="81"/>
      <c r="BQ2062" s="81"/>
      <c r="BR2062" s="81"/>
      <c r="BS2062" s="81"/>
      <c r="BT2062" s="81"/>
    </row>
    <row r="2063" spans="65:72" x14ac:dyDescent="0.25">
      <c r="BM2063" s="81"/>
      <c r="BN2063" s="81"/>
      <c r="BO2063" s="81"/>
      <c r="BP2063" s="81"/>
      <c r="BQ2063" s="81"/>
      <c r="BR2063" s="81"/>
      <c r="BS2063" s="81"/>
      <c r="BT2063" s="81"/>
    </row>
    <row r="2064" spans="65:72" x14ac:dyDescent="0.25">
      <c r="BM2064" s="81"/>
      <c r="BN2064" s="81"/>
      <c r="BO2064" s="81"/>
      <c r="BP2064" s="81"/>
      <c r="BQ2064" s="81"/>
      <c r="BR2064" s="81"/>
      <c r="BS2064" s="81"/>
      <c r="BT2064" s="81"/>
    </row>
    <row r="2065" spans="65:72" x14ac:dyDescent="0.25">
      <c r="BM2065" s="81"/>
      <c r="BN2065" s="81"/>
      <c r="BO2065" s="81"/>
      <c r="BP2065" s="81"/>
      <c r="BQ2065" s="81"/>
      <c r="BR2065" s="81"/>
      <c r="BS2065" s="81"/>
      <c r="BT2065" s="81"/>
    </row>
    <row r="2066" spans="65:72" x14ac:dyDescent="0.25">
      <c r="BM2066" s="81"/>
      <c r="BN2066" s="81"/>
      <c r="BO2066" s="81"/>
      <c r="BP2066" s="81"/>
      <c r="BQ2066" s="81"/>
      <c r="BR2066" s="81"/>
      <c r="BS2066" s="81"/>
      <c r="BT2066" s="81"/>
    </row>
    <row r="2067" spans="65:72" x14ac:dyDescent="0.25">
      <c r="BM2067" s="81"/>
      <c r="BN2067" s="81"/>
      <c r="BO2067" s="81"/>
      <c r="BP2067" s="81"/>
      <c r="BQ2067" s="81"/>
      <c r="BR2067" s="81"/>
      <c r="BS2067" s="81"/>
      <c r="BT2067" s="81"/>
    </row>
    <row r="2068" spans="65:72" x14ac:dyDescent="0.25">
      <c r="BM2068" s="81"/>
      <c r="BN2068" s="81"/>
      <c r="BO2068" s="81"/>
      <c r="BP2068" s="81"/>
      <c r="BQ2068" s="81"/>
      <c r="BR2068" s="81"/>
      <c r="BS2068" s="81"/>
      <c r="BT2068" s="81"/>
    </row>
    <row r="2069" spans="65:72" x14ac:dyDescent="0.25">
      <c r="BM2069" s="81"/>
      <c r="BN2069" s="81"/>
      <c r="BO2069" s="81"/>
      <c r="BP2069" s="81"/>
      <c r="BQ2069" s="81"/>
      <c r="BR2069" s="81"/>
      <c r="BS2069" s="81"/>
      <c r="BT2069" s="81"/>
    </row>
    <row r="2070" spans="65:72" x14ac:dyDescent="0.25">
      <c r="BM2070" s="81"/>
      <c r="BN2070" s="81"/>
      <c r="BO2070" s="81"/>
      <c r="BP2070" s="81"/>
      <c r="BQ2070" s="81"/>
      <c r="BR2070" s="81"/>
      <c r="BS2070" s="81"/>
      <c r="BT2070" s="81"/>
    </row>
    <row r="2071" spans="65:72" x14ac:dyDescent="0.25">
      <c r="BM2071" s="81"/>
      <c r="BN2071" s="81"/>
      <c r="BO2071" s="81"/>
      <c r="BP2071" s="81"/>
      <c r="BQ2071" s="81"/>
      <c r="BR2071" s="81"/>
      <c r="BS2071" s="81"/>
      <c r="BT2071" s="81"/>
    </row>
    <row r="2072" spans="65:72" x14ac:dyDescent="0.25">
      <c r="BM2072" s="81"/>
      <c r="BN2072" s="81"/>
      <c r="BO2072" s="81"/>
      <c r="BP2072" s="81"/>
      <c r="BQ2072" s="81"/>
      <c r="BR2072" s="81"/>
      <c r="BS2072" s="81"/>
      <c r="BT2072" s="81"/>
    </row>
    <row r="2073" spans="65:72" x14ac:dyDescent="0.25">
      <c r="BM2073" s="81"/>
      <c r="BN2073" s="81"/>
      <c r="BO2073" s="81"/>
      <c r="BP2073" s="81"/>
      <c r="BQ2073" s="81"/>
      <c r="BR2073" s="81"/>
      <c r="BS2073" s="81"/>
      <c r="BT2073" s="81"/>
    </row>
    <row r="2074" spans="65:72" x14ac:dyDescent="0.25">
      <c r="BM2074" s="81"/>
      <c r="BN2074" s="81"/>
      <c r="BO2074" s="81"/>
      <c r="BP2074" s="81"/>
      <c r="BQ2074" s="81"/>
      <c r="BR2074" s="81"/>
      <c r="BS2074" s="81"/>
      <c r="BT2074" s="81"/>
    </row>
    <row r="2075" spans="65:72" x14ac:dyDescent="0.25">
      <c r="BM2075" s="81"/>
      <c r="BN2075" s="81"/>
      <c r="BO2075" s="81"/>
      <c r="BP2075" s="81"/>
      <c r="BQ2075" s="81"/>
      <c r="BR2075" s="81"/>
      <c r="BS2075" s="81"/>
      <c r="BT2075" s="81"/>
    </row>
    <row r="2076" spans="65:72" x14ac:dyDescent="0.25">
      <c r="BM2076" s="81"/>
      <c r="BN2076" s="81"/>
      <c r="BO2076" s="81"/>
      <c r="BP2076" s="81"/>
      <c r="BQ2076" s="81"/>
      <c r="BR2076" s="81"/>
      <c r="BS2076" s="81"/>
      <c r="BT2076" s="81"/>
    </row>
    <row r="2077" spans="65:72" x14ac:dyDescent="0.25">
      <c r="BM2077" s="81"/>
      <c r="BN2077" s="81"/>
      <c r="BO2077" s="81"/>
      <c r="BP2077" s="81"/>
      <c r="BQ2077" s="81"/>
      <c r="BR2077" s="81"/>
      <c r="BS2077" s="81"/>
      <c r="BT2077" s="81"/>
    </row>
    <row r="2078" spans="65:72" x14ac:dyDescent="0.25">
      <c r="BM2078" s="81"/>
      <c r="BN2078" s="81"/>
      <c r="BO2078" s="81"/>
      <c r="BP2078" s="81"/>
      <c r="BQ2078" s="81"/>
      <c r="BR2078" s="81"/>
      <c r="BS2078" s="81"/>
      <c r="BT2078" s="81"/>
    </row>
    <row r="2079" spans="65:72" x14ac:dyDescent="0.25">
      <c r="BM2079" s="81"/>
      <c r="BN2079" s="81"/>
      <c r="BO2079" s="81"/>
      <c r="BP2079" s="81"/>
      <c r="BQ2079" s="81"/>
      <c r="BR2079" s="81"/>
      <c r="BS2079" s="81"/>
      <c r="BT2079" s="81"/>
    </row>
    <row r="2080" spans="65:72" x14ac:dyDescent="0.25">
      <c r="BM2080" s="81"/>
      <c r="BN2080" s="81"/>
      <c r="BO2080" s="81"/>
      <c r="BP2080" s="81"/>
      <c r="BQ2080" s="81"/>
      <c r="BR2080" s="81"/>
      <c r="BS2080" s="81"/>
      <c r="BT2080" s="81"/>
    </row>
    <row r="2081" spans="65:72" x14ac:dyDescent="0.25">
      <c r="BM2081" s="81"/>
      <c r="BN2081" s="81"/>
      <c r="BO2081" s="81"/>
      <c r="BP2081" s="81"/>
      <c r="BQ2081" s="81"/>
      <c r="BR2081" s="81"/>
      <c r="BS2081" s="81"/>
      <c r="BT2081" s="81"/>
    </row>
    <row r="2082" spans="65:72" x14ac:dyDescent="0.25">
      <c r="BM2082" s="81"/>
      <c r="BN2082" s="81"/>
      <c r="BO2082" s="81"/>
      <c r="BP2082" s="81"/>
      <c r="BQ2082" s="81"/>
      <c r="BR2082" s="81"/>
      <c r="BS2082" s="81"/>
      <c r="BT2082" s="81"/>
    </row>
    <row r="2083" spans="65:72" x14ac:dyDescent="0.25">
      <c r="BM2083" s="81"/>
      <c r="BN2083" s="81"/>
      <c r="BO2083" s="81"/>
      <c r="BP2083" s="81"/>
      <c r="BQ2083" s="81"/>
      <c r="BR2083" s="81"/>
      <c r="BS2083" s="81"/>
      <c r="BT2083" s="81"/>
    </row>
    <row r="2084" spans="65:72" x14ac:dyDescent="0.25">
      <c r="BM2084" s="81"/>
      <c r="BN2084" s="81"/>
      <c r="BO2084" s="81"/>
      <c r="BP2084" s="81"/>
      <c r="BQ2084" s="81"/>
      <c r="BR2084" s="81"/>
      <c r="BS2084" s="81"/>
      <c r="BT2084" s="81"/>
    </row>
    <row r="2085" spans="65:72" x14ac:dyDescent="0.25">
      <c r="BM2085" s="81"/>
      <c r="BN2085" s="81"/>
      <c r="BO2085" s="81"/>
      <c r="BP2085" s="81"/>
      <c r="BQ2085" s="81"/>
      <c r="BR2085" s="81"/>
      <c r="BS2085" s="81"/>
      <c r="BT2085" s="81"/>
    </row>
    <row r="2086" spans="65:72" x14ac:dyDescent="0.25">
      <c r="BM2086" s="81"/>
      <c r="BN2086" s="81"/>
      <c r="BO2086" s="81"/>
      <c r="BP2086" s="81"/>
      <c r="BQ2086" s="81"/>
      <c r="BR2086" s="81"/>
      <c r="BS2086" s="81"/>
      <c r="BT2086" s="81"/>
    </row>
    <row r="2087" spans="65:72" x14ac:dyDescent="0.25">
      <c r="BM2087" s="81"/>
      <c r="BN2087" s="81"/>
      <c r="BO2087" s="81"/>
      <c r="BP2087" s="81"/>
      <c r="BQ2087" s="81"/>
      <c r="BR2087" s="81"/>
      <c r="BS2087" s="81"/>
      <c r="BT2087" s="81"/>
    </row>
    <row r="2088" spans="65:72" x14ac:dyDescent="0.25">
      <c r="BM2088" s="81"/>
      <c r="BN2088" s="81"/>
      <c r="BO2088" s="81"/>
      <c r="BP2088" s="81"/>
      <c r="BQ2088" s="81"/>
      <c r="BR2088" s="81"/>
      <c r="BS2088" s="81"/>
      <c r="BT2088" s="81"/>
    </row>
    <row r="2089" spans="65:72" x14ac:dyDescent="0.25">
      <c r="BM2089" s="81"/>
      <c r="BN2089" s="81"/>
      <c r="BO2089" s="81"/>
      <c r="BP2089" s="81"/>
      <c r="BQ2089" s="81"/>
      <c r="BR2089" s="81"/>
      <c r="BS2089" s="81"/>
      <c r="BT2089" s="81"/>
    </row>
    <row r="2090" spans="65:72" x14ac:dyDescent="0.25">
      <c r="BM2090" s="81"/>
      <c r="BN2090" s="81"/>
      <c r="BO2090" s="81"/>
      <c r="BP2090" s="81"/>
      <c r="BQ2090" s="81"/>
      <c r="BR2090" s="81"/>
      <c r="BS2090" s="81"/>
      <c r="BT2090" s="81"/>
    </row>
    <row r="2091" spans="65:72" x14ac:dyDescent="0.25">
      <c r="BM2091" s="81"/>
      <c r="BN2091" s="81"/>
      <c r="BO2091" s="81"/>
      <c r="BP2091" s="81"/>
      <c r="BQ2091" s="81"/>
      <c r="BR2091" s="81"/>
      <c r="BS2091" s="81"/>
      <c r="BT2091" s="81"/>
    </row>
    <row r="2092" spans="65:72" x14ac:dyDescent="0.25">
      <c r="BM2092" s="81"/>
      <c r="BN2092" s="81"/>
      <c r="BO2092" s="81"/>
      <c r="BP2092" s="81"/>
      <c r="BQ2092" s="81"/>
      <c r="BR2092" s="81"/>
      <c r="BS2092" s="81"/>
      <c r="BT2092" s="81"/>
    </row>
    <row r="2093" spans="65:72" x14ac:dyDescent="0.25">
      <c r="BM2093" s="81"/>
      <c r="BN2093" s="81"/>
      <c r="BO2093" s="81"/>
      <c r="BP2093" s="81"/>
      <c r="BQ2093" s="81"/>
      <c r="BR2093" s="81"/>
      <c r="BS2093" s="81"/>
      <c r="BT2093" s="81"/>
    </row>
    <row r="2094" spans="65:72" x14ac:dyDescent="0.25">
      <c r="BM2094" s="81"/>
      <c r="BN2094" s="81"/>
      <c r="BO2094" s="81"/>
      <c r="BP2094" s="81"/>
      <c r="BQ2094" s="81"/>
      <c r="BR2094" s="81"/>
      <c r="BS2094" s="81"/>
      <c r="BT2094" s="81"/>
    </row>
    <row r="2095" spans="65:72" x14ac:dyDescent="0.25">
      <c r="BM2095" s="81"/>
      <c r="BN2095" s="81"/>
      <c r="BO2095" s="81"/>
      <c r="BP2095" s="81"/>
      <c r="BQ2095" s="81"/>
      <c r="BR2095" s="81"/>
      <c r="BS2095" s="81"/>
      <c r="BT2095" s="81"/>
    </row>
    <row r="2096" spans="65:72" x14ac:dyDescent="0.25">
      <c r="BM2096" s="81"/>
      <c r="BN2096" s="81"/>
      <c r="BO2096" s="81"/>
      <c r="BP2096" s="81"/>
      <c r="BQ2096" s="81"/>
      <c r="BR2096" s="81"/>
      <c r="BS2096" s="81"/>
      <c r="BT2096" s="81"/>
    </row>
    <row r="2097" spans="65:72" x14ac:dyDescent="0.25">
      <c r="BM2097" s="81"/>
      <c r="BN2097" s="81"/>
      <c r="BO2097" s="81"/>
      <c r="BP2097" s="81"/>
      <c r="BQ2097" s="81"/>
      <c r="BR2097" s="81"/>
      <c r="BS2097" s="81"/>
      <c r="BT2097" s="81"/>
    </row>
    <row r="2098" spans="65:72" x14ac:dyDescent="0.25">
      <c r="BM2098" s="81"/>
      <c r="BN2098" s="81"/>
      <c r="BO2098" s="81"/>
      <c r="BP2098" s="81"/>
      <c r="BQ2098" s="81"/>
      <c r="BR2098" s="81"/>
      <c r="BS2098" s="81"/>
      <c r="BT2098" s="81"/>
    </row>
    <row r="2099" spans="65:72" x14ac:dyDescent="0.25">
      <c r="BM2099" s="81"/>
      <c r="BN2099" s="81"/>
      <c r="BO2099" s="81"/>
      <c r="BP2099" s="81"/>
      <c r="BQ2099" s="81"/>
      <c r="BR2099" s="81"/>
      <c r="BS2099" s="81"/>
      <c r="BT2099" s="81"/>
    </row>
    <row r="2100" spans="65:72" x14ac:dyDescent="0.25">
      <c r="BM2100" s="81"/>
      <c r="BN2100" s="81"/>
      <c r="BO2100" s="81"/>
      <c r="BP2100" s="81"/>
      <c r="BQ2100" s="81"/>
      <c r="BR2100" s="81"/>
      <c r="BS2100" s="81"/>
      <c r="BT2100" s="81"/>
    </row>
    <row r="2101" spans="65:72" x14ac:dyDescent="0.25">
      <c r="BM2101" s="81"/>
      <c r="BN2101" s="81"/>
      <c r="BO2101" s="81"/>
      <c r="BP2101" s="81"/>
      <c r="BQ2101" s="81"/>
      <c r="BR2101" s="81"/>
      <c r="BS2101" s="81"/>
      <c r="BT2101" s="81"/>
    </row>
    <row r="2102" spans="65:72" x14ac:dyDescent="0.25">
      <c r="BM2102" s="81"/>
      <c r="BN2102" s="81"/>
      <c r="BO2102" s="81"/>
      <c r="BP2102" s="81"/>
      <c r="BQ2102" s="81"/>
      <c r="BR2102" s="81"/>
      <c r="BS2102" s="81"/>
      <c r="BT2102" s="81"/>
    </row>
    <row r="2103" spans="65:72" x14ac:dyDescent="0.25">
      <c r="BM2103" s="81"/>
      <c r="BN2103" s="81"/>
      <c r="BO2103" s="81"/>
      <c r="BP2103" s="81"/>
      <c r="BQ2103" s="81"/>
      <c r="BR2103" s="81"/>
      <c r="BS2103" s="81"/>
      <c r="BT2103" s="81"/>
    </row>
    <row r="2104" spans="65:72" x14ac:dyDescent="0.25">
      <c r="BM2104" s="81"/>
      <c r="BN2104" s="81"/>
      <c r="BO2104" s="81"/>
      <c r="BP2104" s="81"/>
      <c r="BQ2104" s="81"/>
      <c r="BR2104" s="81"/>
      <c r="BS2104" s="81"/>
      <c r="BT2104" s="81"/>
    </row>
    <row r="2105" spans="65:72" x14ac:dyDescent="0.25">
      <c r="BM2105" s="81"/>
      <c r="BN2105" s="81"/>
      <c r="BO2105" s="81"/>
      <c r="BP2105" s="81"/>
      <c r="BQ2105" s="81"/>
      <c r="BR2105" s="81"/>
      <c r="BS2105" s="81"/>
      <c r="BT2105" s="81"/>
    </row>
    <row r="2106" spans="65:72" x14ac:dyDescent="0.25">
      <c r="BM2106" s="81"/>
      <c r="BN2106" s="81"/>
      <c r="BO2106" s="81"/>
      <c r="BP2106" s="81"/>
      <c r="BQ2106" s="81"/>
      <c r="BR2106" s="81"/>
      <c r="BS2106" s="81"/>
      <c r="BT2106" s="81"/>
    </row>
    <row r="2107" spans="65:72" x14ac:dyDescent="0.25">
      <c r="BM2107" s="81"/>
      <c r="BN2107" s="81"/>
      <c r="BO2107" s="81"/>
      <c r="BP2107" s="81"/>
      <c r="BQ2107" s="81"/>
      <c r="BR2107" s="81"/>
      <c r="BS2107" s="81"/>
      <c r="BT2107" s="81"/>
    </row>
    <row r="2108" spans="65:72" x14ac:dyDescent="0.25">
      <c r="BM2108" s="81"/>
      <c r="BN2108" s="81"/>
      <c r="BO2108" s="81"/>
      <c r="BP2108" s="81"/>
      <c r="BQ2108" s="81"/>
      <c r="BR2108" s="81"/>
      <c r="BS2108" s="81"/>
      <c r="BT2108" s="81"/>
    </row>
    <row r="2109" spans="65:72" x14ac:dyDescent="0.25">
      <c r="BM2109" s="81"/>
      <c r="BN2109" s="81"/>
      <c r="BO2109" s="81"/>
      <c r="BP2109" s="81"/>
      <c r="BQ2109" s="81"/>
      <c r="BR2109" s="81"/>
      <c r="BS2109" s="81"/>
      <c r="BT2109" s="81"/>
    </row>
    <row r="2110" spans="65:72" x14ac:dyDescent="0.25">
      <c r="BM2110" s="81"/>
      <c r="BN2110" s="81"/>
      <c r="BO2110" s="81"/>
      <c r="BP2110" s="81"/>
      <c r="BQ2110" s="81"/>
      <c r="BR2110" s="81"/>
      <c r="BS2110" s="81"/>
      <c r="BT2110" s="81"/>
    </row>
    <row r="2111" spans="65:72" x14ac:dyDescent="0.25">
      <c r="BM2111" s="81"/>
      <c r="BN2111" s="81"/>
      <c r="BO2111" s="81"/>
      <c r="BP2111" s="81"/>
      <c r="BQ2111" s="81"/>
      <c r="BR2111" s="81"/>
      <c r="BS2111" s="81"/>
      <c r="BT2111" s="81"/>
    </row>
    <row r="2112" spans="65:72" x14ac:dyDescent="0.25">
      <c r="BM2112" s="81"/>
      <c r="BN2112" s="81"/>
      <c r="BO2112" s="81"/>
      <c r="BP2112" s="81"/>
      <c r="BQ2112" s="81"/>
      <c r="BR2112" s="81"/>
      <c r="BS2112" s="81"/>
      <c r="BT2112" s="81"/>
    </row>
    <row r="2113" spans="65:72" x14ac:dyDescent="0.25">
      <c r="BM2113" s="81"/>
      <c r="BN2113" s="81"/>
      <c r="BO2113" s="81"/>
      <c r="BP2113" s="81"/>
      <c r="BQ2113" s="81"/>
      <c r="BR2113" s="81"/>
      <c r="BS2113" s="81"/>
      <c r="BT2113" s="81"/>
    </row>
    <row r="2114" spans="65:72" x14ac:dyDescent="0.25">
      <c r="BM2114" s="81"/>
      <c r="BN2114" s="81"/>
      <c r="BO2114" s="81"/>
      <c r="BP2114" s="81"/>
      <c r="BQ2114" s="81"/>
      <c r="BR2114" s="81"/>
      <c r="BS2114" s="81"/>
      <c r="BT2114" s="81"/>
    </row>
    <row r="2115" spans="65:72" x14ac:dyDescent="0.25">
      <c r="BM2115" s="81"/>
      <c r="BN2115" s="81"/>
      <c r="BO2115" s="81"/>
      <c r="BP2115" s="81"/>
      <c r="BQ2115" s="81"/>
      <c r="BR2115" s="81"/>
      <c r="BS2115" s="81"/>
      <c r="BT2115" s="81"/>
    </row>
    <row r="2116" spans="65:72" x14ac:dyDescent="0.25">
      <c r="BM2116" s="81"/>
      <c r="BN2116" s="81"/>
      <c r="BO2116" s="81"/>
      <c r="BP2116" s="81"/>
      <c r="BQ2116" s="81"/>
      <c r="BR2116" s="81"/>
      <c r="BS2116" s="81"/>
      <c r="BT2116" s="81"/>
    </row>
    <row r="2117" spans="65:72" x14ac:dyDescent="0.25">
      <c r="BM2117" s="81"/>
      <c r="BN2117" s="81"/>
      <c r="BO2117" s="81"/>
      <c r="BP2117" s="81"/>
      <c r="BQ2117" s="81"/>
      <c r="BR2117" s="81"/>
      <c r="BS2117" s="81"/>
      <c r="BT2117" s="81"/>
    </row>
    <row r="2118" spans="65:72" x14ac:dyDescent="0.25">
      <c r="BM2118" s="81"/>
      <c r="BN2118" s="81"/>
      <c r="BO2118" s="81"/>
      <c r="BP2118" s="81"/>
      <c r="BQ2118" s="81"/>
      <c r="BR2118" s="81"/>
      <c r="BS2118" s="81"/>
      <c r="BT2118" s="81"/>
    </row>
    <row r="2119" spans="65:72" x14ac:dyDescent="0.25">
      <c r="BM2119" s="81"/>
      <c r="BN2119" s="81"/>
      <c r="BO2119" s="81"/>
      <c r="BP2119" s="81"/>
      <c r="BQ2119" s="81"/>
      <c r="BR2119" s="81"/>
      <c r="BS2119" s="81"/>
      <c r="BT2119" s="81"/>
    </row>
    <row r="2120" spans="65:72" x14ac:dyDescent="0.25">
      <c r="BM2120" s="81"/>
      <c r="BN2120" s="81"/>
      <c r="BO2120" s="81"/>
      <c r="BP2120" s="81"/>
      <c r="BQ2120" s="81"/>
      <c r="BR2120" s="81"/>
      <c r="BS2120" s="81"/>
      <c r="BT2120" s="81"/>
    </row>
    <row r="2121" spans="65:72" x14ac:dyDescent="0.25">
      <c r="BM2121" s="81"/>
      <c r="BN2121" s="81"/>
      <c r="BO2121" s="81"/>
      <c r="BP2121" s="81"/>
      <c r="BQ2121" s="81"/>
      <c r="BR2121" s="81"/>
      <c r="BS2121" s="81"/>
      <c r="BT2121" s="81"/>
    </row>
    <row r="2122" spans="65:72" x14ac:dyDescent="0.25">
      <c r="BM2122" s="81"/>
      <c r="BN2122" s="81"/>
      <c r="BO2122" s="81"/>
      <c r="BP2122" s="81"/>
      <c r="BQ2122" s="81"/>
      <c r="BR2122" s="81"/>
      <c r="BS2122" s="81"/>
      <c r="BT2122" s="81"/>
    </row>
    <row r="2123" spans="65:72" x14ac:dyDescent="0.25">
      <c r="BM2123" s="81"/>
      <c r="BN2123" s="81"/>
      <c r="BO2123" s="81"/>
      <c r="BP2123" s="81"/>
      <c r="BQ2123" s="81"/>
      <c r="BR2123" s="81"/>
      <c r="BS2123" s="81"/>
      <c r="BT2123" s="81"/>
    </row>
    <row r="2124" spans="65:72" x14ac:dyDescent="0.25">
      <c r="BM2124" s="81"/>
      <c r="BN2124" s="81"/>
      <c r="BO2124" s="81"/>
      <c r="BP2124" s="81"/>
      <c r="BQ2124" s="81"/>
      <c r="BR2124" s="81"/>
      <c r="BS2124" s="81"/>
      <c r="BT2124" s="81"/>
    </row>
    <row r="2125" spans="65:72" x14ac:dyDescent="0.25">
      <c r="BM2125" s="81"/>
      <c r="BN2125" s="81"/>
      <c r="BO2125" s="81"/>
      <c r="BP2125" s="81"/>
      <c r="BQ2125" s="81"/>
      <c r="BR2125" s="81"/>
      <c r="BS2125" s="81"/>
      <c r="BT2125" s="81"/>
    </row>
    <row r="2126" spans="65:72" x14ac:dyDescent="0.25">
      <c r="BM2126" s="81"/>
      <c r="BN2126" s="81"/>
      <c r="BO2126" s="81"/>
      <c r="BP2126" s="81"/>
      <c r="BQ2126" s="81"/>
      <c r="BR2126" s="81"/>
      <c r="BS2126" s="81"/>
      <c r="BT2126" s="81"/>
    </row>
    <row r="2127" spans="65:72" x14ac:dyDescent="0.25">
      <c r="BM2127" s="81"/>
      <c r="BN2127" s="81"/>
      <c r="BO2127" s="81"/>
      <c r="BP2127" s="81"/>
      <c r="BQ2127" s="81"/>
      <c r="BR2127" s="81"/>
      <c r="BS2127" s="81"/>
      <c r="BT2127" s="81"/>
    </row>
    <row r="2128" spans="65:72" x14ac:dyDescent="0.25">
      <c r="BM2128" s="81"/>
      <c r="BN2128" s="81"/>
      <c r="BO2128" s="81"/>
      <c r="BP2128" s="81"/>
      <c r="BQ2128" s="81"/>
      <c r="BR2128" s="81"/>
      <c r="BS2128" s="81"/>
      <c r="BT2128" s="81"/>
    </row>
    <row r="2129" spans="65:72" x14ac:dyDescent="0.25">
      <c r="BM2129" s="81"/>
      <c r="BN2129" s="81"/>
      <c r="BO2129" s="81"/>
      <c r="BP2129" s="81"/>
      <c r="BQ2129" s="81"/>
      <c r="BR2129" s="81"/>
      <c r="BS2129" s="81"/>
      <c r="BT2129" s="81"/>
    </row>
    <row r="2130" spans="65:72" x14ac:dyDescent="0.25">
      <c r="BM2130" s="81"/>
      <c r="BN2130" s="81"/>
      <c r="BO2130" s="81"/>
      <c r="BP2130" s="81"/>
      <c r="BQ2130" s="81"/>
      <c r="BR2130" s="81"/>
      <c r="BS2130" s="81"/>
      <c r="BT2130" s="81"/>
    </row>
    <row r="2131" spans="65:72" x14ac:dyDescent="0.25">
      <c r="BM2131" s="81"/>
      <c r="BN2131" s="81"/>
      <c r="BO2131" s="81"/>
      <c r="BP2131" s="81"/>
      <c r="BQ2131" s="81"/>
      <c r="BR2131" s="81"/>
      <c r="BS2131" s="81"/>
      <c r="BT2131" s="81"/>
    </row>
    <row r="2132" spans="65:72" x14ac:dyDescent="0.25">
      <c r="BM2132" s="81"/>
      <c r="BN2132" s="81"/>
      <c r="BO2132" s="81"/>
      <c r="BP2132" s="81"/>
      <c r="BQ2132" s="81"/>
      <c r="BR2132" s="81"/>
      <c r="BS2132" s="81"/>
      <c r="BT2132" s="81"/>
    </row>
    <row r="2133" spans="65:72" x14ac:dyDescent="0.25">
      <c r="BM2133" s="81"/>
      <c r="BN2133" s="81"/>
      <c r="BO2133" s="81"/>
      <c r="BP2133" s="81"/>
      <c r="BQ2133" s="81"/>
      <c r="BR2133" s="81"/>
      <c r="BS2133" s="81"/>
      <c r="BT2133" s="81"/>
    </row>
    <row r="2134" spans="65:72" x14ac:dyDescent="0.25">
      <c r="BM2134" s="81"/>
      <c r="BN2134" s="81"/>
      <c r="BO2134" s="81"/>
      <c r="BP2134" s="81"/>
      <c r="BQ2134" s="81"/>
      <c r="BR2134" s="81"/>
      <c r="BS2134" s="81"/>
      <c r="BT2134" s="81"/>
    </row>
    <row r="2135" spans="65:72" x14ac:dyDescent="0.25">
      <c r="BM2135" s="81"/>
      <c r="BN2135" s="81"/>
      <c r="BO2135" s="81"/>
      <c r="BP2135" s="81"/>
      <c r="BQ2135" s="81"/>
      <c r="BR2135" s="81"/>
      <c r="BS2135" s="81"/>
      <c r="BT2135" s="81"/>
    </row>
    <row r="2136" spans="65:72" x14ac:dyDescent="0.25">
      <c r="BM2136" s="81"/>
      <c r="BN2136" s="81"/>
      <c r="BO2136" s="81"/>
      <c r="BP2136" s="81"/>
      <c r="BQ2136" s="81"/>
      <c r="BR2136" s="81"/>
      <c r="BS2136" s="81"/>
      <c r="BT2136" s="81"/>
    </row>
    <row r="2137" spans="65:72" x14ac:dyDescent="0.25">
      <c r="BM2137" s="81"/>
      <c r="BN2137" s="81"/>
      <c r="BO2137" s="81"/>
      <c r="BP2137" s="81"/>
      <c r="BQ2137" s="81"/>
      <c r="BR2137" s="81"/>
      <c r="BS2137" s="81"/>
      <c r="BT2137" s="81"/>
    </row>
    <row r="2138" spans="65:72" x14ac:dyDescent="0.25">
      <c r="BM2138" s="81"/>
      <c r="BN2138" s="81"/>
      <c r="BO2138" s="81"/>
      <c r="BP2138" s="81"/>
      <c r="BQ2138" s="81"/>
      <c r="BR2138" s="81"/>
      <c r="BS2138" s="81"/>
      <c r="BT2138" s="81"/>
    </row>
    <row r="2139" spans="65:72" x14ac:dyDescent="0.25">
      <c r="BM2139" s="81"/>
      <c r="BN2139" s="81"/>
      <c r="BO2139" s="81"/>
      <c r="BP2139" s="81"/>
      <c r="BQ2139" s="81"/>
      <c r="BR2139" s="81"/>
      <c r="BS2139" s="81"/>
      <c r="BT2139" s="81"/>
    </row>
    <row r="2140" spans="65:72" x14ac:dyDescent="0.25">
      <c r="BM2140" s="81"/>
      <c r="BN2140" s="81"/>
      <c r="BO2140" s="81"/>
      <c r="BP2140" s="81"/>
      <c r="BQ2140" s="81"/>
      <c r="BR2140" s="81"/>
      <c r="BS2140" s="81"/>
      <c r="BT2140" s="81"/>
    </row>
    <row r="2141" spans="65:72" x14ac:dyDescent="0.25">
      <c r="BM2141" s="81"/>
      <c r="BN2141" s="81"/>
      <c r="BO2141" s="81"/>
      <c r="BP2141" s="81"/>
      <c r="BQ2141" s="81"/>
      <c r="BR2141" s="81"/>
      <c r="BS2141" s="81"/>
      <c r="BT2141" s="81"/>
    </row>
    <row r="2142" spans="65:72" x14ac:dyDescent="0.25">
      <c r="BM2142" s="81"/>
      <c r="BN2142" s="81"/>
      <c r="BO2142" s="81"/>
      <c r="BP2142" s="81"/>
      <c r="BQ2142" s="81"/>
      <c r="BR2142" s="81"/>
      <c r="BS2142" s="81"/>
      <c r="BT2142" s="81"/>
    </row>
    <row r="2143" spans="65:72" x14ac:dyDescent="0.25">
      <c r="BM2143" s="81"/>
      <c r="BN2143" s="81"/>
      <c r="BO2143" s="81"/>
      <c r="BP2143" s="81"/>
      <c r="BQ2143" s="81"/>
      <c r="BR2143" s="81"/>
      <c r="BS2143" s="81"/>
      <c r="BT2143" s="81"/>
    </row>
    <row r="2144" spans="65:72" x14ac:dyDescent="0.25">
      <c r="BM2144" s="81"/>
      <c r="BN2144" s="81"/>
      <c r="BO2144" s="81"/>
      <c r="BP2144" s="81"/>
      <c r="BQ2144" s="81"/>
      <c r="BR2144" s="81"/>
      <c r="BS2144" s="81"/>
      <c r="BT2144" s="81"/>
    </row>
    <row r="2145" spans="65:72" x14ac:dyDescent="0.25">
      <c r="BM2145" s="81"/>
      <c r="BN2145" s="81"/>
      <c r="BO2145" s="81"/>
      <c r="BP2145" s="81"/>
      <c r="BQ2145" s="81"/>
      <c r="BR2145" s="81"/>
      <c r="BS2145" s="81"/>
      <c r="BT2145" s="81"/>
    </row>
    <row r="2146" spans="65:72" x14ac:dyDescent="0.25">
      <c r="BM2146" s="81"/>
      <c r="BN2146" s="81"/>
      <c r="BO2146" s="81"/>
      <c r="BP2146" s="81"/>
      <c r="BQ2146" s="81"/>
      <c r="BR2146" s="81"/>
      <c r="BS2146" s="81"/>
      <c r="BT2146" s="81"/>
    </row>
    <row r="2147" spans="65:72" x14ac:dyDescent="0.25">
      <c r="BM2147" s="81"/>
      <c r="BN2147" s="81"/>
      <c r="BO2147" s="81"/>
      <c r="BP2147" s="81"/>
      <c r="BQ2147" s="81"/>
      <c r="BR2147" s="81"/>
      <c r="BS2147" s="81"/>
      <c r="BT2147" s="81"/>
    </row>
    <row r="2148" spans="65:72" x14ac:dyDescent="0.25">
      <c r="BM2148" s="81"/>
      <c r="BN2148" s="81"/>
      <c r="BO2148" s="81"/>
      <c r="BP2148" s="81"/>
      <c r="BQ2148" s="81"/>
      <c r="BR2148" s="81"/>
      <c r="BS2148" s="81"/>
      <c r="BT2148" s="81"/>
    </row>
    <row r="2149" spans="65:72" x14ac:dyDescent="0.25">
      <c r="BM2149" s="81"/>
      <c r="BN2149" s="81"/>
      <c r="BO2149" s="81"/>
      <c r="BP2149" s="81"/>
      <c r="BQ2149" s="81"/>
      <c r="BR2149" s="81"/>
      <c r="BS2149" s="81"/>
      <c r="BT2149" s="81"/>
    </row>
    <row r="2150" spans="65:72" x14ac:dyDescent="0.25">
      <c r="BM2150" s="81"/>
      <c r="BN2150" s="81"/>
      <c r="BO2150" s="81"/>
      <c r="BP2150" s="81"/>
      <c r="BQ2150" s="81"/>
      <c r="BR2150" s="81"/>
      <c r="BS2150" s="81"/>
      <c r="BT2150" s="81"/>
    </row>
    <row r="2151" spans="65:72" x14ac:dyDescent="0.25">
      <c r="BM2151" s="81"/>
      <c r="BN2151" s="81"/>
      <c r="BO2151" s="81"/>
      <c r="BP2151" s="81"/>
      <c r="BQ2151" s="81"/>
      <c r="BR2151" s="81"/>
      <c r="BS2151" s="81"/>
      <c r="BT2151" s="81"/>
    </row>
    <row r="2152" spans="65:72" x14ac:dyDescent="0.25">
      <c r="BM2152" s="81"/>
      <c r="BN2152" s="81"/>
      <c r="BO2152" s="81"/>
      <c r="BP2152" s="81"/>
      <c r="BQ2152" s="81"/>
      <c r="BR2152" s="81"/>
      <c r="BS2152" s="81"/>
      <c r="BT2152" s="81"/>
    </row>
    <row r="2153" spans="65:72" x14ac:dyDescent="0.25">
      <c r="BM2153" s="81"/>
      <c r="BN2153" s="81"/>
      <c r="BO2153" s="81"/>
      <c r="BP2153" s="81"/>
      <c r="BQ2153" s="81"/>
      <c r="BR2153" s="81"/>
      <c r="BS2153" s="81"/>
      <c r="BT2153" s="81"/>
    </row>
    <row r="2154" spans="65:72" x14ac:dyDescent="0.25">
      <c r="BM2154" s="81"/>
      <c r="BN2154" s="81"/>
      <c r="BO2154" s="81"/>
      <c r="BP2154" s="81"/>
      <c r="BQ2154" s="81"/>
      <c r="BR2154" s="81"/>
      <c r="BS2154" s="81"/>
      <c r="BT2154" s="81"/>
    </row>
    <row r="2155" spans="65:72" x14ac:dyDescent="0.25">
      <c r="BM2155" s="81"/>
      <c r="BN2155" s="81"/>
      <c r="BO2155" s="81"/>
      <c r="BP2155" s="81"/>
      <c r="BQ2155" s="81"/>
      <c r="BR2155" s="81"/>
      <c r="BS2155" s="81"/>
      <c r="BT2155" s="81"/>
    </row>
    <row r="2156" spans="65:72" x14ac:dyDescent="0.25">
      <c r="BM2156" s="81"/>
      <c r="BN2156" s="81"/>
      <c r="BO2156" s="81"/>
      <c r="BP2156" s="81"/>
      <c r="BQ2156" s="81"/>
      <c r="BR2156" s="81"/>
      <c r="BS2156" s="81"/>
      <c r="BT2156" s="81"/>
    </row>
    <row r="2157" spans="65:72" x14ac:dyDescent="0.25">
      <c r="BM2157" s="81"/>
      <c r="BN2157" s="81"/>
      <c r="BO2157" s="81"/>
      <c r="BP2157" s="81"/>
      <c r="BQ2157" s="81"/>
      <c r="BR2157" s="81"/>
      <c r="BS2157" s="81"/>
      <c r="BT2157" s="81"/>
    </row>
    <row r="2158" spans="65:72" x14ac:dyDescent="0.25">
      <c r="BM2158" s="81"/>
      <c r="BN2158" s="81"/>
      <c r="BO2158" s="81"/>
      <c r="BP2158" s="81"/>
      <c r="BQ2158" s="81"/>
      <c r="BR2158" s="81"/>
      <c r="BS2158" s="81"/>
      <c r="BT2158" s="81"/>
    </row>
    <row r="2159" spans="65:72" x14ac:dyDescent="0.25">
      <c r="BM2159" s="81"/>
      <c r="BN2159" s="81"/>
      <c r="BO2159" s="81"/>
      <c r="BP2159" s="81"/>
      <c r="BQ2159" s="81"/>
      <c r="BR2159" s="81"/>
      <c r="BS2159" s="81"/>
      <c r="BT2159" s="81"/>
    </row>
    <row r="2160" spans="65:72" x14ac:dyDescent="0.25">
      <c r="BM2160" s="81"/>
      <c r="BN2160" s="81"/>
      <c r="BO2160" s="81"/>
      <c r="BP2160" s="81"/>
      <c r="BQ2160" s="81"/>
      <c r="BR2160" s="81"/>
      <c r="BS2160" s="81"/>
      <c r="BT2160" s="81"/>
    </row>
    <row r="2161" spans="65:72" x14ac:dyDescent="0.25">
      <c r="BM2161" s="81"/>
      <c r="BN2161" s="81"/>
      <c r="BO2161" s="81"/>
      <c r="BP2161" s="81"/>
      <c r="BQ2161" s="81"/>
      <c r="BR2161" s="81"/>
      <c r="BS2161" s="81"/>
      <c r="BT2161" s="81"/>
    </row>
    <row r="2162" spans="65:72" x14ac:dyDescent="0.25">
      <c r="BM2162" s="81"/>
      <c r="BN2162" s="81"/>
      <c r="BO2162" s="81"/>
      <c r="BP2162" s="81"/>
      <c r="BQ2162" s="81"/>
      <c r="BR2162" s="81"/>
      <c r="BS2162" s="81"/>
      <c r="BT2162" s="81"/>
    </row>
    <row r="2163" spans="65:72" x14ac:dyDescent="0.25">
      <c r="BM2163" s="81"/>
      <c r="BN2163" s="81"/>
      <c r="BO2163" s="81"/>
      <c r="BP2163" s="81"/>
      <c r="BQ2163" s="81"/>
      <c r="BR2163" s="81"/>
      <c r="BS2163" s="81"/>
      <c r="BT2163" s="81"/>
    </row>
    <row r="2164" spans="65:72" x14ac:dyDescent="0.25">
      <c r="BM2164" s="81"/>
      <c r="BN2164" s="81"/>
      <c r="BO2164" s="81"/>
      <c r="BP2164" s="81"/>
      <c r="BQ2164" s="81"/>
      <c r="BR2164" s="81"/>
      <c r="BS2164" s="81"/>
      <c r="BT2164" s="81"/>
    </row>
    <row r="2165" spans="65:72" x14ac:dyDescent="0.25">
      <c r="BM2165" s="81"/>
      <c r="BN2165" s="81"/>
      <c r="BO2165" s="81"/>
      <c r="BP2165" s="81"/>
      <c r="BQ2165" s="81"/>
      <c r="BR2165" s="81"/>
      <c r="BS2165" s="81"/>
      <c r="BT2165" s="81"/>
    </row>
    <row r="2166" spans="65:72" x14ac:dyDescent="0.25">
      <c r="BM2166" s="81"/>
      <c r="BN2166" s="81"/>
      <c r="BO2166" s="81"/>
      <c r="BP2166" s="81"/>
      <c r="BQ2166" s="81"/>
      <c r="BR2166" s="81"/>
      <c r="BS2166" s="81"/>
      <c r="BT2166" s="81"/>
    </row>
    <row r="2167" spans="65:72" x14ac:dyDescent="0.25">
      <c r="BM2167" s="81"/>
      <c r="BN2167" s="81"/>
      <c r="BO2167" s="81"/>
      <c r="BP2167" s="81"/>
      <c r="BQ2167" s="81"/>
      <c r="BR2167" s="81"/>
      <c r="BS2167" s="81"/>
      <c r="BT2167" s="81"/>
    </row>
    <row r="2168" spans="65:72" x14ac:dyDescent="0.25">
      <c r="BM2168" s="81"/>
      <c r="BN2168" s="81"/>
      <c r="BO2168" s="81"/>
      <c r="BP2168" s="81"/>
      <c r="BQ2168" s="81"/>
      <c r="BR2168" s="81"/>
      <c r="BS2168" s="81"/>
      <c r="BT2168" s="81"/>
    </row>
    <row r="2169" spans="65:72" x14ac:dyDescent="0.25">
      <c r="BM2169" s="81"/>
      <c r="BN2169" s="81"/>
      <c r="BO2169" s="81"/>
      <c r="BP2169" s="81"/>
      <c r="BQ2169" s="81"/>
      <c r="BR2169" s="81"/>
      <c r="BS2169" s="81"/>
      <c r="BT2169" s="81"/>
    </row>
    <row r="2170" spans="65:72" x14ac:dyDescent="0.25">
      <c r="BM2170" s="81"/>
      <c r="BN2170" s="81"/>
      <c r="BO2170" s="81"/>
      <c r="BP2170" s="81"/>
      <c r="BQ2170" s="81"/>
      <c r="BR2170" s="81"/>
      <c r="BS2170" s="81"/>
      <c r="BT2170" s="81"/>
    </row>
    <row r="2171" spans="65:72" x14ac:dyDescent="0.25">
      <c r="BM2171" s="81"/>
      <c r="BN2171" s="81"/>
      <c r="BO2171" s="81"/>
      <c r="BP2171" s="81"/>
      <c r="BQ2171" s="81"/>
      <c r="BR2171" s="81"/>
      <c r="BS2171" s="81"/>
      <c r="BT2171" s="81"/>
    </row>
    <row r="2172" spans="65:72" x14ac:dyDescent="0.25">
      <c r="BM2172" s="81"/>
      <c r="BN2172" s="81"/>
      <c r="BO2172" s="81"/>
      <c r="BP2172" s="81"/>
      <c r="BQ2172" s="81"/>
      <c r="BR2172" s="81"/>
      <c r="BS2172" s="81"/>
      <c r="BT2172" s="81"/>
    </row>
    <row r="2173" spans="65:72" x14ac:dyDescent="0.25">
      <c r="BM2173" s="81"/>
      <c r="BN2173" s="81"/>
      <c r="BO2173" s="81"/>
      <c r="BP2173" s="81"/>
      <c r="BQ2173" s="81"/>
      <c r="BR2173" s="81"/>
      <c r="BS2173" s="81"/>
      <c r="BT2173" s="81"/>
    </row>
    <row r="2174" spans="65:72" x14ac:dyDescent="0.25">
      <c r="BM2174" s="81"/>
      <c r="BN2174" s="81"/>
      <c r="BO2174" s="81"/>
      <c r="BP2174" s="81"/>
      <c r="BQ2174" s="81"/>
      <c r="BR2174" s="81"/>
      <c r="BS2174" s="81"/>
      <c r="BT2174" s="81"/>
    </row>
    <row r="2175" spans="65:72" x14ac:dyDescent="0.25">
      <c r="BM2175" s="81"/>
      <c r="BN2175" s="81"/>
      <c r="BO2175" s="81"/>
      <c r="BP2175" s="81"/>
      <c r="BQ2175" s="81"/>
      <c r="BR2175" s="81"/>
      <c r="BS2175" s="81"/>
      <c r="BT2175" s="81"/>
    </row>
    <row r="2176" spans="65:72" x14ac:dyDescent="0.25">
      <c r="BM2176" s="81"/>
      <c r="BN2176" s="81"/>
      <c r="BO2176" s="81"/>
      <c r="BP2176" s="81"/>
      <c r="BQ2176" s="81"/>
      <c r="BR2176" s="81"/>
      <c r="BS2176" s="81"/>
      <c r="BT2176" s="81"/>
    </row>
    <row r="2177" spans="65:72" x14ac:dyDescent="0.25">
      <c r="BM2177" s="81"/>
      <c r="BN2177" s="81"/>
      <c r="BO2177" s="81"/>
      <c r="BP2177" s="81"/>
      <c r="BQ2177" s="81"/>
      <c r="BR2177" s="81"/>
      <c r="BS2177" s="81"/>
      <c r="BT2177" s="81"/>
    </row>
    <row r="2178" spans="65:72" x14ac:dyDescent="0.25">
      <c r="BM2178" s="81"/>
      <c r="BN2178" s="81"/>
      <c r="BO2178" s="81"/>
      <c r="BP2178" s="81"/>
      <c r="BQ2178" s="81"/>
      <c r="BR2178" s="81"/>
      <c r="BS2178" s="81"/>
      <c r="BT2178" s="81"/>
    </row>
    <row r="2179" spans="65:72" x14ac:dyDescent="0.25">
      <c r="BM2179" s="81"/>
      <c r="BN2179" s="81"/>
      <c r="BO2179" s="81"/>
      <c r="BP2179" s="81"/>
      <c r="BQ2179" s="81"/>
      <c r="BR2179" s="81"/>
      <c r="BS2179" s="81"/>
      <c r="BT2179" s="81"/>
    </row>
    <row r="2180" spans="65:72" x14ac:dyDescent="0.25">
      <c r="BM2180" s="81"/>
      <c r="BN2180" s="81"/>
      <c r="BO2180" s="81"/>
      <c r="BP2180" s="81"/>
      <c r="BQ2180" s="81"/>
      <c r="BR2180" s="81"/>
      <c r="BS2180" s="81"/>
      <c r="BT2180" s="81"/>
    </row>
    <row r="2181" spans="65:72" x14ac:dyDescent="0.25">
      <c r="BM2181" s="81"/>
      <c r="BN2181" s="81"/>
      <c r="BO2181" s="81"/>
      <c r="BP2181" s="81"/>
      <c r="BQ2181" s="81"/>
      <c r="BR2181" s="81"/>
      <c r="BS2181" s="81"/>
      <c r="BT2181" s="81"/>
    </row>
    <row r="2182" spans="65:72" x14ac:dyDescent="0.25">
      <c r="BM2182" s="81"/>
      <c r="BN2182" s="81"/>
      <c r="BO2182" s="81"/>
      <c r="BP2182" s="81"/>
      <c r="BQ2182" s="81"/>
      <c r="BR2182" s="81"/>
      <c r="BS2182" s="81"/>
      <c r="BT2182" s="81"/>
    </row>
    <row r="2183" spans="65:72" x14ac:dyDescent="0.25">
      <c r="BM2183" s="81"/>
      <c r="BN2183" s="81"/>
      <c r="BO2183" s="81"/>
      <c r="BP2183" s="81"/>
      <c r="BQ2183" s="81"/>
      <c r="BR2183" s="81"/>
      <c r="BS2183" s="81"/>
      <c r="BT2183" s="81"/>
    </row>
    <row r="2184" spans="65:72" x14ac:dyDescent="0.25">
      <c r="BM2184" s="81"/>
      <c r="BN2184" s="81"/>
      <c r="BO2184" s="81"/>
      <c r="BP2184" s="81"/>
      <c r="BQ2184" s="81"/>
      <c r="BR2184" s="81"/>
      <c r="BS2184" s="81"/>
      <c r="BT2184" s="81"/>
    </row>
    <row r="2185" spans="65:72" x14ac:dyDescent="0.25">
      <c r="BM2185" s="81"/>
      <c r="BN2185" s="81"/>
      <c r="BO2185" s="81"/>
      <c r="BP2185" s="81"/>
      <c r="BQ2185" s="81"/>
      <c r="BR2185" s="81"/>
      <c r="BS2185" s="81"/>
      <c r="BT2185" s="81"/>
    </row>
    <row r="2186" spans="65:72" x14ac:dyDescent="0.25">
      <c r="BM2186" s="81"/>
      <c r="BN2186" s="81"/>
      <c r="BO2186" s="81"/>
      <c r="BP2186" s="81"/>
      <c r="BQ2186" s="81"/>
      <c r="BR2186" s="81"/>
      <c r="BS2186" s="81"/>
      <c r="BT2186" s="81"/>
    </row>
    <row r="2187" spans="65:72" x14ac:dyDescent="0.25">
      <c r="BM2187" s="81"/>
      <c r="BN2187" s="81"/>
      <c r="BO2187" s="81"/>
      <c r="BP2187" s="81"/>
      <c r="BQ2187" s="81"/>
      <c r="BR2187" s="81"/>
      <c r="BS2187" s="81"/>
      <c r="BT2187" s="81"/>
    </row>
    <row r="2188" spans="65:72" x14ac:dyDescent="0.25">
      <c r="BM2188" s="81"/>
      <c r="BN2188" s="81"/>
      <c r="BO2188" s="81"/>
      <c r="BP2188" s="81"/>
      <c r="BQ2188" s="81"/>
      <c r="BR2188" s="81"/>
      <c r="BS2188" s="81"/>
      <c r="BT2188" s="81"/>
    </row>
    <row r="2189" spans="65:72" x14ac:dyDescent="0.25">
      <c r="BM2189" s="81"/>
      <c r="BN2189" s="81"/>
      <c r="BO2189" s="81"/>
      <c r="BP2189" s="81"/>
      <c r="BQ2189" s="81"/>
      <c r="BR2189" s="81"/>
      <c r="BS2189" s="81"/>
      <c r="BT2189" s="81"/>
    </row>
    <row r="2190" spans="65:72" x14ac:dyDescent="0.25">
      <c r="BM2190" s="81"/>
      <c r="BN2190" s="81"/>
      <c r="BO2190" s="81"/>
      <c r="BP2190" s="81"/>
      <c r="BQ2190" s="81"/>
      <c r="BR2190" s="81"/>
      <c r="BS2190" s="81"/>
      <c r="BT2190" s="81"/>
    </row>
    <row r="2191" spans="65:72" x14ac:dyDescent="0.25">
      <c r="BM2191" s="81"/>
      <c r="BN2191" s="81"/>
      <c r="BO2191" s="81"/>
      <c r="BP2191" s="81"/>
      <c r="BQ2191" s="81"/>
      <c r="BR2191" s="81"/>
      <c r="BS2191" s="81"/>
      <c r="BT2191" s="81"/>
    </row>
    <row r="2192" spans="65:72" x14ac:dyDescent="0.25">
      <c r="BM2192" s="81"/>
      <c r="BN2192" s="81"/>
      <c r="BO2192" s="81"/>
      <c r="BP2192" s="81"/>
      <c r="BQ2192" s="81"/>
      <c r="BR2192" s="81"/>
      <c r="BS2192" s="81"/>
      <c r="BT2192" s="81"/>
    </row>
    <row r="2193" spans="65:72" x14ac:dyDescent="0.25">
      <c r="BM2193" s="81"/>
      <c r="BN2193" s="81"/>
      <c r="BO2193" s="81"/>
      <c r="BP2193" s="81"/>
      <c r="BQ2193" s="81"/>
      <c r="BR2193" s="81"/>
      <c r="BS2193" s="81"/>
      <c r="BT2193" s="81"/>
    </row>
    <row r="2194" spans="65:72" x14ac:dyDescent="0.25">
      <c r="BM2194" s="81"/>
      <c r="BN2194" s="81"/>
      <c r="BO2194" s="81"/>
      <c r="BP2194" s="81"/>
      <c r="BQ2194" s="81"/>
      <c r="BR2194" s="81"/>
      <c r="BS2194" s="81"/>
      <c r="BT2194" s="81"/>
    </row>
    <row r="2195" spans="65:72" x14ac:dyDescent="0.25">
      <c r="BM2195" s="81"/>
      <c r="BN2195" s="81"/>
      <c r="BO2195" s="81"/>
      <c r="BP2195" s="81"/>
      <c r="BQ2195" s="81"/>
      <c r="BR2195" s="81"/>
      <c r="BS2195" s="81"/>
      <c r="BT2195" s="81"/>
    </row>
    <row r="2196" spans="65:72" x14ac:dyDescent="0.25">
      <c r="BM2196" s="81"/>
      <c r="BN2196" s="81"/>
      <c r="BO2196" s="81"/>
      <c r="BP2196" s="81"/>
      <c r="BQ2196" s="81"/>
      <c r="BR2196" s="81"/>
      <c r="BS2196" s="81"/>
      <c r="BT2196" s="81"/>
    </row>
    <row r="2197" spans="65:72" x14ac:dyDescent="0.25">
      <c r="BM2197" s="81"/>
      <c r="BN2197" s="81"/>
      <c r="BO2197" s="81"/>
      <c r="BP2197" s="81"/>
      <c r="BQ2197" s="81"/>
      <c r="BR2197" s="81"/>
      <c r="BS2197" s="81"/>
      <c r="BT2197" s="81"/>
    </row>
    <row r="2198" spans="65:72" x14ac:dyDescent="0.25">
      <c r="BM2198" s="81"/>
      <c r="BN2198" s="81"/>
      <c r="BO2198" s="81"/>
      <c r="BP2198" s="81"/>
      <c r="BQ2198" s="81"/>
      <c r="BR2198" s="81"/>
      <c r="BS2198" s="81"/>
      <c r="BT2198" s="81"/>
    </row>
    <row r="2199" spans="65:72" x14ac:dyDescent="0.25">
      <c r="BM2199" s="81"/>
      <c r="BN2199" s="81"/>
      <c r="BO2199" s="81"/>
      <c r="BP2199" s="81"/>
      <c r="BQ2199" s="81"/>
      <c r="BR2199" s="81"/>
      <c r="BS2199" s="81"/>
      <c r="BT2199" s="81"/>
    </row>
    <row r="2200" spans="65:72" x14ac:dyDescent="0.25">
      <c r="BM2200" s="81"/>
      <c r="BN2200" s="81"/>
      <c r="BO2200" s="81"/>
      <c r="BP2200" s="81"/>
      <c r="BQ2200" s="81"/>
      <c r="BR2200" s="81"/>
      <c r="BS2200" s="81"/>
      <c r="BT2200" s="81"/>
    </row>
    <row r="2201" spans="65:72" x14ac:dyDescent="0.25">
      <c r="BM2201" s="81"/>
      <c r="BN2201" s="81"/>
      <c r="BO2201" s="81"/>
      <c r="BP2201" s="81"/>
      <c r="BQ2201" s="81"/>
      <c r="BR2201" s="81"/>
      <c r="BS2201" s="81"/>
      <c r="BT2201" s="81"/>
    </row>
    <row r="2202" spans="65:72" x14ac:dyDescent="0.25">
      <c r="BM2202" s="81"/>
      <c r="BN2202" s="81"/>
      <c r="BO2202" s="81"/>
      <c r="BP2202" s="81"/>
      <c r="BQ2202" s="81"/>
      <c r="BR2202" s="81"/>
      <c r="BS2202" s="81"/>
      <c r="BT2202" s="81"/>
    </row>
    <row r="2203" spans="65:72" x14ac:dyDescent="0.25">
      <c r="BM2203" s="81"/>
      <c r="BN2203" s="81"/>
      <c r="BO2203" s="81"/>
      <c r="BP2203" s="81"/>
      <c r="BQ2203" s="81"/>
      <c r="BR2203" s="81"/>
      <c r="BS2203" s="81"/>
      <c r="BT2203" s="81"/>
    </row>
    <row r="2204" spans="65:72" x14ac:dyDescent="0.25">
      <c r="BM2204" s="81"/>
      <c r="BN2204" s="81"/>
      <c r="BO2204" s="81"/>
      <c r="BP2204" s="81"/>
      <c r="BQ2204" s="81"/>
      <c r="BR2204" s="81"/>
      <c r="BS2204" s="81"/>
      <c r="BT2204" s="81"/>
    </row>
    <row r="2205" spans="65:72" x14ac:dyDescent="0.25">
      <c r="BM2205" s="81"/>
      <c r="BN2205" s="81"/>
      <c r="BO2205" s="81"/>
      <c r="BP2205" s="81"/>
      <c r="BQ2205" s="81"/>
      <c r="BR2205" s="81"/>
      <c r="BS2205" s="81"/>
      <c r="BT2205" s="81"/>
    </row>
    <row r="2206" spans="65:72" x14ac:dyDescent="0.25">
      <c r="BM2206" s="81"/>
      <c r="BN2206" s="81"/>
      <c r="BO2206" s="81"/>
      <c r="BP2206" s="81"/>
      <c r="BQ2206" s="81"/>
      <c r="BR2206" s="81"/>
      <c r="BS2206" s="81"/>
      <c r="BT2206" s="81"/>
    </row>
    <row r="2207" spans="65:72" x14ac:dyDescent="0.25">
      <c r="BM2207" s="81"/>
      <c r="BN2207" s="81"/>
      <c r="BO2207" s="81"/>
      <c r="BP2207" s="81"/>
      <c r="BQ2207" s="81"/>
      <c r="BR2207" s="81"/>
      <c r="BS2207" s="81"/>
      <c r="BT2207" s="81"/>
    </row>
    <row r="2208" spans="65:72" x14ac:dyDescent="0.25">
      <c r="BM2208" s="81"/>
      <c r="BN2208" s="81"/>
      <c r="BO2208" s="81"/>
      <c r="BP2208" s="81"/>
      <c r="BQ2208" s="81"/>
      <c r="BR2208" s="81"/>
      <c r="BS2208" s="81"/>
      <c r="BT2208" s="81"/>
    </row>
    <row r="2209" spans="65:72" x14ac:dyDescent="0.25">
      <c r="BM2209" s="81"/>
      <c r="BN2209" s="81"/>
      <c r="BO2209" s="81"/>
      <c r="BP2209" s="81"/>
      <c r="BQ2209" s="81"/>
      <c r="BR2209" s="81"/>
      <c r="BS2209" s="81"/>
      <c r="BT2209" s="81"/>
    </row>
    <row r="2210" spans="65:72" x14ac:dyDescent="0.25">
      <c r="BM2210" s="81"/>
      <c r="BN2210" s="81"/>
      <c r="BO2210" s="81"/>
      <c r="BP2210" s="81"/>
      <c r="BQ2210" s="81"/>
      <c r="BR2210" s="81"/>
      <c r="BS2210" s="81"/>
      <c r="BT2210" s="81"/>
    </row>
    <row r="2211" spans="65:72" x14ac:dyDescent="0.25">
      <c r="BM2211" s="81"/>
      <c r="BN2211" s="81"/>
      <c r="BO2211" s="81"/>
      <c r="BP2211" s="81"/>
      <c r="BQ2211" s="81"/>
      <c r="BR2211" s="81"/>
      <c r="BS2211" s="81"/>
      <c r="BT2211" s="81"/>
    </row>
    <row r="2212" spans="65:72" x14ac:dyDescent="0.25">
      <c r="BM2212" s="81"/>
      <c r="BN2212" s="81"/>
      <c r="BO2212" s="81"/>
      <c r="BP2212" s="81"/>
      <c r="BQ2212" s="81"/>
      <c r="BR2212" s="81"/>
      <c r="BS2212" s="81"/>
      <c r="BT2212" s="81"/>
    </row>
    <row r="2213" spans="65:72" x14ac:dyDescent="0.25">
      <c r="BM2213" s="81"/>
      <c r="BN2213" s="81"/>
      <c r="BO2213" s="81"/>
      <c r="BP2213" s="81"/>
      <c r="BQ2213" s="81"/>
      <c r="BR2213" s="81"/>
      <c r="BS2213" s="81"/>
      <c r="BT2213" s="81"/>
    </row>
    <row r="2214" spans="65:72" x14ac:dyDescent="0.25">
      <c r="BM2214" s="81"/>
      <c r="BN2214" s="81"/>
      <c r="BO2214" s="81"/>
      <c r="BP2214" s="81"/>
      <c r="BQ2214" s="81"/>
      <c r="BR2214" s="81"/>
      <c r="BS2214" s="81"/>
      <c r="BT2214" s="81"/>
    </row>
    <row r="2215" spans="65:72" x14ac:dyDescent="0.25">
      <c r="BM2215" s="81"/>
      <c r="BN2215" s="81"/>
      <c r="BO2215" s="81"/>
      <c r="BP2215" s="81"/>
      <c r="BQ2215" s="81"/>
      <c r="BR2215" s="81"/>
      <c r="BS2215" s="81"/>
      <c r="BT2215" s="81"/>
    </row>
    <row r="2216" spans="65:72" x14ac:dyDescent="0.25">
      <c r="BM2216" s="81"/>
      <c r="BN2216" s="81"/>
      <c r="BO2216" s="81"/>
      <c r="BP2216" s="81"/>
      <c r="BQ2216" s="81"/>
      <c r="BR2216" s="81"/>
      <c r="BS2216" s="81"/>
      <c r="BT2216" s="81"/>
    </row>
    <row r="2217" spans="65:72" x14ac:dyDescent="0.25">
      <c r="BM2217" s="81"/>
      <c r="BN2217" s="81"/>
      <c r="BO2217" s="81"/>
      <c r="BP2217" s="81"/>
      <c r="BQ2217" s="81"/>
      <c r="BR2217" s="81"/>
      <c r="BS2217" s="81"/>
      <c r="BT2217" s="81"/>
    </row>
    <row r="2218" spans="65:72" x14ac:dyDescent="0.25">
      <c r="BM2218" s="81"/>
      <c r="BN2218" s="81"/>
      <c r="BO2218" s="81"/>
      <c r="BP2218" s="81"/>
      <c r="BQ2218" s="81"/>
      <c r="BR2218" s="81"/>
      <c r="BS2218" s="81"/>
      <c r="BT2218" s="81"/>
    </row>
    <row r="2219" spans="65:72" x14ac:dyDescent="0.25">
      <c r="BM2219" s="81"/>
      <c r="BN2219" s="81"/>
      <c r="BO2219" s="81"/>
      <c r="BP2219" s="81"/>
      <c r="BQ2219" s="81"/>
      <c r="BR2219" s="81"/>
      <c r="BS2219" s="81"/>
      <c r="BT2219" s="81"/>
    </row>
    <row r="2220" spans="65:72" x14ac:dyDescent="0.25">
      <c r="BM2220" s="81"/>
      <c r="BN2220" s="81"/>
      <c r="BO2220" s="81"/>
      <c r="BP2220" s="81"/>
      <c r="BQ2220" s="81"/>
      <c r="BR2220" s="81"/>
      <c r="BS2220" s="81"/>
      <c r="BT2220" s="81"/>
    </row>
    <row r="2221" spans="65:72" x14ac:dyDescent="0.25">
      <c r="BM2221" s="81"/>
      <c r="BN2221" s="81"/>
      <c r="BO2221" s="81"/>
      <c r="BP2221" s="81"/>
      <c r="BQ2221" s="81"/>
      <c r="BR2221" s="81"/>
      <c r="BS2221" s="81"/>
      <c r="BT2221" s="81"/>
    </row>
    <row r="2222" spans="65:72" x14ac:dyDescent="0.25">
      <c r="BM2222" s="81"/>
      <c r="BN2222" s="81"/>
      <c r="BO2222" s="81"/>
      <c r="BP2222" s="81"/>
      <c r="BQ2222" s="81"/>
      <c r="BR2222" s="81"/>
      <c r="BS2222" s="81"/>
      <c r="BT2222" s="81"/>
    </row>
    <row r="2223" spans="65:72" x14ac:dyDescent="0.25">
      <c r="BM2223" s="81"/>
      <c r="BN2223" s="81"/>
      <c r="BO2223" s="81"/>
      <c r="BP2223" s="81"/>
      <c r="BQ2223" s="81"/>
      <c r="BR2223" s="81"/>
      <c r="BS2223" s="81"/>
      <c r="BT2223" s="81"/>
    </row>
    <row r="2224" spans="65:72" x14ac:dyDescent="0.25">
      <c r="BM2224" s="81"/>
      <c r="BN2224" s="81"/>
      <c r="BO2224" s="81"/>
      <c r="BP2224" s="81"/>
      <c r="BQ2224" s="81"/>
      <c r="BR2224" s="81"/>
      <c r="BS2224" s="81"/>
      <c r="BT2224" s="81"/>
    </row>
    <row r="2225" spans="65:72" x14ac:dyDescent="0.25">
      <c r="BM2225" s="81"/>
      <c r="BN2225" s="81"/>
      <c r="BO2225" s="81"/>
      <c r="BP2225" s="81"/>
      <c r="BQ2225" s="81"/>
      <c r="BR2225" s="81"/>
      <c r="BS2225" s="81"/>
      <c r="BT2225" s="81"/>
    </row>
    <row r="2226" spans="65:72" x14ac:dyDescent="0.25">
      <c r="BM2226" s="81"/>
      <c r="BN2226" s="81"/>
      <c r="BO2226" s="81"/>
      <c r="BP2226" s="81"/>
      <c r="BQ2226" s="81"/>
      <c r="BR2226" s="81"/>
      <c r="BS2226" s="81"/>
      <c r="BT2226" s="81"/>
    </row>
    <row r="2227" spans="65:72" x14ac:dyDescent="0.25">
      <c r="BM2227" s="81"/>
      <c r="BN2227" s="81"/>
      <c r="BO2227" s="81"/>
      <c r="BP2227" s="81"/>
      <c r="BQ2227" s="81"/>
      <c r="BR2227" s="81"/>
      <c r="BS2227" s="81"/>
      <c r="BT2227" s="81"/>
    </row>
    <row r="2228" spans="65:72" x14ac:dyDescent="0.25">
      <c r="BM2228" s="81"/>
      <c r="BN2228" s="81"/>
      <c r="BO2228" s="81"/>
      <c r="BP2228" s="81"/>
      <c r="BQ2228" s="81"/>
      <c r="BR2228" s="81"/>
      <c r="BS2228" s="81"/>
      <c r="BT2228" s="81"/>
    </row>
    <row r="2229" spans="65:72" x14ac:dyDescent="0.25">
      <c r="BM2229" s="81"/>
      <c r="BN2229" s="81"/>
      <c r="BO2229" s="81"/>
      <c r="BP2229" s="81"/>
      <c r="BQ2229" s="81"/>
      <c r="BR2229" s="81"/>
      <c r="BS2229" s="81"/>
      <c r="BT2229" s="81"/>
    </row>
    <row r="2230" spans="65:72" x14ac:dyDescent="0.25">
      <c r="BM2230" s="81"/>
      <c r="BN2230" s="81"/>
      <c r="BO2230" s="81"/>
      <c r="BP2230" s="81"/>
      <c r="BQ2230" s="81"/>
      <c r="BR2230" s="81"/>
      <c r="BS2230" s="81"/>
      <c r="BT2230" s="81"/>
    </row>
    <row r="2231" spans="65:72" x14ac:dyDescent="0.25">
      <c r="BM2231" s="81"/>
      <c r="BN2231" s="81"/>
      <c r="BO2231" s="81"/>
      <c r="BP2231" s="81"/>
      <c r="BQ2231" s="81"/>
      <c r="BR2231" s="81"/>
      <c r="BS2231" s="81"/>
      <c r="BT2231" s="81"/>
    </row>
    <row r="2232" spans="65:72" x14ac:dyDescent="0.25">
      <c r="BM2232" s="81"/>
      <c r="BN2232" s="81"/>
      <c r="BO2232" s="81"/>
      <c r="BP2232" s="81"/>
      <c r="BQ2232" s="81"/>
      <c r="BR2232" s="81"/>
      <c r="BS2232" s="81"/>
      <c r="BT2232" s="81"/>
    </row>
    <row r="2233" spans="65:72" x14ac:dyDescent="0.25">
      <c r="BM2233" s="81"/>
      <c r="BN2233" s="81"/>
      <c r="BO2233" s="81"/>
      <c r="BP2233" s="81"/>
      <c r="BQ2233" s="81"/>
      <c r="BR2233" s="81"/>
      <c r="BS2233" s="81"/>
      <c r="BT2233" s="81"/>
    </row>
    <row r="2234" spans="65:72" x14ac:dyDescent="0.25">
      <c r="BM2234" s="81"/>
      <c r="BN2234" s="81"/>
      <c r="BO2234" s="81"/>
      <c r="BP2234" s="81"/>
      <c r="BQ2234" s="81"/>
      <c r="BR2234" s="81"/>
      <c r="BS2234" s="81"/>
      <c r="BT2234" s="81"/>
    </row>
    <row r="2235" spans="65:72" x14ac:dyDescent="0.25">
      <c r="BM2235" s="81"/>
      <c r="BN2235" s="81"/>
      <c r="BO2235" s="81"/>
      <c r="BP2235" s="81"/>
      <c r="BQ2235" s="81"/>
      <c r="BR2235" s="81"/>
      <c r="BS2235" s="81"/>
      <c r="BT2235" s="81"/>
    </row>
    <row r="2236" spans="65:72" x14ac:dyDescent="0.25">
      <c r="BM2236" s="81"/>
      <c r="BN2236" s="81"/>
      <c r="BO2236" s="81"/>
      <c r="BP2236" s="81"/>
      <c r="BQ2236" s="81"/>
      <c r="BR2236" s="81"/>
      <c r="BS2236" s="81"/>
      <c r="BT2236" s="81"/>
    </row>
    <row r="2237" spans="65:72" x14ac:dyDescent="0.25">
      <c r="BM2237" s="81"/>
      <c r="BN2237" s="81"/>
      <c r="BO2237" s="81"/>
      <c r="BP2237" s="81"/>
      <c r="BQ2237" s="81"/>
      <c r="BR2237" s="81"/>
      <c r="BS2237" s="81"/>
      <c r="BT2237" s="81"/>
    </row>
    <row r="2238" spans="65:72" x14ac:dyDescent="0.25">
      <c r="BM2238" s="81"/>
      <c r="BN2238" s="81"/>
      <c r="BO2238" s="81"/>
      <c r="BP2238" s="81"/>
      <c r="BQ2238" s="81"/>
      <c r="BR2238" s="81"/>
      <c r="BS2238" s="81"/>
      <c r="BT2238" s="81"/>
    </row>
    <row r="2239" spans="65:72" x14ac:dyDescent="0.25">
      <c r="BM2239" s="81"/>
      <c r="BN2239" s="81"/>
      <c r="BO2239" s="81"/>
      <c r="BP2239" s="81"/>
      <c r="BQ2239" s="81"/>
      <c r="BR2239" s="81"/>
      <c r="BS2239" s="81"/>
      <c r="BT2239" s="81"/>
    </row>
    <row r="2240" spans="65:72" x14ac:dyDescent="0.25">
      <c r="BM2240" s="81"/>
      <c r="BN2240" s="81"/>
      <c r="BO2240" s="81"/>
      <c r="BP2240" s="81"/>
      <c r="BQ2240" s="81"/>
      <c r="BR2240" s="81"/>
      <c r="BS2240" s="81"/>
      <c r="BT2240" s="81"/>
    </row>
    <row r="2241" spans="65:72" x14ac:dyDescent="0.25">
      <c r="BM2241" s="81"/>
      <c r="BN2241" s="81"/>
      <c r="BO2241" s="81"/>
      <c r="BP2241" s="81"/>
      <c r="BQ2241" s="81"/>
      <c r="BR2241" s="81"/>
      <c r="BS2241" s="81"/>
      <c r="BT2241" s="81"/>
    </row>
    <row r="2242" spans="65:72" x14ac:dyDescent="0.25">
      <c r="BM2242" s="81"/>
      <c r="BN2242" s="81"/>
      <c r="BO2242" s="81"/>
      <c r="BP2242" s="81"/>
      <c r="BQ2242" s="81"/>
      <c r="BR2242" s="81"/>
      <c r="BS2242" s="81"/>
      <c r="BT2242" s="81"/>
    </row>
    <row r="2243" spans="65:72" x14ac:dyDescent="0.25">
      <c r="BM2243" s="81"/>
      <c r="BN2243" s="81"/>
      <c r="BO2243" s="81"/>
      <c r="BP2243" s="81"/>
      <c r="BQ2243" s="81"/>
      <c r="BR2243" s="81"/>
      <c r="BS2243" s="81"/>
      <c r="BT2243" s="81"/>
    </row>
    <row r="2244" spans="65:72" x14ac:dyDescent="0.25">
      <c r="BM2244" s="81"/>
      <c r="BN2244" s="81"/>
      <c r="BO2244" s="81"/>
      <c r="BP2244" s="81"/>
      <c r="BQ2244" s="81"/>
      <c r="BR2244" s="81"/>
      <c r="BS2244" s="81"/>
      <c r="BT2244" s="81"/>
    </row>
    <row r="2245" spans="65:72" x14ac:dyDescent="0.25">
      <c r="BM2245" s="81"/>
      <c r="BN2245" s="81"/>
      <c r="BO2245" s="81"/>
      <c r="BP2245" s="81"/>
      <c r="BQ2245" s="81"/>
      <c r="BR2245" s="81"/>
      <c r="BS2245" s="81"/>
      <c r="BT2245" s="81"/>
    </row>
    <row r="2246" spans="65:72" x14ac:dyDescent="0.25">
      <c r="BM2246" s="81"/>
      <c r="BN2246" s="81"/>
      <c r="BO2246" s="81"/>
      <c r="BP2246" s="81"/>
      <c r="BQ2246" s="81"/>
      <c r="BR2246" s="81"/>
      <c r="BS2246" s="81"/>
      <c r="BT2246" s="81"/>
    </row>
    <row r="2247" spans="65:72" x14ac:dyDescent="0.25">
      <c r="BM2247" s="81"/>
      <c r="BN2247" s="81"/>
      <c r="BO2247" s="81"/>
      <c r="BP2247" s="81"/>
      <c r="BQ2247" s="81"/>
      <c r="BR2247" s="81"/>
      <c r="BS2247" s="81"/>
      <c r="BT2247" s="81"/>
    </row>
    <row r="2248" spans="65:72" x14ac:dyDescent="0.25">
      <c r="BM2248" s="81"/>
      <c r="BN2248" s="81"/>
      <c r="BO2248" s="81"/>
      <c r="BP2248" s="81"/>
      <c r="BQ2248" s="81"/>
      <c r="BR2248" s="81"/>
      <c r="BS2248" s="81"/>
      <c r="BT2248" s="81"/>
    </row>
    <row r="2249" spans="65:72" x14ac:dyDescent="0.25">
      <c r="BM2249" s="81"/>
      <c r="BN2249" s="81"/>
      <c r="BO2249" s="81"/>
      <c r="BP2249" s="81"/>
      <c r="BQ2249" s="81"/>
      <c r="BR2249" s="81"/>
      <c r="BS2249" s="81"/>
      <c r="BT2249" s="81"/>
    </row>
    <row r="2250" spans="65:72" x14ac:dyDescent="0.25">
      <c r="BM2250" s="81"/>
      <c r="BN2250" s="81"/>
      <c r="BO2250" s="81"/>
      <c r="BP2250" s="81"/>
      <c r="BQ2250" s="81"/>
      <c r="BR2250" s="81"/>
      <c r="BS2250" s="81"/>
      <c r="BT2250" s="81"/>
    </row>
    <row r="2251" spans="65:72" x14ac:dyDescent="0.25">
      <c r="BM2251" s="81"/>
      <c r="BN2251" s="81"/>
      <c r="BO2251" s="81"/>
      <c r="BP2251" s="81"/>
      <c r="BQ2251" s="81"/>
      <c r="BR2251" s="81"/>
      <c r="BS2251" s="81"/>
      <c r="BT2251" s="81"/>
    </row>
    <row r="2252" spans="65:72" x14ac:dyDescent="0.25">
      <c r="BM2252" s="81"/>
      <c r="BN2252" s="81"/>
      <c r="BO2252" s="81"/>
      <c r="BP2252" s="81"/>
      <c r="BQ2252" s="81"/>
      <c r="BR2252" s="81"/>
      <c r="BS2252" s="81"/>
      <c r="BT2252" s="81"/>
    </row>
    <row r="2253" spans="65:72" x14ac:dyDescent="0.25">
      <c r="BM2253" s="81"/>
      <c r="BN2253" s="81"/>
      <c r="BO2253" s="81"/>
      <c r="BP2253" s="81"/>
      <c r="BQ2253" s="81"/>
      <c r="BR2253" s="81"/>
      <c r="BS2253" s="81"/>
      <c r="BT2253" s="81"/>
    </row>
    <row r="2254" spans="65:72" x14ac:dyDescent="0.25">
      <c r="BM2254" s="81"/>
      <c r="BN2254" s="81"/>
      <c r="BO2254" s="81"/>
      <c r="BP2254" s="81"/>
      <c r="BQ2254" s="81"/>
      <c r="BR2254" s="81"/>
      <c r="BS2254" s="81"/>
      <c r="BT2254" s="81"/>
    </row>
    <row r="2255" spans="65:72" x14ac:dyDescent="0.25">
      <c r="BM2255" s="81"/>
      <c r="BN2255" s="81"/>
      <c r="BO2255" s="81"/>
      <c r="BP2255" s="81"/>
      <c r="BQ2255" s="81"/>
      <c r="BR2255" s="81"/>
      <c r="BS2255" s="81"/>
      <c r="BT2255" s="81"/>
    </row>
    <row r="2256" spans="65:72" x14ac:dyDescent="0.25">
      <c r="BM2256" s="81"/>
      <c r="BN2256" s="81"/>
      <c r="BO2256" s="81"/>
      <c r="BP2256" s="81"/>
      <c r="BQ2256" s="81"/>
      <c r="BR2256" s="81"/>
      <c r="BS2256" s="81"/>
      <c r="BT2256" s="81"/>
    </row>
    <row r="2257" spans="65:72" x14ac:dyDescent="0.25">
      <c r="BM2257" s="81"/>
      <c r="BN2257" s="81"/>
      <c r="BO2257" s="81"/>
      <c r="BP2257" s="81"/>
      <c r="BQ2257" s="81"/>
      <c r="BR2257" s="81"/>
      <c r="BS2257" s="81"/>
      <c r="BT2257" s="81"/>
    </row>
    <row r="2258" spans="65:72" x14ac:dyDescent="0.25">
      <c r="BM2258" s="81"/>
      <c r="BN2258" s="81"/>
      <c r="BO2258" s="81"/>
      <c r="BP2258" s="81"/>
      <c r="BQ2258" s="81"/>
      <c r="BR2258" s="81"/>
      <c r="BS2258" s="81"/>
      <c r="BT2258" s="81"/>
    </row>
    <row r="2259" spans="65:72" x14ac:dyDescent="0.25">
      <c r="BM2259" s="81"/>
      <c r="BN2259" s="81"/>
      <c r="BO2259" s="81"/>
      <c r="BP2259" s="81"/>
      <c r="BQ2259" s="81"/>
      <c r="BR2259" s="81"/>
      <c r="BS2259" s="81"/>
      <c r="BT2259" s="81"/>
    </row>
    <row r="2260" spans="65:72" x14ac:dyDescent="0.25">
      <c r="BM2260" s="81"/>
      <c r="BN2260" s="81"/>
      <c r="BO2260" s="81"/>
      <c r="BP2260" s="81"/>
      <c r="BQ2260" s="81"/>
      <c r="BR2260" s="81"/>
      <c r="BS2260" s="81"/>
      <c r="BT2260" s="81"/>
    </row>
    <row r="2261" spans="65:72" x14ac:dyDescent="0.25">
      <c r="BM2261" s="81"/>
      <c r="BN2261" s="81"/>
      <c r="BO2261" s="81"/>
      <c r="BP2261" s="81"/>
      <c r="BQ2261" s="81"/>
      <c r="BR2261" s="81"/>
      <c r="BS2261" s="81"/>
      <c r="BT2261" s="81"/>
    </row>
    <row r="2262" spans="65:72" x14ac:dyDescent="0.25">
      <c r="BM2262" s="81"/>
      <c r="BN2262" s="81"/>
      <c r="BO2262" s="81"/>
      <c r="BP2262" s="81"/>
      <c r="BQ2262" s="81"/>
      <c r="BR2262" s="81"/>
      <c r="BS2262" s="81"/>
      <c r="BT2262" s="81"/>
    </row>
    <row r="2263" spans="65:72" x14ac:dyDescent="0.25">
      <c r="BM2263" s="81"/>
      <c r="BN2263" s="81"/>
      <c r="BO2263" s="81"/>
      <c r="BP2263" s="81"/>
      <c r="BQ2263" s="81"/>
      <c r="BR2263" s="81"/>
      <c r="BS2263" s="81"/>
      <c r="BT2263" s="81"/>
    </row>
    <row r="2264" spans="65:72" x14ac:dyDescent="0.25">
      <c r="BM2264" s="81"/>
      <c r="BN2264" s="81"/>
      <c r="BO2264" s="81"/>
      <c r="BP2264" s="81"/>
      <c r="BQ2264" s="81"/>
      <c r="BR2264" s="81"/>
      <c r="BS2264" s="81"/>
      <c r="BT2264" s="81"/>
    </row>
    <row r="2265" spans="65:72" x14ac:dyDescent="0.25">
      <c r="BM2265" s="81"/>
      <c r="BN2265" s="81"/>
      <c r="BO2265" s="81"/>
      <c r="BP2265" s="81"/>
      <c r="BQ2265" s="81"/>
      <c r="BR2265" s="81"/>
      <c r="BS2265" s="81"/>
      <c r="BT2265" s="81"/>
    </row>
    <row r="2266" spans="65:72" x14ac:dyDescent="0.25">
      <c r="BM2266" s="81"/>
      <c r="BN2266" s="81"/>
      <c r="BO2266" s="81"/>
      <c r="BP2266" s="81"/>
      <c r="BQ2266" s="81"/>
      <c r="BR2266" s="81"/>
      <c r="BS2266" s="81"/>
      <c r="BT2266" s="81"/>
    </row>
    <row r="2267" spans="65:72" x14ac:dyDescent="0.25">
      <c r="BM2267" s="81"/>
      <c r="BN2267" s="81"/>
      <c r="BO2267" s="81"/>
      <c r="BP2267" s="81"/>
      <c r="BQ2267" s="81"/>
      <c r="BR2267" s="81"/>
      <c r="BS2267" s="81"/>
      <c r="BT2267" s="81"/>
    </row>
    <row r="2268" spans="65:72" x14ac:dyDescent="0.25">
      <c r="BM2268" s="81"/>
      <c r="BN2268" s="81"/>
      <c r="BO2268" s="81"/>
      <c r="BP2268" s="81"/>
      <c r="BQ2268" s="81"/>
      <c r="BR2268" s="81"/>
      <c r="BS2268" s="81"/>
      <c r="BT2268" s="81"/>
    </row>
    <row r="2269" spans="65:72" x14ac:dyDescent="0.25">
      <c r="BM2269" s="81"/>
      <c r="BN2269" s="81"/>
      <c r="BO2269" s="81"/>
      <c r="BP2269" s="81"/>
      <c r="BQ2269" s="81"/>
      <c r="BR2269" s="81"/>
      <c r="BS2269" s="81"/>
      <c r="BT2269" s="81"/>
    </row>
    <row r="2270" spans="65:72" x14ac:dyDescent="0.25">
      <c r="BM2270" s="81"/>
      <c r="BN2270" s="81"/>
      <c r="BO2270" s="81"/>
      <c r="BP2270" s="81"/>
      <c r="BQ2270" s="81"/>
      <c r="BR2270" s="81"/>
      <c r="BS2270" s="81"/>
      <c r="BT2270" s="81"/>
    </row>
    <row r="2271" spans="65:72" x14ac:dyDescent="0.25">
      <c r="BM2271" s="81"/>
      <c r="BN2271" s="81"/>
      <c r="BO2271" s="81"/>
      <c r="BP2271" s="81"/>
      <c r="BQ2271" s="81"/>
      <c r="BR2271" s="81"/>
      <c r="BS2271" s="81"/>
      <c r="BT2271" s="81"/>
    </row>
    <row r="2272" spans="65:72" x14ac:dyDescent="0.25">
      <c r="BM2272" s="81"/>
      <c r="BN2272" s="81"/>
      <c r="BO2272" s="81"/>
      <c r="BP2272" s="81"/>
      <c r="BQ2272" s="81"/>
      <c r="BR2272" s="81"/>
      <c r="BS2272" s="81"/>
      <c r="BT2272" s="81"/>
    </row>
    <row r="2273" spans="65:72" x14ac:dyDescent="0.25">
      <c r="BM2273" s="81"/>
      <c r="BN2273" s="81"/>
      <c r="BO2273" s="81"/>
      <c r="BP2273" s="81"/>
      <c r="BQ2273" s="81"/>
      <c r="BR2273" s="81"/>
      <c r="BS2273" s="81"/>
      <c r="BT2273" s="81"/>
    </row>
    <row r="2274" spans="65:72" x14ac:dyDescent="0.25">
      <c r="BM2274" s="81"/>
      <c r="BN2274" s="81"/>
      <c r="BO2274" s="81"/>
      <c r="BP2274" s="81"/>
      <c r="BQ2274" s="81"/>
      <c r="BR2274" s="81"/>
      <c r="BS2274" s="81"/>
      <c r="BT2274" s="81"/>
    </row>
    <row r="2275" spans="65:72" x14ac:dyDescent="0.25">
      <c r="BM2275" s="81"/>
      <c r="BN2275" s="81"/>
      <c r="BO2275" s="81"/>
      <c r="BP2275" s="81"/>
      <c r="BQ2275" s="81"/>
      <c r="BR2275" s="81"/>
      <c r="BS2275" s="81"/>
      <c r="BT2275" s="81"/>
    </row>
    <row r="2276" spans="65:72" x14ac:dyDescent="0.25">
      <c r="BM2276" s="81"/>
      <c r="BN2276" s="81"/>
      <c r="BO2276" s="81"/>
      <c r="BP2276" s="81"/>
      <c r="BQ2276" s="81"/>
      <c r="BR2276" s="81"/>
      <c r="BS2276" s="81"/>
      <c r="BT2276" s="81"/>
    </row>
    <row r="2277" spans="65:72" x14ac:dyDescent="0.25">
      <c r="BM2277" s="81"/>
      <c r="BN2277" s="81"/>
      <c r="BO2277" s="81"/>
      <c r="BP2277" s="81"/>
      <c r="BQ2277" s="81"/>
      <c r="BR2277" s="81"/>
      <c r="BS2277" s="81"/>
      <c r="BT2277" s="81"/>
    </row>
    <row r="2278" spans="65:72" x14ac:dyDescent="0.25">
      <c r="BM2278" s="81"/>
      <c r="BN2278" s="81"/>
      <c r="BO2278" s="81"/>
      <c r="BP2278" s="81"/>
      <c r="BQ2278" s="81"/>
      <c r="BR2278" s="81"/>
      <c r="BS2278" s="81"/>
      <c r="BT2278" s="81"/>
    </row>
    <row r="2279" spans="65:72" x14ac:dyDescent="0.25">
      <c r="BM2279" s="81"/>
      <c r="BN2279" s="81"/>
      <c r="BO2279" s="81"/>
      <c r="BP2279" s="81"/>
      <c r="BQ2279" s="81"/>
      <c r="BR2279" s="81"/>
      <c r="BS2279" s="81"/>
      <c r="BT2279" s="81"/>
    </row>
    <row r="2280" spans="65:72" x14ac:dyDescent="0.25">
      <c r="BM2280" s="81"/>
      <c r="BN2280" s="81"/>
      <c r="BO2280" s="81"/>
      <c r="BP2280" s="81"/>
      <c r="BQ2280" s="81"/>
      <c r="BR2280" s="81"/>
      <c r="BS2280" s="81"/>
      <c r="BT2280" s="81"/>
    </row>
    <row r="2281" spans="65:72" x14ac:dyDescent="0.25">
      <c r="BM2281" s="81"/>
      <c r="BN2281" s="81"/>
      <c r="BO2281" s="81"/>
      <c r="BP2281" s="81"/>
      <c r="BQ2281" s="81"/>
      <c r="BR2281" s="81"/>
      <c r="BS2281" s="81"/>
      <c r="BT2281" s="81"/>
    </row>
    <row r="2282" spans="65:72" x14ac:dyDescent="0.25">
      <c r="BM2282" s="81"/>
      <c r="BN2282" s="81"/>
      <c r="BO2282" s="81"/>
      <c r="BP2282" s="81"/>
      <c r="BQ2282" s="81"/>
      <c r="BR2282" s="81"/>
      <c r="BS2282" s="81"/>
      <c r="BT2282" s="81"/>
    </row>
    <row r="2283" spans="65:72" x14ac:dyDescent="0.25">
      <c r="BM2283" s="81"/>
      <c r="BN2283" s="81"/>
      <c r="BO2283" s="81"/>
      <c r="BP2283" s="81"/>
      <c r="BQ2283" s="81"/>
      <c r="BR2283" s="81"/>
      <c r="BS2283" s="81"/>
      <c r="BT2283" s="81"/>
    </row>
    <row r="2284" spans="65:72" x14ac:dyDescent="0.25">
      <c r="BM2284" s="81"/>
      <c r="BN2284" s="81"/>
      <c r="BO2284" s="81"/>
      <c r="BP2284" s="81"/>
      <c r="BQ2284" s="81"/>
      <c r="BR2284" s="81"/>
      <c r="BS2284" s="81"/>
      <c r="BT2284" s="81"/>
    </row>
    <row r="2285" spans="65:72" x14ac:dyDescent="0.25">
      <c r="BM2285" s="81"/>
      <c r="BN2285" s="81"/>
      <c r="BO2285" s="81"/>
      <c r="BP2285" s="81"/>
      <c r="BQ2285" s="81"/>
      <c r="BR2285" s="81"/>
      <c r="BS2285" s="81"/>
      <c r="BT2285" s="81"/>
    </row>
    <row r="2286" spans="65:72" x14ac:dyDescent="0.25">
      <c r="BM2286" s="81"/>
      <c r="BN2286" s="81"/>
      <c r="BO2286" s="81"/>
      <c r="BP2286" s="81"/>
      <c r="BQ2286" s="81"/>
      <c r="BR2286" s="81"/>
      <c r="BS2286" s="81"/>
      <c r="BT2286" s="81"/>
    </row>
    <row r="2287" spans="65:72" x14ac:dyDescent="0.25">
      <c r="BM2287" s="81"/>
      <c r="BN2287" s="81"/>
      <c r="BO2287" s="81"/>
      <c r="BP2287" s="81"/>
      <c r="BQ2287" s="81"/>
      <c r="BR2287" s="81"/>
      <c r="BS2287" s="81"/>
      <c r="BT2287" s="81"/>
    </row>
    <row r="2288" spans="65:72" x14ac:dyDescent="0.25">
      <c r="BM2288" s="81"/>
      <c r="BN2288" s="81"/>
      <c r="BO2288" s="81"/>
      <c r="BP2288" s="81"/>
      <c r="BQ2288" s="81"/>
      <c r="BR2288" s="81"/>
      <c r="BS2288" s="81"/>
      <c r="BT2288" s="81"/>
    </row>
    <row r="2289" spans="65:72" x14ac:dyDescent="0.25">
      <c r="BM2289" s="81"/>
      <c r="BN2289" s="81"/>
      <c r="BO2289" s="81"/>
      <c r="BP2289" s="81"/>
      <c r="BQ2289" s="81"/>
      <c r="BR2289" s="81"/>
      <c r="BS2289" s="81"/>
      <c r="BT2289" s="81"/>
    </row>
    <row r="2290" spans="65:72" x14ac:dyDescent="0.25">
      <c r="BM2290" s="81"/>
      <c r="BN2290" s="81"/>
      <c r="BO2290" s="81"/>
      <c r="BP2290" s="81"/>
      <c r="BQ2290" s="81"/>
      <c r="BR2290" s="81"/>
      <c r="BS2290" s="81"/>
      <c r="BT2290" s="81"/>
    </row>
    <row r="2291" spans="65:72" x14ac:dyDescent="0.25">
      <c r="BM2291" s="81"/>
      <c r="BN2291" s="81"/>
      <c r="BO2291" s="81"/>
      <c r="BP2291" s="81"/>
      <c r="BQ2291" s="81"/>
      <c r="BR2291" s="81"/>
      <c r="BS2291" s="81"/>
      <c r="BT2291" s="81"/>
    </row>
    <row r="2292" spans="65:72" x14ac:dyDescent="0.25">
      <c r="BM2292" s="81"/>
      <c r="BN2292" s="81"/>
      <c r="BO2292" s="81"/>
      <c r="BP2292" s="81"/>
      <c r="BQ2292" s="81"/>
      <c r="BR2292" s="81"/>
      <c r="BS2292" s="81"/>
      <c r="BT2292" s="81"/>
    </row>
    <row r="2293" spans="65:72" x14ac:dyDescent="0.25">
      <c r="BM2293" s="81"/>
      <c r="BN2293" s="81"/>
      <c r="BO2293" s="81"/>
      <c r="BP2293" s="81"/>
      <c r="BQ2293" s="81"/>
      <c r="BR2293" s="81"/>
      <c r="BS2293" s="81"/>
      <c r="BT2293" s="81"/>
    </row>
    <row r="2294" spans="65:72" x14ac:dyDescent="0.25">
      <c r="BM2294" s="81"/>
      <c r="BN2294" s="81"/>
      <c r="BO2294" s="81"/>
      <c r="BP2294" s="81"/>
      <c r="BQ2294" s="81"/>
      <c r="BR2294" s="81"/>
      <c r="BS2294" s="81"/>
      <c r="BT2294" s="81"/>
    </row>
    <row r="2295" spans="65:72" x14ac:dyDescent="0.25">
      <c r="BM2295" s="81"/>
      <c r="BN2295" s="81"/>
      <c r="BO2295" s="81"/>
      <c r="BP2295" s="81"/>
      <c r="BQ2295" s="81"/>
      <c r="BR2295" s="81"/>
      <c r="BS2295" s="81"/>
      <c r="BT2295" s="81"/>
    </row>
    <row r="2296" spans="65:72" x14ac:dyDescent="0.25">
      <c r="BM2296" s="81"/>
      <c r="BN2296" s="81"/>
      <c r="BO2296" s="81"/>
      <c r="BP2296" s="81"/>
      <c r="BQ2296" s="81"/>
      <c r="BR2296" s="81"/>
      <c r="BS2296" s="81"/>
      <c r="BT2296" s="81"/>
    </row>
    <row r="2297" spans="65:72" x14ac:dyDescent="0.25">
      <c r="BM2297" s="81"/>
      <c r="BN2297" s="81"/>
      <c r="BO2297" s="81"/>
      <c r="BP2297" s="81"/>
      <c r="BQ2297" s="81"/>
      <c r="BR2297" s="81"/>
      <c r="BS2297" s="81"/>
      <c r="BT2297" s="81"/>
    </row>
    <row r="2298" spans="65:72" x14ac:dyDescent="0.25">
      <c r="BM2298" s="81"/>
      <c r="BN2298" s="81"/>
      <c r="BO2298" s="81"/>
      <c r="BP2298" s="81"/>
      <c r="BQ2298" s="81"/>
      <c r="BR2298" s="81"/>
      <c r="BS2298" s="81"/>
      <c r="BT2298" s="81"/>
    </row>
    <row r="2299" spans="65:72" x14ac:dyDescent="0.25">
      <c r="BM2299" s="81"/>
      <c r="BN2299" s="81"/>
      <c r="BO2299" s="81"/>
      <c r="BP2299" s="81"/>
      <c r="BQ2299" s="81"/>
      <c r="BR2299" s="81"/>
      <c r="BS2299" s="81"/>
      <c r="BT2299" s="81"/>
    </row>
    <row r="2300" spans="65:72" x14ac:dyDescent="0.25">
      <c r="BM2300" s="81"/>
      <c r="BN2300" s="81"/>
      <c r="BO2300" s="81"/>
      <c r="BP2300" s="81"/>
      <c r="BQ2300" s="81"/>
      <c r="BR2300" s="81"/>
      <c r="BS2300" s="81"/>
      <c r="BT2300" s="81"/>
    </row>
    <row r="2301" spans="65:72" x14ac:dyDescent="0.25">
      <c r="BM2301" s="81"/>
      <c r="BN2301" s="81"/>
      <c r="BO2301" s="81"/>
      <c r="BP2301" s="81"/>
      <c r="BQ2301" s="81"/>
      <c r="BR2301" s="81"/>
      <c r="BS2301" s="81"/>
      <c r="BT2301" s="81"/>
    </row>
    <row r="2302" spans="65:72" x14ac:dyDescent="0.25">
      <c r="BM2302" s="81"/>
      <c r="BN2302" s="81"/>
      <c r="BO2302" s="81"/>
      <c r="BP2302" s="81"/>
      <c r="BQ2302" s="81"/>
      <c r="BR2302" s="81"/>
      <c r="BS2302" s="81"/>
      <c r="BT2302" s="81"/>
    </row>
    <row r="2303" spans="65:72" x14ac:dyDescent="0.25">
      <c r="BM2303" s="81"/>
      <c r="BN2303" s="81"/>
      <c r="BO2303" s="81"/>
      <c r="BP2303" s="81"/>
      <c r="BQ2303" s="81"/>
      <c r="BR2303" s="81"/>
      <c r="BS2303" s="81"/>
      <c r="BT2303" s="81"/>
    </row>
    <row r="2304" spans="65:72" x14ac:dyDescent="0.25">
      <c r="BM2304" s="81"/>
      <c r="BN2304" s="81"/>
      <c r="BO2304" s="81"/>
      <c r="BP2304" s="81"/>
      <c r="BQ2304" s="81"/>
      <c r="BR2304" s="81"/>
      <c r="BS2304" s="81"/>
      <c r="BT2304" s="81"/>
    </row>
    <row r="2305" spans="65:72" x14ac:dyDescent="0.25">
      <c r="BM2305" s="81"/>
      <c r="BN2305" s="81"/>
      <c r="BO2305" s="81"/>
      <c r="BP2305" s="81"/>
      <c r="BQ2305" s="81"/>
      <c r="BR2305" s="81"/>
      <c r="BS2305" s="81"/>
      <c r="BT2305" s="81"/>
    </row>
    <row r="2306" spans="65:72" x14ac:dyDescent="0.25">
      <c r="BM2306" s="81"/>
      <c r="BN2306" s="81"/>
      <c r="BO2306" s="81"/>
      <c r="BP2306" s="81"/>
      <c r="BQ2306" s="81"/>
      <c r="BR2306" s="81"/>
      <c r="BS2306" s="81"/>
      <c r="BT2306" s="81"/>
    </row>
    <row r="2307" spans="65:72" x14ac:dyDescent="0.25">
      <c r="BM2307" s="81"/>
      <c r="BN2307" s="81"/>
      <c r="BO2307" s="81"/>
      <c r="BP2307" s="81"/>
      <c r="BQ2307" s="81"/>
      <c r="BR2307" s="81"/>
      <c r="BS2307" s="81"/>
      <c r="BT2307" s="81"/>
    </row>
    <row r="2308" spans="65:72" x14ac:dyDescent="0.25">
      <c r="BM2308" s="81"/>
      <c r="BN2308" s="81"/>
      <c r="BO2308" s="81"/>
      <c r="BP2308" s="81"/>
      <c r="BQ2308" s="81"/>
      <c r="BR2308" s="81"/>
      <c r="BS2308" s="81"/>
      <c r="BT2308" s="81"/>
    </row>
    <row r="2309" spans="65:72" x14ac:dyDescent="0.25">
      <c r="BM2309" s="81"/>
      <c r="BN2309" s="81"/>
      <c r="BO2309" s="81"/>
      <c r="BP2309" s="81"/>
      <c r="BQ2309" s="81"/>
      <c r="BR2309" s="81"/>
      <c r="BS2309" s="81"/>
      <c r="BT2309" s="81"/>
    </row>
    <row r="2310" spans="65:72" x14ac:dyDescent="0.25">
      <c r="BM2310" s="81"/>
      <c r="BN2310" s="81"/>
      <c r="BO2310" s="81"/>
      <c r="BP2310" s="81"/>
      <c r="BQ2310" s="81"/>
      <c r="BR2310" s="81"/>
      <c r="BS2310" s="81"/>
      <c r="BT2310" s="81"/>
    </row>
    <row r="2311" spans="65:72" x14ac:dyDescent="0.25">
      <c r="BM2311" s="81"/>
      <c r="BN2311" s="81"/>
      <c r="BO2311" s="81"/>
      <c r="BP2311" s="81"/>
      <c r="BQ2311" s="81"/>
      <c r="BR2311" s="81"/>
      <c r="BS2311" s="81"/>
      <c r="BT2311" s="81"/>
    </row>
    <row r="2312" spans="65:72" x14ac:dyDescent="0.25">
      <c r="BM2312" s="81"/>
      <c r="BN2312" s="81"/>
      <c r="BO2312" s="81"/>
      <c r="BP2312" s="81"/>
      <c r="BQ2312" s="81"/>
      <c r="BR2312" s="81"/>
      <c r="BS2312" s="81"/>
      <c r="BT2312" s="81"/>
    </row>
    <row r="2313" spans="65:72" x14ac:dyDescent="0.25">
      <c r="BM2313" s="81"/>
      <c r="BN2313" s="81"/>
      <c r="BO2313" s="81"/>
      <c r="BP2313" s="81"/>
      <c r="BQ2313" s="81"/>
      <c r="BR2313" s="81"/>
      <c r="BS2313" s="81"/>
      <c r="BT2313" s="81"/>
    </row>
    <row r="2314" spans="65:72" x14ac:dyDescent="0.25">
      <c r="BM2314" s="81"/>
      <c r="BN2314" s="81"/>
      <c r="BO2314" s="81"/>
      <c r="BP2314" s="81"/>
      <c r="BQ2314" s="81"/>
      <c r="BR2314" s="81"/>
      <c r="BS2314" s="81"/>
      <c r="BT2314" s="81"/>
    </row>
    <row r="2315" spans="65:72" x14ac:dyDescent="0.25">
      <c r="BM2315" s="81"/>
      <c r="BN2315" s="81"/>
      <c r="BO2315" s="81"/>
      <c r="BP2315" s="81"/>
      <c r="BQ2315" s="81"/>
      <c r="BR2315" s="81"/>
      <c r="BS2315" s="81"/>
      <c r="BT2315" s="81"/>
    </row>
    <row r="2316" spans="65:72" x14ac:dyDescent="0.25">
      <c r="BM2316" s="81"/>
      <c r="BN2316" s="81"/>
      <c r="BO2316" s="81"/>
      <c r="BP2316" s="81"/>
      <c r="BQ2316" s="81"/>
      <c r="BR2316" s="81"/>
      <c r="BS2316" s="81"/>
      <c r="BT2316" s="81"/>
    </row>
    <row r="2317" spans="65:72" x14ac:dyDescent="0.25">
      <c r="BM2317" s="81"/>
      <c r="BN2317" s="81"/>
      <c r="BO2317" s="81"/>
      <c r="BP2317" s="81"/>
      <c r="BQ2317" s="81"/>
      <c r="BR2317" s="81"/>
      <c r="BS2317" s="81"/>
      <c r="BT2317" s="81"/>
    </row>
    <row r="2318" spans="65:72" x14ac:dyDescent="0.25">
      <c r="BM2318" s="81"/>
      <c r="BN2318" s="81"/>
      <c r="BO2318" s="81"/>
      <c r="BP2318" s="81"/>
      <c r="BQ2318" s="81"/>
      <c r="BR2318" s="81"/>
      <c r="BS2318" s="81"/>
      <c r="BT2318" s="81"/>
    </row>
    <row r="2319" spans="65:72" x14ac:dyDescent="0.25">
      <c r="BM2319" s="81"/>
      <c r="BN2319" s="81"/>
      <c r="BO2319" s="81"/>
      <c r="BP2319" s="81"/>
      <c r="BQ2319" s="81"/>
      <c r="BR2319" s="81"/>
      <c r="BS2319" s="81"/>
      <c r="BT2319" s="81"/>
    </row>
    <row r="2320" spans="65:72" x14ac:dyDescent="0.25">
      <c r="BM2320" s="81"/>
      <c r="BN2320" s="81"/>
      <c r="BO2320" s="81"/>
      <c r="BP2320" s="81"/>
      <c r="BQ2320" s="81"/>
      <c r="BR2320" s="81"/>
      <c r="BS2320" s="81"/>
      <c r="BT2320" s="81"/>
    </row>
    <row r="2321" spans="65:72" x14ac:dyDescent="0.25">
      <c r="BM2321" s="81"/>
      <c r="BN2321" s="81"/>
      <c r="BO2321" s="81"/>
      <c r="BP2321" s="81"/>
      <c r="BQ2321" s="81"/>
      <c r="BR2321" s="81"/>
      <c r="BS2321" s="81"/>
      <c r="BT2321" s="81"/>
    </row>
    <row r="2322" spans="65:72" x14ac:dyDescent="0.25">
      <c r="BM2322" s="81"/>
      <c r="BN2322" s="81"/>
      <c r="BO2322" s="81"/>
      <c r="BP2322" s="81"/>
      <c r="BQ2322" s="81"/>
      <c r="BR2322" s="81"/>
      <c r="BS2322" s="81"/>
      <c r="BT2322" s="81"/>
    </row>
    <row r="2323" spans="65:72" x14ac:dyDescent="0.25">
      <c r="BM2323" s="81"/>
      <c r="BN2323" s="81"/>
      <c r="BO2323" s="81"/>
      <c r="BP2323" s="81"/>
      <c r="BQ2323" s="81"/>
      <c r="BR2323" s="81"/>
      <c r="BS2323" s="81"/>
      <c r="BT2323" s="81"/>
    </row>
    <row r="2324" spans="65:72" x14ac:dyDescent="0.25">
      <c r="BM2324" s="81"/>
      <c r="BN2324" s="81"/>
      <c r="BO2324" s="81"/>
      <c r="BP2324" s="81"/>
      <c r="BQ2324" s="81"/>
      <c r="BR2324" s="81"/>
      <c r="BS2324" s="81"/>
      <c r="BT2324" s="81"/>
    </row>
    <row r="2325" spans="65:72" x14ac:dyDescent="0.25">
      <c r="BM2325" s="81"/>
      <c r="BN2325" s="81"/>
      <c r="BO2325" s="81"/>
      <c r="BP2325" s="81"/>
      <c r="BQ2325" s="81"/>
      <c r="BR2325" s="81"/>
      <c r="BS2325" s="81"/>
      <c r="BT2325" s="81"/>
    </row>
    <row r="2326" spans="65:72" x14ac:dyDescent="0.25">
      <c r="BM2326" s="81"/>
      <c r="BN2326" s="81"/>
      <c r="BO2326" s="81"/>
      <c r="BP2326" s="81"/>
      <c r="BQ2326" s="81"/>
      <c r="BR2326" s="81"/>
      <c r="BS2326" s="81"/>
      <c r="BT2326" s="81"/>
    </row>
    <row r="2327" spans="65:72" x14ac:dyDescent="0.25">
      <c r="BM2327" s="81"/>
      <c r="BN2327" s="81"/>
      <c r="BO2327" s="81"/>
      <c r="BP2327" s="81"/>
      <c r="BQ2327" s="81"/>
      <c r="BR2327" s="81"/>
      <c r="BS2327" s="81"/>
      <c r="BT2327" s="81"/>
    </row>
    <row r="2328" spans="65:72" x14ac:dyDescent="0.25">
      <c r="BM2328" s="81"/>
      <c r="BN2328" s="81"/>
      <c r="BO2328" s="81"/>
      <c r="BP2328" s="81"/>
      <c r="BQ2328" s="81"/>
      <c r="BR2328" s="81"/>
      <c r="BS2328" s="81"/>
      <c r="BT2328" s="81"/>
    </row>
    <row r="2329" spans="65:72" x14ac:dyDescent="0.25">
      <c r="BM2329" s="81"/>
      <c r="BN2329" s="81"/>
      <c r="BO2329" s="81"/>
      <c r="BP2329" s="81"/>
      <c r="BQ2329" s="81"/>
      <c r="BR2329" s="81"/>
      <c r="BS2329" s="81"/>
      <c r="BT2329" s="81"/>
    </row>
    <row r="2330" spans="65:72" x14ac:dyDescent="0.25">
      <c r="BM2330" s="81"/>
      <c r="BN2330" s="81"/>
      <c r="BO2330" s="81"/>
      <c r="BP2330" s="81"/>
      <c r="BQ2330" s="81"/>
      <c r="BR2330" s="81"/>
      <c r="BS2330" s="81"/>
      <c r="BT2330" s="81"/>
    </row>
    <row r="2331" spans="65:72" x14ac:dyDescent="0.25">
      <c r="BM2331" s="81"/>
      <c r="BN2331" s="81"/>
      <c r="BO2331" s="81"/>
      <c r="BP2331" s="81"/>
      <c r="BQ2331" s="81"/>
      <c r="BR2331" s="81"/>
      <c r="BS2331" s="81"/>
      <c r="BT2331" s="81"/>
    </row>
    <row r="2332" spans="65:72" x14ac:dyDescent="0.25">
      <c r="BM2332" s="81"/>
      <c r="BN2332" s="81"/>
      <c r="BO2332" s="81"/>
      <c r="BP2332" s="81"/>
      <c r="BQ2332" s="81"/>
      <c r="BR2332" s="81"/>
      <c r="BS2332" s="81"/>
      <c r="BT2332" s="81"/>
    </row>
    <row r="2333" spans="65:72" x14ac:dyDescent="0.25">
      <c r="BM2333" s="81"/>
      <c r="BN2333" s="81"/>
      <c r="BO2333" s="81"/>
      <c r="BP2333" s="81"/>
      <c r="BQ2333" s="81"/>
      <c r="BR2333" s="81"/>
      <c r="BS2333" s="81"/>
      <c r="BT2333" s="81"/>
    </row>
    <row r="2334" spans="65:72" x14ac:dyDescent="0.25">
      <c r="BM2334" s="81"/>
      <c r="BN2334" s="81"/>
      <c r="BO2334" s="81"/>
      <c r="BP2334" s="81"/>
      <c r="BQ2334" s="81"/>
      <c r="BR2334" s="81"/>
      <c r="BS2334" s="81"/>
      <c r="BT2334" s="81"/>
    </row>
    <row r="2335" spans="65:72" x14ac:dyDescent="0.25">
      <c r="BM2335" s="81"/>
      <c r="BN2335" s="81"/>
      <c r="BO2335" s="81"/>
      <c r="BP2335" s="81"/>
      <c r="BQ2335" s="81"/>
      <c r="BR2335" s="81"/>
      <c r="BS2335" s="81"/>
      <c r="BT2335" s="81"/>
    </row>
    <row r="2336" spans="65:72" x14ac:dyDescent="0.25">
      <c r="BM2336" s="81"/>
      <c r="BN2336" s="81"/>
      <c r="BO2336" s="81"/>
      <c r="BP2336" s="81"/>
      <c r="BQ2336" s="81"/>
      <c r="BR2336" s="81"/>
      <c r="BS2336" s="81"/>
      <c r="BT2336" s="81"/>
    </row>
    <row r="2337" spans="65:72" x14ac:dyDescent="0.25">
      <c r="BM2337" s="81"/>
      <c r="BN2337" s="81"/>
      <c r="BO2337" s="81"/>
      <c r="BP2337" s="81"/>
      <c r="BQ2337" s="81"/>
      <c r="BR2337" s="81"/>
      <c r="BS2337" s="81"/>
      <c r="BT2337" s="81"/>
    </row>
    <row r="2338" spans="65:72" x14ac:dyDescent="0.25">
      <c r="BM2338" s="81"/>
      <c r="BN2338" s="81"/>
      <c r="BO2338" s="81"/>
      <c r="BP2338" s="81"/>
      <c r="BQ2338" s="81"/>
      <c r="BR2338" s="81"/>
      <c r="BS2338" s="81"/>
      <c r="BT2338" s="81"/>
    </row>
    <row r="2339" spans="65:72" x14ac:dyDescent="0.25">
      <c r="BM2339" s="81"/>
      <c r="BN2339" s="81"/>
      <c r="BO2339" s="81"/>
      <c r="BP2339" s="81"/>
      <c r="BQ2339" s="81"/>
      <c r="BR2339" s="81"/>
      <c r="BS2339" s="81"/>
      <c r="BT2339" s="81"/>
    </row>
    <row r="2340" spans="65:72" x14ac:dyDescent="0.25">
      <c r="BM2340" s="81"/>
      <c r="BN2340" s="81"/>
      <c r="BO2340" s="81"/>
      <c r="BP2340" s="81"/>
      <c r="BQ2340" s="81"/>
      <c r="BR2340" s="81"/>
      <c r="BS2340" s="81"/>
      <c r="BT2340" s="81"/>
    </row>
    <row r="2341" spans="65:72" x14ac:dyDescent="0.25">
      <c r="BM2341" s="81"/>
      <c r="BN2341" s="81"/>
      <c r="BO2341" s="81"/>
      <c r="BP2341" s="81"/>
      <c r="BQ2341" s="81"/>
      <c r="BR2341" s="81"/>
      <c r="BS2341" s="81"/>
      <c r="BT2341" s="81"/>
    </row>
    <row r="2342" spans="65:72" x14ac:dyDescent="0.25">
      <c r="BM2342" s="81"/>
      <c r="BN2342" s="81"/>
      <c r="BO2342" s="81"/>
      <c r="BP2342" s="81"/>
      <c r="BQ2342" s="81"/>
      <c r="BR2342" s="81"/>
      <c r="BS2342" s="81"/>
      <c r="BT2342" s="81"/>
    </row>
    <row r="2343" spans="65:72" x14ac:dyDescent="0.25">
      <c r="BM2343" s="81"/>
      <c r="BN2343" s="81"/>
      <c r="BO2343" s="81"/>
      <c r="BP2343" s="81"/>
      <c r="BQ2343" s="81"/>
      <c r="BR2343" s="81"/>
      <c r="BS2343" s="81"/>
      <c r="BT2343" s="81"/>
    </row>
    <row r="2344" spans="65:72" x14ac:dyDescent="0.25">
      <c r="BM2344" s="81"/>
      <c r="BN2344" s="81"/>
      <c r="BO2344" s="81"/>
      <c r="BP2344" s="81"/>
      <c r="BQ2344" s="81"/>
      <c r="BR2344" s="81"/>
      <c r="BS2344" s="81"/>
      <c r="BT2344" s="81"/>
    </row>
    <row r="2345" spans="65:72" x14ac:dyDescent="0.25">
      <c r="BM2345" s="81"/>
      <c r="BN2345" s="81"/>
      <c r="BO2345" s="81"/>
      <c r="BP2345" s="81"/>
      <c r="BQ2345" s="81"/>
      <c r="BR2345" s="81"/>
      <c r="BS2345" s="81"/>
      <c r="BT2345" s="81"/>
    </row>
    <row r="2346" spans="65:72" x14ac:dyDescent="0.25">
      <c r="BM2346" s="81"/>
      <c r="BN2346" s="81"/>
      <c r="BO2346" s="81"/>
      <c r="BP2346" s="81"/>
      <c r="BQ2346" s="81"/>
      <c r="BR2346" s="81"/>
      <c r="BS2346" s="81"/>
      <c r="BT2346" s="81"/>
    </row>
    <row r="2347" spans="65:72" x14ac:dyDescent="0.25">
      <c r="BM2347" s="81"/>
      <c r="BN2347" s="81"/>
      <c r="BO2347" s="81"/>
      <c r="BP2347" s="81"/>
      <c r="BQ2347" s="81"/>
      <c r="BR2347" s="81"/>
      <c r="BS2347" s="81"/>
      <c r="BT2347" s="81"/>
    </row>
    <row r="2348" spans="65:72" x14ac:dyDescent="0.25">
      <c r="BM2348" s="81"/>
      <c r="BN2348" s="81"/>
      <c r="BO2348" s="81"/>
      <c r="BP2348" s="81"/>
      <c r="BQ2348" s="81"/>
      <c r="BR2348" s="81"/>
      <c r="BS2348" s="81"/>
      <c r="BT2348" s="81"/>
    </row>
    <row r="2349" spans="65:72" x14ac:dyDescent="0.25">
      <c r="BM2349" s="81"/>
      <c r="BN2349" s="81"/>
      <c r="BO2349" s="81"/>
      <c r="BP2349" s="81"/>
      <c r="BQ2349" s="81"/>
      <c r="BR2349" s="81"/>
      <c r="BS2349" s="81"/>
      <c r="BT2349" s="81"/>
    </row>
    <row r="2350" spans="65:72" x14ac:dyDescent="0.25">
      <c r="BM2350" s="81"/>
      <c r="BN2350" s="81"/>
      <c r="BO2350" s="81"/>
      <c r="BP2350" s="81"/>
      <c r="BQ2350" s="81"/>
      <c r="BR2350" s="81"/>
      <c r="BS2350" s="81"/>
      <c r="BT2350" s="81"/>
    </row>
    <row r="2351" spans="65:72" x14ac:dyDescent="0.25">
      <c r="BM2351" s="81"/>
      <c r="BN2351" s="81"/>
      <c r="BO2351" s="81"/>
      <c r="BP2351" s="81"/>
      <c r="BQ2351" s="81"/>
      <c r="BR2351" s="81"/>
      <c r="BS2351" s="81"/>
      <c r="BT2351" s="81"/>
    </row>
    <row r="2352" spans="65:72" x14ac:dyDescent="0.25">
      <c r="BM2352" s="81"/>
      <c r="BN2352" s="81"/>
      <c r="BO2352" s="81"/>
      <c r="BP2352" s="81"/>
      <c r="BQ2352" s="81"/>
      <c r="BR2352" s="81"/>
      <c r="BS2352" s="81"/>
      <c r="BT2352" s="81"/>
    </row>
    <row r="2353" spans="65:72" x14ac:dyDescent="0.25">
      <c r="BM2353" s="81"/>
      <c r="BN2353" s="81"/>
      <c r="BO2353" s="81"/>
      <c r="BP2353" s="81"/>
      <c r="BQ2353" s="81"/>
      <c r="BR2353" s="81"/>
      <c r="BS2353" s="81"/>
      <c r="BT2353" s="81"/>
    </row>
    <row r="2354" spans="65:72" x14ac:dyDescent="0.25">
      <c r="BM2354" s="81"/>
      <c r="BN2354" s="81"/>
      <c r="BO2354" s="81"/>
      <c r="BP2354" s="81"/>
      <c r="BQ2354" s="81"/>
      <c r="BR2354" s="81"/>
      <c r="BS2354" s="81"/>
      <c r="BT2354" s="81"/>
    </row>
    <row r="2355" spans="65:72" x14ac:dyDescent="0.25">
      <c r="BM2355" s="81"/>
      <c r="BN2355" s="81"/>
      <c r="BO2355" s="81"/>
      <c r="BP2355" s="81"/>
      <c r="BQ2355" s="81"/>
      <c r="BR2355" s="81"/>
      <c r="BS2355" s="81"/>
      <c r="BT2355" s="81"/>
    </row>
    <row r="2356" spans="65:72" x14ac:dyDescent="0.25">
      <c r="BM2356" s="81"/>
      <c r="BN2356" s="81"/>
      <c r="BO2356" s="81"/>
      <c r="BP2356" s="81"/>
      <c r="BQ2356" s="81"/>
      <c r="BR2356" s="81"/>
      <c r="BS2356" s="81"/>
      <c r="BT2356" s="81"/>
    </row>
    <row r="2357" spans="65:72" x14ac:dyDescent="0.25">
      <c r="BM2357" s="81"/>
      <c r="BN2357" s="81"/>
      <c r="BO2357" s="81"/>
      <c r="BP2357" s="81"/>
      <c r="BQ2357" s="81"/>
      <c r="BR2357" s="81"/>
      <c r="BS2357" s="81"/>
      <c r="BT2357" s="81"/>
    </row>
    <row r="2358" spans="65:72" x14ac:dyDescent="0.25">
      <c r="BM2358" s="81"/>
      <c r="BN2358" s="81"/>
      <c r="BO2358" s="81"/>
      <c r="BP2358" s="81"/>
      <c r="BQ2358" s="81"/>
      <c r="BR2358" s="81"/>
      <c r="BS2358" s="81"/>
      <c r="BT2358" s="81"/>
    </row>
    <row r="2359" spans="65:72" x14ac:dyDescent="0.25">
      <c r="BM2359" s="81"/>
      <c r="BN2359" s="81"/>
      <c r="BO2359" s="81"/>
      <c r="BP2359" s="81"/>
      <c r="BQ2359" s="81"/>
      <c r="BR2359" s="81"/>
      <c r="BS2359" s="81"/>
      <c r="BT2359" s="81"/>
    </row>
    <row r="2360" spans="65:72" x14ac:dyDescent="0.25">
      <c r="BM2360" s="81"/>
      <c r="BN2360" s="81"/>
      <c r="BO2360" s="81"/>
      <c r="BP2360" s="81"/>
      <c r="BQ2360" s="81"/>
      <c r="BR2360" s="81"/>
      <c r="BS2360" s="81"/>
      <c r="BT2360" s="81"/>
    </row>
    <row r="2361" spans="65:72" x14ac:dyDescent="0.25">
      <c r="BM2361" s="81"/>
      <c r="BN2361" s="81"/>
      <c r="BO2361" s="81"/>
      <c r="BP2361" s="81"/>
      <c r="BQ2361" s="81"/>
      <c r="BR2361" s="81"/>
      <c r="BS2361" s="81"/>
      <c r="BT2361" s="81"/>
    </row>
    <row r="2362" spans="65:72" x14ac:dyDescent="0.25">
      <c r="BM2362" s="81"/>
      <c r="BN2362" s="81"/>
      <c r="BO2362" s="81"/>
      <c r="BP2362" s="81"/>
      <c r="BQ2362" s="81"/>
      <c r="BR2362" s="81"/>
      <c r="BS2362" s="81"/>
      <c r="BT2362" s="81"/>
    </row>
    <row r="2363" spans="65:72" x14ac:dyDescent="0.25">
      <c r="BM2363" s="81"/>
      <c r="BN2363" s="81"/>
      <c r="BO2363" s="81"/>
      <c r="BP2363" s="81"/>
      <c r="BQ2363" s="81"/>
      <c r="BR2363" s="81"/>
      <c r="BS2363" s="81"/>
      <c r="BT2363" s="81"/>
    </row>
    <row r="2364" spans="65:72" x14ac:dyDescent="0.25">
      <c r="BM2364" s="81"/>
      <c r="BN2364" s="81"/>
      <c r="BO2364" s="81"/>
      <c r="BP2364" s="81"/>
      <c r="BQ2364" s="81"/>
      <c r="BR2364" s="81"/>
      <c r="BS2364" s="81"/>
      <c r="BT2364" s="81"/>
    </row>
    <row r="2365" spans="65:72" x14ac:dyDescent="0.25">
      <c r="BM2365" s="81"/>
      <c r="BN2365" s="81"/>
      <c r="BO2365" s="81"/>
      <c r="BP2365" s="81"/>
      <c r="BQ2365" s="81"/>
      <c r="BR2365" s="81"/>
      <c r="BS2365" s="81"/>
      <c r="BT2365" s="81"/>
    </row>
    <row r="2366" spans="65:72" x14ac:dyDescent="0.25">
      <c r="BM2366" s="81"/>
      <c r="BN2366" s="81"/>
      <c r="BO2366" s="81"/>
      <c r="BP2366" s="81"/>
      <c r="BQ2366" s="81"/>
      <c r="BR2366" s="81"/>
      <c r="BS2366" s="81"/>
      <c r="BT2366" s="81"/>
    </row>
    <row r="2367" spans="65:72" x14ac:dyDescent="0.25">
      <c r="BM2367" s="81"/>
      <c r="BN2367" s="81"/>
      <c r="BO2367" s="81"/>
      <c r="BP2367" s="81"/>
      <c r="BQ2367" s="81"/>
      <c r="BR2367" s="81"/>
      <c r="BS2367" s="81"/>
      <c r="BT2367" s="81"/>
    </row>
    <row r="2368" spans="65:72" x14ac:dyDescent="0.25">
      <c r="BM2368" s="81"/>
      <c r="BN2368" s="81"/>
      <c r="BO2368" s="81"/>
      <c r="BP2368" s="81"/>
      <c r="BQ2368" s="81"/>
      <c r="BR2368" s="81"/>
      <c r="BS2368" s="81"/>
      <c r="BT2368" s="81"/>
    </row>
    <row r="2369" spans="65:72" x14ac:dyDescent="0.25">
      <c r="BM2369" s="81"/>
      <c r="BN2369" s="81"/>
      <c r="BO2369" s="81"/>
      <c r="BP2369" s="81"/>
      <c r="BQ2369" s="81"/>
      <c r="BR2369" s="81"/>
      <c r="BS2369" s="81"/>
      <c r="BT2369" s="81"/>
    </row>
    <row r="2370" spans="65:72" x14ac:dyDescent="0.25">
      <c r="BM2370" s="81"/>
      <c r="BN2370" s="81"/>
      <c r="BO2370" s="81"/>
      <c r="BP2370" s="81"/>
      <c r="BQ2370" s="81"/>
      <c r="BR2370" s="81"/>
      <c r="BS2370" s="81"/>
      <c r="BT2370" s="81"/>
    </row>
    <row r="2371" spans="65:72" x14ac:dyDescent="0.25">
      <c r="BM2371" s="81"/>
      <c r="BN2371" s="81"/>
      <c r="BO2371" s="81"/>
      <c r="BP2371" s="81"/>
      <c r="BQ2371" s="81"/>
      <c r="BR2371" s="81"/>
      <c r="BS2371" s="81"/>
      <c r="BT2371" s="81"/>
    </row>
    <row r="2372" spans="65:72" x14ac:dyDescent="0.25">
      <c r="BM2372" s="81"/>
      <c r="BN2372" s="81"/>
      <c r="BO2372" s="81"/>
      <c r="BP2372" s="81"/>
      <c r="BQ2372" s="81"/>
      <c r="BR2372" s="81"/>
      <c r="BS2372" s="81"/>
      <c r="BT2372" s="81"/>
    </row>
    <row r="2373" spans="65:72" x14ac:dyDescent="0.25">
      <c r="BM2373" s="81"/>
      <c r="BN2373" s="81"/>
      <c r="BO2373" s="81"/>
      <c r="BP2373" s="81"/>
      <c r="BQ2373" s="81"/>
      <c r="BR2373" s="81"/>
      <c r="BS2373" s="81"/>
      <c r="BT2373" s="81"/>
    </row>
    <row r="2374" spans="65:72" x14ac:dyDescent="0.25">
      <c r="BM2374" s="81"/>
      <c r="BN2374" s="81"/>
      <c r="BO2374" s="81"/>
      <c r="BP2374" s="81"/>
      <c r="BQ2374" s="81"/>
      <c r="BR2374" s="81"/>
      <c r="BS2374" s="81"/>
      <c r="BT2374" s="81"/>
    </row>
    <row r="2375" spans="65:72" x14ac:dyDescent="0.25">
      <c r="BM2375" s="81"/>
      <c r="BN2375" s="81"/>
      <c r="BO2375" s="81"/>
      <c r="BP2375" s="81"/>
      <c r="BQ2375" s="81"/>
      <c r="BR2375" s="81"/>
      <c r="BS2375" s="81"/>
      <c r="BT2375" s="81"/>
    </row>
    <row r="2376" spans="65:72" x14ac:dyDescent="0.25">
      <c r="BM2376" s="81"/>
      <c r="BN2376" s="81"/>
      <c r="BO2376" s="81"/>
      <c r="BP2376" s="81"/>
      <c r="BQ2376" s="81"/>
      <c r="BR2376" s="81"/>
      <c r="BS2376" s="81"/>
      <c r="BT2376" s="81"/>
    </row>
    <row r="2377" spans="65:72" x14ac:dyDescent="0.25">
      <c r="BM2377" s="81"/>
      <c r="BN2377" s="81"/>
      <c r="BO2377" s="81"/>
      <c r="BP2377" s="81"/>
      <c r="BQ2377" s="81"/>
      <c r="BR2377" s="81"/>
      <c r="BS2377" s="81"/>
      <c r="BT2377" s="81"/>
    </row>
    <row r="2378" spans="65:72" x14ac:dyDescent="0.25">
      <c r="BM2378" s="81"/>
      <c r="BN2378" s="81"/>
      <c r="BO2378" s="81"/>
      <c r="BP2378" s="81"/>
      <c r="BQ2378" s="81"/>
      <c r="BR2378" s="81"/>
      <c r="BS2378" s="81"/>
      <c r="BT2378" s="81"/>
    </row>
    <row r="2379" spans="65:72" x14ac:dyDescent="0.25">
      <c r="BM2379" s="81"/>
      <c r="BN2379" s="81"/>
      <c r="BO2379" s="81"/>
      <c r="BP2379" s="81"/>
      <c r="BQ2379" s="81"/>
      <c r="BR2379" s="81"/>
      <c r="BS2379" s="81"/>
      <c r="BT2379" s="81"/>
    </row>
    <row r="2380" spans="65:72" x14ac:dyDescent="0.25">
      <c r="BM2380" s="81"/>
      <c r="BN2380" s="81"/>
      <c r="BO2380" s="81"/>
      <c r="BP2380" s="81"/>
      <c r="BQ2380" s="81"/>
      <c r="BR2380" s="81"/>
      <c r="BS2380" s="81"/>
      <c r="BT2380" s="81"/>
    </row>
    <row r="2381" spans="65:72" x14ac:dyDescent="0.25">
      <c r="BM2381" s="81"/>
      <c r="BN2381" s="81"/>
      <c r="BO2381" s="81"/>
      <c r="BP2381" s="81"/>
      <c r="BQ2381" s="81"/>
      <c r="BR2381" s="81"/>
      <c r="BS2381" s="81"/>
      <c r="BT2381" s="81"/>
    </row>
    <row r="2382" spans="65:72" x14ac:dyDescent="0.25">
      <c r="BM2382" s="81"/>
      <c r="BN2382" s="81"/>
      <c r="BO2382" s="81"/>
      <c r="BP2382" s="81"/>
      <c r="BQ2382" s="81"/>
      <c r="BR2382" s="81"/>
      <c r="BS2382" s="81"/>
      <c r="BT2382" s="81"/>
    </row>
    <row r="2383" spans="65:72" x14ac:dyDescent="0.25">
      <c r="BM2383" s="81"/>
      <c r="BN2383" s="81"/>
      <c r="BO2383" s="81"/>
      <c r="BP2383" s="81"/>
      <c r="BQ2383" s="81"/>
      <c r="BR2383" s="81"/>
      <c r="BS2383" s="81"/>
      <c r="BT2383" s="81"/>
    </row>
    <row r="2384" spans="65:72" x14ac:dyDescent="0.25">
      <c r="BM2384" s="81"/>
      <c r="BN2384" s="81"/>
      <c r="BO2384" s="81"/>
      <c r="BP2384" s="81"/>
      <c r="BQ2384" s="81"/>
      <c r="BR2384" s="81"/>
      <c r="BS2384" s="81"/>
      <c r="BT2384" s="81"/>
    </row>
    <row r="2385" spans="65:72" x14ac:dyDescent="0.25">
      <c r="BM2385" s="81"/>
      <c r="BN2385" s="81"/>
      <c r="BO2385" s="81"/>
      <c r="BP2385" s="81"/>
      <c r="BQ2385" s="81"/>
      <c r="BR2385" s="81"/>
      <c r="BS2385" s="81"/>
      <c r="BT2385" s="81"/>
    </row>
    <row r="2386" spans="65:72" x14ac:dyDescent="0.25">
      <c r="BM2386" s="81"/>
      <c r="BN2386" s="81"/>
      <c r="BO2386" s="81"/>
      <c r="BP2386" s="81"/>
      <c r="BQ2386" s="81"/>
      <c r="BR2386" s="81"/>
      <c r="BS2386" s="81"/>
      <c r="BT2386" s="81"/>
    </row>
    <row r="2387" spans="65:72" x14ac:dyDescent="0.25">
      <c r="BM2387" s="81"/>
      <c r="BN2387" s="81"/>
      <c r="BO2387" s="81"/>
      <c r="BP2387" s="81"/>
      <c r="BQ2387" s="81"/>
      <c r="BR2387" s="81"/>
      <c r="BS2387" s="81"/>
      <c r="BT2387" s="81"/>
    </row>
    <row r="2388" spans="65:72" x14ac:dyDescent="0.25">
      <c r="BM2388" s="81"/>
      <c r="BN2388" s="81"/>
      <c r="BO2388" s="81"/>
      <c r="BP2388" s="81"/>
      <c r="BQ2388" s="81"/>
      <c r="BR2388" s="81"/>
      <c r="BS2388" s="81"/>
      <c r="BT2388" s="81"/>
    </row>
    <row r="2389" spans="65:72" x14ac:dyDescent="0.25">
      <c r="BM2389" s="81"/>
      <c r="BN2389" s="81"/>
      <c r="BO2389" s="81"/>
      <c r="BP2389" s="81"/>
      <c r="BQ2389" s="81"/>
      <c r="BR2389" s="81"/>
      <c r="BS2389" s="81"/>
      <c r="BT2389" s="81"/>
    </row>
    <row r="2390" spans="65:72" x14ac:dyDescent="0.25">
      <c r="BM2390" s="81"/>
      <c r="BN2390" s="81"/>
      <c r="BO2390" s="81"/>
      <c r="BP2390" s="81"/>
      <c r="BQ2390" s="81"/>
      <c r="BR2390" s="81"/>
      <c r="BS2390" s="81"/>
      <c r="BT2390" s="81"/>
    </row>
    <row r="2391" spans="65:72" x14ac:dyDescent="0.25">
      <c r="BM2391" s="81"/>
      <c r="BN2391" s="81"/>
      <c r="BO2391" s="81"/>
      <c r="BP2391" s="81"/>
      <c r="BQ2391" s="81"/>
      <c r="BR2391" s="81"/>
      <c r="BS2391" s="81"/>
      <c r="BT2391" s="81"/>
    </row>
    <row r="2392" spans="65:72" x14ac:dyDescent="0.25">
      <c r="BM2392" s="81"/>
      <c r="BN2392" s="81"/>
      <c r="BO2392" s="81"/>
      <c r="BP2392" s="81"/>
      <c r="BQ2392" s="81"/>
      <c r="BR2392" s="81"/>
      <c r="BS2392" s="81"/>
      <c r="BT2392" s="81"/>
    </row>
    <row r="2393" spans="65:72" x14ac:dyDescent="0.25">
      <c r="BM2393" s="81"/>
      <c r="BN2393" s="81"/>
      <c r="BO2393" s="81"/>
      <c r="BP2393" s="81"/>
      <c r="BQ2393" s="81"/>
      <c r="BR2393" s="81"/>
      <c r="BS2393" s="81"/>
      <c r="BT2393" s="81"/>
    </row>
    <row r="2394" spans="65:72" x14ac:dyDescent="0.25">
      <c r="BM2394" s="81"/>
      <c r="BN2394" s="81"/>
      <c r="BO2394" s="81"/>
      <c r="BP2394" s="81"/>
      <c r="BQ2394" s="81"/>
      <c r="BR2394" s="81"/>
      <c r="BS2394" s="81"/>
      <c r="BT2394" s="81"/>
    </row>
    <row r="2395" spans="65:72" x14ac:dyDescent="0.25">
      <c r="BM2395" s="81"/>
      <c r="BN2395" s="81"/>
      <c r="BO2395" s="81"/>
      <c r="BP2395" s="81"/>
      <c r="BQ2395" s="81"/>
      <c r="BR2395" s="81"/>
      <c r="BS2395" s="81"/>
      <c r="BT2395" s="81"/>
    </row>
    <row r="2396" spans="65:72" x14ac:dyDescent="0.25">
      <c r="BM2396" s="81"/>
      <c r="BN2396" s="81"/>
      <c r="BO2396" s="81"/>
      <c r="BP2396" s="81"/>
      <c r="BQ2396" s="81"/>
      <c r="BR2396" s="81"/>
      <c r="BS2396" s="81"/>
      <c r="BT2396" s="81"/>
    </row>
    <row r="2397" spans="65:72" x14ac:dyDescent="0.25">
      <c r="BM2397" s="81"/>
      <c r="BN2397" s="81"/>
      <c r="BO2397" s="81"/>
      <c r="BP2397" s="81"/>
      <c r="BQ2397" s="81"/>
      <c r="BR2397" s="81"/>
      <c r="BS2397" s="81"/>
      <c r="BT2397" s="81"/>
    </row>
    <row r="2398" spans="65:72" x14ac:dyDescent="0.25">
      <c r="BM2398" s="81"/>
      <c r="BN2398" s="81"/>
      <c r="BO2398" s="81"/>
      <c r="BP2398" s="81"/>
      <c r="BQ2398" s="81"/>
      <c r="BR2398" s="81"/>
      <c r="BS2398" s="81"/>
      <c r="BT2398" s="81"/>
    </row>
    <row r="2399" spans="65:72" x14ac:dyDescent="0.25">
      <c r="BM2399" s="81"/>
      <c r="BN2399" s="81"/>
      <c r="BO2399" s="81"/>
      <c r="BP2399" s="81"/>
      <c r="BQ2399" s="81"/>
      <c r="BR2399" s="81"/>
      <c r="BS2399" s="81"/>
      <c r="BT2399" s="81"/>
    </row>
    <row r="2400" spans="65:72" x14ac:dyDescent="0.25">
      <c r="BM2400" s="81"/>
      <c r="BN2400" s="81"/>
      <c r="BO2400" s="81"/>
      <c r="BP2400" s="81"/>
      <c r="BQ2400" s="81"/>
      <c r="BR2400" s="81"/>
      <c r="BS2400" s="81"/>
      <c r="BT2400" s="81"/>
    </row>
    <row r="2401" spans="65:72" x14ac:dyDescent="0.25">
      <c r="BM2401" s="81"/>
      <c r="BN2401" s="81"/>
      <c r="BO2401" s="81"/>
      <c r="BP2401" s="81"/>
      <c r="BQ2401" s="81"/>
      <c r="BR2401" s="81"/>
      <c r="BS2401" s="81"/>
      <c r="BT2401" s="81"/>
    </row>
    <row r="2402" spans="65:72" x14ac:dyDescent="0.25">
      <c r="BM2402" s="81"/>
      <c r="BN2402" s="81"/>
      <c r="BO2402" s="81"/>
      <c r="BP2402" s="81"/>
      <c r="BQ2402" s="81"/>
      <c r="BR2402" s="81"/>
      <c r="BS2402" s="81"/>
      <c r="BT2402" s="81"/>
    </row>
    <row r="2403" spans="65:72" x14ac:dyDescent="0.25">
      <c r="BM2403" s="81"/>
      <c r="BN2403" s="81"/>
      <c r="BO2403" s="81"/>
      <c r="BP2403" s="81"/>
      <c r="BQ2403" s="81"/>
      <c r="BR2403" s="81"/>
      <c r="BS2403" s="81"/>
      <c r="BT2403" s="81"/>
    </row>
    <row r="2404" spans="65:72" x14ac:dyDescent="0.25">
      <c r="BM2404" s="81"/>
      <c r="BN2404" s="81"/>
      <c r="BO2404" s="81"/>
      <c r="BP2404" s="81"/>
      <c r="BQ2404" s="81"/>
      <c r="BR2404" s="81"/>
      <c r="BS2404" s="81"/>
      <c r="BT2404" s="81"/>
    </row>
    <row r="2405" spans="65:72" x14ac:dyDescent="0.25">
      <c r="BM2405" s="81"/>
      <c r="BN2405" s="81"/>
      <c r="BO2405" s="81"/>
      <c r="BP2405" s="81"/>
      <c r="BQ2405" s="81"/>
      <c r="BR2405" s="81"/>
      <c r="BS2405" s="81"/>
      <c r="BT2405" s="81"/>
    </row>
    <row r="2406" spans="65:72" x14ac:dyDescent="0.25">
      <c r="BM2406" s="81"/>
      <c r="BN2406" s="81"/>
      <c r="BO2406" s="81"/>
      <c r="BP2406" s="81"/>
      <c r="BQ2406" s="81"/>
      <c r="BR2406" s="81"/>
      <c r="BS2406" s="81"/>
      <c r="BT2406" s="81"/>
    </row>
    <row r="2407" spans="65:72" x14ac:dyDescent="0.25">
      <c r="BM2407" s="81"/>
      <c r="BN2407" s="81"/>
      <c r="BO2407" s="81"/>
      <c r="BP2407" s="81"/>
      <c r="BQ2407" s="81"/>
      <c r="BR2407" s="81"/>
      <c r="BS2407" s="81"/>
      <c r="BT2407" s="81"/>
    </row>
    <row r="2408" spans="65:72" x14ac:dyDescent="0.25">
      <c r="BM2408" s="81"/>
      <c r="BN2408" s="81"/>
      <c r="BO2408" s="81"/>
      <c r="BP2408" s="81"/>
      <c r="BQ2408" s="81"/>
      <c r="BR2408" s="81"/>
      <c r="BS2408" s="81"/>
      <c r="BT2408" s="81"/>
    </row>
    <row r="2409" spans="65:72" x14ac:dyDescent="0.25">
      <c r="BM2409" s="81"/>
      <c r="BN2409" s="81"/>
      <c r="BO2409" s="81"/>
      <c r="BP2409" s="81"/>
      <c r="BQ2409" s="81"/>
      <c r="BR2409" s="81"/>
      <c r="BS2409" s="81"/>
      <c r="BT2409" s="81"/>
    </row>
    <row r="2410" spans="65:72" x14ac:dyDescent="0.25">
      <c r="BM2410" s="81"/>
      <c r="BN2410" s="81"/>
      <c r="BO2410" s="81"/>
      <c r="BP2410" s="81"/>
      <c r="BQ2410" s="81"/>
      <c r="BR2410" s="81"/>
      <c r="BS2410" s="81"/>
      <c r="BT2410" s="81"/>
    </row>
    <row r="2411" spans="65:72" x14ac:dyDescent="0.25">
      <c r="BM2411" s="81"/>
      <c r="BN2411" s="81"/>
      <c r="BO2411" s="81"/>
      <c r="BP2411" s="81"/>
      <c r="BQ2411" s="81"/>
      <c r="BR2411" s="81"/>
      <c r="BS2411" s="81"/>
      <c r="BT2411" s="81"/>
    </row>
    <row r="2412" spans="65:72" x14ac:dyDescent="0.25">
      <c r="BM2412" s="81"/>
      <c r="BN2412" s="81"/>
      <c r="BO2412" s="81"/>
      <c r="BP2412" s="81"/>
      <c r="BQ2412" s="81"/>
      <c r="BR2412" s="81"/>
      <c r="BS2412" s="81"/>
      <c r="BT2412" s="81"/>
    </row>
    <row r="2413" spans="65:72" x14ac:dyDescent="0.25">
      <c r="BM2413" s="81"/>
      <c r="BN2413" s="81"/>
      <c r="BO2413" s="81"/>
      <c r="BP2413" s="81"/>
      <c r="BQ2413" s="81"/>
      <c r="BR2413" s="81"/>
      <c r="BS2413" s="81"/>
      <c r="BT2413" s="81"/>
    </row>
    <row r="2414" spans="65:72" x14ac:dyDescent="0.25">
      <c r="BM2414" s="81"/>
      <c r="BN2414" s="81"/>
      <c r="BO2414" s="81"/>
      <c r="BP2414" s="81"/>
      <c r="BQ2414" s="81"/>
      <c r="BR2414" s="81"/>
      <c r="BS2414" s="81"/>
      <c r="BT2414" s="81"/>
    </row>
    <row r="2415" spans="65:72" x14ac:dyDescent="0.25">
      <c r="BM2415" s="81"/>
      <c r="BN2415" s="81"/>
      <c r="BO2415" s="81"/>
      <c r="BP2415" s="81"/>
      <c r="BQ2415" s="81"/>
      <c r="BR2415" s="81"/>
      <c r="BS2415" s="81"/>
      <c r="BT2415" s="81"/>
    </row>
    <row r="2416" spans="65:72" x14ac:dyDescent="0.25">
      <c r="BM2416" s="81"/>
      <c r="BN2416" s="81"/>
      <c r="BO2416" s="81"/>
      <c r="BP2416" s="81"/>
      <c r="BQ2416" s="81"/>
      <c r="BR2416" s="81"/>
      <c r="BS2416" s="81"/>
      <c r="BT2416" s="81"/>
    </row>
    <row r="2417" spans="65:72" x14ac:dyDescent="0.25">
      <c r="BM2417" s="81"/>
      <c r="BN2417" s="81"/>
      <c r="BO2417" s="81"/>
      <c r="BP2417" s="81"/>
      <c r="BQ2417" s="81"/>
      <c r="BR2417" s="81"/>
      <c r="BS2417" s="81"/>
      <c r="BT2417" s="81"/>
    </row>
    <row r="2418" spans="65:72" x14ac:dyDescent="0.25">
      <c r="BM2418" s="81"/>
      <c r="BN2418" s="81"/>
      <c r="BO2418" s="81"/>
      <c r="BP2418" s="81"/>
      <c r="BQ2418" s="81"/>
      <c r="BR2418" s="81"/>
      <c r="BS2418" s="81"/>
      <c r="BT2418" s="81"/>
    </row>
    <row r="2419" spans="65:72" x14ac:dyDescent="0.25">
      <c r="BM2419" s="81"/>
      <c r="BN2419" s="81"/>
      <c r="BO2419" s="81"/>
      <c r="BP2419" s="81"/>
      <c r="BQ2419" s="81"/>
      <c r="BR2419" s="81"/>
      <c r="BS2419" s="81"/>
      <c r="BT2419" s="81"/>
    </row>
    <row r="2420" spans="65:72" x14ac:dyDescent="0.25">
      <c r="BM2420" s="81"/>
      <c r="BN2420" s="81"/>
      <c r="BO2420" s="81"/>
      <c r="BP2420" s="81"/>
      <c r="BQ2420" s="81"/>
      <c r="BR2420" s="81"/>
      <c r="BS2420" s="81"/>
      <c r="BT2420" s="81"/>
    </row>
    <row r="2421" spans="65:72" x14ac:dyDescent="0.25">
      <c r="BM2421" s="81"/>
      <c r="BN2421" s="81"/>
      <c r="BO2421" s="81"/>
      <c r="BP2421" s="81"/>
      <c r="BQ2421" s="81"/>
      <c r="BR2421" s="81"/>
      <c r="BS2421" s="81"/>
      <c r="BT2421" s="81"/>
    </row>
    <row r="2422" spans="65:72" x14ac:dyDescent="0.25">
      <c r="BM2422" s="81"/>
      <c r="BN2422" s="81"/>
      <c r="BO2422" s="81"/>
      <c r="BP2422" s="81"/>
      <c r="BQ2422" s="81"/>
      <c r="BR2422" s="81"/>
      <c r="BS2422" s="81"/>
      <c r="BT2422" s="81"/>
    </row>
    <row r="2423" spans="65:72" x14ac:dyDescent="0.25">
      <c r="BM2423" s="81"/>
      <c r="BN2423" s="81"/>
      <c r="BO2423" s="81"/>
      <c r="BP2423" s="81"/>
      <c r="BQ2423" s="81"/>
      <c r="BR2423" s="81"/>
      <c r="BS2423" s="81"/>
      <c r="BT2423" s="81"/>
    </row>
    <row r="2424" spans="65:72" x14ac:dyDescent="0.25">
      <c r="BM2424" s="81"/>
      <c r="BN2424" s="81"/>
      <c r="BO2424" s="81"/>
      <c r="BP2424" s="81"/>
      <c r="BQ2424" s="81"/>
      <c r="BR2424" s="81"/>
      <c r="BS2424" s="81"/>
      <c r="BT2424" s="81"/>
    </row>
    <row r="2425" spans="65:72" x14ac:dyDescent="0.25">
      <c r="BM2425" s="81"/>
      <c r="BN2425" s="81"/>
      <c r="BO2425" s="81"/>
      <c r="BP2425" s="81"/>
      <c r="BQ2425" s="81"/>
      <c r="BR2425" s="81"/>
      <c r="BS2425" s="81"/>
      <c r="BT2425" s="81"/>
    </row>
    <row r="2426" spans="65:72" x14ac:dyDescent="0.25">
      <c r="BM2426" s="81"/>
      <c r="BN2426" s="81"/>
      <c r="BO2426" s="81"/>
      <c r="BP2426" s="81"/>
      <c r="BQ2426" s="81"/>
      <c r="BR2426" s="81"/>
      <c r="BS2426" s="81"/>
      <c r="BT2426" s="81"/>
    </row>
    <row r="2427" spans="65:72" x14ac:dyDescent="0.25">
      <c r="BM2427" s="81"/>
      <c r="BN2427" s="81"/>
      <c r="BO2427" s="81"/>
      <c r="BP2427" s="81"/>
      <c r="BQ2427" s="81"/>
      <c r="BR2427" s="81"/>
      <c r="BS2427" s="81"/>
      <c r="BT2427" s="81"/>
    </row>
    <row r="2428" spans="65:72" x14ac:dyDescent="0.25">
      <c r="BM2428" s="81"/>
      <c r="BN2428" s="81"/>
      <c r="BO2428" s="81"/>
      <c r="BP2428" s="81"/>
      <c r="BQ2428" s="81"/>
      <c r="BR2428" s="81"/>
      <c r="BS2428" s="81"/>
      <c r="BT2428" s="81"/>
    </row>
    <row r="2429" spans="65:72" x14ac:dyDescent="0.25">
      <c r="BM2429" s="81"/>
      <c r="BN2429" s="81"/>
      <c r="BO2429" s="81"/>
      <c r="BP2429" s="81"/>
      <c r="BQ2429" s="81"/>
      <c r="BR2429" s="81"/>
      <c r="BS2429" s="81"/>
      <c r="BT2429" s="81"/>
    </row>
    <row r="2430" spans="65:72" x14ac:dyDescent="0.25">
      <c r="BM2430" s="81"/>
      <c r="BN2430" s="81"/>
      <c r="BO2430" s="81"/>
      <c r="BP2430" s="81"/>
      <c r="BQ2430" s="81"/>
      <c r="BR2430" s="81"/>
      <c r="BS2430" s="81"/>
      <c r="BT2430" s="81"/>
    </row>
    <row r="2431" spans="65:72" x14ac:dyDescent="0.25">
      <c r="BM2431" s="81"/>
      <c r="BN2431" s="81"/>
      <c r="BO2431" s="81"/>
      <c r="BP2431" s="81"/>
      <c r="BQ2431" s="81"/>
      <c r="BR2431" s="81"/>
      <c r="BS2431" s="81"/>
      <c r="BT2431" s="81"/>
    </row>
    <row r="2432" spans="65:72" x14ac:dyDescent="0.25">
      <c r="BM2432" s="81"/>
      <c r="BN2432" s="81"/>
      <c r="BO2432" s="81"/>
      <c r="BP2432" s="81"/>
      <c r="BQ2432" s="81"/>
      <c r="BR2432" s="81"/>
      <c r="BS2432" s="81"/>
      <c r="BT2432" s="81"/>
    </row>
    <row r="2433" spans="65:72" x14ac:dyDescent="0.25">
      <c r="BM2433" s="81"/>
      <c r="BN2433" s="81"/>
      <c r="BO2433" s="81"/>
      <c r="BP2433" s="81"/>
      <c r="BQ2433" s="81"/>
      <c r="BR2433" s="81"/>
      <c r="BS2433" s="81"/>
      <c r="BT2433" s="81"/>
    </row>
    <row r="2434" spans="65:72" x14ac:dyDescent="0.25">
      <c r="BM2434" s="81"/>
      <c r="BN2434" s="81"/>
      <c r="BO2434" s="81"/>
      <c r="BP2434" s="81"/>
      <c r="BQ2434" s="81"/>
      <c r="BR2434" s="81"/>
      <c r="BS2434" s="81"/>
      <c r="BT2434" s="81"/>
    </row>
    <row r="2435" spans="65:72" x14ac:dyDescent="0.25">
      <c r="BM2435" s="81"/>
      <c r="BN2435" s="81"/>
      <c r="BO2435" s="81"/>
      <c r="BP2435" s="81"/>
      <c r="BQ2435" s="81"/>
      <c r="BR2435" s="81"/>
      <c r="BS2435" s="81"/>
      <c r="BT2435" s="81"/>
    </row>
    <row r="2436" spans="65:72" x14ac:dyDescent="0.25">
      <c r="BM2436" s="81"/>
      <c r="BN2436" s="81"/>
      <c r="BO2436" s="81"/>
      <c r="BP2436" s="81"/>
      <c r="BQ2436" s="81"/>
      <c r="BR2436" s="81"/>
      <c r="BS2436" s="81"/>
      <c r="BT2436" s="81"/>
    </row>
    <row r="2437" spans="65:72" x14ac:dyDescent="0.25">
      <c r="BM2437" s="81"/>
      <c r="BN2437" s="81"/>
      <c r="BO2437" s="81"/>
      <c r="BP2437" s="81"/>
      <c r="BQ2437" s="81"/>
      <c r="BR2437" s="81"/>
      <c r="BS2437" s="81"/>
      <c r="BT2437" s="81"/>
    </row>
    <row r="2438" spans="65:72" x14ac:dyDescent="0.25">
      <c r="BM2438" s="81"/>
      <c r="BN2438" s="81"/>
      <c r="BO2438" s="81"/>
      <c r="BP2438" s="81"/>
      <c r="BQ2438" s="81"/>
      <c r="BR2438" s="81"/>
      <c r="BS2438" s="81"/>
      <c r="BT2438" s="81"/>
    </row>
    <row r="2439" spans="65:72" x14ac:dyDescent="0.25">
      <c r="BM2439" s="81"/>
      <c r="BN2439" s="81"/>
      <c r="BO2439" s="81"/>
      <c r="BP2439" s="81"/>
      <c r="BQ2439" s="81"/>
      <c r="BR2439" s="81"/>
      <c r="BS2439" s="81"/>
      <c r="BT2439" s="81"/>
    </row>
    <row r="2440" spans="65:72" x14ac:dyDescent="0.25">
      <c r="BM2440" s="81"/>
      <c r="BN2440" s="81"/>
      <c r="BO2440" s="81"/>
      <c r="BP2440" s="81"/>
      <c r="BQ2440" s="81"/>
      <c r="BR2440" s="81"/>
      <c r="BS2440" s="81"/>
      <c r="BT2440" s="81"/>
    </row>
    <row r="2441" spans="65:72" x14ac:dyDescent="0.25">
      <c r="BM2441" s="81"/>
      <c r="BN2441" s="81"/>
      <c r="BO2441" s="81"/>
      <c r="BP2441" s="81"/>
      <c r="BQ2441" s="81"/>
      <c r="BR2441" s="81"/>
      <c r="BS2441" s="81"/>
      <c r="BT2441" s="81"/>
    </row>
    <row r="2442" spans="65:72" x14ac:dyDescent="0.25">
      <c r="BM2442" s="81"/>
      <c r="BN2442" s="81"/>
      <c r="BO2442" s="81"/>
      <c r="BP2442" s="81"/>
      <c r="BQ2442" s="81"/>
      <c r="BR2442" s="81"/>
      <c r="BS2442" s="81"/>
      <c r="BT2442" s="81"/>
    </row>
    <row r="2443" spans="65:72" x14ac:dyDescent="0.25">
      <c r="BM2443" s="81"/>
      <c r="BN2443" s="81"/>
      <c r="BO2443" s="81"/>
      <c r="BP2443" s="81"/>
      <c r="BQ2443" s="81"/>
      <c r="BR2443" s="81"/>
      <c r="BS2443" s="81"/>
      <c r="BT2443" s="81"/>
    </row>
    <row r="2444" spans="65:72" x14ac:dyDescent="0.25">
      <c r="BM2444" s="81"/>
      <c r="BN2444" s="81"/>
      <c r="BO2444" s="81"/>
      <c r="BP2444" s="81"/>
      <c r="BQ2444" s="81"/>
      <c r="BR2444" s="81"/>
      <c r="BS2444" s="81"/>
      <c r="BT2444" s="81"/>
    </row>
    <row r="2445" spans="65:72" x14ac:dyDescent="0.25">
      <c r="BM2445" s="81"/>
      <c r="BN2445" s="81"/>
      <c r="BO2445" s="81"/>
      <c r="BP2445" s="81"/>
      <c r="BQ2445" s="81"/>
      <c r="BR2445" s="81"/>
      <c r="BS2445" s="81"/>
      <c r="BT2445" s="81"/>
    </row>
    <row r="2446" spans="65:72" x14ac:dyDescent="0.25">
      <c r="BM2446" s="81"/>
      <c r="BN2446" s="81"/>
      <c r="BO2446" s="81"/>
      <c r="BP2446" s="81"/>
      <c r="BQ2446" s="81"/>
      <c r="BR2446" s="81"/>
      <c r="BS2446" s="81"/>
      <c r="BT2446" s="81"/>
    </row>
    <row r="2447" spans="65:72" x14ac:dyDescent="0.25">
      <c r="BM2447" s="81"/>
      <c r="BN2447" s="81"/>
      <c r="BO2447" s="81"/>
      <c r="BP2447" s="81"/>
      <c r="BQ2447" s="81"/>
      <c r="BR2447" s="81"/>
      <c r="BS2447" s="81"/>
      <c r="BT2447" s="81"/>
    </row>
    <row r="2448" spans="65:72" x14ac:dyDescent="0.25">
      <c r="BM2448" s="81"/>
      <c r="BN2448" s="81"/>
      <c r="BO2448" s="81"/>
      <c r="BP2448" s="81"/>
      <c r="BQ2448" s="81"/>
      <c r="BR2448" s="81"/>
      <c r="BS2448" s="81"/>
      <c r="BT2448" s="81"/>
    </row>
    <row r="2449" spans="65:72" x14ac:dyDescent="0.25">
      <c r="BM2449" s="81"/>
      <c r="BN2449" s="81"/>
      <c r="BO2449" s="81"/>
      <c r="BP2449" s="81"/>
      <c r="BQ2449" s="81"/>
      <c r="BR2449" s="81"/>
      <c r="BS2449" s="81"/>
      <c r="BT2449" s="81"/>
    </row>
    <row r="2450" spans="65:72" x14ac:dyDescent="0.25">
      <c r="BM2450" s="81"/>
      <c r="BN2450" s="81"/>
      <c r="BO2450" s="81"/>
      <c r="BP2450" s="81"/>
      <c r="BQ2450" s="81"/>
      <c r="BR2450" s="81"/>
      <c r="BS2450" s="81"/>
      <c r="BT2450" s="81"/>
    </row>
    <row r="2451" spans="65:72" x14ac:dyDescent="0.25">
      <c r="BM2451" s="81"/>
      <c r="BN2451" s="81"/>
      <c r="BO2451" s="81"/>
      <c r="BP2451" s="81"/>
      <c r="BQ2451" s="81"/>
      <c r="BR2451" s="81"/>
      <c r="BS2451" s="81"/>
      <c r="BT2451" s="81"/>
    </row>
    <row r="2452" spans="65:72" x14ac:dyDescent="0.25">
      <c r="BM2452" s="81"/>
      <c r="BN2452" s="81"/>
      <c r="BO2452" s="81"/>
      <c r="BP2452" s="81"/>
      <c r="BQ2452" s="81"/>
      <c r="BR2452" s="81"/>
      <c r="BS2452" s="81"/>
      <c r="BT2452" s="81"/>
    </row>
    <row r="2453" spans="65:72" x14ac:dyDescent="0.25">
      <c r="BM2453" s="81"/>
      <c r="BN2453" s="81"/>
      <c r="BO2453" s="81"/>
      <c r="BP2453" s="81"/>
      <c r="BQ2453" s="81"/>
      <c r="BR2453" s="81"/>
      <c r="BS2453" s="81"/>
      <c r="BT2453" s="81"/>
    </row>
    <row r="2454" spans="65:72" x14ac:dyDescent="0.25">
      <c r="BM2454" s="81"/>
      <c r="BN2454" s="81"/>
      <c r="BO2454" s="81"/>
      <c r="BP2454" s="81"/>
      <c r="BQ2454" s="81"/>
      <c r="BR2454" s="81"/>
      <c r="BS2454" s="81"/>
      <c r="BT2454" s="81"/>
    </row>
    <row r="2455" spans="65:72" x14ac:dyDescent="0.25">
      <c r="BM2455" s="81"/>
      <c r="BN2455" s="81"/>
      <c r="BO2455" s="81"/>
      <c r="BP2455" s="81"/>
      <c r="BQ2455" s="81"/>
      <c r="BR2455" s="81"/>
      <c r="BS2455" s="81"/>
      <c r="BT2455" s="81"/>
    </row>
    <row r="2456" spans="65:72" x14ac:dyDescent="0.25">
      <c r="BM2456" s="81"/>
      <c r="BN2456" s="81"/>
      <c r="BO2456" s="81"/>
      <c r="BP2456" s="81"/>
      <c r="BQ2456" s="81"/>
      <c r="BR2456" s="81"/>
      <c r="BS2456" s="81"/>
      <c r="BT2456" s="81"/>
    </row>
    <row r="2457" spans="65:72" x14ac:dyDescent="0.25">
      <c r="BM2457" s="81"/>
      <c r="BN2457" s="81"/>
      <c r="BO2457" s="81"/>
      <c r="BP2457" s="81"/>
      <c r="BQ2457" s="81"/>
      <c r="BR2457" s="81"/>
      <c r="BS2457" s="81"/>
      <c r="BT2457" s="81"/>
    </row>
    <row r="2458" spans="65:72" x14ac:dyDescent="0.25">
      <c r="BM2458" s="81"/>
      <c r="BN2458" s="81"/>
      <c r="BO2458" s="81"/>
      <c r="BP2458" s="81"/>
      <c r="BQ2458" s="81"/>
      <c r="BR2458" s="81"/>
      <c r="BS2458" s="81"/>
      <c r="BT2458" s="81"/>
    </row>
    <row r="2459" spans="65:72" x14ac:dyDescent="0.25">
      <c r="BM2459" s="81"/>
      <c r="BN2459" s="81"/>
      <c r="BO2459" s="81"/>
      <c r="BP2459" s="81"/>
      <c r="BQ2459" s="81"/>
      <c r="BR2459" s="81"/>
      <c r="BS2459" s="81"/>
      <c r="BT2459" s="81"/>
    </row>
    <row r="2460" spans="65:72" x14ac:dyDescent="0.25">
      <c r="BM2460" s="81"/>
      <c r="BN2460" s="81"/>
      <c r="BO2460" s="81"/>
      <c r="BP2460" s="81"/>
      <c r="BQ2460" s="81"/>
      <c r="BR2460" s="81"/>
      <c r="BS2460" s="81"/>
      <c r="BT2460" s="81"/>
    </row>
    <row r="2461" spans="65:72" x14ac:dyDescent="0.25">
      <c r="BM2461" s="81"/>
      <c r="BN2461" s="81"/>
      <c r="BO2461" s="81"/>
      <c r="BP2461" s="81"/>
      <c r="BQ2461" s="81"/>
      <c r="BR2461" s="81"/>
      <c r="BS2461" s="81"/>
      <c r="BT2461" s="81"/>
    </row>
    <row r="2462" spans="65:72" x14ac:dyDescent="0.25">
      <c r="BM2462" s="81"/>
      <c r="BN2462" s="81"/>
      <c r="BO2462" s="81"/>
      <c r="BP2462" s="81"/>
      <c r="BQ2462" s="81"/>
      <c r="BR2462" s="81"/>
      <c r="BS2462" s="81"/>
      <c r="BT2462" s="81"/>
    </row>
    <row r="2463" spans="65:72" x14ac:dyDescent="0.25">
      <c r="BM2463" s="81"/>
      <c r="BN2463" s="81"/>
      <c r="BO2463" s="81"/>
      <c r="BP2463" s="81"/>
      <c r="BQ2463" s="81"/>
      <c r="BR2463" s="81"/>
      <c r="BS2463" s="81"/>
      <c r="BT2463" s="81"/>
    </row>
    <row r="2464" spans="65:72" x14ac:dyDescent="0.25">
      <c r="BM2464" s="81"/>
      <c r="BN2464" s="81"/>
      <c r="BO2464" s="81"/>
      <c r="BP2464" s="81"/>
      <c r="BQ2464" s="81"/>
      <c r="BR2464" s="81"/>
      <c r="BS2464" s="81"/>
      <c r="BT2464" s="81"/>
    </row>
    <row r="2465" spans="65:72" x14ac:dyDescent="0.25">
      <c r="BM2465" s="81"/>
      <c r="BN2465" s="81"/>
      <c r="BO2465" s="81"/>
      <c r="BP2465" s="81"/>
      <c r="BQ2465" s="81"/>
      <c r="BR2465" s="81"/>
      <c r="BS2465" s="81"/>
      <c r="BT2465" s="81"/>
    </row>
    <row r="2466" spans="65:72" x14ac:dyDescent="0.25">
      <c r="BM2466" s="81"/>
      <c r="BN2466" s="81"/>
      <c r="BO2466" s="81"/>
      <c r="BP2466" s="81"/>
      <c r="BQ2466" s="81"/>
      <c r="BR2466" s="81"/>
      <c r="BS2466" s="81"/>
      <c r="BT2466" s="81"/>
    </row>
    <row r="2467" spans="65:72" x14ac:dyDescent="0.25">
      <c r="BM2467" s="81"/>
      <c r="BN2467" s="81"/>
      <c r="BO2467" s="81"/>
      <c r="BP2467" s="81"/>
      <c r="BQ2467" s="81"/>
      <c r="BR2467" s="81"/>
      <c r="BS2467" s="81"/>
      <c r="BT2467" s="81"/>
    </row>
    <row r="2468" spans="65:72" x14ac:dyDescent="0.25">
      <c r="BM2468" s="81"/>
      <c r="BN2468" s="81"/>
      <c r="BO2468" s="81"/>
      <c r="BP2468" s="81"/>
      <c r="BQ2468" s="81"/>
      <c r="BR2468" s="81"/>
      <c r="BS2468" s="81"/>
      <c r="BT2468" s="81"/>
    </row>
    <row r="2469" spans="65:72" x14ac:dyDescent="0.25">
      <c r="BM2469" s="81"/>
      <c r="BN2469" s="81"/>
      <c r="BO2469" s="81"/>
      <c r="BP2469" s="81"/>
      <c r="BQ2469" s="81"/>
      <c r="BR2469" s="81"/>
      <c r="BS2469" s="81"/>
      <c r="BT2469" s="81"/>
    </row>
    <row r="2470" spans="65:72" x14ac:dyDescent="0.25">
      <c r="BM2470" s="81"/>
      <c r="BN2470" s="81"/>
      <c r="BO2470" s="81"/>
      <c r="BP2470" s="81"/>
      <c r="BQ2470" s="81"/>
      <c r="BR2470" s="81"/>
      <c r="BS2470" s="81"/>
      <c r="BT2470" s="81"/>
    </row>
    <row r="2471" spans="65:72" x14ac:dyDescent="0.25">
      <c r="BM2471" s="81"/>
      <c r="BN2471" s="81"/>
      <c r="BO2471" s="81"/>
      <c r="BP2471" s="81"/>
      <c r="BQ2471" s="81"/>
      <c r="BR2471" s="81"/>
      <c r="BS2471" s="81"/>
      <c r="BT2471" s="81"/>
    </row>
    <row r="2472" spans="65:72" x14ac:dyDescent="0.25">
      <c r="BM2472" s="81"/>
      <c r="BN2472" s="81"/>
      <c r="BO2472" s="81"/>
      <c r="BP2472" s="81"/>
      <c r="BQ2472" s="81"/>
      <c r="BR2472" s="81"/>
      <c r="BS2472" s="81"/>
      <c r="BT2472" s="81"/>
    </row>
    <row r="2473" spans="65:72" x14ac:dyDescent="0.25">
      <c r="BM2473" s="81"/>
      <c r="BN2473" s="81"/>
      <c r="BO2473" s="81"/>
      <c r="BP2473" s="81"/>
      <c r="BQ2473" s="81"/>
      <c r="BR2473" s="81"/>
      <c r="BS2473" s="81"/>
      <c r="BT2473" s="81"/>
    </row>
    <row r="2474" spans="65:72" x14ac:dyDescent="0.25">
      <c r="BM2474" s="81"/>
      <c r="BN2474" s="81"/>
      <c r="BO2474" s="81"/>
      <c r="BP2474" s="81"/>
      <c r="BQ2474" s="81"/>
      <c r="BR2474" s="81"/>
      <c r="BS2474" s="81"/>
      <c r="BT2474" s="81"/>
    </row>
    <row r="2475" spans="65:72" x14ac:dyDescent="0.25">
      <c r="BM2475" s="81"/>
      <c r="BN2475" s="81"/>
      <c r="BO2475" s="81"/>
      <c r="BP2475" s="81"/>
      <c r="BQ2475" s="81"/>
      <c r="BR2475" s="81"/>
      <c r="BS2475" s="81"/>
      <c r="BT2475" s="81"/>
    </row>
    <row r="2476" spans="65:72" x14ac:dyDescent="0.25">
      <c r="BM2476" s="81"/>
      <c r="BN2476" s="81"/>
      <c r="BO2476" s="81"/>
      <c r="BP2476" s="81"/>
      <c r="BQ2476" s="81"/>
      <c r="BR2476" s="81"/>
      <c r="BS2476" s="81"/>
      <c r="BT2476" s="81"/>
    </row>
    <row r="2477" spans="65:72" x14ac:dyDescent="0.25">
      <c r="BM2477" s="81"/>
      <c r="BN2477" s="81"/>
      <c r="BO2477" s="81"/>
      <c r="BP2477" s="81"/>
      <c r="BQ2477" s="81"/>
      <c r="BR2477" s="81"/>
      <c r="BS2477" s="81"/>
      <c r="BT2477" s="81"/>
    </row>
    <row r="2478" spans="65:72" x14ac:dyDescent="0.25">
      <c r="BM2478" s="81"/>
      <c r="BN2478" s="81"/>
      <c r="BO2478" s="81"/>
      <c r="BP2478" s="81"/>
      <c r="BQ2478" s="81"/>
      <c r="BR2478" s="81"/>
      <c r="BS2478" s="81"/>
      <c r="BT2478" s="81"/>
    </row>
    <row r="2479" spans="65:72" x14ac:dyDescent="0.25">
      <c r="BM2479" s="81"/>
      <c r="BN2479" s="81"/>
      <c r="BO2479" s="81"/>
      <c r="BP2479" s="81"/>
      <c r="BQ2479" s="81"/>
      <c r="BR2479" s="81"/>
      <c r="BS2479" s="81"/>
      <c r="BT2479" s="81"/>
    </row>
    <row r="2480" spans="65:72" x14ac:dyDescent="0.25">
      <c r="BM2480" s="81"/>
      <c r="BN2480" s="81"/>
      <c r="BO2480" s="81"/>
      <c r="BP2480" s="81"/>
      <c r="BQ2480" s="81"/>
      <c r="BR2480" s="81"/>
      <c r="BS2480" s="81"/>
      <c r="BT2480" s="81"/>
    </row>
    <row r="2481" spans="65:72" x14ac:dyDescent="0.25">
      <c r="BM2481" s="81"/>
      <c r="BN2481" s="81"/>
      <c r="BO2481" s="81"/>
      <c r="BP2481" s="81"/>
      <c r="BQ2481" s="81"/>
      <c r="BR2481" s="81"/>
      <c r="BS2481" s="81"/>
      <c r="BT2481" s="81"/>
    </row>
    <row r="2482" spans="65:72" x14ac:dyDescent="0.25">
      <c r="BM2482" s="81"/>
      <c r="BN2482" s="81"/>
      <c r="BO2482" s="81"/>
      <c r="BP2482" s="81"/>
      <c r="BQ2482" s="81"/>
      <c r="BR2482" s="81"/>
      <c r="BS2482" s="81"/>
      <c r="BT2482" s="81"/>
    </row>
    <row r="2483" spans="65:72" x14ac:dyDescent="0.25">
      <c r="BM2483" s="81"/>
      <c r="BN2483" s="81"/>
      <c r="BO2483" s="81"/>
      <c r="BP2483" s="81"/>
      <c r="BQ2483" s="81"/>
      <c r="BR2483" s="81"/>
      <c r="BS2483" s="81"/>
      <c r="BT2483" s="81"/>
    </row>
    <row r="2484" spans="65:72" x14ac:dyDescent="0.25">
      <c r="BM2484" s="81"/>
      <c r="BN2484" s="81"/>
      <c r="BO2484" s="81"/>
      <c r="BP2484" s="81"/>
      <c r="BQ2484" s="81"/>
      <c r="BR2484" s="81"/>
      <c r="BS2484" s="81"/>
      <c r="BT2484" s="81"/>
    </row>
    <row r="2485" spans="65:72" x14ac:dyDescent="0.25">
      <c r="BM2485" s="81"/>
      <c r="BN2485" s="81"/>
      <c r="BO2485" s="81"/>
      <c r="BP2485" s="81"/>
      <c r="BQ2485" s="81"/>
      <c r="BR2485" s="81"/>
      <c r="BS2485" s="81"/>
      <c r="BT2485" s="81"/>
    </row>
    <row r="2486" spans="65:72" x14ac:dyDescent="0.25">
      <c r="BM2486" s="81"/>
      <c r="BN2486" s="81"/>
      <c r="BO2486" s="81"/>
      <c r="BP2486" s="81"/>
      <c r="BQ2486" s="81"/>
      <c r="BR2486" s="81"/>
      <c r="BS2486" s="81"/>
      <c r="BT2486" s="81"/>
    </row>
    <row r="2487" spans="65:72" x14ac:dyDescent="0.25">
      <c r="BM2487" s="81"/>
      <c r="BN2487" s="81"/>
      <c r="BO2487" s="81"/>
      <c r="BP2487" s="81"/>
      <c r="BQ2487" s="81"/>
      <c r="BR2487" s="81"/>
      <c r="BS2487" s="81"/>
      <c r="BT2487" s="81"/>
    </row>
    <row r="2488" spans="65:72" x14ac:dyDescent="0.25">
      <c r="BM2488" s="81"/>
      <c r="BN2488" s="81"/>
      <c r="BO2488" s="81"/>
      <c r="BP2488" s="81"/>
      <c r="BQ2488" s="81"/>
      <c r="BR2488" s="81"/>
      <c r="BS2488" s="81"/>
      <c r="BT2488" s="81"/>
    </row>
    <row r="2489" spans="65:72" x14ac:dyDescent="0.25">
      <c r="BM2489" s="81"/>
      <c r="BN2489" s="81"/>
      <c r="BO2489" s="81"/>
      <c r="BP2489" s="81"/>
      <c r="BQ2489" s="81"/>
      <c r="BR2489" s="81"/>
      <c r="BS2489" s="81"/>
      <c r="BT2489" s="81"/>
    </row>
    <row r="2490" spans="65:72" x14ac:dyDescent="0.25">
      <c r="BM2490" s="81"/>
      <c r="BN2490" s="81"/>
      <c r="BO2490" s="81"/>
      <c r="BP2490" s="81"/>
      <c r="BQ2490" s="81"/>
      <c r="BR2490" s="81"/>
      <c r="BS2490" s="81"/>
      <c r="BT2490" s="81"/>
    </row>
    <row r="2491" spans="65:72" x14ac:dyDescent="0.25">
      <c r="BM2491" s="81"/>
      <c r="BN2491" s="81"/>
      <c r="BO2491" s="81"/>
      <c r="BP2491" s="81"/>
      <c r="BQ2491" s="81"/>
      <c r="BR2491" s="81"/>
      <c r="BS2491" s="81"/>
      <c r="BT2491" s="81"/>
    </row>
    <row r="2492" spans="65:72" x14ac:dyDescent="0.25">
      <c r="BM2492" s="81"/>
      <c r="BN2492" s="81"/>
      <c r="BO2492" s="81"/>
      <c r="BP2492" s="81"/>
      <c r="BQ2492" s="81"/>
      <c r="BR2492" s="81"/>
      <c r="BS2492" s="81"/>
      <c r="BT2492" s="81"/>
    </row>
    <row r="2493" spans="65:72" x14ac:dyDescent="0.25">
      <c r="BM2493" s="81"/>
      <c r="BN2493" s="81"/>
      <c r="BO2493" s="81"/>
      <c r="BP2493" s="81"/>
      <c r="BQ2493" s="81"/>
      <c r="BR2493" s="81"/>
      <c r="BS2493" s="81"/>
      <c r="BT2493" s="81"/>
    </row>
    <row r="2494" spans="65:72" x14ac:dyDescent="0.25">
      <c r="BM2494" s="81"/>
      <c r="BN2494" s="81"/>
      <c r="BO2494" s="81"/>
      <c r="BP2494" s="81"/>
      <c r="BQ2494" s="81"/>
      <c r="BR2494" s="81"/>
      <c r="BS2494" s="81"/>
      <c r="BT2494" s="81"/>
    </row>
    <row r="2495" spans="65:72" x14ac:dyDescent="0.25">
      <c r="BM2495" s="81"/>
      <c r="BN2495" s="81"/>
      <c r="BO2495" s="81"/>
      <c r="BP2495" s="81"/>
      <c r="BQ2495" s="81"/>
      <c r="BR2495" s="81"/>
      <c r="BS2495" s="81"/>
      <c r="BT2495" s="81"/>
    </row>
    <row r="2496" spans="65:72" x14ac:dyDescent="0.25">
      <c r="BM2496" s="81"/>
      <c r="BN2496" s="81"/>
      <c r="BO2496" s="81"/>
      <c r="BP2496" s="81"/>
      <c r="BQ2496" s="81"/>
      <c r="BR2496" s="81"/>
      <c r="BS2496" s="81"/>
      <c r="BT2496" s="81"/>
    </row>
    <row r="2497" spans="65:72" x14ac:dyDescent="0.25">
      <c r="BM2497" s="81"/>
      <c r="BN2497" s="81"/>
      <c r="BO2497" s="81"/>
      <c r="BP2497" s="81"/>
      <c r="BQ2497" s="81"/>
      <c r="BR2497" s="81"/>
      <c r="BS2497" s="81"/>
      <c r="BT2497" s="81"/>
    </row>
    <row r="2498" spans="65:72" x14ac:dyDescent="0.25">
      <c r="BM2498" s="81"/>
      <c r="BN2498" s="81"/>
      <c r="BO2498" s="81"/>
      <c r="BP2498" s="81"/>
      <c r="BQ2498" s="81"/>
      <c r="BR2498" s="81"/>
      <c r="BS2498" s="81"/>
      <c r="BT2498" s="81"/>
    </row>
    <row r="2499" spans="65:72" x14ac:dyDescent="0.25">
      <c r="BM2499" s="81"/>
      <c r="BN2499" s="81"/>
      <c r="BO2499" s="81"/>
      <c r="BP2499" s="81"/>
      <c r="BQ2499" s="81"/>
      <c r="BR2499" s="81"/>
      <c r="BS2499" s="81"/>
      <c r="BT2499" s="81"/>
    </row>
    <row r="2500" spans="65:72" x14ac:dyDescent="0.25">
      <c r="BM2500" s="81"/>
      <c r="BN2500" s="81"/>
      <c r="BO2500" s="81"/>
      <c r="BP2500" s="81"/>
      <c r="BQ2500" s="81"/>
      <c r="BR2500" s="81"/>
      <c r="BS2500" s="81"/>
      <c r="BT2500" s="81"/>
    </row>
    <row r="2501" spans="65:72" x14ac:dyDescent="0.25">
      <c r="BM2501" s="81"/>
      <c r="BN2501" s="81"/>
      <c r="BO2501" s="81"/>
      <c r="BP2501" s="81"/>
      <c r="BQ2501" s="81"/>
      <c r="BR2501" s="81"/>
      <c r="BS2501" s="81"/>
      <c r="BT2501" s="81"/>
    </row>
    <row r="2502" spans="65:72" x14ac:dyDescent="0.25">
      <c r="BM2502" s="81"/>
      <c r="BN2502" s="81"/>
      <c r="BO2502" s="81"/>
      <c r="BP2502" s="81"/>
      <c r="BQ2502" s="81"/>
      <c r="BR2502" s="81"/>
      <c r="BS2502" s="81"/>
      <c r="BT2502" s="81"/>
    </row>
    <row r="2503" spans="65:72" x14ac:dyDescent="0.25">
      <c r="BM2503" s="81"/>
      <c r="BN2503" s="81"/>
      <c r="BO2503" s="81"/>
      <c r="BP2503" s="81"/>
      <c r="BQ2503" s="81"/>
      <c r="BR2503" s="81"/>
      <c r="BS2503" s="81"/>
      <c r="BT2503" s="81"/>
    </row>
    <row r="2504" spans="65:72" x14ac:dyDescent="0.25">
      <c r="BM2504" s="81"/>
      <c r="BN2504" s="81"/>
      <c r="BO2504" s="81"/>
      <c r="BP2504" s="81"/>
      <c r="BQ2504" s="81"/>
      <c r="BR2504" s="81"/>
      <c r="BS2504" s="81"/>
      <c r="BT2504" s="81"/>
    </row>
    <row r="2505" spans="65:72" x14ac:dyDescent="0.25">
      <c r="BM2505" s="81"/>
      <c r="BN2505" s="81"/>
      <c r="BO2505" s="81"/>
      <c r="BP2505" s="81"/>
      <c r="BQ2505" s="81"/>
      <c r="BR2505" s="81"/>
      <c r="BS2505" s="81"/>
      <c r="BT2505" s="81"/>
    </row>
    <row r="2506" spans="65:72" x14ac:dyDescent="0.25">
      <c r="BM2506" s="81"/>
      <c r="BN2506" s="81"/>
      <c r="BO2506" s="81"/>
      <c r="BP2506" s="81"/>
      <c r="BQ2506" s="81"/>
      <c r="BR2506" s="81"/>
      <c r="BS2506" s="81"/>
      <c r="BT2506" s="81"/>
    </row>
    <row r="2507" spans="65:72" x14ac:dyDescent="0.25">
      <c r="BM2507" s="81"/>
      <c r="BN2507" s="81"/>
      <c r="BO2507" s="81"/>
      <c r="BP2507" s="81"/>
      <c r="BQ2507" s="81"/>
      <c r="BR2507" s="81"/>
      <c r="BS2507" s="81"/>
      <c r="BT2507" s="81"/>
    </row>
    <row r="2508" spans="65:72" x14ac:dyDescent="0.25">
      <c r="BM2508" s="81"/>
      <c r="BN2508" s="81"/>
      <c r="BO2508" s="81"/>
      <c r="BP2508" s="81"/>
      <c r="BQ2508" s="81"/>
      <c r="BR2508" s="81"/>
      <c r="BS2508" s="81"/>
      <c r="BT2508" s="81"/>
    </row>
    <row r="2509" spans="65:72" x14ac:dyDescent="0.25">
      <c r="BM2509" s="81"/>
      <c r="BN2509" s="81"/>
      <c r="BO2509" s="81"/>
      <c r="BP2509" s="81"/>
      <c r="BQ2509" s="81"/>
      <c r="BR2509" s="81"/>
      <c r="BS2509" s="81"/>
      <c r="BT2509" s="81"/>
    </row>
    <row r="2510" spans="65:72" x14ac:dyDescent="0.25">
      <c r="BM2510" s="81"/>
      <c r="BN2510" s="81"/>
      <c r="BO2510" s="81"/>
      <c r="BP2510" s="81"/>
      <c r="BQ2510" s="81"/>
      <c r="BR2510" s="81"/>
      <c r="BS2510" s="81"/>
      <c r="BT2510" s="81"/>
    </row>
    <row r="2511" spans="65:72" x14ac:dyDescent="0.25">
      <c r="BM2511" s="81"/>
      <c r="BN2511" s="81"/>
      <c r="BO2511" s="81"/>
      <c r="BP2511" s="81"/>
      <c r="BQ2511" s="81"/>
      <c r="BR2511" s="81"/>
      <c r="BS2511" s="81"/>
      <c r="BT2511" s="81"/>
    </row>
    <row r="2512" spans="65:72" x14ac:dyDescent="0.25">
      <c r="BM2512" s="81"/>
      <c r="BN2512" s="81"/>
      <c r="BO2512" s="81"/>
      <c r="BP2512" s="81"/>
      <c r="BQ2512" s="81"/>
      <c r="BR2512" s="81"/>
      <c r="BS2512" s="81"/>
      <c r="BT2512" s="81"/>
    </row>
    <row r="2513" spans="65:72" x14ac:dyDescent="0.25">
      <c r="BM2513" s="81"/>
      <c r="BN2513" s="81"/>
      <c r="BO2513" s="81"/>
      <c r="BP2513" s="81"/>
      <c r="BQ2513" s="81"/>
      <c r="BR2513" s="81"/>
      <c r="BS2513" s="81"/>
      <c r="BT2513" s="81"/>
    </row>
    <row r="2514" spans="65:72" x14ac:dyDescent="0.25">
      <c r="BM2514" s="81"/>
      <c r="BN2514" s="81"/>
      <c r="BO2514" s="81"/>
      <c r="BP2514" s="81"/>
      <c r="BQ2514" s="81"/>
      <c r="BR2514" s="81"/>
      <c r="BS2514" s="81"/>
      <c r="BT2514" s="81"/>
    </row>
    <row r="2515" spans="65:72" x14ac:dyDescent="0.25">
      <c r="BM2515" s="81"/>
      <c r="BN2515" s="81"/>
      <c r="BO2515" s="81"/>
      <c r="BP2515" s="81"/>
      <c r="BQ2515" s="81"/>
      <c r="BR2515" s="81"/>
      <c r="BS2515" s="81"/>
      <c r="BT2515" s="81"/>
    </row>
    <row r="2516" spans="65:72" x14ac:dyDescent="0.25">
      <c r="BM2516" s="81"/>
      <c r="BN2516" s="81"/>
      <c r="BO2516" s="81"/>
      <c r="BP2516" s="81"/>
      <c r="BQ2516" s="81"/>
      <c r="BR2516" s="81"/>
      <c r="BS2516" s="81"/>
      <c r="BT2516" s="81"/>
    </row>
    <row r="2517" spans="65:72" x14ac:dyDescent="0.25">
      <c r="BM2517" s="81"/>
      <c r="BN2517" s="81"/>
      <c r="BO2517" s="81"/>
      <c r="BP2517" s="81"/>
      <c r="BQ2517" s="81"/>
      <c r="BR2517" s="81"/>
      <c r="BS2517" s="81"/>
      <c r="BT2517" s="81"/>
    </row>
    <row r="2518" spans="65:72" x14ac:dyDescent="0.25">
      <c r="BM2518" s="81"/>
      <c r="BN2518" s="81"/>
      <c r="BO2518" s="81"/>
      <c r="BP2518" s="81"/>
      <c r="BQ2518" s="81"/>
      <c r="BR2518" s="81"/>
      <c r="BS2518" s="81"/>
      <c r="BT2518" s="81"/>
    </row>
    <row r="2519" spans="65:72" x14ac:dyDescent="0.25">
      <c r="BM2519" s="81"/>
      <c r="BN2519" s="81"/>
      <c r="BO2519" s="81"/>
      <c r="BP2519" s="81"/>
      <c r="BQ2519" s="81"/>
      <c r="BR2519" s="81"/>
      <c r="BS2519" s="81"/>
      <c r="BT2519" s="81"/>
    </row>
    <row r="2520" spans="65:72" x14ac:dyDescent="0.25">
      <c r="BM2520" s="81"/>
      <c r="BN2520" s="81"/>
      <c r="BO2520" s="81"/>
      <c r="BP2520" s="81"/>
      <c r="BQ2520" s="81"/>
      <c r="BR2520" s="81"/>
      <c r="BS2520" s="81"/>
      <c r="BT2520" s="81"/>
    </row>
    <row r="2521" spans="65:72" x14ac:dyDescent="0.25">
      <c r="BM2521" s="81"/>
      <c r="BN2521" s="81"/>
      <c r="BO2521" s="81"/>
      <c r="BP2521" s="81"/>
      <c r="BQ2521" s="81"/>
      <c r="BR2521" s="81"/>
      <c r="BS2521" s="81"/>
      <c r="BT2521" s="81"/>
    </row>
    <row r="2522" spans="65:72" x14ac:dyDescent="0.25">
      <c r="BM2522" s="81"/>
      <c r="BN2522" s="81"/>
      <c r="BO2522" s="81"/>
      <c r="BP2522" s="81"/>
      <c r="BQ2522" s="81"/>
      <c r="BR2522" s="81"/>
      <c r="BS2522" s="81"/>
      <c r="BT2522" s="81"/>
    </row>
    <row r="2523" spans="65:72" x14ac:dyDescent="0.25">
      <c r="BM2523" s="81"/>
      <c r="BN2523" s="81"/>
      <c r="BO2523" s="81"/>
      <c r="BP2523" s="81"/>
      <c r="BQ2523" s="81"/>
      <c r="BR2523" s="81"/>
      <c r="BS2523" s="81"/>
      <c r="BT2523" s="81"/>
    </row>
    <row r="2524" spans="65:72" x14ac:dyDescent="0.25">
      <c r="BM2524" s="81"/>
      <c r="BN2524" s="81"/>
      <c r="BO2524" s="81"/>
      <c r="BP2524" s="81"/>
      <c r="BQ2524" s="81"/>
      <c r="BR2524" s="81"/>
      <c r="BS2524" s="81"/>
      <c r="BT2524" s="81"/>
    </row>
    <row r="2525" spans="65:72" x14ac:dyDescent="0.25">
      <c r="BM2525" s="81"/>
      <c r="BN2525" s="81"/>
      <c r="BO2525" s="81"/>
      <c r="BP2525" s="81"/>
      <c r="BQ2525" s="81"/>
      <c r="BR2525" s="81"/>
      <c r="BS2525" s="81"/>
      <c r="BT2525" s="81"/>
    </row>
    <row r="2526" spans="65:72" x14ac:dyDescent="0.25">
      <c r="BM2526" s="81"/>
      <c r="BN2526" s="81"/>
      <c r="BO2526" s="81"/>
      <c r="BP2526" s="81"/>
      <c r="BQ2526" s="81"/>
      <c r="BR2526" s="81"/>
      <c r="BS2526" s="81"/>
      <c r="BT2526" s="81"/>
    </row>
    <row r="2527" spans="65:72" x14ac:dyDescent="0.25">
      <c r="BM2527" s="81"/>
      <c r="BN2527" s="81"/>
      <c r="BO2527" s="81"/>
      <c r="BP2527" s="81"/>
      <c r="BQ2527" s="81"/>
      <c r="BR2527" s="81"/>
      <c r="BS2527" s="81"/>
      <c r="BT2527" s="81"/>
    </row>
    <row r="2528" spans="65:72" x14ac:dyDescent="0.25">
      <c r="BM2528" s="81"/>
      <c r="BN2528" s="81"/>
      <c r="BO2528" s="81"/>
      <c r="BP2528" s="81"/>
      <c r="BQ2528" s="81"/>
      <c r="BR2528" s="81"/>
      <c r="BS2528" s="81"/>
      <c r="BT2528" s="81"/>
    </row>
    <row r="2529" spans="65:72" x14ac:dyDescent="0.25">
      <c r="BM2529" s="81"/>
      <c r="BN2529" s="81"/>
      <c r="BO2529" s="81"/>
      <c r="BP2529" s="81"/>
      <c r="BQ2529" s="81"/>
      <c r="BR2529" s="81"/>
      <c r="BS2529" s="81"/>
      <c r="BT2529" s="81"/>
    </row>
    <row r="2530" spans="65:72" x14ac:dyDescent="0.25">
      <c r="BM2530" s="81"/>
      <c r="BN2530" s="81"/>
      <c r="BO2530" s="81"/>
      <c r="BP2530" s="81"/>
      <c r="BQ2530" s="81"/>
      <c r="BR2530" s="81"/>
      <c r="BS2530" s="81"/>
      <c r="BT2530" s="81"/>
    </row>
    <row r="2531" spans="65:72" x14ac:dyDescent="0.25">
      <c r="BM2531" s="81"/>
      <c r="BN2531" s="81"/>
      <c r="BO2531" s="81"/>
      <c r="BP2531" s="81"/>
      <c r="BQ2531" s="81"/>
      <c r="BR2531" s="81"/>
      <c r="BS2531" s="81"/>
      <c r="BT2531" s="81"/>
    </row>
    <row r="2532" spans="65:72" x14ac:dyDescent="0.25">
      <c r="BM2532" s="81"/>
      <c r="BN2532" s="81"/>
      <c r="BO2532" s="81"/>
      <c r="BP2532" s="81"/>
      <c r="BQ2532" s="81"/>
      <c r="BR2532" s="81"/>
      <c r="BS2532" s="81"/>
      <c r="BT2532" s="81"/>
    </row>
    <row r="2533" spans="65:72" x14ac:dyDescent="0.25">
      <c r="BM2533" s="81"/>
      <c r="BN2533" s="81"/>
      <c r="BO2533" s="81"/>
      <c r="BP2533" s="81"/>
      <c r="BQ2533" s="81"/>
      <c r="BR2533" s="81"/>
      <c r="BS2533" s="81"/>
      <c r="BT2533" s="81"/>
    </row>
    <row r="2534" spans="65:72" x14ac:dyDescent="0.25">
      <c r="BM2534" s="81"/>
      <c r="BN2534" s="81"/>
      <c r="BO2534" s="81"/>
      <c r="BP2534" s="81"/>
      <c r="BQ2534" s="81"/>
      <c r="BR2534" s="81"/>
      <c r="BS2534" s="81"/>
      <c r="BT2534" s="81"/>
    </row>
    <row r="2535" spans="65:72" x14ac:dyDescent="0.25">
      <c r="BM2535" s="81"/>
      <c r="BN2535" s="81"/>
      <c r="BO2535" s="81"/>
      <c r="BP2535" s="81"/>
      <c r="BQ2535" s="81"/>
      <c r="BR2535" s="81"/>
      <c r="BS2535" s="81"/>
      <c r="BT2535" s="81"/>
    </row>
    <row r="2536" spans="65:72" x14ac:dyDescent="0.25">
      <c r="BM2536" s="81"/>
      <c r="BN2536" s="81"/>
      <c r="BO2536" s="81"/>
      <c r="BP2536" s="81"/>
      <c r="BQ2536" s="81"/>
      <c r="BR2536" s="81"/>
      <c r="BS2536" s="81"/>
      <c r="BT2536" s="81"/>
    </row>
    <row r="2537" spans="65:72" x14ac:dyDescent="0.25">
      <c r="BM2537" s="81"/>
      <c r="BN2537" s="81"/>
      <c r="BO2537" s="81"/>
      <c r="BP2537" s="81"/>
      <c r="BQ2537" s="81"/>
      <c r="BR2537" s="81"/>
      <c r="BS2537" s="81"/>
      <c r="BT2537" s="81"/>
    </row>
    <row r="2538" spans="65:72" x14ac:dyDescent="0.25">
      <c r="BM2538" s="81"/>
      <c r="BN2538" s="81"/>
      <c r="BO2538" s="81"/>
      <c r="BP2538" s="81"/>
      <c r="BQ2538" s="81"/>
      <c r="BR2538" s="81"/>
      <c r="BS2538" s="81"/>
      <c r="BT2538" s="81"/>
    </row>
    <row r="2539" spans="65:72" x14ac:dyDescent="0.25">
      <c r="BM2539" s="81"/>
      <c r="BN2539" s="81"/>
      <c r="BO2539" s="81"/>
      <c r="BP2539" s="81"/>
      <c r="BQ2539" s="81"/>
      <c r="BR2539" s="81"/>
      <c r="BS2539" s="81"/>
      <c r="BT2539" s="81"/>
    </row>
    <row r="2540" spans="65:72" x14ac:dyDescent="0.25">
      <c r="BM2540" s="81"/>
      <c r="BN2540" s="81"/>
      <c r="BO2540" s="81"/>
      <c r="BP2540" s="81"/>
      <c r="BQ2540" s="81"/>
      <c r="BR2540" s="81"/>
      <c r="BS2540" s="81"/>
      <c r="BT2540" s="81"/>
    </row>
    <row r="2541" spans="65:72" x14ac:dyDescent="0.25">
      <c r="BM2541" s="81"/>
      <c r="BN2541" s="81"/>
      <c r="BO2541" s="81"/>
      <c r="BP2541" s="81"/>
      <c r="BQ2541" s="81"/>
      <c r="BR2541" s="81"/>
      <c r="BS2541" s="81"/>
      <c r="BT2541" s="81"/>
    </row>
    <row r="2542" spans="65:72" x14ac:dyDescent="0.25">
      <c r="BM2542" s="81"/>
      <c r="BN2542" s="81"/>
      <c r="BO2542" s="81"/>
      <c r="BP2542" s="81"/>
      <c r="BQ2542" s="81"/>
      <c r="BR2542" s="81"/>
      <c r="BS2542" s="81"/>
      <c r="BT2542" s="81"/>
    </row>
    <row r="2543" spans="65:72" x14ac:dyDescent="0.25">
      <c r="BM2543" s="81"/>
      <c r="BN2543" s="81"/>
      <c r="BO2543" s="81"/>
      <c r="BP2543" s="81"/>
      <c r="BQ2543" s="81"/>
      <c r="BR2543" s="81"/>
      <c r="BS2543" s="81"/>
      <c r="BT2543" s="81"/>
    </row>
    <row r="2544" spans="65:72" x14ac:dyDescent="0.25">
      <c r="BM2544" s="81"/>
      <c r="BN2544" s="81"/>
      <c r="BO2544" s="81"/>
      <c r="BP2544" s="81"/>
      <c r="BQ2544" s="81"/>
      <c r="BR2544" s="81"/>
      <c r="BS2544" s="81"/>
      <c r="BT2544" s="81"/>
    </row>
    <row r="2545" spans="65:72" x14ac:dyDescent="0.25">
      <c r="BM2545" s="81"/>
      <c r="BN2545" s="81"/>
      <c r="BO2545" s="81"/>
      <c r="BP2545" s="81"/>
      <c r="BQ2545" s="81"/>
      <c r="BR2545" s="81"/>
      <c r="BS2545" s="81"/>
      <c r="BT2545" s="81"/>
    </row>
    <row r="2546" spans="65:72" x14ac:dyDescent="0.25">
      <c r="BM2546" s="81"/>
      <c r="BN2546" s="81"/>
      <c r="BO2546" s="81"/>
      <c r="BP2546" s="81"/>
      <c r="BQ2546" s="81"/>
      <c r="BR2546" s="81"/>
      <c r="BS2546" s="81"/>
      <c r="BT2546" s="81"/>
    </row>
    <row r="2547" spans="65:72" x14ac:dyDescent="0.25">
      <c r="BM2547" s="81"/>
      <c r="BN2547" s="81"/>
      <c r="BO2547" s="81"/>
      <c r="BP2547" s="81"/>
      <c r="BQ2547" s="81"/>
      <c r="BR2547" s="81"/>
      <c r="BS2547" s="81"/>
      <c r="BT2547" s="81"/>
    </row>
    <row r="2548" spans="65:72" x14ac:dyDescent="0.25">
      <c r="BM2548" s="81"/>
      <c r="BN2548" s="81"/>
      <c r="BO2548" s="81"/>
      <c r="BP2548" s="81"/>
      <c r="BQ2548" s="81"/>
      <c r="BR2548" s="81"/>
      <c r="BS2548" s="81"/>
      <c r="BT2548" s="81"/>
    </row>
    <row r="2549" spans="65:72" x14ac:dyDescent="0.25">
      <c r="BM2549" s="81"/>
      <c r="BN2549" s="81"/>
      <c r="BO2549" s="81"/>
      <c r="BP2549" s="81"/>
      <c r="BQ2549" s="81"/>
      <c r="BR2549" s="81"/>
      <c r="BS2549" s="81"/>
      <c r="BT2549" s="81"/>
    </row>
    <row r="2550" spans="65:72" x14ac:dyDescent="0.25">
      <c r="BM2550" s="81"/>
      <c r="BN2550" s="81"/>
      <c r="BO2550" s="81"/>
      <c r="BP2550" s="81"/>
      <c r="BQ2550" s="81"/>
      <c r="BR2550" s="81"/>
      <c r="BS2550" s="81"/>
      <c r="BT2550" s="81"/>
    </row>
    <row r="2551" spans="65:72" x14ac:dyDescent="0.25">
      <c r="BM2551" s="81"/>
      <c r="BN2551" s="81"/>
      <c r="BO2551" s="81"/>
      <c r="BP2551" s="81"/>
      <c r="BQ2551" s="81"/>
      <c r="BR2551" s="81"/>
      <c r="BS2551" s="81"/>
      <c r="BT2551" s="81"/>
    </row>
    <row r="2552" spans="65:72" x14ac:dyDescent="0.25">
      <c r="BM2552" s="81"/>
      <c r="BN2552" s="81"/>
      <c r="BO2552" s="81"/>
      <c r="BP2552" s="81"/>
      <c r="BQ2552" s="81"/>
      <c r="BR2552" s="81"/>
      <c r="BS2552" s="81"/>
      <c r="BT2552" s="81"/>
    </row>
    <row r="2553" spans="65:72" x14ac:dyDescent="0.25">
      <c r="BM2553" s="81"/>
      <c r="BN2553" s="81"/>
      <c r="BO2553" s="81"/>
      <c r="BP2553" s="81"/>
      <c r="BQ2553" s="81"/>
      <c r="BR2553" s="81"/>
      <c r="BS2553" s="81"/>
      <c r="BT2553" s="81"/>
    </row>
    <row r="2554" spans="65:72" x14ac:dyDescent="0.25">
      <c r="BM2554" s="81"/>
      <c r="BN2554" s="81"/>
      <c r="BO2554" s="81"/>
      <c r="BP2554" s="81"/>
      <c r="BQ2554" s="81"/>
      <c r="BR2554" s="81"/>
      <c r="BS2554" s="81"/>
      <c r="BT2554" s="81"/>
    </row>
    <row r="2555" spans="65:72" x14ac:dyDescent="0.25">
      <c r="BM2555" s="81"/>
      <c r="BN2555" s="81"/>
      <c r="BO2555" s="81"/>
      <c r="BP2555" s="81"/>
      <c r="BQ2555" s="81"/>
      <c r="BR2555" s="81"/>
      <c r="BS2555" s="81"/>
      <c r="BT2555" s="81"/>
    </row>
    <row r="2556" spans="65:72" x14ac:dyDescent="0.25">
      <c r="BM2556" s="81"/>
      <c r="BN2556" s="81"/>
      <c r="BO2556" s="81"/>
      <c r="BP2556" s="81"/>
      <c r="BQ2556" s="81"/>
      <c r="BR2556" s="81"/>
      <c r="BS2556" s="81"/>
      <c r="BT2556" s="81"/>
    </row>
    <row r="2557" spans="65:72" x14ac:dyDescent="0.25">
      <c r="BM2557" s="81"/>
      <c r="BN2557" s="81"/>
      <c r="BO2557" s="81"/>
      <c r="BP2557" s="81"/>
      <c r="BQ2557" s="81"/>
      <c r="BR2557" s="81"/>
      <c r="BS2557" s="81"/>
      <c r="BT2557" s="81"/>
    </row>
    <row r="2558" spans="65:72" x14ac:dyDescent="0.25">
      <c r="BM2558" s="81"/>
      <c r="BN2558" s="81"/>
      <c r="BO2558" s="81"/>
      <c r="BP2558" s="81"/>
      <c r="BQ2558" s="81"/>
      <c r="BR2558" s="81"/>
      <c r="BS2558" s="81"/>
      <c r="BT2558" s="81"/>
    </row>
    <row r="2559" spans="65:72" x14ac:dyDescent="0.25">
      <c r="BM2559" s="81"/>
      <c r="BN2559" s="81"/>
      <c r="BO2559" s="81"/>
      <c r="BP2559" s="81"/>
      <c r="BQ2559" s="81"/>
      <c r="BR2559" s="81"/>
      <c r="BS2559" s="81"/>
      <c r="BT2559" s="81"/>
    </row>
    <row r="2560" spans="65:72" x14ac:dyDescent="0.25">
      <c r="BM2560" s="81"/>
      <c r="BN2560" s="81"/>
      <c r="BO2560" s="81"/>
      <c r="BP2560" s="81"/>
      <c r="BQ2560" s="81"/>
      <c r="BR2560" s="81"/>
      <c r="BS2560" s="81"/>
      <c r="BT2560" s="81"/>
    </row>
    <row r="2561" spans="65:72" x14ac:dyDescent="0.25">
      <c r="BM2561" s="81"/>
      <c r="BN2561" s="81"/>
      <c r="BO2561" s="81"/>
      <c r="BP2561" s="81"/>
      <c r="BQ2561" s="81"/>
      <c r="BR2561" s="81"/>
      <c r="BS2561" s="81"/>
      <c r="BT2561" s="81"/>
    </row>
    <row r="2562" spans="65:72" x14ac:dyDescent="0.25">
      <c r="BM2562" s="81"/>
      <c r="BN2562" s="81"/>
      <c r="BO2562" s="81"/>
      <c r="BP2562" s="81"/>
      <c r="BQ2562" s="81"/>
      <c r="BR2562" s="81"/>
      <c r="BS2562" s="81"/>
      <c r="BT2562" s="81"/>
    </row>
    <row r="2563" spans="65:72" x14ac:dyDescent="0.25">
      <c r="BM2563" s="81"/>
      <c r="BN2563" s="81"/>
      <c r="BO2563" s="81"/>
      <c r="BP2563" s="81"/>
      <c r="BQ2563" s="81"/>
      <c r="BR2563" s="81"/>
      <c r="BS2563" s="81"/>
      <c r="BT2563" s="81"/>
    </row>
    <row r="2564" spans="65:72" x14ac:dyDescent="0.25">
      <c r="BM2564" s="81"/>
      <c r="BN2564" s="81"/>
      <c r="BO2564" s="81"/>
      <c r="BP2564" s="81"/>
      <c r="BQ2564" s="81"/>
      <c r="BR2564" s="81"/>
      <c r="BS2564" s="81"/>
      <c r="BT2564" s="81"/>
    </row>
    <row r="2565" spans="65:72" x14ac:dyDescent="0.25">
      <c r="BM2565" s="81"/>
      <c r="BN2565" s="81"/>
      <c r="BO2565" s="81"/>
      <c r="BP2565" s="81"/>
      <c r="BQ2565" s="81"/>
      <c r="BR2565" s="81"/>
      <c r="BS2565" s="81"/>
      <c r="BT2565" s="81"/>
    </row>
    <row r="2566" spans="65:72" x14ac:dyDescent="0.25">
      <c r="BM2566" s="81"/>
      <c r="BN2566" s="81"/>
      <c r="BO2566" s="81"/>
      <c r="BP2566" s="81"/>
      <c r="BQ2566" s="81"/>
      <c r="BR2566" s="81"/>
      <c r="BS2566" s="81"/>
      <c r="BT2566" s="81"/>
    </row>
    <row r="2567" spans="65:72" x14ac:dyDescent="0.25">
      <c r="BM2567" s="81"/>
      <c r="BN2567" s="81"/>
      <c r="BO2567" s="81"/>
      <c r="BP2567" s="81"/>
      <c r="BQ2567" s="81"/>
      <c r="BR2567" s="81"/>
      <c r="BS2567" s="81"/>
      <c r="BT2567" s="81"/>
    </row>
    <row r="2568" spans="65:72" x14ac:dyDescent="0.25">
      <c r="BM2568" s="81"/>
      <c r="BN2568" s="81"/>
      <c r="BO2568" s="81"/>
      <c r="BP2568" s="81"/>
      <c r="BQ2568" s="81"/>
      <c r="BR2568" s="81"/>
      <c r="BS2568" s="81"/>
      <c r="BT2568" s="81"/>
    </row>
    <row r="2569" spans="65:72" x14ac:dyDescent="0.25">
      <c r="BM2569" s="81"/>
      <c r="BN2569" s="81"/>
      <c r="BO2569" s="81"/>
      <c r="BP2569" s="81"/>
      <c r="BQ2569" s="81"/>
      <c r="BR2569" s="81"/>
      <c r="BS2569" s="81"/>
      <c r="BT2569" s="81"/>
    </row>
    <row r="2570" spans="65:72" x14ac:dyDescent="0.25">
      <c r="BM2570" s="81"/>
      <c r="BN2570" s="81"/>
      <c r="BO2570" s="81"/>
      <c r="BP2570" s="81"/>
      <c r="BQ2570" s="81"/>
      <c r="BR2570" s="81"/>
      <c r="BS2570" s="81"/>
      <c r="BT2570" s="81"/>
    </row>
    <row r="2571" spans="65:72" x14ac:dyDescent="0.25">
      <c r="BM2571" s="81"/>
      <c r="BN2571" s="81"/>
      <c r="BO2571" s="81"/>
      <c r="BP2571" s="81"/>
      <c r="BQ2571" s="81"/>
      <c r="BR2571" s="81"/>
      <c r="BS2571" s="81"/>
      <c r="BT2571" s="81"/>
    </row>
    <row r="2572" spans="65:72" x14ac:dyDescent="0.25">
      <c r="BM2572" s="81"/>
      <c r="BN2572" s="81"/>
      <c r="BO2572" s="81"/>
      <c r="BP2572" s="81"/>
      <c r="BQ2572" s="81"/>
      <c r="BR2572" s="81"/>
      <c r="BS2572" s="81"/>
      <c r="BT2572" s="81"/>
    </row>
    <row r="2573" spans="65:72" x14ac:dyDescent="0.25">
      <c r="BM2573" s="81"/>
      <c r="BN2573" s="81"/>
      <c r="BO2573" s="81"/>
      <c r="BP2573" s="81"/>
      <c r="BQ2573" s="81"/>
      <c r="BR2573" s="81"/>
      <c r="BS2573" s="81"/>
      <c r="BT2573" s="81"/>
    </row>
    <row r="2574" spans="65:72" x14ac:dyDescent="0.25">
      <c r="BM2574" s="81"/>
      <c r="BN2574" s="81"/>
      <c r="BO2574" s="81"/>
      <c r="BP2574" s="81"/>
      <c r="BQ2574" s="81"/>
      <c r="BR2574" s="81"/>
      <c r="BS2574" s="81"/>
      <c r="BT2574" s="81"/>
    </row>
    <row r="2575" spans="65:72" x14ac:dyDescent="0.25">
      <c r="BM2575" s="81"/>
      <c r="BN2575" s="81"/>
      <c r="BO2575" s="81"/>
      <c r="BP2575" s="81"/>
      <c r="BQ2575" s="81"/>
      <c r="BR2575" s="81"/>
      <c r="BS2575" s="81"/>
      <c r="BT2575" s="81"/>
    </row>
    <row r="2576" spans="65:72" x14ac:dyDescent="0.25">
      <c r="BM2576" s="81"/>
      <c r="BN2576" s="81"/>
      <c r="BO2576" s="81"/>
      <c r="BP2576" s="81"/>
      <c r="BQ2576" s="81"/>
      <c r="BR2576" s="81"/>
      <c r="BS2576" s="81"/>
      <c r="BT2576" s="81"/>
    </row>
    <row r="2577" spans="65:72" x14ac:dyDescent="0.25">
      <c r="BM2577" s="81"/>
      <c r="BN2577" s="81"/>
      <c r="BO2577" s="81"/>
      <c r="BP2577" s="81"/>
      <c r="BQ2577" s="81"/>
      <c r="BR2577" s="81"/>
      <c r="BS2577" s="81"/>
      <c r="BT2577" s="81"/>
    </row>
    <row r="2578" spans="65:72" x14ac:dyDescent="0.25">
      <c r="BM2578" s="81"/>
      <c r="BN2578" s="81"/>
      <c r="BO2578" s="81"/>
      <c r="BP2578" s="81"/>
      <c r="BQ2578" s="81"/>
      <c r="BR2578" s="81"/>
      <c r="BS2578" s="81"/>
      <c r="BT2578" s="81"/>
    </row>
    <row r="2579" spans="65:72" x14ac:dyDescent="0.25">
      <c r="BM2579" s="81"/>
      <c r="BN2579" s="81"/>
      <c r="BO2579" s="81"/>
      <c r="BP2579" s="81"/>
      <c r="BQ2579" s="81"/>
      <c r="BR2579" s="81"/>
      <c r="BS2579" s="81"/>
      <c r="BT2579" s="81"/>
    </row>
    <row r="2580" spans="65:72" x14ac:dyDescent="0.25">
      <c r="BM2580" s="81"/>
      <c r="BN2580" s="81"/>
      <c r="BO2580" s="81"/>
      <c r="BP2580" s="81"/>
      <c r="BQ2580" s="81"/>
      <c r="BR2580" s="81"/>
      <c r="BS2580" s="81"/>
      <c r="BT2580" s="81"/>
    </row>
    <row r="2581" spans="65:72" x14ac:dyDescent="0.25">
      <c r="BM2581" s="81"/>
      <c r="BN2581" s="81"/>
      <c r="BO2581" s="81"/>
      <c r="BP2581" s="81"/>
      <c r="BQ2581" s="81"/>
      <c r="BR2581" s="81"/>
      <c r="BS2581" s="81"/>
      <c r="BT2581" s="81"/>
    </row>
    <row r="2582" spans="65:72" x14ac:dyDescent="0.25">
      <c r="BM2582" s="81"/>
      <c r="BN2582" s="81"/>
      <c r="BO2582" s="81"/>
      <c r="BP2582" s="81"/>
      <c r="BQ2582" s="81"/>
      <c r="BR2582" s="81"/>
      <c r="BS2582" s="81"/>
      <c r="BT2582" s="81"/>
    </row>
    <row r="2583" spans="65:72" x14ac:dyDescent="0.25">
      <c r="BM2583" s="81"/>
      <c r="BN2583" s="81"/>
      <c r="BO2583" s="81"/>
      <c r="BP2583" s="81"/>
      <c r="BQ2583" s="81"/>
      <c r="BR2583" s="81"/>
      <c r="BS2583" s="81"/>
      <c r="BT2583" s="81"/>
    </row>
    <row r="2584" spans="65:72" x14ac:dyDescent="0.25">
      <c r="BM2584" s="81"/>
      <c r="BN2584" s="81"/>
      <c r="BO2584" s="81"/>
      <c r="BP2584" s="81"/>
      <c r="BQ2584" s="81"/>
      <c r="BR2584" s="81"/>
      <c r="BS2584" s="81"/>
      <c r="BT2584" s="81"/>
    </row>
    <row r="2585" spans="65:72" x14ac:dyDescent="0.25">
      <c r="BM2585" s="81"/>
      <c r="BN2585" s="81"/>
      <c r="BO2585" s="81"/>
      <c r="BP2585" s="81"/>
      <c r="BQ2585" s="81"/>
      <c r="BR2585" s="81"/>
      <c r="BS2585" s="81"/>
      <c r="BT2585" s="81"/>
    </row>
    <row r="2586" spans="65:72" x14ac:dyDescent="0.25">
      <c r="BM2586" s="81"/>
      <c r="BN2586" s="81"/>
      <c r="BO2586" s="81"/>
      <c r="BP2586" s="81"/>
      <c r="BQ2586" s="81"/>
      <c r="BR2586" s="81"/>
      <c r="BS2586" s="81"/>
      <c r="BT2586" s="81"/>
    </row>
    <row r="2587" spans="65:72" x14ac:dyDescent="0.25">
      <c r="BM2587" s="81"/>
      <c r="BN2587" s="81"/>
      <c r="BO2587" s="81"/>
      <c r="BP2587" s="81"/>
      <c r="BQ2587" s="81"/>
      <c r="BR2587" s="81"/>
      <c r="BS2587" s="81"/>
      <c r="BT2587" s="81"/>
    </row>
    <row r="2588" spans="65:72" x14ac:dyDescent="0.25">
      <c r="BM2588" s="81"/>
      <c r="BN2588" s="81"/>
      <c r="BO2588" s="81"/>
      <c r="BP2588" s="81"/>
      <c r="BQ2588" s="81"/>
      <c r="BR2588" s="81"/>
      <c r="BS2588" s="81"/>
      <c r="BT2588" s="81"/>
    </row>
    <row r="2589" spans="65:72" x14ac:dyDescent="0.25">
      <c r="BM2589" s="81"/>
      <c r="BN2589" s="81"/>
      <c r="BO2589" s="81"/>
      <c r="BP2589" s="81"/>
      <c r="BQ2589" s="81"/>
      <c r="BR2589" s="81"/>
      <c r="BS2589" s="81"/>
      <c r="BT2589" s="81"/>
    </row>
    <row r="2590" spans="65:72" x14ac:dyDescent="0.25">
      <c r="BM2590" s="81"/>
      <c r="BN2590" s="81"/>
      <c r="BO2590" s="81"/>
      <c r="BP2590" s="81"/>
      <c r="BQ2590" s="81"/>
      <c r="BR2590" s="81"/>
      <c r="BS2590" s="81"/>
      <c r="BT2590" s="81"/>
    </row>
    <row r="2591" spans="65:72" x14ac:dyDescent="0.25">
      <c r="BM2591" s="81"/>
      <c r="BN2591" s="81"/>
      <c r="BO2591" s="81"/>
      <c r="BP2591" s="81"/>
      <c r="BQ2591" s="81"/>
      <c r="BR2591" s="81"/>
      <c r="BS2591" s="81"/>
      <c r="BT2591" s="81"/>
    </row>
    <row r="2592" spans="65:72" x14ac:dyDescent="0.25">
      <c r="BM2592" s="81"/>
      <c r="BN2592" s="81"/>
      <c r="BO2592" s="81"/>
      <c r="BP2592" s="81"/>
      <c r="BQ2592" s="81"/>
      <c r="BR2592" s="81"/>
      <c r="BS2592" s="81"/>
      <c r="BT2592" s="81"/>
    </row>
    <row r="2593" spans="65:72" x14ac:dyDescent="0.25">
      <c r="BM2593" s="81"/>
      <c r="BN2593" s="81"/>
      <c r="BO2593" s="81"/>
      <c r="BP2593" s="81"/>
      <c r="BQ2593" s="81"/>
      <c r="BR2593" s="81"/>
      <c r="BS2593" s="81"/>
      <c r="BT2593" s="81"/>
    </row>
    <row r="2594" spans="65:72" x14ac:dyDescent="0.25">
      <c r="BM2594" s="81"/>
      <c r="BN2594" s="81"/>
      <c r="BO2594" s="81"/>
      <c r="BP2594" s="81"/>
      <c r="BQ2594" s="81"/>
      <c r="BR2594" s="81"/>
      <c r="BS2594" s="81"/>
      <c r="BT2594" s="81"/>
    </row>
    <row r="2595" spans="65:72" x14ac:dyDescent="0.25">
      <c r="BM2595" s="81"/>
      <c r="BN2595" s="81"/>
      <c r="BO2595" s="81"/>
      <c r="BP2595" s="81"/>
      <c r="BQ2595" s="81"/>
      <c r="BR2595" s="81"/>
      <c r="BS2595" s="81"/>
      <c r="BT2595" s="81"/>
    </row>
    <row r="2596" spans="65:72" x14ac:dyDescent="0.25">
      <c r="BM2596" s="81"/>
      <c r="BN2596" s="81"/>
      <c r="BO2596" s="81"/>
      <c r="BP2596" s="81"/>
      <c r="BQ2596" s="81"/>
      <c r="BR2596" s="81"/>
      <c r="BS2596" s="81"/>
      <c r="BT2596" s="81"/>
    </row>
    <row r="2597" spans="65:72" x14ac:dyDescent="0.25">
      <c r="BM2597" s="81"/>
      <c r="BN2597" s="81"/>
      <c r="BO2597" s="81"/>
      <c r="BP2597" s="81"/>
      <c r="BQ2597" s="81"/>
      <c r="BR2597" s="81"/>
      <c r="BS2597" s="81"/>
      <c r="BT2597" s="81"/>
    </row>
    <row r="2598" spans="65:72" x14ac:dyDescent="0.25">
      <c r="BM2598" s="81"/>
      <c r="BN2598" s="81"/>
      <c r="BO2598" s="81"/>
      <c r="BP2598" s="81"/>
      <c r="BQ2598" s="81"/>
      <c r="BR2598" s="81"/>
      <c r="BS2598" s="81"/>
      <c r="BT2598" s="81"/>
    </row>
    <row r="2599" spans="65:72" x14ac:dyDescent="0.25">
      <c r="BM2599" s="81"/>
      <c r="BN2599" s="81"/>
      <c r="BO2599" s="81"/>
      <c r="BP2599" s="81"/>
      <c r="BQ2599" s="81"/>
      <c r="BR2599" s="81"/>
      <c r="BS2599" s="81"/>
      <c r="BT2599" s="81"/>
    </row>
    <row r="2600" spans="65:72" x14ac:dyDescent="0.25">
      <c r="BM2600" s="81"/>
      <c r="BN2600" s="81"/>
      <c r="BO2600" s="81"/>
      <c r="BP2600" s="81"/>
      <c r="BQ2600" s="81"/>
      <c r="BR2600" s="81"/>
      <c r="BS2600" s="81"/>
      <c r="BT2600" s="81"/>
    </row>
    <row r="2601" spans="65:72" x14ac:dyDescent="0.25">
      <c r="BM2601" s="81"/>
      <c r="BN2601" s="81"/>
      <c r="BO2601" s="81"/>
      <c r="BP2601" s="81"/>
      <c r="BQ2601" s="81"/>
      <c r="BR2601" s="81"/>
      <c r="BS2601" s="81"/>
      <c r="BT2601" s="81"/>
    </row>
    <row r="2602" spans="65:72" x14ac:dyDescent="0.25">
      <c r="BM2602" s="81"/>
      <c r="BN2602" s="81"/>
      <c r="BO2602" s="81"/>
      <c r="BP2602" s="81"/>
      <c r="BQ2602" s="81"/>
      <c r="BR2602" s="81"/>
      <c r="BS2602" s="81"/>
      <c r="BT2602" s="81"/>
    </row>
    <row r="2603" spans="65:72" x14ac:dyDescent="0.25">
      <c r="BM2603" s="81"/>
      <c r="BN2603" s="81"/>
      <c r="BO2603" s="81"/>
      <c r="BP2603" s="81"/>
      <c r="BQ2603" s="81"/>
      <c r="BR2603" s="81"/>
      <c r="BS2603" s="81"/>
      <c r="BT2603" s="81"/>
    </row>
    <row r="2604" spans="65:72" x14ac:dyDescent="0.25">
      <c r="BM2604" s="81"/>
      <c r="BN2604" s="81"/>
      <c r="BO2604" s="81"/>
      <c r="BP2604" s="81"/>
      <c r="BQ2604" s="81"/>
      <c r="BR2604" s="81"/>
      <c r="BS2604" s="81"/>
      <c r="BT2604" s="81"/>
    </row>
    <row r="2605" spans="65:72" x14ac:dyDescent="0.25">
      <c r="BM2605" s="81"/>
      <c r="BN2605" s="81"/>
      <c r="BO2605" s="81"/>
      <c r="BP2605" s="81"/>
      <c r="BQ2605" s="81"/>
      <c r="BR2605" s="81"/>
      <c r="BS2605" s="81"/>
      <c r="BT2605" s="81"/>
    </row>
    <row r="2606" spans="65:72" x14ac:dyDescent="0.25">
      <c r="BM2606" s="81"/>
      <c r="BN2606" s="81"/>
      <c r="BO2606" s="81"/>
      <c r="BP2606" s="81"/>
      <c r="BQ2606" s="81"/>
      <c r="BR2606" s="81"/>
      <c r="BS2606" s="81"/>
      <c r="BT2606" s="81"/>
    </row>
    <row r="2607" spans="65:72" x14ac:dyDescent="0.25">
      <c r="BM2607" s="81"/>
      <c r="BN2607" s="81"/>
      <c r="BO2607" s="81"/>
      <c r="BP2607" s="81"/>
      <c r="BQ2607" s="81"/>
      <c r="BR2607" s="81"/>
      <c r="BS2607" s="81"/>
      <c r="BT2607" s="81"/>
    </row>
    <row r="2608" spans="65:72" x14ac:dyDescent="0.25">
      <c r="BM2608" s="81"/>
      <c r="BN2608" s="81"/>
      <c r="BO2608" s="81"/>
      <c r="BP2608" s="81"/>
      <c r="BQ2608" s="81"/>
      <c r="BR2608" s="81"/>
      <c r="BS2608" s="81"/>
      <c r="BT2608" s="81"/>
    </row>
    <row r="2609" spans="65:72" x14ac:dyDescent="0.25">
      <c r="BM2609" s="81"/>
      <c r="BN2609" s="81"/>
      <c r="BO2609" s="81"/>
      <c r="BP2609" s="81"/>
      <c r="BQ2609" s="81"/>
      <c r="BR2609" s="81"/>
      <c r="BS2609" s="81"/>
      <c r="BT2609" s="81"/>
    </row>
    <row r="2610" spans="65:72" x14ac:dyDescent="0.25">
      <c r="BM2610" s="81"/>
      <c r="BN2610" s="81"/>
      <c r="BO2610" s="81"/>
      <c r="BP2610" s="81"/>
      <c r="BQ2610" s="81"/>
      <c r="BR2610" s="81"/>
      <c r="BS2610" s="81"/>
      <c r="BT2610" s="81"/>
    </row>
    <row r="2611" spans="65:72" x14ac:dyDescent="0.25">
      <c r="BM2611" s="81"/>
      <c r="BN2611" s="81"/>
      <c r="BO2611" s="81"/>
      <c r="BP2611" s="81"/>
      <c r="BQ2611" s="81"/>
      <c r="BR2611" s="81"/>
      <c r="BS2611" s="81"/>
      <c r="BT2611" s="81"/>
    </row>
    <row r="2612" spans="65:72" x14ac:dyDescent="0.25">
      <c r="BM2612" s="81"/>
      <c r="BN2612" s="81"/>
      <c r="BO2612" s="81"/>
      <c r="BP2612" s="81"/>
      <c r="BQ2612" s="81"/>
      <c r="BR2612" s="81"/>
      <c r="BS2612" s="81"/>
      <c r="BT2612" s="81"/>
    </row>
    <row r="2613" spans="65:72" x14ac:dyDescent="0.25">
      <c r="BM2613" s="81"/>
      <c r="BN2613" s="81"/>
      <c r="BO2613" s="81"/>
      <c r="BP2613" s="81"/>
      <c r="BQ2613" s="81"/>
      <c r="BR2613" s="81"/>
      <c r="BS2613" s="81"/>
      <c r="BT2613" s="81"/>
    </row>
    <row r="2614" spans="65:72" x14ac:dyDescent="0.25">
      <c r="BM2614" s="81"/>
      <c r="BN2614" s="81"/>
      <c r="BO2614" s="81"/>
      <c r="BP2614" s="81"/>
      <c r="BQ2614" s="81"/>
      <c r="BR2614" s="81"/>
      <c r="BS2614" s="81"/>
      <c r="BT2614" s="81"/>
    </row>
    <row r="2615" spans="65:72" x14ac:dyDescent="0.25">
      <c r="BM2615" s="81"/>
      <c r="BN2615" s="81"/>
      <c r="BO2615" s="81"/>
      <c r="BP2615" s="81"/>
      <c r="BQ2615" s="81"/>
      <c r="BR2615" s="81"/>
      <c r="BS2615" s="81"/>
      <c r="BT2615" s="81"/>
    </row>
    <row r="2616" spans="65:72" x14ac:dyDescent="0.25">
      <c r="BM2616" s="81"/>
      <c r="BN2616" s="81"/>
      <c r="BO2616" s="81"/>
      <c r="BP2616" s="81"/>
      <c r="BQ2616" s="81"/>
      <c r="BR2616" s="81"/>
      <c r="BS2616" s="81"/>
      <c r="BT2616" s="81"/>
    </row>
    <row r="2617" spans="65:72" x14ac:dyDescent="0.25">
      <c r="BM2617" s="81"/>
      <c r="BN2617" s="81"/>
      <c r="BO2617" s="81"/>
      <c r="BP2617" s="81"/>
      <c r="BQ2617" s="81"/>
      <c r="BR2617" s="81"/>
      <c r="BS2617" s="81"/>
      <c r="BT2617" s="81"/>
    </row>
    <row r="2618" spans="65:72" x14ac:dyDescent="0.25">
      <c r="BM2618" s="81"/>
      <c r="BN2618" s="81"/>
      <c r="BO2618" s="81"/>
      <c r="BP2618" s="81"/>
      <c r="BQ2618" s="81"/>
      <c r="BR2618" s="81"/>
      <c r="BS2618" s="81"/>
      <c r="BT2618" s="81"/>
    </row>
    <row r="2619" spans="65:72" x14ac:dyDescent="0.25">
      <c r="BM2619" s="81"/>
      <c r="BN2619" s="81"/>
      <c r="BO2619" s="81"/>
      <c r="BP2619" s="81"/>
      <c r="BQ2619" s="81"/>
      <c r="BR2619" s="81"/>
      <c r="BS2619" s="81"/>
      <c r="BT2619" s="81"/>
    </row>
    <row r="2620" spans="65:72" x14ac:dyDescent="0.25">
      <c r="BM2620" s="81"/>
      <c r="BN2620" s="81"/>
      <c r="BO2620" s="81"/>
      <c r="BP2620" s="81"/>
      <c r="BQ2620" s="81"/>
      <c r="BR2620" s="81"/>
      <c r="BS2620" s="81"/>
      <c r="BT2620" s="81"/>
    </row>
    <row r="2621" spans="65:72" x14ac:dyDescent="0.25">
      <c r="BM2621" s="81"/>
      <c r="BN2621" s="81"/>
      <c r="BO2621" s="81"/>
      <c r="BP2621" s="81"/>
      <c r="BQ2621" s="81"/>
      <c r="BR2621" s="81"/>
      <c r="BS2621" s="81"/>
      <c r="BT2621" s="81"/>
    </row>
    <row r="2622" spans="65:72" x14ac:dyDescent="0.25">
      <c r="BM2622" s="81"/>
      <c r="BN2622" s="81"/>
      <c r="BO2622" s="81"/>
      <c r="BP2622" s="81"/>
      <c r="BQ2622" s="81"/>
      <c r="BR2622" s="81"/>
      <c r="BS2622" s="81"/>
      <c r="BT2622" s="81"/>
    </row>
    <row r="2623" spans="65:72" x14ac:dyDescent="0.25">
      <c r="BM2623" s="81"/>
      <c r="BN2623" s="81"/>
      <c r="BO2623" s="81"/>
      <c r="BP2623" s="81"/>
      <c r="BQ2623" s="81"/>
      <c r="BR2623" s="81"/>
      <c r="BS2623" s="81"/>
      <c r="BT2623" s="81"/>
    </row>
    <row r="2624" spans="65:72" x14ac:dyDescent="0.25">
      <c r="BM2624" s="81"/>
      <c r="BN2624" s="81"/>
      <c r="BO2624" s="81"/>
      <c r="BP2624" s="81"/>
      <c r="BQ2624" s="81"/>
      <c r="BR2624" s="81"/>
      <c r="BS2624" s="81"/>
      <c r="BT2624" s="81"/>
    </row>
    <row r="2625" spans="65:72" x14ac:dyDescent="0.25">
      <c r="BM2625" s="81"/>
      <c r="BN2625" s="81"/>
      <c r="BO2625" s="81"/>
      <c r="BP2625" s="81"/>
      <c r="BQ2625" s="81"/>
      <c r="BR2625" s="81"/>
      <c r="BS2625" s="81"/>
      <c r="BT2625" s="81"/>
    </row>
    <row r="2626" spans="65:72" x14ac:dyDescent="0.25">
      <c r="BM2626" s="81"/>
      <c r="BN2626" s="81"/>
      <c r="BO2626" s="81"/>
      <c r="BP2626" s="81"/>
      <c r="BQ2626" s="81"/>
      <c r="BR2626" s="81"/>
      <c r="BS2626" s="81"/>
      <c r="BT2626" s="81"/>
    </row>
    <row r="2627" spans="65:72" x14ac:dyDescent="0.25">
      <c r="BM2627" s="81"/>
      <c r="BN2627" s="81"/>
      <c r="BO2627" s="81"/>
      <c r="BP2627" s="81"/>
      <c r="BQ2627" s="81"/>
      <c r="BR2627" s="81"/>
      <c r="BS2627" s="81"/>
      <c r="BT2627" s="81"/>
    </row>
    <row r="2628" spans="65:72" x14ac:dyDescent="0.25">
      <c r="BM2628" s="81"/>
      <c r="BN2628" s="81"/>
      <c r="BO2628" s="81"/>
      <c r="BP2628" s="81"/>
      <c r="BQ2628" s="81"/>
      <c r="BR2628" s="81"/>
      <c r="BS2628" s="81"/>
      <c r="BT2628" s="81"/>
    </row>
    <row r="2629" spans="65:72" x14ac:dyDescent="0.25">
      <c r="BM2629" s="81"/>
      <c r="BN2629" s="81"/>
      <c r="BO2629" s="81"/>
      <c r="BP2629" s="81"/>
      <c r="BQ2629" s="81"/>
      <c r="BR2629" s="81"/>
      <c r="BS2629" s="81"/>
      <c r="BT2629" s="81"/>
    </row>
    <row r="2630" spans="65:72" x14ac:dyDescent="0.25">
      <c r="BM2630" s="81"/>
      <c r="BN2630" s="81"/>
      <c r="BO2630" s="81"/>
      <c r="BP2630" s="81"/>
      <c r="BQ2630" s="81"/>
      <c r="BR2630" s="81"/>
      <c r="BS2630" s="81"/>
      <c r="BT2630" s="81"/>
    </row>
    <row r="2631" spans="65:72" x14ac:dyDescent="0.25">
      <c r="BM2631" s="81"/>
      <c r="BN2631" s="81"/>
      <c r="BO2631" s="81"/>
      <c r="BP2631" s="81"/>
      <c r="BQ2631" s="81"/>
      <c r="BR2631" s="81"/>
      <c r="BS2631" s="81"/>
      <c r="BT2631" s="81"/>
    </row>
    <row r="2632" spans="65:72" x14ac:dyDescent="0.25">
      <c r="BM2632" s="81"/>
      <c r="BN2632" s="81"/>
      <c r="BO2632" s="81"/>
      <c r="BP2632" s="81"/>
      <c r="BQ2632" s="81"/>
      <c r="BR2632" s="81"/>
      <c r="BS2632" s="81"/>
      <c r="BT2632" s="81"/>
    </row>
    <row r="2633" spans="65:72" x14ac:dyDescent="0.25">
      <c r="BM2633" s="81"/>
      <c r="BN2633" s="81"/>
      <c r="BO2633" s="81"/>
      <c r="BP2633" s="81"/>
      <c r="BQ2633" s="81"/>
      <c r="BR2633" s="81"/>
      <c r="BS2633" s="81"/>
      <c r="BT2633" s="81"/>
    </row>
    <row r="2634" spans="65:72" x14ac:dyDescent="0.25">
      <c r="BM2634" s="81"/>
      <c r="BN2634" s="81"/>
      <c r="BO2634" s="81"/>
      <c r="BP2634" s="81"/>
      <c r="BQ2634" s="81"/>
      <c r="BR2634" s="81"/>
      <c r="BS2634" s="81"/>
      <c r="BT2634" s="81"/>
    </row>
    <row r="2635" spans="65:72" x14ac:dyDescent="0.25">
      <c r="BM2635" s="81"/>
      <c r="BN2635" s="81"/>
      <c r="BO2635" s="81"/>
      <c r="BP2635" s="81"/>
      <c r="BQ2635" s="81"/>
      <c r="BR2635" s="81"/>
      <c r="BS2635" s="81"/>
      <c r="BT2635" s="81"/>
    </row>
    <row r="2636" spans="65:72" x14ac:dyDescent="0.25">
      <c r="BM2636" s="81"/>
      <c r="BN2636" s="81"/>
      <c r="BO2636" s="81"/>
      <c r="BP2636" s="81"/>
      <c r="BQ2636" s="81"/>
      <c r="BR2636" s="81"/>
      <c r="BS2636" s="81"/>
      <c r="BT2636" s="81"/>
    </row>
    <row r="2637" spans="65:72" x14ac:dyDescent="0.25">
      <c r="BM2637" s="81"/>
      <c r="BN2637" s="81"/>
      <c r="BO2637" s="81"/>
      <c r="BP2637" s="81"/>
      <c r="BQ2637" s="81"/>
      <c r="BR2637" s="81"/>
      <c r="BS2637" s="81"/>
      <c r="BT2637" s="81"/>
    </row>
    <row r="2638" spans="65:72" x14ac:dyDescent="0.25">
      <c r="BM2638" s="81"/>
      <c r="BN2638" s="81"/>
      <c r="BO2638" s="81"/>
      <c r="BP2638" s="81"/>
      <c r="BQ2638" s="81"/>
      <c r="BR2638" s="81"/>
      <c r="BS2638" s="81"/>
      <c r="BT2638" s="81"/>
    </row>
    <row r="2639" spans="65:72" x14ac:dyDescent="0.25">
      <c r="BM2639" s="81"/>
      <c r="BN2639" s="81"/>
      <c r="BO2639" s="81"/>
      <c r="BP2639" s="81"/>
      <c r="BQ2639" s="81"/>
      <c r="BR2639" s="81"/>
      <c r="BS2639" s="81"/>
      <c r="BT2639" s="81"/>
    </row>
    <row r="2640" spans="65:72" x14ac:dyDescent="0.25">
      <c r="BM2640" s="81"/>
      <c r="BN2640" s="81"/>
      <c r="BO2640" s="81"/>
      <c r="BP2640" s="81"/>
      <c r="BQ2640" s="81"/>
      <c r="BR2640" s="81"/>
      <c r="BS2640" s="81"/>
      <c r="BT2640" s="81"/>
    </row>
    <row r="2641" spans="65:72" x14ac:dyDescent="0.25">
      <c r="BM2641" s="81"/>
      <c r="BN2641" s="81"/>
      <c r="BO2641" s="81"/>
      <c r="BP2641" s="81"/>
      <c r="BQ2641" s="81"/>
      <c r="BR2641" s="81"/>
      <c r="BS2641" s="81"/>
      <c r="BT2641" s="81"/>
    </row>
    <row r="2642" spans="65:72" x14ac:dyDescent="0.25">
      <c r="BM2642" s="81"/>
      <c r="BN2642" s="81"/>
      <c r="BO2642" s="81"/>
      <c r="BP2642" s="81"/>
      <c r="BQ2642" s="81"/>
      <c r="BR2642" s="81"/>
      <c r="BS2642" s="81"/>
      <c r="BT2642" s="81"/>
    </row>
    <row r="2643" spans="65:72" x14ac:dyDescent="0.25">
      <c r="BM2643" s="81"/>
      <c r="BN2643" s="81"/>
      <c r="BO2643" s="81"/>
      <c r="BP2643" s="81"/>
      <c r="BQ2643" s="81"/>
      <c r="BR2643" s="81"/>
      <c r="BS2643" s="81"/>
      <c r="BT2643" s="81"/>
    </row>
    <row r="2644" spans="65:72" x14ac:dyDescent="0.25">
      <c r="BM2644" s="81"/>
      <c r="BN2644" s="81"/>
      <c r="BO2644" s="81"/>
      <c r="BP2644" s="81"/>
      <c r="BQ2644" s="81"/>
      <c r="BR2644" s="81"/>
      <c r="BS2644" s="81"/>
      <c r="BT2644" s="81"/>
    </row>
    <row r="2645" spans="65:72" x14ac:dyDescent="0.25">
      <c r="BM2645" s="81"/>
      <c r="BN2645" s="81"/>
      <c r="BO2645" s="81"/>
      <c r="BP2645" s="81"/>
      <c r="BQ2645" s="81"/>
      <c r="BR2645" s="81"/>
      <c r="BS2645" s="81"/>
      <c r="BT2645" s="81"/>
    </row>
    <row r="2646" spans="65:72" x14ac:dyDescent="0.25">
      <c r="BM2646" s="81"/>
      <c r="BN2646" s="81"/>
      <c r="BO2646" s="81"/>
      <c r="BP2646" s="81"/>
      <c r="BQ2646" s="81"/>
      <c r="BR2646" s="81"/>
      <c r="BS2646" s="81"/>
      <c r="BT2646" s="81"/>
    </row>
    <row r="2647" spans="65:72" x14ac:dyDescent="0.25">
      <c r="BM2647" s="81"/>
      <c r="BN2647" s="81"/>
      <c r="BO2647" s="81"/>
      <c r="BP2647" s="81"/>
      <c r="BQ2647" s="81"/>
      <c r="BR2647" s="81"/>
      <c r="BS2647" s="81"/>
      <c r="BT2647" s="81"/>
    </row>
    <row r="2648" spans="65:72" x14ac:dyDescent="0.25">
      <c r="BM2648" s="81"/>
      <c r="BN2648" s="81"/>
      <c r="BO2648" s="81"/>
      <c r="BP2648" s="81"/>
      <c r="BQ2648" s="81"/>
      <c r="BR2648" s="81"/>
      <c r="BS2648" s="81"/>
      <c r="BT2648" s="81"/>
    </row>
    <row r="2649" spans="65:72" x14ac:dyDescent="0.25">
      <c r="BM2649" s="81"/>
      <c r="BN2649" s="81"/>
      <c r="BO2649" s="81"/>
      <c r="BP2649" s="81"/>
      <c r="BQ2649" s="81"/>
      <c r="BR2649" s="81"/>
      <c r="BS2649" s="81"/>
      <c r="BT2649" s="81"/>
    </row>
    <row r="2650" spans="65:72" x14ac:dyDescent="0.25">
      <c r="BM2650" s="81"/>
      <c r="BN2650" s="81"/>
      <c r="BO2650" s="81"/>
      <c r="BP2650" s="81"/>
      <c r="BQ2650" s="81"/>
      <c r="BR2650" s="81"/>
      <c r="BS2650" s="81"/>
      <c r="BT2650" s="81"/>
    </row>
    <row r="2651" spans="65:72" x14ac:dyDescent="0.25">
      <c r="BM2651" s="81"/>
      <c r="BN2651" s="81"/>
      <c r="BO2651" s="81"/>
      <c r="BP2651" s="81"/>
      <c r="BQ2651" s="81"/>
      <c r="BR2651" s="81"/>
      <c r="BS2651" s="81"/>
      <c r="BT2651" s="81"/>
    </row>
    <row r="2652" spans="65:72" x14ac:dyDescent="0.25">
      <c r="BM2652" s="81"/>
      <c r="BN2652" s="81"/>
      <c r="BO2652" s="81"/>
      <c r="BP2652" s="81"/>
      <c r="BQ2652" s="81"/>
      <c r="BR2652" s="81"/>
      <c r="BS2652" s="81"/>
      <c r="BT2652" s="81"/>
    </row>
    <row r="2653" spans="65:72" x14ac:dyDescent="0.25">
      <c r="BM2653" s="81"/>
      <c r="BN2653" s="81"/>
      <c r="BO2653" s="81"/>
      <c r="BP2653" s="81"/>
      <c r="BQ2653" s="81"/>
      <c r="BR2653" s="81"/>
      <c r="BS2653" s="81"/>
      <c r="BT2653" s="81"/>
    </row>
    <row r="2654" spans="65:72" x14ac:dyDescent="0.25">
      <c r="BM2654" s="81"/>
      <c r="BN2654" s="81"/>
      <c r="BO2654" s="81"/>
      <c r="BP2654" s="81"/>
      <c r="BQ2654" s="81"/>
      <c r="BR2654" s="81"/>
      <c r="BS2654" s="81"/>
      <c r="BT2654" s="81"/>
    </row>
    <row r="2655" spans="65:72" x14ac:dyDescent="0.25">
      <c r="BM2655" s="81"/>
      <c r="BN2655" s="81"/>
      <c r="BO2655" s="81"/>
      <c r="BP2655" s="81"/>
      <c r="BQ2655" s="81"/>
      <c r="BR2655" s="81"/>
      <c r="BS2655" s="81"/>
      <c r="BT2655" s="81"/>
    </row>
    <row r="2656" spans="65:72" x14ac:dyDescent="0.25">
      <c r="BM2656" s="81"/>
      <c r="BN2656" s="81"/>
      <c r="BO2656" s="81"/>
      <c r="BP2656" s="81"/>
      <c r="BQ2656" s="81"/>
      <c r="BR2656" s="81"/>
      <c r="BS2656" s="81"/>
      <c r="BT2656" s="81"/>
    </row>
    <row r="2657" spans="65:72" x14ac:dyDescent="0.25">
      <c r="BM2657" s="81"/>
      <c r="BN2657" s="81"/>
      <c r="BO2657" s="81"/>
      <c r="BP2657" s="81"/>
      <c r="BQ2657" s="81"/>
      <c r="BR2657" s="81"/>
      <c r="BS2657" s="81"/>
      <c r="BT2657" s="81"/>
    </row>
    <row r="2658" spans="65:72" x14ac:dyDescent="0.25">
      <c r="BM2658" s="81"/>
      <c r="BN2658" s="81"/>
      <c r="BO2658" s="81"/>
      <c r="BP2658" s="81"/>
      <c r="BQ2658" s="81"/>
      <c r="BR2658" s="81"/>
      <c r="BS2658" s="81"/>
      <c r="BT2658" s="81"/>
    </row>
    <row r="2659" spans="65:72" x14ac:dyDescent="0.25">
      <c r="BM2659" s="81"/>
      <c r="BN2659" s="81"/>
      <c r="BO2659" s="81"/>
      <c r="BP2659" s="81"/>
      <c r="BQ2659" s="81"/>
      <c r="BR2659" s="81"/>
      <c r="BS2659" s="81"/>
      <c r="BT2659" s="81"/>
    </row>
    <row r="2660" spans="65:72" x14ac:dyDescent="0.25">
      <c r="BM2660" s="81"/>
      <c r="BN2660" s="81"/>
      <c r="BO2660" s="81"/>
      <c r="BP2660" s="81"/>
      <c r="BQ2660" s="81"/>
      <c r="BR2660" s="81"/>
      <c r="BS2660" s="81"/>
      <c r="BT2660" s="81"/>
    </row>
    <row r="2661" spans="65:72" x14ac:dyDescent="0.25">
      <c r="BM2661" s="81"/>
      <c r="BN2661" s="81"/>
      <c r="BO2661" s="81"/>
      <c r="BP2661" s="81"/>
      <c r="BQ2661" s="81"/>
      <c r="BR2661" s="81"/>
      <c r="BS2661" s="81"/>
      <c r="BT2661" s="81"/>
    </row>
    <row r="2662" spans="65:72" x14ac:dyDescent="0.25">
      <c r="BM2662" s="81"/>
      <c r="BN2662" s="81"/>
      <c r="BO2662" s="81"/>
      <c r="BP2662" s="81"/>
      <c r="BQ2662" s="81"/>
      <c r="BR2662" s="81"/>
      <c r="BS2662" s="81"/>
      <c r="BT2662" s="81"/>
    </row>
    <row r="2663" spans="65:72" x14ac:dyDescent="0.25">
      <c r="BM2663" s="81"/>
      <c r="BN2663" s="81"/>
      <c r="BO2663" s="81"/>
      <c r="BP2663" s="81"/>
      <c r="BQ2663" s="81"/>
      <c r="BR2663" s="81"/>
      <c r="BS2663" s="81"/>
      <c r="BT2663" s="81"/>
    </row>
    <row r="2664" spans="65:72" x14ac:dyDescent="0.25">
      <c r="BM2664" s="81"/>
      <c r="BN2664" s="81"/>
      <c r="BO2664" s="81"/>
      <c r="BP2664" s="81"/>
      <c r="BQ2664" s="81"/>
      <c r="BR2664" s="81"/>
      <c r="BS2664" s="81"/>
      <c r="BT2664" s="81"/>
    </row>
    <row r="2665" spans="65:72" x14ac:dyDescent="0.25">
      <c r="BM2665" s="81"/>
      <c r="BN2665" s="81"/>
      <c r="BO2665" s="81"/>
      <c r="BP2665" s="81"/>
      <c r="BQ2665" s="81"/>
      <c r="BR2665" s="81"/>
      <c r="BS2665" s="81"/>
      <c r="BT2665" s="81"/>
    </row>
    <row r="2666" spans="65:72" x14ac:dyDescent="0.25">
      <c r="BM2666" s="81"/>
      <c r="BN2666" s="81"/>
      <c r="BO2666" s="81"/>
      <c r="BP2666" s="81"/>
      <c r="BQ2666" s="81"/>
      <c r="BR2666" s="81"/>
      <c r="BS2666" s="81"/>
      <c r="BT2666" s="81"/>
    </row>
    <row r="2667" spans="65:72" x14ac:dyDescent="0.25">
      <c r="BM2667" s="81"/>
      <c r="BN2667" s="81"/>
      <c r="BO2667" s="81"/>
      <c r="BP2667" s="81"/>
      <c r="BQ2667" s="81"/>
      <c r="BR2667" s="81"/>
      <c r="BS2667" s="81"/>
      <c r="BT2667" s="81"/>
    </row>
    <row r="2668" spans="65:72" x14ac:dyDescent="0.25">
      <c r="BM2668" s="81"/>
      <c r="BN2668" s="81"/>
      <c r="BO2668" s="81"/>
      <c r="BP2668" s="81"/>
      <c r="BQ2668" s="81"/>
      <c r="BR2668" s="81"/>
      <c r="BS2668" s="81"/>
      <c r="BT2668" s="81"/>
    </row>
    <row r="2669" spans="65:72" x14ac:dyDescent="0.25">
      <c r="BM2669" s="81"/>
      <c r="BN2669" s="81"/>
      <c r="BO2669" s="81"/>
      <c r="BP2669" s="81"/>
      <c r="BQ2669" s="81"/>
      <c r="BR2669" s="81"/>
      <c r="BS2669" s="81"/>
      <c r="BT2669" s="81"/>
    </row>
    <row r="2670" spans="65:72" x14ac:dyDescent="0.25">
      <c r="BM2670" s="81"/>
      <c r="BN2670" s="81"/>
      <c r="BO2670" s="81"/>
      <c r="BP2670" s="81"/>
      <c r="BQ2670" s="81"/>
      <c r="BR2670" s="81"/>
      <c r="BS2670" s="81"/>
      <c r="BT2670" s="81"/>
    </row>
    <row r="2671" spans="65:72" x14ac:dyDescent="0.25">
      <c r="BM2671" s="81"/>
      <c r="BN2671" s="81"/>
      <c r="BO2671" s="81"/>
      <c r="BP2671" s="81"/>
      <c r="BQ2671" s="81"/>
      <c r="BR2671" s="81"/>
      <c r="BS2671" s="81"/>
      <c r="BT2671" s="81"/>
    </row>
    <row r="2672" spans="65:72" x14ac:dyDescent="0.25">
      <c r="BM2672" s="81"/>
      <c r="BN2672" s="81"/>
      <c r="BO2672" s="81"/>
      <c r="BP2672" s="81"/>
      <c r="BQ2672" s="81"/>
      <c r="BR2672" s="81"/>
      <c r="BS2672" s="81"/>
      <c r="BT2672" s="81"/>
    </row>
    <row r="2673" spans="65:72" x14ac:dyDescent="0.25">
      <c r="BM2673" s="81"/>
      <c r="BN2673" s="81"/>
      <c r="BO2673" s="81"/>
      <c r="BP2673" s="81"/>
      <c r="BQ2673" s="81"/>
      <c r="BR2673" s="81"/>
      <c r="BS2673" s="81"/>
      <c r="BT2673" s="81"/>
    </row>
    <row r="2674" spans="65:72" x14ac:dyDescent="0.25">
      <c r="BM2674" s="81"/>
      <c r="BN2674" s="81"/>
      <c r="BO2674" s="81"/>
      <c r="BP2674" s="81"/>
      <c r="BQ2674" s="81"/>
      <c r="BR2674" s="81"/>
      <c r="BS2674" s="81"/>
      <c r="BT2674" s="81"/>
    </row>
    <row r="2675" spans="65:72" x14ac:dyDescent="0.25">
      <c r="BM2675" s="81"/>
      <c r="BN2675" s="81"/>
      <c r="BO2675" s="81"/>
      <c r="BP2675" s="81"/>
      <c r="BQ2675" s="81"/>
      <c r="BR2675" s="81"/>
      <c r="BS2675" s="81"/>
      <c r="BT2675" s="81"/>
    </row>
    <row r="2676" spans="65:72" x14ac:dyDescent="0.25">
      <c r="BM2676" s="81"/>
      <c r="BN2676" s="81"/>
      <c r="BO2676" s="81"/>
      <c r="BP2676" s="81"/>
      <c r="BQ2676" s="81"/>
      <c r="BR2676" s="81"/>
      <c r="BS2676" s="81"/>
      <c r="BT2676" s="81"/>
    </row>
    <row r="2677" spans="65:72" x14ac:dyDescent="0.25">
      <c r="BM2677" s="81"/>
      <c r="BN2677" s="81"/>
      <c r="BO2677" s="81"/>
      <c r="BP2677" s="81"/>
      <c r="BQ2677" s="81"/>
      <c r="BR2677" s="81"/>
      <c r="BS2677" s="81"/>
      <c r="BT2677" s="81"/>
    </row>
    <row r="2678" spans="65:72" x14ac:dyDescent="0.25">
      <c r="BM2678" s="81"/>
      <c r="BN2678" s="81"/>
      <c r="BO2678" s="81"/>
      <c r="BP2678" s="81"/>
      <c r="BQ2678" s="81"/>
      <c r="BR2678" s="81"/>
      <c r="BS2678" s="81"/>
      <c r="BT2678" s="81"/>
    </row>
    <row r="2679" spans="65:72" x14ac:dyDescent="0.25">
      <c r="BM2679" s="81"/>
      <c r="BN2679" s="81"/>
      <c r="BO2679" s="81"/>
      <c r="BP2679" s="81"/>
      <c r="BQ2679" s="81"/>
      <c r="BR2679" s="81"/>
      <c r="BS2679" s="81"/>
      <c r="BT2679" s="81"/>
    </row>
    <row r="2680" spans="65:72" x14ac:dyDescent="0.25">
      <c r="BM2680" s="81"/>
      <c r="BN2680" s="81"/>
      <c r="BO2680" s="81"/>
      <c r="BP2680" s="81"/>
      <c r="BQ2680" s="81"/>
      <c r="BR2680" s="81"/>
      <c r="BS2680" s="81"/>
      <c r="BT2680" s="81"/>
    </row>
    <row r="2681" spans="65:72" x14ac:dyDescent="0.25">
      <c r="BM2681" s="81"/>
      <c r="BN2681" s="81"/>
      <c r="BO2681" s="81"/>
      <c r="BP2681" s="81"/>
      <c r="BQ2681" s="81"/>
      <c r="BR2681" s="81"/>
      <c r="BS2681" s="81"/>
      <c r="BT2681" s="81"/>
    </row>
    <row r="2682" spans="65:72" x14ac:dyDescent="0.25">
      <c r="BM2682" s="81"/>
      <c r="BN2682" s="81"/>
      <c r="BO2682" s="81"/>
      <c r="BP2682" s="81"/>
      <c r="BQ2682" s="81"/>
      <c r="BR2682" s="81"/>
      <c r="BS2682" s="81"/>
      <c r="BT2682" s="81"/>
    </row>
    <row r="2683" spans="65:72" x14ac:dyDescent="0.25">
      <c r="BM2683" s="81"/>
      <c r="BN2683" s="81"/>
      <c r="BO2683" s="81"/>
      <c r="BP2683" s="81"/>
      <c r="BQ2683" s="81"/>
      <c r="BR2683" s="81"/>
      <c r="BS2683" s="81"/>
      <c r="BT2683" s="81"/>
    </row>
    <row r="2684" spans="65:72" x14ac:dyDescent="0.25">
      <c r="BM2684" s="81"/>
      <c r="BN2684" s="81"/>
      <c r="BO2684" s="81"/>
      <c r="BP2684" s="81"/>
      <c r="BQ2684" s="81"/>
      <c r="BR2684" s="81"/>
      <c r="BS2684" s="81"/>
      <c r="BT2684" s="81"/>
    </row>
    <row r="2685" spans="65:72" x14ac:dyDescent="0.25">
      <c r="BM2685" s="81"/>
      <c r="BN2685" s="81"/>
      <c r="BO2685" s="81"/>
      <c r="BP2685" s="81"/>
      <c r="BQ2685" s="81"/>
      <c r="BR2685" s="81"/>
      <c r="BS2685" s="81"/>
      <c r="BT2685" s="81"/>
    </row>
    <row r="2686" spans="65:72" x14ac:dyDescent="0.25">
      <c r="BM2686" s="81"/>
      <c r="BN2686" s="81"/>
      <c r="BO2686" s="81"/>
      <c r="BP2686" s="81"/>
      <c r="BQ2686" s="81"/>
      <c r="BR2686" s="81"/>
      <c r="BS2686" s="81"/>
      <c r="BT2686" s="81"/>
    </row>
    <row r="2687" spans="65:72" x14ac:dyDescent="0.25">
      <c r="BM2687" s="81"/>
      <c r="BN2687" s="81"/>
      <c r="BO2687" s="81"/>
      <c r="BP2687" s="81"/>
      <c r="BQ2687" s="81"/>
      <c r="BR2687" s="81"/>
      <c r="BS2687" s="81"/>
      <c r="BT2687" s="81"/>
    </row>
    <row r="2688" spans="65:72" x14ac:dyDescent="0.25">
      <c r="BM2688" s="81"/>
      <c r="BN2688" s="81"/>
      <c r="BO2688" s="81"/>
      <c r="BP2688" s="81"/>
      <c r="BQ2688" s="81"/>
      <c r="BR2688" s="81"/>
      <c r="BS2688" s="81"/>
      <c r="BT2688" s="81"/>
    </row>
    <row r="2689" spans="65:72" x14ac:dyDescent="0.25">
      <c r="BM2689" s="81"/>
      <c r="BN2689" s="81"/>
      <c r="BO2689" s="81"/>
      <c r="BP2689" s="81"/>
      <c r="BQ2689" s="81"/>
      <c r="BR2689" s="81"/>
      <c r="BS2689" s="81"/>
      <c r="BT2689" s="81"/>
    </row>
    <row r="2690" spans="65:72" x14ac:dyDescent="0.25">
      <c r="BM2690" s="81"/>
      <c r="BN2690" s="81"/>
      <c r="BO2690" s="81"/>
      <c r="BP2690" s="81"/>
      <c r="BQ2690" s="81"/>
      <c r="BR2690" s="81"/>
      <c r="BS2690" s="81"/>
      <c r="BT2690" s="81"/>
    </row>
    <row r="2691" spans="65:72" x14ac:dyDescent="0.25">
      <c r="BM2691" s="81"/>
      <c r="BN2691" s="81"/>
      <c r="BO2691" s="81"/>
      <c r="BP2691" s="81"/>
      <c r="BQ2691" s="81"/>
      <c r="BR2691" s="81"/>
      <c r="BS2691" s="81"/>
      <c r="BT2691" s="81"/>
    </row>
    <row r="2692" spans="65:72" x14ac:dyDescent="0.25">
      <c r="BM2692" s="81"/>
      <c r="BN2692" s="81"/>
      <c r="BO2692" s="81"/>
      <c r="BP2692" s="81"/>
      <c r="BQ2692" s="81"/>
      <c r="BR2692" s="81"/>
      <c r="BS2692" s="81"/>
      <c r="BT2692" s="81"/>
    </row>
    <row r="2693" spans="65:72" x14ac:dyDescent="0.25">
      <c r="BM2693" s="81"/>
      <c r="BN2693" s="81"/>
      <c r="BO2693" s="81"/>
      <c r="BP2693" s="81"/>
      <c r="BQ2693" s="81"/>
      <c r="BR2693" s="81"/>
      <c r="BS2693" s="81"/>
      <c r="BT2693" s="81"/>
    </row>
    <row r="2694" spans="65:72" x14ac:dyDescent="0.25">
      <c r="BM2694" s="81"/>
      <c r="BN2694" s="81"/>
      <c r="BO2694" s="81"/>
      <c r="BP2694" s="81"/>
      <c r="BQ2694" s="81"/>
      <c r="BR2694" s="81"/>
      <c r="BS2694" s="81"/>
      <c r="BT2694" s="81"/>
    </row>
    <row r="2695" spans="65:72" x14ac:dyDescent="0.25">
      <c r="BM2695" s="81"/>
      <c r="BN2695" s="81"/>
      <c r="BO2695" s="81"/>
      <c r="BP2695" s="81"/>
      <c r="BQ2695" s="81"/>
      <c r="BR2695" s="81"/>
      <c r="BS2695" s="81"/>
      <c r="BT2695" s="81"/>
    </row>
    <row r="2696" spans="65:72" x14ac:dyDescent="0.25">
      <c r="BM2696" s="81"/>
      <c r="BN2696" s="81"/>
      <c r="BO2696" s="81"/>
      <c r="BP2696" s="81"/>
      <c r="BQ2696" s="81"/>
      <c r="BR2696" s="81"/>
      <c r="BS2696" s="81"/>
      <c r="BT2696" s="81"/>
    </row>
    <row r="2697" spans="65:72" x14ac:dyDescent="0.25">
      <c r="BM2697" s="81"/>
      <c r="BN2697" s="81"/>
      <c r="BO2697" s="81"/>
      <c r="BP2697" s="81"/>
      <c r="BQ2697" s="81"/>
      <c r="BR2697" s="81"/>
      <c r="BS2697" s="81"/>
      <c r="BT2697" s="81"/>
    </row>
    <row r="2698" spans="65:72" x14ac:dyDescent="0.25">
      <c r="BM2698" s="81"/>
      <c r="BN2698" s="81"/>
      <c r="BO2698" s="81"/>
      <c r="BP2698" s="81"/>
      <c r="BQ2698" s="81"/>
      <c r="BR2698" s="81"/>
      <c r="BS2698" s="81"/>
      <c r="BT2698" s="81"/>
    </row>
    <row r="2699" spans="65:72" x14ac:dyDescent="0.25">
      <c r="BM2699" s="81"/>
      <c r="BN2699" s="81"/>
      <c r="BO2699" s="81"/>
      <c r="BP2699" s="81"/>
      <c r="BQ2699" s="81"/>
      <c r="BR2699" s="81"/>
      <c r="BS2699" s="81"/>
      <c r="BT2699" s="81"/>
    </row>
    <row r="2700" spans="65:72" x14ac:dyDescent="0.25">
      <c r="BM2700" s="81"/>
      <c r="BN2700" s="81"/>
      <c r="BO2700" s="81"/>
      <c r="BP2700" s="81"/>
      <c r="BQ2700" s="81"/>
      <c r="BR2700" s="81"/>
      <c r="BS2700" s="81"/>
      <c r="BT2700" s="81"/>
    </row>
    <row r="2701" spans="65:72" x14ac:dyDescent="0.25">
      <c r="BM2701" s="81"/>
      <c r="BN2701" s="81"/>
      <c r="BO2701" s="81"/>
      <c r="BP2701" s="81"/>
      <c r="BQ2701" s="81"/>
      <c r="BR2701" s="81"/>
      <c r="BS2701" s="81"/>
      <c r="BT2701" s="81"/>
    </row>
    <row r="2702" spans="65:72" x14ac:dyDescent="0.25">
      <c r="BM2702" s="81"/>
      <c r="BN2702" s="81"/>
      <c r="BO2702" s="81"/>
      <c r="BP2702" s="81"/>
      <c r="BQ2702" s="81"/>
      <c r="BR2702" s="81"/>
      <c r="BS2702" s="81"/>
      <c r="BT2702" s="81"/>
    </row>
    <row r="2703" spans="65:72" x14ac:dyDescent="0.25">
      <c r="BM2703" s="81"/>
      <c r="BN2703" s="81"/>
      <c r="BO2703" s="81"/>
      <c r="BP2703" s="81"/>
      <c r="BQ2703" s="81"/>
      <c r="BR2703" s="81"/>
      <c r="BS2703" s="81"/>
      <c r="BT2703" s="81"/>
    </row>
    <row r="2704" spans="65:72" x14ac:dyDescent="0.25">
      <c r="BM2704" s="81"/>
      <c r="BN2704" s="81"/>
      <c r="BO2704" s="81"/>
      <c r="BP2704" s="81"/>
      <c r="BQ2704" s="81"/>
      <c r="BR2704" s="81"/>
      <c r="BS2704" s="81"/>
      <c r="BT2704" s="81"/>
    </row>
    <row r="2705" spans="65:72" x14ac:dyDescent="0.25">
      <c r="BM2705" s="81"/>
      <c r="BN2705" s="81"/>
      <c r="BO2705" s="81"/>
      <c r="BP2705" s="81"/>
      <c r="BQ2705" s="81"/>
      <c r="BR2705" s="81"/>
      <c r="BS2705" s="81"/>
      <c r="BT2705" s="81"/>
    </row>
    <row r="2706" spans="65:72" x14ac:dyDescent="0.25">
      <c r="BM2706" s="81"/>
      <c r="BN2706" s="81"/>
      <c r="BO2706" s="81"/>
      <c r="BP2706" s="81"/>
      <c r="BQ2706" s="81"/>
      <c r="BR2706" s="81"/>
      <c r="BS2706" s="81"/>
      <c r="BT2706" s="81"/>
    </row>
    <row r="2707" spans="65:72" x14ac:dyDescent="0.25">
      <c r="BM2707" s="81"/>
      <c r="BN2707" s="81"/>
      <c r="BO2707" s="81"/>
      <c r="BP2707" s="81"/>
      <c r="BQ2707" s="81"/>
      <c r="BR2707" s="81"/>
      <c r="BS2707" s="81"/>
      <c r="BT2707" s="81"/>
    </row>
    <row r="2708" spans="65:72" x14ac:dyDescent="0.25">
      <c r="BM2708" s="81"/>
      <c r="BN2708" s="81"/>
      <c r="BO2708" s="81"/>
      <c r="BP2708" s="81"/>
      <c r="BQ2708" s="81"/>
      <c r="BR2708" s="81"/>
      <c r="BS2708" s="81"/>
      <c r="BT2708" s="81"/>
    </row>
    <row r="2709" spans="65:72" x14ac:dyDescent="0.25">
      <c r="BM2709" s="81"/>
      <c r="BN2709" s="81"/>
      <c r="BO2709" s="81"/>
      <c r="BP2709" s="81"/>
      <c r="BQ2709" s="81"/>
      <c r="BR2709" s="81"/>
      <c r="BS2709" s="81"/>
      <c r="BT2709" s="81"/>
    </row>
    <row r="2710" spans="65:72" x14ac:dyDescent="0.25">
      <c r="BM2710" s="81"/>
      <c r="BN2710" s="81"/>
      <c r="BO2710" s="81"/>
      <c r="BP2710" s="81"/>
      <c r="BQ2710" s="81"/>
      <c r="BR2710" s="81"/>
      <c r="BS2710" s="81"/>
      <c r="BT2710" s="81"/>
    </row>
    <row r="2711" spans="65:72" x14ac:dyDescent="0.25">
      <c r="BM2711" s="81"/>
      <c r="BN2711" s="81"/>
      <c r="BO2711" s="81"/>
      <c r="BP2711" s="81"/>
      <c r="BQ2711" s="81"/>
      <c r="BR2711" s="81"/>
      <c r="BS2711" s="81"/>
      <c r="BT2711" s="81"/>
    </row>
    <row r="2712" spans="65:72" x14ac:dyDescent="0.25">
      <c r="BM2712" s="81"/>
      <c r="BN2712" s="81"/>
      <c r="BO2712" s="81"/>
      <c r="BP2712" s="81"/>
      <c r="BQ2712" s="81"/>
      <c r="BR2712" s="81"/>
      <c r="BS2712" s="81"/>
      <c r="BT2712" s="81"/>
    </row>
    <row r="2713" spans="65:72" x14ac:dyDescent="0.25">
      <c r="BM2713" s="81"/>
      <c r="BN2713" s="81"/>
      <c r="BO2713" s="81"/>
      <c r="BP2713" s="81"/>
      <c r="BQ2713" s="81"/>
      <c r="BR2713" s="81"/>
      <c r="BS2713" s="81"/>
      <c r="BT2713" s="81"/>
    </row>
    <row r="2714" spans="65:72" x14ac:dyDescent="0.25">
      <c r="BM2714" s="81"/>
      <c r="BN2714" s="81"/>
      <c r="BO2714" s="81"/>
      <c r="BP2714" s="81"/>
      <c r="BQ2714" s="81"/>
      <c r="BR2714" s="81"/>
      <c r="BS2714" s="81"/>
      <c r="BT2714" s="81"/>
    </row>
    <row r="2715" spans="65:72" x14ac:dyDescent="0.25">
      <c r="BM2715" s="81"/>
      <c r="BN2715" s="81"/>
      <c r="BO2715" s="81"/>
      <c r="BP2715" s="81"/>
      <c r="BQ2715" s="81"/>
      <c r="BR2715" s="81"/>
      <c r="BS2715" s="81"/>
      <c r="BT2715" s="81"/>
    </row>
    <row r="2716" spans="65:72" x14ac:dyDescent="0.25">
      <c r="BM2716" s="81"/>
      <c r="BN2716" s="81"/>
      <c r="BO2716" s="81"/>
      <c r="BP2716" s="81"/>
      <c r="BQ2716" s="81"/>
      <c r="BR2716" s="81"/>
      <c r="BS2716" s="81"/>
      <c r="BT2716" s="81"/>
    </row>
    <row r="2717" spans="65:72" x14ac:dyDescent="0.25">
      <c r="BM2717" s="81"/>
      <c r="BN2717" s="81"/>
      <c r="BO2717" s="81"/>
      <c r="BP2717" s="81"/>
      <c r="BQ2717" s="81"/>
      <c r="BR2717" s="81"/>
      <c r="BS2717" s="81"/>
      <c r="BT2717" s="81"/>
    </row>
    <row r="2718" spans="65:72" x14ac:dyDescent="0.25">
      <c r="BM2718" s="81"/>
      <c r="BN2718" s="81"/>
      <c r="BO2718" s="81"/>
      <c r="BP2718" s="81"/>
      <c r="BQ2718" s="81"/>
      <c r="BR2718" s="81"/>
      <c r="BS2718" s="81"/>
      <c r="BT2718" s="81"/>
    </row>
    <row r="2719" spans="65:72" x14ac:dyDescent="0.25">
      <c r="BM2719" s="81"/>
      <c r="BN2719" s="81"/>
      <c r="BO2719" s="81"/>
      <c r="BP2719" s="81"/>
      <c r="BQ2719" s="81"/>
      <c r="BR2719" s="81"/>
      <c r="BS2719" s="81"/>
      <c r="BT2719" s="81"/>
    </row>
    <row r="2720" spans="65:72" x14ac:dyDescent="0.25">
      <c r="BM2720" s="81"/>
      <c r="BN2720" s="81"/>
      <c r="BO2720" s="81"/>
      <c r="BP2720" s="81"/>
      <c r="BQ2720" s="81"/>
      <c r="BR2720" s="81"/>
      <c r="BS2720" s="81"/>
      <c r="BT2720" s="81"/>
    </row>
    <row r="2721" spans="65:72" x14ac:dyDescent="0.25">
      <c r="BM2721" s="81"/>
      <c r="BN2721" s="81"/>
      <c r="BO2721" s="81"/>
      <c r="BP2721" s="81"/>
      <c r="BQ2721" s="81"/>
      <c r="BR2721" s="81"/>
      <c r="BS2721" s="81"/>
      <c r="BT2721" s="81"/>
    </row>
    <row r="2722" spans="65:72" x14ac:dyDescent="0.25">
      <c r="BM2722" s="81"/>
      <c r="BN2722" s="81"/>
      <c r="BO2722" s="81"/>
      <c r="BP2722" s="81"/>
      <c r="BQ2722" s="81"/>
      <c r="BR2722" s="81"/>
      <c r="BS2722" s="81"/>
      <c r="BT2722" s="81"/>
    </row>
    <row r="2723" spans="65:72" x14ac:dyDescent="0.25">
      <c r="BM2723" s="81"/>
      <c r="BN2723" s="81"/>
      <c r="BO2723" s="81"/>
      <c r="BP2723" s="81"/>
      <c r="BQ2723" s="81"/>
      <c r="BR2723" s="81"/>
      <c r="BS2723" s="81"/>
      <c r="BT2723" s="81"/>
    </row>
    <row r="2724" spans="65:72" x14ac:dyDescent="0.25">
      <c r="BM2724" s="81"/>
      <c r="BN2724" s="81"/>
      <c r="BO2724" s="81"/>
      <c r="BP2724" s="81"/>
      <c r="BQ2724" s="81"/>
      <c r="BR2724" s="81"/>
      <c r="BS2724" s="81"/>
      <c r="BT2724" s="81"/>
    </row>
    <row r="2725" spans="65:72" x14ac:dyDescent="0.25">
      <c r="BM2725" s="81"/>
      <c r="BN2725" s="81"/>
      <c r="BO2725" s="81"/>
      <c r="BP2725" s="81"/>
      <c r="BQ2725" s="81"/>
      <c r="BR2725" s="81"/>
      <c r="BS2725" s="81"/>
      <c r="BT2725" s="81"/>
    </row>
    <row r="2726" spans="65:72" x14ac:dyDescent="0.25">
      <c r="BM2726" s="81"/>
      <c r="BN2726" s="81"/>
      <c r="BO2726" s="81"/>
      <c r="BP2726" s="81"/>
      <c r="BQ2726" s="81"/>
      <c r="BR2726" s="81"/>
      <c r="BS2726" s="81"/>
      <c r="BT2726" s="81"/>
    </row>
    <row r="2727" spans="65:72" x14ac:dyDescent="0.25">
      <c r="BM2727" s="81"/>
      <c r="BN2727" s="81"/>
      <c r="BO2727" s="81"/>
      <c r="BP2727" s="81"/>
      <c r="BQ2727" s="81"/>
      <c r="BR2727" s="81"/>
      <c r="BS2727" s="81"/>
      <c r="BT2727" s="81"/>
    </row>
    <row r="2728" spans="65:72" x14ac:dyDescent="0.25">
      <c r="BM2728" s="81"/>
      <c r="BN2728" s="81"/>
      <c r="BO2728" s="81"/>
      <c r="BP2728" s="81"/>
      <c r="BQ2728" s="81"/>
      <c r="BR2728" s="81"/>
      <c r="BS2728" s="81"/>
      <c r="BT2728" s="81"/>
    </row>
    <row r="2729" spans="65:72" x14ac:dyDescent="0.25">
      <c r="BM2729" s="81"/>
      <c r="BN2729" s="81"/>
      <c r="BO2729" s="81"/>
      <c r="BP2729" s="81"/>
      <c r="BQ2729" s="81"/>
      <c r="BR2729" s="81"/>
      <c r="BS2729" s="81"/>
      <c r="BT2729" s="81"/>
    </row>
    <row r="2730" spans="65:72" x14ac:dyDescent="0.25">
      <c r="BM2730" s="81"/>
      <c r="BN2730" s="81"/>
      <c r="BO2730" s="81"/>
      <c r="BP2730" s="81"/>
      <c r="BQ2730" s="81"/>
      <c r="BR2730" s="81"/>
      <c r="BS2730" s="81"/>
      <c r="BT2730" s="81"/>
    </row>
    <row r="2731" spans="65:72" x14ac:dyDescent="0.25">
      <c r="BM2731" s="81"/>
      <c r="BN2731" s="81"/>
      <c r="BO2731" s="81"/>
      <c r="BP2731" s="81"/>
      <c r="BQ2731" s="81"/>
      <c r="BR2731" s="81"/>
      <c r="BS2731" s="81"/>
      <c r="BT2731" s="81"/>
    </row>
    <row r="2732" spans="65:72" x14ac:dyDescent="0.25">
      <c r="BM2732" s="81"/>
      <c r="BN2732" s="81"/>
      <c r="BO2732" s="81"/>
      <c r="BP2732" s="81"/>
      <c r="BQ2732" s="81"/>
      <c r="BR2732" s="81"/>
      <c r="BS2732" s="81"/>
      <c r="BT2732" s="81"/>
    </row>
    <row r="2733" spans="65:72" x14ac:dyDescent="0.25">
      <c r="BM2733" s="81"/>
      <c r="BN2733" s="81"/>
      <c r="BO2733" s="81"/>
      <c r="BP2733" s="81"/>
      <c r="BQ2733" s="81"/>
      <c r="BR2733" s="81"/>
      <c r="BS2733" s="81"/>
      <c r="BT2733" s="81"/>
    </row>
    <row r="2734" spans="65:72" x14ac:dyDescent="0.25">
      <c r="BM2734" s="81"/>
      <c r="BN2734" s="81"/>
      <c r="BO2734" s="81"/>
      <c r="BP2734" s="81"/>
      <c r="BQ2734" s="81"/>
      <c r="BR2734" s="81"/>
      <c r="BS2734" s="81"/>
      <c r="BT2734" s="81"/>
    </row>
    <row r="2735" spans="65:72" x14ac:dyDescent="0.25">
      <c r="BM2735" s="81"/>
      <c r="BN2735" s="81"/>
      <c r="BO2735" s="81"/>
      <c r="BP2735" s="81"/>
      <c r="BQ2735" s="81"/>
      <c r="BR2735" s="81"/>
      <c r="BS2735" s="81"/>
      <c r="BT2735" s="81"/>
    </row>
    <row r="2736" spans="65:72" x14ac:dyDescent="0.25">
      <c r="BM2736" s="81"/>
      <c r="BN2736" s="81"/>
      <c r="BO2736" s="81"/>
      <c r="BP2736" s="81"/>
      <c r="BQ2736" s="81"/>
      <c r="BR2736" s="81"/>
      <c r="BS2736" s="81"/>
      <c r="BT2736" s="81"/>
    </row>
    <row r="2737" spans="65:72" x14ac:dyDescent="0.25">
      <c r="BM2737" s="81"/>
      <c r="BN2737" s="81"/>
      <c r="BO2737" s="81"/>
      <c r="BP2737" s="81"/>
      <c r="BQ2737" s="81"/>
      <c r="BR2737" s="81"/>
      <c r="BS2737" s="81"/>
      <c r="BT2737" s="81"/>
    </row>
    <row r="2738" spans="65:72" x14ac:dyDescent="0.25">
      <c r="BM2738" s="81"/>
      <c r="BN2738" s="81"/>
      <c r="BO2738" s="81"/>
      <c r="BP2738" s="81"/>
      <c r="BQ2738" s="81"/>
      <c r="BR2738" s="81"/>
      <c r="BS2738" s="81"/>
      <c r="BT2738" s="81"/>
    </row>
    <row r="2739" spans="65:72" x14ac:dyDescent="0.25">
      <c r="BM2739" s="81"/>
      <c r="BN2739" s="81"/>
      <c r="BO2739" s="81"/>
      <c r="BP2739" s="81"/>
      <c r="BQ2739" s="81"/>
      <c r="BR2739" s="81"/>
      <c r="BS2739" s="81"/>
      <c r="BT2739" s="81"/>
    </row>
    <row r="2740" spans="65:72" x14ac:dyDescent="0.25">
      <c r="BM2740" s="81"/>
      <c r="BN2740" s="81"/>
      <c r="BO2740" s="81"/>
      <c r="BP2740" s="81"/>
      <c r="BQ2740" s="81"/>
      <c r="BR2740" s="81"/>
      <c r="BS2740" s="81"/>
      <c r="BT2740" s="81"/>
    </row>
    <row r="2741" spans="65:72" x14ac:dyDescent="0.25">
      <c r="BM2741" s="81"/>
      <c r="BN2741" s="81"/>
      <c r="BO2741" s="81"/>
      <c r="BP2741" s="81"/>
      <c r="BQ2741" s="81"/>
      <c r="BR2741" s="81"/>
      <c r="BS2741" s="81"/>
      <c r="BT2741" s="81"/>
    </row>
    <row r="2742" spans="65:72" x14ac:dyDescent="0.25">
      <c r="BM2742" s="81"/>
      <c r="BN2742" s="81"/>
      <c r="BO2742" s="81"/>
      <c r="BP2742" s="81"/>
      <c r="BQ2742" s="81"/>
      <c r="BR2742" s="81"/>
      <c r="BS2742" s="81"/>
      <c r="BT2742" s="81"/>
    </row>
    <row r="2743" spans="65:72" x14ac:dyDescent="0.25">
      <c r="BM2743" s="81"/>
      <c r="BN2743" s="81"/>
      <c r="BO2743" s="81"/>
      <c r="BP2743" s="81"/>
      <c r="BQ2743" s="81"/>
      <c r="BR2743" s="81"/>
      <c r="BS2743" s="81"/>
      <c r="BT2743" s="81"/>
    </row>
    <row r="2744" spans="65:72" x14ac:dyDescent="0.25">
      <c r="BM2744" s="81"/>
      <c r="BN2744" s="81"/>
      <c r="BO2744" s="81"/>
      <c r="BP2744" s="81"/>
      <c r="BQ2744" s="81"/>
      <c r="BR2744" s="81"/>
      <c r="BS2744" s="81"/>
      <c r="BT2744" s="81"/>
    </row>
    <row r="2745" spans="65:72" x14ac:dyDescent="0.25">
      <c r="BM2745" s="81"/>
      <c r="BN2745" s="81"/>
      <c r="BO2745" s="81"/>
      <c r="BP2745" s="81"/>
      <c r="BQ2745" s="81"/>
      <c r="BR2745" s="81"/>
      <c r="BS2745" s="81"/>
      <c r="BT2745" s="81"/>
    </row>
    <row r="2746" spans="65:72" x14ac:dyDescent="0.25">
      <c r="BM2746" s="81"/>
      <c r="BN2746" s="81"/>
      <c r="BO2746" s="81"/>
      <c r="BP2746" s="81"/>
      <c r="BQ2746" s="81"/>
      <c r="BR2746" s="81"/>
      <c r="BS2746" s="81"/>
      <c r="BT2746" s="81"/>
    </row>
    <row r="2747" spans="65:72" x14ac:dyDescent="0.25">
      <c r="BM2747" s="81"/>
      <c r="BN2747" s="81"/>
      <c r="BO2747" s="81"/>
      <c r="BP2747" s="81"/>
      <c r="BQ2747" s="81"/>
      <c r="BR2747" s="81"/>
      <c r="BS2747" s="81"/>
      <c r="BT2747" s="81"/>
    </row>
    <row r="2748" spans="65:72" x14ac:dyDescent="0.25">
      <c r="BM2748" s="81"/>
      <c r="BN2748" s="81"/>
      <c r="BO2748" s="81"/>
      <c r="BP2748" s="81"/>
      <c r="BQ2748" s="81"/>
      <c r="BR2748" s="81"/>
      <c r="BS2748" s="81"/>
      <c r="BT2748" s="81"/>
    </row>
    <row r="2749" spans="65:72" x14ac:dyDescent="0.25">
      <c r="BM2749" s="81"/>
      <c r="BN2749" s="81"/>
      <c r="BO2749" s="81"/>
      <c r="BP2749" s="81"/>
      <c r="BQ2749" s="81"/>
      <c r="BR2749" s="81"/>
      <c r="BS2749" s="81"/>
      <c r="BT2749" s="81"/>
    </row>
    <row r="2750" spans="65:72" x14ac:dyDescent="0.25">
      <c r="BM2750" s="81"/>
      <c r="BN2750" s="81"/>
      <c r="BO2750" s="81"/>
      <c r="BP2750" s="81"/>
      <c r="BQ2750" s="81"/>
      <c r="BR2750" s="81"/>
      <c r="BS2750" s="81"/>
      <c r="BT2750" s="81"/>
    </row>
    <row r="2751" spans="65:72" x14ac:dyDescent="0.25">
      <c r="BM2751" s="81"/>
      <c r="BN2751" s="81"/>
      <c r="BO2751" s="81"/>
      <c r="BP2751" s="81"/>
      <c r="BQ2751" s="81"/>
      <c r="BR2751" s="81"/>
      <c r="BS2751" s="81"/>
      <c r="BT2751" s="81"/>
    </row>
    <row r="2752" spans="65:72" x14ac:dyDescent="0.25">
      <c r="BM2752" s="81"/>
      <c r="BN2752" s="81"/>
      <c r="BO2752" s="81"/>
      <c r="BP2752" s="81"/>
      <c r="BQ2752" s="81"/>
      <c r="BR2752" s="81"/>
      <c r="BS2752" s="81"/>
      <c r="BT2752" s="81"/>
    </row>
    <row r="2753" spans="65:72" x14ac:dyDescent="0.25">
      <c r="BM2753" s="81"/>
      <c r="BN2753" s="81"/>
      <c r="BO2753" s="81"/>
      <c r="BP2753" s="81"/>
      <c r="BQ2753" s="81"/>
      <c r="BR2753" s="81"/>
      <c r="BS2753" s="81"/>
      <c r="BT2753" s="81"/>
    </row>
    <row r="2754" spans="65:72" x14ac:dyDescent="0.25">
      <c r="BM2754" s="81"/>
      <c r="BN2754" s="81"/>
      <c r="BO2754" s="81"/>
      <c r="BP2754" s="81"/>
      <c r="BQ2754" s="81"/>
      <c r="BR2754" s="81"/>
      <c r="BS2754" s="81"/>
      <c r="BT2754" s="81"/>
    </row>
    <row r="2755" spans="65:72" x14ac:dyDescent="0.25">
      <c r="BM2755" s="81"/>
      <c r="BN2755" s="81"/>
      <c r="BO2755" s="81"/>
      <c r="BP2755" s="81"/>
      <c r="BQ2755" s="81"/>
      <c r="BR2755" s="81"/>
      <c r="BS2755" s="81"/>
      <c r="BT2755" s="81"/>
    </row>
    <row r="2756" spans="65:72" x14ac:dyDescent="0.25">
      <c r="BM2756" s="81"/>
      <c r="BN2756" s="81"/>
      <c r="BO2756" s="81"/>
      <c r="BP2756" s="81"/>
      <c r="BQ2756" s="81"/>
      <c r="BR2756" s="81"/>
      <c r="BS2756" s="81"/>
      <c r="BT2756" s="81"/>
    </row>
    <row r="2757" spans="65:72" x14ac:dyDescent="0.25">
      <c r="BM2757" s="81"/>
      <c r="BN2757" s="81"/>
      <c r="BO2757" s="81"/>
      <c r="BP2757" s="81"/>
      <c r="BQ2757" s="81"/>
      <c r="BR2757" s="81"/>
      <c r="BS2757" s="81"/>
      <c r="BT2757" s="81"/>
    </row>
    <row r="2758" spans="65:72" x14ac:dyDescent="0.25">
      <c r="BM2758" s="81"/>
      <c r="BN2758" s="81"/>
      <c r="BO2758" s="81"/>
      <c r="BP2758" s="81"/>
      <c r="BQ2758" s="81"/>
      <c r="BR2758" s="81"/>
      <c r="BS2758" s="81"/>
      <c r="BT2758" s="81"/>
    </row>
    <row r="2759" spans="65:72" x14ac:dyDescent="0.25">
      <c r="BM2759" s="81"/>
      <c r="BN2759" s="81"/>
      <c r="BO2759" s="81"/>
      <c r="BP2759" s="81"/>
      <c r="BQ2759" s="81"/>
      <c r="BR2759" s="81"/>
      <c r="BS2759" s="81"/>
      <c r="BT2759" s="81"/>
    </row>
    <row r="2760" spans="65:72" x14ac:dyDescent="0.25">
      <c r="BM2760" s="81"/>
      <c r="BN2760" s="81"/>
      <c r="BO2760" s="81"/>
      <c r="BP2760" s="81"/>
      <c r="BQ2760" s="81"/>
      <c r="BR2760" s="81"/>
      <c r="BS2760" s="81"/>
      <c r="BT2760" s="81"/>
    </row>
    <row r="2761" spans="65:72" x14ac:dyDescent="0.25">
      <c r="BM2761" s="81"/>
      <c r="BN2761" s="81"/>
      <c r="BO2761" s="81"/>
      <c r="BP2761" s="81"/>
      <c r="BQ2761" s="81"/>
      <c r="BR2761" s="81"/>
      <c r="BS2761" s="81"/>
      <c r="BT2761" s="81"/>
    </row>
    <row r="2762" spans="65:72" x14ac:dyDescent="0.25">
      <c r="BM2762" s="81"/>
      <c r="BN2762" s="81"/>
      <c r="BO2762" s="81"/>
      <c r="BP2762" s="81"/>
      <c r="BQ2762" s="81"/>
      <c r="BR2762" s="81"/>
      <c r="BS2762" s="81"/>
      <c r="BT2762" s="81"/>
    </row>
    <row r="2763" spans="65:72" x14ac:dyDescent="0.25">
      <c r="BM2763" s="81"/>
      <c r="BN2763" s="81"/>
      <c r="BO2763" s="81"/>
      <c r="BP2763" s="81"/>
      <c r="BQ2763" s="81"/>
      <c r="BR2763" s="81"/>
      <c r="BS2763" s="81"/>
      <c r="BT2763" s="81"/>
    </row>
    <row r="2764" spans="65:72" x14ac:dyDescent="0.25">
      <c r="BM2764" s="81"/>
      <c r="BN2764" s="81"/>
      <c r="BO2764" s="81"/>
      <c r="BP2764" s="81"/>
      <c r="BQ2764" s="81"/>
      <c r="BR2764" s="81"/>
      <c r="BS2764" s="81"/>
      <c r="BT2764" s="81"/>
    </row>
    <row r="2765" spans="65:72" x14ac:dyDescent="0.25">
      <c r="BM2765" s="81"/>
      <c r="BN2765" s="81"/>
      <c r="BO2765" s="81"/>
      <c r="BP2765" s="81"/>
      <c r="BQ2765" s="81"/>
      <c r="BR2765" s="81"/>
      <c r="BS2765" s="81"/>
      <c r="BT2765" s="81"/>
    </row>
    <row r="2766" spans="65:72" x14ac:dyDescent="0.25">
      <c r="BM2766" s="81"/>
      <c r="BN2766" s="81"/>
      <c r="BO2766" s="81"/>
      <c r="BP2766" s="81"/>
      <c r="BQ2766" s="81"/>
      <c r="BR2766" s="81"/>
      <c r="BS2766" s="81"/>
      <c r="BT2766" s="81"/>
    </row>
    <row r="2767" spans="65:72" x14ac:dyDescent="0.25">
      <c r="BM2767" s="81"/>
      <c r="BN2767" s="81"/>
      <c r="BO2767" s="81"/>
      <c r="BP2767" s="81"/>
      <c r="BQ2767" s="81"/>
      <c r="BR2767" s="81"/>
      <c r="BS2767" s="81"/>
      <c r="BT2767" s="81"/>
    </row>
    <row r="2768" spans="65:72" x14ac:dyDescent="0.25">
      <c r="BM2768" s="81"/>
      <c r="BN2768" s="81"/>
      <c r="BO2768" s="81"/>
      <c r="BP2768" s="81"/>
      <c r="BQ2768" s="81"/>
      <c r="BR2768" s="81"/>
      <c r="BS2768" s="81"/>
      <c r="BT2768" s="81"/>
    </row>
    <row r="2769" spans="65:72" x14ac:dyDescent="0.25">
      <c r="BM2769" s="81"/>
      <c r="BN2769" s="81"/>
      <c r="BO2769" s="81"/>
      <c r="BP2769" s="81"/>
      <c r="BQ2769" s="81"/>
      <c r="BR2769" s="81"/>
      <c r="BS2769" s="81"/>
      <c r="BT2769" s="81"/>
    </row>
    <row r="2770" spans="65:72" x14ac:dyDescent="0.25">
      <c r="BM2770" s="81"/>
      <c r="BN2770" s="81"/>
      <c r="BO2770" s="81"/>
      <c r="BP2770" s="81"/>
      <c r="BQ2770" s="81"/>
      <c r="BR2770" s="81"/>
      <c r="BS2770" s="81"/>
      <c r="BT2770" s="81"/>
    </row>
    <row r="2771" spans="65:72" x14ac:dyDescent="0.25">
      <c r="BM2771" s="81"/>
      <c r="BN2771" s="81"/>
      <c r="BO2771" s="81"/>
      <c r="BP2771" s="81"/>
      <c r="BQ2771" s="81"/>
      <c r="BR2771" s="81"/>
      <c r="BS2771" s="81"/>
      <c r="BT2771" s="81"/>
    </row>
    <row r="2772" spans="65:72" x14ac:dyDescent="0.25">
      <c r="BM2772" s="81"/>
      <c r="BN2772" s="81"/>
      <c r="BO2772" s="81"/>
      <c r="BP2772" s="81"/>
      <c r="BQ2772" s="81"/>
      <c r="BR2772" s="81"/>
      <c r="BS2772" s="81"/>
      <c r="BT2772" s="81"/>
    </row>
    <row r="2773" spans="65:72" x14ac:dyDescent="0.25">
      <c r="BM2773" s="81"/>
      <c r="BN2773" s="81"/>
      <c r="BO2773" s="81"/>
      <c r="BP2773" s="81"/>
      <c r="BQ2773" s="81"/>
      <c r="BR2773" s="81"/>
      <c r="BS2773" s="81"/>
      <c r="BT2773" s="81"/>
    </row>
    <row r="2774" spans="65:72" x14ac:dyDescent="0.25">
      <c r="BM2774" s="81"/>
      <c r="BN2774" s="81"/>
      <c r="BO2774" s="81"/>
      <c r="BP2774" s="81"/>
      <c r="BQ2774" s="81"/>
      <c r="BR2774" s="81"/>
      <c r="BS2774" s="81"/>
      <c r="BT2774" s="81"/>
    </row>
    <row r="2775" spans="65:72" x14ac:dyDescent="0.25">
      <c r="BM2775" s="81"/>
      <c r="BN2775" s="81"/>
      <c r="BO2775" s="81"/>
      <c r="BP2775" s="81"/>
      <c r="BQ2775" s="81"/>
      <c r="BR2775" s="81"/>
      <c r="BS2775" s="81"/>
      <c r="BT2775" s="81"/>
    </row>
    <row r="2776" spans="65:72" x14ac:dyDescent="0.25">
      <c r="BM2776" s="81"/>
      <c r="BN2776" s="81"/>
      <c r="BO2776" s="81"/>
      <c r="BP2776" s="81"/>
      <c r="BQ2776" s="81"/>
      <c r="BR2776" s="81"/>
      <c r="BS2776" s="81"/>
      <c r="BT2776" s="81"/>
    </row>
    <row r="2777" spans="65:72" x14ac:dyDescent="0.25">
      <c r="BM2777" s="81"/>
      <c r="BN2777" s="81"/>
      <c r="BO2777" s="81"/>
      <c r="BP2777" s="81"/>
      <c r="BQ2777" s="81"/>
      <c r="BR2777" s="81"/>
      <c r="BS2777" s="81"/>
      <c r="BT2777" s="81"/>
    </row>
    <row r="2778" spans="65:72" x14ac:dyDescent="0.25">
      <c r="BM2778" s="81"/>
      <c r="BN2778" s="81"/>
      <c r="BO2778" s="81"/>
      <c r="BP2778" s="81"/>
      <c r="BQ2778" s="81"/>
      <c r="BR2778" s="81"/>
      <c r="BS2778" s="81"/>
      <c r="BT2778" s="81"/>
    </row>
    <row r="2779" spans="65:72" x14ac:dyDescent="0.25">
      <c r="BM2779" s="81"/>
      <c r="BN2779" s="81"/>
      <c r="BO2779" s="81"/>
      <c r="BP2779" s="81"/>
      <c r="BQ2779" s="81"/>
      <c r="BR2779" s="81"/>
      <c r="BS2779" s="81"/>
      <c r="BT2779" s="81"/>
    </row>
    <row r="2780" spans="65:72" x14ac:dyDescent="0.25">
      <c r="BM2780" s="81"/>
      <c r="BN2780" s="81"/>
      <c r="BO2780" s="81"/>
      <c r="BP2780" s="81"/>
      <c r="BQ2780" s="81"/>
      <c r="BR2780" s="81"/>
      <c r="BS2780" s="81"/>
      <c r="BT2780" s="81"/>
    </row>
    <row r="2781" spans="65:72" x14ac:dyDescent="0.25">
      <c r="BM2781" s="81"/>
      <c r="BN2781" s="81"/>
      <c r="BO2781" s="81"/>
      <c r="BP2781" s="81"/>
      <c r="BQ2781" s="81"/>
      <c r="BR2781" s="81"/>
      <c r="BS2781" s="81"/>
      <c r="BT2781" s="81"/>
    </row>
    <row r="2782" spans="65:72" x14ac:dyDescent="0.25">
      <c r="BM2782" s="81"/>
      <c r="BN2782" s="81"/>
      <c r="BO2782" s="81"/>
      <c r="BP2782" s="81"/>
      <c r="BQ2782" s="81"/>
      <c r="BR2782" s="81"/>
      <c r="BS2782" s="81"/>
      <c r="BT2782" s="81"/>
    </row>
    <row r="2783" spans="65:72" x14ac:dyDescent="0.25">
      <c r="BM2783" s="81"/>
      <c r="BN2783" s="81"/>
      <c r="BO2783" s="81"/>
      <c r="BP2783" s="81"/>
      <c r="BQ2783" s="81"/>
      <c r="BR2783" s="81"/>
      <c r="BS2783" s="81"/>
      <c r="BT2783" s="81"/>
    </row>
    <row r="2784" spans="65:72" x14ac:dyDescent="0.25">
      <c r="BM2784" s="81"/>
      <c r="BN2784" s="81"/>
      <c r="BO2784" s="81"/>
      <c r="BP2784" s="81"/>
      <c r="BQ2784" s="81"/>
      <c r="BR2784" s="81"/>
      <c r="BS2784" s="81"/>
      <c r="BT2784" s="81"/>
    </row>
    <row r="2785" spans="65:72" x14ac:dyDescent="0.25">
      <c r="BM2785" s="81"/>
      <c r="BN2785" s="81"/>
      <c r="BO2785" s="81"/>
      <c r="BP2785" s="81"/>
      <c r="BQ2785" s="81"/>
      <c r="BR2785" s="81"/>
      <c r="BS2785" s="81"/>
      <c r="BT2785" s="81"/>
    </row>
    <row r="2786" spans="65:72" x14ac:dyDescent="0.25">
      <c r="BM2786" s="81"/>
      <c r="BN2786" s="81"/>
      <c r="BO2786" s="81"/>
      <c r="BP2786" s="81"/>
      <c r="BQ2786" s="81"/>
      <c r="BR2786" s="81"/>
      <c r="BS2786" s="81"/>
      <c r="BT2786" s="81"/>
    </row>
    <row r="2787" spans="65:72" x14ac:dyDescent="0.25">
      <c r="BM2787" s="81"/>
      <c r="BN2787" s="81"/>
      <c r="BO2787" s="81"/>
      <c r="BP2787" s="81"/>
      <c r="BQ2787" s="81"/>
      <c r="BR2787" s="81"/>
      <c r="BS2787" s="81"/>
      <c r="BT2787" s="81"/>
    </row>
    <row r="2788" spans="65:72" x14ac:dyDescent="0.25">
      <c r="BM2788" s="81"/>
      <c r="BN2788" s="81"/>
      <c r="BO2788" s="81"/>
      <c r="BP2788" s="81"/>
      <c r="BQ2788" s="81"/>
      <c r="BR2788" s="81"/>
      <c r="BS2788" s="81"/>
      <c r="BT2788" s="81"/>
    </row>
    <row r="2789" spans="65:72" x14ac:dyDescent="0.25">
      <c r="BM2789" s="81"/>
      <c r="BN2789" s="81"/>
      <c r="BO2789" s="81"/>
      <c r="BP2789" s="81"/>
      <c r="BQ2789" s="81"/>
      <c r="BR2789" s="81"/>
      <c r="BS2789" s="81"/>
      <c r="BT2789" s="81"/>
    </row>
    <row r="2790" spans="65:72" x14ac:dyDescent="0.25">
      <c r="BM2790" s="81"/>
      <c r="BN2790" s="81"/>
      <c r="BO2790" s="81"/>
      <c r="BP2790" s="81"/>
      <c r="BQ2790" s="81"/>
      <c r="BR2790" s="81"/>
      <c r="BS2790" s="81"/>
      <c r="BT2790" s="81"/>
    </row>
    <row r="2791" spans="65:72" x14ac:dyDescent="0.25">
      <c r="BM2791" s="81"/>
      <c r="BN2791" s="81"/>
      <c r="BO2791" s="81"/>
      <c r="BP2791" s="81"/>
      <c r="BQ2791" s="81"/>
      <c r="BR2791" s="81"/>
      <c r="BS2791" s="81"/>
      <c r="BT2791" s="81"/>
    </row>
    <row r="2792" spans="65:72" x14ac:dyDescent="0.25">
      <c r="BM2792" s="81"/>
      <c r="BN2792" s="81"/>
      <c r="BO2792" s="81"/>
      <c r="BP2792" s="81"/>
      <c r="BQ2792" s="81"/>
      <c r="BR2792" s="81"/>
      <c r="BS2792" s="81"/>
      <c r="BT2792" s="81"/>
    </row>
    <row r="2793" spans="65:72" x14ac:dyDescent="0.25">
      <c r="BM2793" s="81"/>
      <c r="BN2793" s="81"/>
      <c r="BO2793" s="81"/>
      <c r="BP2793" s="81"/>
      <c r="BQ2793" s="81"/>
      <c r="BR2793" s="81"/>
      <c r="BS2793" s="81"/>
      <c r="BT2793" s="81"/>
    </row>
    <row r="2794" spans="65:72" x14ac:dyDescent="0.25">
      <c r="BM2794" s="81"/>
      <c r="BN2794" s="81"/>
      <c r="BO2794" s="81"/>
      <c r="BP2794" s="81"/>
      <c r="BQ2794" s="81"/>
      <c r="BR2794" s="81"/>
      <c r="BS2794" s="81"/>
      <c r="BT2794" s="81"/>
    </row>
    <row r="2795" spans="65:72" x14ac:dyDescent="0.25">
      <c r="BM2795" s="81"/>
      <c r="BN2795" s="81"/>
      <c r="BO2795" s="81"/>
      <c r="BP2795" s="81"/>
      <c r="BQ2795" s="81"/>
      <c r="BR2795" s="81"/>
      <c r="BS2795" s="81"/>
      <c r="BT2795" s="81"/>
    </row>
    <row r="2796" spans="65:72" x14ac:dyDescent="0.25">
      <c r="BM2796" s="81"/>
      <c r="BN2796" s="81"/>
      <c r="BO2796" s="81"/>
      <c r="BP2796" s="81"/>
      <c r="BQ2796" s="81"/>
      <c r="BR2796" s="81"/>
      <c r="BS2796" s="81"/>
      <c r="BT2796" s="81"/>
    </row>
    <row r="2797" spans="65:72" x14ac:dyDescent="0.25">
      <c r="BM2797" s="81"/>
      <c r="BN2797" s="81"/>
      <c r="BO2797" s="81"/>
      <c r="BP2797" s="81"/>
      <c r="BQ2797" s="81"/>
      <c r="BR2797" s="81"/>
      <c r="BS2797" s="81"/>
      <c r="BT2797" s="81"/>
    </row>
    <row r="2798" spans="65:72" x14ac:dyDescent="0.25">
      <c r="BM2798" s="81"/>
      <c r="BN2798" s="81"/>
      <c r="BO2798" s="81"/>
      <c r="BP2798" s="81"/>
      <c r="BQ2798" s="81"/>
      <c r="BR2798" s="81"/>
      <c r="BS2798" s="81"/>
      <c r="BT2798" s="81"/>
    </row>
    <row r="2799" spans="65:72" x14ac:dyDescent="0.25">
      <c r="BM2799" s="81"/>
      <c r="BN2799" s="81"/>
      <c r="BO2799" s="81"/>
      <c r="BP2799" s="81"/>
      <c r="BQ2799" s="81"/>
      <c r="BR2799" s="81"/>
      <c r="BS2799" s="81"/>
      <c r="BT2799" s="81"/>
    </row>
    <row r="2800" spans="65:72" x14ac:dyDescent="0.25">
      <c r="BM2800" s="81"/>
      <c r="BN2800" s="81"/>
      <c r="BO2800" s="81"/>
      <c r="BP2800" s="81"/>
      <c r="BQ2800" s="81"/>
      <c r="BR2800" s="81"/>
      <c r="BS2800" s="81"/>
      <c r="BT2800" s="81"/>
    </row>
    <row r="2801" spans="65:72" x14ac:dyDescent="0.25">
      <c r="BM2801" s="81"/>
      <c r="BN2801" s="81"/>
      <c r="BO2801" s="81"/>
      <c r="BP2801" s="81"/>
      <c r="BQ2801" s="81"/>
      <c r="BR2801" s="81"/>
      <c r="BS2801" s="81"/>
      <c r="BT2801" s="81"/>
    </row>
    <row r="2802" spans="65:72" x14ac:dyDescent="0.25">
      <c r="BM2802" s="81"/>
      <c r="BN2802" s="81"/>
      <c r="BO2802" s="81"/>
      <c r="BP2802" s="81"/>
      <c r="BQ2802" s="81"/>
      <c r="BR2802" s="81"/>
      <c r="BS2802" s="81"/>
      <c r="BT2802" s="81"/>
    </row>
    <row r="2803" spans="65:72" x14ac:dyDescent="0.25">
      <c r="BM2803" s="81"/>
      <c r="BN2803" s="81"/>
      <c r="BO2803" s="81"/>
      <c r="BP2803" s="81"/>
      <c r="BQ2803" s="81"/>
      <c r="BR2803" s="81"/>
      <c r="BS2803" s="81"/>
      <c r="BT2803" s="81"/>
    </row>
    <row r="2804" spans="65:72" x14ac:dyDescent="0.25">
      <c r="BM2804" s="81"/>
      <c r="BN2804" s="81"/>
      <c r="BO2804" s="81"/>
      <c r="BP2804" s="81"/>
      <c r="BQ2804" s="81"/>
      <c r="BR2804" s="81"/>
      <c r="BS2804" s="81"/>
      <c r="BT2804" s="81"/>
    </row>
    <row r="2805" spans="65:72" x14ac:dyDescent="0.25">
      <c r="BM2805" s="81"/>
      <c r="BN2805" s="81"/>
      <c r="BO2805" s="81"/>
      <c r="BP2805" s="81"/>
      <c r="BQ2805" s="81"/>
      <c r="BR2805" s="81"/>
      <c r="BS2805" s="81"/>
      <c r="BT2805" s="81"/>
    </row>
    <row r="2806" spans="65:72" x14ac:dyDescent="0.25">
      <c r="BM2806" s="81"/>
      <c r="BN2806" s="81"/>
      <c r="BO2806" s="81"/>
      <c r="BP2806" s="81"/>
      <c r="BQ2806" s="81"/>
      <c r="BR2806" s="81"/>
      <c r="BS2806" s="81"/>
      <c r="BT2806" s="81"/>
    </row>
    <row r="2807" spans="65:72" x14ac:dyDescent="0.25">
      <c r="BM2807" s="81"/>
      <c r="BN2807" s="81"/>
      <c r="BO2807" s="81"/>
      <c r="BP2807" s="81"/>
      <c r="BQ2807" s="81"/>
      <c r="BR2807" s="81"/>
      <c r="BS2807" s="81"/>
      <c r="BT2807" s="81"/>
    </row>
    <row r="2808" spans="65:72" x14ac:dyDescent="0.25">
      <c r="BM2808" s="81"/>
      <c r="BN2808" s="81"/>
      <c r="BO2808" s="81"/>
      <c r="BP2808" s="81"/>
      <c r="BQ2808" s="81"/>
      <c r="BR2808" s="81"/>
      <c r="BS2808" s="81"/>
      <c r="BT2808" s="81"/>
    </row>
    <row r="2809" spans="65:72" x14ac:dyDescent="0.25">
      <c r="BM2809" s="81"/>
      <c r="BN2809" s="81"/>
      <c r="BO2809" s="81"/>
      <c r="BP2809" s="81"/>
      <c r="BQ2809" s="81"/>
      <c r="BR2809" s="81"/>
      <c r="BS2809" s="81"/>
      <c r="BT2809" s="81"/>
    </row>
    <row r="2810" spans="65:72" x14ac:dyDescent="0.25">
      <c r="BM2810" s="81"/>
      <c r="BN2810" s="81"/>
      <c r="BO2810" s="81"/>
      <c r="BP2810" s="81"/>
      <c r="BQ2810" s="81"/>
      <c r="BR2810" s="81"/>
      <c r="BS2810" s="81"/>
      <c r="BT2810" s="81"/>
    </row>
    <row r="2811" spans="65:72" x14ac:dyDescent="0.25">
      <c r="BM2811" s="81"/>
      <c r="BN2811" s="81"/>
      <c r="BO2811" s="81"/>
      <c r="BP2811" s="81"/>
      <c r="BQ2811" s="81"/>
      <c r="BR2811" s="81"/>
      <c r="BS2811" s="81"/>
      <c r="BT2811" s="81"/>
    </row>
    <row r="2812" spans="65:72" x14ac:dyDescent="0.25">
      <c r="BM2812" s="81"/>
      <c r="BN2812" s="81"/>
      <c r="BO2812" s="81"/>
      <c r="BP2812" s="81"/>
      <c r="BQ2812" s="81"/>
      <c r="BR2812" s="81"/>
      <c r="BS2812" s="81"/>
      <c r="BT2812" s="81"/>
    </row>
    <row r="2813" spans="65:72" x14ac:dyDescent="0.25">
      <c r="BM2813" s="81"/>
      <c r="BN2813" s="81"/>
      <c r="BO2813" s="81"/>
      <c r="BP2813" s="81"/>
      <c r="BQ2813" s="81"/>
      <c r="BR2813" s="81"/>
      <c r="BS2813" s="81"/>
      <c r="BT2813" s="81"/>
    </row>
    <row r="2814" spans="65:72" x14ac:dyDescent="0.25">
      <c r="BM2814" s="81"/>
      <c r="BN2814" s="81"/>
      <c r="BO2814" s="81"/>
      <c r="BP2814" s="81"/>
      <c r="BQ2814" s="81"/>
      <c r="BR2814" s="81"/>
      <c r="BS2814" s="81"/>
      <c r="BT2814" s="81"/>
    </row>
    <row r="2815" spans="65:72" x14ac:dyDescent="0.25">
      <c r="BM2815" s="81"/>
      <c r="BN2815" s="81"/>
      <c r="BO2815" s="81"/>
      <c r="BP2815" s="81"/>
      <c r="BQ2815" s="81"/>
      <c r="BR2815" s="81"/>
      <c r="BS2815" s="81"/>
      <c r="BT2815" s="81"/>
    </row>
    <row r="2816" spans="65:72" x14ac:dyDescent="0.25">
      <c r="BM2816" s="81"/>
      <c r="BN2816" s="81"/>
      <c r="BO2816" s="81"/>
      <c r="BP2816" s="81"/>
      <c r="BQ2816" s="81"/>
      <c r="BR2816" s="81"/>
      <c r="BS2816" s="81"/>
      <c r="BT2816" s="81"/>
    </row>
    <row r="2817" spans="65:72" x14ac:dyDescent="0.25">
      <c r="BM2817" s="81"/>
      <c r="BN2817" s="81"/>
      <c r="BO2817" s="81"/>
      <c r="BP2817" s="81"/>
      <c r="BQ2817" s="81"/>
      <c r="BR2817" s="81"/>
      <c r="BS2817" s="81"/>
      <c r="BT2817" s="81"/>
    </row>
    <row r="2818" spans="65:72" x14ac:dyDescent="0.25">
      <c r="BM2818" s="81"/>
      <c r="BN2818" s="81"/>
      <c r="BO2818" s="81"/>
      <c r="BP2818" s="81"/>
      <c r="BQ2818" s="81"/>
      <c r="BR2818" s="81"/>
      <c r="BS2818" s="81"/>
      <c r="BT2818" s="81"/>
    </row>
    <row r="2819" spans="65:72" x14ac:dyDescent="0.25">
      <c r="BM2819" s="81"/>
      <c r="BN2819" s="81"/>
      <c r="BO2819" s="81"/>
      <c r="BP2819" s="81"/>
      <c r="BQ2819" s="81"/>
      <c r="BR2819" s="81"/>
      <c r="BS2819" s="81"/>
      <c r="BT2819" s="81"/>
    </row>
    <row r="2820" spans="65:72" x14ac:dyDescent="0.25">
      <c r="BM2820" s="81"/>
      <c r="BN2820" s="81"/>
      <c r="BO2820" s="81"/>
      <c r="BP2820" s="81"/>
      <c r="BQ2820" s="81"/>
      <c r="BR2820" s="81"/>
      <c r="BS2820" s="81"/>
      <c r="BT2820" s="81"/>
    </row>
    <row r="2821" spans="65:72" x14ac:dyDescent="0.25">
      <c r="BM2821" s="81"/>
      <c r="BN2821" s="81"/>
      <c r="BO2821" s="81"/>
      <c r="BP2821" s="81"/>
      <c r="BQ2821" s="81"/>
      <c r="BR2821" s="81"/>
      <c r="BS2821" s="81"/>
      <c r="BT2821" s="81"/>
    </row>
    <row r="2822" spans="65:72" x14ac:dyDescent="0.25">
      <c r="BM2822" s="81"/>
      <c r="BN2822" s="81"/>
      <c r="BO2822" s="81"/>
      <c r="BP2822" s="81"/>
      <c r="BQ2822" s="81"/>
      <c r="BR2822" s="81"/>
      <c r="BS2822" s="81"/>
      <c r="BT2822" s="81"/>
    </row>
    <row r="2823" spans="65:72" x14ac:dyDescent="0.25">
      <c r="BM2823" s="81"/>
      <c r="BN2823" s="81"/>
      <c r="BO2823" s="81"/>
      <c r="BP2823" s="81"/>
      <c r="BQ2823" s="81"/>
      <c r="BR2823" s="81"/>
      <c r="BS2823" s="81"/>
      <c r="BT2823" s="81"/>
    </row>
    <row r="2824" spans="65:72" x14ac:dyDescent="0.25">
      <c r="BM2824" s="81"/>
      <c r="BN2824" s="81"/>
      <c r="BO2824" s="81"/>
      <c r="BP2824" s="81"/>
      <c r="BQ2824" s="81"/>
      <c r="BR2824" s="81"/>
      <c r="BS2824" s="81"/>
      <c r="BT2824" s="81"/>
    </row>
    <row r="2825" spans="65:72" x14ac:dyDescent="0.25">
      <c r="BM2825" s="81"/>
      <c r="BN2825" s="81"/>
      <c r="BO2825" s="81"/>
      <c r="BP2825" s="81"/>
      <c r="BQ2825" s="81"/>
      <c r="BR2825" s="81"/>
      <c r="BS2825" s="81"/>
      <c r="BT2825" s="81"/>
    </row>
    <row r="2826" spans="65:72" x14ac:dyDescent="0.25">
      <c r="BM2826" s="81"/>
      <c r="BN2826" s="81"/>
      <c r="BO2826" s="81"/>
      <c r="BP2826" s="81"/>
      <c r="BQ2826" s="81"/>
      <c r="BR2826" s="81"/>
      <c r="BS2826" s="81"/>
      <c r="BT2826" s="81"/>
    </row>
    <row r="2827" spans="65:72" x14ac:dyDescent="0.25">
      <c r="BM2827" s="81"/>
      <c r="BN2827" s="81"/>
      <c r="BO2827" s="81"/>
      <c r="BP2827" s="81"/>
      <c r="BQ2827" s="81"/>
      <c r="BR2827" s="81"/>
      <c r="BS2827" s="81"/>
      <c r="BT2827" s="81"/>
    </row>
    <row r="2828" spans="65:72" x14ac:dyDescent="0.25">
      <c r="BM2828" s="81"/>
      <c r="BN2828" s="81"/>
      <c r="BO2828" s="81"/>
      <c r="BP2828" s="81"/>
      <c r="BQ2828" s="81"/>
      <c r="BR2828" s="81"/>
      <c r="BS2828" s="81"/>
      <c r="BT2828" s="81"/>
    </row>
    <row r="2829" spans="65:72" x14ac:dyDescent="0.25">
      <c r="BM2829" s="81"/>
      <c r="BN2829" s="81"/>
      <c r="BO2829" s="81"/>
      <c r="BP2829" s="81"/>
      <c r="BQ2829" s="81"/>
      <c r="BR2829" s="81"/>
      <c r="BS2829" s="81"/>
      <c r="BT2829" s="81"/>
    </row>
    <row r="2830" spans="65:72" x14ac:dyDescent="0.25">
      <c r="BM2830" s="81"/>
      <c r="BN2830" s="81"/>
      <c r="BO2830" s="81"/>
      <c r="BP2830" s="81"/>
      <c r="BQ2830" s="81"/>
      <c r="BR2830" s="81"/>
      <c r="BS2830" s="81"/>
      <c r="BT2830" s="81"/>
    </row>
    <row r="2831" spans="65:72" x14ac:dyDescent="0.25">
      <c r="BM2831" s="81"/>
      <c r="BN2831" s="81"/>
      <c r="BO2831" s="81"/>
      <c r="BP2831" s="81"/>
      <c r="BQ2831" s="81"/>
      <c r="BR2831" s="81"/>
      <c r="BS2831" s="81"/>
      <c r="BT2831" s="81"/>
    </row>
    <row r="2832" spans="65:72" x14ac:dyDescent="0.25">
      <c r="BM2832" s="81"/>
      <c r="BN2832" s="81"/>
      <c r="BO2832" s="81"/>
      <c r="BP2832" s="81"/>
      <c r="BQ2832" s="81"/>
      <c r="BR2832" s="81"/>
      <c r="BS2832" s="81"/>
      <c r="BT2832" s="81"/>
    </row>
    <row r="2833" spans="65:72" x14ac:dyDescent="0.25">
      <c r="BM2833" s="81"/>
      <c r="BN2833" s="81"/>
      <c r="BO2833" s="81"/>
      <c r="BP2833" s="81"/>
      <c r="BQ2833" s="81"/>
      <c r="BR2833" s="81"/>
      <c r="BS2833" s="81"/>
      <c r="BT2833" s="81"/>
    </row>
    <row r="2834" spans="65:72" x14ac:dyDescent="0.25">
      <c r="BM2834" s="81"/>
      <c r="BN2834" s="81"/>
      <c r="BO2834" s="81"/>
      <c r="BP2834" s="81"/>
      <c r="BQ2834" s="81"/>
      <c r="BR2834" s="81"/>
      <c r="BS2834" s="81"/>
      <c r="BT2834" s="81"/>
    </row>
    <row r="2835" spans="65:72" x14ac:dyDescent="0.25">
      <c r="BM2835" s="81"/>
      <c r="BN2835" s="81"/>
      <c r="BO2835" s="81"/>
      <c r="BP2835" s="81"/>
      <c r="BQ2835" s="81"/>
      <c r="BR2835" s="81"/>
      <c r="BS2835" s="81"/>
      <c r="BT2835" s="81"/>
    </row>
    <row r="2836" spans="65:72" x14ac:dyDescent="0.25">
      <c r="BM2836" s="81"/>
      <c r="BN2836" s="81"/>
      <c r="BO2836" s="81"/>
      <c r="BP2836" s="81"/>
      <c r="BQ2836" s="81"/>
      <c r="BR2836" s="81"/>
      <c r="BS2836" s="81"/>
      <c r="BT2836" s="81"/>
    </row>
    <row r="2837" spans="65:72" x14ac:dyDescent="0.25">
      <c r="BM2837" s="81"/>
      <c r="BN2837" s="81"/>
      <c r="BO2837" s="81"/>
      <c r="BP2837" s="81"/>
      <c r="BQ2837" s="81"/>
      <c r="BR2837" s="81"/>
      <c r="BS2837" s="81"/>
      <c r="BT2837" s="81"/>
    </row>
    <row r="2838" spans="65:72" x14ac:dyDescent="0.25">
      <c r="BM2838" s="81"/>
      <c r="BN2838" s="81"/>
      <c r="BO2838" s="81"/>
      <c r="BP2838" s="81"/>
      <c r="BQ2838" s="81"/>
      <c r="BR2838" s="81"/>
      <c r="BS2838" s="81"/>
      <c r="BT2838" s="81"/>
    </row>
    <row r="2839" spans="65:72" x14ac:dyDescent="0.25">
      <c r="BM2839" s="81"/>
      <c r="BN2839" s="81"/>
      <c r="BO2839" s="81"/>
      <c r="BP2839" s="81"/>
      <c r="BQ2839" s="81"/>
      <c r="BR2839" s="81"/>
      <c r="BS2839" s="81"/>
      <c r="BT2839" s="81"/>
    </row>
    <row r="2840" spans="65:72" x14ac:dyDescent="0.25">
      <c r="BM2840" s="81"/>
      <c r="BN2840" s="81"/>
      <c r="BO2840" s="81"/>
      <c r="BP2840" s="81"/>
      <c r="BQ2840" s="81"/>
      <c r="BR2840" s="81"/>
      <c r="BS2840" s="81"/>
      <c r="BT2840" s="81"/>
    </row>
    <row r="2841" spans="65:72" x14ac:dyDescent="0.25">
      <c r="BM2841" s="81"/>
      <c r="BN2841" s="81"/>
      <c r="BO2841" s="81"/>
      <c r="BP2841" s="81"/>
      <c r="BQ2841" s="81"/>
      <c r="BR2841" s="81"/>
      <c r="BS2841" s="81"/>
      <c r="BT2841" s="81"/>
    </row>
    <row r="2842" spans="65:72" x14ac:dyDescent="0.25">
      <c r="BM2842" s="81"/>
      <c r="BN2842" s="81"/>
      <c r="BO2842" s="81"/>
      <c r="BP2842" s="81"/>
      <c r="BQ2842" s="81"/>
      <c r="BR2842" s="81"/>
      <c r="BS2842" s="81"/>
      <c r="BT2842" s="81"/>
    </row>
    <row r="2843" spans="65:72" x14ac:dyDescent="0.25">
      <c r="BM2843" s="81"/>
      <c r="BN2843" s="81"/>
      <c r="BO2843" s="81"/>
      <c r="BP2843" s="81"/>
      <c r="BQ2843" s="81"/>
      <c r="BR2843" s="81"/>
      <c r="BS2843" s="81"/>
      <c r="BT2843" s="81"/>
    </row>
    <row r="2844" spans="65:72" x14ac:dyDescent="0.25">
      <c r="BM2844" s="81"/>
      <c r="BN2844" s="81"/>
      <c r="BO2844" s="81"/>
      <c r="BP2844" s="81"/>
      <c r="BQ2844" s="81"/>
      <c r="BR2844" s="81"/>
      <c r="BS2844" s="81"/>
      <c r="BT2844" s="81"/>
    </row>
    <row r="2845" spans="65:72" x14ac:dyDescent="0.25">
      <c r="BM2845" s="81"/>
      <c r="BN2845" s="81"/>
      <c r="BO2845" s="81"/>
      <c r="BP2845" s="81"/>
      <c r="BQ2845" s="81"/>
      <c r="BR2845" s="81"/>
      <c r="BS2845" s="81"/>
      <c r="BT2845" s="81"/>
    </row>
    <row r="2846" spans="65:72" x14ac:dyDescent="0.25">
      <c r="BM2846" s="81"/>
      <c r="BN2846" s="81"/>
      <c r="BO2846" s="81"/>
      <c r="BP2846" s="81"/>
      <c r="BQ2846" s="81"/>
      <c r="BR2846" s="81"/>
      <c r="BS2846" s="81"/>
      <c r="BT2846" s="81"/>
    </row>
    <row r="2847" spans="65:72" x14ac:dyDescent="0.25">
      <c r="BM2847" s="81"/>
      <c r="BN2847" s="81"/>
      <c r="BO2847" s="81"/>
      <c r="BP2847" s="81"/>
      <c r="BQ2847" s="81"/>
      <c r="BR2847" s="81"/>
      <c r="BS2847" s="81"/>
      <c r="BT2847" s="81"/>
    </row>
    <row r="2848" spans="65:72" x14ac:dyDescent="0.25">
      <c r="BM2848" s="81"/>
      <c r="BN2848" s="81"/>
      <c r="BO2848" s="81"/>
      <c r="BP2848" s="81"/>
      <c r="BQ2848" s="81"/>
      <c r="BR2848" s="81"/>
      <c r="BS2848" s="81"/>
      <c r="BT2848" s="81"/>
    </row>
    <row r="2849" spans="65:72" x14ac:dyDescent="0.25">
      <c r="BM2849" s="81"/>
      <c r="BN2849" s="81"/>
      <c r="BO2849" s="81"/>
      <c r="BP2849" s="81"/>
      <c r="BQ2849" s="81"/>
      <c r="BR2849" s="81"/>
      <c r="BS2849" s="81"/>
      <c r="BT2849" s="81"/>
    </row>
    <row r="2850" spans="65:72" x14ac:dyDescent="0.25">
      <c r="BM2850" s="81"/>
      <c r="BN2850" s="81"/>
      <c r="BO2850" s="81"/>
      <c r="BP2850" s="81"/>
      <c r="BQ2850" s="81"/>
      <c r="BR2850" s="81"/>
      <c r="BS2850" s="81"/>
      <c r="BT2850" s="81"/>
    </row>
    <row r="2851" spans="65:72" x14ac:dyDescent="0.25">
      <c r="BM2851" s="81"/>
      <c r="BN2851" s="81"/>
      <c r="BO2851" s="81"/>
      <c r="BP2851" s="81"/>
      <c r="BQ2851" s="81"/>
      <c r="BR2851" s="81"/>
      <c r="BS2851" s="81"/>
      <c r="BT2851" s="81"/>
    </row>
    <row r="2852" spans="65:72" x14ac:dyDescent="0.25">
      <c r="BM2852" s="81"/>
      <c r="BN2852" s="81"/>
      <c r="BO2852" s="81"/>
      <c r="BP2852" s="81"/>
      <c r="BQ2852" s="81"/>
      <c r="BR2852" s="81"/>
      <c r="BS2852" s="81"/>
      <c r="BT2852" s="81"/>
    </row>
    <row r="2853" spans="65:72" x14ac:dyDescent="0.25">
      <c r="BM2853" s="81"/>
      <c r="BN2853" s="81"/>
      <c r="BO2853" s="81"/>
      <c r="BP2853" s="81"/>
      <c r="BQ2853" s="81"/>
      <c r="BR2853" s="81"/>
      <c r="BS2853" s="81"/>
      <c r="BT2853" s="81"/>
    </row>
    <row r="2854" spans="65:72" x14ac:dyDescent="0.25">
      <c r="BM2854" s="81"/>
      <c r="BN2854" s="81"/>
      <c r="BO2854" s="81"/>
      <c r="BP2854" s="81"/>
      <c r="BQ2854" s="81"/>
      <c r="BR2854" s="81"/>
      <c r="BS2854" s="81"/>
      <c r="BT2854" s="81"/>
    </row>
    <row r="2855" spans="65:72" x14ac:dyDescent="0.25">
      <c r="BM2855" s="81"/>
      <c r="BN2855" s="81"/>
      <c r="BO2855" s="81"/>
      <c r="BP2855" s="81"/>
      <c r="BQ2855" s="81"/>
      <c r="BR2855" s="81"/>
      <c r="BS2855" s="81"/>
      <c r="BT2855" s="81"/>
    </row>
    <row r="2856" spans="65:72" x14ac:dyDescent="0.25">
      <c r="BM2856" s="81"/>
      <c r="BN2856" s="81"/>
      <c r="BO2856" s="81"/>
      <c r="BP2856" s="81"/>
      <c r="BQ2856" s="81"/>
      <c r="BR2856" s="81"/>
      <c r="BS2856" s="81"/>
      <c r="BT2856" s="81"/>
    </row>
    <row r="2857" spans="65:72" x14ac:dyDescent="0.25">
      <c r="BM2857" s="81"/>
      <c r="BN2857" s="81"/>
      <c r="BO2857" s="81"/>
      <c r="BP2857" s="81"/>
      <c r="BQ2857" s="81"/>
      <c r="BR2857" s="81"/>
      <c r="BS2857" s="81"/>
      <c r="BT2857" s="81"/>
    </row>
    <row r="2858" spans="65:72" x14ac:dyDescent="0.25">
      <c r="BM2858" s="81"/>
      <c r="BN2858" s="81"/>
      <c r="BO2858" s="81"/>
      <c r="BP2858" s="81"/>
      <c r="BQ2858" s="81"/>
      <c r="BR2858" s="81"/>
      <c r="BS2858" s="81"/>
      <c r="BT2858" s="81"/>
    </row>
    <row r="2859" spans="65:72" x14ac:dyDescent="0.25">
      <c r="BM2859" s="81"/>
      <c r="BN2859" s="81"/>
      <c r="BO2859" s="81"/>
      <c r="BP2859" s="81"/>
      <c r="BQ2859" s="81"/>
      <c r="BR2859" s="81"/>
      <c r="BS2859" s="81"/>
      <c r="BT2859" s="81"/>
    </row>
    <row r="2860" spans="65:72" x14ac:dyDescent="0.25">
      <c r="BM2860" s="81"/>
      <c r="BN2860" s="81"/>
      <c r="BO2860" s="81"/>
      <c r="BP2860" s="81"/>
      <c r="BQ2860" s="81"/>
      <c r="BR2860" s="81"/>
      <c r="BS2860" s="81"/>
      <c r="BT2860" s="81"/>
    </row>
    <row r="2861" spans="65:72" x14ac:dyDescent="0.25">
      <c r="BM2861" s="81"/>
      <c r="BN2861" s="81"/>
      <c r="BO2861" s="81"/>
      <c r="BP2861" s="81"/>
      <c r="BQ2861" s="81"/>
      <c r="BR2861" s="81"/>
      <c r="BS2861" s="81"/>
      <c r="BT2861" s="81"/>
    </row>
    <row r="2862" spans="65:72" x14ac:dyDescent="0.25">
      <c r="BM2862" s="81"/>
      <c r="BN2862" s="81"/>
      <c r="BO2862" s="81"/>
      <c r="BP2862" s="81"/>
      <c r="BQ2862" s="81"/>
      <c r="BR2862" s="81"/>
      <c r="BS2862" s="81"/>
      <c r="BT2862" s="81"/>
    </row>
    <row r="2863" spans="65:72" x14ac:dyDescent="0.25">
      <c r="BM2863" s="81"/>
      <c r="BN2863" s="81"/>
      <c r="BO2863" s="81"/>
      <c r="BP2863" s="81"/>
      <c r="BQ2863" s="81"/>
      <c r="BR2863" s="81"/>
      <c r="BS2863" s="81"/>
      <c r="BT2863" s="81"/>
    </row>
    <row r="2864" spans="65:72" x14ac:dyDescent="0.25">
      <c r="BM2864" s="81"/>
      <c r="BN2864" s="81"/>
      <c r="BO2864" s="81"/>
      <c r="BP2864" s="81"/>
      <c r="BQ2864" s="81"/>
      <c r="BR2864" s="81"/>
      <c r="BS2864" s="81"/>
      <c r="BT2864" s="81"/>
    </row>
    <row r="2865" spans="65:72" x14ac:dyDescent="0.25">
      <c r="BM2865" s="81"/>
      <c r="BN2865" s="81"/>
      <c r="BO2865" s="81"/>
      <c r="BP2865" s="81"/>
      <c r="BQ2865" s="81"/>
      <c r="BR2865" s="81"/>
      <c r="BS2865" s="81"/>
      <c r="BT2865" s="81"/>
    </row>
    <row r="2866" spans="65:72" x14ac:dyDescent="0.25">
      <c r="BM2866" s="81"/>
      <c r="BN2866" s="81"/>
      <c r="BO2866" s="81"/>
      <c r="BP2866" s="81"/>
      <c r="BQ2866" s="81"/>
      <c r="BR2866" s="81"/>
      <c r="BS2866" s="81"/>
      <c r="BT2866" s="81"/>
    </row>
    <row r="2867" spans="65:72" x14ac:dyDescent="0.25">
      <c r="BM2867" s="81"/>
      <c r="BN2867" s="81"/>
      <c r="BO2867" s="81"/>
      <c r="BP2867" s="81"/>
      <c r="BQ2867" s="81"/>
      <c r="BR2867" s="81"/>
      <c r="BS2867" s="81"/>
      <c r="BT2867" s="81"/>
    </row>
    <row r="2868" spans="65:72" x14ac:dyDescent="0.25">
      <c r="BM2868" s="81"/>
      <c r="BN2868" s="81"/>
      <c r="BO2868" s="81"/>
      <c r="BP2868" s="81"/>
      <c r="BQ2868" s="81"/>
      <c r="BR2868" s="81"/>
      <c r="BS2868" s="81"/>
      <c r="BT2868" s="81"/>
    </row>
    <row r="2869" spans="65:72" x14ac:dyDescent="0.25">
      <c r="BM2869" s="81"/>
      <c r="BN2869" s="81"/>
      <c r="BO2869" s="81"/>
      <c r="BP2869" s="81"/>
      <c r="BQ2869" s="81"/>
      <c r="BR2869" s="81"/>
      <c r="BS2869" s="81"/>
      <c r="BT2869" s="81"/>
    </row>
    <row r="2870" spans="65:72" x14ac:dyDescent="0.25">
      <c r="BM2870" s="81"/>
      <c r="BN2870" s="81"/>
      <c r="BO2870" s="81"/>
      <c r="BP2870" s="81"/>
      <c r="BQ2870" s="81"/>
      <c r="BR2870" s="81"/>
      <c r="BS2870" s="81"/>
      <c r="BT2870" s="81"/>
    </row>
    <row r="2871" spans="65:72" x14ac:dyDescent="0.25">
      <c r="BM2871" s="81"/>
      <c r="BN2871" s="81"/>
      <c r="BO2871" s="81"/>
      <c r="BP2871" s="81"/>
      <c r="BQ2871" s="81"/>
      <c r="BR2871" s="81"/>
      <c r="BS2871" s="81"/>
      <c r="BT2871" s="81"/>
    </row>
    <row r="2872" spans="65:72" x14ac:dyDescent="0.25">
      <c r="BM2872" s="81"/>
      <c r="BN2872" s="81"/>
      <c r="BO2872" s="81"/>
      <c r="BP2872" s="81"/>
      <c r="BQ2872" s="81"/>
      <c r="BR2872" s="81"/>
      <c r="BS2872" s="81"/>
      <c r="BT2872" s="81"/>
    </row>
    <row r="2873" spans="65:72" x14ac:dyDescent="0.25">
      <c r="BM2873" s="81"/>
      <c r="BN2873" s="81"/>
      <c r="BO2873" s="81"/>
      <c r="BP2873" s="81"/>
      <c r="BQ2873" s="81"/>
      <c r="BR2873" s="81"/>
      <c r="BS2873" s="81"/>
      <c r="BT2873" s="81"/>
    </row>
    <row r="2874" spans="65:72" x14ac:dyDescent="0.25">
      <c r="BM2874" s="81"/>
      <c r="BN2874" s="81"/>
      <c r="BO2874" s="81"/>
      <c r="BP2874" s="81"/>
      <c r="BQ2874" s="81"/>
      <c r="BR2874" s="81"/>
      <c r="BS2874" s="81"/>
      <c r="BT2874" s="81"/>
    </row>
    <row r="2875" spans="65:72" x14ac:dyDescent="0.25">
      <c r="BM2875" s="81"/>
      <c r="BN2875" s="81"/>
      <c r="BO2875" s="81"/>
      <c r="BP2875" s="81"/>
      <c r="BQ2875" s="81"/>
      <c r="BR2875" s="81"/>
      <c r="BS2875" s="81"/>
      <c r="BT2875" s="81"/>
    </row>
    <row r="2876" spans="65:72" x14ac:dyDescent="0.25">
      <c r="BM2876" s="81"/>
      <c r="BN2876" s="81"/>
      <c r="BO2876" s="81"/>
      <c r="BP2876" s="81"/>
      <c r="BQ2876" s="81"/>
      <c r="BR2876" s="81"/>
      <c r="BS2876" s="81"/>
      <c r="BT2876" s="81"/>
    </row>
    <row r="2877" spans="65:72" x14ac:dyDescent="0.25">
      <c r="BM2877" s="81"/>
      <c r="BN2877" s="81"/>
      <c r="BO2877" s="81"/>
      <c r="BP2877" s="81"/>
      <c r="BQ2877" s="81"/>
      <c r="BR2877" s="81"/>
      <c r="BS2877" s="81"/>
      <c r="BT2877" s="81"/>
    </row>
    <row r="2878" spans="65:72" x14ac:dyDescent="0.25">
      <c r="BM2878" s="81"/>
      <c r="BN2878" s="81"/>
      <c r="BO2878" s="81"/>
      <c r="BP2878" s="81"/>
      <c r="BQ2878" s="81"/>
      <c r="BR2878" s="81"/>
      <c r="BS2878" s="81"/>
      <c r="BT2878" s="81"/>
    </row>
    <row r="2879" spans="65:72" x14ac:dyDescent="0.25">
      <c r="BM2879" s="81"/>
      <c r="BN2879" s="81"/>
      <c r="BO2879" s="81"/>
      <c r="BP2879" s="81"/>
      <c r="BQ2879" s="81"/>
      <c r="BR2879" s="81"/>
      <c r="BS2879" s="81"/>
      <c r="BT2879" s="81"/>
    </row>
    <row r="2880" spans="65:72" x14ac:dyDescent="0.25">
      <c r="BM2880" s="81"/>
      <c r="BN2880" s="81"/>
      <c r="BO2880" s="81"/>
      <c r="BP2880" s="81"/>
      <c r="BQ2880" s="81"/>
      <c r="BR2880" s="81"/>
      <c r="BS2880" s="81"/>
      <c r="BT2880" s="81"/>
    </row>
    <row r="2881" spans="65:72" x14ac:dyDescent="0.25">
      <c r="BM2881" s="81"/>
      <c r="BN2881" s="81"/>
      <c r="BO2881" s="81"/>
      <c r="BP2881" s="81"/>
      <c r="BQ2881" s="81"/>
      <c r="BR2881" s="81"/>
      <c r="BS2881" s="81"/>
      <c r="BT2881" s="81"/>
    </row>
    <row r="2882" spans="65:72" x14ac:dyDescent="0.25">
      <c r="BM2882" s="81"/>
      <c r="BN2882" s="81"/>
      <c r="BO2882" s="81"/>
      <c r="BP2882" s="81"/>
      <c r="BQ2882" s="81"/>
      <c r="BR2882" s="81"/>
      <c r="BS2882" s="81"/>
      <c r="BT2882" s="81"/>
    </row>
    <row r="2883" spans="65:72" x14ac:dyDescent="0.25">
      <c r="BM2883" s="81"/>
      <c r="BN2883" s="81"/>
      <c r="BO2883" s="81"/>
      <c r="BP2883" s="81"/>
      <c r="BQ2883" s="81"/>
      <c r="BR2883" s="81"/>
      <c r="BS2883" s="81"/>
      <c r="BT2883" s="81"/>
    </row>
    <row r="2884" spans="65:72" x14ac:dyDescent="0.25">
      <c r="BM2884" s="81"/>
      <c r="BN2884" s="81"/>
      <c r="BO2884" s="81"/>
      <c r="BP2884" s="81"/>
      <c r="BQ2884" s="81"/>
      <c r="BR2884" s="81"/>
      <c r="BS2884" s="81"/>
      <c r="BT2884" s="81"/>
    </row>
    <row r="2885" spans="65:72" x14ac:dyDescent="0.25">
      <c r="BM2885" s="81"/>
      <c r="BN2885" s="81"/>
      <c r="BO2885" s="81"/>
      <c r="BP2885" s="81"/>
      <c r="BQ2885" s="81"/>
      <c r="BR2885" s="81"/>
      <c r="BS2885" s="81"/>
      <c r="BT2885" s="81"/>
    </row>
    <row r="2886" spans="65:72" x14ac:dyDescent="0.25">
      <c r="BM2886" s="81"/>
      <c r="BN2886" s="81"/>
      <c r="BO2886" s="81"/>
      <c r="BP2886" s="81"/>
      <c r="BQ2886" s="81"/>
      <c r="BR2886" s="81"/>
      <c r="BS2886" s="81"/>
      <c r="BT2886" s="81"/>
    </row>
    <row r="2887" spans="65:72" x14ac:dyDescent="0.25">
      <c r="BM2887" s="81"/>
      <c r="BN2887" s="81"/>
      <c r="BO2887" s="81"/>
      <c r="BP2887" s="81"/>
      <c r="BQ2887" s="81"/>
      <c r="BR2887" s="81"/>
      <c r="BS2887" s="81"/>
      <c r="BT2887" s="81"/>
    </row>
    <row r="2888" spans="65:72" x14ac:dyDescent="0.25">
      <c r="BM2888" s="81"/>
      <c r="BN2888" s="81"/>
      <c r="BO2888" s="81"/>
      <c r="BP2888" s="81"/>
      <c r="BQ2888" s="81"/>
      <c r="BR2888" s="81"/>
      <c r="BS2888" s="81"/>
      <c r="BT2888" s="81"/>
    </row>
    <row r="2889" spans="65:72" x14ac:dyDescent="0.25">
      <c r="BM2889" s="81"/>
      <c r="BN2889" s="81"/>
      <c r="BO2889" s="81"/>
      <c r="BP2889" s="81"/>
      <c r="BQ2889" s="81"/>
      <c r="BR2889" s="81"/>
      <c r="BS2889" s="81"/>
      <c r="BT2889" s="81"/>
    </row>
    <row r="2890" spans="65:72" x14ac:dyDescent="0.25">
      <c r="BM2890" s="81"/>
      <c r="BN2890" s="81"/>
      <c r="BO2890" s="81"/>
      <c r="BP2890" s="81"/>
      <c r="BQ2890" s="81"/>
      <c r="BR2890" s="81"/>
      <c r="BS2890" s="81"/>
      <c r="BT2890" s="81"/>
    </row>
    <row r="2891" spans="65:72" x14ac:dyDescent="0.25">
      <c r="BM2891" s="81"/>
      <c r="BN2891" s="81"/>
      <c r="BO2891" s="81"/>
      <c r="BP2891" s="81"/>
      <c r="BQ2891" s="81"/>
      <c r="BR2891" s="81"/>
      <c r="BS2891" s="81"/>
      <c r="BT2891" s="81"/>
    </row>
    <row r="2892" spans="65:72" x14ac:dyDescent="0.25">
      <c r="BM2892" s="81"/>
      <c r="BN2892" s="81"/>
      <c r="BO2892" s="81"/>
      <c r="BP2892" s="81"/>
      <c r="BQ2892" s="81"/>
      <c r="BR2892" s="81"/>
      <c r="BS2892" s="81"/>
      <c r="BT2892" s="81"/>
    </row>
    <row r="2893" spans="65:72" x14ac:dyDescent="0.25">
      <c r="BM2893" s="81"/>
      <c r="BN2893" s="81"/>
      <c r="BO2893" s="81"/>
      <c r="BP2893" s="81"/>
      <c r="BQ2893" s="81"/>
      <c r="BR2893" s="81"/>
      <c r="BS2893" s="81"/>
      <c r="BT2893" s="81"/>
    </row>
    <row r="2894" spans="65:72" x14ac:dyDescent="0.25">
      <c r="BM2894" s="81"/>
      <c r="BN2894" s="81"/>
      <c r="BO2894" s="81"/>
      <c r="BP2894" s="81"/>
      <c r="BQ2894" s="81"/>
      <c r="BR2894" s="81"/>
      <c r="BS2894" s="81"/>
      <c r="BT2894" s="81"/>
    </row>
    <row r="2895" spans="65:72" x14ac:dyDescent="0.25">
      <c r="BM2895" s="81"/>
      <c r="BN2895" s="81"/>
      <c r="BO2895" s="81"/>
      <c r="BP2895" s="81"/>
      <c r="BQ2895" s="81"/>
      <c r="BR2895" s="81"/>
      <c r="BS2895" s="81"/>
      <c r="BT2895" s="81"/>
    </row>
    <row r="2896" spans="65:72" x14ac:dyDescent="0.25">
      <c r="BM2896" s="81"/>
      <c r="BN2896" s="81"/>
      <c r="BO2896" s="81"/>
      <c r="BP2896" s="81"/>
      <c r="BQ2896" s="81"/>
      <c r="BR2896" s="81"/>
      <c r="BS2896" s="81"/>
      <c r="BT2896" s="81"/>
    </row>
    <row r="2897" spans="65:72" x14ac:dyDescent="0.25">
      <c r="BM2897" s="81"/>
      <c r="BN2897" s="81"/>
      <c r="BO2897" s="81"/>
      <c r="BP2897" s="81"/>
      <c r="BQ2897" s="81"/>
      <c r="BR2897" s="81"/>
      <c r="BS2897" s="81"/>
      <c r="BT2897" s="81"/>
    </row>
    <row r="2898" spans="65:72" x14ac:dyDescent="0.25">
      <c r="BM2898" s="81"/>
      <c r="BN2898" s="81"/>
      <c r="BO2898" s="81"/>
      <c r="BP2898" s="81"/>
      <c r="BQ2898" s="81"/>
      <c r="BR2898" s="81"/>
      <c r="BS2898" s="81"/>
      <c r="BT2898" s="81"/>
    </row>
    <row r="2899" spans="65:72" x14ac:dyDescent="0.25">
      <c r="BM2899" s="81"/>
      <c r="BN2899" s="81"/>
      <c r="BO2899" s="81"/>
      <c r="BP2899" s="81"/>
      <c r="BQ2899" s="81"/>
      <c r="BR2899" s="81"/>
      <c r="BS2899" s="81"/>
      <c r="BT2899" s="81"/>
    </row>
    <row r="2900" spans="65:72" x14ac:dyDescent="0.25">
      <c r="BM2900" s="81"/>
      <c r="BN2900" s="81"/>
      <c r="BO2900" s="81"/>
      <c r="BP2900" s="81"/>
      <c r="BQ2900" s="81"/>
      <c r="BR2900" s="81"/>
      <c r="BS2900" s="81"/>
      <c r="BT2900" s="81"/>
    </row>
    <row r="2901" spans="65:72" x14ac:dyDescent="0.25">
      <c r="BM2901" s="81"/>
      <c r="BN2901" s="81"/>
      <c r="BO2901" s="81"/>
      <c r="BP2901" s="81"/>
      <c r="BQ2901" s="81"/>
      <c r="BR2901" s="81"/>
      <c r="BS2901" s="81"/>
      <c r="BT2901" s="81"/>
    </row>
    <row r="2902" spans="65:72" x14ac:dyDescent="0.25">
      <c r="BM2902" s="81"/>
      <c r="BN2902" s="81"/>
      <c r="BO2902" s="81"/>
      <c r="BP2902" s="81"/>
      <c r="BQ2902" s="81"/>
      <c r="BR2902" s="81"/>
      <c r="BS2902" s="81"/>
      <c r="BT2902" s="81"/>
    </row>
    <row r="2903" spans="65:72" x14ac:dyDescent="0.25">
      <c r="BM2903" s="81"/>
      <c r="BN2903" s="81"/>
      <c r="BO2903" s="81"/>
      <c r="BP2903" s="81"/>
      <c r="BQ2903" s="81"/>
      <c r="BR2903" s="81"/>
      <c r="BS2903" s="81"/>
      <c r="BT2903" s="81"/>
    </row>
    <row r="2904" spans="65:72" x14ac:dyDescent="0.25">
      <c r="BM2904" s="81"/>
      <c r="BN2904" s="81"/>
      <c r="BO2904" s="81"/>
      <c r="BP2904" s="81"/>
      <c r="BQ2904" s="81"/>
      <c r="BR2904" s="81"/>
      <c r="BS2904" s="81"/>
      <c r="BT2904" s="81"/>
    </row>
    <row r="2905" spans="65:72" x14ac:dyDescent="0.25">
      <c r="BM2905" s="81"/>
      <c r="BN2905" s="81"/>
      <c r="BO2905" s="81"/>
      <c r="BP2905" s="81"/>
      <c r="BQ2905" s="81"/>
      <c r="BR2905" s="81"/>
      <c r="BS2905" s="81"/>
      <c r="BT2905" s="81"/>
    </row>
    <row r="2906" spans="65:72" x14ac:dyDescent="0.25">
      <c r="BM2906" s="81"/>
      <c r="BN2906" s="81"/>
      <c r="BO2906" s="81"/>
      <c r="BP2906" s="81"/>
      <c r="BQ2906" s="81"/>
      <c r="BR2906" s="81"/>
      <c r="BS2906" s="81"/>
      <c r="BT2906" s="81"/>
    </row>
    <row r="2907" spans="65:72" x14ac:dyDescent="0.25">
      <c r="BM2907" s="81"/>
      <c r="BN2907" s="81"/>
      <c r="BO2907" s="81"/>
      <c r="BP2907" s="81"/>
      <c r="BQ2907" s="81"/>
      <c r="BR2907" s="81"/>
      <c r="BS2907" s="81"/>
      <c r="BT2907" s="81"/>
    </row>
    <row r="2908" spans="65:72" x14ac:dyDescent="0.25">
      <c r="BM2908" s="81"/>
      <c r="BN2908" s="81"/>
      <c r="BO2908" s="81"/>
      <c r="BP2908" s="81"/>
      <c r="BQ2908" s="81"/>
      <c r="BR2908" s="81"/>
      <c r="BS2908" s="81"/>
      <c r="BT2908" s="81"/>
    </row>
    <row r="2909" spans="65:72" x14ac:dyDescent="0.25">
      <c r="BM2909" s="81"/>
      <c r="BN2909" s="81"/>
      <c r="BO2909" s="81"/>
      <c r="BP2909" s="81"/>
      <c r="BQ2909" s="81"/>
      <c r="BR2909" s="81"/>
      <c r="BS2909" s="81"/>
      <c r="BT2909" s="81"/>
    </row>
    <row r="2910" spans="65:72" x14ac:dyDescent="0.25">
      <c r="BM2910" s="81"/>
      <c r="BN2910" s="81"/>
      <c r="BO2910" s="81"/>
      <c r="BP2910" s="81"/>
      <c r="BQ2910" s="81"/>
      <c r="BR2910" s="81"/>
      <c r="BS2910" s="81"/>
      <c r="BT2910" s="81"/>
    </row>
    <row r="2911" spans="65:72" x14ac:dyDescent="0.25">
      <c r="BM2911" s="81"/>
      <c r="BN2911" s="81"/>
      <c r="BO2911" s="81"/>
      <c r="BP2911" s="81"/>
      <c r="BQ2911" s="81"/>
      <c r="BR2911" s="81"/>
      <c r="BS2911" s="81"/>
      <c r="BT2911" s="81"/>
    </row>
    <row r="2912" spans="65:72" x14ac:dyDescent="0.25">
      <c r="BM2912" s="81"/>
      <c r="BN2912" s="81"/>
      <c r="BO2912" s="81"/>
      <c r="BP2912" s="81"/>
      <c r="BQ2912" s="81"/>
      <c r="BR2912" s="81"/>
      <c r="BS2912" s="81"/>
      <c r="BT2912" s="81"/>
    </row>
    <row r="2913" spans="65:72" x14ac:dyDescent="0.25">
      <c r="BM2913" s="81"/>
      <c r="BN2913" s="81"/>
      <c r="BO2913" s="81"/>
      <c r="BP2913" s="81"/>
      <c r="BQ2913" s="81"/>
      <c r="BR2913" s="81"/>
      <c r="BS2913" s="81"/>
      <c r="BT2913" s="81"/>
    </row>
    <row r="2914" spans="65:72" x14ac:dyDescent="0.25">
      <c r="BM2914" s="81"/>
      <c r="BN2914" s="81"/>
      <c r="BO2914" s="81"/>
      <c r="BP2914" s="81"/>
      <c r="BQ2914" s="81"/>
      <c r="BR2914" s="81"/>
      <c r="BS2914" s="81"/>
      <c r="BT2914" s="81"/>
    </row>
    <row r="2915" spans="65:72" x14ac:dyDescent="0.25">
      <c r="BM2915" s="81"/>
      <c r="BN2915" s="81"/>
      <c r="BO2915" s="81"/>
      <c r="BP2915" s="81"/>
      <c r="BQ2915" s="81"/>
      <c r="BR2915" s="81"/>
      <c r="BS2915" s="81"/>
      <c r="BT2915" s="81"/>
    </row>
    <row r="2916" spans="65:72" x14ac:dyDescent="0.25">
      <c r="BM2916" s="81"/>
      <c r="BN2916" s="81"/>
      <c r="BO2916" s="81"/>
      <c r="BP2916" s="81"/>
      <c r="BQ2916" s="81"/>
      <c r="BR2916" s="81"/>
      <c r="BS2916" s="81"/>
      <c r="BT2916" s="81"/>
    </row>
    <row r="2917" spans="65:72" x14ac:dyDescent="0.25">
      <c r="BM2917" s="81"/>
      <c r="BN2917" s="81"/>
      <c r="BO2917" s="81"/>
      <c r="BP2917" s="81"/>
      <c r="BQ2917" s="81"/>
      <c r="BR2917" s="81"/>
      <c r="BS2917" s="81"/>
      <c r="BT2917" s="81"/>
    </row>
    <row r="2918" spans="65:72" x14ac:dyDescent="0.25">
      <c r="BM2918" s="81"/>
      <c r="BN2918" s="81"/>
      <c r="BO2918" s="81"/>
      <c r="BP2918" s="81"/>
      <c r="BQ2918" s="81"/>
      <c r="BR2918" s="81"/>
      <c r="BS2918" s="81"/>
      <c r="BT2918" s="81"/>
    </row>
    <row r="2919" spans="65:72" x14ac:dyDescent="0.25">
      <c r="BM2919" s="81"/>
      <c r="BN2919" s="81"/>
      <c r="BO2919" s="81"/>
      <c r="BP2919" s="81"/>
      <c r="BQ2919" s="81"/>
      <c r="BR2919" s="81"/>
      <c r="BS2919" s="81"/>
      <c r="BT2919" s="81"/>
    </row>
    <row r="2920" spans="65:72" x14ac:dyDescent="0.25">
      <c r="BM2920" s="81"/>
      <c r="BN2920" s="81"/>
      <c r="BO2920" s="81"/>
      <c r="BP2920" s="81"/>
      <c r="BQ2920" s="81"/>
      <c r="BR2920" s="81"/>
      <c r="BS2920" s="81"/>
      <c r="BT2920" s="81"/>
    </row>
    <row r="2921" spans="65:72" x14ac:dyDescent="0.25">
      <c r="BM2921" s="81"/>
      <c r="BN2921" s="81"/>
      <c r="BO2921" s="81"/>
      <c r="BP2921" s="81"/>
      <c r="BQ2921" s="81"/>
      <c r="BR2921" s="81"/>
      <c r="BS2921" s="81"/>
      <c r="BT2921" s="81"/>
    </row>
    <row r="2922" spans="65:72" x14ac:dyDescent="0.25">
      <c r="BM2922" s="81"/>
      <c r="BN2922" s="81"/>
      <c r="BO2922" s="81"/>
      <c r="BP2922" s="81"/>
      <c r="BQ2922" s="81"/>
      <c r="BR2922" s="81"/>
      <c r="BS2922" s="81"/>
      <c r="BT2922" s="81"/>
    </row>
    <row r="2923" spans="65:72" x14ac:dyDescent="0.25">
      <c r="BM2923" s="81"/>
      <c r="BN2923" s="81"/>
      <c r="BO2923" s="81"/>
      <c r="BP2923" s="81"/>
      <c r="BQ2923" s="81"/>
      <c r="BR2923" s="81"/>
      <c r="BS2923" s="81"/>
      <c r="BT2923" s="81"/>
    </row>
    <row r="2924" spans="65:72" x14ac:dyDescent="0.25">
      <c r="BM2924" s="81"/>
      <c r="BN2924" s="81"/>
      <c r="BO2924" s="81"/>
      <c r="BP2924" s="81"/>
      <c r="BQ2924" s="81"/>
      <c r="BR2924" s="81"/>
      <c r="BS2924" s="81"/>
      <c r="BT2924" s="81"/>
    </row>
    <row r="2925" spans="65:72" x14ac:dyDescent="0.25">
      <c r="BM2925" s="81"/>
      <c r="BN2925" s="81"/>
      <c r="BO2925" s="81"/>
      <c r="BP2925" s="81"/>
      <c r="BQ2925" s="81"/>
      <c r="BR2925" s="81"/>
      <c r="BS2925" s="81"/>
      <c r="BT2925" s="81"/>
    </row>
    <row r="2926" spans="65:72" x14ac:dyDescent="0.25">
      <c r="BM2926" s="81"/>
      <c r="BN2926" s="81"/>
      <c r="BO2926" s="81"/>
      <c r="BP2926" s="81"/>
      <c r="BQ2926" s="81"/>
      <c r="BR2926" s="81"/>
      <c r="BS2926" s="81"/>
      <c r="BT2926" s="81"/>
    </row>
    <row r="2927" spans="65:72" x14ac:dyDescent="0.25">
      <c r="BM2927" s="81"/>
      <c r="BN2927" s="81"/>
      <c r="BO2927" s="81"/>
      <c r="BP2927" s="81"/>
      <c r="BQ2927" s="81"/>
      <c r="BR2927" s="81"/>
      <c r="BS2927" s="81"/>
      <c r="BT2927" s="81"/>
    </row>
    <row r="2928" spans="65:72" x14ac:dyDescent="0.25">
      <c r="BM2928" s="81"/>
      <c r="BN2928" s="81"/>
      <c r="BO2928" s="81"/>
      <c r="BP2928" s="81"/>
      <c r="BQ2928" s="81"/>
      <c r="BR2928" s="81"/>
      <c r="BS2928" s="81"/>
      <c r="BT2928" s="81"/>
    </row>
    <row r="2929" spans="65:72" x14ac:dyDescent="0.25">
      <c r="BM2929" s="81"/>
      <c r="BN2929" s="81"/>
      <c r="BO2929" s="81"/>
      <c r="BP2929" s="81"/>
      <c r="BQ2929" s="81"/>
      <c r="BR2929" s="81"/>
      <c r="BS2929" s="81"/>
      <c r="BT2929" s="81"/>
    </row>
    <row r="2930" spans="65:72" x14ac:dyDescent="0.25">
      <c r="BM2930" s="81"/>
      <c r="BN2930" s="81"/>
      <c r="BO2930" s="81"/>
      <c r="BP2930" s="81"/>
      <c r="BQ2930" s="81"/>
      <c r="BR2930" s="81"/>
      <c r="BS2930" s="81"/>
      <c r="BT2930" s="81"/>
    </row>
    <row r="2931" spans="65:72" x14ac:dyDescent="0.25">
      <c r="BM2931" s="81"/>
      <c r="BN2931" s="81"/>
      <c r="BO2931" s="81"/>
      <c r="BP2931" s="81"/>
      <c r="BQ2931" s="81"/>
      <c r="BR2931" s="81"/>
      <c r="BS2931" s="81"/>
      <c r="BT2931" s="81"/>
    </row>
    <row r="2932" spans="65:72" x14ac:dyDescent="0.25">
      <c r="BM2932" s="81"/>
      <c r="BN2932" s="81"/>
      <c r="BO2932" s="81"/>
      <c r="BP2932" s="81"/>
      <c r="BQ2932" s="81"/>
      <c r="BR2932" s="81"/>
      <c r="BS2932" s="81"/>
      <c r="BT2932" s="81"/>
    </row>
    <row r="2933" spans="65:72" x14ac:dyDescent="0.25">
      <c r="BM2933" s="81"/>
      <c r="BN2933" s="81"/>
      <c r="BO2933" s="81"/>
      <c r="BP2933" s="81"/>
      <c r="BQ2933" s="81"/>
      <c r="BR2933" s="81"/>
      <c r="BS2933" s="81"/>
      <c r="BT2933" s="81"/>
    </row>
    <row r="2934" spans="65:72" x14ac:dyDescent="0.25">
      <c r="BM2934" s="81"/>
      <c r="BN2934" s="81"/>
      <c r="BO2934" s="81"/>
      <c r="BP2934" s="81"/>
      <c r="BQ2934" s="81"/>
      <c r="BR2934" s="81"/>
      <c r="BS2934" s="81"/>
      <c r="BT2934" s="81"/>
    </row>
    <row r="2935" spans="65:72" x14ac:dyDescent="0.25">
      <c r="BM2935" s="81"/>
      <c r="BN2935" s="81"/>
      <c r="BO2935" s="81"/>
      <c r="BP2935" s="81"/>
      <c r="BQ2935" s="81"/>
      <c r="BR2935" s="81"/>
      <c r="BS2935" s="81"/>
      <c r="BT2935" s="81"/>
    </row>
    <row r="2936" spans="65:72" x14ac:dyDescent="0.25">
      <c r="BM2936" s="81"/>
      <c r="BN2936" s="81"/>
      <c r="BO2936" s="81"/>
      <c r="BP2936" s="81"/>
      <c r="BQ2936" s="81"/>
      <c r="BR2936" s="81"/>
      <c r="BS2936" s="81"/>
      <c r="BT2936" s="81"/>
    </row>
    <row r="2937" spans="65:72" x14ac:dyDescent="0.25">
      <c r="BM2937" s="81"/>
      <c r="BN2937" s="81"/>
      <c r="BO2937" s="81"/>
      <c r="BP2937" s="81"/>
      <c r="BQ2937" s="81"/>
      <c r="BR2937" s="81"/>
      <c r="BS2937" s="81"/>
      <c r="BT2937" s="81"/>
    </row>
    <row r="2938" spans="65:72" x14ac:dyDescent="0.25">
      <c r="BM2938" s="81"/>
      <c r="BN2938" s="81"/>
      <c r="BO2938" s="81"/>
      <c r="BP2938" s="81"/>
      <c r="BQ2938" s="81"/>
      <c r="BR2938" s="81"/>
      <c r="BS2938" s="81"/>
      <c r="BT2938" s="81"/>
    </row>
    <row r="2939" spans="65:72" x14ac:dyDescent="0.25">
      <c r="BM2939" s="81"/>
      <c r="BN2939" s="81"/>
      <c r="BO2939" s="81"/>
      <c r="BP2939" s="81"/>
      <c r="BQ2939" s="81"/>
      <c r="BR2939" s="81"/>
      <c r="BS2939" s="81"/>
      <c r="BT2939" s="81"/>
    </row>
    <row r="2940" spans="65:72" x14ac:dyDescent="0.25">
      <c r="BM2940" s="81"/>
      <c r="BN2940" s="81"/>
      <c r="BO2940" s="81"/>
      <c r="BP2940" s="81"/>
      <c r="BQ2940" s="81"/>
      <c r="BR2940" s="81"/>
      <c r="BS2940" s="81"/>
      <c r="BT2940" s="81"/>
    </row>
    <row r="2941" spans="65:72" x14ac:dyDescent="0.25">
      <c r="BM2941" s="81"/>
      <c r="BN2941" s="81"/>
      <c r="BO2941" s="81"/>
      <c r="BP2941" s="81"/>
      <c r="BQ2941" s="81"/>
      <c r="BR2941" s="81"/>
      <c r="BS2941" s="81"/>
      <c r="BT2941" s="81"/>
    </row>
    <row r="2942" spans="65:72" x14ac:dyDescent="0.25">
      <c r="BM2942" s="81"/>
      <c r="BN2942" s="81"/>
      <c r="BO2942" s="81"/>
      <c r="BP2942" s="81"/>
      <c r="BQ2942" s="81"/>
      <c r="BR2942" s="81"/>
      <c r="BS2942" s="81"/>
      <c r="BT2942" s="81"/>
    </row>
    <row r="2943" spans="65:72" x14ac:dyDescent="0.25">
      <c r="BM2943" s="81"/>
      <c r="BN2943" s="81"/>
      <c r="BO2943" s="81"/>
      <c r="BP2943" s="81"/>
      <c r="BQ2943" s="81"/>
      <c r="BR2943" s="81"/>
      <c r="BS2943" s="81"/>
      <c r="BT2943" s="81"/>
    </row>
    <row r="2944" spans="65:72" x14ac:dyDescent="0.25">
      <c r="BM2944" s="81"/>
      <c r="BN2944" s="81"/>
      <c r="BO2944" s="81"/>
      <c r="BP2944" s="81"/>
      <c r="BQ2944" s="81"/>
      <c r="BR2944" s="81"/>
      <c r="BS2944" s="81"/>
      <c r="BT2944" s="81"/>
    </row>
    <row r="2945" spans="65:72" x14ac:dyDescent="0.25">
      <c r="BM2945" s="81"/>
      <c r="BN2945" s="81"/>
      <c r="BO2945" s="81"/>
      <c r="BP2945" s="81"/>
      <c r="BQ2945" s="81"/>
      <c r="BR2945" s="81"/>
      <c r="BS2945" s="81"/>
      <c r="BT2945" s="81"/>
    </row>
    <row r="2946" spans="65:72" x14ac:dyDescent="0.25">
      <c r="BM2946" s="81"/>
      <c r="BN2946" s="81"/>
      <c r="BO2946" s="81"/>
      <c r="BP2946" s="81"/>
      <c r="BQ2946" s="81"/>
      <c r="BR2946" s="81"/>
      <c r="BS2946" s="81"/>
      <c r="BT2946" s="81"/>
    </row>
    <row r="2947" spans="65:72" x14ac:dyDescent="0.25">
      <c r="BM2947" s="81"/>
      <c r="BN2947" s="81"/>
      <c r="BO2947" s="81"/>
      <c r="BP2947" s="81"/>
      <c r="BQ2947" s="81"/>
      <c r="BR2947" s="81"/>
      <c r="BS2947" s="81"/>
      <c r="BT2947" s="81"/>
    </row>
    <row r="2948" spans="65:72" x14ac:dyDescent="0.25">
      <c r="BM2948" s="81"/>
      <c r="BN2948" s="81"/>
      <c r="BO2948" s="81"/>
      <c r="BP2948" s="81"/>
      <c r="BQ2948" s="81"/>
      <c r="BR2948" s="81"/>
      <c r="BS2948" s="81"/>
      <c r="BT2948" s="81"/>
    </row>
    <row r="2949" spans="65:72" x14ac:dyDescent="0.25">
      <c r="BM2949" s="81"/>
      <c r="BN2949" s="81"/>
      <c r="BO2949" s="81"/>
      <c r="BP2949" s="81"/>
      <c r="BQ2949" s="81"/>
      <c r="BR2949" s="81"/>
      <c r="BS2949" s="81"/>
      <c r="BT2949" s="81"/>
    </row>
    <row r="2950" spans="65:72" x14ac:dyDescent="0.25">
      <c r="BM2950" s="81"/>
      <c r="BN2950" s="81"/>
      <c r="BO2950" s="81"/>
      <c r="BP2950" s="81"/>
      <c r="BQ2950" s="81"/>
      <c r="BR2950" s="81"/>
      <c r="BS2950" s="81"/>
      <c r="BT2950" s="81"/>
    </row>
    <row r="2951" spans="65:72" x14ac:dyDescent="0.25">
      <c r="BM2951" s="81"/>
      <c r="BN2951" s="81"/>
      <c r="BO2951" s="81"/>
      <c r="BP2951" s="81"/>
      <c r="BQ2951" s="81"/>
      <c r="BR2951" s="81"/>
      <c r="BS2951" s="81"/>
      <c r="BT2951" s="81"/>
    </row>
    <row r="2952" spans="65:72" x14ac:dyDescent="0.25">
      <c r="BM2952" s="81"/>
      <c r="BN2952" s="81"/>
      <c r="BO2952" s="81"/>
      <c r="BP2952" s="81"/>
      <c r="BQ2952" s="81"/>
      <c r="BR2952" s="81"/>
      <c r="BS2952" s="81"/>
      <c r="BT2952" s="81"/>
    </row>
    <row r="2953" spans="65:72" x14ac:dyDescent="0.25">
      <c r="BM2953" s="81"/>
      <c r="BN2953" s="81"/>
      <c r="BO2953" s="81"/>
      <c r="BP2953" s="81"/>
      <c r="BQ2953" s="81"/>
      <c r="BR2953" s="81"/>
      <c r="BS2953" s="81"/>
      <c r="BT2953" s="81"/>
    </row>
    <row r="2954" spans="65:72" x14ac:dyDescent="0.25">
      <c r="BM2954" s="81"/>
      <c r="BN2954" s="81"/>
      <c r="BO2954" s="81"/>
      <c r="BP2954" s="81"/>
      <c r="BQ2954" s="81"/>
      <c r="BR2954" s="81"/>
      <c r="BS2954" s="81"/>
      <c r="BT2954" s="81"/>
    </row>
    <row r="2955" spans="65:72" x14ac:dyDescent="0.25">
      <c r="BM2955" s="81"/>
      <c r="BN2955" s="81"/>
      <c r="BO2955" s="81"/>
      <c r="BP2955" s="81"/>
      <c r="BQ2955" s="81"/>
      <c r="BR2955" s="81"/>
      <c r="BS2955" s="81"/>
      <c r="BT2955" s="81"/>
    </row>
    <row r="2956" spans="65:72" x14ac:dyDescent="0.25">
      <c r="BM2956" s="81"/>
      <c r="BN2956" s="81"/>
      <c r="BO2956" s="81"/>
      <c r="BP2956" s="81"/>
      <c r="BQ2956" s="81"/>
      <c r="BR2956" s="81"/>
      <c r="BS2956" s="81"/>
      <c r="BT2956" s="81"/>
    </row>
    <row r="2957" spans="65:72" x14ac:dyDescent="0.25">
      <c r="BM2957" s="81"/>
      <c r="BN2957" s="81"/>
      <c r="BO2957" s="81"/>
      <c r="BP2957" s="81"/>
      <c r="BQ2957" s="81"/>
      <c r="BR2957" s="81"/>
      <c r="BS2957" s="81"/>
      <c r="BT2957" s="81"/>
    </row>
    <row r="2958" spans="65:72" x14ac:dyDescent="0.25">
      <c r="BM2958" s="81"/>
      <c r="BN2958" s="81"/>
      <c r="BO2958" s="81"/>
      <c r="BP2958" s="81"/>
      <c r="BQ2958" s="81"/>
      <c r="BR2958" s="81"/>
      <c r="BS2958" s="81"/>
      <c r="BT2958" s="81"/>
    </row>
    <row r="2959" spans="65:72" x14ac:dyDescent="0.25">
      <c r="BM2959" s="81"/>
      <c r="BN2959" s="81"/>
      <c r="BO2959" s="81"/>
      <c r="BP2959" s="81"/>
      <c r="BQ2959" s="81"/>
      <c r="BR2959" s="81"/>
      <c r="BS2959" s="81"/>
      <c r="BT2959" s="81"/>
    </row>
    <row r="2960" spans="65:72" x14ac:dyDescent="0.25">
      <c r="BM2960" s="81"/>
      <c r="BN2960" s="81"/>
      <c r="BO2960" s="81"/>
      <c r="BP2960" s="81"/>
      <c r="BQ2960" s="81"/>
      <c r="BR2960" s="81"/>
      <c r="BS2960" s="81"/>
      <c r="BT2960" s="81"/>
    </row>
    <row r="2961" spans="65:72" x14ac:dyDescent="0.25">
      <c r="BM2961" s="81"/>
      <c r="BN2961" s="81"/>
      <c r="BO2961" s="81"/>
      <c r="BP2961" s="81"/>
      <c r="BQ2961" s="81"/>
      <c r="BR2961" s="81"/>
      <c r="BS2961" s="81"/>
      <c r="BT2961" s="81"/>
    </row>
    <row r="2962" spans="65:72" x14ac:dyDescent="0.25">
      <c r="BM2962" s="81"/>
      <c r="BN2962" s="81"/>
      <c r="BO2962" s="81"/>
      <c r="BP2962" s="81"/>
      <c r="BQ2962" s="81"/>
      <c r="BR2962" s="81"/>
      <c r="BS2962" s="81"/>
      <c r="BT2962" s="81"/>
    </row>
    <row r="2963" spans="65:72" x14ac:dyDescent="0.25">
      <c r="BM2963" s="81"/>
      <c r="BN2963" s="81"/>
      <c r="BO2963" s="81"/>
      <c r="BP2963" s="81"/>
      <c r="BQ2963" s="81"/>
      <c r="BR2963" s="81"/>
      <c r="BS2963" s="81"/>
      <c r="BT2963" s="81"/>
    </row>
    <row r="2964" spans="65:72" x14ac:dyDescent="0.25">
      <c r="BM2964" s="81"/>
      <c r="BN2964" s="81"/>
      <c r="BO2964" s="81"/>
      <c r="BP2964" s="81"/>
      <c r="BQ2964" s="81"/>
      <c r="BR2964" s="81"/>
      <c r="BS2964" s="81"/>
      <c r="BT2964" s="81"/>
    </row>
    <row r="2965" spans="65:72" x14ac:dyDescent="0.25">
      <c r="BM2965" s="81"/>
      <c r="BN2965" s="81"/>
      <c r="BO2965" s="81"/>
      <c r="BP2965" s="81"/>
      <c r="BQ2965" s="81"/>
      <c r="BR2965" s="81"/>
      <c r="BS2965" s="81"/>
      <c r="BT2965" s="81"/>
    </row>
    <row r="2966" spans="65:72" x14ac:dyDescent="0.25">
      <c r="BM2966" s="81"/>
      <c r="BN2966" s="81"/>
      <c r="BO2966" s="81"/>
      <c r="BP2966" s="81"/>
      <c r="BQ2966" s="81"/>
      <c r="BR2966" s="81"/>
      <c r="BS2966" s="81"/>
      <c r="BT2966" s="81"/>
    </row>
    <row r="2967" spans="65:72" x14ac:dyDescent="0.25">
      <c r="BM2967" s="81"/>
      <c r="BN2967" s="81"/>
      <c r="BO2967" s="81"/>
      <c r="BP2967" s="81"/>
      <c r="BQ2967" s="81"/>
      <c r="BR2967" s="81"/>
      <c r="BS2967" s="81"/>
      <c r="BT2967" s="81"/>
    </row>
    <row r="2968" spans="65:72" x14ac:dyDescent="0.25">
      <c r="BM2968" s="81"/>
      <c r="BN2968" s="81"/>
      <c r="BO2968" s="81"/>
      <c r="BP2968" s="81"/>
      <c r="BQ2968" s="81"/>
      <c r="BR2968" s="81"/>
      <c r="BS2968" s="81"/>
      <c r="BT2968" s="81"/>
    </row>
    <row r="2969" spans="65:72" x14ac:dyDescent="0.25">
      <c r="BM2969" s="81"/>
      <c r="BN2969" s="81"/>
      <c r="BO2969" s="81"/>
      <c r="BP2969" s="81"/>
      <c r="BQ2969" s="81"/>
      <c r="BR2969" s="81"/>
      <c r="BS2969" s="81"/>
      <c r="BT2969" s="81"/>
    </row>
    <row r="2970" spans="65:72" x14ac:dyDescent="0.25">
      <c r="BM2970" s="81"/>
      <c r="BN2970" s="81"/>
      <c r="BO2970" s="81"/>
      <c r="BP2970" s="81"/>
      <c r="BQ2970" s="81"/>
      <c r="BR2970" s="81"/>
      <c r="BS2970" s="81"/>
      <c r="BT2970" s="81"/>
    </row>
    <row r="2971" spans="65:72" x14ac:dyDescent="0.25">
      <c r="BM2971" s="81"/>
      <c r="BN2971" s="81"/>
      <c r="BO2971" s="81"/>
      <c r="BP2971" s="81"/>
      <c r="BQ2971" s="81"/>
      <c r="BR2971" s="81"/>
      <c r="BS2971" s="81"/>
      <c r="BT2971" s="81"/>
    </row>
    <row r="2972" spans="65:72" x14ac:dyDescent="0.25">
      <c r="BM2972" s="81"/>
      <c r="BN2972" s="81"/>
      <c r="BO2972" s="81"/>
      <c r="BP2972" s="81"/>
      <c r="BQ2972" s="81"/>
      <c r="BR2972" s="81"/>
      <c r="BS2972" s="81"/>
      <c r="BT2972" s="81"/>
    </row>
    <row r="2973" spans="65:72" x14ac:dyDescent="0.25">
      <c r="BM2973" s="81"/>
      <c r="BN2973" s="81"/>
      <c r="BO2973" s="81"/>
      <c r="BP2973" s="81"/>
      <c r="BQ2973" s="81"/>
      <c r="BR2973" s="81"/>
      <c r="BS2973" s="81"/>
      <c r="BT2973" s="81"/>
    </row>
    <row r="2974" spans="65:72" x14ac:dyDescent="0.25">
      <c r="BM2974" s="81"/>
      <c r="BN2974" s="81"/>
      <c r="BO2974" s="81"/>
      <c r="BP2974" s="81"/>
      <c r="BQ2974" s="81"/>
      <c r="BR2974" s="81"/>
      <c r="BS2974" s="81"/>
      <c r="BT2974" s="81"/>
    </row>
    <row r="2975" spans="65:72" x14ac:dyDescent="0.25">
      <c r="BM2975" s="81"/>
      <c r="BN2975" s="81"/>
      <c r="BO2975" s="81"/>
      <c r="BP2975" s="81"/>
      <c r="BQ2975" s="81"/>
      <c r="BR2975" s="81"/>
      <c r="BS2975" s="81"/>
      <c r="BT2975" s="81"/>
    </row>
    <row r="2976" spans="65:72" x14ac:dyDescent="0.25">
      <c r="BM2976" s="81"/>
      <c r="BN2976" s="81"/>
      <c r="BO2976" s="81"/>
      <c r="BP2976" s="81"/>
      <c r="BQ2976" s="81"/>
      <c r="BR2976" s="81"/>
      <c r="BS2976" s="81"/>
      <c r="BT2976" s="81"/>
    </row>
    <row r="2977" spans="65:72" x14ac:dyDescent="0.25">
      <c r="BM2977" s="81"/>
      <c r="BN2977" s="81"/>
      <c r="BO2977" s="81"/>
      <c r="BP2977" s="81"/>
      <c r="BQ2977" s="81"/>
      <c r="BR2977" s="81"/>
      <c r="BS2977" s="81"/>
      <c r="BT2977" s="81"/>
    </row>
    <row r="2978" spans="65:72" x14ac:dyDescent="0.25">
      <c r="BM2978" s="81"/>
      <c r="BN2978" s="81"/>
      <c r="BO2978" s="81"/>
      <c r="BP2978" s="81"/>
      <c r="BQ2978" s="81"/>
      <c r="BR2978" s="81"/>
      <c r="BS2978" s="81"/>
      <c r="BT2978" s="81"/>
    </row>
    <row r="2979" spans="65:72" x14ac:dyDescent="0.25">
      <c r="BM2979" s="81"/>
      <c r="BN2979" s="81"/>
      <c r="BO2979" s="81"/>
      <c r="BP2979" s="81"/>
      <c r="BQ2979" s="81"/>
      <c r="BR2979" s="81"/>
      <c r="BS2979" s="81"/>
      <c r="BT2979" s="81"/>
    </row>
    <row r="2980" spans="65:72" x14ac:dyDescent="0.25">
      <c r="BM2980" s="81"/>
      <c r="BN2980" s="81"/>
      <c r="BO2980" s="81"/>
      <c r="BP2980" s="81"/>
      <c r="BQ2980" s="81"/>
      <c r="BR2980" s="81"/>
      <c r="BS2980" s="81"/>
      <c r="BT2980" s="81"/>
    </row>
    <row r="2981" spans="65:72" x14ac:dyDescent="0.25">
      <c r="BM2981" s="81"/>
      <c r="BN2981" s="81"/>
      <c r="BO2981" s="81"/>
      <c r="BP2981" s="81"/>
      <c r="BQ2981" s="81"/>
      <c r="BR2981" s="81"/>
      <c r="BS2981" s="81"/>
      <c r="BT2981" s="81"/>
    </row>
    <row r="2982" spans="65:72" x14ac:dyDescent="0.25">
      <c r="BM2982" s="81"/>
      <c r="BN2982" s="81"/>
      <c r="BO2982" s="81"/>
      <c r="BP2982" s="81"/>
      <c r="BQ2982" s="81"/>
      <c r="BR2982" s="81"/>
      <c r="BS2982" s="81"/>
      <c r="BT2982" s="81"/>
    </row>
    <row r="2983" spans="65:72" x14ac:dyDescent="0.25">
      <c r="BM2983" s="81"/>
      <c r="BN2983" s="81"/>
      <c r="BO2983" s="81"/>
      <c r="BP2983" s="81"/>
      <c r="BQ2983" s="81"/>
      <c r="BR2983" s="81"/>
      <c r="BS2983" s="81"/>
      <c r="BT2983" s="81"/>
    </row>
    <row r="2984" spans="65:72" x14ac:dyDescent="0.25">
      <c r="BM2984" s="81"/>
      <c r="BN2984" s="81"/>
      <c r="BO2984" s="81"/>
      <c r="BP2984" s="81"/>
      <c r="BQ2984" s="81"/>
      <c r="BR2984" s="81"/>
      <c r="BS2984" s="81"/>
      <c r="BT2984" s="81"/>
    </row>
    <row r="2985" spans="65:72" x14ac:dyDescent="0.25">
      <c r="BM2985" s="81"/>
      <c r="BN2985" s="81"/>
      <c r="BO2985" s="81"/>
      <c r="BP2985" s="81"/>
      <c r="BQ2985" s="81"/>
      <c r="BR2985" s="81"/>
      <c r="BS2985" s="81"/>
      <c r="BT2985" s="81"/>
    </row>
    <row r="2986" spans="65:72" x14ac:dyDescent="0.25">
      <c r="BM2986" s="81"/>
      <c r="BN2986" s="81"/>
      <c r="BO2986" s="81"/>
      <c r="BP2986" s="81"/>
      <c r="BQ2986" s="81"/>
      <c r="BR2986" s="81"/>
      <c r="BS2986" s="81"/>
      <c r="BT2986" s="81"/>
    </row>
    <row r="2987" spans="65:72" x14ac:dyDescent="0.25">
      <c r="BM2987" s="81"/>
      <c r="BN2987" s="81"/>
      <c r="BO2987" s="81"/>
      <c r="BP2987" s="81"/>
      <c r="BQ2987" s="81"/>
      <c r="BR2987" s="81"/>
      <c r="BS2987" s="81"/>
      <c r="BT2987" s="81"/>
    </row>
    <row r="2988" spans="65:72" x14ac:dyDescent="0.25">
      <c r="BM2988" s="81"/>
      <c r="BN2988" s="81"/>
      <c r="BO2988" s="81"/>
      <c r="BP2988" s="81"/>
      <c r="BQ2988" s="81"/>
      <c r="BR2988" s="81"/>
      <c r="BS2988" s="81"/>
      <c r="BT2988" s="81"/>
    </row>
    <row r="2989" spans="65:72" x14ac:dyDescent="0.25">
      <c r="BM2989" s="81"/>
      <c r="BN2989" s="81"/>
      <c r="BO2989" s="81"/>
      <c r="BP2989" s="81"/>
      <c r="BQ2989" s="81"/>
      <c r="BR2989" s="81"/>
      <c r="BS2989" s="81"/>
      <c r="BT2989" s="81"/>
    </row>
    <row r="2990" spans="65:72" x14ac:dyDescent="0.25">
      <c r="BM2990" s="81"/>
      <c r="BN2990" s="81"/>
      <c r="BO2990" s="81"/>
      <c r="BP2990" s="81"/>
      <c r="BQ2990" s="81"/>
      <c r="BR2990" s="81"/>
      <c r="BS2990" s="81"/>
      <c r="BT2990" s="81"/>
    </row>
    <row r="2991" spans="65:72" x14ac:dyDescent="0.25">
      <c r="BM2991" s="81"/>
      <c r="BN2991" s="81"/>
      <c r="BO2991" s="81"/>
      <c r="BP2991" s="81"/>
      <c r="BQ2991" s="81"/>
      <c r="BR2991" s="81"/>
      <c r="BS2991" s="81"/>
      <c r="BT2991" s="81"/>
    </row>
    <row r="2992" spans="65:72" x14ac:dyDescent="0.25">
      <c r="BM2992" s="81"/>
      <c r="BN2992" s="81"/>
      <c r="BO2992" s="81"/>
      <c r="BP2992" s="81"/>
      <c r="BQ2992" s="81"/>
      <c r="BR2992" s="81"/>
      <c r="BS2992" s="81"/>
      <c r="BT2992" s="81"/>
    </row>
    <row r="2993" spans="65:72" x14ac:dyDescent="0.25">
      <c r="BM2993" s="81"/>
      <c r="BN2993" s="81"/>
      <c r="BO2993" s="81"/>
      <c r="BP2993" s="81"/>
      <c r="BQ2993" s="81"/>
      <c r="BR2993" s="81"/>
      <c r="BS2993" s="81"/>
      <c r="BT2993" s="81"/>
    </row>
    <row r="2994" spans="65:72" x14ac:dyDescent="0.25">
      <c r="BM2994" s="81"/>
      <c r="BN2994" s="81"/>
      <c r="BO2994" s="81"/>
      <c r="BP2994" s="81"/>
      <c r="BQ2994" s="81"/>
      <c r="BR2994" s="81"/>
      <c r="BS2994" s="81"/>
      <c r="BT2994" s="81"/>
    </row>
    <row r="2995" spans="65:72" x14ac:dyDescent="0.25">
      <c r="BM2995" s="81"/>
      <c r="BN2995" s="81"/>
      <c r="BO2995" s="81"/>
      <c r="BP2995" s="81"/>
      <c r="BQ2995" s="81"/>
      <c r="BR2995" s="81"/>
      <c r="BS2995" s="81"/>
      <c r="BT2995" s="81"/>
    </row>
    <row r="2996" spans="65:72" x14ac:dyDescent="0.25">
      <c r="BM2996" s="81"/>
      <c r="BN2996" s="81"/>
      <c r="BO2996" s="81"/>
      <c r="BP2996" s="81"/>
      <c r="BQ2996" s="81"/>
      <c r="BR2996" s="81"/>
      <c r="BS2996" s="81"/>
      <c r="BT2996" s="81"/>
    </row>
    <row r="2997" spans="65:72" x14ac:dyDescent="0.25">
      <c r="BM2997" s="81"/>
      <c r="BN2997" s="81"/>
      <c r="BO2997" s="81"/>
      <c r="BP2997" s="81"/>
      <c r="BQ2997" s="81"/>
      <c r="BR2997" s="81"/>
      <c r="BS2997" s="81"/>
      <c r="BT2997" s="81"/>
    </row>
    <row r="2998" spans="65:72" x14ac:dyDescent="0.25">
      <c r="BM2998" s="81"/>
      <c r="BN2998" s="81"/>
      <c r="BO2998" s="81"/>
      <c r="BP2998" s="81"/>
      <c r="BQ2998" s="81"/>
      <c r="BR2998" s="81"/>
      <c r="BS2998" s="81"/>
      <c r="BT2998" s="81"/>
    </row>
    <row r="2999" spans="65:72" x14ac:dyDescent="0.25">
      <c r="BM2999" s="81"/>
      <c r="BN2999" s="81"/>
      <c r="BO2999" s="81"/>
      <c r="BP2999" s="81"/>
      <c r="BQ2999" s="81"/>
      <c r="BR2999" s="81"/>
      <c r="BS2999" s="81"/>
      <c r="BT2999" s="81"/>
    </row>
    <row r="3000" spans="65:72" x14ac:dyDescent="0.25">
      <c r="BM3000" s="81"/>
      <c r="BN3000" s="81"/>
      <c r="BO3000" s="81"/>
      <c r="BP3000" s="81"/>
      <c r="BQ3000" s="81"/>
      <c r="BR3000" s="81"/>
      <c r="BS3000" s="81"/>
      <c r="BT3000" s="81"/>
    </row>
    <row r="3001" spans="65:72" x14ac:dyDescent="0.25">
      <c r="BM3001" s="81"/>
      <c r="BN3001" s="81"/>
      <c r="BO3001" s="81"/>
      <c r="BP3001" s="81"/>
      <c r="BQ3001" s="81"/>
      <c r="BR3001" s="81"/>
      <c r="BS3001" s="81"/>
      <c r="BT3001" s="81"/>
    </row>
    <row r="3002" spans="65:72" x14ac:dyDescent="0.25">
      <c r="BM3002" s="81"/>
      <c r="BN3002" s="81"/>
      <c r="BO3002" s="81"/>
      <c r="BP3002" s="81"/>
      <c r="BQ3002" s="81"/>
      <c r="BR3002" s="81"/>
      <c r="BS3002" s="81"/>
      <c r="BT3002" s="81"/>
    </row>
    <row r="3003" spans="65:72" x14ac:dyDescent="0.25">
      <c r="BM3003" s="81"/>
      <c r="BN3003" s="81"/>
      <c r="BO3003" s="81"/>
      <c r="BP3003" s="81"/>
      <c r="BQ3003" s="81"/>
      <c r="BR3003" s="81"/>
      <c r="BS3003" s="81"/>
      <c r="BT3003" s="81"/>
    </row>
    <row r="3004" spans="65:72" x14ac:dyDescent="0.25">
      <c r="BM3004" s="81"/>
      <c r="BN3004" s="81"/>
      <c r="BO3004" s="81"/>
      <c r="BP3004" s="81"/>
      <c r="BQ3004" s="81"/>
      <c r="BR3004" s="81"/>
      <c r="BS3004" s="81"/>
      <c r="BT3004" s="81"/>
    </row>
    <row r="3005" spans="65:72" x14ac:dyDescent="0.25">
      <c r="BM3005" s="81"/>
      <c r="BN3005" s="81"/>
      <c r="BO3005" s="81"/>
      <c r="BP3005" s="81"/>
      <c r="BQ3005" s="81"/>
      <c r="BR3005" s="81"/>
      <c r="BS3005" s="81"/>
      <c r="BT3005" s="81"/>
    </row>
    <row r="3006" spans="65:72" x14ac:dyDescent="0.25">
      <c r="BM3006" s="81"/>
      <c r="BN3006" s="81"/>
      <c r="BO3006" s="81"/>
      <c r="BP3006" s="81"/>
      <c r="BQ3006" s="81"/>
      <c r="BR3006" s="81"/>
      <c r="BS3006" s="81"/>
      <c r="BT3006" s="81"/>
    </row>
    <row r="3007" spans="65:72" x14ac:dyDescent="0.25">
      <c r="BM3007" s="81"/>
      <c r="BN3007" s="81"/>
      <c r="BO3007" s="81"/>
      <c r="BP3007" s="81"/>
      <c r="BQ3007" s="81"/>
      <c r="BR3007" s="81"/>
      <c r="BS3007" s="81"/>
      <c r="BT3007" s="81"/>
    </row>
    <row r="3008" spans="65:72" x14ac:dyDescent="0.25">
      <c r="BM3008" s="81"/>
      <c r="BN3008" s="81"/>
      <c r="BO3008" s="81"/>
      <c r="BP3008" s="81"/>
      <c r="BQ3008" s="81"/>
      <c r="BR3008" s="81"/>
      <c r="BS3008" s="81"/>
      <c r="BT3008" s="81"/>
    </row>
    <row r="3009" spans="65:72" x14ac:dyDescent="0.25">
      <c r="BM3009" s="81"/>
      <c r="BN3009" s="81"/>
      <c r="BO3009" s="81"/>
      <c r="BP3009" s="81"/>
      <c r="BQ3009" s="81"/>
      <c r="BR3009" s="81"/>
      <c r="BS3009" s="81"/>
      <c r="BT3009" s="81"/>
    </row>
    <row r="3010" spans="65:72" x14ac:dyDescent="0.25">
      <c r="BM3010" s="81"/>
      <c r="BN3010" s="81"/>
      <c r="BO3010" s="81"/>
      <c r="BP3010" s="81"/>
      <c r="BQ3010" s="81"/>
      <c r="BR3010" s="81"/>
      <c r="BS3010" s="81"/>
      <c r="BT3010" s="81"/>
    </row>
    <row r="3011" spans="65:72" x14ac:dyDescent="0.25">
      <c r="BM3011" s="81"/>
      <c r="BN3011" s="81"/>
      <c r="BO3011" s="81"/>
      <c r="BP3011" s="81"/>
      <c r="BQ3011" s="81"/>
      <c r="BR3011" s="81"/>
      <c r="BS3011" s="81"/>
      <c r="BT3011" s="81"/>
    </row>
    <row r="3012" spans="65:72" x14ac:dyDescent="0.25">
      <c r="BM3012" s="81"/>
      <c r="BN3012" s="81"/>
      <c r="BO3012" s="81"/>
      <c r="BP3012" s="81"/>
      <c r="BQ3012" s="81"/>
      <c r="BR3012" s="81"/>
      <c r="BS3012" s="81"/>
      <c r="BT3012" s="81"/>
    </row>
    <row r="3013" spans="65:72" x14ac:dyDescent="0.25">
      <c r="BM3013" s="81"/>
      <c r="BN3013" s="81"/>
      <c r="BO3013" s="81"/>
      <c r="BP3013" s="81"/>
      <c r="BQ3013" s="81"/>
      <c r="BR3013" s="81"/>
      <c r="BS3013" s="81"/>
      <c r="BT3013" s="81"/>
    </row>
    <row r="3014" spans="65:72" x14ac:dyDescent="0.25">
      <c r="BM3014" s="81"/>
      <c r="BN3014" s="81"/>
      <c r="BO3014" s="81"/>
      <c r="BP3014" s="81"/>
      <c r="BQ3014" s="81"/>
      <c r="BR3014" s="81"/>
      <c r="BS3014" s="81"/>
      <c r="BT3014" s="81"/>
    </row>
    <row r="3015" spans="65:72" x14ac:dyDescent="0.25">
      <c r="BM3015" s="81"/>
      <c r="BN3015" s="81"/>
      <c r="BO3015" s="81"/>
      <c r="BP3015" s="81"/>
      <c r="BQ3015" s="81"/>
      <c r="BR3015" s="81"/>
      <c r="BS3015" s="81"/>
      <c r="BT3015" s="81"/>
    </row>
    <row r="3016" spans="65:72" x14ac:dyDescent="0.25">
      <c r="BM3016" s="81"/>
      <c r="BN3016" s="81"/>
      <c r="BO3016" s="81"/>
      <c r="BP3016" s="81"/>
      <c r="BQ3016" s="81"/>
      <c r="BR3016" s="81"/>
      <c r="BS3016" s="81"/>
      <c r="BT3016" s="81"/>
    </row>
    <row r="3017" spans="65:72" x14ac:dyDescent="0.25">
      <c r="BM3017" s="81"/>
      <c r="BN3017" s="81"/>
      <c r="BO3017" s="81"/>
      <c r="BP3017" s="81"/>
      <c r="BQ3017" s="81"/>
      <c r="BR3017" s="81"/>
      <c r="BS3017" s="81"/>
      <c r="BT3017" s="81"/>
    </row>
    <row r="3018" spans="65:72" x14ac:dyDescent="0.25">
      <c r="BM3018" s="81"/>
      <c r="BN3018" s="81"/>
      <c r="BO3018" s="81"/>
      <c r="BP3018" s="81"/>
      <c r="BQ3018" s="81"/>
      <c r="BR3018" s="81"/>
      <c r="BS3018" s="81"/>
      <c r="BT3018" s="81"/>
    </row>
    <row r="3019" spans="65:72" x14ac:dyDescent="0.25">
      <c r="BM3019" s="81"/>
      <c r="BN3019" s="81"/>
      <c r="BO3019" s="81"/>
      <c r="BP3019" s="81"/>
      <c r="BQ3019" s="81"/>
      <c r="BR3019" s="81"/>
      <c r="BS3019" s="81"/>
      <c r="BT3019" s="81"/>
    </row>
    <row r="3020" spans="65:72" x14ac:dyDescent="0.25">
      <c r="BM3020" s="81"/>
      <c r="BN3020" s="81"/>
      <c r="BO3020" s="81"/>
      <c r="BP3020" s="81"/>
      <c r="BQ3020" s="81"/>
      <c r="BR3020" s="81"/>
      <c r="BS3020" s="81"/>
      <c r="BT3020" s="81"/>
    </row>
    <row r="3021" spans="65:72" x14ac:dyDescent="0.25">
      <c r="BM3021" s="81"/>
      <c r="BN3021" s="81"/>
      <c r="BO3021" s="81"/>
      <c r="BP3021" s="81"/>
      <c r="BQ3021" s="81"/>
      <c r="BR3021" s="81"/>
      <c r="BS3021" s="81"/>
      <c r="BT3021" s="81"/>
    </row>
    <row r="3022" spans="65:72" x14ac:dyDescent="0.25">
      <c r="BM3022" s="81"/>
      <c r="BN3022" s="81"/>
      <c r="BO3022" s="81"/>
      <c r="BP3022" s="81"/>
      <c r="BQ3022" s="81"/>
      <c r="BR3022" s="81"/>
      <c r="BS3022" s="81"/>
      <c r="BT3022" s="81"/>
    </row>
    <row r="3023" spans="65:72" x14ac:dyDescent="0.25">
      <c r="BM3023" s="81"/>
      <c r="BN3023" s="81"/>
      <c r="BO3023" s="81"/>
      <c r="BP3023" s="81"/>
      <c r="BQ3023" s="81"/>
      <c r="BR3023" s="81"/>
      <c r="BS3023" s="81"/>
      <c r="BT3023" s="81"/>
    </row>
    <row r="3024" spans="65:72" x14ac:dyDescent="0.25">
      <c r="BM3024" s="81"/>
      <c r="BN3024" s="81"/>
      <c r="BO3024" s="81"/>
      <c r="BP3024" s="81"/>
      <c r="BQ3024" s="81"/>
      <c r="BR3024" s="81"/>
      <c r="BS3024" s="81"/>
      <c r="BT3024" s="81"/>
    </row>
    <row r="3025" spans="65:72" x14ac:dyDescent="0.25">
      <c r="BM3025" s="81"/>
      <c r="BN3025" s="81"/>
      <c r="BO3025" s="81"/>
      <c r="BP3025" s="81"/>
      <c r="BQ3025" s="81"/>
      <c r="BR3025" s="81"/>
      <c r="BS3025" s="81"/>
      <c r="BT3025" s="81"/>
    </row>
    <row r="3026" spans="65:72" x14ac:dyDescent="0.25">
      <c r="BM3026" s="81"/>
      <c r="BN3026" s="81"/>
      <c r="BO3026" s="81"/>
      <c r="BP3026" s="81"/>
      <c r="BQ3026" s="81"/>
      <c r="BR3026" s="81"/>
      <c r="BS3026" s="81"/>
      <c r="BT3026" s="81"/>
    </row>
    <row r="3027" spans="65:72" x14ac:dyDescent="0.25">
      <c r="BM3027" s="81"/>
      <c r="BN3027" s="81"/>
      <c r="BO3027" s="81"/>
      <c r="BP3027" s="81"/>
      <c r="BQ3027" s="81"/>
      <c r="BR3027" s="81"/>
      <c r="BS3027" s="81"/>
      <c r="BT3027" s="81"/>
    </row>
    <row r="3028" spans="65:72" x14ac:dyDescent="0.25">
      <c r="BM3028" s="81"/>
      <c r="BN3028" s="81"/>
      <c r="BO3028" s="81"/>
      <c r="BP3028" s="81"/>
      <c r="BQ3028" s="81"/>
      <c r="BR3028" s="81"/>
      <c r="BS3028" s="81"/>
      <c r="BT3028" s="81"/>
    </row>
    <row r="3029" spans="65:72" x14ac:dyDescent="0.25">
      <c r="BM3029" s="81"/>
      <c r="BN3029" s="81"/>
      <c r="BO3029" s="81"/>
      <c r="BP3029" s="81"/>
      <c r="BQ3029" s="81"/>
      <c r="BR3029" s="81"/>
      <c r="BS3029" s="81"/>
      <c r="BT3029" s="81"/>
    </row>
    <row r="3030" spans="65:72" x14ac:dyDescent="0.25">
      <c r="BM3030" s="81"/>
      <c r="BN3030" s="81"/>
      <c r="BO3030" s="81"/>
      <c r="BP3030" s="81"/>
      <c r="BQ3030" s="81"/>
      <c r="BR3030" s="81"/>
      <c r="BS3030" s="81"/>
      <c r="BT3030" s="81"/>
    </row>
    <row r="3031" spans="65:72" x14ac:dyDescent="0.25">
      <c r="BM3031" s="81"/>
      <c r="BN3031" s="81"/>
      <c r="BO3031" s="81"/>
      <c r="BP3031" s="81"/>
      <c r="BQ3031" s="81"/>
      <c r="BR3031" s="81"/>
      <c r="BS3031" s="81"/>
      <c r="BT3031" s="81"/>
    </row>
    <row r="3032" spans="65:72" x14ac:dyDescent="0.25">
      <c r="BM3032" s="81"/>
      <c r="BN3032" s="81"/>
      <c r="BO3032" s="81"/>
      <c r="BP3032" s="81"/>
      <c r="BQ3032" s="81"/>
      <c r="BR3032" s="81"/>
      <c r="BS3032" s="81"/>
      <c r="BT3032" s="81"/>
    </row>
    <row r="3033" spans="65:72" x14ac:dyDescent="0.25">
      <c r="BM3033" s="81"/>
      <c r="BN3033" s="81"/>
      <c r="BO3033" s="81"/>
      <c r="BP3033" s="81"/>
      <c r="BQ3033" s="81"/>
      <c r="BR3033" s="81"/>
      <c r="BS3033" s="81"/>
      <c r="BT3033" s="81"/>
    </row>
    <row r="3034" spans="65:72" x14ac:dyDescent="0.25">
      <c r="BM3034" s="81"/>
      <c r="BN3034" s="81"/>
      <c r="BO3034" s="81"/>
      <c r="BP3034" s="81"/>
      <c r="BQ3034" s="81"/>
      <c r="BR3034" s="81"/>
      <c r="BS3034" s="81"/>
      <c r="BT3034" s="81"/>
    </row>
    <row r="3035" spans="65:72" x14ac:dyDescent="0.25">
      <c r="BM3035" s="81"/>
      <c r="BN3035" s="81"/>
      <c r="BO3035" s="81"/>
      <c r="BP3035" s="81"/>
      <c r="BQ3035" s="81"/>
      <c r="BR3035" s="81"/>
      <c r="BS3035" s="81"/>
      <c r="BT3035" s="81"/>
    </row>
    <row r="3036" spans="65:72" x14ac:dyDescent="0.25">
      <c r="BM3036" s="81"/>
      <c r="BN3036" s="81"/>
      <c r="BO3036" s="81"/>
      <c r="BP3036" s="81"/>
      <c r="BQ3036" s="81"/>
      <c r="BR3036" s="81"/>
      <c r="BS3036" s="81"/>
      <c r="BT3036" s="81"/>
    </row>
    <row r="3037" spans="65:72" x14ac:dyDescent="0.25">
      <c r="BM3037" s="81"/>
      <c r="BN3037" s="81"/>
      <c r="BO3037" s="81"/>
      <c r="BP3037" s="81"/>
      <c r="BQ3037" s="81"/>
      <c r="BR3037" s="81"/>
      <c r="BS3037" s="81"/>
      <c r="BT3037" s="81"/>
    </row>
    <row r="3038" spans="65:72" x14ac:dyDescent="0.25">
      <c r="BM3038" s="81"/>
      <c r="BN3038" s="81"/>
      <c r="BO3038" s="81"/>
      <c r="BP3038" s="81"/>
      <c r="BQ3038" s="81"/>
      <c r="BR3038" s="81"/>
      <c r="BS3038" s="81"/>
      <c r="BT3038" s="81"/>
    </row>
    <row r="3039" spans="65:72" x14ac:dyDescent="0.25">
      <c r="BM3039" s="81"/>
      <c r="BN3039" s="81"/>
      <c r="BO3039" s="81"/>
      <c r="BP3039" s="81"/>
      <c r="BQ3039" s="81"/>
      <c r="BR3039" s="81"/>
      <c r="BS3039" s="81"/>
      <c r="BT3039" s="81"/>
    </row>
    <row r="3040" spans="65:72" x14ac:dyDescent="0.25">
      <c r="BM3040" s="81"/>
      <c r="BN3040" s="81"/>
      <c r="BO3040" s="81"/>
      <c r="BP3040" s="81"/>
      <c r="BQ3040" s="81"/>
      <c r="BR3040" s="81"/>
      <c r="BS3040" s="81"/>
      <c r="BT3040" s="81"/>
    </row>
    <row r="3041" spans="65:72" x14ac:dyDescent="0.25">
      <c r="BM3041" s="81"/>
      <c r="BN3041" s="81"/>
      <c r="BO3041" s="81"/>
      <c r="BP3041" s="81"/>
      <c r="BQ3041" s="81"/>
      <c r="BR3041" s="81"/>
      <c r="BS3041" s="81"/>
      <c r="BT3041" s="81"/>
    </row>
    <row r="3042" spans="65:72" x14ac:dyDescent="0.25">
      <c r="BM3042" s="81"/>
      <c r="BN3042" s="81"/>
      <c r="BO3042" s="81"/>
      <c r="BP3042" s="81"/>
      <c r="BQ3042" s="81"/>
      <c r="BR3042" s="81"/>
      <c r="BS3042" s="81"/>
      <c r="BT3042" s="81"/>
    </row>
    <row r="3043" spans="65:72" x14ac:dyDescent="0.25">
      <c r="BM3043" s="81"/>
      <c r="BN3043" s="81"/>
      <c r="BO3043" s="81"/>
      <c r="BP3043" s="81"/>
      <c r="BQ3043" s="81"/>
      <c r="BR3043" s="81"/>
      <c r="BS3043" s="81"/>
      <c r="BT3043" s="81"/>
    </row>
    <row r="3044" spans="65:72" x14ac:dyDescent="0.25">
      <c r="BM3044" s="81"/>
      <c r="BN3044" s="81"/>
      <c r="BO3044" s="81"/>
      <c r="BP3044" s="81"/>
      <c r="BQ3044" s="81"/>
      <c r="BR3044" s="81"/>
      <c r="BS3044" s="81"/>
      <c r="BT3044" s="81"/>
    </row>
    <row r="3045" spans="65:72" x14ac:dyDescent="0.25">
      <c r="BM3045" s="81"/>
      <c r="BN3045" s="81"/>
      <c r="BO3045" s="81"/>
      <c r="BP3045" s="81"/>
      <c r="BQ3045" s="81"/>
      <c r="BR3045" s="81"/>
      <c r="BS3045" s="81"/>
      <c r="BT3045" s="81"/>
    </row>
    <row r="3046" spans="65:72" x14ac:dyDescent="0.25">
      <c r="BM3046" s="81"/>
      <c r="BN3046" s="81"/>
      <c r="BO3046" s="81"/>
      <c r="BP3046" s="81"/>
      <c r="BQ3046" s="81"/>
      <c r="BR3046" s="81"/>
      <c r="BS3046" s="81"/>
      <c r="BT3046" s="81"/>
    </row>
    <row r="3047" spans="65:72" x14ac:dyDescent="0.25">
      <c r="BM3047" s="81"/>
      <c r="BN3047" s="81"/>
      <c r="BO3047" s="81"/>
      <c r="BP3047" s="81"/>
      <c r="BQ3047" s="81"/>
      <c r="BR3047" s="81"/>
      <c r="BS3047" s="81"/>
      <c r="BT3047" s="81"/>
    </row>
    <row r="3048" spans="65:72" x14ac:dyDescent="0.25">
      <c r="BM3048" s="81"/>
      <c r="BN3048" s="81"/>
      <c r="BO3048" s="81"/>
      <c r="BP3048" s="81"/>
      <c r="BQ3048" s="81"/>
      <c r="BR3048" s="81"/>
      <c r="BS3048" s="81"/>
      <c r="BT3048" s="81"/>
    </row>
    <row r="3049" spans="65:72" x14ac:dyDescent="0.25">
      <c r="BM3049" s="81"/>
      <c r="BN3049" s="81"/>
      <c r="BO3049" s="81"/>
      <c r="BP3049" s="81"/>
      <c r="BQ3049" s="81"/>
      <c r="BR3049" s="81"/>
      <c r="BS3049" s="81"/>
      <c r="BT3049" s="81"/>
    </row>
    <row r="3050" spans="65:72" x14ac:dyDescent="0.25">
      <c r="BM3050" s="81"/>
      <c r="BN3050" s="81"/>
      <c r="BO3050" s="81"/>
      <c r="BP3050" s="81"/>
      <c r="BQ3050" s="81"/>
      <c r="BR3050" s="81"/>
      <c r="BS3050" s="81"/>
      <c r="BT3050" s="81"/>
    </row>
    <row r="3051" spans="65:72" x14ac:dyDescent="0.25">
      <c r="BM3051" s="81"/>
      <c r="BN3051" s="81"/>
      <c r="BO3051" s="81"/>
      <c r="BP3051" s="81"/>
      <c r="BQ3051" s="81"/>
      <c r="BR3051" s="81"/>
      <c r="BS3051" s="81"/>
      <c r="BT3051" s="81"/>
    </row>
    <row r="3052" spans="65:72" x14ac:dyDescent="0.25">
      <c r="BM3052" s="81"/>
      <c r="BN3052" s="81"/>
      <c r="BO3052" s="81"/>
      <c r="BP3052" s="81"/>
      <c r="BQ3052" s="81"/>
      <c r="BR3052" s="81"/>
      <c r="BS3052" s="81"/>
      <c r="BT3052" s="81"/>
    </row>
    <row r="3053" spans="65:72" x14ac:dyDescent="0.25">
      <c r="BM3053" s="81"/>
      <c r="BN3053" s="81"/>
      <c r="BO3053" s="81"/>
      <c r="BP3053" s="81"/>
      <c r="BQ3053" s="81"/>
      <c r="BR3053" s="81"/>
      <c r="BS3053" s="81"/>
      <c r="BT3053" s="81"/>
    </row>
    <row r="3054" spans="65:72" x14ac:dyDescent="0.25">
      <c r="BM3054" s="81"/>
      <c r="BN3054" s="81"/>
      <c r="BO3054" s="81"/>
      <c r="BP3054" s="81"/>
      <c r="BQ3054" s="81"/>
      <c r="BR3054" s="81"/>
      <c r="BS3054" s="81"/>
      <c r="BT3054" s="81"/>
    </row>
    <row r="3055" spans="65:72" x14ac:dyDescent="0.25">
      <c r="BM3055" s="81"/>
      <c r="BN3055" s="81"/>
      <c r="BO3055" s="81"/>
      <c r="BP3055" s="81"/>
      <c r="BQ3055" s="81"/>
      <c r="BR3055" s="81"/>
      <c r="BS3055" s="81"/>
      <c r="BT3055" s="81"/>
    </row>
    <row r="3056" spans="65:72" x14ac:dyDescent="0.25">
      <c r="BM3056" s="81"/>
      <c r="BN3056" s="81"/>
      <c r="BO3056" s="81"/>
      <c r="BP3056" s="81"/>
      <c r="BQ3056" s="81"/>
      <c r="BR3056" s="81"/>
      <c r="BS3056" s="81"/>
      <c r="BT3056" s="81"/>
    </row>
    <row r="3057" spans="65:72" x14ac:dyDescent="0.25">
      <c r="BM3057" s="81"/>
      <c r="BN3057" s="81"/>
      <c r="BO3057" s="81"/>
      <c r="BP3057" s="81"/>
      <c r="BQ3057" s="81"/>
      <c r="BR3057" s="81"/>
      <c r="BS3057" s="81"/>
      <c r="BT3057" s="81"/>
    </row>
    <row r="3058" spans="65:72" x14ac:dyDescent="0.25">
      <c r="BM3058" s="81"/>
      <c r="BN3058" s="81"/>
      <c r="BO3058" s="81"/>
      <c r="BP3058" s="81"/>
      <c r="BQ3058" s="81"/>
      <c r="BR3058" s="81"/>
      <c r="BS3058" s="81"/>
      <c r="BT3058" s="81"/>
    </row>
    <row r="3059" spans="65:72" x14ac:dyDescent="0.25">
      <c r="BM3059" s="81"/>
      <c r="BN3059" s="81"/>
      <c r="BO3059" s="81"/>
      <c r="BP3059" s="81"/>
      <c r="BQ3059" s="81"/>
      <c r="BR3059" s="81"/>
      <c r="BS3059" s="81"/>
      <c r="BT3059" s="81"/>
    </row>
    <row r="3060" spans="65:72" x14ac:dyDescent="0.25">
      <c r="BM3060" s="81"/>
      <c r="BN3060" s="81"/>
      <c r="BO3060" s="81"/>
      <c r="BP3060" s="81"/>
      <c r="BQ3060" s="81"/>
      <c r="BR3060" s="81"/>
      <c r="BS3060" s="81"/>
      <c r="BT3060" s="81"/>
    </row>
    <row r="3061" spans="65:72" x14ac:dyDescent="0.25">
      <c r="BM3061" s="81"/>
      <c r="BN3061" s="81"/>
      <c r="BO3061" s="81"/>
      <c r="BP3061" s="81"/>
      <c r="BQ3061" s="81"/>
      <c r="BR3061" s="81"/>
      <c r="BS3061" s="81"/>
      <c r="BT3061" s="81"/>
    </row>
    <row r="3062" spans="65:72" x14ac:dyDescent="0.25">
      <c r="BM3062" s="81"/>
      <c r="BN3062" s="81"/>
      <c r="BO3062" s="81"/>
      <c r="BP3062" s="81"/>
      <c r="BQ3062" s="81"/>
      <c r="BR3062" s="81"/>
      <c r="BS3062" s="81"/>
      <c r="BT3062" s="81"/>
    </row>
    <row r="3063" spans="65:72" x14ac:dyDescent="0.25">
      <c r="BM3063" s="81"/>
      <c r="BN3063" s="81"/>
      <c r="BO3063" s="81"/>
      <c r="BP3063" s="81"/>
      <c r="BQ3063" s="81"/>
      <c r="BR3063" s="81"/>
      <c r="BS3063" s="81"/>
      <c r="BT3063" s="81"/>
    </row>
    <row r="3064" spans="65:72" x14ac:dyDescent="0.25">
      <c r="BM3064" s="81"/>
      <c r="BN3064" s="81"/>
      <c r="BO3064" s="81"/>
      <c r="BP3064" s="81"/>
      <c r="BQ3064" s="81"/>
      <c r="BR3064" s="81"/>
      <c r="BS3064" s="81"/>
      <c r="BT3064" s="81"/>
    </row>
    <row r="3065" spans="65:72" x14ac:dyDescent="0.25">
      <c r="BM3065" s="81"/>
      <c r="BN3065" s="81"/>
      <c r="BO3065" s="81"/>
      <c r="BP3065" s="81"/>
      <c r="BQ3065" s="81"/>
      <c r="BR3065" s="81"/>
      <c r="BS3065" s="81"/>
      <c r="BT3065" s="81"/>
    </row>
    <row r="3066" spans="65:72" x14ac:dyDescent="0.25">
      <c r="BM3066" s="81"/>
      <c r="BN3066" s="81"/>
      <c r="BO3066" s="81"/>
      <c r="BP3066" s="81"/>
      <c r="BQ3066" s="81"/>
      <c r="BR3066" s="81"/>
      <c r="BS3066" s="81"/>
      <c r="BT3066" s="81"/>
    </row>
    <row r="3067" spans="65:72" x14ac:dyDescent="0.25">
      <c r="BM3067" s="81"/>
      <c r="BN3067" s="81"/>
      <c r="BO3067" s="81"/>
      <c r="BP3067" s="81"/>
      <c r="BQ3067" s="81"/>
      <c r="BR3067" s="81"/>
      <c r="BS3067" s="81"/>
      <c r="BT3067" s="81"/>
    </row>
    <row r="3068" spans="65:72" x14ac:dyDescent="0.25">
      <c r="BM3068" s="81"/>
      <c r="BN3068" s="81"/>
      <c r="BO3068" s="81"/>
      <c r="BP3068" s="81"/>
      <c r="BQ3068" s="81"/>
      <c r="BR3068" s="81"/>
      <c r="BS3068" s="81"/>
      <c r="BT3068" s="81"/>
    </row>
    <row r="3069" spans="65:72" x14ac:dyDescent="0.25">
      <c r="BM3069" s="81"/>
      <c r="BN3069" s="81"/>
      <c r="BO3069" s="81"/>
      <c r="BP3069" s="81"/>
      <c r="BQ3069" s="81"/>
      <c r="BR3069" s="81"/>
      <c r="BS3069" s="81"/>
      <c r="BT3069" s="81"/>
    </row>
    <row r="3070" spans="65:72" x14ac:dyDescent="0.25">
      <c r="BM3070" s="81"/>
      <c r="BN3070" s="81"/>
      <c r="BO3070" s="81"/>
      <c r="BP3070" s="81"/>
      <c r="BQ3070" s="81"/>
      <c r="BR3070" s="81"/>
      <c r="BS3070" s="81"/>
      <c r="BT3070" s="81"/>
    </row>
    <row r="3071" spans="65:72" x14ac:dyDescent="0.25">
      <c r="BM3071" s="81"/>
      <c r="BN3071" s="81"/>
      <c r="BO3071" s="81"/>
      <c r="BP3071" s="81"/>
      <c r="BQ3071" s="81"/>
      <c r="BR3071" s="81"/>
      <c r="BS3071" s="81"/>
      <c r="BT3071" s="81"/>
    </row>
    <row r="3072" spans="65:72" x14ac:dyDescent="0.25">
      <c r="BM3072" s="81"/>
      <c r="BN3072" s="81"/>
      <c r="BO3072" s="81"/>
      <c r="BP3072" s="81"/>
      <c r="BQ3072" s="81"/>
      <c r="BR3072" s="81"/>
      <c r="BS3072" s="81"/>
      <c r="BT3072" s="81"/>
    </row>
    <row r="3073" spans="65:72" x14ac:dyDescent="0.25">
      <c r="BM3073" s="81"/>
      <c r="BN3073" s="81"/>
      <c r="BO3073" s="81"/>
      <c r="BP3073" s="81"/>
      <c r="BQ3073" s="81"/>
      <c r="BR3073" s="81"/>
      <c r="BS3073" s="81"/>
      <c r="BT3073" s="81"/>
    </row>
    <row r="3074" spans="65:72" x14ac:dyDescent="0.25">
      <c r="BM3074" s="81"/>
      <c r="BN3074" s="81"/>
      <c r="BO3074" s="81"/>
      <c r="BP3074" s="81"/>
      <c r="BQ3074" s="81"/>
      <c r="BR3074" s="81"/>
      <c r="BS3074" s="81"/>
      <c r="BT3074" s="81"/>
    </row>
    <row r="3075" spans="65:72" x14ac:dyDescent="0.25">
      <c r="BM3075" s="81"/>
      <c r="BN3075" s="81"/>
      <c r="BO3075" s="81"/>
      <c r="BP3075" s="81"/>
      <c r="BQ3075" s="81"/>
      <c r="BR3075" s="81"/>
      <c r="BS3075" s="81"/>
      <c r="BT3075" s="81"/>
    </row>
    <row r="3076" spans="65:72" x14ac:dyDescent="0.25">
      <c r="BM3076" s="81"/>
      <c r="BN3076" s="81"/>
      <c r="BO3076" s="81"/>
      <c r="BP3076" s="81"/>
      <c r="BQ3076" s="81"/>
      <c r="BR3076" s="81"/>
      <c r="BS3076" s="81"/>
      <c r="BT3076" s="81"/>
    </row>
    <row r="3077" spans="65:72" x14ac:dyDescent="0.25">
      <c r="BM3077" s="81"/>
      <c r="BN3077" s="81"/>
      <c r="BO3077" s="81"/>
      <c r="BP3077" s="81"/>
      <c r="BQ3077" s="81"/>
      <c r="BR3077" s="81"/>
      <c r="BS3077" s="81"/>
      <c r="BT3077" s="81"/>
    </row>
    <row r="3078" spans="65:72" x14ac:dyDescent="0.25">
      <c r="BM3078" s="81"/>
      <c r="BN3078" s="81"/>
      <c r="BO3078" s="81"/>
      <c r="BP3078" s="81"/>
      <c r="BQ3078" s="81"/>
      <c r="BR3078" s="81"/>
      <c r="BS3078" s="81"/>
      <c r="BT3078" s="81"/>
    </row>
    <row r="3079" spans="65:72" x14ac:dyDescent="0.25">
      <c r="BM3079" s="81"/>
      <c r="BN3079" s="81"/>
      <c r="BO3079" s="81"/>
      <c r="BP3079" s="81"/>
      <c r="BQ3079" s="81"/>
      <c r="BR3079" s="81"/>
      <c r="BS3079" s="81"/>
      <c r="BT3079" s="81"/>
    </row>
    <row r="3080" spans="65:72" x14ac:dyDescent="0.25">
      <c r="BM3080" s="81"/>
      <c r="BN3080" s="81"/>
      <c r="BO3080" s="81"/>
      <c r="BP3080" s="81"/>
      <c r="BQ3080" s="81"/>
      <c r="BR3080" s="81"/>
      <c r="BS3080" s="81"/>
      <c r="BT3080" s="81"/>
    </row>
    <row r="3081" spans="65:72" x14ac:dyDescent="0.25">
      <c r="BM3081" s="81"/>
      <c r="BN3081" s="81"/>
      <c r="BO3081" s="81"/>
      <c r="BP3081" s="81"/>
      <c r="BQ3081" s="81"/>
      <c r="BR3081" s="81"/>
      <c r="BS3081" s="81"/>
      <c r="BT3081" s="81"/>
    </row>
    <row r="3082" spans="65:72" x14ac:dyDescent="0.25">
      <c r="BM3082" s="81"/>
      <c r="BN3082" s="81"/>
      <c r="BO3082" s="81"/>
      <c r="BP3082" s="81"/>
      <c r="BQ3082" s="81"/>
      <c r="BR3082" s="81"/>
      <c r="BS3082" s="81"/>
      <c r="BT3082" s="81"/>
    </row>
    <row r="3083" spans="65:72" x14ac:dyDescent="0.25">
      <c r="BM3083" s="81"/>
      <c r="BN3083" s="81"/>
      <c r="BO3083" s="81"/>
      <c r="BP3083" s="81"/>
      <c r="BQ3083" s="81"/>
      <c r="BR3083" s="81"/>
      <c r="BS3083" s="81"/>
      <c r="BT3083" s="81"/>
    </row>
    <row r="3084" spans="65:72" x14ac:dyDescent="0.25">
      <c r="BM3084" s="81"/>
      <c r="BN3084" s="81"/>
      <c r="BO3084" s="81"/>
      <c r="BP3084" s="81"/>
      <c r="BQ3084" s="81"/>
      <c r="BR3084" s="81"/>
      <c r="BS3084" s="81"/>
      <c r="BT3084" s="81"/>
    </row>
    <row r="3085" spans="65:72" x14ac:dyDescent="0.25">
      <c r="BM3085" s="81"/>
      <c r="BN3085" s="81"/>
      <c r="BO3085" s="81"/>
      <c r="BP3085" s="81"/>
      <c r="BQ3085" s="81"/>
      <c r="BR3085" s="81"/>
      <c r="BS3085" s="81"/>
      <c r="BT3085" s="81"/>
    </row>
    <row r="3086" spans="65:72" x14ac:dyDescent="0.25">
      <c r="BM3086" s="81"/>
      <c r="BN3086" s="81"/>
      <c r="BO3086" s="81"/>
      <c r="BP3086" s="81"/>
      <c r="BQ3086" s="81"/>
      <c r="BR3086" s="81"/>
      <c r="BS3086" s="81"/>
      <c r="BT3086" s="81"/>
    </row>
    <row r="3087" spans="65:72" x14ac:dyDescent="0.25">
      <c r="BM3087" s="81"/>
      <c r="BN3087" s="81"/>
      <c r="BO3087" s="81"/>
      <c r="BP3087" s="81"/>
      <c r="BQ3087" s="81"/>
      <c r="BR3087" s="81"/>
      <c r="BS3087" s="81"/>
      <c r="BT3087" s="81"/>
    </row>
    <row r="3088" spans="65:72" x14ac:dyDescent="0.25">
      <c r="BM3088" s="81"/>
      <c r="BN3088" s="81"/>
      <c r="BO3088" s="81"/>
      <c r="BP3088" s="81"/>
      <c r="BQ3088" s="81"/>
      <c r="BR3088" s="81"/>
      <c r="BS3088" s="81"/>
      <c r="BT3088" s="81"/>
    </row>
    <row r="3089" spans="65:72" x14ac:dyDescent="0.25">
      <c r="BM3089" s="81"/>
      <c r="BN3089" s="81"/>
      <c r="BO3089" s="81"/>
      <c r="BP3089" s="81"/>
      <c r="BQ3089" s="81"/>
      <c r="BR3089" s="81"/>
      <c r="BS3089" s="81"/>
      <c r="BT3089" s="81"/>
    </row>
    <row r="3090" spans="65:72" x14ac:dyDescent="0.25">
      <c r="BM3090" s="81"/>
      <c r="BN3090" s="81"/>
      <c r="BO3090" s="81"/>
      <c r="BP3090" s="81"/>
      <c r="BQ3090" s="81"/>
      <c r="BR3090" s="81"/>
      <c r="BS3090" s="81"/>
      <c r="BT3090" s="81"/>
    </row>
    <row r="3091" spans="65:72" x14ac:dyDescent="0.25">
      <c r="BM3091" s="81"/>
      <c r="BN3091" s="81"/>
      <c r="BO3091" s="81"/>
      <c r="BP3091" s="81"/>
      <c r="BQ3091" s="81"/>
      <c r="BR3091" s="81"/>
      <c r="BS3091" s="81"/>
      <c r="BT3091" s="81"/>
    </row>
    <row r="3092" spans="65:72" x14ac:dyDescent="0.25">
      <c r="BM3092" s="81"/>
      <c r="BN3092" s="81"/>
      <c r="BO3092" s="81"/>
      <c r="BP3092" s="81"/>
      <c r="BQ3092" s="81"/>
      <c r="BR3092" s="81"/>
      <c r="BS3092" s="81"/>
      <c r="BT3092" s="81"/>
    </row>
    <row r="3093" spans="65:72" x14ac:dyDescent="0.25">
      <c r="BM3093" s="81"/>
      <c r="BN3093" s="81"/>
      <c r="BO3093" s="81"/>
      <c r="BP3093" s="81"/>
      <c r="BQ3093" s="81"/>
      <c r="BR3093" s="81"/>
      <c r="BS3093" s="81"/>
      <c r="BT3093" s="81"/>
    </row>
    <row r="3094" spans="65:72" x14ac:dyDescent="0.25">
      <c r="BM3094" s="81"/>
      <c r="BN3094" s="81"/>
      <c r="BO3094" s="81"/>
      <c r="BP3094" s="81"/>
      <c r="BQ3094" s="81"/>
      <c r="BR3094" s="81"/>
      <c r="BS3094" s="81"/>
      <c r="BT3094" s="81"/>
    </row>
    <row r="3095" spans="65:72" x14ac:dyDescent="0.25">
      <c r="BM3095" s="81"/>
      <c r="BN3095" s="81"/>
      <c r="BO3095" s="81"/>
      <c r="BP3095" s="81"/>
      <c r="BQ3095" s="81"/>
      <c r="BR3095" s="81"/>
      <c r="BS3095" s="81"/>
      <c r="BT3095" s="81"/>
    </row>
    <row r="3096" spans="65:72" x14ac:dyDescent="0.25">
      <c r="BM3096" s="81"/>
      <c r="BN3096" s="81"/>
      <c r="BO3096" s="81"/>
      <c r="BP3096" s="81"/>
      <c r="BQ3096" s="81"/>
      <c r="BR3096" s="81"/>
      <c r="BS3096" s="81"/>
      <c r="BT3096" s="81"/>
    </row>
    <row r="3097" spans="65:72" x14ac:dyDescent="0.25">
      <c r="BM3097" s="81"/>
      <c r="BN3097" s="81"/>
      <c r="BO3097" s="81"/>
      <c r="BP3097" s="81"/>
      <c r="BQ3097" s="81"/>
      <c r="BR3097" s="81"/>
      <c r="BS3097" s="81"/>
      <c r="BT3097" s="81"/>
    </row>
    <row r="3098" spans="65:72" x14ac:dyDescent="0.25">
      <c r="BM3098" s="81"/>
      <c r="BN3098" s="81"/>
      <c r="BO3098" s="81"/>
      <c r="BP3098" s="81"/>
      <c r="BQ3098" s="81"/>
      <c r="BR3098" s="81"/>
      <c r="BS3098" s="81"/>
      <c r="BT3098" s="81"/>
    </row>
    <row r="3099" spans="65:72" x14ac:dyDescent="0.25">
      <c r="BM3099" s="81"/>
      <c r="BN3099" s="81"/>
      <c r="BO3099" s="81"/>
      <c r="BP3099" s="81"/>
      <c r="BQ3099" s="81"/>
      <c r="BR3099" s="81"/>
      <c r="BS3099" s="81"/>
      <c r="BT3099" s="81"/>
    </row>
    <row r="3100" spans="65:72" x14ac:dyDescent="0.25">
      <c r="BM3100" s="81"/>
      <c r="BN3100" s="81"/>
      <c r="BO3100" s="81"/>
      <c r="BP3100" s="81"/>
      <c r="BQ3100" s="81"/>
      <c r="BR3100" s="81"/>
      <c r="BS3100" s="81"/>
      <c r="BT3100" s="81"/>
    </row>
    <row r="3101" spans="65:72" x14ac:dyDescent="0.25">
      <c r="BM3101" s="81"/>
      <c r="BN3101" s="81"/>
      <c r="BO3101" s="81"/>
      <c r="BP3101" s="81"/>
      <c r="BQ3101" s="81"/>
      <c r="BR3101" s="81"/>
      <c r="BS3101" s="81"/>
      <c r="BT3101" s="81"/>
    </row>
    <row r="3102" spans="65:72" x14ac:dyDescent="0.25">
      <c r="BM3102" s="81"/>
      <c r="BN3102" s="81"/>
      <c r="BO3102" s="81"/>
      <c r="BP3102" s="81"/>
      <c r="BQ3102" s="81"/>
      <c r="BR3102" s="81"/>
      <c r="BS3102" s="81"/>
      <c r="BT3102" s="81"/>
    </row>
    <row r="3103" spans="65:72" x14ac:dyDescent="0.25">
      <c r="BM3103" s="81"/>
      <c r="BN3103" s="81"/>
      <c r="BO3103" s="81"/>
      <c r="BP3103" s="81"/>
      <c r="BQ3103" s="81"/>
      <c r="BR3103" s="81"/>
      <c r="BS3103" s="81"/>
      <c r="BT3103" s="81"/>
    </row>
    <row r="3104" spans="65:72" x14ac:dyDescent="0.25">
      <c r="BM3104" s="81"/>
      <c r="BN3104" s="81"/>
      <c r="BO3104" s="81"/>
      <c r="BP3104" s="81"/>
      <c r="BQ3104" s="81"/>
      <c r="BR3104" s="81"/>
      <c r="BS3104" s="81"/>
      <c r="BT3104" s="81"/>
    </row>
    <row r="3105" spans="65:72" x14ac:dyDescent="0.25">
      <c r="BM3105" s="81"/>
      <c r="BN3105" s="81"/>
      <c r="BO3105" s="81"/>
      <c r="BP3105" s="81"/>
      <c r="BQ3105" s="81"/>
      <c r="BR3105" s="81"/>
      <c r="BS3105" s="81"/>
      <c r="BT3105" s="81"/>
    </row>
    <row r="3106" spans="65:72" x14ac:dyDescent="0.25">
      <c r="BM3106" s="81"/>
      <c r="BN3106" s="81"/>
      <c r="BO3106" s="81"/>
      <c r="BP3106" s="81"/>
      <c r="BQ3106" s="81"/>
      <c r="BR3106" s="81"/>
      <c r="BS3106" s="81"/>
      <c r="BT3106" s="81"/>
    </row>
    <row r="3107" spans="65:72" x14ac:dyDescent="0.25">
      <c r="BM3107" s="81"/>
      <c r="BN3107" s="81"/>
      <c r="BO3107" s="81"/>
      <c r="BP3107" s="81"/>
      <c r="BQ3107" s="81"/>
      <c r="BR3107" s="81"/>
      <c r="BS3107" s="81"/>
      <c r="BT3107" s="81"/>
    </row>
    <row r="3108" spans="65:72" x14ac:dyDescent="0.25">
      <c r="BM3108" s="81"/>
      <c r="BN3108" s="81"/>
      <c r="BO3108" s="81"/>
      <c r="BP3108" s="81"/>
      <c r="BQ3108" s="81"/>
      <c r="BR3108" s="81"/>
      <c r="BS3108" s="81"/>
      <c r="BT3108" s="81"/>
    </row>
    <row r="3109" spans="65:72" x14ac:dyDescent="0.25">
      <c r="BM3109" s="81"/>
      <c r="BN3109" s="81"/>
      <c r="BO3109" s="81"/>
      <c r="BP3109" s="81"/>
      <c r="BQ3109" s="81"/>
      <c r="BR3109" s="81"/>
      <c r="BS3109" s="81"/>
      <c r="BT3109" s="81"/>
    </row>
    <row r="3110" spans="65:72" x14ac:dyDescent="0.25">
      <c r="BM3110" s="81"/>
      <c r="BN3110" s="81"/>
      <c r="BO3110" s="81"/>
      <c r="BP3110" s="81"/>
      <c r="BQ3110" s="81"/>
      <c r="BR3110" s="81"/>
      <c r="BS3110" s="81"/>
      <c r="BT3110" s="81"/>
    </row>
    <row r="3111" spans="65:72" x14ac:dyDescent="0.25">
      <c r="BM3111" s="81"/>
      <c r="BN3111" s="81"/>
      <c r="BO3111" s="81"/>
      <c r="BP3111" s="81"/>
      <c r="BQ3111" s="81"/>
      <c r="BR3111" s="81"/>
      <c r="BS3111" s="81"/>
      <c r="BT3111" s="81"/>
    </row>
    <row r="3112" spans="65:72" x14ac:dyDescent="0.25">
      <c r="BM3112" s="81"/>
      <c r="BN3112" s="81"/>
      <c r="BO3112" s="81"/>
      <c r="BP3112" s="81"/>
      <c r="BQ3112" s="81"/>
      <c r="BR3112" s="81"/>
      <c r="BS3112" s="81"/>
      <c r="BT3112" s="81"/>
    </row>
    <row r="3113" spans="65:72" x14ac:dyDescent="0.25">
      <c r="BM3113" s="81"/>
      <c r="BN3113" s="81"/>
      <c r="BO3113" s="81"/>
      <c r="BP3113" s="81"/>
      <c r="BQ3113" s="81"/>
      <c r="BR3113" s="81"/>
      <c r="BS3113" s="81"/>
      <c r="BT3113" s="81"/>
    </row>
    <row r="3114" spans="65:72" x14ac:dyDescent="0.25">
      <c r="BM3114" s="81"/>
      <c r="BN3114" s="81"/>
      <c r="BO3114" s="81"/>
      <c r="BP3114" s="81"/>
      <c r="BQ3114" s="81"/>
      <c r="BR3114" s="81"/>
      <c r="BS3114" s="81"/>
      <c r="BT3114" s="81"/>
    </row>
    <row r="3115" spans="65:72" x14ac:dyDescent="0.25">
      <c r="BM3115" s="81"/>
      <c r="BN3115" s="81"/>
      <c r="BO3115" s="81"/>
      <c r="BP3115" s="81"/>
      <c r="BQ3115" s="81"/>
      <c r="BR3115" s="81"/>
      <c r="BS3115" s="81"/>
      <c r="BT3115" s="81"/>
    </row>
    <row r="3116" spans="65:72" x14ac:dyDescent="0.25">
      <c r="BM3116" s="81"/>
      <c r="BN3116" s="81"/>
      <c r="BO3116" s="81"/>
      <c r="BP3116" s="81"/>
      <c r="BQ3116" s="81"/>
      <c r="BR3116" s="81"/>
      <c r="BS3116" s="81"/>
      <c r="BT3116" s="81"/>
    </row>
    <row r="3117" spans="65:72" x14ac:dyDescent="0.25">
      <c r="BM3117" s="81"/>
      <c r="BN3117" s="81"/>
      <c r="BO3117" s="81"/>
      <c r="BP3117" s="81"/>
      <c r="BQ3117" s="81"/>
      <c r="BR3117" s="81"/>
      <c r="BS3117" s="81"/>
      <c r="BT3117" s="81"/>
    </row>
    <row r="3118" spans="65:72" x14ac:dyDescent="0.25">
      <c r="BM3118" s="81"/>
      <c r="BN3118" s="81"/>
      <c r="BO3118" s="81"/>
      <c r="BP3118" s="81"/>
      <c r="BQ3118" s="81"/>
      <c r="BR3118" s="81"/>
      <c r="BS3118" s="81"/>
      <c r="BT3118" s="81"/>
    </row>
    <row r="3119" spans="65:72" x14ac:dyDescent="0.25">
      <c r="BM3119" s="81"/>
      <c r="BN3119" s="81"/>
      <c r="BO3119" s="81"/>
      <c r="BP3119" s="81"/>
      <c r="BQ3119" s="81"/>
      <c r="BR3119" s="81"/>
      <c r="BS3119" s="81"/>
      <c r="BT3119" s="81"/>
    </row>
    <row r="3120" spans="65:72" x14ac:dyDescent="0.25">
      <c r="BM3120" s="81"/>
      <c r="BN3120" s="81"/>
      <c r="BO3120" s="81"/>
      <c r="BP3120" s="81"/>
      <c r="BQ3120" s="81"/>
      <c r="BR3120" s="81"/>
      <c r="BS3120" s="81"/>
      <c r="BT3120" s="81"/>
    </row>
    <row r="3121" spans="65:72" x14ac:dyDescent="0.25">
      <c r="BM3121" s="81"/>
      <c r="BN3121" s="81"/>
      <c r="BO3121" s="81"/>
      <c r="BP3121" s="81"/>
      <c r="BQ3121" s="81"/>
      <c r="BR3121" s="81"/>
      <c r="BS3121" s="81"/>
      <c r="BT3121" s="81"/>
    </row>
    <row r="3122" spans="65:72" x14ac:dyDescent="0.25">
      <c r="BM3122" s="81"/>
      <c r="BN3122" s="81"/>
      <c r="BO3122" s="81"/>
      <c r="BP3122" s="81"/>
      <c r="BQ3122" s="81"/>
      <c r="BR3122" s="81"/>
      <c r="BS3122" s="81"/>
      <c r="BT3122" s="81"/>
    </row>
    <row r="3123" spans="65:72" x14ac:dyDescent="0.25">
      <c r="BM3123" s="81"/>
      <c r="BN3123" s="81"/>
      <c r="BO3123" s="81"/>
      <c r="BP3123" s="81"/>
      <c r="BQ3123" s="81"/>
      <c r="BR3123" s="81"/>
      <c r="BS3123" s="81"/>
      <c r="BT3123" s="81"/>
    </row>
    <row r="3124" spans="65:72" x14ac:dyDescent="0.25">
      <c r="BM3124" s="81"/>
      <c r="BN3124" s="81"/>
      <c r="BO3124" s="81"/>
      <c r="BP3124" s="81"/>
      <c r="BQ3124" s="81"/>
      <c r="BR3124" s="81"/>
      <c r="BS3124" s="81"/>
      <c r="BT3124" s="81"/>
    </row>
    <row r="3125" spans="65:72" x14ac:dyDescent="0.25">
      <c r="BM3125" s="81"/>
      <c r="BN3125" s="81"/>
      <c r="BO3125" s="81"/>
      <c r="BP3125" s="81"/>
      <c r="BQ3125" s="81"/>
      <c r="BR3125" s="81"/>
      <c r="BS3125" s="81"/>
      <c r="BT3125" s="81"/>
    </row>
    <row r="3126" spans="65:72" x14ac:dyDescent="0.25">
      <c r="BM3126" s="81"/>
      <c r="BN3126" s="81"/>
      <c r="BO3126" s="81"/>
      <c r="BP3126" s="81"/>
      <c r="BQ3126" s="81"/>
      <c r="BR3126" s="81"/>
      <c r="BS3126" s="81"/>
      <c r="BT3126" s="81"/>
    </row>
    <row r="3127" spans="65:72" x14ac:dyDescent="0.25">
      <c r="BM3127" s="81"/>
      <c r="BN3127" s="81"/>
      <c r="BO3127" s="81"/>
      <c r="BP3127" s="81"/>
      <c r="BQ3127" s="81"/>
      <c r="BR3127" s="81"/>
      <c r="BS3127" s="81"/>
      <c r="BT3127" s="81"/>
    </row>
    <row r="3128" spans="65:72" x14ac:dyDescent="0.25">
      <c r="BM3128" s="81"/>
      <c r="BN3128" s="81"/>
      <c r="BO3128" s="81"/>
      <c r="BP3128" s="81"/>
      <c r="BQ3128" s="81"/>
      <c r="BR3128" s="81"/>
      <c r="BS3128" s="81"/>
      <c r="BT3128" s="81"/>
    </row>
    <row r="3129" spans="65:72" x14ac:dyDescent="0.25">
      <c r="BM3129" s="81"/>
      <c r="BN3129" s="81"/>
      <c r="BO3129" s="81"/>
      <c r="BP3129" s="81"/>
      <c r="BQ3129" s="81"/>
      <c r="BR3129" s="81"/>
      <c r="BS3129" s="81"/>
      <c r="BT3129" s="81"/>
    </row>
    <row r="3130" spans="65:72" x14ac:dyDescent="0.25">
      <c r="BM3130" s="81"/>
      <c r="BN3130" s="81"/>
      <c r="BO3130" s="81"/>
      <c r="BP3130" s="81"/>
      <c r="BQ3130" s="81"/>
      <c r="BR3130" s="81"/>
      <c r="BS3130" s="81"/>
      <c r="BT3130" s="81"/>
    </row>
    <row r="3131" spans="65:72" x14ac:dyDescent="0.25">
      <c r="BM3131" s="81"/>
      <c r="BN3131" s="81"/>
      <c r="BO3131" s="81"/>
      <c r="BP3131" s="81"/>
      <c r="BQ3131" s="81"/>
      <c r="BR3131" s="81"/>
      <c r="BS3131" s="81"/>
      <c r="BT3131" s="81"/>
    </row>
    <row r="3132" spans="65:72" x14ac:dyDescent="0.25">
      <c r="BM3132" s="81"/>
      <c r="BN3132" s="81"/>
      <c r="BO3132" s="81"/>
      <c r="BP3132" s="81"/>
      <c r="BQ3132" s="81"/>
      <c r="BR3132" s="81"/>
      <c r="BS3132" s="81"/>
      <c r="BT3132" s="81"/>
    </row>
    <row r="3133" spans="65:72" x14ac:dyDescent="0.25">
      <c r="BM3133" s="81"/>
      <c r="BN3133" s="81"/>
      <c r="BO3133" s="81"/>
      <c r="BP3133" s="81"/>
      <c r="BQ3133" s="81"/>
      <c r="BR3133" s="81"/>
      <c r="BS3133" s="81"/>
      <c r="BT3133" s="81"/>
    </row>
    <row r="3134" spans="65:72" x14ac:dyDescent="0.25">
      <c r="BM3134" s="81"/>
      <c r="BN3134" s="81"/>
      <c r="BO3134" s="81"/>
      <c r="BP3134" s="81"/>
      <c r="BQ3134" s="81"/>
      <c r="BR3134" s="81"/>
      <c r="BS3134" s="81"/>
      <c r="BT3134" s="81"/>
    </row>
    <row r="3135" spans="65:72" x14ac:dyDescent="0.25">
      <c r="BM3135" s="81"/>
      <c r="BN3135" s="81"/>
      <c r="BO3135" s="81"/>
      <c r="BP3135" s="81"/>
      <c r="BQ3135" s="81"/>
      <c r="BR3135" s="81"/>
      <c r="BS3135" s="81"/>
      <c r="BT3135" s="81"/>
    </row>
    <row r="3136" spans="65:72" x14ac:dyDescent="0.25">
      <c r="BM3136" s="81"/>
      <c r="BN3136" s="81"/>
      <c r="BO3136" s="81"/>
      <c r="BP3136" s="81"/>
      <c r="BQ3136" s="81"/>
      <c r="BR3136" s="81"/>
      <c r="BS3136" s="81"/>
      <c r="BT3136" s="81"/>
    </row>
    <row r="3137" spans="65:72" x14ac:dyDescent="0.25">
      <c r="BM3137" s="81"/>
      <c r="BN3137" s="81"/>
      <c r="BO3137" s="81"/>
      <c r="BP3137" s="81"/>
      <c r="BQ3137" s="81"/>
      <c r="BR3137" s="81"/>
      <c r="BS3137" s="81"/>
      <c r="BT3137" s="81"/>
    </row>
    <row r="3138" spans="65:72" x14ac:dyDescent="0.25">
      <c r="BM3138" s="81"/>
      <c r="BN3138" s="81"/>
      <c r="BO3138" s="81"/>
      <c r="BP3138" s="81"/>
      <c r="BQ3138" s="81"/>
      <c r="BR3138" s="81"/>
      <c r="BS3138" s="81"/>
      <c r="BT3138" s="81"/>
    </row>
    <row r="3139" spans="65:72" x14ac:dyDescent="0.25">
      <c r="BM3139" s="81"/>
      <c r="BN3139" s="81"/>
      <c r="BO3139" s="81"/>
      <c r="BP3139" s="81"/>
      <c r="BQ3139" s="81"/>
      <c r="BR3139" s="81"/>
      <c r="BS3139" s="81"/>
      <c r="BT3139" s="81"/>
    </row>
    <row r="3140" spans="65:72" x14ac:dyDescent="0.25">
      <c r="BM3140" s="81"/>
      <c r="BN3140" s="81"/>
      <c r="BO3140" s="81"/>
      <c r="BP3140" s="81"/>
      <c r="BQ3140" s="81"/>
      <c r="BR3140" s="81"/>
      <c r="BS3140" s="81"/>
      <c r="BT3140" s="81"/>
    </row>
    <row r="3141" spans="65:72" x14ac:dyDescent="0.25">
      <c r="BM3141" s="81"/>
      <c r="BN3141" s="81"/>
      <c r="BO3141" s="81"/>
      <c r="BP3141" s="81"/>
      <c r="BQ3141" s="81"/>
      <c r="BR3141" s="81"/>
      <c r="BS3141" s="81"/>
      <c r="BT3141" s="81"/>
    </row>
    <row r="3142" spans="65:72" x14ac:dyDescent="0.25">
      <c r="BM3142" s="81"/>
      <c r="BN3142" s="81"/>
      <c r="BO3142" s="81"/>
      <c r="BP3142" s="81"/>
      <c r="BQ3142" s="81"/>
      <c r="BR3142" s="81"/>
      <c r="BS3142" s="81"/>
      <c r="BT3142" s="81"/>
    </row>
    <row r="3143" spans="65:72" x14ac:dyDescent="0.25">
      <c r="BM3143" s="81"/>
      <c r="BN3143" s="81"/>
      <c r="BO3143" s="81"/>
      <c r="BP3143" s="81"/>
      <c r="BQ3143" s="81"/>
      <c r="BR3143" s="81"/>
      <c r="BS3143" s="81"/>
      <c r="BT3143" s="81"/>
    </row>
    <row r="3144" spans="65:72" x14ac:dyDescent="0.25">
      <c r="BM3144" s="81"/>
      <c r="BN3144" s="81"/>
      <c r="BO3144" s="81"/>
      <c r="BP3144" s="81"/>
      <c r="BQ3144" s="81"/>
      <c r="BR3144" s="81"/>
      <c r="BS3144" s="81"/>
      <c r="BT3144" s="81"/>
    </row>
    <row r="3145" spans="65:72" x14ac:dyDescent="0.25">
      <c r="BM3145" s="81"/>
      <c r="BN3145" s="81"/>
      <c r="BO3145" s="81"/>
      <c r="BP3145" s="81"/>
      <c r="BQ3145" s="81"/>
      <c r="BR3145" s="81"/>
      <c r="BS3145" s="81"/>
      <c r="BT3145" s="81"/>
    </row>
    <row r="3146" spans="65:72" x14ac:dyDescent="0.25">
      <c r="BM3146" s="81"/>
      <c r="BN3146" s="81"/>
      <c r="BO3146" s="81"/>
      <c r="BP3146" s="81"/>
      <c r="BQ3146" s="81"/>
      <c r="BR3146" s="81"/>
      <c r="BS3146" s="81"/>
      <c r="BT3146" s="81"/>
    </row>
    <row r="3147" spans="65:72" x14ac:dyDescent="0.25">
      <c r="BM3147" s="81"/>
      <c r="BN3147" s="81"/>
      <c r="BO3147" s="81"/>
      <c r="BP3147" s="81"/>
      <c r="BQ3147" s="81"/>
      <c r="BR3147" s="81"/>
      <c r="BS3147" s="81"/>
      <c r="BT3147" s="81"/>
    </row>
    <row r="3148" spans="65:72" x14ac:dyDescent="0.25">
      <c r="BM3148" s="81"/>
      <c r="BN3148" s="81"/>
      <c r="BO3148" s="81"/>
      <c r="BP3148" s="81"/>
      <c r="BQ3148" s="81"/>
      <c r="BR3148" s="81"/>
      <c r="BS3148" s="81"/>
      <c r="BT3148" s="81"/>
    </row>
    <row r="3149" spans="65:72" x14ac:dyDescent="0.25">
      <c r="BM3149" s="81"/>
      <c r="BN3149" s="81"/>
      <c r="BO3149" s="81"/>
      <c r="BP3149" s="81"/>
      <c r="BQ3149" s="81"/>
      <c r="BR3149" s="81"/>
      <c r="BS3149" s="81"/>
      <c r="BT3149" s="81"/>
    </row>
    <row r="3150" spans="65:72" x14ac:dyDescent="0.25">
      <c r="BM3150" s="81"/>
      <c r="BN3150" s="81"/>
      <c r="BO3150" s="81"/>
      <c r="BP3150" s="81"/>
      <c r="BQ3150" s="81"/>
      <c r="BR3150" s="81"/>
      <c r="BS3150" s="81"/>
      <c r="BT3150" s="81"/>
    </row>
    <row r="3151" spans="65:72" x14ac:dyDescent="0.25">
      <c r="BM3151" s="81"/>
      <c r="BN3151" s="81"/>
      <c r="BO3151" s="81"/>
      <c r="BP3151" s="81"/>
      <c r="BQ3151" s="81"/>
      <c r="BR3151" s="81"/>
      <c r="BS3151" s="81"/>
      <c r="BT3151" s="81"/>
    </row>
    <row r="3152" spans="65:72" x14ac:dyDescent="0.25">
      <c r="BM3152" s="81"/>
      <c r="BN3152" s="81"/>
      <c r="BO3152" s="81"/>
      <c r="BP3152" s="81"/>
      <c r="BQ3152" s="81"/>
      <c r="BR3152" s="81"/>
      <c r="BS3152" s="81"/>
      <c r="BT3152" s="81"/>
    </row>
    <row r="3153" spans="65:72" x14ac:dyDescent="0.25">
      <c r="BM3153" s="81"/>
      <c r="BN3153" s="81"/>
      <c r="BO3153" s="81"/>
      <c r="BP3153" s="81"/>
      <c r="BQ3153" s="81"/>
      <c r="BR3153" s="81"/>
      <c r="BS3153" s="81"/>
      <c r="BT3153" s="81"/>
    </row>
    <row r="3154" spans="65:72" x14ac:dyDescent="0.25">
      <c r="BM3154" s="81"/>
      <c r="BN3154" s="81"/>
      <c r="BO3154" s="81"/>
      <c r="BP3154" s="81"/>
      <c r="BQ3154" s="81"/>
      <c r="BR3154" s="81"/>
      <c r="BS3154" s="81"/>
      <c r="BT3154" s="81"/>
    </row>
    <row r="3155" spans="65:72" x14ac:dyDescent="0.25">
      <c r="BM3155" s="81"/>
      <c r="BN3155" s="81"/>
      <c r="BO3155" s="81"/>
      <c r="BP3155" s="81"/>
      <c r="BQ3155" s="81"/>
      <c r="BR3155" s="81"/>
      <c r="BS3155" s="81"/>
      <c r="BT3155" s="81"/>
    </row>
    <row r="3156" spans="65:72" x14ac:dyDescent="0.25">
      <c r="BM3156" s="81"/>
      <c r="BN3156" s="81"/>
      <c r="BO3156" s="81"/>
      <c r="BP3156" s="81"/>
      <c r="BQ3156" s="81"/>
      <c r="BR3156" s="81"/>
      <c r="BS3156" s="81"/>
      <c r="BT3156" s="81"/>
    </row>
    <row r="3157" spans="65:72" x14ac:dyDescent="0.25">
      <c r="BM3157" s="81"/>
      <c r="BN3157" s="81"/>
      <c r="BO3157" s="81"/>
      <c r="BP3157" s="81"/>
      <c r="BQ3157" s="81"/>
      <c r="BR3157" s="81"/>
      <c r="BS3157" s="81"/>
      <c r="BT3157" s="81"/>
    </row>
    <row r="3158" spans="65:72" x14ac:dyDescent="0.25">
      <c r="BM3158" s="81"/>
      <c r="BN3158" s="81"/>
      <c r="BO3158" s="81"/>
      <c r="BP3158" s="81"/>
      <c r="BQ3158" s="81"/>
      <c r="BR3158" s="81"/>
      <c r="BS3158" s="81"/>
      <c r="BT3158" s="81"/>
    </row>
    <row r="3159" spans="65:72" x14ac:dyDescent="0.25">
      <c r="BM3159" s="81"/>
      <c r="BN3159" s="81"/>
      <c r="BO3159" s="81"/>
      <c r="BP3159" s="81"/>
      <c r="BQ3159" s="81"/>
      <c r="BR3159" s="81"/>
      <c r="BS3159" s="81"/>
      <c r="BT3159" s="81"/>
    </row>
    <row r="3160" spans="65:72" x14ac:dyDescent="0.25">
      <c r="BM3160" s="81"/>
      <c r="BN3160" s="81"/>
      <c r="BO3160" s="81"/>
      <c r="BP3160" s="81"/>
      <c r="BQ3160" s="81"/>
      <c r="BR3160" s="81"/>
      <c r="BS3160" s="81"/>
      <c r="BT3160" s="81"/>
    </row>
    <row r="3161" spans="65:72" x14ac:dyDescent="0.25">
      <c r="BM3161" s="81"/>
      <c r="BN3161" s="81"/>
      <c r="BO3161" s="81"/>
      <c r="BP3161" s="81"/>
      <c r="BQ3161" s="81"/>
      <c r="BR3161" s="81"/>
      <c r="BS3161" s="81"/>
      <c r="BT3161" s="81"/>
    </row>
    <row r="3162" spans="65:72" x14ac:dyDescent="0.25">
      <c r="BM3162" s="81"/>
      <c r="BN3162" s="81"/>
      <c r="BO3162" s="81"/>
      <c r="BP3162" s="81"/>
      <c r="BQ3162" s="81"/>
      <c r="BR3162" s="81"/>
      <c r="BS3162" s="81"/>
      <c r="BT3162" s="81"/>
    </row>
    <row r="3163" spans="65:72" x14ac:dyDescent="0.25">
      <c r="BM3163" s="81"/>
      <c r="BN3163" s="81"/>
      <c r="BO3163" s="81"/>
      <c r="BP3163" s="81"/>
      <c r="BQ3163" s="81"/>
      <c r="BR3163" s="81"/>
      <c r="BS3163" s="81"/>
      <c r="BT3163" s="81"/>
    </row>
    <row r="3164" spans="65:72" x14ac:dyDescent="0.25">
      <c r="BM3164" s="81"/>
      <c r="BN3164" s="81"/>
      <c r="BO3164" s="81"/>
      <c r="BP3164" s="81"/>
      <c r="BQ3164" s="81"/>
      <c r="BR3164" s="81"/>
      <c r="BS3164" s="81"/>
      <c r="BT3164" s="81"/>
    </row>
    <row r="3165" spans="65:72" x14ac:dyDescent="0.25">
      <c r="BM3165" s="81"/>
      <c r="BN3165" s="81"/>
      <c r="BO3165" s="81"/>
      <c r="BP3165" s="81"/>
      <c r="BQ3165" s="81"/>
      <c r="BR3165" s="81"/>
      <c r="BS3165" s="81"/>
      <c r="BT3165" s="81"/>
    </row>
    <row r="3166" spans="65:72" x14ac:dyDescent="0.25">
      <c r="BM3166" s="81"/>
      <c r="BN3166" s="81"/>
      <c r="BO3166" s="81"/>
      <c r="BP3166" s="81"/>
      <c r="BQ3166" s="81"/>
      <c r="BR3166" s="81"/>
      <c r="BS3166" s="81"/>
      <c r="BT3166" s="81"/>
    </row>
    <row r="3167" spans="65:72" x14ac:dyDescent="0.25">
      <c r="BM3167" s="81"/>
      <c r="BN3167" s="81"/>
      <c r="BO3167" s="81"/>
      <c r="BP3167" s="81"/>
      <c r="BQ3167" s="81"/>
      <c r="BR3167" s="81"/>
      <c r="BS3167" s="81"/>
      <c r="BT3167" s="81"/>
    </row>
    <row r="3168" spans="65:72" x14ac:dyDescent="0.25">
      <c r="BM3168" s="81"/>
      <c r="BN3168" s="81"/>
      <c r="BO3168" s="81"/>
      <c r="BP3168" s="81"/>
      <c r="BQ3168" s="81"/>
      <c r="BR3168" s="81"/>
      <c r="BS3168" s="81"/>
      <c r="BT3168" s="81"/>
    </row>
    <row r="3169" spans="65:72" x14ac:dyDescent="0.25">
      <c r="BM3169" s="81"/>
      <c r="BN3169" s="81"/>
      <c r="BO3169" s="81"/>
      <c r="BP3169" s="81"/>
      <c r="BQ3169" s="81"/>
      <c r="BR3169" s="81"/>
      <c r="BS3169" s="81"/>
      <c r="BT3169" s="81"/>
    </row>
    <row r="3170" spans="65:72" x14ac:dyDescent="0.25">
      <c r="BM3170" s="81"/>
      <c r="BN3170" s="81"/>
      <c r="BO3170" s="81"/>
      <c r="BP3170" s="81"/>
      <c r="BQ3170" s="81"/>
      <c r="BR3170" s="81"/>
      <c r="BS3170" s="81"/>
      <c r="BT3170" s="81"/>
    </row>
    <row r="3171" spans="65:72" x14ac:dyDescent="0.25">
      <c r="BM3171" s="81"/>
      <c r="BN3171" s="81"/>
      <c r="BO3171" s="81"/>
      <c r="BP3171" s="81"/>
      <c r="BQ3171" s="81"/>
      <c r="BR3171" s="81"/>
      <c r="BS3171" s="81"/>
      <c r="BT3171" s="81"/>
    </row>
    <row r="3172" spans="65:72" x14ac:dyDescent="0.25">
      <c r="BM3172" s="81"/>
      <c r="BN3172" s="81"/>
      <c r="BO3172" s="81"/>
      <c r="BP3172" s="81"/>
      <c r="BQ3172" s="81"/>
      <c r="BR3172" s="81"/>
      <c r="BS3172" s="81"/>
      <c r="BT3172" s="81"/>
    </row>
    <row r="3173" spans="65:72" x14ac:dyDescent="0.25">
      <c r="BM3173" s="81"/>
      <c r="BN3173" s="81"/>
      <c r="BO3173" s="81"/>
      <c r="BP3173" s="81"/>
      <c r="BQ3173" s="81"/>
      <c r="BR3173" s="81"/>
      <c r="BS3173" s="81"/>
      <c r="BT3173" s="81"/>
    </row>
    <row r="3174" spans="65:72" x14ac:dyDescent="0.25">
      <c r="BM3174" s="81"/>
      <c r="BN3174" s="81"/>
      <c r="BO3174" s="81"/>
      <c r="BP3174" s="81"/>
      <c r="BQ3174" s="81"/>
      <c r="BR3174" s="81"/>
      <c r="BS3174" s="81"/>
      <c r="BT3174" s="81"/>
    </row>
    <row r="3175" spans="65:72" x14ac:dyDescent="0.25">
      <c r="BM3175" s="81"/>
      <c r="BN3175" s="81"/>
      <c r="BO3175" s="81"/>
      <c r="BP3175" s="81"/>
      <c r="BQ3175" s="81"/>
      <c r="BR3175" s="81"/>
      <c r="BS3175" s="81"/>
      <c r="BT3175" s="81"/>
    </row>
    <row r="3176" spans="65:72" x14ac:dyDescent="0.25">
      <c r="BM3176" s="81"/>
      <c r="BN3176" s="81"/>
      <c r="BO3176" s="81"/>
      <c r="BP3176" s="81"/>
      <c r="BQ3176" s="81"/>
      <c r="BR3176" s="81"/>
      <c r="BS3176" s="81"/>
      <c r="BT3176" s="81"/>
    </row>
    <row r="3177" spans="65:72" x14ac:dyDescent="0.25">
      <c r="BM3177" s="81"/>
      <c r="BN3177" s="81"/>
      <c r="BO3177" s="81"/>
      <c r="BP3177" s="81"/>
      <c r="BQ3177" s="81"/>
      <c r="BR3177" s="81"/>
      <c r="BS3177" s="81"/>
      <c r="BT3177" s="81"/>
    </row>
    <row r="3178" spans="65:72" x14ac:dyDescent="0.25">
      <c r="BM3178" s="81"/>
      <c r="BN3178" s="81"/>
      <c r="BO3178" s="81"/>
      <c r="BP3178" s="81"/>
      <c r="BQ3178" s="81"/>
      <c r="BR3178" s="81"/>
      <c r="BS3178" s="81"/>
      <c r="BT3178" s="81"/>
    </row>
    <row r="3179" spans="65:72" x14ac:dyDescent="0.25">
      <c r="BM3179" s="81"/>
      <c r="BN3179" s="81"/>
      <c r="BO3179" s="81"/>
      <c r="BP3179" s="81"/>
      <c r="BQ3179" s="81"/>
      <c r="BR3179" s="81"/>
      <c r="BS3179" s="81"/>
      <c r="BT3179" s="81"/>
    </row>
    <row r="3180" spans="65:72" x14ac:dyDescent="0.25">
      <c r="BM3180" s="81"/>
      <c r="BN3180" s="81"/>
      <c r="BO3180" s="81"/>
      <c r="BP3180" s="81"/>
      <c r="BQ3180" s="81"/>
      <c r="BR3180" s="81"/>
      <c r="BS3180" s="81"/>
      <c r="BT3180" s="81"/>
    </row>
    <row r="3181" spans="65:72" x14ac:dyDescent="0.25">
      <c r="BM3181" s="81"/>
      <c r="BN3181" s="81"/>
      <c r="BO3181" s="81"/>
      <c r="BP3181" s="81"/>
      <c r="BQ3181" s="81"/>
      <c r="BR3181" s="81"/>
      <c r="BS3181" s="81"/>
      <c r="BT3181" s="81"/>
    </row>
    <row r="3182" spans="65:72" x14ac:dyDescent="0.25">
      <c r="BM3182" s="81"/>
      <c r="BN3182" s="81"/>
      <c r="BO3182" s="81"/>
      <c r="BP3182" s="81"/>
      <c r="BQ3182" s="81"/>
      <c r="BR3182" s="81"/>
      <c r="BS3182" s="81"/>
      <c r="BT3182" s="81"/>
    </row>
    <row r="3183" spans="65:72" x14ac:dyDescent="0.25">
      <c r="BM3183" s="81"/>
      <c r="BN3183" s="81"/>
      <c r="BO3183" s="81"/>
      <c r="BP3183" s="81"/>
      <c r="BQ3183" s="81"/>
      <c r="BR3183" s="81"/>
      <c r="BS3183" s="81"/>
      <c r="BT3183" s="81"/>
    </row>
    <row r="3184" spans="65:72" x14ac:dyDescent="0.25">
      <c r="BM3184" s="81"/>
      <c r="BN3184" s="81"/>
      <c r="BO3184" s="81"/>
      <c r="BP3184" s="81"/>
      <c r="BQ3184" s="81"/>
      <c r="BR3184" s="81"/>
      <c r="BS3184" s="81"/>
      <c r="BT3184" s="81"/>
    </row>
    <row r="3185" spans="65:72" x14ac:dyDescent="0.25">
      <c r="BM3185" s="81"/>
      <c r="BN3185" s="81"/>
      <c r="BO3185" s="81"/>
      <c r="BP3185" s="81"/>
      <c r="BQ3185" s="81"/>
      <c r="BR3185" s="81"/>
      <c r="BS3185" s="81"/>
      <c r="BT3185" s="81"/>
    </row>
    <row r="3186" spans="65:72" x14ac:dyDescent="0.25">
      <c r="BM3186" s="81"/>
      <c r="BN3186" s="81"/>
      <c r="BO3186" s="81"/>
      <c r="BP3186" s="81"/>
      <c r="BQ3186" s="81"/>
      <c r="BR3186" s="81"/>
      <c r="BS3186" s="81"/>
      <c r="BT3186" s="81"/>
    </row>
    <row r="3187" spans="65:72" x14ac:dyDescent="0.25">
      <c r="BM3187" s="81"/>
      <c r="BN3187" s="81"/>
      <c r="BO3187" s="81"/>
      <c r="BP3187" s="81"/>
      <c r="BQ3187" s="81"/>
      <c r="BR3187" s="81"/>
      <c r="BS3187" s="81"/>
      <c r="BT3187" s="81"/>
    </row>
    <row r="3188" spans="65:72" x14ac:dyDescent="0.25">
      <c r="BM3188" s="81"/>
      <c r="BN3188" s="81"/>
      <c r="BO3188" s="81"/>
      <c r="BP3188" s="81"/>
      <c r="BQ3188" s="81"/>
      <c r="BR3188" s="81"/>
      <c r="BS3188" s="81"/>
      <c r="BT3188" s="81"/>
    </row>
    <row r="3189" spans="65:72" x14ac:dyDescent="0.25">
      <c r="BM3189" s="81"/>
      <c r="BN3189" s="81"/>
      <c r="BO3189" s="81"/>
      <c r="BP3189" s="81"/>
      <c r="BQ3189" s="81"/>
      <c r="BR3189" s="81"/>
      <c r="BS3189" s="81"/>
      <c r="BT3189" s="81"/>
    </row>
    <row r="3190" spans="65:72" x14ac:dyDescent="0.25">
      <c r="BM3190" s="81"/>
      <c r="BN3190" s="81"/>
      <c r="BO3190" s="81"/>
      <c r="BP3190" s="81"/>
      <c r="BQ3190" s="81"/>
      <c r="BR3190" s="81"/>
      <c r="BS3190" s="81"/>
      <c r="BT3190" s="81"/>
    </row>
    <row r="3191" spans="65:72" x14ac:dyDescent="0.25">
      <c r="BM3191" s="81"/>
      <c r="BN3191" s="81"/>
      <c r="BO3191" s="81"/>
      <c r="BP3191" s="81"/>
      <c r="BQ3191" s="81"/>
      <c r="BR3191" s="81"/>
      <c r="BS3191" s="81"/>
      <c r="BT3191" s="81"/>
    </row>
    <row r="3192" spans="65:72" x14ac:dyDescent="0.25">
      <c r="BM3192" s="81"/>
      <c r="BN3192" s="81"/>
      <c r="BO3192" s="81"/>
      <c r="BP3192" s="81"/>
      <c r="BQ3192" s="81"/>
      <c r="BR3192" s="81"/>
      <c r="BS3192" s="81"/>
      <c r="BT3192" s="81"/>
    </row>
    <row r="3193" spans="65:72" x14ac:dyDescent="0.25">
      <c r="BM3193" s="81"/>
      <c r="BN3193" s="81"/>
      <c r="BO3193" s="81"/>
      <c r="BP3193" s="81"/>
      <c r="BQ3193" s="81"/>
      <c r="BR3193" s="81"/>
      <c r="BS3193" s="81"/>
      <c r="BT3193" s="81"/>
    </row>
    <row r="3194" spans="65:72" x14ac:dyDescent="0.25">
      <c r="BM3194" s="81"/>
      <c r="BN3194" s="81"/>
      <c r="BO3194" s="81"/>
      <c r="BP3194" s="81"/>
      <c r="BQ3194" s="81"/>
      <c r="BR3194" s="81"/>
      <c r="BS3194" s="81"/>
      <c r="BT3194" s="81"/>
    </row>
    <row r="3195" spans="65:72" x14ac:dyDescent="0.25">
      <c r="BM3195" s="81"/>
      <c r="BN3195" s="81"/>
      <c r="BO3195" s="81"/>
      <c r="BP3195" s="81"/>
      <c r="BQ3195" s="81"/>
      <c r="BR3195" s="81"/>
      <c r="BS3195" s="81"/>
      <c r="BT3195" s="81"/>
    </row>
    <row r="3196" spans="65:72" x14ac:dyDescent="0.25">
      <c r="BM3196" s="81"/>
      <c r="BN3196" s="81"/>
      <c r="BO3196" s="81"/>
      <c r="BP3196" s="81"/>
      <c r="BQ3196" s="81"/>
      <c r="BR3196" s="81"/>
      <c r="BS3196" s="81"/>
      <c r="BT3196" s="81"/>
    </row>
    <row r="3197" spans="65:72" x14ac:dyDescent="0.25">
      <c r="BM3197" s="81"/>
      <c r="BN3197" s="81"/>
      <c r="BO3197" s="81"/>
      <c r="BP3197" s="81"/>
      <c r="BQ3197" s="81"/>
      <c r="BR3197" s="81"/>
      <c r="BS3197" s="81"/>
      <c r="BT3197" s="81"/>
    </row>
    <row r="3198" spans="65:72" x14ac:dyDescent="0.25">
      <c r="BM3198" s="81"/>
      <c r="BN3198" s="81"/>
      <c r="BO3198" s="81"/>
      <c r="BP3198" s="81"/>
      <c r="BQ3198" s="81"/>
      <c r="BR3198" s="81"/>
      <c r="BS3198" s="81"/>
      <c r="BT3198" s="81"/>
    </row>
    <row r="3199" spans="65:72" x14ac:dyDescent="0.25">
      <c r="BM3199" s="81"/>
      <c r="BN3199" s="81"/>
      <c r="BO3199" s="81"/>
      <c r="BP3199" s="81"/>
      <c r="BQ3199" s="81"/>
      <c r="BR3199" s="81"/>
      <c r="BS3199" s="81"/>
      <c r="BT3199" s="81"/>
    </row>
    <row r="3200" spans="65:72" x14ac:dyDescent="0.25">
      <c r="BM3200" s="81"/>
      <c r="BN3200" s="81"/>
      <c r="BO3200" s="81"/>
      <c r="BP3200" s="81"/>
      <c r="BQ3200" s="81"/>
      <c r="BR3200" s="81"/>
      <c r="BS3200" s="81"/>
      <c r="BT3200" s="81"/>
    </row>
    <row r="3201" spans="65:72" x14ac:dyDescent="0.25">
      <c r="BM3201" s="81"/>
      <c r="BN3201" s="81"/>
      <c r="BO3201" s="81"/>
      <c r="BP3201" s="81"/>
      <c r="BQ3201" s="81"/>
      <c r="BR3201" s="81"/>
      <c r="BS3201" s="81"/>
      <c r="BT3201" s="81"/>
    </row>
    <row r="3202" spans="65:72" x14ac:dyDescent="0.25">
      <c r="BM3202" s="81"/>
      <c r="BN3202" s="81"/>
      <c r="BO3202" s="81"/>
      <c r="BP3202" s="81"/>
      <c r="BQ3202" s="81"/>
      <c r="BR3202" s="81"/>
      <c r="BS3202" s="81"/>
      <c r="BT3202" s="81"/>
    </row>
    <row r="3203" spans="65:72" x14ac:dyDescent="0.25">
      <c r="BM3203" s="81"/>
      <c r="BN3203" s="81"/>
      <c r="BO3203" s="81"/>
      <c r="BP3203" s="81"/>
      <c r="BQ3203" s="81"/>
      <c r="BR3203" s="81"/>
      <c r="BS3203" s="81"/>
      <c r="BT3203" s="81"/>
    </row>
    <row r="3204" spans="65:72" x14ac:dyDescent="0.25">
      <c r="BM3204" s="81"/>
      <c r="BN3204" s="81"/>
      <c r="BO3204" s="81"/>
      <c r="BP3204" s="81"/>
      <c r="BQ3204" s="81"/>
      <c r="BR3204" s="81"/>
      <c r="BS3204" s="81"/>
      <c r="BT3204" s="81"/>
    </row>
    <row r="3205" spans="65:72" x14ac:dyDescent="0.25">
      <c r="BM3205" s="81"/>
      <c r="BN3205" s="81"/>
      <c r="BO3205" s="81"/>
      <c r="BP3205" s="81"/>
      <c r="BQ3205" s="81"/>
      <c r="BR3205" s="81"/>
      <c r="BS3205" s="81"/>
      <c r="BT3205" s="81"/>
    </row>
    <row r="3206" spans="65:72" x14ac:dyDescent="0.25">
      <c r="BM3206" s="81"/>
      <c r="BN3206" s="81"/>
      <c r="BO3206" s="81"/>
      <c r="BP3206" s="81"/>
      <c r="BQ3206" s="81"/>
      <c r="BR3206" s="81"/>
      <c r="BS3206" s="81"/>
      <c r="BT3206" s="81"/>
    </row>
    <row r="3207" spans="65:72" x14ac:dyDescent="0.25">
      <c r="BM3207" s="81"/>
      <c r="BN3207" s="81"/>
      <c r="BO3207" s="81"/>
      <c r="BP3207" s="81"/>
      <c r="BQ3207" s="81"/>
      <c r="BR3207" s="81"/>
      <c r="BS3207" s="81"/>
      <c r="BT3207" s="81"/>
    </row>
    <row r="3208" spans="65:72" x14ac:dyDescent="0.25">
      <c r="BM3208" s="81"/>
      <c r="BN3208" s="81"/>
      <c r="BO3208" s="81"/>
      <c r="BP3208" s="81"/>
      <c r="BQ3208" s="81"/>
      <c r="BR3208" s="81"/>
      <c r="BS3208" s="81"/>
      <c r="BT3208" s="81"/>
    </row>
    <row r="3209" spans="65:72" x14ac:dyDescent="0.25">
      <c r="BM3209" s="81"/>
      <c r="BN3209" s="81"/>
      <c r="BO3209" s="81"/>
      <c r="BP3209" s="81"/>
      <c r="BQ3209" s="81"/>
      <c r="BR3209" s="81"/>
      <c r="BS3209" s="81"/>
      <c r="BT3209" s="81"/>
    </row>
    <row r="3210" spans="65:72" x14ac:dyDescent="0.25">
      <c r="BM3210" s="81"/>
      <c r="BN3210" s="81"/>
      <c r="BO3210" s="81"/>
      <c r="BP3210" s="81"/>
      <c r="BQ3210" s="81"/>
      <c r="BR3210" s="81"/>
      <c r="BS3210" s="81"/>
      <c r="BT3210" s="81"/>
    </row>
    <row r="3211" spans="65:72" x14ac:dyDescent="0.25">
      <c r="BM3211" s="81"/>
      <c r="BN3211" s="81"/>
      <c r="BO3211" s="81"/>
      <c r="BP3211" s="81"/>
      <c r="BQ3211" s="81"/>
      <c r="BR3211" s="81"/>
      <c r="BS3211" s="81"/>
      <c r="BT3211" s="81"/>
    </row>
    <row r="3212" spans="65:72" x14ac:dyDescent="0.25">
      <c r="BM3212" s="81"/>
      <c r="BN3212" s="81"/>
      <c r="BO3212" s="81"/>
      <c r="BP3212" s="81"/>
      <c r="BQ3212" s="81"/>
      <c r="BR3212" s="81"/>
      <c r="BS3212" s="81"/>
      <c r="BT3212" s="81"/>
    </row>
    <row r="3213" spans="65:72" x14ac:dyDescent="0.25">
      <c r="BM3213" s="81"/>
      <c r="BN3213" s="81"/>
      <c r="BO3213" s="81"/>
      <c r="BP3213" s="81"/>
      <c r="BQ3213" s="81"/>
      <c r="BR3213" s="81"/>
      <c r="BS3213" s="81"/>
      <c r="BT3213" s="81"/>
    </row>
    <row r="3214" spans="65:72" x14ac:dyDescent="0.25">
      <c r="BM3214" s="81"/>
      <c r="BN3214" s="81"/>
      <c r="BO3214" s="81"/>
      <c r="BP3214" s="81"/>
      <c r="BQ3214" s="81"/>
      <c r="BR3214" s="81"/>
      <c r="BS3214" s="81"/>
      <c r="BT3214" s="81"/>
    </row>
    <row r="3215" spans="65:72" x14ac:dyDescent="0.25">
      <c r="BM3215" s="81"/>
      <c r="BN3215" s="81"/>
      <c r="BO3215" s="81"/>
      <c r="BP3215" s="81"/>
      <c r="BQ3215" s="81"/>
      <c r="BR3215" s="81"/>
      <c r="BS3215" s="81"/>
      <c r="BT3215" s="81"/>
    </row>
    <row r="3216" spans="65:72" x14ac:dyDescent="0.25">
      <c r="BM3216" s="81"/>
      <c r="BN3216" s="81"/>
      <c r="BO3216" s="81"/>
      <c r="BP3216" s="81"/>
      <c r="BQ3216" s="81"/>
      <c r="BR3216" s="81"/>
      <c r="BS3216" s="81"/>
      <c r="BT3216" s="81"/>
    </row>
    <row r="3217" spans="65:72" x14ac:dyDescent="0.25">
      <c r="BM3217" s="81"/>
      <c r="BN3217" s="81"/>
      <c r="BO3217" s="81"/>
      <c r="BP3217" s="81"/>
      <c r="BQ3217" s="81"/>
      <c r="BR3217" s="81"/>
      <c r="BS3217" s="81"/>
      <c r="BT3217" s="81"/>
    </row>
    <row r="3218" spans="65:72" x14ac:dyDescent="0.25">
      <c r="BM3218" s="81"/>
      <c r="BN3218" s="81"/>
      <c r="BO3218" s="81"/>
      <c r="BP3218" s="81"/>
      <c r="BQ3218" s="81"/>
      <c r="BR3218" s="81"/>
      <c r="BS3218" s="81"/>
      <c r="BT3218" s="81"/>
    </row>
    <row r="3219" spans="65:72" x14ac:dyDescent="0.25">
      <c r="BM3219" s="81"/>
      <c r="BN3219" s="81"/>
      <c r="BO3219" s="81"/>
      <c r="BP3219" s="81"/>
      <c r="BQ3219" s="81"/>
      <c r="BR3219" s="81"/>
      <c r="BS3219" s="81"/>
      <c r="BT3219" s="81"/>
    </row>
    <row r="3220" spans="65:72" x14ac:dyDescent="0.25">
      <c r="BM3220" s="81"/>
      <c r="BN3220" s="81"/>
      <c r="BO3220" s="81"/>
      <c r="BP3220" s="81"/>
      <c r="BQ3220" s="81"/>
      <c r="BR3220" s="81"/>
      <c r="BS3220" s="81"/>
      <c r="BT3220" s="81"/>
    </row>
    <row r="3221" spans="65:72" x14ac:dyDescent="0.25">
      <c r="BM3221" s="81"/>
      <c r="BN3221" s="81"/>
      <c r="BO3221" s="81"/>
      <c r="BP3221" s="81"/>
      <c r="BQ3221" s="81"/>
      <c r="BR3221" s="81"/>
      <c r="BS3221" s="81"/>
      <c r="BT3221" s="81"/>
    </row>
    <row r="3222" spans="65:72" x14ac:dyDescent="0.25">
      <c r="BM3222" s="81"/>
      <c r="BN3222" s="81"/>
      <c r="BO3222" s="81"/>
      <c r="BP3222" s="81"/>
      <c r="BQ3222" s="81"/>
      <c r="BR3222" s="81"/>
      <c r="BS3222" s="81"/>
      <c r="BT3222" s="81"/>
    </row>
    <row r="3223" spans="65:72" x14ac:dyDescent="0.25">
      <c r="BM3223" s="81"/>
      <c r="BN3223" s="81"/>
      <c r="BO3223" s="81"/>
      <c r="BP3223" s="81"/>
      <c r="BQ3223" s="81"/>
      <c r="BR3223" s="81"/>
      <c r="BS3223" s="81"/>
      <c r="BT3223" s="81"/>
    </row>
    <row r="3224" spans="65:72" x14ac:dyDescent="0.25">
      <c r="BM3224" s="81"/>
      <c r="BN3224" s="81"/>
      <c r="BO3224" s="81"/>
      <c r="BP3224" s="81"/>
      <c r="BQ3224" s="81"/>
      <c r="BR3224" s="81"/>
      <c r="BS3224" s="81"/>
      <c r="BT3224" s="81"/>
    </row>
    <row r="3225" spans="65:72" x14ac:dyDescent="0.25">
      <c r="BM3225" s="81"/>
      <c r="BN3225" s="81"/>
      <c r="BO3225" s="81"/>
      <c r="BP3225" s="81"/>
      <c r="BQ3225" s="81"/>
      <c r="BR3225" s="81"/>
      <c r="BS3225" s="81"/>
      <c r="BT3225" s="81"/>
    </row>
    <row r="3226" spans="65:72" x14ac:dyDescent="0.25">
      <c r="BM3226" s="81"/>
      <c r="BN3226" s="81"/>
      <c r="BO3226" s="81"/>
      <c r="BP3226" s="81"/>
      <c r="BQ3226" s="81"/>
      <c r="BR3226" s="81"/>
      <c r="BS3226" s="81"/>
      <c r="BT3226" s="81"/>
    </row>
    <row r="3227" spans="65:72" x14ac:dyDescent="0.25">
      <c r="BM3227" s="81"/>
      <c r="BN3227" s="81"/>
      <c r="BO3227" s="81"/>
      <c r="BP3227" s="81"/>
      <c r="BQ3227" s="81"/>
      <c r="BR3227" s="81"/>
      <c r="BS3227" s="81"/>
      <c r="BT3227" s="81"/>
    </row>
    <row r="3228" spans="65:72" x14ac:dyDescent="0.25">
      <c r="BM3228" s="81"/>
      <c r="BN3228" s="81"/>
      <c r="BO3228" s="81"/>
      <c r="BP3228" s="81"/>
      <c r="BQ3228" s="81"/>
      <c r="BR3228" s="81"/>
      <c r="BS3228" s="81"/>
      <c r="BT3228" s="81"/>
    </row>
    <row r="3229" spans="65:72" x14ac:dyDescent="0.25">
      <c r="BM3229" s="81"/>
      <c r="BN3229" s="81"/>
      <c r="BO3229" s="81"/>
      <c r="BP3229" s="81"/>
      <c r="BQ3229" s="81"/>
      <c r="BR3229" s="81"/>
      <c r="BS3229" s="81"/>
      <c r="BT3229" s="81"/>
    </row>
    <row r="3230" spans="65:72" x14ac:dyDescent="0.25">
      <c r="BM3230" s="81"/>
      <c r="BN3230" s="81"/>
      <c r="BO3230" s="81"/>
      <c r="BP3230" s="81"/>
      <c r="BQ3230" s="81"/>
      <c r="BR3230" s="81"/>
      <c r="BS3230" s="81"/>
      <c r="BT3230" s="81"/>
    </row>
    <row r="3231" spans="65:72" x14ac:dyDescent="0.25">
      <c r="BM3231" s="81"/>
      <c r="BN3231" s="81"/>
      <c r="BO3231" s="81"/>
      <c r="BP3231" s="81"/>
      <c r="BQ3231" s="81"/>
      <c r="BR3231" s="81"/>
      <c r="BS3231" s="81"/>
      <c r="BT3231" s="81"/>
    </row>
    <row r="3232" spans="65:72" x14ac:dyDescent="0.25">
      <c r="BM3232" s="81"/>
      <c r="BN3232" s="81"/>
      <c r="BO3232" s="81"/>
      <c r="BP3232" s="81"/>
      <c r="BQ3232" s="81"/>
      <c r="BR3232" s="81"/>
      <c r="BS3232" s="81"/>
      <c r="BT3232" s="81"/>
    </row>
    <row r="3233" spans="65:72" x14ac:dyDescent="0.25">
      <c r="BM3233" s="81"/>
      <c r="BN3233" s="81"/>
      <c r="BO3233" s="81"/>
      <c r="BP3233" s="81"/>
      <c r="BQ3233" s="81"/>
      <c r="BR3233" s="81"/>
      <c r="BS3233" s="81"/>
      <c r="BT3233" s="81"/>
    </row>
    <row r="3234" spans="65:72" x14ac:dyDescent="0.25">
      <c r="BM3234" s="81"/>
      <c r="BN3234" s="81"/>
      <c r="BO3234" s="81"/>
      <c r="BP3234" s="81"/>
      <c r="BQ3234" s="81"/>
      <c r="BR3234" s="81"/>
      <c r="BS3234" s="81"/>
      <c r="BT3234" s="81"/>
    </row>
    <row r="3235" spans="65:72" x14ac:dyDescent="0.25">
      <c r="BM3235" s="81"/>
      <c r="BN3235" s="81"/>
      <c r="BO3235" s="81"/>
      <c r="BP3235" s="81"/>
      <c r="BQ3235" s="81"/>
      <c r="BR3235" s="81"/>
      <c r="BS3235" s="81"/>
      <c r="BT3235" s="81"/>
    </row>
    <row r="3236" spans="65:72" x14ac:dyDescent="0.25">
      <c r="BM3236" s="81"/>
      <c r="BN3236" s="81"/>
      <c r="BO3236" s="81"/>
      <c r="BP3236" s="81"/>
      <c r="BQ3236" s="81"/>
      <c r="BR3236" s="81"/>
      <c r="BS3236" s="81"/>
      <c r="BT3236" s="81"/>
    </row>
    <row r="3237" spans="65:72" x14ac:dyDescent="0.25">
      <c r="BM3237" s="81"/>
      <c r="BN3237" s="81"/>
      <c r="BO3237" s="81"/>
      <c r="BP3237" s="81"/>
      <c r="BQ3237" s="81"/>
      <c r="BR3237" s="81"/>
      <c r="BS3237" s="81"/>
      <c r="BT3237" s="81"/>
    </row>
    <row r="3238" spans="65:72" x14ac:dyDescent="0.25">
      <c r="BM3238" s="81"/>
      <c r="BN3238" s="81"/>
      <c r="BO3238" s="81"/>
      <c r="BP3238" s="81"/>
      <c r="BQ3238" s="81"/>
      <c r="BR3238" s="81"/>
      <c r="BS3238" s="81"/>
      <c r="BT3238" s="81"/>
    </row>
    <row r="3239" spans="65:72" x14ac:dyDescent="0.25">
      <c r="BM3239" s="81"/>
      <c r="BN3239" s="81"/>
      <c r="BO3239" s="81"/>
      <c r="BP3239" s="81"/>
      <c r="BQ3239" s="81"/>
      <c r="BR3239" s="81"/>
      <c r="BS3239" s="81"/>
      <c r="BT3239" s="81"/>
    </row>
    <row r="3240" spans="65:72" x14ac:dyDescent="0.25">
      <c r="BM3240" s="81"/>
      <c r="BN3240" s="81"/>
      <c r="BO3240" s="81"/>
      <c r="BP3240" s="81"/>
      <c r="BQ3240" s="81"/>
      <c r="BR3240" s="81"/>
      <c r="BS3240" s="81"/>
      <c r="BT3240" s="81"/>
    </row>
    <row r="3241" spans="65:72" x14ac:dyDescent="0.25">
      <c r="BM3241" s="81"/>
      <c r="BN3241" s="81"/>
      <c r="BO3241" s="81"/>
      <c r="BP3241" s="81"/>
      <c r="BQ3241" s="81"/>
      <c r="BR3241" s="81"/>
      <c r="BS3241" s="81"/>
      <c r="BT3241" s="81"/>
    </row>
    <row r="3242" spans="65:72" x14ac:dyDescent="0.25">
      <c r="BM3242" s="81"/>
      <c r="BN3242" s="81"/>
      <c r="BO3242" s="81"/>
      <c r="BP3242" s="81"/>
      <c r="BQ3242" s="81"/>
      <c r="BR3242" s="81"/>
      <c r="BS3242" s="81"/>
      <c r="BT3242" s="81"/>
    </row>
    <row r="3243" spans="65:72" x14ac:dyDescent="0.25">
      <c r="BM3243" s="81"/>
      <c r="BN3243" s="81"/>
      <c r="BO3243" s="81"/>
      <c r="BP3243" s="81"/>
      <c r="BQ3243" s="81"/>
      <c r="BR3243" s="81"/>
      <c r="BS3243" s="81"/>
      <c r="BT3243" s="81"/>
    </row>
    <row r="3244" spans="65:72" x14ac:dyDescent="0.25">
      <c r="BM3244" s="81"/>
      <c r="BN3244" s="81"/>
      <c r="BO3244" s="81"/>
      <c r="BP3244" s="81"/>
      <c r="BQ3244" s="81"/>
      <c r="BR3244" s="81"/>
      <c r="BS3244" s="81"/>
      <c r="BT3244" s="81"/>
    </row>
    <row r="3245" spans="65:72" x14ac:dyDescent="0.25">
      <c r="BM3245" s="81"/>
      <c r="BN3245" s="81"/>
      <c r="BO3245" s="81"/>
      <c r="BP3245" s="81"/>
      <c r="BQ3245" s="81"/>
      <c r="BR3245" s="81"/>
      <c r="BS3245" s="81"/>
      <c r="BT3245" s="81"/>
    </row>
    <row r="3246" spans="65:72" x14ac:dyDescent="0.25">
      <c r="BM3246" s="81"/>
      <c r="BN3246" s="81"/>
      <c r="BO3246" s="81"/>
      <c r="BP3246" s="81"/>
      <c r="BQ3246" s="81"/>
      <c r="BR3246" s="81"/>
      <c r="BS3246" s="81"/>
      <c r="BT3246" s="81"/>
    </row>
    <row r="3247" spans="65:72" x14ac:dyDescent="0.25">
      <c r="BM3247" s="81"/>
      <c r="BN3247" s="81"/>
      <c r="BO3247" s="81"/>
      <c r="BP3247" s="81"/>
      <c r="BQ3247" s="81"/>
      <c r="BR3247" s="81"/>
      <c r="BS3247" s="81"/>
      <c r="BT3247" s="81"/>
    </row>
    <row r="3248" spans="65:72" x14ac:dyDescent="0.25">
      <c r="BM3248" s="81"/>
      <c r="BN3248" s="81"/>
      <c r="BO3248" s="81"/>
      <c r="BP3248" s="81"/>
      <c r="BQ3248" s="81"/>
      <c r="BR3248" s="81"/>
      <c r="BS3248" s="81"/>
      <c r="BT3248" s="81"/>
    </row>
    <row r="3249" spans="65:72" x14ac:dyDescent="0.25">
      <c r="BM3249" s="81"/>
      <c r="BN3249" s="81"/>
      <c r="BO3249" s="81"/>
      <c r="BP3249" s="81"/>
      <c r="BQ3249" s="81"/>
      <c r="BR3249" s="81"/>
      <c r="BS3249" s="81"/>
      <c r="BT3249" s="81"/>
    </row>
    <row r="3250" spans="65:72" x14ac:dyDescent="0.25">
      <c r="BM3250" s="81"/>
      <c r="BN3250" s="81"/>
      <c r="BO3250" s="81"/>
      <c r="BP3250" s="81"/>
      <c r="BQ3250" s="81"/>
      <c r="BR3250" s="81"/>
      <c r="BS3250" s="81"/>
      <c r="BT3250" s="81"/>
    </row>
    <row r="3251" spans="65:72" x14ac:dyDescent="0.25">
      <c r="BM3251" s="81"/>
      <c r="BN3251" s="81"/>
      <c r="BO3251" s="81"/>
      <c r="BP3251" s="81"/>
      <c r="BQ3251" s="81"/>
      <c r="BR3251" s="81"/>
      <c r="BS3251" s="81"/>
      <c r="BT3251" s="81"/>
    </row>
    <row r="3252" spans="65:72" x14ac:dyDescent="0.25">
      <c r="BM3252" s="81"/>
      <c r="BN3252" s="81"/>
      <c r="BO3252" s="81"/>
      <c r="BP3252" s="81"/>
      <c r="BQ3252" s="81"/>
      <c r="BR3252" s="81"/>
      <c r="BS3252" s="81"/>
      <c r="BT3252" s="81"/>
    </row>
    <row r="3253" spans="65:72" x14ac:dyDescent="0.25">
      <c r="BM3253" s="81"/>
      <c r="BN3253" s="81"/>
      <c r="BO3253" s="81"/>
      <c r="BP3253" s="81"/>
      <c r="BQ3253" s="81"/>
      <c r="BR3253" s="81"/>
      <c r="BS3253" s="81"/>
      <c r="BT3253" s="81"/>
    </row>
    <row r="3254" spans="65:72" x14ac:dyDescent="0.25">
      <c r="BM3254" s="81"/>
      <c r="BN3254" s="81"/>
      <c r="BO3254" s="81"/>
      <c r="BP3254" s="81"/>
      <c r="BQ3254" s="81"/>
      <c r="BR3254" s="81"/>
      <c r="BS3254" s="81"/>
      <c r="BT3254" s="81"/>
    </row>
    <row r="3255" spans="65:72" x14ac:dyDescent="0.25">
      <c r="BM3255" s="81"/>
      <c r="BN3255" s="81"/>
      <c r="BO3255" s="81"/>
      <c r="BP3255" s="81"/>
      <c r="BQ3255" s="81"/>
      <c r="BR3255" s="81"/>
      <c r="BS3255" s="81"/>
      <c r="BT3255" s="81"/>
    </row>
    <row r="3256" spans="65:72" x14ac:dyDescent="0.25">
      <c r="BM3256" s="81"/>
      <c r="BN3256" s="81"/>
      <c r="BO3256" s="81"/>
      <c r="BP3256" s="81"/>
      <c r="BQ3256" s="81"/>
      <c r="BR3256" s="81"/>
      <c r="BS3256" s="81"/>
      <c r="BT3256" s="81"/>
    </row>
    <row r="3257" spans="65:72" x14ac:dyDescent="0.25">
      <c r="BM3257" s="81"/>
      <c r="BN3257" s="81"/>
      <c r="BO3257" s="81"/>
      <c r="BP3257" s="81"/>
      <c r="BQ3257" s="81"/>
      <c r="BR3257" s="81"/>
      <c r="BS3257" s="81"/>
      <c r="BT3257" s="81"/>
    </row>
    <row r="3258" spans="65:72" x14ac:dyDescent="0.25">
      <c r="BM3258" s="81"/>
      <c r="BN3258" s="81"/>
      <c r="BO3258" s="81"/>
      <c r="BP3258" s="81"/>
      <c r="BQ3258" s="81"/>
      <c r="BR3258" s="81"/>
      <c r="BS3258" s="81"/>
      <c r="BT3258" s="81"/>
    </row>
    <row r="3259" spans="65:72" x14ac:dyDescent="0.25">
      <c r="BM3259" s="81"/>
      <c r="BN3259" s="81"/>
      <c r="BO3259" s="81"/>
      <c r="BP3259" s="81"/>
      <c r="BQ3259" s="81"/>
      <c r="BR3259" s="81"/>
      <c r="BS3259" s="81"/>
      <c r="BT3259" s="81"/>
    </row>
    <row r="3260" spans="65:72" x14ac:dyDescent="0.25">
      <c r="BM3260" s="81"/>
      <c r="BN3260" s="81"/>
      <c r="BO3260" s="81"/>
      <c r="BP3260" s="81"/>
      <c r="BQ3260" s="81"/>
      <c r="BR3260" s="81"/>
      <c r="BS3260" s="81"/>
      <c r="BT3260" s="81"/>
    </row>
    <row r="3261" spans="65:72" x14ac:dyDescent="0.25">
      <c r="BM3261" s="81"/>
      <c r="BN3261" s="81"/>
      <c r="BO3261" s="81"/>
      <c r="BP3261" s="81"/>
      <c r="BQ3261" s="81"/>
      <c r="BR3261" s="81"/>
      <c r="BS3261" s="81"/>
      <c r="BT3261" s="81"/>
    </row>
    <row r="3262" spans="65:72" x14ac:dyDescent="0.25">
      <c r="BM3262" s="81"/>
      <c r="BN3262" s="81"/>
      <c r="BO3262" s="81"/>
      <c r="BP3262" s="81"/>
      <c r="BQ3262" s="81"/>
      <c r="BR3262" s="81"/>
      <c r="BS3262" s="81"/>
      <c r="BT3262" s="81"/>
    </row>
    <row r="3263" spans="65:72" x14ac:dyDescent="0.25">
      <c r="BM3263" s="81"/>
      <c r="BN3263" s="81"/>
      <c r="BO3263" s="81"/>
      <c r="BP3263" s="81"/>
      <c r="BQ3263" s="81"/>
      <c r="BR3263" s="81"/>
      <c r="BS3263" s="81"/>
      <c r="BT3263" s="81"/>
    </row>
    <row r="3264" spans="65:72" x14ac:dyDescent="0.25">
      <c r="BM3264" s="81"/>
      <c r="BN3264" s="81"/>
      <c r="BO3264" s="81"/>
      <c r="BP3264" s="81"/>
      <c r="BQ3264" s="81"/>
      <c r="BR3264" s="81"/>
      <c r="BS3264" s="81"/>
      <c r="BT3264" s="81"/>
    </row>
    <row r="3265" spans="65:72" x14ac:dyDescent="0.25">
      <c r="BM3265" s="81"/>
      <c r="BN3265" s="81"/>
      <c r="BO3265" s="81"/>
      <c r="BP3265" s="81"/>
      <c r="BQ3265" s="81"/>
      <c r="BR3265" s="81"/>
      <c r="BS3265" s="81"/>
      <c r="BT3265" s="81"/>
    </row>
    <row r="3266" spans="65:72" x14ac:dyDescent="0.25">
      <c r="BM3266" s="81"/>
      <c r="BN3266" s="81"/>
      <c r="BO3266" s="81"/>
      <c r="BP3266" s="81"/>
      <c r="BQ3266" s="81"/>
      <c r="BR3266" s="81"/>
      <c r="BS3266" s="81"/>
      <c r="BT3266" s="81"/>
    </row>
    <row r="3267" spans="65:72" x14ac:dyDescent="0.25">
      <c r="BM3267" s="81"/>
      <c r="BN3267" s="81"/>
      <c r="BO3267" s="81"/>
      <c r="BP3267" s="81"/>
      <c r="BQ3267" s="81"/>
      <c r="BR3267" s="81"/>
      <c r="BS3267" s="81"/>
      <c r="BT3267" s="81"/>
    </row>
    <row r="3268" spans="65:72" x14ac:dyDescent="0.25">
      <c r="BM3268" s="81"/>
      <c r="BN3268" s="81"/>
      <c r="BO3268" s="81"/>
      <c r="BP3268" s="81"/>
      <c r="BQ3268" s="81"/>
      <c r="BR3268" s="81"/>
      <c r="BS3268" s="81"/>
      <c r="BT3268" s="81"/>
    </row>
    <row r="3269" spans="65:72" x14ac:dyDescent="0.25">
      <c r="BM3269" s="81"/>
      <c r="BN3269" s="81"/>
      <c r="BO3269" s="81"/>
      <c r="BP3269" s="81"/>
      <c r="BQ3269" s="81"/>
      <c r="BR3269" s="81"/>
      <c r="BS3269" s="81"/>
      <c r="BT3269" s="81"/>
    </row>
    <row r="3270" spans="65:72" x14ac:dyDescent="0.25">
      <c r="BM3270" s="81"/>
      <c r="BN3270" s="81"/>
      <c r="BO3270" s="81"/>
      <c r="BP3270" s="81"/>
      <c r="BQ3270" s="81"/>
      <c r="BR3270" s="81"/>
      <c r="BS3270" s="81"/>
      <c r="BT3270" s="81"/>
    </row>
    <row r="3271" spans="65:72" x14ac:dyDescent="0.25">
      <c r="BM3271" s="81"/>
      <c r="BN3271" s="81"/>
      <c r="BO3271" s="81"/>
      <c r="BP3271" s="81"/>
      <c r="BQ3271" s="81"/>
      <c r="BR3271" s="81"/>
      <c r="BS3271" s="81"/>
      <c r="BT3271" s="81"/>
    </row>
    <row r="3272" spans="65:72" x14ac:dyDescent="0.25">
      <c r="BM3272" s="81"/>
      <c r="BN3272" s="81"/>
      <c r="BO3272" s="81"/>
      <c r="BP3272" s="81"/>
      <c r="BQ3272" s="81"/>
      <c r="BR3272" s="81"/>
      <c r="BS3272" s="81"/>
      <c r="BT3272" s="81"/>
    </row>
    <row r="3273" spans="65:72" x14ac:dyDescent="0.25">
      <c r="BM3273" s="81"/>
      <c r="BN3273" s="81"/>
      <c r="BO3273" s="81"/>
      <c r="BP3273" s="81"/>
      <c r="BQ3273" s="81"/>
      <c r="BR3273" s="81"/>
      <c r="BS3273" s="81"/>
      <c r="BT3273" s="81"/>
    </row>
    <row r="3274" spans="65:72" x14ac:dyDescent="0.25">
      <c r="BM3274" s="81"/>
      <c r="BN3274" s="81"/>
      <c r="BO3274" s="81"/>
      <c r="BP3274" s="81"/>
      <c r="BQ3274" s="81"/>
      <c r="BR3274" s="81"/>
      <c r="BS3274" s="81"/>
      <c r="BT3274" s="81"/>
    </row>
    <row r="3275" spans="65:72" x14ac:dyDescent="0.25">
      <c r="BM3275" s="81"/>
      <c r="BN3275" s="81"/>
      <c r="BO3275" s="81"/>
      <c r="BP3275" s="81"/>
      <c r="BQ3275" s="81"/>
      <c r="BR3275" s="81"/>
      <c r="BS3275" s="81"/>
      <c r="BT3275" s="81"/>
    </row>
    <row r="3276" spans="65:72" x14ac:dyDescent="0.25">
      <c r="BM3276" s="81"/>
      <c r="BN3276" s="81"/>
      <c r="BO3276" s="81"/>
      <c r="BP3276" s="81"/>
      <c r="BQ3276" s="81"/>
      <c r="BR3276" s="81"/>
      <c r="BS3276" s="81"/>
      <c r="BT3276" s="81"/>
    </row>
    <row r="3277" spans="65:72" x14ac:dyDescent="0.25">
      <c r="BM3277" s="81"/>
      <c r="BN3277" s="81"/>
      <c r="BO3277" s="81"/>
      <c r="BP3277" s="81"/>
      <c r="BQ3277" s="81"/>
      <c r="BR3277" s="81"/>
      <c r="BS3277" s="81"/>
      <c r="BT3277" s="81"/>
    </row>
    <row r="3278" spans="65:72" x14ac:dyDescent="0.25">
      <c r="BM3278" s="81"/>
      <c r="BN3278" s="81"/>
      <c r="BO3278" s="81"/>
      <c r="BP3278" s="81"/>
      <c r="BQ3278" s="81"/>
      <c r="BR3278" s="81"/>
      <c r="BS3278" s="81"/>
      <c r="BT3278" s="81"/>
    </row>
    <row r="3279" spans="65:72" x14ac:dyDescent="0.25">
      <c r="BM3279" s="81"/>
      <c r="BN3279" s="81"/>
      <c r="BO3279" s="81"/>
      <c r="BP3279" s="81"/>
      <c r="BQ3279" s="81"/>
      <c r="BR3279" s="81"/>
      <c r="BS3279" s="81"/>
      <c r="BT3279" s="81"/>
    </row>
    <row r="3280" spans="65:72" x14ac:dyDescent="0.25">
      <c r="BM3280" s="81"/>
      <c r="BN3280" s="81"/>
      <c r="BO3280" s="81"/>
      <c r="BP3280" s="81"/>
      <c r="BQ3280" s="81"/>
      <c r="BR3280" s="81"/>
      <c r="BS3280" s="81"/>
      <c r="BT3280" s="81"/>
    </row>
    <row r="3281" spans="65:72" x14ac:dyDescent="0.25">
      <c r="BM3281" s="81"/>
      <c r="BN3281" s="81"/>
      <c r="BO3281" s="81"/>
      <c r="BP3281" s="81"/>
      <c r="BQ3281" s="81"/>
      <c r="BR3281" s="81"/>
      <c r="BS3281" s="81"/>
      <c r="BT3281" s="81"/>
    </row>
    <row r="3282" spans="65:72" x14ac:dyDescent="0.25">
      <c r="BM3282" s="81"/>
      <c r="BN3282" s="81"/>
      <c r="BO3282" s="81"/>
      <c r="BP3282" s="81"/>
      <c r="BQ3282" s="81"/>
      <c r="BR3282" s="81"/>
      <c r="BS3282" s="81"/>
      <c r="BT3282" s="81"/>
    </row>
    <row r="3283" spans="65:72" x14ac:dyDescent="0.25">
      <c r="BM3283" s="81"/>
      <c r="BN3283" s="81"/>
      <c r="BO3283" s="81"/>
      <c r="BP3283" s="81"/>
      <c r="BQ3283" s="81"/>
      <c r="BR3283" s="81"/>
      <c r="BS3283" s="81"/>
      <c r="BT3283" s="81"/>
    </row>
    <row r="3284" spans="65:72" x14ac:dyDescent="0.25">
      <c r="BM3284" s="81"/>
      <c r="BN3284" s="81"/>
      <c r="BO3284" s="81"/>
      <c r="BP3284" s="81"/>
      <c r="BQ3284" s="81"/>
      <c r="BR3284" s="81"/>
      <c r="BS3284" s="81"/>
      <c r="BT3284" s="81"/>
    </row>
    <row r="3285" spans="65:72" x14ac:dyDescent="0.25">
      <c r="BM3285" s="81"/>
      <c r="BN3285" s="81"/>
      <c r="BO3285" s="81"/>
      <c r="BP3285" s="81"/>
      <c r="BQ3285" s="81"/>
      <c r="BR3285" s="81"/>
      <c r="BS3285" s="81"/>
      <c r="BT3285" s="81"/>
    </row>
    <row r="3286" spans="65:72" x14ac:dyDescent="0.25">
      <c r="BM3286" s="81"/>
      <c r="BN3286" s="81"/>
      <c r="BO3286" s="81"/>
      <c r="BP3286" s="81"/>
      <c r="BQ3286" s="81"/>
      <c r="BR3286" s="81"/>
      <c r="BS3286" s="81"/>
      <c r="BT3286" s="81"/>
    </row>
    <row r="3287" spans="65:72" x14ac:dyDescent="0.25">
      <c r="BM3287" s="81"/>
      <c r="BN3287" s="81"/>
      <c r="BO3287" s="81"/>
      <c r="BP3287" s="81"/>
      <c r="BQ3287" s="81"/>
      <c r="BR3287" s="81"/>
      <c r="BS3287" s="81"/>
      <c r="BT3287" s="81"/>
    </row>
    <row r="3288" spans="65:72" x14ac:dyDescent="0.25">
      <c r="BM3288" s="81"/>
      <c r="BN3288" s="81"/>
      <c r="BO3288" s="81"/>
      <c r="BP3288" s="81"/>
      <c r="BQ3288" s="81"/>
      <c r="BR3288" s="81"/>
      <c r="BS3288" s="81"/>
      <c r="BT3288" s="81"/>
    </row>
    <row r="3289" spans="65:72" x14ac:dyDescent="0.25">
      <c r="BM3289" s="81"/>
      <c r="BN3289" s="81"/>
      <c r="BO3289" s="81"/>
      <c r="BP3289" s="81"/>
      <c r="BQ3289" s="81"/>
      <c r="BR3289" s="81"/>
      <c r="BS3289" s="81"/>
      <c r="BT3289" s="81"/>
    </row>
    <row r="3290" spans="65:72" x14ac:dyDescent="0.25">
      <c r="BM3290" s="81"/>
      <c r="BN3290" s="81"/>
      <c r="BO3290" s="81"/>
      <c r="BP3290" s="81"/>
      <c r="BQ3290" s="81"/>
      <c r="BR3290" s="81"/>
      <c r="BS3290" s="81"/>
      <c r="BT3290" s="81"/>
    </row>
    <row r="3291" spans="65:72" x14ac:dyDescent="0.25">
      <c r="BM3291" s="81"/>
      <c r="BN3291" s="81"/>
      <c r="BO3291" s="81"/>
      <c r="BP3291" s="81"/>
      <c r="BQ3291" s="81"/>
      <c r="BR3291" s="81"/>
      <c r="BS3291" s="81"/>
      <c r="BT3291" s="81"/>
    </row>
    <row r="3292" spans="65:72" x14ac:dyDescent="0.25">
      <c r="BM3292" s="81"/>
      <c r="BN3292" s="81"/>
      <c r="BO3292" s="81"/>
      <c r="BP3292" s="81"/>
      <c r="BQ3292" s="81"/>
      <c r="BR3292" s="81"/>
      <c r="BS3292" s="81"/>
      <c r="BT3292" s="81"/>
    </row>
    <row r="3293" spans="65:72" x14ac:dyDescent="0.25">
      <c r="BM3293" s="81"/>
      <c r="BN3293" s="81"/>
      <c r="BO3293" s="81"/>
      <c r="BP3293" s="81"/>
      <c r="BQ3293" s="81"/>
      <c r="BR3293" s="81"/>
      <c r="BS3293" s="81"/>
      <c r="BT3293" s="81"/>
    </row>
    <row r="3294" spans="65:72" x14ac:dyDescent="0.25">
      <c r="BM3294" s="81"/>
      <c r="BN3294" s="81"/>
      <c r="BO3294" s="81"/>
      <c r="BP3294" s="81"/>
      <c r="BQ3294" s="81"/>
      <c r="BR3294" s="81"/>
      <c r="BS3294" s="81"/>
      <c r="BT3294" s="81"/>
    </row>
    <row r="3295" spans="65:72" x14ac:dyDescent="0.25">
      <c r="BM3295" s="81"/>
      <c r="BN3295" s="81"/>
      <c r="BO3295" s="81"/>
      <c r="BP3295" s="81"/>
      <c r="BQ3295" s="81"/>
      <c r="BR3295" s="81"/>
      <c r="BS3295" s="81"/>
      <c r="BT3295" s="81"/>
    </row>
    <row r="3296" spans="65:72" x14ac:dyDescent="0.25">
      <c r="BM3296" s="81"/>
      <c r="BN3296" s="81"/>
      <c r="BO3296" s="81"/>
      <c r="BP3296" s="81"/>
      <c r="BQ3296" s="81"/>
      <c r="BR3296" s="81"/>
      <c r="BS3296" s="81"/>
      <c r="BT3296" s="81"/>
    </row>
    <row r="3297" spans="65:72" x14ac:dyDescent="0.25">
      <c r="BM3297" s="81"/>
      <c r="BN3297" s="81"/>
      <c r="BO3297" s="81"/>
      <c r="BP3297" s="81"/>
      <c r="BQ3297" s="81"/>
      <c r="BR3297" s="81"/>
      <c r="BS3297" s="81"/>
      <c r="BT3297" s="81"/>
    </row>
    <row r="3298" spans="65:72" x14ac:dyDescent="0.25">
      <c r="BM3298" s="81"/>
      <c r="BN3298" s="81"/>
      <c r="BO3298" s="81"/>
      <c r="BP3298" s="81"/>
      <c r="BQ3298" s="81"/>
      <c r="BR3298" s="81"/>
      <c r="BS3298" s="81"/>
      <c r="BT3298" s="81"/>
    </row>
    <row r="3299" spans="65:72" x14ac:dyDescent="0.25">
      <c r="BM3299" s="81"/>
      <c r="BN3299" s="81"/>
      <c r="BO3299" s="81"/>
      <c r="BP3299" s="81"/>
      <c r="BQ3299" s="81"/>
      <c r="BR3299" s="81"/>
      <c r="BS3299" s="81"/>
      <c r="BT3299" s="81"/>
    </row>
    <row r="3300" spans="65:72" x14ac:dyDescent="0.25">
      <c r="BM3300" s="81"/>
      <c r="BN3300" s="81"/>
      <c r="BO3300" s="81"/>
      <c r="BP3300" s="81"/>
      <c r="BQ3300" s="81"/>
      <c r="BR3300" s="81"/>
      <c r="BS3300" s="81"/>
      <c r="BT3300" s="81"/>
    </row>
    <row r="3301" spans="65:72" x14ac:dyDescent="0.25">
      <c r="BM3301" s="81"/>
      <c r="BN3301" s="81"/>
      <c r="BO3301" s="81"/>
      <c r="BP3301" s="81"/>
      <c r="BQ3301" s="81"/>
      <c r="BR3301" s="81"/>
      <c r="BS3301" s="81"/>
      <c r="BT3301" s="81"/>
    </row>
    <row r="3302" spans="65:72" x14ac:dyDescent="0.25">
      <c r="BM3302" s="81"/>
      <c r="BN3302" s="81"/>
      <c r="BO3302" s="81"/>
      <c r="BP3302" s="81"/>
      <c r="BQ3302" s="81"/>
      <c r="BR3302" s="81"/>
      <c r="BS3302" s="81"/>
      <c r="BT3302" s="81"/>
    </row>
    <row r="3303" spans="65:72" x14ac:dyDescent="0.25">
      <c r="BM3303" s="81"/>
      <c r="BN3303" s="81"/>
      <c r="BO3303" s="81"/>
      <c r="BP3303" s="81"/>
      <c r="BQ3303" s="81"/>
      <c r="BR3303" s="81"/>
      <c r="BS3303" s="81"/>
      <c r="BT3303" s="81"/>
    </row>
    <row r="3304" spans="65:72" x14ac:dyDescent="0.25">
      <c r="BM3304" s="81"/>
      <c r="BN3304" s="81"/>
      <c r="BO3304" s="81"/>
      <c r="BP3304" s="81"/>
      <c r="BQ3304" s="81"/>
      <c r="BR3304" s="81"/>
      <c r="BS3304" s="81"/>
      <c r="BT3304" s="81"/>
    </row>
    <row r="3305" spans="65:72" x14ac:dyDescent="0.25">
      <c r="BM3305" s="81"/>
      <c r="BN3305" s="81"/>
      <c r="BO3305" s="81"/>
      <c r="BP3305" s="81"/>
      <c r="BQ3305" s="81"/>
      <c r="BR3305" s="81"/>
      <c r="BS3305" s="81"/>
      <c r="BT3305" s="81"/>
    </row>
    <row r="3306" spans="65:72" x14ac:dyDescent="0.25">
      <c r="BM3306" s="81"/>
      <c r="BN3306" s="81"/>
      <c r="BO3306" s="81"/>
      <c r="BP3306" s="81"/>
      <c r="BQ3306" s="81"/>
      <c r="BR3306" s="81"/>
      <c r="BS3306" s="81"/>
      <c r="BT3306" s="81"/>
    </row>
    <row r="3307" spans="65:72" x14ac:dyDescent="0.25">
      <c r="BM3307" s="81"/>
      <c r="BN3307" s="81"/>
      <c r="BO3307" s="81"/>
      <c r="BP3307" s="81"/>
      <c r="BQ3307" s="81"/>
      <c r="BR3307" s="81"/>
      <c r="BS3307" s="81"/>
      <c r="BT3307" s="81"/>
    </row>
    <row r="3308" spans="65:72" x14ac:dyDescent="0.25">
      <c r="BM3308" s="81"/>
      <c r="BN3308" s="81"/>
      <c r="BO3308" s="81"/>
      <c r="BP3308" s="81"/>
      <c r="BQ3308" s="81"/>
      <c r="BR3308" s="81"/>
      <c r="BS3308" s="81"/>
      <c r="BT3308" s="81"/>
    </row>
    <row r="3309" spans="65:72" x14ac:dyDescent="0.25">
      <c r="BM3309" s="81"/>
      <c r="BN3309" s="81"/>
      <c r="BO3309" s="81"/>
      <c r="BP3309" s="81"/>
      <c r="BQ3309" s="81"/>
      <c r="BR3309" s="81"/>
      <c r="BS3309" s="81"/>
      <c r="BT3309" s="81"/>
    </row>
    <row r="3310" spans="65:72" x14ac:dyDescent="0.25">
      <c r="BM3310" s="81"/>
      <c r="BN3310" s="81"/>
      <c r="BO3310" s="81"/>
      <c r="BP3310" s="81"/>
      <c r="BQ3310" s="81"/>
      <c r="BR3310" s="81"/>
      <c r="BS3310" s="81"/>
      <c r="BT3310" s="81"/>
    </row>
    <row r="3311" spans="65:72" x14ac:dyDescent="0.25">
      <c r="BM3311" s="81"/>
      <c r="BN3311" s="81"/>
      <c r="BO3311" s="81"/>
      <c r="BP3311" s="81"/>
      <c r="BQ3311" s="81"/>
      <c r="BR3311" s="81"/>
      <c r="BS3311" s="81"/>
      <c r="BT3311" s="81"/>
    </row>
    <row r="3312" spans="65:72" x14ac:dyDescent="0.25">
      <c r="BM3312" s="81"/>
      <c r="BN3312" s="81"/>
      <c r="BO3312" s="81"/>
      <c r="BP3312" s="81"/>
      <c r="BQ3312" s="81"/>
      <c r="BR3312" s="81"/>
      <c r="BS3312" s="81"/>
      <c r="BT3312" s="81"/>
    </row>
    <row r="3313" spans="65:72" x14ac:dyDescent="0.25">
      <c r="BM3313" s="81"/>
      <c r="BN3313" s="81"/>
      <c r="BO3313" s="81"/>
      <c r="BP3313" s="81"/>
      <c r="BQ3313" s="81"/>
      <c r="BR3313" s="81"/>
      <c r="BS3313" s="81"/>
      <c r="BT3313" s="81"/>
    </row>
    <row r="3314" spans="65:72" x14ac:dyDescent="0.25">
      <c r="BM3314" s="81"/>
      <c r="BN3314" s="81"/>
      <c r="BO3314" s="81"/>
      <c r="BP3314" s="81"/>
      <c r="BQ3314" s="81"/>
      <c r="BR3314" s="81"/>
      <c r="BS3314" s="81"/>
      <c r="BT3314" s="81"/>
    </row>
    <row r="3315" spans="65:72" x14ac:dyDescent="0.25">
      <c r="BM3315" s="81"/>
      <c r="BN3315" s="81"/>
      <c r="BO3315" s="81"/>
      <c r="BP3315" s="81"/>
      <c r="BQ3315" s="81"/>
      <c r="BR3315" s="81"/>
      <c r="BS3315" s="81"/>
      <c r="BT3315" s="81"/>
    </row>
    <row r="3316" spans="65:72" x14ac:dyDescent="0.25">
      <c r="BM3316" s="81"/>
      <c r="BN3316" s="81"/>
      <c r="BO3316" s="81"/>
      <c r="BP3316" s="81"/>
      <c r="BQ3316" s="81"/>
      <c r="BR3316" s="81"/>
      <c r="BS3316" s="81"/>
      <c r="BT3316" s="81"/>
    </row>
    <row r="3317" spans="65:72" x14ac:dyDescent="0.25">
      <c r="BM3317" s="81"/>
      <c r="BN3317" s="81"/>
      <c r="BO3317" s="81"/>
      <c r="BP3317" s="81"/>
      <c r="BQ3317" s="81"/>
      <c r="BR3317" s="81"/>
      <c r="BS3317" s="81"/>
      <c r="BT3317" s="81"/>
    </row>
    <row r="3318" spans="65:72" x14ac:dyDescent="0.25">
      <c r="BM3318" s="81"/>
      <c r="BN3318" s="81"/>
      <c r="BO3318" s="81"/>
      <c r="BP3318" s="81"/>
      <c r="BQ3318" s="81"/>
      <c r="BR3318" s="81"/>
      <c r="BS3318" s="81"/>
      <c r="BT3318" s="81"/>
    </row>
    <row r="3319" spans="65:72" x14ac:dyDescent="0.25">
      <c r="BM3319" s="81"/>
      <c r="BN3319" s="81"/>
      <c r="BO3319" s="81"/>
      <c r="BP3319" s="81"/>
      <c r="BQ3319" s="81"/>
      <c r="BR3319" s="81"/>
      <c r="BS3319" s="81"/>
      <c r="BT3319" s="81"/>
    </row>
    <row r="3320" spans="65:72" x14ac:dyDescent="0.25">
      <c r="BM3320" s="81"/>
      <c r="BN3320" s="81"/>
      <c r="BO3320" s="81"/>
      <c r="BP3320" s="81"/>
      <c r="BQ3320" s="81"/>
      <c r="BR3320" s="81"/>
      <c r="BS3320" s="81"/>
      <c r="BT3320" s="81"/>
    </row>
    <row r="3321" spans="65:72" x14ac:dyDescent="0.25">
      <c r="BM3321" s="81"/>
      <c r="BN3321" s="81"/>
      <c r="BO3321" s="81"/>
      <c r="BP3321" s="81"/>
      <c r="BQ3321" s="81"/>
      <c r="BR3321" s="81"/>
      <c r="BS3321" s="81"/>
      <c r="BT3321" s="81"/>
    </row>
    <row r="3322" spans="65:72" x14ac:dyDescent="0.25">
      <c r="BM3322" s="81"/>
      <c r="BN3322" s="81"/>
      <c r="BO3322" s="81"/>
      <c r="BP3322" s="81"/>
      <c r="BQ3322" s="81"/>
      <c r="BR3322" s="81"/>
      <c r="BS3322" s="81"/>
      <c r="BT3322" s="81"/>
    </row>
    <row r="3323" spans="65:72" x14ac:dyDescent="0.25">
      <c r="BM3323" s="81"/>
      <c r="BN3323" s="81"/>
      <c r="BO3323" s="81"/>
      <c r="BP3323" s="81"/>
      <c r="BQ3323" s="81"/>
      <c r="BR3323" s="81"/>
      <c r="BS3323" s="81"/>
      <c r="BT3323" s="81"/>
    </row>
    <row r="3324" spans="65:72" x14ac:dyDescent="0.25">
      <c r="BM3324" s="81"/>
      <c r="BN3324" s="81"/>
      <c r="BO3324" s="81"/>
      <c r="BP3324" s="81"/>
      <c r="BQ3324" s="81"/>
      <c r="BR3324" s="81"/>
      <c r="BS3324" s="81"/>
      <c r="BT3324" s="81"/>
    </row>
    <row r="3325" spans="65:72" x14ac:dyDescent="0.25">
      <c r="BM3325" s="81"/>
      <c r="BN3325" s="81"/>
      <c r="BO3325" s="81"/>
      <c r="BP3325" s="81"/>
      <c r="BQ3325" s="81"/>
      <c r="BR3325" s="81"/>
      <c r="BS3325" s="81"/>
      <c r="BT3325" s="81"/>
    </row>
    <row r="3326" spans="65:72" x14ac:dyDescent="0.25">
      <c r="BM3326" s="81"/>
      <c r="BN3326" s="81"/>
      <c r="BO3326" s="81"/>
      <c r="BP3326" s="81"/>
      <c r="BQ3326" s="81"/>
      <c r="BR3326" s="81"/>
      <c r="BS3326" s="81"/>
      <c r="BT3326" s="81"/>
    </row>
    <row r="3327" spans="65:72" x14ac:dyDescent="0.25">
      <c r="BM3327" s="81"/>
      <c r="BN3327" s="81"/>
      <c r="BO3327" s="81"/>
      <c r="BP3327" s="81"/>
      <c r="BQ3327" s="81"/>
      <c r="BR3327" s="81"/>
      <c r="BS3327" s="81"/>
      <c r="BT3327" s="81"/>
    </row>
    <row r="3328" spans="65:72" x14ac:dyDescent="0.25">
      <c r="BM3328" s="81"/>
      <c r="BN3328" s="81"/>
      <c r="BO3328" s="81"/>
      <c r="BP3328" s="81"/>
      <c r="BQ3328" s="81"/>
      <c r="BR3328" s="81"/>
      <c r="BS3328" s="81"/>
      <c r="BT3328" s="81"/>
    </row>
    <row r="3329" spans="65:72" x14ac:dyDescent="0.25">
      <c r="BM3329" s="81"/>
      <c r="BN3329" s="81"/>
      <c r="BO3329" s="81"/>
      <c r="BP3329" s="81"/>
      <c r="BQ3329" s="81"/>
      <c r="BR3329" s="81"/>
      <c r="BS3329" s="81"/>
      <c r="BT3329" s="81"/>
    </row>
    <row r="3330" spans="65:72" x14ac:dyDescent="0.25">
      <c r="BM3330" s="81"/>
      <c r="BN3330" s="81"/>
      <c r="BO3330" s="81"/>
      <c r="BP3330" s="81"/>
      <c r="BQ3330" s="81"/>
      <c r="BR3330" s="81"/>
      <c r="BS3330" s="81"/>
      <c r="BT3330" s="81"/>
    </row>
    <row r="3331" spans="65:72" x14ac:dyDescent="0.25">
      <c r="BM3331" s="81"/>
      <c r="BN3331" s="81"/>
      <c r="BO3331" s="81"/>
      <c r="BP3331" s="81"/>
      <c r="BQ3331" s="81"/>
      <c r="BR3331" s="81"/>
      <c r="BS3331" s="81"/>
      <c r="BT3331" s="81"/>
    </row>
    <row r="3332" spans="65:72" x14ac:dyDescent="0.25">
      <c r="BM3332" s="81"/>
      <c r="BN3332" s="81"/>
      <c r="BO3332" s="81"/>
      <c r="BP3332" s="81"/>
      <c r="BQ3332" s="81"/>
      <c r="BR3332" s="81"/>
      <c r="BS3332" s="81"/>
      <c r="BT3332" s="81"/>
    </row>
    <row r="3333" spans="65:72" x14ac:dyDescent="0.25">
      <c r="BM3333" s="81"/>
      <c r="BN3333" s="81"/>
      <c r="BO3333" s="81"/>
      <c r="BP3333" s="81"/>
      <c r="BQ3333" s="81"/>
      <c r="BR3333" s="81"/>
      <c r="BS3333" s="81"/>
      <c r="BT3333" s="81"/>
    </row>
    <row r="3334" spans="65:72" x14ac:dyDescent="0.25">
      <c r="BM3334" s="81"/>
      <c r="BN3334" s="81"/>
      <c r="BO3334" s="81"/>
      <c r="BP3334" s="81"/>
      <c r="BQ3334" s="81"/>
      <c r="BR3334" s="81"/>
      <c r="BS3334" s="81"/>
      <c r="BT3334" s="81"/>
    </row>
    <row r="3335" spans="65:72" x14ac:dyDescent="0.25">
      <c r="BM3335" s="81"/>
      <c r="BN3335" s="81"/>
      <c r="BO3335" s="81"/>
      <c r="BP3335" s="81"/>
      <c r="BQ3335" s="81"/>
      <c r="BR3335" s="81"/>
      <c r="BS3335" s="81"/>
      <c r="BT3335" s="81"/>
    </row>
    <row r="3336" spans="65:72" x14ac:dyDescent="0.25">
      <c r="BM3336" s="81"/>
      <c r="BN3336" s="81"/>
      <c r="BO3336" s="81"/>
      <c r="BP3336" s="81"/>
      <c r="BQ3336" s="81"/>
      <c r="BR3336" s="81"/>
      <c r="BS3336" s="81"/>
      <c r="BT3336" s="81"/>
    </row>
    <row r="3337" spans="65:72" x14ac:dyDescent="0.25">
      <c r="BM3337" s="81"/>
      <c r="BN3337" s="81"/>
      <c r="BO3337" s="81"/>
      <c r="BP3337" s="81"/>
      <c r="BQ3337" s="81"/>
      <c r="BR3337" s="81"/>
      <c r="BS3337" s="81"/>
      <c r="BT3337" s="81"/>
    </row>
    <row r="3338" spans="65:72" x14ac:dyDescent="0.25">
      <c r="BM3338" s="81"/>
      <c r="BN3338" s="81"/>
      <c r="BO3338" s="81"/>
      <c r="BP3338" s="81"/>
      <c r="BQ3338" s="81"/>
      <c r="BR3338" s="81"/>
      <c r="BS3338" s="81"/>
      <c r="BT3338" s="81"/>
    </row>
    <row r="3339" spans="65:72" x14ac:dyDescent="0.25">
      <c r="BM3339" s="81"/>
      <c r="BN3339" s="81"/>
      <c r="BO3339" s="81"/>
      <c r="BP3339" s="81"/>
      <c r="BQ3339" s="81"/>
      <c r="BR3339" s="81"/>
      <c r="BS3339" s="81"/>
      <c r="BT3339" s="81"/>
    </row>
    <row r="3340" spans="65:72" x14ac:dyDescent="0.25">
      <c r="BM3340" s="81"/>
      <c r="BN3340" s="81"/>
      <c r="BO3340" s="81"/>
      <c r="BP3340" s="81"/>
      <c r="BQ3340" s="81"/>
      <c r="BR3340" s="81"/>
      <c r="BS3340" s="81"/>
      <c r="BT3340" s="81"/>
    </row>
    <row r="3341" spans="65:72" x14ac:dyDescent="0.25">
      <c r="BM3341" s="81"/>
      <c r="BN3341" s="81"/>
      <c r="BO3341" s="81"/>
      <c r="BP3341" s="81"/>
      <c r="BQ3341" s="81"/>
      <c r="BR3341" s="81"/>
      <c r="BS3341" s="81"/>
      <c r="BT3341" s="81"/>
    </row>
    <row r="3342" spans="65:72" x14ac:dyDescent="0.25">
      <c r="BM3342" s="81"/>
      <c r="BN3342" s="81"/>
      <c r="BO3342" s="81"/>
      <c r="BP3342" s="81"/>
      <c r="BQ3342" s="81"/>
      <c r="BR3342" s="81"/>
      <c r="BS3342" s="81"/>
      <c r="BT3342" s="81"/>
    </row>
    <row r="3343" spans="65:72" x14ac:dyDescent="0.25">
      <c r="BM3343" s="81"/>
      <c r="BN3343" s="81"/>
      <c r="BO3343" s="81"/>
      <c r="BP3343" s="81"/>
      <c r="BQ3343" s="81"/>
      <c r="BR3343" s="81"/>
      <c r="BS3343" s="81"/>
      <c r="BT3343" s="81"/>
    </row>
    <row r="3344" spans="65:72" x14ac:dyDescent="0.25">
      <c r="BM3344" s="81"/>
      <c r="BN3344" s="81"/>
      <c r="BO3344" s="81"/>
      <c r="BP3344" s="81"/>
      <c r="BQ3344" s="81"/>
      <c r="BR3344" s="81"/>
      <c r="BS3344" s="81"/>
      <c r="BT3344" s="81"/>
    </row>
    <row r="3345" spans="65:72" x14ac:dyDescent="0.25">
      <c r="BM3345" s="81"/>
      <c r="BN3345" s="81"/>
      <c r="BO3345" s="81"/>
      <c r="BP3345" s="81"/>
      <c r="BQ3345" s="81"/>
      <c r="BR3345" s="81"/>
      <c r="BS3345" s="81"/>
      <c r="BT3345" s="81"/>
    </row>
    <row r="3346" spans="65:72" x14ac:dyDescent="0.25">
      <c r="BM3346" s="81"/>
      <c r="BN3346" s="81"/>
      <c r="BO3346" s="81"/>
      <c r="BP3346" s="81"/>
      <c r="BQ3346" s="81"/>
      <c r="BR3346" s="81"/>
      <c r="BS3346" s="81"/>
      <c r="BT3346" s="81"/>
    </row>
    <row r="3347" spans="65:72" x14ac:dyDescent="0.25">
      <c r="BM3347" s="81"/>
      <c r="BN3347" s="81"/>
      <c r="BO3347" s="81"/>
      <c r="BP3347" s="81"/>
      <c r="BQ3347" s="81"/>
      <c r="BR3347" s="81"/>
      <c r="BS3347" s="81"/>
      <c r="BT3347" s="81"/>
    </row>
    <row r="3348" spans="65:72" x14ac:dyDescent="0.25">
      <c r="BM3348" s="81"/>
      <c r="BN3348" s="81"/>
      <c r="BO3348" s="81"/>
      <c r="BP3348" s="81"/>
      <c r="BQ3348" s="81"/>
      <c r="BR3348" s="81"/>
      <c r="BS3348" s="81"/>
      <c r="BT3348" s="81"/>
    </row>
    <row r="3349" spans="65:72" x14ac:dyDescent="0.25">
      <c r="BM3349" s="81"/>
      <c r="BN3349" s="81"/>
      <c r="BO3349" s="81"/>
      <c r="BP3349" s="81"/>
      <c r="BQ3349" s="81"/>
      <c r="BR3349" s="81"/>
      <c r="BS3349" s="81"/>
      <c r="BT3349" s="81"/>
    </row>
    <row r="3350" spans="65:72" x14ac:dyDescent="0.25">
      <c r="BM3350" s="81"/>
      <c r="BN3350" s="81"/>
      <c r="BO3350" s="81"/>
      <c r="BP3350" s="81"/>
      <c r="BQ3350" s="81"/>
      <c r="BR3350" s="81"/>
      <c r="BS3350" s="81"/>
      <c r="BT3350" s="81"/>
    </row>
    <row r="3351" spans="65:72" x14ac:dyDescent="0.25">
      <c r="BM3351" s="81"/>
      <c r="BN3351" s="81"/>
      <c r="BO3351" s="81"/>
      <c r="BP3351" s="81"/>
      <c r="BQ3351" s="81"/>
      <c r="BR3351" s="81"/>
      <c r="BS3351" s="81"/>
      <c r="BT3351" s="81"/>
    </row>
    <row r="3352" spans="65:72" x14ac:dyDescent="0.25">
      <c r="BM3352" s="81"/>
      <c r="BN3352" s="81"/>
      <c r="BO3352" s="81"/>
      <c r="BP3352" s="81"/>
      <c r="BQ3352" s="81"/>
      <c r="BR3352" s="81"/>
      <c r="BS3352" s="81"/>
      <c r="BT3352" s="81"/>
    </row>
    <row r="3353" spans="65:72" x14ac:dyDescent="0.25">
      <c r="BM3353" s="81"/>
      <c r="BN3353" s="81"/>
      <c r="BO3353" s="81"/>
      <c r="BP3353" s="81"/>
      <c r="BQ3353" s="81"/>
      <c r="BR3353" s="81"/>
      <c r="BS3353" s="81"/>
      <c r="BT3353" s="81"/>
    </row>
    <row r="3354" spans="65:72" x14ac:dyDescent="0.25">
      <c r="BM3354" s="81"/>
      <c r="BN3354" s="81"/>
      <c r="BO3354" s="81"/>
      <c r="BP3354" s="81"/>
      <c r="BQ3354" s="81"/>
      <c r="BR3354" s="81"/>
      <c r="BS3354" s="81"/>
      <c r="BT3354" s="81"/>
    </row>
    <row r="3355" spans="65:72" x14ac:dyDescent="0.25">
      <c r="BM3355" s="81"/>
      <c r="BN3355" s="81"/>
      <c r="BO3355" s="81"/>
      <c r="BP3355" s="81"/>
      <c r="BQ3355" s="81"/>
      <c r="BR3355" s="81"/>
      <c r="BS3355" s="81"/>
      <c r="BT3355" s="81"/>
    </row>
    <row r="3356" spans="65:72" x14ac:dyDescent="0.25">
      <c r="BM3356" s="81"/>
      <c r="BN3356" s="81"/>
      <c r="BO3356" s="81"/>
      <c r="BP3356" s="81"/>
      <c r="BQ3356" s="81"/>
      <c r="BR3356" s="81"/>
      <c r="BS3356" s="81"/>
      <c r="BT3356" s="81"/>
    </row>
    <row r="3357" spans="65:72" x14ac:dyDescent="0.25">
      <c r="BM3357" s="81"/>
      <c r="BN3357" s="81"/>
      <c r="BO3357" s="81"/>
      <c r="BP3357" s="81"/>
      <c r="BQ3357" s="81"/>
      <c r="BR3357" s="81"/>
      <c r="BS3357" s="81"/>
      <c r="BT3357" s="81"/>
    </row>
    <row r="3358" spans="65:72" x14ac:dyDescent="0.25">
      <c r="BM3358" s="81"/>
      <c r="BN3358" s="81"/>
      <c r="BO3358" s="81"/>
      <c r="BP3358" s="81"/>
      <c r="BQ3358" s="81"/>
      <c r="BR3358" s="81"/>
      <c r="BS3358" s="81"/>
      <c r="BT3358" s="81"/>
    </row>
    <row r="3359" spans="65:72" x14ac:dyDescent="0.25">
      <c r="BM3359" s="81"/>
      <c r="BN3359" s="81"/>
      <c r="BO3359" s="81"/>
      <c r="BP3359" s="81"/>
      <c r="BQ3359" s="81"/>
      <c r="BR3359" s="81"/>
      <c r="BS3359" s="81"/>
      <c r="BT3359" s="81"/>
    </row>
    <row r="3360" spans="65:72" x14ac:dyDescent="0.25">
      <c r="BM3360" s="81"/>
      <c r="BN3360" s="81"/>
      <c r="BO3360" s="81"/>
      <c r="BP3360" s="81"/>
      <c r="BQ3360" s="81"/>
      <c r="BR3360" s="81"/>
      <c r="BS3360" s="81"/>
      <c r="BT3360" s="81"/>
    </row>
    <row r="3361" spans="65:72" x14ac:dyDescent="0.25">
      <c r="BM3361" s="81"/>
      <c r="BN3361" s="81"/>
      <c r="BO3361" s="81"/>
      <c r="BP3361" s="81"/>
      <c r="BQ3361" s="81"/>
      <c r="BR3361" s="81"/>
      <c r="BS3361" s="81"/>
      <c r="BT3361" s="81"/>
    </row>
    <row r="3362" spans="65:72" x14ac:dyDescent="0.25">
      <c r="BM3362" s="81"/>
      <c r="BN3362" s="81"/>
      <c r="BO3362" s="81"/>
      <c r="BP3362" s="81"/>
      <c r="BQ3362" s="81"/>
      <c r="BR3362" s="81"/>
      <c r="BS3362" s="81"/>
      <c r="BT3362" s="81"/>
    </row>
    <row r="3363" spans="65:72" x14ac:dyDescent="0.25">
      <c r="BM3363" s="81"/>
      <c r="BN3363" s="81"/>
      <c r="BO3363" s="81"/>
      <c r="BP3363" s="81"/>
      <c r="BQ3363" s="81"/>
      <c r="BR3363" s="81"/>
      <c r="BS3363" s="81"/>
      <c r="BT3363" s="81"/>
    </row>
    <row r="3364" spans="65:72" x14ac:dyDescent="0.25">
      <c r="BM3364" s="81"/>
      <c r="BN3364" s="81"/>
      <c r="BO3364" s="81"/>
      <c r="BP3364" s="81"/>
      <c r="BQ3364" s="81"/>
      <c r="BR3364" s="81"/>
      <c r="BS3364" s="81"/>
      <c r="BT3364" s="81"/>
    </row>
    <row r="3365" spans="65:72" x14ac:dyDescent="0.25">
      <c r="BM3365" s="81"/>
      <c r="BN3365" s="81"/>
      <c r="BO3365" s="81"/>
      <c r="BP3365" s="81"/>
      <c r="BQ3365" s="81"/>
      <c r="BR3365" s="81"/>
      <c r="BS3365" s="81"/>
      <c r="BT3365" s="81"/>
    </row>
    <row r="3366" spans="65:72" x14ac:dyDescent="0.25">
      <c r="BM3366" s="81"/>
      <c r="BN3366" s="81"/>
      <c r="BO3366" s="81"/>
      <c r="BP3366" s="81"/>
      <c r="BQ3366" s="81"/>
      <c r="BR3366" s="81"/>
      <c r="BS3366" s="81"/>
      <c r="BT3366" s="81"/>
    </row>
    <row r="3367" spans="65:72" x14ac:dyDescent="0.25">
      <c r="BM3367" s="81"/>
      <c r="BN3367" s="81"/>
      <c r="BO3367" s="81"/>
      <c r="BP3367" s="81"/>
      <c r="BQ3367" s="81"/>
      <c r="BR3367" s="81"/>
      <c r="BS3367" s="81"/>
      <c r="BT3367" s="81"/>
    </row>
    <row r="3368" spans="65:72" x14ac:dyDescent="0.25">
      <c r="BM3368" s="81"/>
      <c r="BN3368" s="81"/>
      <c r="BO3368" s="81"/>
      <c r="BP3368" s="81"/>
      <c r="BQ3368" s="81"/>
      <c r="BR3368" s="81"/>
      <c r="BS3368" s="81"/>
      <c r="BT3368" s="81"/>
    </row>
    <row r="3369" spans="65:72" x14ac:dyDescent="0.25">
      <c r="BM3369" s="81"/>
      <c r="BN3369" s="81"/>
      <c r="BO3369" s="81"/>
      <c r="BP3369" s="81"/>
      <c r="BQ3369" s="81"/>
      <c r="BR3369" s="81"/>
      <c r="BS3369" s="81"/>
      <c r="BT3369" s="81"/>
    </row>
    <row r="3370" spans="65:72" x14ac:dyDescent="0.25">
      <c r="BM3370" s="81"/>
      <c r="BN3370" s="81"/>
      <c r="BO3370" s="81"/>
      <c r="BP3370" s="81"/>
      <c r="BQ3370" s="81"/>
      <c r="BR3370" s="81"/>
      <c r="BS3370" s="81"/>
      <c r="BT3370" s="81"/>
    </row>
    <row r="3371" spans="65:72" x14ac:dyDescent="0.25">
      <c r="BM3371" s="81"/>
      <c r="BN3371" s="81"/>
      <c r="BO3371" s="81"/>
      <c r="BP3371" s="81"/>
      <c r="BQ3371" s="81"/>
      <c r="BR3371" s="81"/>
      <c r="BS3371" s="81"/>
      <c r="BT3371" s="81"/>
    </row>
    <row r="3372" spans="65:72" x14ac:dyDescent="0.25">
      <c r="BM3372" s="81"/>
      <c r="BN3372" s="81"/>
      <c r="BO3372" s="81"/>
      <c r="BP3372" s="81"/>
      <c r="BQ3372" s="81"/>
      <c r="BR3372" s="81"/>
      <c r="BS3372" s="81"/>
      <c r="BT3372" s="81"/>
    </row>
    <row r="3373" spans="65:72" x14ac:dyDescent="0.25">
      <c r="BM3373" s="81"/>
      <c r="BN3373" s="81"/>
      <c r="BO3373" s="81"/>
      <c r="BP3373" s="81"/>
      <c r="BQ3373" s="81"/>
      <c r="BR3373" s="81"/>
      <c r="BS3373" s="81"/>
      <c r="BT3373" s="81"/>
    </row>
    <row r="3374" spans="65:72" x14ac:dyDescent="0.25">
      <c r="BM3374" s="81"/>
      <c r="BN3374" s="81"/>
      <c r="BO3374" s="81"/>
      <c r="BP3374" s="81"/>
      <c r="BQ3374" s="81"/>
      <c r="BR3374" s="81"/>
      <c r="BS3374" s="81"/>
      <c r="BT3374" s="81"/>
    </row>
    <row r="3375" spans="65:72" x14ac:dyDescent="0.25">
      <c r="BM3375" s="81"/>
      <c r="BN3375" s="81"/>
      <c r="BO3375" s="81"/>
      <c r="BP3375" s="81"/>
      <c r="BQ3375" s="81"/>
      <c r="BR3375" s="81"/>
      <c r="BS3375" s="81"/>
      <c r="BT3375" s="81"/>
    </row>
    <row r="3376" spans="65:72" x14ac:dyDescent="0.25">
      <c r="BM3376" s="81"/>
      <c r="BN3376" s="81"/>
      <c r="BO3376" s="81"/>
      <c r="BP3376" s="81"/>
      <c r="BQ3376" s="81"/>
      <c r="BR3376" s="81"/>
      <c r="BS3376" s="81"/>
      <c r="BT3376" s="81"/>
    </row>
    <row r="3377" spans="65:72" x14ac:dyDescent="0.25">
      <c r="BM3377" s="81"/>
      <c r="BN3377" s="81"/>
      <c r="BO3377" s="81"/>
      <c r="BP3377" s="81"/>
      <c r="BQ3377" s="81"/>
      <c r="BR3377" s="81"/>
      <c r="BS3377" s="81"/>
      <c r="BT3377" s="81"/>
    </row>
    <row r="3378" spans="65:72" x14ac:dyDescent="0.25">
      <c r="BM3378" s="81"/>
      <c r="BN3378" s="81"/>
      <c r="BO3378" s="81"/>
      <c r="BP3378" s="81"/>
      <c r="BQ3378" s="81"/>
      <c r="BR3378" s="81"/>
      <c r="BS3378" s="81"/>
      <c r="BT3378" s="81"/>
    </row>
    <row r="3379" spans="65:72" x14ac:dyDescent="0.25">
      <c r="BM3379" s="81"/>
      <c r="BN3379" s="81"/>
      <c r="BO3379" s="81"/>
      <c r="BP3379" s="81"/>
      <c r="BQ3379" s="81"/>
      <c r="BR3379" s="81"/>
      <c r="BS3379" s="81"/>
      <c r="BT3379" s="81"/>
    </row>
    <row r="3380" spans="65:72" x14ac:dyDescent="0.25">
      <c r="BM3380" s="81"/>
      <c r="BN3380" s="81"/>
      <c r="BO3380" s="81"/>
      <c r="BP3380" s="81"/>
      <c r="BQ3380" s="81"/>
      <c r="BR3380" s="81"/>
      <c r="BS3380" s="81"/>
      <c r="BT3380" s="81"/>
    </row>
    <row r="3381" spans="65:72" x14ac:dyDescent="0.25">
      <c r="BM3381" s="81"/>
      <c r="BN3381" s="81"/>
      <c r="BO3381" s="81"/>
      <c r="BP3381" s="81"/>
      <c r="BQ3381" s="81"/>
      <c r="BR3381" s="81"/>
      <c r="BS3381" s="81"/>
      <c r="BT3381" s="81"/>
    </row>
    <row r="3382" spans="65:72" x14ac:dyDescent="0.25">
      <c r="BM3382" s="81"/>
      <c r="BN3382" s="81"/>
      <c r="BO3382" s="81"/>
      <c r="BP3382" s="81"/>
      <c r="BQ3382" s="81"/>
      <c r="BR3382" s="81"/>
      <c r="BS3382" s="81"/>
      <c r="BT3382" s="81"/>
    </row>
    <row r="3383" spans="65:72" x14ac:dyDescent="0.25">
      <c r="BM3383" s="81"/>
      <c r="BN3383" s="81"/>
      <c r="BO3383" s="81"/>
      <c r="BP3383" s="81"/>
      <c r="BQ3383" s="81"/>
      <c r="BR3383" s="81"/>
      <c r="BS3383" s="81"/>
      <c r="BT3383" s="81"/>
    </row>
    <row r="3384" spans="65:72" x14ac:dyDescent="0.25">
      <c r="BM3384" s="81"/>
      <c r="BN3384" s="81"/>
      <c r="BO3384" s="81"/>
      <c r="BP3384" s="81"/>
      <c r="BQ3384" s="81"/>
      <c r="BR3384" s="81"/>
      <c r="BS3384" s="81"/>
      <c r="BT3384" s="81"/>
    </row>
    <row r="3385" spans="65:72" x14ac:dyDescent="0.25">
      <c r="BM3385" s="81"/>
      <c r="BN3385" s="81"/>
      <c r="BO3385" s="81"/>
      <c r="BP3385" s="81"/>
      <c r="BQ3385" s="81"/>
      <c r="BR3385" s="81"/>
      <c r="BS3385" s="81"/>
      <c r="BT3385" s="81"/>
    </row>
    <row r="3386" spans="65:72" x14ac:dyDescent="0.25">
      <c r="BM3386" s="81"/>
      <c r="BN3386" s="81"/>
      <c r="BO3386" s="81"/>
      <c r="BP3386" s="81"/>
      <c r="BQ3386" s="81"/>
      <c r="BR3386" s="81"/>
      <c r="BS3386" s="81"/>
      <c r="BT3386" s="81"/>
    </row>
    <row r="3387" spans="65:72" x14ac:dyDescent="0.25">
      <c r="BM3387" s="81"/>
      <c r="BN3387" s="81"/>
      <c r="BO3387" s="81"/>
      <c r="BP3387" s="81"/>
      <c r="BQ3387" s="81"/>
      <c r="BR3387" s="81"/>
      <c r="BS3387" s="81"/>
      <c r="BT3387" s="81"/>
    </row>
    <row r="3388" spans="65:72" x14ac:dyDescent="0.25">
      <c r="BM3388" s="81"/>
      <c r="BN3388" s="81"/>
      <c r="BO3388" s="81"/>
      <c r="BP3388" s="81"/>
      <c r="BQ3388" s="81"/>
      <c r="BR3388" s="81"/>
      <c r="BS3388" s="81"/>
      <c r="BT3388" s="81"/>
    </row>
    <row r="3389" spans="65:72" x14ac:dyDescent="0.25">
      <c r="BM3389" s="81"/>
      <c r="BN3389" s="81"/>
      <c r="BO3389" s="81"/>
      <c r="BP3389" s="81"/>
      <c r="BQ3389" s="81"/>
      <c r="BR3389" s="81"/>
      <c r="BS3389" s="81"/>
      <c r="BT3389" s="81"/>
    </row>
    <row r="3390" spans="65:72" x14ac:dyDescent="0.25">
      <c r="BM3390" s="81"/>
      <c r="BN3390" s="81"/>
      <c r="BO3390" s="81"/>
      <c r="BP3390" s="81"/>
      <c r="BQ3390" s="81"/>
      <c r="BR3390" s="81"/>
      <c r="BS3390" s="81"/>
      <c r="BT3390" s="81"/>
    </row>
    <row r="3391" spans="65:72" x14ac:dyDescent="0.25">
      <c r="BM3391" s="81"/>
      <c r="BN3391" s="81"/>
      <c r="BO3391" s="81"/>
      <c r="BP3391" s="81"/>
      <c r="BQ3391" s="81"/>
      <c r="BR3391" s="81"/>
      <c r="BS3391" s="81"/>
      <c r="BT3391" s="81"/>
    </row>
    <row r="3392" spans="65:72" x14ac:dyDescent="0.25">
      <c r="BM3392" s="81"/>
      <c r="BN3392" s="81"/>
      <c r="BO3392" s="81"/>
      <c r="BP3392" s="81"/>
      <c r="BQ3392" s="81"/>
      <c r="BR3392" s="81"/>
      <c r="BS3392" s="81"/>
      <c r="BT3392" s="81"/>
    </row>
    <row r="3393" spans="65:72" x14ac:dyDescent="0.25">
      <c r="BM3393" s="81"/>
      <c r="BN3393" s="81"/>
      <c r="BO3393" s="81"/>
      <c r="BP3393" s="81"/>
      <c r="BQ3393" s="81"/>
      <c r="BR3393" s="81"/>
      <c r="BS3393" s="81"/>
      <c r="BT3393" s="81"/>
    </row>
    <row r="3394" spans="65:72" x14ac:dyDescent="0.25">
      <c r="BM3394" s="81"/>
      <c r="BN3394" s="81"/>
      <c r="BO3394" s="81"/>
      <c r="BP3394" s="81"/>
      <c r="BQ3394" s="81"/>
      <c r="BR3394" s="81"/>
      <c r="BS3394" s="81"/>
      <c r="BT3394" s="81"/>
    </row>
    <row r="3395" spans="65:72" x14ac:dyDescent="0.25">
      <c r="BM3395" s="81"/>
      <c r="BN3395" s="81"/>
      <c r="BO3395" s="81"/>
      <c r="BP3395" s="81"/>
      <c r="BQ3395" s="81"/>
      <c r="BR3395" s="81"/>
      <c r="BS3395" s="81"/>
      <c r="BT3395" s="81"/>
    </row>
    <row r="3396" spans="65:72" x14ac:dyDescent="0.25">
      <c r="BM3396" s="81"/>
      <c r="BN3396" s="81"/>
      <c r="BO3396" s="81"/>
      <c r="BP3396" s="81"/>
      <c r="BQ3396" s="81"/>
      <c r="BR3396" s="81"/>
      <c r="BS3396" s="81"/>
      <c r="BT3396" s="81"/>
    </row>
    <row r="3397" spans="65:72" x14ac:dyDescent="0.25">
      <c r="BM3397" s="81"/>
      <c r="BN3397" s="81"/>
      <c r="BO3397" s="81"/>
      <c r="BP3397" s="81"/>
      <c r="BQ3397" s="81"/>
      <c r="BR3397" s="81"/>
      <c r="BS3397" s="81"/>
      <c r="BT3397" s="81"/>
    </row>
    <row r="3398" spans="65:72" x14ac:dyDescent="0.25">
      <c r="BM3398" s="81"/>
      <c r="BN3398" s="81"/>
      <c r="BO3398" s="81"/>
      <c r="BP3398" s="81"/>
      <c r="BQ3398" s="81"/>
      <c r="BR3398" s="81"/>
      <c r="BS3398" s="81"/>
      <c r="BT3398" s="81"/>
    </row>
    <row r="3399" spans="65:72" x14ac:dyDescent="0.25">
      <c r="BM3399" s="81"/>
      <c r="BN3399" s="81"/>
      <c r="BO3399" s="81"/>
      <c r="BP3399" s="81"/>
      <c r="BQ3399" s="81"/>
      <c r="BR3399" s="81"/>
      <c r="BS3399" s="81"/>
      <c r="BT3399" s="81"/>
    </row>
    <row r="3400" spans="65:72" x14ac:dyDescent="0.25">
      <c r="BM3400" s="81"/>
      <c r="BN3400" s="81"/>
      <c r="BO3400" s="81"/>
      <c r="BP3400" s="81"/>
      <c r="BQ3400" s="81"/>
      <c r="BR3400" s="81"/>
      <c r="BS3400" s="81"/>
      <c r="BT3400" s="81"/>
    </row>
    <row r="3401" spans="65:72" x14ac:dyDescent="0.25">
      <c r="BM3401" s="81"/>
      <c r="BN3401" s="81"/>
      <c r="BO3401" s="81"/>
      <c r="BP3401" s="81"/>
      <c r="BQ3401" s="81"/>
      <c r="BR3401" s="81"/>
      <c r="BS3401" s="81"/>
      <c r="BT3401" s="81"/>
    </row>
    <row r="3402" spans="65:72" x14ac:dyDescent="0.25">
      <c r="BM3402" s="81"/>
      <c r="BN3402" s="81"/>
      <c r="BO3402" s="81"/>
      <c r="BP3402" s="81"/>
      <c r="BQ3402" s="81"/>
      <c r="BR3402" s="81"/>
      <c r="BS3402" s="81"/>
      <c r="BT3402" s="81"/>
    </row>
    <row r="3403" spans="65:72" x14ac:dyDescent="0.25">
      <c r="BM3403" s="81"/>
      <c r="BN3403" s="81"/>
      <c r="BO3403" s="81"/>
      <c r="BP3403" s="81"/>
      <c r="BQ3403" s="81"/>
      <c r="BR3403" s="81"/>
      <c r="BS3403" s="81"/>
      <c r="BT3403" s="81"/>
    </row>
    <row r="3404" spans="65:72" x14ac:dyDescent="0.25">
      <c r="BM3404" s="81"/>
      <c r="BN3404" s="81"/>
      <c r="BO3404" s="81"/>
      <c r="BP3404" s="81"/>
      <c r="BQ3404" s="81"/>
      <c r="BR3404" s="81"/>
      <c r="BS3404" s="81"/>
      <c r="BT3404" s="81"/>
    </row>
    <row r="3405" spans="65:72" x14ac:dyDescent="0.25">
      <c r="BM3405" s="81"/>
      <c r="BN3405" s="81"/>
      <c r="BO3405" s="81"/>
      <c r="BP3405" s="81"/>
      <c r="BQ3405" s="81"/>
      <c r="BR3405" s="81"/>
      <c r="BS3405" s="81"/>
      <c r="BT3405" s="81"/>
    </row>
    <row r="3406" spans="65:72" x14ac:dyDescent="0.25">
      <c r="BM3406" s="81"/>
      <c r="BN3406" s="81"/>
      <c r="BO3406" s="81"/>
      <c r="BP3406" s="81"/>
      <c r="BQ3406" s="81"/>
      <c r="BR3406" s="81"/>
      <c r="BS3406" s="81"/>
      <c r="BT3406" s="81"/>
    </row>
    <row r="3407" spans="65:72" x14ac:dyDescent="0.25">
      <c r="BM3407" s="81"/>
      <c r="BN3407" s="81"/>
      <c r="BO3407" s="81"/>
      <c r="BP3407" s="81"/>
      <c r="BQ3407" s="81"/>
      <c r="BR3407" s="81"/>
      <c r="BS3407" s="81"/>
      <c r="BT3407" s="81"/>
    </row>
    <row r="3408" spans="65:72" x14ac:dyDescent="0.25">
      <c r="BM3408" s="81"/>
      <c r="BN3408" s="81"/>
      <c r="BO3408" s="81"/>
      <c r="BP3408" s="81"/>
      <c r="BQ3408" s="81"/>
      <c r="BR3408" s="81"/>
      <c r="BS3408" s="81"/>
      <c r="BT3408" s="81"/>
    </row>
    <row r="3409" spans="65:72" x14ac:dyDescent="0.25">
      <c r="BM3409" s="81"/>
      <c r="BN3409" s="81"/>
      <c r="BO3409" s="81"/>
      <c r="BP3409" s="81"/>
      <c r="BQ3409" s="81"/>
      <c r="BR3409" s="81"/>
      <c r="BS3409" s="81"/>
      <c r="BT3409" s="81"/>
    </row>
    <row r="3410" spans="65:72" x14ac:dyDescent="0.25">
      <c r="BM3410" s="81"/>
      <c r="BN3410" s="81"/>
      <c r="BO3410" s="81"/>
      <c r="BP3410" s="81"/>
      <c r="BQ3410" s="81"/>
      <c r="BR3410" s="81"/>
      <c r="BS3410" s="81"/>
      <c r="BT3410" s="81"/>
    </row>
    <row r="3411" spans="65:72" x14ac:dyDescent="0.25">
      <c r="BM3411" s="81"/>
      <c r="BN3411" s="81"/>
      <c r="BO3411" s="81"/>
      <c r="BP3411" s="81"/>
      <c r="BQ3411" s="81"/>
      <c r="BR3411" s="81"/>
      <c r="BS3411" s="81"/>
      <c r="BT3411" s="81"/>
    </row>
    <row r="3412" spans="65:72" x14ac:dyDescent="0.25">
      <c r="BM3412" s="81"/>
      <c r="BN3412" s="81"/>
      <c r="BO3412" s="81"/>
      <c r="BP3412" s="81"/>
      <c r="BQ3412" s="81"/>
      <c r="BR3412" s="81"/>
      <c r="BS3412" s="81"/>
      <c r="BT3412" s="81"/>
    </row>
    <row r="3413" spans="65:72" x14ac:dyDescent="0.25">
      <c r="BM3413" s="81"/>
      <c r="BN3413" s="81"/>
      <c r="BO3413" s="81"/>
      <c r="BP3413" s="81"/>
      <c r="BQ3413" s="81"/>
      <c r="BR3413" s="81"/>
      <c r="BS3413" s="81"/>
      <c r="BT3413" s="81"/>
    </row>
    <row r="3414" spans="65:72" x14ac:dyDescent="0.25">
      <c r="BM3414" s="81"/>
      <c r="BN3414" s="81"/>
      <c r="BO3414" s="81"/>
      <c r="BP3414" s="81"/>
      <c r="BQ3414" s="81"/>
      <c r="BR3414" s="81"/>
      <c r="BS3414" s="81"/>
      <c r="BT3414" s="81"/>
    </row>
    <row r="3415" spans="65:72" x14ac:dyDescent="0.25">
      <c r="BM3415" s="81"/>
      <c r="BN3415" s="81"/>
      <c r="BO3415" s="81"/>
      <c r="BP3415" s="81"/>
      <c r="BQ3415" s="81"/>
      <c r="BR3415" s="81"/>
      <c r="BS3415" s="81"/>
      <c r="BT3415" s="81"/>
    </row>
    <row r="3416" spans="65:72" x14ac:dyDescent="0.25">
      <c r="BM3416" s="81"/>
      <c r="BN3416" s="81"/>
      <c r="BO3416" s="81"/>
      <c r="BP3416" s="81"/>
      <c r="BQ3416" s="81"/>
      <c r="BR3416" s="81"/>
      <c r="BS3416" s="81"/>
      <c r="BT3416" s="81"/>
    </row>
    <row r="3417" spans="65:72" x14ac:dyDescent="0.25">
      <c r="BM3417" s="81"/>
      <c r="BN3417" s="81"/>
      <c r="BO3417" s="81"/>
      <c r="BP3417" s="81"/>
      <c r="BQ3417" s="81"/>
      <c r="BR3417" s="81"/>
      <c r="BS3417" s="81"/>
      <c r="BT3417" s="81"/>
    </row>
    <row r="3418" spans="65:72" x14ac:dyDescent="0.25">
      <c r="BM3418" s="81"/>
      <c r="BN3418" s="81"/>
      <c r="BO3418" s="81"/>
      <c r="BP3418" s="81"/>
      <c r="BQ3418" s="81"/>
      <c r="BR3418" s="81"/>
      <c r="BS3418" s="81"/>
      <c r="BT3418" s="81"/>
    </row>
    <row r="3419" spans="65:72" x14ac:dyDescent="0.25">
      <c r="BM3419" s="81"/>
      <c r="BN3419" s="81"/>
      <c r="BO3419" s="81"/>
      <c r="BP3419" s="81"/>
      <c r="BQ3419" s="81"/>
      <c r="BR3419" s="81"/>
      <c r="BS3419" s="81"/>
      <c r="BT3419" s="81"/>
    </row>
    <row r="3420" spans="65:72" x14ac:dyDescent="0.25">
      <c r="BM3420" s="81"/>
      <c r="BN3420" s="81"/>
      <c r="BO3420" s="81"/>
      <c r="BP3420" s="81"/>
      <c r="BQ3420" s="81"/>
      <c r="BR3420" s="81"/>
      <c r="BS3420" s="81"/>
      <c r="BT3420" s="81"/>
    </row>
    <row r="3421" spans="65:72" x14ac:dyDescent="0.25">
      <c r="BM3421" s="81"/>
      <c r="BN3421" s="81"/>
      <c r="BO3421" s="81"/>
      <c r="BP3421" s="81"/>
      <c r="BQ3421" s="81"/>
      <c r="BR3421" s="81"/>
      <c r="BS3421" s="81"/>
      <c r="BT3421" s="81"/>
    </row>
    <row r="3422" spans="65:72" x14ac:dyDescent="0.25">
      <c r="BM3422" s="81"/>
      <c r="BN3422" s="81"/>
      <c r="BO3422" s="81"/>
      <c r="BP3422" s="81"/>
      <c r="BQ3422" s="81"/>
      <c r="BR3422" s="81"/>
      <c r="BS3422" s="81"/>
      <c r="BT3422" s="81"/>
    </row>
    <row r="3423" spans="65:72" x14ac:dyDescent="0.25">
      <c r="BM3423" s="81"/>
      <c r="BN3423" s="81"/>
      <c r="BO3423" s="81"/>
      <c r="BP3423" s="81"/>
      <c r="BQ3423" s="81"/>
      <c r="BR3423" s="81"/>
      <c r="BS3423" s="81"/>
      <c r="BT3423" s="81"/>
    </row>
    <row r="3424" spans="65:72" x14ac:dyDescent="0.25">
      <c r="BM3424" s="81"/>
      <c r="BN3424" s="81"/>
      <c r="BO3424" s="81"/>
      <c r="BP3424" s="81"/>
      <c r="BQ3424" s="81"/>
      <c r="BR3424" s="81"/>
      <c r="BS3424" s="81"/>
      <c r="BT3424" s="81"/>
    </row>
    <row r="3425" spans="65:72" x14ac:dyDescent="0.25">
      <c r="BM3425" s="81"/>
      <c r="BN3425" s="81"/>
      <c r="BO3425" s="81"/>
      <c r="BP3425" s="81"/>
      <c r="BQ3425" s="81"/>
      <c r="BR3425" s="81"/>
      <c r="BS3425" s="81"/>
      <c r="BT3425" s="81"/>
    </row>
    <row r="3426" spans="65:72" x14ac:dyDescent="0.25">
      <c r="BM3426" s="81"/>
      <c r="BN3426" s="81"/>
      <c r="BO3426" s="81"/>
      <c r="BP3426" s="81"/>
      <c r="BQ3426" s="81"/>
      <c r="BR3426" s="81"/>
      <c r="BS3426" s="81"/>
      <c r="BT3426" s="81"/>
    </row>
    <row r="3427" spans="65:72" x14ac:dyDescent="0.25">
      <c r="BM3427" s="81"/>
      <c r="BN3427" s="81"/>
      <c r="BO3427" s="81"/>
      <c r="BP3427" s="81"/>
      <c r="BQ3427" s="81"/>
      <c r="BR3427" s="81"/>
      <c r="BS3427" s="81"/>
      <c r="BT3427" s="81"/>
    </row>
    <row r="3428" spans="65:72" x14ac:dyDescent="0.25">
      <c r="BM3428" s="81"/>
      <c r="BN3428" s="81"/>
      <c r="BO3428" s="81"/>
      <c r="BP3428" s="81"/>
      <c r="BQ3428" s="81"/>
      <c r="BR3428" s="81"/>
      <c r="BS3428" s="81"/>
      <c r="BT3428" s="81"/>
    </row>
    <row r="3429" spans="65:72" x14ac:dyDescent="0.25">
      <c r="BM3429" s="81"/>
      <c r="BN3429" s="81"/>
      <c r="BO3429" s="81"/>
      <c r="BP3429" s="81"/>
      <c r="BQ3429" s="81"/>
      <c r="BR3429" s="81"/>
      <c r="BS3429" s="81"/>
      <c r="BT3429" s="81"/>
    </row>
    <row r="3430" spans="65:72" x14ac:dyDescent="0.25">
      <c r="BM3430" s="81"/>
      <c r="BN3430" s="81"/>
      <c r="BO3430" s="81"/>
      <c r="BP3430" s="81"/>
      <c r="BQ3430" s="81"/>
      <c r="BR3430" s="81"/>
      <c r="BS3430" s="81"/>
      <c r="BT3430" s="81"/>
    </row>
    <row r="3431" spans="65:72" x14ac:dyDescent="0.25">
      <c r="BM3431" s="81"/>
      <c r="BN3431" s="81"/>
      <c r="BO3431" s="81"/>
      <c r="BP3431" s="81"/>
      <c r="BQ3431" s="81"/>
      <c r="BR3431" s="81"/>
      <c r="BS3431" s="81"/>
      <c r="BT3431" s="81"/>
    </row>
    <row r="3432" spans="65:72" x14ac:dyDescent="0.25">
      <c r="BM3432" s="81"/>
      <c r="BN3432" s="81"/>
      <c r="BO3432" s="81"/>
      <c r="BP3432" s="81"/>
      <c r="BQ3432" s="81"/>
      <c r="BR3432" s="81"/>
      <c r="BS3432" s="81"/>
      <c r="BT3432" s="81"/>
    </row>
    <row r="3433" spans="65:72" x14ac:dyDescent="0.25">
      <c r="BM3433" s="81"/>
      <c r="BN3433" s="81"/>
      <c r="BO3433" s="81"/>
      <c r="BP3433" s="81"/>
      <c r="BQ3433" s="81"/>
      <c r="BR3433" s="81"/>
      <c r="BS3433" s="81"/>
      <c r="BT3433" s="81"/>
    </row>
    <row r="3434" spans="65:72" x14ac:dyDescent="0.25">
      <c r="BM3434" s="81"/>
      <c r="BN3434" s="81"/>
      <c r="BO3434" s="81"/>
      <c r="BP3434" s="81"/>
      <c r="BQ3434" s="81"/>
      <c r="BR3434" s="81"/>
      <c r="BS3434" s="81"/>
      <c r="BT3434" s="81"/>
    </row>
    <row r="3435" spans="65:72" x14ac:dyDescent="0.25">
      <c r="BM3435" s="81"/>
      <c r="BN3435" s="81"/>
      <c r="BO3435" s="81"/>
      <c r="BP3435" s="81"/>
      <c r="BQ3435" s="81"/>
      <c r="BR3435" s="81"/>
      <c r="BS3435" s="81"/>
      <c r="BT3435" s="81"/>
    </row>
    <row r="3436" spans="65:72" x14ac:dyDescent="0.25">
      <c r="BM3436" s="81"/>
      <c r="BN3436" s="81"/>
      <c r="BO3436" s="81"/>
      <c r="BP3436" s="81"/>
      <c r="BQ3436" s="81"/>
      <c r="BR3436" s="81"/>
      <c r="BS3436" s="81"/>
      <c r="BT3436" s="81"/>
    </row>
    <row r="3437" spans="65:72" x14ac:dyDescent="0.25">
      <c r="BM3437" s="81"/>
      <c r="BN3437" s="81"/>
      <c r="BO3437" s="81"/>
      <c r="BP3437" s="81"/>
      <c r="BQ3437" s="81"/>
      <c r="BR3437" s="81"/>
      <c r="BS3437" s="81"/>
      <c r="BT3437" s="81"/>
    </row>
    <row r="3438" spans="65:72" x14ac:dyDescent="0.25">
      <c r="BM3438" s="81"/>
      <c r="BN3438" s="81"/>
      <c r="BO3438" s="81"/>
      <c r="BP3438" s="81"/>
      <c r="BQ3438" s="81"/>
      <c r="BR3438" s="81"/>
      <c r="BS3438" s="81"/>
      <c r="BT3438" s="81"/>
    </row>
    <row r="3439" spans="65:72" x14ac:dyDescent="0.25">
      <c r="BM3439" s="81"/>
      <c r="BN3439" s="81"/>
      <c r="BO3439" s="81"/>
      <c r="BP3439" s="81"/>
      <c r="BQ3439" s="81"/>
      <c r="BR3439" s="81"/>
      <c r="BS3439" s="81"/>
      <c r="BT3439" s="81"/>
    </row>
    <row r="3440" spans="65:72" x14ac:dyDescent="0.25">
      <c r="BM3440" s="81"/>
      <c r="BN3440" s="81"/>
      <c r="BO3440" s="81"/>
      <c r="BP3440" s="81"/>
      <c r="BQ3440" s="81"/>
      <c r="BR3440" s="81"/>
      <c r="BS3440" s="81"/>
      <c r="BT3440" s="81"/>
    </row>
    <row r="3441" spans="65:72" x14ac:dyDescent="0.25">
      <c r="BM3441" s="81"/>
      <c r="BN3441" s="81"/>
      <c r="BO3441" s="81"/>
      <c r="BP3441" s="81"/>
      <c r="BQ3441" s="81"/>
      <c r="BR3441" s="81"/>
      <c r="BS3441" s="81"/>
      <c r="BT3441" s="81"/>
    </row>
    <row r="3442" spans="65:72" x14ac:dyDescent="0.25">
      <c r="BM3442" s="81"/>
      <c r="BN3442" s="81"/>
      <c r="BO3442" s="81"/>
      <c r="BP3442" s="81"/>
      <c r="BQ3442" s="81"/>
      <c r="BR3442" s="81"/>
      <c r="BS3442" s="81"/>
      <c r="BT3442" s="81"/>
    </row>
    <row r="3443" spans="65:72" x14ac:dyDescent="0.25">
      <c r="BM3443" s="81"/>
      <c r="BN3443" s="81"/>
      <c r="BO3443" s="81"/>
      <c r="BP3443" s="81"/>
      <c r="BQ3443" s="81"/>
      <c r="BR3443" s="81"/>
      <c r="BS3443" s="81"/>
      <c r="BT3443" s="81"/>
    </row>
    <row r="3444" spans="65:72" x14ac:dyDescent="0.25">
      <c r="BM3444" s="81"/>
      <c r="BN3444" s="81"/>
      <c r="BO3444" s="81"/>
      <c r="BP3444" s="81"/>
      <c r="BQ3444" s="81"/>
      <c r="BR3444" s="81"/>
      <c r="BS3444" s="81"/>
      <c r="BT3444" s="81"/>
    </row>
    <row r="3445" spans="65:72" x14ac:dyDescent="0.25">
      <c r="BM3445" s="81"/>
      <c r="BN3445" s="81"/>
      <c r="BO3445" s="81"/>
      <c r="BP3445" s="81"/>
      <c r="BQ3445" s="81"/>
      <c r="BR3445" s="81"/>
      <c r="BS3445" s="81"/>
      <c r="BT3445" s="81"/>
    </row>
    <row r="3446" spans="65:72" x14ac:dyDescent="0.25">
      <c r="BM3446" s="81"/>
      <c r="BN3446" s="81"/>
      <c r="BO3446" s="81"/>
      <c r="BP3446" s="81"/>
      <c r="BQ3446" s="81"/>
      <c r="BR3446" s="81"/>
      <c r="BS3446" s="81"/>
      <c r="BT3446" s="81"/>
    </row>
    <row r="3447" spans="65:72" x14ac:dyDescent="0.25">
      <c r="BM3447" s="81"/>
      <c r="BN3447" s="81"/>
      <c r="BO3447" s="81"/>
      <c r="BP3447" s="81"/>
      <c r="BQ3447" s="81"/>
      <c r="BR3447" s="81"/>
      <c r="BS3447" s="81"/>
      <c r="BT3447" s="81"/>
    </row>
    <row r="3448" spans="65:72" x14ac:dyDescent="0.25">
      <c r="BM3448" s="81"/>
      <c r="BN3448" s="81"/>
      <c r="BO3448" s="81"/>
      <c r="BP3448" s="81"/>
      <c r="BQ3448" s="81"/>
      <c r="BR3448" s="81"/>
      <c r="BS3448" s="81"/>
      <c r="BT3448" s="81"/>
    </row>
    <row r="3449" spans="65:72" x14ac:dyDescent="0.25">
      <c r="BM3449" s="81"/>
      <c r="BN3449" s="81"/>
      <c r="BO3449" s="81"/>
      <c r="BP3449" s="81"/>
      <c r="BQ3449" s="81"/>
      <c r="BR3449" s="81"/>
      <c r="BS3449" s="81"/>
      <c r="BT3449" s="81"/>
    </row>
    <row r="3450" spans="65:72" x14ac:dyDescent="0.25">
      <c r="BM3450" s="81"/>
      <c r="BN3450" s="81"/>
      <c r="BO3450" s="81"/>
      <c r="BP3450" s="81"/>
      <c r="BQ3450" s="81"/>
      <c r="BR3450" s="81"/>
      <c r="BS3450" s="81"/>
      <c r="BT3450" s="81"/>
    </row>
    <row r="3451" spans="65:72" x14ac:dyDescent="0.25">
      <c r="BM3451" s="81"/>
      <c r="BN3451" s="81"/>
      <c r="BO3451" s="81"/>
      <c r="BP3451" s="81"/>
      <c r="BQ3451" s="81"/>
      <c r="BR3451" s="81"/>
      <c r="BS3451" s="81"/>
      <c r="BT3451" s="81"/>
    </row>
    <row r="3452" spans="65:72" x14ac:dyDescent="0.25">
      <c r="BM3452" s="81"/>
      <c r="BN3452" s="81"/>
      <c r="BO3452" s="81"/>
      <c r="BP3452" s="81"/>
      <c r="BQ3452" s="81"/>
      <c r="BR3452" s="81"/>
      <c r="BS3452" s="81"/>
      <c r="BT3452" s="81"/>
    </row>
    <row r="3453" spans="65:72" x14ac:dyDescent="0.25">
      <c r="BM3453" s="81"/>
      <c r="BN3453" s="81"/>
      <c r="BO3453" s="81"/>
      <c r="BP3453" s="81"/>
      <c r="BQ3453" s="81"/>
      <c r="BR3453" s="81"/>
      <c r="BS3453" s="81"/>
      <c r="BT3453" s="81"/>
    </row>
    <row r="3454" spans="65:72" x14ac:dyDescent="0.25">
      <c r="BM3454" s="81"/>
      <c r="BN3454" s="81"/>
      <c r="BO3454" s="81"/>
      <c r="BP3454" s="81"/>
      <c r="BQ3454" s="81"/>
      <c r="BR3454" s="81"/>
      <c r="BS3454" s="81"/>
      <c r="BT3454" s="81"/>
    </row>
    <row r="3455" spans="65:72" x14ac:dyDescent="0.25">
      <c r="BM3455" s="81"/>
      <c r="BN3455" s="81"/>
      <c r="BO3455" s="81"/>
      <c r="BP3455" s="81"/>
      <c r="BQ3455" s="81"/>
      <c r="BR3455" s="81"/>
      <c r="BS3455" s="81"/>
      <c r="BT3455" s="81"/>
    </row>
    <row r="3456" spans="65:72" x14ac:dyDescent="0.25">
      <c r="BM3456" s="81"/>
      <c r="BN3456" s="81"/>
      <c r="BO3456" s="81"/>
      <c r="BP3456" s="81"/>
      <c r="BQ3456" s="81"/>
      <c r="BR3456" s="81"/>
      <c r="BS3456" s="81"/>
      <c r="BT3456" s="81"/>
    </row>
    <row r="3457" spans="65:72" x14ac:dyDescent="0.25">
      <c r="BM3457" s="81"/>
      <c r="BN3457" s="81"/>
      <c r="BO3457" s="81"/>
      <c r="BP3457" s="81"/>
      <c r="BQ3457" s="81"/>
      <c r="BR3457" s="81"/>
      <c r="BS3457" s="81"/>
      <c r="BT3457" s="81"/>
    </row>
    <row r="3458" spans="65:72" x14ac:dyDescent="0.25">
      <c r="BM3458" s="81"/>
      <c r="BN3458" s="81"/>
      <c r="BO3458" s="81"/>
      <c r="BP3458" s="81"/>
      <c r="BQ3458" s="81"/>
      <c r="BR3458" s="81"/>
      <c r="BS3458" s="81"/>
      <c r="BT3458" s="81"/>
    </row>
    <row r="3459" spans="65:72" x14ac:dyDescent="0.25">
      <c r="BM3459" s="81"/>
      <c r="BN3459" s="81"/>
      <c r="BO3459" s="81"/>
      <c r="BP3459" s="81"/>
      <c r="BQ3459" s="81"/>
      <c r="BR3459" s="81"/>
      <c r="BS3459" s="81"/>
      <c r="BT3459" s="81"/>
    </row>
    <row r="3460" spans="65:72" x14ac:dyDescent="0.25">
      <c r="BM3460" s="81"/>
      <c r="BN3460" s="81"/>
      <c r="BO3460" s="81"/>
      <c r="BP3460" s="81"/>
      <c r="BQ3460" s="81"/>
      <c r="BR3460" s="81"/>
      <c r="BS3460" s="81"/>
      <c r="BT3460" s="81"/>
    </row>
    <row r="3461" spans="65:72" x14ac:dyDescent="0.25">
      <c r="BM3461" s="81"/>
      <c r="BN3461" s="81"/>
      <c r="BO3461" s="81"/>
      <c r="BP3461" s="81"/>
      <c r="BQ3461" s="81"/>
      <c r="BR3461" s="81"/>
      <c r="BS3461" s="81"/>
      <c r="BT3461" s="81"/>
    </row>
    <row r="3462" spans="65:72" x14ac:dyDescent="0.25">
      <c r="BM3462" s="81"/>
      <c r="BN3462" s="81"/>
      <c r="BO3462" s="81"/>
      <c r="BP3462" s="81"/>
      <c r="BQ3462" s="81"/>
      <c r="BR3462" s="81"/>
      <c r="BS3462" s="81"/>
      <c r="BT3462" s="81"/>
    </row>
    <row r="3463" spans="65:72" x14ac:dyDescent="0.25">
      <c r="BM3463" s="81"/>
      <c r="BN3463" s="81"/>
      <c r="BO3463" s="81"/>
      <c r="BP3463" s="81"/>
      <c r="BQ3463" s="81"/>
      <c r="BR3463" s="81"/>
      <c r="BS3463" s="81"/>
      <c r="BT3463" s="81"/>
    </row>
    <row r="3464" spans="65:72" x14ac:dyDescent="0.25">
      <c r="BM3464" s="81"/>
      <c r="BN3464" s="81"/>
      <c r="BO3464" s="81"/>
      <c r="BP3464" s="81"/>
      <c r="BQ3464" s="81"/>
      <c r="BR3464" s="81"/>
      <c r="BS3464" s="81"/>
      <c r="BT3464" s="81"/>
    </row>
    <row r="3465" spans="65:72" x14ac:dyDescent="0.25">
      <c r="BM3465" s="81"/>
      <c r="BN3465" s="81"/>
      <c r="BO3465" s="81"/>
      <c r="BP3465" s="81"/>
      <c r="BQ3465" s="81"/>
      <c r="BR3465" s="81"/>
      <c r="BS3465" s="81"/>
      <c r="BT3465" s="81"/>
    </row>
    <row r="3466" spans="65:72" x14ac:dyDescent="0.25">
      <c r="BM3466" s="81"/>
      <c r="BN3466" s="81"/>
      <c r="BO3466" s="81"/>
      <c r="BP3466" s="81"/>
      <c r="BQ3466" s="81"/>
      <c r="BR3466" s="81"/>
      <c r="BS3466" s="81"/>
      <c r="BT3466" s="81"/>
    </row>
    <row r="3467" spans="65:72" x14ac:dyDescent="0.25">
      <c r="BM3467" s="81"/>
      <c r="BN3467" s="81"/>
      <c r="BO3467" s="81"/>
      <c r="BP3467" s="81"/>
      <c r="BQ3467" s="81"/>
      <c r="BR3467" s="81"/>
      <c r="BS3467" s="81"/>
      <c r="BT3467" s="81"/>
    </row>
    <row r="3468" spans="65:72" x14ac:dyDescent="0.25">
      <c r="BM3468" s="81"/>
      <c r="BN3468" s="81"/>
      <c r="BO3468" s="81"/>
      <c r="BP3468" s="81"/>
      <c r="BQ3468" s="81"/>
      <c r="BR3468" s="81"/>
      <c r="BS3468" s="81"/>
      <c r="BT3468" s="81"/>
    </row>
    <row r="3469" spans="65:72" x14ac:dyDescent="0.25">
      <c r="BM3469" s="81"/>
      <c r="BN3469" s="81"/>
      <c r="BO3469" s="81"/>
      <c r="BP3469" s="81"/>
      <c r="BQ3469" s="81"/>
      <c r="BR3469" s="81"/>
      <c r="BS3469" s="81"/>
      <c r="BT3469" s="81"/>
    </row>
    <row r="3470" spans="65:72" x14ac:dyDescent="0.25">
      <c r="BM3470" s="81"/>
      <c r="BN3470" s="81"/>
      <c r="BO3470" s="81"/>
      <c r="BP3470" s="81"/>
      <c r="BQ3470" s="81"/>
      <c r="BR3470" s="81"/>
      <c r="BS3470" s="81"/>
      <c r="BT3470" s="81"/>
    </row>
    <row r="3471" spans="65:72" x14ac:dyDescent="0.25">
      <c r="BM3471" s="81"/>
      <c r="BN3471" s="81"/>
      <c r="BO3471" s="81"/>
      <c r="BP3471" s="81"/>
      <c r="BQ3471" s="81"/>
      <c r="BR3471" s="81"/>
      <c r="BS3471" s="81"/>
      <c r="BT3471" s="81"/>
    </row>
    <row r="3472" spans="65:72" x14ac:dyDescent="0.25">
      <c r="BM3472" s="81"/>
      <c r="BN3472" s="81"/>
      <c r="BO3472" s="81"/>
      <c r="BP3472" s="81"/>
      <c r="BQ3472" s="81"/>
      <c r="BR3472" s="81"/>
      <c r="BS3472" s="81"/>
      <c r="BT3472" s="81"/>
    </row>
    <row r="3473" spans="65:72" x14ac:dyDescent="0.25">
      <c r="BM3473" s="81"/>
      <c r="BN3473" s="81"/>
      <c r="BO3473" s="81"/>
      <c r="BP3473" s="81"/>
      <c r="BQ3473" s="81"/>
      <c r="BR3473" s="81"/>
      <c r="BS3473" s="81"/>
      <c r="BT3473" s="81"/>
    </row>
    <row r="3474" spans="65:72" x14ac:dyDescent="0.25">
      <c r="BM3474" s="81"/>
      <c r="BN3474" s="81"/>
      <c r="BO3474" s="81"/>
      <c r="BP3474" s="81"/>
      <c r="BQ3474" s="81"/>
      <c r="BR3474" s="81"/>
      <c r="BS3474" s="81"/>
      <c r="BT3474" s="81"/>
    </row>
    <row r="3475" spans="65:72" x14ac:dyDescent="0.25">
      <c r="BM3475" s="81"/>
      <c r="BN3475" s="81"/>
      <c r="BO3475" s="81"/>
      <c r="BP3475" s="81"/>
      <c r="BQ3475" s="81"/>
      <c r="BR3475" s="81"/>
      <c r="BS3475" s="81"/>
      <c r="BT3475" s="81"/>
    </row>
    <row r="3476" spans="65:72" x14ac:dyDescent="0.25">
      <c r="BM3476" s="81"/>
      <c r="BN3476" s="81"/>
      <c r="BO3476" s="81"/>
      <c r="BP3476" s="81"/>
      <c r="BQ3476" s="81"/>
      <c r="BR3476" s="81"/>
      <c r="BS3476" s="81"/>
      <c r="BT3476" s="81"/>
    </row>
    <row r="3477" spans="65:72" x14ac:dyDescent="0.25">
      <c r="BM3477" s="81"/>
      <c r="BN3477" s="81"/>
      <c r="BO3477" s="81"/>
      <c r="BP3477" s="81"/>
      <c r="BQ3477" s="81"/>
      <c r="BR3477" s="81"/>
      <c r="BS3477" s="81"/>
      <c r="BT3477" s="81"/>
    </row>
    <row r="3478" spans="65:72" x14ac:dyDescent="0.25">
      <c r="BM3478" s="81"/>
      <c r="BN3478" s="81"/>
      <c r="BO3478" s="81"/>
      <c r="BP3478" s="81"/>
      <c r="BQ3478" s="81"/>
      <c r="BR3478" s="81"/>
      <c r="BS3478" s="81"/>
      <c r="BT3478" s="81"/>
    </row>
    <row r="3479" spans="65:72" x14ac:dyDescent="0.25">
      <c r="BM3479" s="81"/>
      <c r="BN3479" s="81"/>
      <c r="BO3479" s="81"/>
      <c r="BP3479" s="81"/>
      <c r="BQ3479" s="81"/>
      <c r="BR3479" s="81"/>
      <c r="BS3479" s="81"/>
      <c r="BT3479" s="81"/>
    </row>
    <row r="3480" spans="65:72" x14ac:dyDescent="0.25">
      <c r="BM3480" s="81"/>
      <c r="BN3480" s="81"/>
      <c r="BO3480" s="81"/>
      <c r="BP3480" s="81"/>
      <c r="BQ3480" s="81"/>
      <c r="BR3480" s="81"/>
      <c r="BS3480" s="81"/>
      <c r="BT3480" s="81"/>
    </row>
    <row r="3481" spans="65:72" x14ac:dyDescent="0.25">
      <c r="BM3481" s="81"/>
      <c r="BN3481" s="81"/>
      <c r="BO3481" s="81"/>
      <c r="BP3481" s="81"/>
      <c r="BQ3481" s="81"/>
      <c r="BR3481" s="81"/>
      <c r="BS3481" s="81"/>
      <c r="BT3481" s="81"/>
    </row>
    <row r="3482" spans="65:72" x14ac:dyDescent="0.25">
      <c r="BM3482" s="81"/>
      <c r="BN3482" s="81"/>
      <c r="BO3482" s="81"/>
      <c r="BP3482" s="81"/>
      <c r="BQ3482" s="81"/>
      <c r="BR3482" s="81"/>
      <c r="BS3482" s="81"/>
      <c r="BT3482" s="81"/>
    </row>
    <row r="3483" spans="65:72" x14ac:dyDescent="0.25">
      <c r="BM3483" s="81"/>
      <c r="BN3483" s="81"/>
      <c r="BO3483" s="81"/>
      <c r="BP3483" s="81"/>
      <c r="BQ3483" s="81"/>
      <c r="BR3483" s="81"/>
      <c r="BS3483" s="81"/>
      <c r="BT3483" s="81"/>
    </row>
    <row r="3484" spans="65:72" x14ac:dyDescent="0.25">
      <c r="BM3484" s="81"/>
      <c r="BN3484" s="81"/>
      <c r="BO3484" s="81"/>
      <c r="BP3484" s="81"/>
      <c r="BQ3484" s="81"/>
      <c r="BR3484" s="81"/>
      <c r="BS3484" s="81"/>
      <c r="BT3484" s="81"/>
    </row>
    <row r="3485" spans="65:72" x14ac:dyDescent="0.25">
      <c r="BM3485" s="81"/>
      <c r="BN3485" s="81"/>
      <c r="BO3485" s="81"/>
      <c r="BP3485" s="81"/>
      <c r="BQ3485" s="81"/>
      <c r="BR3485" s="81"/>
      <c r="BS3485" s="81"/>
      <c r="BT3485" s="81"/>
    </row>
    <row r="3486" spans="65:72" x14ac:dyDescent="0.25">
      <c r="BM3486" s="81"/>
      <c r="BN3486" s="81"/>
      <c r="BO3486" s="81"/>
      <c r="BP3486" s="81"/>
      <c r="BQ3486" s="81"/>
      <c r="BR3486" s="81"/>
      <c r="BS3486" s="81"/>
      <c r="BT3486" s="81"/>
    </row>
    <row r="3487" spans="65:72" x14ac:dyDescent="0.25">
      <c r="BM3487" s="81"/>
      <c r="BN3487" s="81"/>
      <c r="BO3487" s="81"/>
      <c r="BP3487" s="81"/>
      <c r="BQ3487" s="81"/>
      <c r="BR3487" s="81"/>
      <c r="BS3487" s="81"/>
      <c r="BT3487" s="81"/>
    </row>
    <row r="3488" spans="65:72" x14ac:dyDescent="0.25">
      <c r="BM3488" s="81"/>
      <c r="BN3488" s="81"/>
      <c r="BO3488" s="81"/>
      <c r="BP3488" s="81"/>
      <c r="BQ3488" s="81"/>
      <c r="BR3488" s="81"/>
      <c r="BS3488" s="81"/>
      <c r="BT3488" s="81"/>
    </row>
    <row r="3489" spans="65:72" x14ac:dyDescent="0.25">
      <c r="BM3489" s="81"/>
      <c r="BN3489" s="81"/>
      <c r="BO3489" s="81"/>
      <c r="BP3489" s="81"/>
      <c r="BQ3489" s="81"/>
      <c r="BR3489" s="81"/>
      <c r="BS3489" s="81"/>
      <c r="BT3489" s="81"/>
    </row>
    <row r="3490" spans="65:72" x14ac:dyDescent="0.25">
      <c r="BM3490" s="81"/>
      <c r="BN3490" s="81"/>
      <c r="BO3490" s="81"/>
      <c r="BP3490" s="81"/>
      <c r="BQ3490" s="81"/>
      <c r="BR3490" s="81"/>
      <c r="BS3490" s="81"/>
      <c r="BT3490" s="81"/>
    </row>
    <row r="3491" spans="65:72" x14ac:dyDescent="0.25">
      <c r="BM3491" s="81"/>
      <c r="BN3491" s="81"/>
      <c r="BO3491" s="81"/>
      <c r="BP3491" s="81"/>
      <c r="BQ3491" s="81"/>
      <c r="BR3491" s="81"/>
      <c r="BS3491" s="81"/>
      <c r="BT3491" s="81"/>
    </row>
    <row r="3492" spans="65:72" x14ac:dyDescent="0.25">
      <c r="BM3492" s="81"/>
      <c r="BN3492" s="81"/>
      <c r="BO3492" s="81"/>
      <c r="BP3492" s="81"/>
      <c r="BQ3492" s="81"/>
      <c r="BR3492" s="81"/>
      <c r="BS3492" s="81"/>
      <c r="BT3492" s="81"/>
    </row>
    <row r="3493" spans="65:72" x14ac:dyDescent="0.25">
      <c r="BM3493" s="81"/>
      <c r="BN3493" s="81"/>
      <c r="BO3493" s="81"/>
      <c r="BP3493" s="81"/>
      <c r="BQ3493" s="81"/>
      <c r="BR3493" s="81"/>
      <c r="BS3493" s="81"/>
      <c r="BT3493" s="81"/>
    </row>
    <row r="3494" spans="65:72" x14ac:dyDescent="0.25">
      <c r="BM3494" s="81"/>
      <c r="BN3494" s="81"/>
      <c r="BO3494" s="81"/>
      <c r="BP3494" s="81"/>
      <c r="BQ3494" s="81"/>
      <c r="BR3494" s="81"/>
      <c r="BS3494" s="81"/>
      <c r="BT3494" s="81"/>
    </row>
    <row r="3495" spans="65:72" x14ac:dyDescent="0.25">
      <c r="BM3495" s="81"/>
      <c r="BN3495" s="81"/>
      <c r="BO3495" s="81"/>
      <c r="BP3495" s="81"/>
      <c r="BQ3495" s="81"/>
      <c r="BR3495" s="81"/>
      <c r="BS3495" s="81"/>
      <c r="BT3495" s="81"/>
    </row>
    <row r="3496" spans="65:72" x14ac:dyDescent="0.25">
      <c r="BM3496" s="81"/>
      <c r="BN3496" s="81"/>
      <c r="BO3496" s="81"/>
      <c r="BP3496" s="81"/>
      <c r="BQ3496" s="81"/>
      <c r="BR3496" s="81"/>
      <c r="BS3496" s="81"/>
      <c r="BT3496" s="81"/>
    </row>
    <row r="3497" spans="65:72" x14ac:dyDescent="0.25">
      <c r="BM3497" s="81"/>
      <c r="BN3497" s="81"/>
      <c r="BO3497" s="81"/>
      <c r="BP3497" s="81"/>
      <c r="BQ3497" s="81"/>
      <c r="BR3497" s="81"/>
      <c r="BS3497" s="81"/>
      <c r="BT3497" s="81"/>
    </row>
    <row r="3498" spans="65:72" x14ac:dyDescent="0.25">
      <c r="BM3498" s="81"/>
      <c r="BN3498" s="81"/>
      <c r="BO3498" s="81"/>
      <c r="BP3498" s="81"/>
      <c r="BQ3498" s="81"/>
      <c r="BR3498" s="81"/>
      <c r="BS3498" s="81"/>
      <c r="BT3498" s="81"/>
    </row>
    <row r="3499" spans="65:72" x14ac:dyDescent="0.25">
      <c r="BM3499" s="81"/>
      <c r="BN3499" s="81"/>
      <c r="BO3499" s="81"/>
      <c r="BP3499" s="81"/>
      <c r="BQ3499" s="81"/>
      <c r="BR3499" s="81"/>
      <c r="BS3499" s="81"/>
      <c r="BT3499" s="81"/>
    </row>
    <row r="3500" spans="65:72" x14ac:dyDescent="0.25">
      <c r="BM3500" s="81"/>
      <c r="BN3500" s="81"/>
      <c r="BO3500" s="81"/>
      <c r="BP3500" s="81"/>
      <c r="BQ3500" s="81"/>
      <c r="BR3500" s="81"/>
      <c r="BS3500" s="81"/>
      <c r="BT3500" s="81"/>
    </row>
    <row r="3501" spans="65:72" x14ac:dyDescent="0.25">
      <c r="BM3501" s="81"/>
      <c r="BN3501" s="81"/>
      <c r="BO3501" s="81"/>
      <c r="BP3501" s="81"/>
      <c r="BQ3501" s="81"/>
      <c r="BR3501" s="81"/>
      <c r="BS3501" s="81"/>
      <c r="BT3501" s="81"/>
    </row>
    <row r="3502" spans="65:72" x14ac:dyDescent="0.25">
      <c r="BM3502" s="81"/>
      <c r="BN3502" s="81"/>
      <c r="BO3502" s="81"/>
      <c r="BP3502" s="81"/>
      <c r="BQ3502" s="81"/>
      <c r="BR3502" s="81"/>
      <c r="BS3502" s="81"/>
      <c r="BT3502" s="81"/>
    </row>
    <row r="3503" spans="65:72" x14ac:dyDescent="0.25">
      <c r="BM3503" s="81"/>
      <c r="BN3503" s="81"/>
      <c r="BO3503" s="81"/>
      <c r="BP3503" s="81"/>
      <c r="BQ3503" s="81"/>
      <c r="BR3503" s="81"/>
      <c r="BS3503" s="81"/>
      <c r="BT3503" s="81"/>
    </row>
    <row r="3504" spans="65:72" x14ac:dyDescent="0.25">
      <c r="BM3504" s="81"/>
      <c r="BN3504" s="81"/>
      <c r="BO3504" s="81"/>
      <c r="BP3504" s="81"/>
      <c r="BQ3504" s="81"/>
      <c r="BR3504" s="81"/>
      <c r="BS3504" s="81"/>
      <c r="BT3504" s="81"/>
    </row>
    <row r="3505" spans="65:72" x14ac:dyDescent="0.25">
      <c r="BM3505" s="81"/>
      <c r="BN3505" s="81"/>
      <c r="BO3505" s="81"/>
      <c r="BP3505" s="81"/>
      <c r="BQ3505" s="81"/>
      <c r="BR3505" s="81"/>
      <c r="BS3505" s="81"/>
      <c r="BT3505" s="81"/>
    </row>
    <row r="3506" spans="65:72" x14ac:dyDescent="0.25">
      <c r="BM3506" s="81"/>
      <c r="BN3506" s="81"/>
      <c r="BO3506" s="81"/>
      <c r="BP3506" s="81"/>
      <c r="BQ3506" s="81"/>
      <c r="BR3506" s="81"/>
      <c r="BS3506" s="81"/>
      <c r="BT3506" s="81"/>
    </row>
    <row r="3507" spans="65:72" x14ac:dyDescent="0.25">
      <c r="BM3507" s="81"/>
      <c r="BN3507" s="81"/>
      <c r="BO3507" s="81"/>
      <c r="BP3507" s="81"/>
      <c r="BQ3507" s="81"/>
      <c r="BR3507" s="81"/>
      <c r="BS3507" s="81"/>
      <c r="BT3507" s="81"/>
    </row>
    <row r="3508" spans="65:72" x14ac:dyDescent="0.25">
      <c r="BM3508" s="81"/>
      <c r="BN3508" s="81"/>
      <c r="BO3508" s="81"/>
      <c r="BP3508" s="81"/>
      <c r="BQ3508" s="81"/>
      <c r="BR3508" s="81"/>
      <c r="BS3508" s="81"/>
      <c r="BT3508" s="81"/>
    </row>
    <row r="3509" spans="65:72" x14ac:dyDescent="0.25">
      <c r="BM3509" s="81"/>
      <c r="BN3509" s="81"/>
      <c r="BO3509" s="81"/>
      <c r="BP3509" s="81"/>
      <c r="BQ3509" s="81"/>
      <c r="BR3509" s="81"/>
      <c r="BS3509" s="81"/>
      <c r="BT3509" s="81"/>
    </row>
    <row r="3510" spans="65:72" x14ac:dyDescent="0.25">
      <c r="BM3510" s="81"/>
      <c r="BN3510" s="81"/>
      <c r="BO3510" s="81"/>
      <c r="BP3510" s="81"/>
      <c r="BQ3510" s="81"/>
      <c r="BR3510" s="81"/>
      <c r="BS3510" s="81"/>
      <c r="BT3510" s="81"/>
    </row>
    <row r="3511" spans="65:72" x14ac:dyDescent="0.25">
      <c r="BM3511" s="81"/>
      <c r="BN3511" s="81"/>
      <c r="BO3511" s="81"/>
      <c r="BP3511" s="81"/>
      <c r="BQ3511" s="81"/>
      <c r="BR3511" s="81"/>
      <c r="BS3511" s="81"/>
      <c r="BT3511" s="81"/>
    </row>
    <row r="3512" spans="65:72" x14ac:dyDescent="0.25">
      <c r="BM3512" s="81"/>
      <c r="BN3512" s="81"/>
      <c r="BO3512" s="81"/>
      <c r="BP3512" s="81"/>
      <c r="BQ3512" s="81"/>
      <c r="BR3512" s="81"/>
      <c r="BS3512" s="81"/>
      <c r="BT3512" s="81"/>
    </row>
    <row r="3513" spans="65:72" x14ac:dyDescent="0.25">
      <c r="BM3513" s="81"/>
      <c r="BN3513" s="81"/>
      <c r="BO3513" s="81"/>
      <c r="BP3513" s="81"/>
      <c r="BQ3513" s="81"/>
      <c r="BR3513" s="81"/>
      <c r="BS3513" s="81"/>
      <c r="BT3513" s="81"/>
    </row>
    <row r="3514" spans="65:72" x14ac:dyDescent="0.25">
      <c r="BM3514" s="81"/>
      <c r="BN3514" s="81"/>
      <c r="BO3514" s="81"/>
      <c r="BP3514" s="81"/>
      <c r="BQ3514" s="81"/>
      <c r="BR3514" s="81"/>
      <c r="BS3514" s="81"/>
      <c r="BT3514" s="81"/>
    </row>
    <row r="3515" spans="65:72" x14ac:dyDescent="0.25">
      <c r="BM3515" s="81"/>
      <c r="BN3515" s="81"/>
      <c r="BO3515" s="81"/>
      <c r="BP3515" s="81"/>
      <c r="BQ3515" s="81"/>
      <c r="BR3515" s="81"/>
      <c r="BS3515" s="81"/>
      <c r="BT3515" s="81"/>
    </row>
    <row r="3516" spans="65:72" x14ac:dyDescent="0.25">
      <c r="BM3516" s="81"/>
      <c r="BN3516" s="81"/>
      <c r="BO3516" s="81"/>
      <c r="BP3516" s="81"/>
      <c r="BQ3516" s="81"/>
      <c r="BR3516" s="81"/>
      <c r="BS3516" s="81"/>
      <c r="BT3516" s="81"/>
    </row>
    <row r="3517" spans="65:72" x14ac:dyDescent="0.25">
      <c r="BM3517" s="81"/>
      <c r="BN3517" s="81"/>
      <c r="BO3517" s="81"/>
      <c r="BP3517" s="81"/>
      <c r="BQ3517" s="81"/>
      <c r="BR3517" s="81"/>
      <c r="BS3517" s="81"/>
      <c r="BT3517" s="81"/>
    </row>
    <row r="3518" spans="65:72" x14ac:dyDescent="0.25">
      <c r="BM3518" s="81"/>
      <c r="BN3518" s="81"/>
      <c r="BO3518" s="81"/>
      <c r="BP3518" s="81"/>
      <c r="BQ3518" s="81"/>
      <c r="BR3518" s="81"/>
      <c r="BS3518" s="81"/>
      <c r="BT3518" s="81"/>
    </row>
    <row r="3519" spans="65:72" x14ac:dyDescent="0.25">
      <c r="BM3519" s="81"/>
      <c r="BN3519" s="81"/>
      <c r="BO3519" s="81"/>
      <c r="BP3519" s="81"/>
      <c r="BQ3519" s="81"/>
      <c r="BR3519" s="81"/>
      <c r="BS3519" s="81"/>
      <c r="BT3519" s="81"/>
    </row>
    <row r="3520" spans="65:72" x14ac:dyDescent="0.25">
      <c r="BM3520" s="81"/>
      <c r="BN3520" s="81"/>
      <c r="BO3520" s="81"/>
      <c r="BP3520" s="81"/>
      <c r="BQ3520" s="81"/>
      <c r="BR3520" s="81"/>
      <c r="BS3520" s="81"/>
      <c r="BT3520" s="81"/>
    </row>
    <row r="3521" spans="65:72" x14ac:dyDescent="0.25">
      <c r="BM3521" s="81"/>
      <c r="BN3521" s="81"/>
      <c r="BO3521" s="81"/>
      <c r="BP3521" s="81"/>
      <c r="BQ3521" s="81"/>
      <c r="BR3521" s="81"/>
      <c r="BS3521" s="81"/>
      <c r="BT3521" s="81"/>
    </row>
    <row r="3522" spans="65:72" x14ac:dyDescent="0.25">
      <c r="BM3522" s="81"/>
      <c r="BN3522" s="81"/>
      <c r="BO3522" s="81"/>
      <c r="BP3522" s="81"/>
      <c r="BQ3522" s="81"/>
      <c r="BR3522" s="81"/>
      <c r="BS3522" s="81"/>
      <c r="BT3522" s="81"/>
    </row>
    <row r="3523" spans="65:72" x14ac:dyDescent="0.25">
      <c r="BM3523" s="81"/>
      <c r="BN3523" s="81"/>
      <c r="BO3523" s="81"/>
      <c r="BP3523" s="81"/>
      <c r="BQ3523" s="81"/>
      <c r="BR3523" s="81"/>
      <c r="BS3523" s="81"/>
      <c r="BT3523" s="81"/>
    </row>
    <row r="3524" spans="65:72" x14ac:dyDescent="0.25">
      <c r="BM3524" s="81"/>
      <c r="BN3524" s="81"/>
      <c r="BO3524" s="81"/>
      <c r="BP3524" s="81"/>
      <c r="BQ3524" s="81"/>
      <c r="BR3524" s="81"/>
      <c r="BS3524" s="81"/>
      <c r="BT3524" s="81"/>
    </row>
    <row r="3525" spans="65:72" x14ac:dyDescent="0.25">
      <c r="BM3525" s="81"/>
      <c r="BN3525" s="81"/>
      <c r="BO3525" s="81"/>
      <c r="BP3525" s="81"/>
      <c r="BQ3525" s="81"/>
      <c r="BR3525" s="81"/>
      <c r="BS3525" s="81"/>
      <c r="BT3525" s="81"/>
    </row>
    <row r="3526" spans="65:72" x14ac:dyDescent="0.25">
      <c r="BM3526" s="81"/>
      <c r="BN3526" s="81"/>
      <c r="BO3526" s="81"/>
      <c r="BP3526" s="81"/>
      <c r="BQ3526" s="81"/>
      <c r="BR3526" s="81"/>
      <c r="BS3526" s="81"/>
      <c r="BT3526" s="81"/>
    </row>
    <row r="3527" spans="65:72" x14ac:dyDescent="0.25">
      <c r="BM3527" s="81"/>
      <c r="BN3527" s="81"/>
      <c r="BO3527" s="81"/>
      <c r="BP3527" s="81"/>
      <c r="BQ3527" s="81"/>
      <c r="BR3527" s="81"/>
      <c r="BS3527" s="81"/>
      <c r="BT3527" s="81"/>
    </row>
    <row r="3528" spans="65:72" x14ac:dyDescent="0.25">
      <c r="BM3528" s="81"/>
      <c r="BN3528" s="81"/>
      <c r="BO3528" s="81"/>
      <c r="BP3528" s="81"/>
      <c r="BQ3528" s="81"/>
      <c r="BR3528" s="81"/>
      <c r="BS3528" s="81"/>
      <c r="BT3528" s="81"/>
    </row>
    <row r="3529" spans="65:72" x14ac:dyDescent="0.25">
      <c r="BM3529" s="81"/>
      <c r="BN3529" s="81"/>
      <c r="BO3529" s="81"/>
      <c r="BP3529" s="81"/>
      <c r="BQ3529" s="81"/>
      <c r="BR3529" s="81"/>
      <c r="BS3529" s="81"/>
      <c r="BT3529" s="81"/>
    </row>
    <row r="3530" spans="65:72" x14ac:dyDescent="0.25">
      <c r="BM3530" s="81"/>
      <c r="BN3530" s="81"/>
      <c r="BO3530" s="81"/>
      <c r="BP3530" s="81"/>
      <c r="BQ3530" s="81"/>
      <c r="BR3530" s="81"/>
      <c r="BS3530" s="81"/>
      <c r="BT3530" s="81"/>
    </row>
    <row r="3531" spans="65:72" x14ac:dyDescent="0.25">
      <c r="BM3531" s="81"/>
      <c r="BN3531" s="81"/>
      <c r="BO3531" s="81"/>
      <c r="BP3531" s="81"/>
      <c r="BQ3531" s="81"/>
      <c r="BR3531" s="81"/>
      <c r="BS3531" s="81"/>
      <c r="BT3531" s="81"/>
    </row>
    <row r="3532" spans="65:72" x14ac:dyDescent="0.25">
      <c r="BM3532" s="81"/>
      <c r="BN3532" s="81"/>
      <c r="BO3532" s="81"/>
      <c r="BP3532" s="81"/>
      <c r="BQ3532" s="81"/>
      <c r="BR3532" s="81"/>
      <c r="BS3532" s="81"/>
      <c r="BT3532" s="81"/>
    </row>
    <row r="3533" spans="65:72" x14ac:dyDescent="0.25">
      <c r="BM3533" s="81"/>
      <c r="BN3533" s="81"/>
      <c r="BO3533" s="81"/>
      <c r="BP3533" s="81"/>
      <c r="BQ3533" s="81"/>
      <c r="BR3533" s="81"/>
      <c r="BS3533" s="81"/>
      <c r="BT3533" s="81"/>
    </row>
    <row r="3534" spans="65:72" x14ac:dyDescent="0.25">
      <c r="BM3534" s="81"/>
      <c r="BN3534" s="81"/>
      <c r="BO3534" s="81"/>
      <c r="BP3534" s="81"/>
      <c r="BQ3534" s="81"/>
      <c r="BR3534" s="81"/>
      <c r="BS3534" s="81"/>
      <c r="BT3534" s="81"/>
    </row>
    <row r="3535" spans="65:72" x14ac:dyDescent="0.25">
      <c r="BM3535" s="81"/>
      <c r="BN3535" s="81"/>
      <c r="BO3535" s="81"/>
      <c r="BP3535" s="81"/>
      <c r="BQ3535" s="81"/>
      <c r="BR3535" s="81"/>
      <c r="BS3535" s="81"/>
      <c r="BT3535" s="81"/>
    </row>
    <row r="3536" spans="65:72" x14ac:dyDescent="0.25">
      <c r="BM3536" s="81"/>
      <c r="BN3536" s="81"/>
      <c r="BO3536" s="81"/>
      <c r="BP3536" s="81"/>
      <c r="BQ3536" s="81"/>
      <c r="BR3536" s="81"/>
      <c r="BS3536" s="81"/>
      <c r="BT3536" s="81"/>
    </row>
    <row r="3537" spans="65:72" x14ac:dyDescent="0.25">
      <c r="BM3537" s="81"/>
      <c r="BN3537" s="81"/>
      <c r="BO3537" s="81"/>
      <c r="BP3537" s="81"/>
      <c r="BQ3537" s="81"/>
      <c r="BR3537" s="81"/>
      <c r="BS3537" s="81"/>
      <c r="BT3537" s="81"/>
    </row>
    <row r="3538" spans="65:72" x14ac:dyDescent="0.25">
      <c r="BM3538" s="81"/>
      <c r="BN3538" s="81"/>
      <c r="BO3538" s="81"/>
      <c r="BP3538" s="81"/>
      <c r="BQ3538" s="81"/>
      <c r="BR3538" s="81"/>
      <c r="BS3538" s="81"/>
      <c r="BT3538" s="81"/>
    </row>
    <row r="3539" spans="65:72" x14ac:dyDescent="0.25">
      <c r="BM3539" s="81"/>
      <c r="BN3539" s="81"/>
      <c r="BO3539" s="81"/>
      <c r="BP3539" s="81"/>
      <c r="BQ3539" s="81"/>
      <c r="BR3539" s="81"/>
      <c r="BS3539" s="81"/>
      <c r="BT3539" s="81"/>
    </row>
    <row r="3540" spans="65:72" x14ac:dyDescent="0.25">
      <c r="BM3540" s="81"/>
      <c r="BN3540" s="81"/>
      <c r="BO3540" s="81"/>
      <c r="BP3540" s="81"/>
      <c r="BQ3540" s="81"/>
      <c r="BR3540" s="81"/>
      <c r="BS3540" s="81"/>
      <c r="BT3540" s="81"/>
    </row>
    <row r="3541" spans="65:72" x14ac:dyDescent="0.25">
      <c r="BM3541" s="81"/>
      <c r="BN3541" s="81"/>
      <c r="BO3541" s="81"/>
      <c r="BP3541" s="81"/>
      <c r="BQ3541" s="81"/>
      <c r="BR3541" s="81"/>
      <c r="BS3541" s="81"/>
      <c r="BT3541" s="81"/>
    </row>
    <row r="3542" spans="65:72" x14ac:dyDescent="0.25">
      <c r="BM3542" s="81"/>
      <c r="BN3542" s="81"/>
      <c r="BO3542" s="81"/>
      <c r="BP3542" s="81"/>
      <c r="BQ3542" s="81"/>
      <c r="BR3542" s="81"/>
      <c r="BS3542" s="81"/>
      <c r="BT3542" s="81"/>
    </row>
    <row r="3543" spans="65:72" x14ac:dyDescent="0.25">
      <c r="BM3543" s="81"/>
      <c r="BN3543" s="81"/>
      <c r="BO3543" s="81"/>
      <c r="BP3543" s="81"/>
      <c r="BQ3543" s="81"/>
      <c r="BR3543" s="81"/>
      <c r="BS3543" s="81"/>
      <c r="BT3543" s="81"/>
    </row>
    <row r="3544" spans="65:72" x14ac:dyDescent="0.25">
      <c r="BM3544" s="81"/>
      <c r="BN3544" s="81"/>
      <c r="BO3544" s="81"/>
      <c r="BP3544" s="81"/>
      <c r="BQ3544" s="81"/>
      <c r="BR3544" s="81"/>
      <c r="BS3544" s="81"/>
      <c r="BT3544" s="81"/>
    </row>
    <row r="3545" spans="65:72" x14ac:dyDescent="0.25">
      <c r="BM3545" s="81"/>
      <c r="BN3545" s="81"/>
      <c r="BO3545" s="81"/>
      <c r="BP3545" s="81"/>
      <c r="BQ3545" s="81"/>
      <c r="BR3545" s="81"/>
      <c r="BS3545" s="81"/>
      <c r="BT3545" s="81"/>
    </row>
    <row r="3546" spans="65:72" x14ac:dyDescent="0.25">
      <c r="BM3546" s="81"/>
      <c r="BN3546" s="81"/>
      <c r="BO3546" s="81"/>
      <c r="BP3546" s="81"/>
      <c r="BQ3546" s="81"/>
      <c r="BR3546" s="81"/>
      <c r="BS3546" s="81"/>
      <c r="BT3546" s="81"/>
    </row>
    <row r="3547" spans="65:72" x14ac:dyDescent="0.25">
      <c r="BM3547" s="81"/>
      <c r="BN3547" s="81"/>
      <c r="BO3547" s="81"/>
      <c r="BP3547" s="81"/>
      <c r="BQ3547" s="81"/>
      <c r="BR3547" s="81"/>
      <c r="BS3547" s="81"/>
      <c r="BT3547" s="81"/>
    </row>
    <row r="3548" spans="65:72" x14ac:dyDescent="0.25">
      <c r="BM3548" s="81"/>
      <c r="BN3548" s="81"/>
      <c r="BO3548" s="81"/>
      <c r="BP3548" s="81"/>
      <c r="BQ3548" s="81"/>
      <c r="BR3548" s="81"/>
      <c r="BS3548" s="81"/>
      <c r="BT3548" s="81"/>
    </row>
    <row r="3549" spans="65:72" x14ac:dyDescent="0.25">
      <c r="BM3549" s="81"/>
      <c r="BN3549" s="81"/>
      <c r="BO3549" s="81"/>
      <c r="BP3549" s="81"/>
      <c r="BQ3549" s="81"/>
      <c r="BR3549" s="81"/>
      <c r="BS3549" s="81"/>
      <c r="BT3549" s="81"/>
    </row>
    <row r="3550" spans="65:72" x14ac:dyDescent="0.25">
      <c r="BM3550" s="81"/>
      <c r="BN3550" s="81"/>
      <c r="BO3550" s="81"/>
      <c r="BP3550" s="81"/>
      <c r="BQ3550" s="81"/>
      <c r="BR3550" s="81"/>
      <c r="BS3550" s="81"/>
      <c r="BT3550" s="81"/>
    </row>
    <row r="3551" spans="65:72" x14ac:dyDescent="0.25">
      <c r="BM3551" s="81"/>
      <c r="BN3551" s="81"/>
      <c r="BO3551" s="81"/>
      <c r="BP3551" s="81"/>
      <c r="BQ3551" s="81"/>
      <c r="BR3551" s="81"/>
      <c r="BS3551" s="81"/>
      <c r="BT3551" s="81"/>
    </row>
    <row r="3552" spans="65:72" x14ac:dyDescent="0.25">
      <c r="BM3552" s="81"/>
      <c r="BN3552" s="81"/>
      <c r="BO3552" s="81"/>
      <c r="BP3552" s="81"/>
      <c r="BQ3552" s="81"/>
      <c r="BR3552" s="81"/>
      <c r="BS3552" s="81"/>
      <c r="BT3552" s="81"/>
    </row>
    <row r="3553" spans="65:72" x14ac:dyDescent="0.25">
      <c r="BM3553" s="81"/>
      <c r="BN3553" s="81"/>
      <c r="BO3553" s="81"/>
      <c r="BP3553" s="81"/>
      <c r="BQ3553" s="81"/>
      <c r="BR3553" s="81"/>
      <c r="BS3553" s="81"/>
      <c r="BT3553" s="81"/>
    </row>
    <row r="3554" spans="65:72" x14ac:dyDescent="0.25">
      <c r="BM3554" s="81"/>
      <c r="BN3554" s="81"/>
      <c r="BO3554" s="81"/>
      <c r="BP3554" s="81"/>
      <c r="BQ3554" s="81"/>
      <c r="BR3554" s="81"/>
      <c r="BS3554" s="81"/>
      <c r="BT3554" s="81"/>
    </row>
    <row r="3555" spans="65:72" x14ac:dyDescent="0.25">
      <c r="BM3555" s="81"/>
      <c r="BN3555" s="81"/>
      <c r="BO3555" s="81"/>
      <c r="BP3555" s="81"/>
      <c r="BQ3555" s="81"/>
      <c r="BR3555" s="81"/>
      <c r="BS3555" s="81"/>
      <c r="BT3555" s="81"/>
    </row>
    <row r="3556" spans="65:72" x14ac:dyDescent="0.25">
      <c r="BM3556" s="81"/>
      <c r="BN3556" s="81"/>
      <c r="BO3556" s="81"/>
      <c r="BP3556" s="81"/>
      <c r="BQ3556" s="81"/>
      <c r="BR3556" s="81"/>
      <c r="BS3556" s="81"/>
      <c r="BT3556" s="81"/>
    </row>
    <row r="3557" spans="65:72" x14ac:dyDescent="0.25">
      <c r="BM3557" s="81"/>
      <c r="BN3557" s="81"/>
      <c r="BO3557" s="81"/>
      <c r="BP3557" s="81"/>
      <c r="BQ3557" s="81"/>
      <c r="BR3557" s="81"/>
      <c r="BS3557" s="81"/>
      <c r="BT3557" s="81"/>
    </row>
    <row r="3558" spans="65:72" x14ac:dyDescent="0.25">
      <c r="BM3558" s="81"/>
      <c r="BN3558" s="81"/>
      <c r="BO3558" s="81"/>
      <c r="BP3558" s="81"/>
      <c r="BQ3558" s="81"/>
      <c r="BR3558" s="81"/>
      <c r="BS3558" s="81"/>
      <c r="BT3558" s="81"/>
    </row>
    <row r="3559" spans="65:72" x14ac:dyDescent="0.25">
      <c r="BM3559" s="81"/>
      <c r="BN3559" s="81"/>
      <c r="BO3559" s="81"/>
      <c r="BP3559" s="81"/>
      <c r="BQ3559" s="81"/>
      <c r="BR3559" s="81"/>
      <c r="BS3559" s="81"/>
      <c r="BT3559" s="81"/>
    </row>
    <row r="3560" spans="65:72" x14ac:dyDescent="0.25">
      <c r="BM3560" s="81"/>
      <c r="BN3560" s="81"/>
      <c r="BO3560" s="81"/>
      <c r="BP3560" s="81"/>
      <c r="BQ3560" s="81"/>
      <c r="BR3560" s="81"/>
      <c r="BS3560" s="81"/>
      <c r="BT3560" s="81"/>
    </row>
    <row r="3561" spans="65:72" x14ac:dyDescent="0.25">
      <c r="BM3561" s="81"/>
      <c r="BN3561" s="81"/>
      <c r="BO3561" s="81"/>
      <c r="BP3561" s="81"/>
      <c r="BQ3561" s="81"/>
      <c r="BR3561" s="81"/>
      <c r="BS3561" s="81"/>
      <c r="BT3561" s="81"/>
    </row>
    <row r="3562" spans="65:72" x14ac:dyDescent="0.25">
      <c r="BM3562" s="81"/>
      <c r="BN3562" s="81"/>
      <c r="BO3562" s="81"/>
      <c r="BP3562" s="81"/>
      <c r="BQ3562" s="81"/>
      <c r="BR3562" s="81"/>
      <c r="BS3562" s="81"/>
      <c r="BT3562" s="81"/>
    </row>
    <row r="3563" spans="65:72" x14ac:dyDescent="0.25">
      <c r="BM3563" s="81"/>
      <c r="BN3563" s="81"/>
      <c r="BO3563" s="81"/>
      <c r="BP3563" s="81"/>
      <c r="BQ3563" s="81"/>
      <c r="BR3563" s="81"/>
      <c r="BS3563" s="81"/>
      <c r="BT3563" s="81"/>
    </row>
    <row r="3564" spans="65:72" x14ac:dyDescent="0.25">
      <c r="BM3564" s="81"/>
      <c r="BN3564" s="81"/>
      <c r="BO3564" s="81"/>
      <c r="BP3564" s="81"/>
      <c r="BQ3564" s="81"/>
      <c r="BR3564" s="81"/>
      <c r="BS3564" s="81"/>
      <c r="BT3564" s="81"/>
    </row>
    <row r="3565" spans="65:72" x14ac:dyDescent="0.25">
      <c r="BM3565" s="81"/>
      <c r="BN3565" s="81"/>
      <c r="BO3565" s="81"/>
      <c r="BP3565" s="81"/>
      <c r="BQ3565" s="81"/>
      <c r="BR3565" s="81"/>
      <c r="BS3565" s="81"/>
      <c r="BT3565" s="81"/>
    </row>
    <row r="3566" spans="65:72" x14ac:dyDescent="0.25">
      <c r="BM3566" s="81"/>
      <c r="BN3566" s="81"/>
      <c r="BO3566" s="81"/>
      <c r="BP3566" s="81"/>
      <c r="BQ3566" s="81"/>
      <c r="BR3566" s="81"/>
      <c r="BS3566" s="81"/>
      <c r="BT3566" s="81"/>
    </row>
    <row r="3567" spans="65:72" x14ac:dyDescent="0.25">
      <c r="BM3567" s="81"/>
      <c r="BN3567" s="81"/>
      <c r="BO3567" s="81"/>
      <c r="BP3567" s="81"/>
      <c r="BQ3567" s="81"/>
      <c r="BR3567" s="81"/>
      <c r="BS3567" s="81"/>
      <c r="BT3567" s="81"/>
    </row>
    <row r="3568" spans="65:72" x14ac:dyDescent="0.25">
      <c r="BM3568" s="81"/>
      <c r="BN3568" s="81"/>
      <c r="BO3568" s="81"/>
      <c r="BP3568" s="81"/>
      <c r="BQ3568" s="81"/>
      <c r="BR3568" s="81"/>
      <c r="BS3568" s="81"/>
      <c r="BT3568" s="81"/>
    </row>
    <row r="3569" spans="65:72" x14ac:dyDescent="0.25">
      <c r="BM3569" s="81"/>
      <c r="BN3569" s="81"/>
      <c r="BO3569" s="81"/>
      <c r="BP3569" s="81"/>
      <c r="BQ3569" s="81"/>
      <c r="BR3569" s="81"/>
      <c r="BS3569" s="81"/>
      <c r="BT3569" s="81"/>
    </row>
    <row r="3570" spans="65:72" x14ac:dyDescent="0.25">
      <c r="BM3570" s="81"/>
      <c r="BN3570" s="81"/>
      <c r="BO3570" s="81"/>
      <c r="BP3570" s="81"/>
      <c r="BQ3570" s="81"/>
      <c r="BR3570" s="81"/>
      <c r="BS3570" s="81"/>
      <c r="BT3570" s="81"/>
    </row>
    <row r="3571" spans="65:72" x14ac:dyDescent="0.25">
      <c r="BM3571" s="81"/>
      <c r="BN3571" s="81"/>
      <c r="BO3571" s="81"/>
      <c r="BP3571" s="81"/>
      <c r="BQ3571" s="81"/>
      <c r="BR3571" s="81"/>
      <c r="BS3571" s="81"/>
      <c r="BT3571" s="81"/>
    </row>
    <row r="3572" spans="65:72" x14ac:dyDescent="0.25">
      <c r="BM3572" s="81"/>
      <c r="BN3572" s="81"/>
      <c r="BO3572" s="81"/>
      <c r="BP3572" s="81"/>
      <c r="BQ3572" s="81"/>
      <c r="BR3572" s="81"/>
      <c r="BS3572" s="81"/>
      <c r="BT3572" s="81"/>
    </row>
    <row r="3573" spans="65:72" x14ac:dyDescent="0.25">
      <c r="BM3573" s="81"/>
      <c r="BN3573" s="81"/>
      <c r="BO3573" s="81"/>
      <c r="BP3573" s="81"/>
      <c r="BQ3573" s="81"/>
      <c r="BR3573" s="81"/>
      <c r="BS3573" s="81"/>
      <c r="BT3573" s="81"/>
    </row>
    <row r="3574" spans="65:72" x14ac:dyDescent="0.25">
      <c r="BM3574" s="81"/>
      <c r="BN3574" s="81"/>
      <c r="BO3574" s="81"/>
      <c r="BP3574" s="81"/>
      <c r="BQ3574" s="81"/>
      <c r="BR3574" s="81"/>
      <c r="BS3574" s="81"/>
      <c r="BT3574" s="81"/>
    </row>
    <row r="3575" spans="65:72" x14ac:dyDescent="0.25">
      <c r="BM3575" s="81"/>
      <c r="BN3575" s="81"/>
      <c r="BO3575" s="81"/>
      <c r="BP3575" s="81"/>
      <c r="BQ3575" s="81"/>
      <c r="BR3575" s="81"/>
      <c r="BS3575" s="81"/>
      <c r="BT3575" s="81"/>
    </row>
    <row r="3576" spans="65:72" x14ac:dyDescent="0.25">
      <c r="BM3576" s="81"/>
      <c r="BN3576" s="81"/>
      <c r="BO3576" s="81"/>
      <c r="BP3576" s="81"/>
      <c r="BQ3576" s="81"/>
      <c r="BR3576" s="81"/>
      <c r="BS3576" s="81"/>
      <c r="BT3576" s="81"/>
    </row>
    <row r="3577" spans="65:72" x14ac:dyDescent="0.25">
      <c r="BM3577" s="81"/>
      <c r="BN3577" s="81"/>
      <c r="BO3577" s="81"/>
      <c r="BP3577" s="81"/>
      <c r="BQ3577" s="81"/>
      <c r="BR3577" s="81"/>
      <c r="BS3577" s="81"/>
      <c r="BT3577" s="81"/>
    </row>
    <row r="3578" spans="65:72" x14ac:dyDescent="0.25">
      <c r="BM3578" s="81"/>
      <c r="BN3578" s="81"/>
      <c r="BO3578" s="81"/>
      <c r="BP3578" s="81"/>
      <c r="BQ3578" s="81"/>
      <c r="BR3578" s="81"/>
      <c r="BS3578" s="81"/>
      <c r="BT3578" s="81"/>
    </row>
    <row r="3579" spans="65:72" x14ac:dyDescent="0.25">
      <c r="BM3579" s="81"/>
      <c r="BN3579" s="81"/>
      <c r="BO3579" s="81"/>
      <c r="BP3579" s="81"/>
      <c r="BQ3579" s="81"/>
      <c r="BR3579" s="81"/>
      <c r="BS3579" s="81"/>
      <c r="BT3579" s="81"/>
    </row>
    <row r="3580" spans="65:72" x14ac:dyDescent="0.25">
      <c r="BM3580" s="81"/>
      <c r="BN3580" s="81"/>
      <c r="BO3580" s="81"/>
      <c r="BP3580" s="81"/>
      <c r="BQ3580" s="81"/>
      <c r="BR3580" s="81"/>
      <c r="BS3580" s="81"/>
      <c r="BT3580" s="81"/>
    </row>
    <row r="3581" spans="65:72" x14ac:dyDescent="0.25">
      <c r="BM3581" s="81"/>
      <c r="BN3581" s="81"/>
      <c r="BO3581" s="81"/>
      <c r="BP3581" s="81"/>
      <c r="BQ3581" s="81"/>
      <c r="BR3581" s="81"/>
      <c r="BS3581" s="81"/>
      <c r="BT3581" s="81"/>
    </row>
    <row r="3582" spans="65:72" x14ac:dyDescent="0.25">
      <c r="BM3582" s="81"/>
      <c r="BN3582" s="81"/>
      <c r="BO3582" s="81"/>
      <c r="BP3582" s="81"/>
      <c r="BQ3582" s="81"/>
      <c r="BR3582" s="81"/>
      <c r="BS3582" s="81"/>
      <c r="BT3582" s="81"/>
    </row>
    <row r="3583" spans="65:72" x14ac:dyDescent="0.25">
      <c r="BM3583" s="81"/>
      <c r="BN3583" s="81"/>
      <c r="BO3583" s="81"/>
      <c r="BP3583" s="81"/>
      <c r="BQ3583" s="81"/>
      <c r="BR3583" s="81"/>
      <c r="BS3583" s="81"/>
      <c r="BT3583" s="81"/>
    </row>
    <row r="3584" spans="65:72" x14ac:dyDescent="0.25">
      <c r="BM3584" s="81"/>
      <c r="BN3584" s="81"/>
      <c r="BO3584" s="81"/>
      <c r="BP3584" s="81"/>
      <c r="BQ3584" s="81"/>
      <c r="BR3584" s="81"/>
      <c r="BS3584" s="81"/>
      <c r="BT3584" s="81"/>
    </row>
    <row r="3585" spans="65:72" x14ac:dyDescent="0.25">
      <c r="BM3585" s="81"/>
      <c r="BN3585" s="81"/>
      <c r="BO3585" s="81"/>
      <c r="BP3585" s="81"/>
      <c r="BQ3585" s="81"/>
      <c r="BR3585" s="81"/>
      <c r="BS3585" s="81"/>
      <c r="BT3585" s="81"/>
    </row>
    <row r="3586" spans="65:72" x14ac:dyDescent="0.25">
      <c r="BM3586" s="81"/>
      <c r="BN3586" s="81"/>
      <c r="BO3586" s="81"/>
      <c r="BP3586" s="81"/>
      <c r="BQ3586" s="81"/>
      <c r="BR3586" s="81"/>
      <c r="BS3586" s="81"/>
      <c r="BT3586" s="81"/>
    </row>
    <row r="3587" spans="65:72" x14ac:dyDescent="0.25">
      <c r="BM3587" s="81"/>
      <c r="BN3587" s="81"/>
      <c r="BO3587" s="81"/>
      <c r="BP3587" s="81"/>
      <c r="BQ3587" s="81"/>
      <c r="BR3587" s="81"/>
      <c r="BS3587" s="81"/>
      <c r="BT3587" s="81"/>
    </row>
    <row r="3588" spans="65:72" x14ac:dyDescent="0.25">
      <c r="BM3588" s="81"/>
      <c r="BN3588" s="81"/>
      <c r="BO3588" s="81"/>
      <c r="BP3588" s="81"/>
      <c r="BQ3588" s="81"/>
      <c r="BR3588" s="81"/>
      <c r="BS3588" s="81"/>
      <c r="BT3588" s="81"/>
    </row>
    <row r="3589" spans="65:72" x14ac:dyDescent="0.25">
      <c r="BM3589" s="81"/>
      <c r="BN3589" s="81"/>
      <c r="BO3589" s="81"/>
      <c r="BP3589" s="81"/>
      <c r="BQ3589" s="81"/>
      <c r="BR3589" s="81"/>
      <c r="BS3589" s="81"/>
      <c r="BT3589" s="81"/>
    </row>
    <row r="3590" spans="65:72" x14ac:dyDescent="0.25">
      <c r="BM3590" s="81"/>
      <c r="BN3590" s="81"/>
      <c r="BO3590" s="81"/>
      <c r="BP3590" s="81"/>
      <c r="BQ3590" s="81"/>
      <c r="BR3590" s="81"/>
      <c r="BS3590" s="81"/>
      <c r="BT3590" s="81"/>
    </row>
    <row r="3591" spans="65:72" x14ac:dyDescent="0.25">
      <c r="BM3591" s="81"/>
      <c r="BN3591" s="81"/>
      <c r="BO3591" s="81"/>
      <c r="BP3591" s="81"/>
      <c r="BQ3591" s="81"/>
      <c r="BR3591" s="81"/>
      <c r="BS3591" s="81"/>
      <c r="BT3591" s="81"/>
    </row>
    <row r="3592" spans="65:72" x14ac:dyDescent="0.25">
      <c r="BM3592" s="81"/>
      <c r="BN3592" s="81"/>
      <c r="BO3592" s="81"/>
      <c r="BP3592" s="81"/>
      <c r="BQ3592" s="81"/>
      <c r="BR3592" s="81"/>
      <c r="BS3592" s="81"/>
      <c r="BT3592" s="81"/>
    </row>
    <row r="3593" spans="65:72" x14ac:dyDescent="0.25">
      <c r="BM3593" s="81"/>
      <c r="BN3593" s="81"/>
      <c r="BO3593" s="81"/>
      <c r="BP3593" s="81"/>
      <c r="BQ3593" s="81"/>
      <c r="BR3593" s="81"/>
      <c r="BS3593" s="81"/>
      <c r="BT3593" s="81"/>
    </row>
    <row r="3594" spans="65:72" x14ac:dyDescent="0.25">
      <c r="BM3594" s="81"/>
      <c r="BN3594" s="81"/>
      <c r="BO3594" s="81"/>
      <c r="BP3594" s="81"/>
      <c r="BQ3594" s="81"/>
      <c r="BR3594" s="81"/>
      <c r="BS3594" s="81"/>
      <c r="BT3594" s="81"/>
    </row>
    <row r="3595" spans="65:72" x14ac:dyDescent="0.25">
      <c r="BM3595" s="81"/>
      <c r="BN3595" s="81"/>
      <c r="BO3595" s="81"/>
      <c r="BP3595" s="81"/>
      <c r="BQ3595" s="81"/>
      <c r="BR3595" s="81"/>
      <c r="BS3595" s="81"/>
      <c r="BT3595" s="81"/>
    </row>
    <row r="3596" spans="65:72" x14ac:dyDescent="0.25">
      <c r="BM3596" s="81"/>
      <c r="BN3596" s="81"/>
      <c r="BO3596" s="81"/>
      <c r="BP3596" s="81"/>
      <c r="BQ3596" s="81"/>
      <c r="BR3596" s="81"/>
      <c r="BS3596" s="81"/>
      <c r="BT3596" s="81"/>
    </row>
    <row r="3597" spans="65:72" x14ac:dyDescent="0.25">
      <c r="BM3597" s="81"/>
      <c r="BN3597" s="81"/>
      <c r="BO3597" s="81"/>
      <c r="BP3597" s="81"/>
      <c r="BQ3597" s="81"/>
      <c r="BR3597" s="81"/>
      <c r="BS3597" s="81"/>
      <c r="BT3597" s="81"/>
    </row>
    <row r="3598" spans="65:72" x14ac:dyDescent="0.25">
      <c r="BM3598" s="81"/>
      <c r="BN3598" s="81"/>
      <c r="BO3598" s="81"/>
      <c r="BP3598" s="81"/>
      <c r="BQ3598" s="81"/>
      <c r="BR3598" s="81"/>
      <c r="BS3598" s="81"/>
      <c r="BT3598" s="81"/>
    </row>
    <row r="3599" spans="65:72" x14ac:dyDescent="0.25">
      <c r="BM3599" s="81"/>
      <c r="BN3599" s="81"/>
      <c r="BO3599" s="81"/>
      <c r="BP3599" s="81"/>
      <c r="BQ3599" s="81"/>
      <c r="BR3599" s="81"/>
      <c r="BS3599" s="81"/>
      <c r="BT3599" s="81"/>
    </row>
    <row r="3600" spans="65:72" x14ac:dyDescent="0.25">
      <c r="BM3600" s="81"/>
      <c r="BN3600" s="81"/>
      <c r="BO3600" s="81"/>
      <c r="BP3600" s="81"/>
      <c r="BQ3600" s="81"/>
      <c r="BR3600" s="81"/>
      <c r="BS3600" s="81"/>
      <c r="BT3600" s="81"/>
    </row>
    <row r="3601" spans="65:72" x14ac:dyDescent="0.25">
      <c r="BM3601" s="81"/>
      <c r="BN3601" s="81"/>
      <c r="BO3601" s="81"/>
      <c r="BP3601" s="81"/>
      <c r="BQ3601" s="81"/>
      <c r="BR3601" s="81"/>
      <c r="BS3601" s="81"/>
      <c r="BT3601" s="81"/>
    </row>
    <row r="3602" spans="65:72" x14ac:dyDescent="0.25">
      <c r="BM3602" s="81"/>
      <c r="BN3602" s="81"/>
      <c r="BO3602" s="81"/>
      <c r="BP3602" s="81"/>
      <c r="BQ3602" s="81"/>
      <c r="BR3602" s="81"/>
      <c r="BS3602" s="81"/>
      <c r="BT3602" s="81"/>
    </row>
    <row r="3603" spans="65:72" x14ac:dyDescent="0.25">
      <c r="BM3603" s="81"/>
      <c r="BN3603" s="81"/>
      <c r="BO3603" s="81"/>
      <c r="BP3603" s="81"/>
      <c r="BQ3603" s="81"/>
      <c r="BR3603" s="81"/>
      <c r="BS3603" s="81"/>
      <c r="BT3603" s="81"/>
    </row>
    <row r="3604" spans="65:72" x14ac:dyDescent="0.25">
      <c r="BM3604" s="81"/>
      <c r="BN3604" s="81"/>
      <c r="BO3604" s="81"/>
      <c r="BP3604" s="81"/>
      <c r="BQ3604" s="81"/>
      <c r="BR3604" s="81"/>
      <c r="BS3604" s="81"/>
      <c r="BT3604" s="81"/>
    </row>
    <row r="3605" spans="65:72" x14ac:dyDescent="0.25">
      <c r="BM3605" s="81"/>
      <c r="BN3605" s="81"/>
      <c r="BO3605" s="81"/>
      <c r="BP3605" s="81"/>
      <c r="BQ3605" s="81"/>
      <c r="BR3605" s="81"/>
      <c r="BS3605" s="81"/>
      <c r="BT3605" s="81"/>
    </row>
    <row r="3606" spans="65:72" x14ac:dyDescent="0.25">
      <c r="BM3606" s="81"/>
      <c r="BN3606" s="81"/>
      <c r="BO3606" s="81"/>
      <c r="BP3606" s="81"/>
      <c r="BQ3606" s="81"/>
      <c r="BR3606" s="81"/>
      <c r="BS3606" s="81"/>
      <c r="BT3606" s="81"/>
    </row>
    <row r="3607" spans="65:72" x14ac:dyDescent="0.25">
      <c r="BM3607" s="81"/>
      <c r="BN3607" s="81"/>
      <c r="BO3607" s="81"/>
      <c r="BP3607" s="81"/>
      <c r="BQ3607" s="81"/>
      <c r="BR3607" s="81"/>
      <c r="BS3607" s="81"/>
      <c r="BT3607" s="81"/>
    </row>
    <row r="3608" spans="65:72" x14ac:dyDescent="0.25">
      <c r="BM3608" s="81"/>
      <c r="BN3608" s="81"/>
      <c r="BO3608" s="81"/>
      <c r="BP3608" s="81"/>
      <c r="BQ3608" s="81"/>
      <c r="BR3608" s="81"/>
      <c r="BS3608" s="81"/>
      <c r="BT3608" s="81"/>
    </row>
    <row r="3609" spans="65:72" x14ac:dyDescent="0.25">
      <c r="BM3609" s="81"/>
      <c r="BN3609" s="81"/>
      <c r="BO3609" s="81"/>
      <c r="BP3609" s="81"/>
      <c r="BQ3609" s="81"/>
      <c r="BR3609" s="81"/>
      <c r="BS3609" s="81"/>
      <c r="BT3609" s="81"/>
    </row>
    <row r="3610" spans="65:72" x14ac:dyDescent="0.25">
      <c r="BM3610" s="81"/>
      <c r="BN3610" s="81"/>
      <c r="BO3610" s="81"/>
      <c r="BP3610" s="81"/>
      <c r="BQ3610" s="81"/>
      <c r="BR3610" s="81"/>
      <c r="BS3610" s="81"/>
      <c r="BT3610" s="81"/>
    </row>
    <row r="3611" spans="65:72" x14ac:dyDescent="0.25">
      <c r="BM3611" s="81"/>
      <c r="BN3611" s="81"/>
      <c r="BO3611" s="81"/>
      <c r="BP3611" s="81"/>
      <c r="BQ3611" s="81"/>
      <c r="BR3611" s="81"/>
      <c r="BS3611" s="81"/>
      <c r="BT3611" s="81"/>
    </row>
    <row r="3612" spans="65:72" x14ac:dyDescent="0.25">
      <c r="BM3612" s="81"/>
      <c r="BN3612" s="81"/>
      <c r="BO3612" s="81"/>
      <c r="BP3612" s="81"/>
      <c r="BQ3612" s="81"/>
      <c r="BR3612" s="81"/>
      <c r="BS3612" s="81"/>
      <c r="BT3612" s="81"/>
    </row>
    <row r="3613" spans="65:72" x14ac:dyDescent="0.25">
      <c r="BM3613" s="81"/>
      <c r="BN3613" s="81"/>
      <c r="BO3613" s="81"/>
      <c r="BP3613" s="81"/>
      <c r="BQ3613" s="81"/>
      <c r="BR3613" s="81"/>
      <c r="BS3613" s="81"/>
      <c r="BT3613" s="81"/>
    </row>
    <row r="3614" spans="65:72" x14ac:dyDescent="0.25">
      <c r="BM3614" s="81"/>
      <c r="BN3614" s="81"/>
      <c r="BO3614" s="81"/>
      <c r="BP3614" s="81"/>
      <c r="BQ3614" s="81"/>
      <c r="BR3614" s="81"/>
      <c r="BS3614" s="81"/>
      <c r="BT3614" s="81"/>
    </row>
    <row r="3615" spans="65:72" x14ac:dyDescent="0.25">
      <c r="BM3615" s="81"/>
      <c r="BN3615" s="81"/>
      <c r="BO3615" s="81"/>
      <c r="BP3615" s="81"/>
      <c r="BQ3615" s="81"/>
      <c r="BR3615" s="81"/>
      <c r="BS3615" s="81"/>
      <c r="BT3615" s="81"/>
    </row>
    <row r="3616" spans="65:72" x14ac:dyDescent="0.25">
      <c r="BM3616" s="81"/>
      <c r="BN3616" s="81"/>
      <c r="BO3616" s="81"/>
      <c r="BP3616" s="81"/>
      <c r="BQ3616" s="81"/>
      <c r="BR3616" s="81"/>
      <c r="BS3616" s="81"/>
      <c r="BT3616" s="81"/>
    </row>
    <row r="3617" spans="65:72" x14ac:dyDescent="0.25">
      <c r="BM3617" s="81"/>
      <c r="BN3617" s="81"/>
      <c r="BO3617" s="81"/>
      <c r="BP3617" s="81"/>
      <c r="BQ3617" s="81"/>
      <c r="BR3617" s="81"/>
      <c r="BS3617" s="81"/>
      <c r="BT3617" s="81"/>
    </row>
    <row r="3618" spans="65:72" x14ac:dyDescent="0.25">
      <c r="BM3618" s="81"/>
      <c r="BN3618" s="81"/>
      <c r="BO3618" s="81"/>
      <c r="BP3618" s="81"/>
      <c r="BQ3618" s="81"/>
      <c r="BR3618" s="81"/>
      <c r="BS3618" s="81"/>
      <c r="BT3618" s="81"/>
    </row>
    <row r="3619" spans="65:72" x14ac:dyDescent="0.25">
      <c r="BM3619" s="81"/>
      <c r="BN3619" s="81"/>
      <c r="BO3619" s="81"/>
      <c r="BP3619" s="81"/>
      <c r="BQ3619" s="81"/>
      <c r="BR3619" s="81"/>
      <c r="BS3619" s="81"/>
      <c r="BT3619" s="81"/>
    </row>
    <row r="3620" spans="65:72" x14ac:dyDescent="0.25">
      <c r="BM3620" s="81"/>
      <c r="BN3620" s="81"/>
      <c r="BO3620" s="81"/>
      <c r="BP3620" s="81"/>
      <c r="BQ3620" s="81"/>
      <c r="BR3620" s="81"/>
      <c r="BS3620" s="81"/>
      <c r="BT3620" s="81"/>
    </row>
    <row r="3621" spans="65:72" x14ac:dyDescent="0.25">
      <c r="BM3621" s="81"/>
      <c r="BN3621" s="81"/>
      <c r="BO3621" s="81"/>
      <c r="BP3621" s="81"/>
      <c r="BQ3621" s="81"/>
      <c r="BR3621" s="81"/>
      <c r="BS3621" s="81"/>
      <c r="BT3621" s="81"/>
    </row>
    <row r="3622" spans="65:72" x14ac:dyDescent="0.25">
      <c r="BM3622" s="81"/>
      <c r="BN3622" s="81"/>
      <c r="BO3622" s="81"/>
      <c r="BP3622" s="81"/>
      <c r="BQ3622" s="81"/>
      <c r="BR3622" s="81"/>
      <c r="BS3622" s="81"/>
      <c r="BT3622" s="81"/>
    </row>
    <row r="3623" spans="65:72" x14ac:dyDescent="0.25">
      <c r="BM3623" s="81"/>
      <c r="BN3623" s="81"/>
      <c r="BO3623" s="81"/>
      <c r="BP3623" s="81"/>
      <c r="BQ3623" s="81"/>
      <c r="BR3623" s="81"/>
      <c r="BS3623" s="81"/>
      <c r="BT3623" s="81"/>
    </row>
    <row r="3624" spans="65:72" x14ac:dyDescent="0.25">
      <c r="BM3624" s="81"/>
      <c r="BN3624" s="81"/>
      <c r="BO3624" s="81"/>
      <c r="BP3624" s="81"/>
      <c r="BQ3624" s="81"/>
      <c r="BR3624" s="81"/>
      <c r="BS3624" s="81"/>
      <c r="BT3624" s="81"/>
    </row>
    <row r="3625" spans="65:72" x14ac:dyDescent="0.25">
      <c r="BM3625" s="81"/>
      <c r="BN3625" s="81"/>
      <c r="BO3625" s="81"/>
      <c r="BP3625" s="81"/>
      <c r="BQ3625" s="81"/>
      <c r="BR3625" s="81"/>
      <c r="BS3625" s="81"/>
      <c r="BT3625" s="81"/>
    </row>
    <row r="3626" spans="65:72" x14ac:dyDescent="0.25">
      <c r="BM3626" s="81"/>
      <c r="BN3626" s="81"/>
      <c r="BO3626" s="81"/>
      <c r="BP3626" s="81"/>
      <c r="BQ3626" s="81"/>
      <c r="BR3626" s="81"/>
      <c r="BS3626" s="81"/>
      <c r="BT3626" s="81"/>
    </row>
    <row r="3627" spans="65:72" x14ac:dyDescent="0.25">
      <c r="BM3627" s="81"/>
      <c r="BN3627" s="81"/>
      <c r="BO3627" s="81"/>
      <c r="BP3627" s="81"/>
      <c r="BQ3627" s="81"/>
      <c r="BR3627" s="81"/>
      <c r="BS3627" s="81"/>
      <c r="BT3627" s="81"/>
    </row>
    <row r="3628" spans="65:72" x14ac:dyDescent="0.25">
      <c r="BM3628" s="81"/>
      <c r="BN3628" s="81"/>
      <c r="BO3628" s="81"/>
      <c r="BP3628" s="81"/>
      <c r="BQ3628" s="81"/>
      <c r="BR3628" s="81"/>
      <c r="BS3628" s="81"/>
      <c r="BT3628" s="81"/>
    </row>
    <row r="3629" spans="65:72" x14ac:dyDescent="0.25">
      <c r="BM3629" s="81"/>
      <c r="BN3629" s="81"/>
      <c r="BO3629" s="81"/>
      <c r="BP3629" s="81"/>
      <c r="BQ3629" s="81"/>
      <c r="BR3629" s="81"/>
      <c r="BS3629" s="81"/>
      <c r="BT3629" s="81"/>
    </row>
    <row r="3630" spans="65:72" x14ac:dyDescent="0.25">
      <c r="BM3630" s="81"/>
      <c r="BN3630" s="81"/>
      <c r="BO3630" s="81"/>
      <c r="BP3630" s="81"/>
      <c r="BQ3630" s="81"/>
      <c r="BR3630" s="81"/>
      <c r="BS3630" s="81"/>
      <c r="BT3630" s="81"/>
    </row>
    <row r="3631" spans="65:72" x14ac:dyDescent="0.25">
      <c r="BM3631" s="81"/>
      <c r="BN3631" s="81"/>
      <c r="BO3631" s="81"/>
      <c r="BP3631" s="81"/>
      <c r="BQ3631" s="81"/>
      <c r="BR3631" s="81"/>
      <c r="BS3631" s="81"/>
      <c r="BT3631" s="81"/>
    </row>
    <row r="3632" spans="65:72" x14ac:dyDescent="0.25">
      <c r="BM3632" s="81"/>
      <c r="BN3632" s="81"/>
      <c r="BO3632" s="81"/>
      <c r="BP3632" s="81"/>
      <c r="BQ3632" s="81"/>
      <c r="BR3632" s="81"/>
      <c r="BS3632" s="81"/>
      <c r="BT3632" s="81"/>
    </row>
    <row r="3633" spans="65:72" x14ac:dyDescent="0.25">
      <c r="BM3633" s="81"/>
      <c r="BN3633" s="81"/>
      <c r="BO3633" s="81"/>
      <c r="BP3633" s="81"/>
      <c r="BQ3633" s="81"/>
      <c r="BR3633" s="81"/>
      <c r="BS3633" s="81"/>
      <c r="BT3633" s="81"/>
    </row>
    <row r="3634" spans="65:72" x14ac:dyDescent="0.25">
      <c r="BM3634" s="81"/>
      <c r="BN3634" s="81"/>
      <c r="BO3634" s="81"/>
      <c r="BP3634" s="81"/>
      <c r="BQ3634" s="81"/>
      <c r="BR3634" s="81"/>
      <c r="BS3634" s="81"/>
      <c r="BT3634" s="81"/>
    </row>
    <row r="3635" spans="65:72" x14ac:dyDescent="0.25">
      <c r="BM3635" s="81"/>
      <c r="BN3635" s="81"/>
      <c r="BO3635" s="81"/>
      <c r="BP3635" s="81"/>
      <c r="BQ3635" s="81"/>
      <c r="BR3635" s="81"/>
      <c r="BS3635" s="81"/>
      <c r="BT3635" s="81"/>
    </row>
    <row r="3636" spans="65:72" x14ac:dyDescent="0.25">
      <c r="BM3636" s="81"/>
      <c r="BN3636" s="81"/>
      <c r="BO3636" s="81"/>
      <c r="BP3636" s="81"/>
      <c r="BQ3636" s="81"/>
      <c r="BR3636" s="81"/>
      <c r="BS3636" s="81"/>
      <c r="BT3636" s="81"/>
    </row>
    <row r="3637" spans="65:72" x14ac:dyDescent="0.25">
      <c r="BM3637" s="81"/>
      <c r="BN3637" s="81"/>
      <c r="BO3637" s="81"/>
      <c r="BP3637" s="81"/>
      <c r="BQ3637" s="81"/>
      <c r="BR3637" s="81"/>
      <c r="BS3637" s="81"/>
      <c r="BT3637" s="81"/>
    </row>
    <row r="3638" spans="65:72" x14ac:dyDescent="0.25">
      <c r="BM3638" s="81"/>
      <c r="BN3638" s="81"/>
      <c r="BO3638" s="81"/>
      <c r="BP3638" s="81"/>
      <c r="BQ3638" s="81"/>
      <c r="BR3638" s="81"/>
      <c r="BS3638" s="81"/>
      <c r="BT3638" s="81"/>
    </row>
    <row r="3639" spans="65:72" x14ac:dyDescent="0.25">
      <c r="BM3639" s="81"/>
      <c r="BN3639" s="81"/>
      <c r="BO3639" s="81"/>
      <c r="BP3639" s="81"/>
      <c r="BQ3639" s="81"/>
      <c r="BR3639" s="81"/>
      <c r="BS3639" s="81"/>
      <c r="BT3639" s="81"/>
    </row>
    <row r="3640" spans="65:72" x14ac:dyDescent="0.25">
      <c r="BM3640" s="81"/>
      <c r="BN3640" s="81"/>
      <c r="BO3640" s="81"/>
      <c r="BP3640" s="81"/>
      <c r="BQ3640" s="81"/>
      <c r="BR3640" s="81"/>
      <c r="BS3640" s="81"/>
      <c r="BT3640" s="81"/>
    </row>
    <row r="3641" spans="65:72" x14ac:dyDescent="0.25">
      <c r="BM3641" s="81"/>
      <c r="BN3641" s="81"/>
      <c r="BO3641" s="81"/>
      <c r="BP3641" s="81"/>
      <c r="BQ3641" s="81"/>
      <c r="BR3641" s="81"/>
      <c r="BS3641" s="81"/>
      <c r="BT3641" s="81"/>
    </row>
    <row r="3642" spans="65:72" x14ac:dyDescent="0.25">
      <c r="BM3642" s="81"/>
      <c r="BN3642" s="81"/>
      <c r="BO3642" s="81"/>
      <c r="BP3642" s="81"/>
      <c r="BQ3642" s="81"/>
      <c r="BR3642" s="81"/>
      <c r="BS3642" s="81"/>
      <c r="BT3642" s="81"/>
    </row>
    <row r="3643" spans="65:72" x14ac:dyDescent="0.25">
      <c r="BM3643" s="81"/>
      <c r="BN3643" s="81"/>
      <c r="BO3643" s="81"/>
      <c r="BP3643" s="81"/>
      <c r="BQ3643" s="81"/>
      <c r="BR3643" s="81"/>
      <c r="BS3643" s="81"/>
      <c r="BT3643" s="81"/>
    </row>
    <row r="3644" spans="65:72" x14ac:dyDescent="0.25">
      <c r="BM3644" s="81"/>
      <c r="BN3644" s="81"/>
      <c r="BO3644" s="81"/>
      <c r="BP3644" s="81"/>
      <c r="BQ3644" s="81"/>
      <c r="BR3644" s="81"/>
      <c r="BS3644" s="81"/>
      <c r="BT3644" s="81"/>
    </row>
    <row r="3645" spans="65:72" x14ac:dyDescent="0.25">
      <c r="BM3645" s="81"/>
      <c r="BN3645" s="81"/>
      <c r="BO3645" s="81"/>
      <c r="BP3645" s="81"/>
      <c r="BQ3645" s="81"/>
      <c r="BR3645" s="81"/>
      <c r="BS3645" s="81"/>
      <c r="BT3645" s="81"/>
    </row>
    <row r="3646" spans="65:72" x14ac:dyDescent="0.25">
      <c r="BM3646" s="81"/>
      <c r="BN3646" s="81"/>
      <c r="BO3646" s="81"/>
      <c r="BP3646" s="81"/>
      <c r="BQ3646" s="81"/>
      <c r="BR3646" s="81"/>
      <c r="BS3646" s="81"/>
      <c r="BT3646" s="81"/>
    </row>
    <row r="3647" spans="65:72" x14ac:dyDescent="0.25">
      <c r="BM3647" s="81"/>
      <c r="BN3647" s="81"/>
      <c r="BO3647" s="81"/>
      <c r="BP3647" s="81"/>
      <c r="BQ3647" s="81"/>
      <c r="BR3647" s="81"/>
      <c r="BS3647" s="81"/>
      <c r="BT3647" s="81"/>
    </row>
    <row r="3648" spans="65:72" x14ac:dyDescent="0.25">
      <c r="BM3648" s="81"/>
      <c r="BN3648" s="81"/>
      <c r="BO3648" s="81"/>
      <c r="BP3648" s="81"/>
      <c r="BQ3648" s="81"/>
      <c r="BR3648" s="81"/>
      <c r="BS3648" s="81"/>
      <c r="BT3648" s="81"/>
    </row>
    <row r="3649" spans="65:72" x14ac:dyDescent="0.25">
      <c r="BM3649" s="81"/>
      <c r="BN3649" s="81"/>
      <c r="BO3649" s="81"/>
      <c r="BP3649" s="81"/>
      <c r="BQ3649" s="81"/>
      <c r="BR3649" s="81"/>
      <c r="BS3649" s="81"/>
      <c r="BT3649" s="81"/>
    </row>
    <row r="3650" spans="65:72" x14ac:dyDescent="0.25">
      <c r="BM3650" s="81"/>
      <c r="BN3650" s="81"/>
      <c r="BO3650" s="81"/>
      <c r="BP3650" s="81"/>
      <c r="BQ3650" s="81"/>
      <c r="BR3650" s="81"/>
      <c r="BS3650" s="81"/>
      <c r="BT3650" s="81"/>
    </row>
    <row r="3651" spans="65:72" x14ac:dyDescent="0.25">
      <c r="BM3651" s="81"/>
      <c r="BN3651" s="81"/>
      <c r="BO3651" s="81"/>
      <c r="BP3651" s="81"/>
      <c r="BQ3651" s="81"/>
      <c r="BR3651" s="81"/>
      <c r="BS3651" s="81"/>
      <c r="BT3651" s="81"/>
    </row>
    <row r="3652" spans="65:72" x14ac:dyDescent="0.25">
      <c r="BM3652" s="81"/>
      <c r="BN3652" s="81"/>
      <c r="BO3652" s="81"/>
      <c r="BP3652" s="81"/>
      <c r="BQ3652" s="81"/>
      <c r="BR3652" s="81"/>
      <c r="BS3652" s="81"/>
      <c r="BT3652" s="81"/>
    </row>
    <row r="3653" spans="65:72" x14ac:dyDescent="0.25">
      <c r="BM3653" s="81"/>
      <c r="BN3653" s="81"/>
      <c r="BO3653" s="81"/>
      <c r="BP3653" s="81"/>
      <c r="BQ3653" s="81"/>
      <c r="BR3653" s="81"/>
      <c r="BS3653" s="81"/>
      <c r="BT3653" s="81"/>
    </row>
    <row r="3654" spans="65:72" x14ac:dyDescent="0.25">
      <c r="BM3654" s="81"/>
      <c r="BN3654" s="81"/>
      <c r="BO3654" s="81"/>
      <c r="BP3654" s="81"/>
      <c r="BQ3654" s="81"/>
      <c r="BR3654" s="81"/>
      <c r="BS3654" s="81"/>
      <c r="BT3654" s="81"/>
    </row>
    <row r="3655" spans="65:72" x14ac:dyDescent="0.25">
      <c r="BM3655" s="81"/>
      <c r="BN3655" s="81"/>
      <c r="BO3655" s="81"/>
      <c r="BP3655" s="81"/>
      <c r="BQ3655" s="81"/>
      <c r="BR3655" s="81"/>
      <c r="BS3655" s="81"/>
      <c r="BT3655" s="81"/>
    </row>
    <row r="3656" spans="65:72" x14ac:dyDescent="0.25">
      <c r="BM3656" s="81"/>
      <c r="BN3656" s="81"/>
      <c r="BO3656" s="81"/>
      <c r="BP3656" s="81"/>
      <c r="BQ3656" s="81"/>
      <c r="BR3656" s="81"/>
      <c r="BS3656" s="81"/>
      <c r="BT3656" s="81"/>
    </row>
    <row r="3657" spans="65:72" x14ac:dyDescent="0.25">
      <c r="BM3657" s="81"/>
      <c r="BN3657" s="81"/>
      <c r="BO3657" s="81"/>
      <c r="BP3657" s="81"/>
      <c r="BQ3657" s="81"/>
      <c r="BR3657" s="81"/>
      <c r="BS3657" s="81"/>
      <c r="BT3657" s="81"/>
    </row>
    <row r="3658" spans="65:72" x14ac:dyDescent="0.25">
      <c r="BM3658" s="81"/>
      <c r="BN3658" s="81"/>
      <c r="BO3658" s="81"/>
      <c r="BP3658" s="81"/>
      <c r="BQ3658" s="81"/>
      <c r="BR3658" s="81"/>
      <c r="BS3658" s="81"/>
      <c r="BT3658" s="81"/>
    </row>
    <row r="3659" spans="65:72" x14ac:dyDescent="0.25">
      <c r="BM3659" s="81"/>
      <c r="BN3659" s="81"/>
      <c r="BO3659" s="81"/>
      <c r="BP3659" s="81"/>
      <c r="BQ3659" s="81"/>
      <c r="BR3659" s="81"/>
      <c r="BS3659" s="81"/>
      <c r="BT3659" s="81"/>
    </row>
    <row r="3660" spans="65:72" x14ac:dyDescent="0.25">
      <c r="BM3660" s="81"/>
      <c r="BN3660" s="81"/>
      <c r="BO3660" s="81"/>
      <c r="BP3660" s="81"/>
      <c r="BQ3660" s="81"/>
      <c r="BR3660" s="81"/>
      <c r="BS3660" s="81"/>
      <c r="BT3660" s="81"/>
    </row>
    <row r="3661" spans="65:72" x14ac:dyDescent="0.25">
      <c r="BM3661" s="81"/>
      <c r="BN3661" s="81"/>
      <c r="BO3661" s="81"/>
      <c r="BP3661" s="81"/>
      <c r="BQ3661" s="81"/>
      <c r="BR3661" s="81"/>
      <c r="BS3661" s="81"/>
      <c r="BT3661" s="81"/>
    </row>
    <row r="3662" spans="65:72" x14ac:dyDescent="0.25">
      <c r="BM3662" s="81"/>
      <c r="BN3662" s="81"/>
      <c r="BO3662" s="81"/>
      <c r="BP3662" s="81"/>
      <c r="BQ3662" s="81"/>
      <c r="BR3662" s="81"/>
      <c r="BS3662" s="81"/>
      <c r="BT3662" s="81"/>
    </row>
    <row r="3663" spans="65:72" x14ac:dyDescent="0.25">
      <c r="BM3663" s="81"/>
      <c r="BN3663" s="81"/>
      <c r="BO3663" s="81"/>
      <c r="BP3663" s="81"/>
      <c r="BQ3663" s="81"/>
      <c r="BR3663" s="81"/>
      <c r="BS3663" s="81"/>
      <c r="BT3663" s="81"/>
    </row>
    <row r="3664" spans="65:72" x14ac:dyDescent="0.25">
      <c r="BM3664" s="81"/>
      <c r="BN3664" s="81"/>
      <c r="BO3664" s="81"/>
      <c r="BP3664" s="81"/>
      <c r="BQ3664" s="81"/>
      <c r="BR3664" s="81"/>
      <c r="BS3664" s="81"/>
      <c r="BT3664" s="81"/>
    </row>
    <row r="3665" spans="65:72" x14ac:dyDescent="0.25">
      <c r="BM3665" s="81"/>
      <c r="BN3665" s="81"/>
      <c r="BO3665" s="81"/>
      <c r="BP3665" s="81"/>
      <c r="BQ3665" s="81"/>
      <c r="BR3665" s="81"/>
      <c r="BS3665" s="81"/>
      <c r="BT3665" s="81"/>
    </row>
    <row r="3666" spans="65:72" x14ac:dyDescent="0.25">
      <c r="BM3666" s="81"/>
      <c r="BN3666" s="81"/>
      <c r="BO3666" s="81"/>
      <c r="BP3666" s="81"/>
      <c r="BQ3666" s="81"/>
      <c r="BR3666" s="81"/>
      <c r="BS3666" s="81"/>
      <c r="BT3666" s="81"/>
    </row>
    <row r="3667" spans="65:72" x14ac:dyDescent="0.25">
      <c r="BM3667" s="81"/>
      <c r="BN3667" s="81"/>
      <c r="BO3667" s="81"/>
      <c r="BP3667" s="81"/>
      <c r="BQ3667" s="81"/>
      <c r="BR3667" s="81"/>
      <c r="BS3667" s="81"/>
      <c r="BT3667" s="81"/>
    </row>
    <row r="3668" spans="65:72" x14ac:dyDescent="0.25">
      <c r="BM3668" s="81"/>
      <c r="BN3668" s="81"/>
      <c r="BO3668" s="81"/>
      <c r="BP3668" s="81"/>
      <c r="BQ3668" s="81"/>
      <c r="BR3668" s="81"/>
      <c r="BS3668" s="81"/>
      <c r="BT3668" s="81"/>
    </row>
    <row r="3669" spans="65:72" x14ac:dyDescent="0.25">
      <c r="BM3669" s="81"/>
      <c r="BN3669" s="81"/>
      <c r="BO3669" s="81"/>
      <c r="BP3669" s="81"/>
      <c r="BQ3669" s="81"/>
      <c r="BR3669" s="81"/>
      <c r="BS3669" s="81"/>
      <c r="BT3669" s="81"/>
    </row>
    <row r="3670" spans="65:72" x14ac:dyDescent="0.25">
      <c r="BM3670" s="81"/>
      <c r="BN3670" s="81"/>
      <c r="BO3670" s="81"/>
      <c r="BP3670" s="81"/>
      <c r="BQ3670" s="81"/>
      <c r="BR3670" s="81"/>
      <c r="BS3670" s="81"/>
      <c r="BT3670" s="81"/>
    </row>
    <row r="3671" spans="65:72" x14ac:dyDescent="0.25">
      <c r="BM3671" s="81"/>
      <c r="BN3671" s="81"/>
      <c r="BO3671" s="81"/>
      <c r="BP3671" s="81"/>
      <c r="BQ3671" s="81"/>
      <c r="BR3671" s="81"/>
      <c r="BS3671" s="81"/>
      <c r="BT3671" s="81"/>
    </row>
    <row r="3672" spans="65:72" x14ac:dyDescent="0.25">
      <c r="BM3672" s="81"/>
      <c r="BN3672" s="81"/>
      <c r="BO3672" s="81"/>
      <c r="BP3672" s="81"/>
      <c r="BQ3672" s="81"/>
      <c r="BR3672" s="81"/>
      <c r="BS3672" s="81"/>
      <c r="BT3672" s="81"/>
    </row>
    <row r="3673" spans="65:72" x14ac:dyDescent="0.25">
      <c r="BM3673" s="81"/>
      <c r="BN3673" s="81"/>
      <c r="BO3673" s="81"/>
      <c r="BP3673" s="81"/>
      <c r="BQ3673" s="81"/>
      <c r="BR3673" s="81"/>
      <c r="BS3673" s="81"/>
      <c r="BT3673" s="81"/>
    </row>
    <row r="3674" spans="65:72" x14ac:dyDescent="0.25">
      <c r="BM3674" s="81"/>
      <c r="BN3674" s="81"/>
      <c r="BO3674" s="81"/>
      <c r="BP3674" s="81"/>
      <c r="BQ3674" s="81"/>
      <c r="BR3674" s="81"/>
      <c r="BS3674" s="81"/>
      <c r="BT3674" s="81"/>
    </row>
    <row r="3675" spans="65:72" x14ac:dyDescent="0.25">
      <c r="BM3675" s="81"/>
      <c r="BN3675" s="81"/>
      <c r="BO3675" s="81"/>
      <c r="BP3675" s="81"/>
      <c r="BQ3675" s="81"/>
      <c r="BR3675" s="81"/>
      <c r="BS3675" s="81"/>
      <c r="BT3675" s="81"/>
    </row>
    <row r="3676" spans="65:72" x14ac:dyDescent="0.25">
      <c r="BM3676" s="81"/>
      <c r="BN3676" s="81"/>
      <c r="BO3676" s="81"/>
      <c r="BP3676" s="81"/>
      <c r="BQ3676" s="81"/>
      <c r="BR3676" s="81"/>
      <c r="BS3676" s="81"/>
      <c r="BT3676" s="81"/>
    </row>
    <row r="3677" spans="65:72" x14ac:dyDescent="0.25">
      <c r="BM3677" s="81"/>
      <c r="BN3677" s="81"/>
      <c r="BO3677" s="81"/>
      <c r="BP3677" s="81"/>
      <c r="BQ3677" s="81"/>
      <c r="BR3677" s="81"/>
      <c r="BS3677" s="81"/>
      <c r="BT3677" s="81"/>
    </row>
    <row r="3678" spans="65:72" x14ac:dyDescent="0.25">
      <c r="BM3678" s="81"/>
      <c r="BN3678" s="81"/>
      <c r="BO3678" s="81"/>
      <c r="BP3678" s="81"/>
      <c r="BQ3678" s="81"/>
      <c r="BR3678" s="81"/>
      <c r="BS3678" s="81"/>
      <c r="BT3678" s="81"/>
    </row>
    <row r="3679" spans="65:72" x14ac:dyDescent="0.25">
      <c r="BM3679" s="81"/>
      <c r="BN3679" s="81"/>
      <c r="BO3679" s="81"/>
      <c r="BP3679" s="81"/>
      <c r="BQ3679" s="81"/>
      <c r="BR3679" s="81"/>
      <c r="BS3679" s="81"/>
      <c r="BT3679" s="81"/>
    </row>
    <row r="3680" spans="65:72" x14ac:dyDescent="0.25">
      <c r="BM3680" s="81"/>
      <c r="BN3680" s="81"/>
      <c r="BO3680" s="81"/>
      <c r="BP3680" s="81"/>
      <c r="BQ3680" s="81"/>
      <c r="BR3680" s="81"/>
      <c r="BS3680" s="81"/>
      <c r="BT3680" s="81"/>
    </row>
    <row r="3681" spans="65:72" x14ac:dyDescent="0.25">
      <c r="BM3681" s="81"/>
      <c r="BN3681" s="81"/>
      <c r="BO3681" s="81"/>
      <c r="BP3681" s="81"/>
      <c r="BQ3681" s="81"/>
      <c r="BR3681" s="81"/>
      <c r="BS3681" s="81"/>
      <c r="BT3681" s="81"/>
    </row>
    <row r="3682" spans="65:72" x14ac:dyDescent="0.25">
      <c r="BM3682" s="81"/>
      <c r="BN3682" s="81"/>
      <c r="BO3682" s="81"/>
      <c r="BP3682" s="81"/>
      <c r="BQ3682" s="81"/>
      <c r="BR3682" s="81"/>
      <c r="BS3682" s="81"/>
      <c r="BT3682" s="81"/>
    </row>
    <row r="3683" spans="65:72" x14ac:dyDescent="0.25">
      <c r="BM3683" s="81"/>
      <c r="BN3683" s="81"/>
      <c r="BO3683" s="81"/>
      <c r="BP3683" s="81"/>
      <c r="BQ3683" s="81"/>
      <c r="BR3683" s="81"/>
      <c r="BS3683" s="81"/>
      <c r="BT3683" s="81"/>
    </row>
    <row r="3684" spans="65:72" x14ac:dyDescent="0.25">
      <c r="BM3684" s="81"/>
      <c r="BN3684" s="81"/>
      <c r="BO3684" s="81"/>
      <c r="BP3684" s="81"/>
      <c r="BQ3684" s="81"/>
      <c r="BR3684" s="81"/>
      <c r="BS3684" s="81"/>
      <c r="BT3684" s="81"/>
    </row>
    <row r="3685" spans="65:72" x14ac:dyDescent="0.25">
      <c r="BM3685" s="81"/>
      <c r="BN3685" s="81"/>
      <c r="BO3685" s="81"/>
      <c r="BP3685" s="81"/>
      <c r="BQ3685" s="81"/>
      <c r="BR3685" s="81"/>
      <c r="BS3685" s="81"/>
      <c r="BT3685" s="81"/>
    </row>
    <row r="3686" spans="65:72" x14ac:dyDescent="0.25">
      <c r="BM3686" s="81"/>
      <c r="BN3686" s="81"/>
      <c r="BO3686" s="81"/>
      <c r="BP3686" s="81"/>
      <c r="BQ3686" s="81"/>
      <c r="BR3686" s="81"/>
      <c r="BS3686" s="81"/>
      <c r="BT3686" s="81"/>
    </row>
    <row r="3687" spans="65:72" x14ac:dyDescent="0.25">
      <c r="BM3687" s="81"/>
      <c r="BN3687" s="81"/>
      <c r="BO3687" s="81"/>
      <c r="BP3687" s="81"/>
      <c r="BQ3687" s="81"/>
      <c r="BR3687" s="81"/>
      <c r="BS3687" s="81"/>
      <c r="BT3687" s="81"/>
    </row>
    <row r="3688" spans="65:72" x14ac:dyDescent="0.25">
      <c r="BM3688" s="81"/>
      <c r="BN3688" s="81"/>
      <c r="BO3688" s="81"/>
      <c r="BP3688" s="81"/>
      <c r="BQ3688" s="81"/>
      <c r="BR3688" s="81"/>
      <c r="BS3688" s="81"/>
      <c r="BT3688" s="81"/>
    </row>
    <row r="3689" spans="65:72" x14ac:dyDescent="0.25">
      <c r="BM3689" s="81"/>
      <c r="BN3689" s="81"/>
      <c r="BO3689" s="81"/>
      <c r="BP3689" s="81"/>
      <c r="BQ3689" s="81"/>
      <c r="BR3689" s="81"/>
      <c r="BS3689" s="81"/>
      <c r="BT3689" s="81"/>
    </row>
    <row r="3690" spans="65:72" x14ac:dyDescent="0.25">
      <c r="BM3690" s="81"/>
      <c r="BN3690" s="81"/>
      <c r="BO3690" s="81"/>
      <c r="BP3690" s="81"/>
      <c r="BQ3690" s="81"/>
      <c r="BR3690" s="81"/>
      <c r="BS3690" s="81"/>
      <c r="BT3690" s="81"/>
    </row>
    <row r="3691" spans="65:72" x14ac:dyDescent="0.25">
      <c r="BM3691" s="81"/>
      <c r="BN3691" s="81"/>
      <c r="BO3691" s="81"/>
      <c r="BP3691" s="81"/>
      <c r="BQ3691" s="81"/>
      <c r="BR3691" s="81"/>
      <c r="BS3691" s="81"/>
      <c r="BT3691" s="81"/>
    </row>
    <row r="3692" spans="65:72" x14ac:dyDescent="0.25">
      <c r="BM3692" s="81"/>
      <c r="BN3692" s="81"/>
      <c r="BO3692" s="81"/>
      <c r="BP3692" s="81"/>
      <c r="BQ3692" s="81"/>
      <c r="BR3692" s="81"/>
      <c r="BS3692" s="81"/>
      <c r="BT3692" s="81"/>
    </row>
    <row r="3693" spans="65:72" x14ac:dyDescent="0.25">
      <c r="BM3693" s="81"/>
      <c r="BN3693" s="81"/>
      <c r="BO3693" s="81"/>
      <c r="BP3693" s="81"/>
      <c r="BQ3693" s="81"/>
      <c r="BR3693" s="81"/>
      <c r="BS3693" s="81"/>
      <c r="BT3693" s="81"/>
    </row>
    <row r="3694" spans="65:72" x14ac:dyDescent="0.25">
      <c r="BM3694" s="81"/>
      <c r="BN3694" s="81"/>
      <c r="BO3694" s="81"/>
      <c r="BP3694" s="81"/>
      <c r="BQ3694" s="81"/>
      <c r="BR3694" s="81"/>
      <c r="BS3694" s="81"/>
      <c r="BT3694" s="81"/>
    </row>
    <row r="3695" spans="65:72" x14ac:dyDescent="0.25">
      <c r="BM3695" s="81"/>
      <c r="BN3695" s="81"/>
      <c r="BO3695" s="81"/>
      <c r="BP3695" s="81"/>
      <c r="BQ3695" s="81"/>
      <c r="BR3695" s="81"/>
      <c r="BS3695" s="81"/>
      <c r="BT3695" s="81"/>
    </row>
    <row r="3696" spans="65:72" x14ac:dyDescent="0.25">
      <c r="BM3696" s="81"/>
      <c r="BN3696" s="81"/>
      <c r="BO3696" s="81"/>
      <c r="BP3696" s="81"/>
      <c r="BQ3696" s="81"/>
      <c r="BR3696" s="81"/>
      <c r="BS3696" s="81"/>
      <c r="BT3696" s="81"/>
    </row>
    <row r="3697" spans="65:72" x14ac:dyDescent="0.25">
      <c r="BM3697" s="81"/>
      <c r="BN3697" s="81"/>
      <c r="BO3697" s="81"/>
      <c r="BP3697" s="81"/>
      <c r="BQ3697" s="81"/>
      <c r="BR3697" s="81"/>
      <c r="BS3697" s="81"/>
      <c r="BT3697" s="81"/>
    </row>
    <row r="3698" spans="65:72" x14ac:dyDescent="0.25">
      <c r="BM3698" s="81"/>
      <c r="BN3698" s="81"/>
      <c r="BO3698" s="81"/>
      <c r="BP3698" s="81"/>
      <c r="BQ3698" s="81"/>
      <c r="BR3698" s="81"/>
      <c r="BS3698" s="81"/>
      <c r="BT3698" s="81"/>
    </row>
    <row r="3699" spans="65:72" x14ac:dyDescent="0.25">
      <c r="BM3699" s="81"/>
      <c r="BN3699" s="81"/>
      <c r="BO3699" s="81"/>
      <c r="BP3699" s="81"/>
      <c r="BQ3699" s="81"/>
      <c r="BR3699" s="81"/>
      <c r="BS3699" s="81"/>
      <c r="BT3699" s="81"/>
    </row>
    <row r="3700" spans="65:72" x14ac:dyDescent="0.25">
      <c r="BM3700" s="81"/>
      <c r="BN3700" s="81"/>
      <c r="BO3700" s="81"/>
      <c r="BP3700" s="81"/>
      <c r="BQ3700" s="81"/>
      <c r="BR3700" s="81"/>
      <c r="BS3700" s="81"/>
      <c r="BT3700" s="81"/>
    </row>
    <row r="3701" spans="65:72" x14ac:dyDescent="0.25">
      <c r="BM3701" s="81"/>
      <c r="BN3701" s="81"/>
      <c r="BO3701" s="81"/>
      <c r="BP3701" s="81"/>
      <c r="BQ3701" s="81"/>
      <c r="BR3701" s="81"/>
      <c r="BS3701" s="81"/>
      <c r="BT3701" s="81"/>
    </row>
    <row r="3702" spans="65:72" x14ac:dyDescent="0.25">
      <c r="BM3702" s="81"/>
      <c r="BN3702" s="81"/>
      <c r="BO3702" s="81"/>
      <c r="BP3702" s="81"/>
      <c r="BQ3702" s="81"/>
      <c r="BR3702" s="81"/>
      <c r="BS3702" s="81"/>
      <c r="BT3702" s="81"/>
    </row>
    <row r="3703" spans="65:72" x14ac:dyDescent="0.25">
      <c r="BM3703" s="81"/>
      <c r="BN3703" s="81"/>
      <c r="BO3703" s="81"/>
      <c r="BP3703" s="81"/>
      <c r="BQ3703" s="81"/>
      <c r="BR3703" s="81"/>
      <c r="BS3703" s="81"/>
      <c r="BT3703" s="81"/>
    </row>
    <row r="3704" spans="65:72" x14ac:dyDescent="0.25">
      <c r="BM3704" s="81"/>
      <c r="BN3704" s="81"/>
      <c r="BO3704" s="81"/>
      <c r="BP3704" s="81"/>
      <c r="BQ3704" s="81"/>
      <c r="BR3704" s="81"/>
      <c r="BS3704" s="81"/>
      <c r="BT3704" s="81"/>
    </row>
    <row r="3705" spans="65:72" x14ac:dyDescent="0.25">
      <c r="BM3705" s="81"/>
      <c r="BN3705" s="81"/>
      <c r="BO3705" s="81"/>
      <c r="BP3705" s="81"/>
      <c r="BQ3705" s="81"/>
      <c r="BR3705" s="81"/>
      <c r="BS3705" s="81"/>
      <c r="BT3705" s="81"/>
    </row>
    <row r="3706" spans="65:72" x14ac:dyDescent="0.25">
      <c r="BM3706" s="81"/>
      <c r="BN3706" s="81"/>
      <c r="BO3706" s="81"/>
      <c r="BP3706" s="81"/>
      <c r="BQ3706" s="81"/>
      <c r="BR3706" s="81"/>
      <c r="BS3706" s="81"/>
      <c r="BT3706" s="81"/>
    </row>
    <row r="3707" spans="65:72" x14ac:dyDescent="0.25">
      <c r="BM3707" s="81"/>
      <c r="BN3707" s="81"/>
      <c r="BO3707" s="81"/>
      <c r="BP3707" s="81"/>
      <c r="BQ3707" s="81"/>
      <c r="BR3707" s="81"/>
      <c r="BS3707" s="81"/>
      <c r="BT3707" s="81"/>
    </row>
    <row r="3708" spans="65:72" x14ac:dyDescent="0.25">
      <c r="BM3708" s="81"/>
      <c r="BN3708" s="81"/>
      <c r="BO3708" s="81"/>
      <c r="BP3708" s="81"/>
      <c r="BQ3708" s="81"/>
      <c r="BR3708" s="81"/>
      <c r="BS3708" s="81"/>
      <c r="BT3708" s="81"/>
    </row>
    <row r="3709" spans="65:72" x14ac:dyDescent="0.25">
      <c r="BM3709" s="81"/>
      <c r="BN3709" s="81"/>
      <c r="BO3709" s="81"/>
      <c r="BP3709" s="81"/>
      <c r="BQ3709" s="81"/>
      <c r="BR3709" s="81"/>
      <c r="BS3709" s="81"/>
      <c r="BT3709" s="81"/>
    </row>
    <row r="3710" spans="65:72" x14ac:dyDescent="0.25">
      <c r="BM3710" s="81"/>
      <c r="BN3710" s="81"/>
      <c r="BO3710" s="81"/>
      <c r="BP3710" s="81"/>
      <c r="BQ3710" s="81"/>
      <c r="BR3710" s="81"/>
      <c r="BS3710" s="81"/>
      <c r="BT3710" s="81"/>
    </row>
    <row r="3711" spans="65:72" x14ac:dyDescent="0.25">
      <c r="BM3711" s="81"/>
      <c r="BN3711" s="81"/>
      <c r="BO3711" s="81"/>
      <c r="BP3711" s="81"/>
      <c r="BQ3711" s="81"/>
      <c r="BR3711" s="81"/>
      <c r="BS3711" s="81"/>
      <c r="BT3711" s="81"/>
    </row>
    <row r="3712" spans="65:72" x14ac:dyDescent="0.25">
      <c r="BM3712" s="81"/>
      <c r="BN3712" s="81"/>
      <c r="BO3712" s="81"/>
      <c r="BP3712" s="81"/>
      <c r="BQ3712" s="81"/>
      <c r="BR3712" s="81"/>
      <c r="BS3712" s="81"/>
      <c r="BT3712" s="81"/>
    </row>
    <row r="3713" spans="65:72" x14ac:dyDescent="0.25">
      <c r="BM3713" s="81"/>
      <c r="BN3713" s="81"/>
      <c r="BO3713" s="81"/>
      <c r="BP3713" s="81"/>
      <c r="BQ3713" s="81"/>
      <c r="BR3713" s="81"/>
      <c r="BS3713" s="81"/>
      <c r="BT3713" s="81"/>
    </row>
    <row r="3714" spans="65:72" x14ac:dyDescent="0.25">
      <c r="BM3714" s="81"/>
      <c r="BN3714" s="81"/>
      <c r="BO3714" s="81"/>
      <c r="BP3714" s="81"/>
      <c r="BQ3714" s="81"/>
      <c r="BR3714" s="81"/>
      <c r="BS3714" s="81"/>
      <c r="BT3714" s="81"/>
    </row>
    <row r="3715" spans="65:72" x14ac:dyDescent="0.25">
      <c r="BM3715" s="81"/>
      <c r="BN3715" s="81"/>
      <c r="BO3715" s="81"/>
      <c r="BP3715" s="81"/>
      <c r="BQ3715" s="81"/>
      <c r="BR3715" s="81"/>
      <c r="BS3715" s="81"/>
      <c r="BT3715" s="81"/>
    </row>
    <row r="3716" spans="65:72" x14ac:dyDescent="0.25">
      <c r="BM3716" s="81"/>
      <c r="BN3716" s="81"/>
      <c r="BO3716" s="81"/>
      <c r="BP3716" s="81"/>
      <c r="BQ3716" s="81"/>
      <c r="BR3716" s="81"/>
      <c r="BS3716" s="81"/>
      <c r="BT3716" s="81"/>
    </row>
    <row r="3717" spans="65:72" x14ac:dyDescent="0.25">
      <c r="BM3717" s="81"/>
      <c r="BN3717" s="81"/>
      <c r="BO3717" s="81"/>
      <c r="BP3717" s="81"/>
      <c r="BQ3717" s="81"/>
      <c r="BR3717" s="81"/>
      <c r="BS3717" s="81"/>
      <c r="BT3717" s="81"/>
    </row>
    <row r="3718" spans="65:72" x14ac:dyDescent="0.25">
      <c r="BM3718" s="81"/>
      <c r="BN3718" s="81"/>
      <c r="BO3718" s="81"/>
      <c r="BP3718" s="81"/>
      <c r="BQ3718" s="81"/>
      <c r="BR3718" s="81"/>
      <c r="BS3718" s="81"/>
      <c r="BT3718" s="81"/>
    </row>
    <row r="3719" spans="65:72" x14ac:dyDescent="0.25">
      <c r="BM3719" s="81"/>
      <c r="BN3719" s="81"/>
      <c r="BO3719" s="81"/>
      <c r="BP3719" s="81"/>
      <c r="BQ3719" s="81"/>
      <c r="BR3719" s="81"/>
      <c r="BS3719" s="81"/>
      <c r="BT3719" s="81"/>
    </row>
    <row r="3720" spans="65:72" x14ac:dyDescent="0.25">
      <c r="BM3720" s="81"/>
      <c r="BN3720" s="81"/>
      <c r="BO3720" s="81"/>
      <c r="BP3720" s="81"/>
      <c r="BQ3720" s="81"/>
      <c r="BR3720" s="81"/>
      <c r="BS3720" s="81"/>
      <c r="BT3720" s="81"/>
    </row>
    <row r="3721" spans="65:72" x14ac:dyDescent="0.25">
      <c r="BM3721" s="81"/>
      <c r="BN3721" s="81"/>
      <c r="BO3721" s="81"/>
      <c r="BP3721" s="81"/>
      <c r="BQ3721" s="81"/>
      <c r="BR3721" s="81"/>
      <c r="BS3721" s="81"/>
      <c r="BT3721" s="81"/>
    </row>
    <row r="3722" spans="65:72" x14ac:dyDescent="0.25">
      <c r="BM3722" s="81"/>
      <c r="BN3722" s="81"/>
      <c r="BO3722" s="81"/>
      <c r="BP3722" s="81"/>
      <c r="BQ3722" s="81"/>
      <c r="BR3722" s="81"/>
      <c r="BS3722" s="81"/>
      <c r="BT3722" s="81"/>
    </row>
    <row r="3723" spans="65:72" x14ac:dyDescent="0.25">
      <c r="BM3723" s="81"/>
      <c r="BN3723" s="81"/>
      <c r="BO3723" s="81"/>
      <c r="BP3723" s="81"/>
      <c r="BQ3723" s="81"/>
      <c r="BR3723" s="81"/>
      <c r="BS3723" s="81"/>
      <c r="BT3723" s="81"/>
    </row>
    <row r="3724" spans="65:72" x14ac:dyDescent="0.25">
      <c r="BM3724" s="81"/>
      <c r="BN3724" s="81"/>
      <c r="BO3724" s="81"/>
      <c r="BP3724" s="81"/>
      <c r="BQ3724" s="81"/>
      <c r="BR3724" s="81"/>
      <c r="BS3724" s="81"/>
      <c r="BT3724" s="81"/>
    </row>
    <row r="3725" spans="65:72" x14ac:dyDescent="0.25">
      <c r="BM3725" s="81"/>
      <c r="BN3725" s="81"/>
      <c r="BO3725" s="81"/>
      <c r="BP3725" s="81"/>
      <c r="BQ3725" s="81"/>
      <c r="BR3725" s="81"/>
      <c r="BS3725" s="81"/>
      <c r="BT3725" s="81"/>
    </row>
    <row r="3726" spans="65:72" x14ac:dyDescent="0.25">
      <c r="BM3726" s="81"/>
      <c r="BN3726" s="81"/>
      <c r="BO3726" s="81"/>
      <c r="BP3726" s="81"/>
      <c r="BQ3726" s="81"/>
      <c r="BR3726" s="81"/>
      <c r="BS3726" s="81"/>
      <c r="BT3726" s="81"/>
    </row>
    <row r="3727" spans="65:72" x14ac:dyDescent="0.25">
      <c r="BM3727" s="81"/>
      <c r="BN3727" s="81"/>
      <c r="BO3727" s="81"/>
      <c r="BP3727" s="81"/>
      <c r="BQ3727" s="81"/>
      <c r="BR3727" s="81"/>
      <c r="BS3727" s="81"/>
      <c r="BT3727" s="81"/>
    </row>
    <row r="3728" spans="65:72" x14ac:dyDescent="0.25">
      <c r="BM3728" s="81"/>
      <c r="BN3728" s="81"/>
      <c r="BO3728" s="81"/>
      <c r="BP3728" s="81"/>
      <c r="BQ3728" s="81"/>
      <c r="BR3728" s="81"/>
      <c r="BS3728" s="81"/>
      <c r="BT3728" s="81"/>
    </row>
    <row r="3729" spans="65:72" x14ac:dyDescent="0.25">
      <c r="BM3729" s="81"/>
      <c r="BN3729" s="81"/>
      <c r="BO3729" s="81"/>
      <c r="BP3729" s="81"/>
      <c r="BQ3729" s="81"/>
      <c r="BR3729" s="81"/>
      <c r="BS3729" s="81"/>
      <c r="BT3729" s="81"/>
    </row>
    <row r="3730" spans="65:72" x14ac:dyDescent="0.25">
      <c r="BM3730" s="81"/>
      <c r="BN3730" s="81"/>
      <c r="BO3730" s="81"/>
      <c r="BP3730" s="81"/>
      <c r="BQ3730" s="81"/>
      <c r="BR3730" s="81"/>
      <c r="BS3730" s="81"/>
      <c r="BT3730" s="81"/>
    </row>
    <row r="3731" spans="65:72" x14ac:dyDescent="0.25">
      <c r="BM3731" s="81"/>
      <c r="BN3731" s="81"/>
      <c r="BO3731" s="81"/>
      <c r="BP3731" s="81"/>
      <c r="BQ3731" s="81"/>
      <c r="BR3731" s="81"/>
      <c r="BS3731" s="81"/>
      <c r="BT3731" s="81"/>
    </row>
    <row r="3732" spans="65:72" x14ac:dyDescent="0.25">
      <c r="BM3732" s="81"/>
      <c r="BN3732" s="81"/>
      <c r="BO3732" s="81"/>
      <c r="BP3732" s="81"/>
      <c r="BQ3732" s="81"/>
      <c r="BR3732" s="81"/>
      <c r="BS3732" s="81"/>
      <c r="BT3732" s="81"/>
    </row>
    <row r="3733" spans="65:72" x14ac:dyDescent="0.25">
      <c r="BM3733" s="81"/>
      <c r="BN3733" s="81"/>
      <c r="BO3733" s="81"/>
      <c r="BP3733" s="81"/>
      <c r="BQ3733" s="81"/>
      <c r="BR3733" s="81"/>
      <c r="BS3733" s="81"/>
      <c r="BT3733" s="81"/>
    </row>
    <row r="3734" spans="65:72" x14ac:dyDescent="0.25">
      <c r="BM3734" s="81"/>
      <c r="BN3734" s="81"/>
      <c r="BO3734" s="81"/>
      <c r="BP3734" s="81"/>
      <c r="BQ3734" s="81"/>
      <c r="BR3734" s="81"/>
      <c r="BS3734" s="81"/>
      <c r="BT3734" s="81"/>
    </row>
    <row r="3735" spans="65:72" x14ac:dyDescent="0.25">
      <c r="BM3735" s="81"/>
      <c r="BN3735" s="81"/>
      <c r="BO3735" s="81"/>
      <c r="BP3735" s="81"/>
      <c r="BQ3735" s="81"/>
      <c r="BR3735" s="81"/>
      <c r="BS3735" s="81"/>
      <c r="BT3735" s="81"/>
    </row>
    <row r="3736" spans="65:72" x14ac:dyDescent="0.25">
      <c r="BM3736" s="81"/>
      <c r="BN3736" s="81"/>
      <c r="BO3736" s="81"/>
      <c r="BP3736" s="81"/>
      <c r="BQ3736" s="81"/>
      <c r="BR3736" s="81"/>
      <c r="BS3736" s="81"/>
      <c r="BT3736" s="81"/>
    </row>
    <row r="3737" spans="65:72" x14ac:dyDescent="0.25">
      <c r="BM3737" s="81"/>
      <c r="BN3737" s="81"/>
      <c r="BO3737" s="81"/>
      <c r="BP3737" s="81"/>
      <c r="BQ3737" s="81"/>
      <c r="BR3737" s="81"/>
      <c r="BS3737" s="81"/>
      <c r="BT3737" s="81"/>
    </row>
    <row r="3738" spans="65:72" x14ac:dyDescent="0.25">
      <c r="BM3738" s="81"/>
      <c r="BN3738" s="81"/>
      <c r="BO3738" s="81"/>
      <c r="BP3738" s="81"/>
      <c r="BQ3738" s="81"/>
      <c r="BR3738" s="81"/>
      <c r="BS3738" s="81"/>
      <c r="BT3738" s="81"/>
    </row>
    <row r="3739" spans="65:72" x14ac:dyDescent="0.25">
      <c r="BM3739" s="81"/>
      <c r="BN3739" s="81"/>
      <c r="BO3739" s="81"/>
      <c r="BP3739" s="81"/>
      <c r="BQ3739" s="81"/>
      <c r="BR3739" s="81"/>
      <c r="BS3739" s="81"/>
      <c r="BT3739" s="81"/>
    </row>
    <row r="3740" spans="65:72" x14ac:dyDescent="0.25">
      <c r="BM3740" s="81"/>
      <c r="BN3740" s="81"/>
      <c r="BO3740" s="81"/>
      <c r="BP3740" s="81"/>
      <c r="BQ3740" s="81"/>
      <c r="BR3740" s="81"/>
      <c r="BS3740" s="81"/>
      <c r="BT3740" s="81"/>
    </row>
    <row r="3741" spans="65:72" x14ac:dyDescent="0.25">
      <c r="BM3741" s="81"/>
      <c r="BN3741" s="81"/>
      <c r="BO3741" s="81"/>
      <c r="BP3741" s="81"/>
      <c r="BQ3741" s="81"/>
      <c r="BR3741" s="81"/>
      <c r="BS3741" s="81"/>
      <c r="BT3741" s="81"/>
    </row>
    <row r="3742" spans="65:72" x14ac:dyDescent="0.25">
      <c r="BM3742" s="81"/>
      <c r="BN3742" s="81"/>
      <c r="BO3742" s="81"/>
      <c r="BP3742" s="81"/>
      <c r="BQ3742" s="81"/>
      <c r="BR3742" s="81"/>
      <c r="BS3742" s="81"/>
      <c r="BT3742" s="81"/>
    </row>
    <row r="3743" spans="65:72" x14ac:dyDescent="0.25">
      <c r="BM3743" s="81"/>
      <c r="BN3743" s="81"/>
      <c r="BO3743" s="81"/>
      <c r="BP3743" s="81"/>
      <c r="BQ3743" s="81"/>
      <c r="BR3743" s="81"/>
      <c r="BS3743" s="81"/>
      <c r="BT3743" s="81"/>
    </row>
    <row r="3744" spans="65:72" x14ac:dyDescent="0.25">
      <c r="BM3744" s="81"/>
      <c r="BN3744" s="81"/>
      <c r="BO3744" s="81"/>
      <c r="BP3744" s="81"/>
      <c r="BQ3744" s="81"/>
      <c r="BR3744" s="81"/>
      <c r="BS3744" s="81"/>
      <c r="BT3744" s="81"/>
    </row>
    <row r="3745" spans="65:72" x14ac:dyDescent="0.25">
      <c r="BM3745" s="81"/>
      <c r="BN3745" s="81"/>
      <c r="BO3745" s="81"/>
      <c r="BP3745" s="81"/>
      <c r="BQ3745" s="81"/>
      <c r="BR3745" s="81"/>
      <c r="BS3745" s="81"/>
      <c r="BT3745" s="81"/>
    </row>
    <row r="3746" spans="65:72" x14ac:dyDescent="0.25">
      <c r="BM3746" s="81"/>
      <c r="BN3746" s="81"/>
      <c r="BO3746" s="81"/>
      <c r="BP3746" s="81"/>
      <c r="BQ3746" s="81"/>
      <c r="BR3746" s="81"/>
      <c r="BS3746" s="81"/>
      <c r="BT3746" s="81"/>
    </row>
    <row r="3747" spans="65:72" x14ac:dyDescent="0.25">
      <c r="BM3747" s="81"/>
      <c r="BN3747" s="81"/>
      <c r="BO3747" s="81"/>
      <c r="BP3747" s="81"/>
      <c r="BQ3747" s="81"/>
      <c r="BR3747" s="81"/>
      <c r="BS3747" s="81"/>
      <c r="BT3747" s="81"/>
    </row>
    <row r="3748" spans="65:72" x14ac:dyDescent="0.25">
      <c r="BM3748" s="81"/>
      <c r="BN3748" s="81"/>
      <c r="BO3748" s="81"/>
      <c r="BP3748" s="81"/>
      <c r="BQ3748" s="81"/>
      <c r="BR3748" s="81"/>
      <c r="BS3748" s="81"/>
      <c r="BT3748" s="81"/>
    </row>
    <row r="3749" spans="65:72" x14ac:dyDescent="0.25">
      <c r="BM3749" s="81"/>
      <c r="BN3749" s="81"/>
      <c r="BO3749" s="81"/>
      <c r="BP3749" s="81"/>
      <c r="BQ3749" s="81"/>
      <c r="BR3749" s="81"/>
      <c r="BS3749" s="81"/>
      <c r="BT3749" s="81"/>
    </row>
    <row r="3750" spans="65:72" x14ac:dyDescent="0.25">
      <c r="BM3750" s="81"/>
      <c r="BN3750" s="81"/>
      <c r="BO3750" s="81"/>
      <c r="BP3750" s="81"/>
      <c r="BQ3750" s="81"/>
      <c r="BR3750" s="81"/>
      <c r="BS3750" s="81"/>
      <c r="BT3750" s="81"/>
    </row>
    <row r="3751" spans="65:72" x14ac:dyDescent="0.25">
      <c r="BM3751" s="81"/>
      <c r="BN3751" s="81"/>
      <c r="BO3751" s="81"/>
      <c r="BP3751" s="81"/>
      <c r="BQ3751" s="81"/>
      <c r="BR3751" s="81"/>
      <c r="BS3751" s="81"/>
      <c r="BT3751" s="81"/>
    </row>
    <row r="3752" spans="65:72" x14ac:dyDescent="0.25">
      <c r="BM3752" s="81"/>
      <c r="BN3752" s="81"/>
      <c r="BO3752" s="81"/>
      <c r="BP3752" s="81"/>
      <c r="BQ3752" s="81"/>
      <c r="BR3752" s="81"/>
      <c r="BS3752" s="81"/>
      <c r="BT3752" s="81"/>
    </row>
    <row r="3753" spans="65:72" x14ac:dyDescent="0.25">
      <c r="BM3753" s="81"/>
      <c r="BN3753" s="81"/>
      <c r="BO3753" s="81"/>
      <c r="BP3753" s="81"/>
      <c r="BQ3753" s="81"/>
      <c r="BR3753" s="81"/>
      <c r="BS3753" s="81"/>
      <c r="BT3753" s="81"/>
    </row>
    <row r="3754" spans="65:72" x14ac:dyDescent="0.25">
      <c r="BM3754" s="81"/>
      <c r="BN3754" s="81"/>
      <c r="BO3754" s="81"/>
      <c r="BP3754" s="81"/>
      <c r="BQ3754" s="81"/>
      <c r="BR3754" s="81"/>
      <c r="BS3754" s="81"/>
      <c r="BT3754" s="81"/>
    </row>
    <row r="3755" spans="65:72" x14ac:dyDescent="0.25">
      <c r="BM3755" s="81"/>
      <c r="BN3755" s="81"/>
      <c r="BO3755" s="81"/>
      <c r="BP3755" s="81"/>
      <c r="BQ3755" s="81"/>
      <c r="BR3755" s="81"/>
      <c r="BS3755" s="81"/>
      <c r="BT3755" s="81"/>
    </row>
    <row r="3756" spans="65:72" x14ac:dyDescent="0.25">
      <c r="BM3756" s="81"/>
      <c r="BN3756" s="81"/>
      <c r="BO3756" s="81"/>
      <c r="BP3756" s="81"/>
      <c r="BQ3756" s="81"/>
      <c r="BR3756" s="81"/>
      <c r="BS3756" s="81"/>
      <c r="BT3756" s="81"/>
    </row>
    <row r="3757" spans="65:72" x14ac:dyDescent="0.25">
      <c r="BM3757" s="81"/>
      <c r="BN3757" s="81"/>
      <c r="BO3757" s="81"/>
      <c r="BP3757" s="81"/>
      <c r="BQ3757" s="81"/>
      <c r="BR3757" s="81"/>
      <c r="BS3757" s="81"/>
      <c r="BT3757" s="81"/>
    </row>
    <row r="3758" spans="65:72" x14ac:dyDescent="0.25">
      <c r="BM3758" s="81"/>
      <c r="BN3758" s="81"/>
      <c r="BO3758" s="81"/>
      <c r="BP3758" s="81"/>
      <c r="BQ3758" s="81"/>
      <c r="BR3758" s="81"/>
      <c r="BS3758" s="81"/>
      <c r="BT3758" s="81"/>
    </row>
    <row r="3759" spans="65:72" x14ac:dyDescent="0.25">
      <c r="BM3759" s="81"/>
      <c r="BN3759" s="81"/>
      <c r="BO3759" s="81"/>
      <c r="BP3759" s="81"/>
      <c r="BQ3759" s="81"/>
      <c r="BR3759" s="81"/>
      <c r="BS3759" s="81"/>
      <c r="BT3759" s="81"/>
    </row>
    <row r="3760" spans="65:72" x14ac:dyDescent="0.25">
      <c r="BM3760" s="81"/>
      <c r="BN3760" s="81"/>
      <c r="BO3760" s="81"/>
      <c r="BP3760" s="81"/>
      <c r="BQ3760" s="81"/>
      <c r="BR3760" s="81"/>
      <c r="BS3760" s="81"/>
      <c r="BT3760" s="81"/>
    </row>
    <row r="3761" spans="65:72" x14ac:dyDescent="0.25">
      <c r="BM3761" s="81"/>
      <c r="BN3761" s="81"/>
      <c r="BO3761" s="81"/>
      <c r="BP3761" s="81"/>
      <c r="BQ3761" s="81"/>
      <c r="BR3761" s="81"/>
      <c r="BS3761" s="81"/>
      <c r="BT3761" s="81"/>
    </row>
    <row r="3762" spans="65:72" x14ac:dyDescent="0.25">
      <c r="BM3762" s="81"/>
      <c r="BN3762" s="81"/>
      <c r="BO3762" s="81"/>
      <c r="BP3762" s="81"/>
      <c r="BQ3762" s="81"/>
      <c r="BR3762" s="81"/>
      <c r="BS3762" s="81"/>
      <c r="BT3762" s="81"/>
    </row>
    <row r="3763" spans="65:72" x14ac:dyDescent="0.25">
      <c r="BM3763" s="81"/>
      <c r="BN3763" s="81"/>
      <c r="BO3763" s="81"/>
      <c r="BP3763" s="81"/>
      <c r="BQ3763" s="81"/>
      <c r="BR3763" s="81"/>
      <c r="BS3763" s="81"/>
      <c r="BT3763" s="81"/>
    </row>
    <row r="3764" spans="65:72" x14ac:dyDescent="0.25">
      <c r="BM3764" s="81"/>
      <c r="BN3764" s="81"/>
      <c r="BO3764" s="81"/>
      <c r="BP3764" s="81"/>
      <c r="BQ3764" s="81"/>
      <c r="BR3764" s="81"/>
      <c r="BS3764" s="81"/>
      <c r="BT3764" s="81"/>
    </row>
    <row r="3765" spans="65:72" x14ac:dyDescent="0.25">
      <c r="BM3765" s="81"/>
      <c r="BN3765" s="81"/>
      <c r="BO3765" s="81"/>
      <c r="BP3765" s="81"/>
      <c r="BQ3765" s="81"/>
      <c r="BR3765" s="81"/>
      <c r="BS3765" s="81"/>
      <c r="BT3765" s="81"/>
    </row>
    <row r="3766" spans="65:72" x14ac:dyDescent="0.25">
      <c r="BM3766" s="81"/>
      <c r="BN3766" s="81"/>
      <c r="BO3766" s="81"/>
      <c r="BP3766" s="81"/>
      <c r="BQ3766" s="81"/>
      <c r="BR3766" s="81"/>
      <c r="BS3766" s="81"/>
      <c r="BT3766" s="81"/>
    </row>
    <row r="3767" spans="65:72" x14ac:dyDescent="0.25">
      <c r="BM3767" s="81"/>
      <c r="BN3767" s="81"/>
      <c r="BO3767" s="81"/>
      <c r="BP3767" s="81"/>
      <c r="BQ3767" s="81"/>
      <c r="BR3767" s="81"/>
      <c r="BS3767" s="81"/>
      <c r="BT3767" s="81"/>
    </row>
    <row r="3768" spans="65:72" x14ac:dyDescent="0.25">
      <c r="BM3768" s="81"/>
      <c r="BN3768" s="81"/>
      <c r="BO3768" s="81"/>
      <c r="BP3768" s="81"/>
      <c r="BQ3768" s="81"/>
      <c r="BR3768" s="81"/>
      <c r="BS3768" s="81"/>
      <c r="BT3768" s="81"/>
    </row>
    <row r="3769" spans="65:72" x14ac:dyDescent="0.25">
      <c r="BM3769" s="81"/>
      <c r="BN3769" s="81"/>
      <c r="BO3769" s="81"/>
      <c r="BP3769" s="81"/>
      <c r="BQ3769" s="81"/>
      <c r="BR3769" s="81"/>
      <c r="BS3769" s="81"/>
      <c r="BT3769" s="81"/>
    </row>
    <row r="3770" spans="65:72" x14ac:dyDescent="0.25">
      <c r="BM3770" s="81"/>
      <c r="BN3770" s="81"/>
      <c r="BO3770" s="81"/>
      <c r="BP3770" s="81"/>
      <c r="BQ3770" s="81"/>
      <c r="BR3770" s="81"/>
      <c r="BS3770" s="81"/>
      <c r="BT3770" s="81"/>
    </row>
    <row r="3771" spans="65:72" x14ac:dyDescent="0.25">
      <c r="BM3771" s="81"/>
      <c r="BN3771" s="81"/>
      <c r="BO3771" s="81"/>
      <c r="BP3771" s="81"/>
      <c r="BQ3771" s="81"/>
      <c r="BR3771" s="81"/>
      <c r="BS3771" s="81"/>
      <c r="BT3771" s="81"/>
    </row>
    <row r="3772" spans="65:72" x14ac:dyDescent="0.25">
      <c r="BM3772" s="81"/>
      <c r="BN3772" s="81"/>
      <c r="BO3772" s="81"/>
      <c r="BP3772" s="81"/>
      <c r="BQ3772" s="81"/>
      <c r="BR3772" s="81"/>
      <c r="BS3772" s="81"/>
      <c r="BT3772" s="81"/>
    </row>
    <row r="3773" spans="65:72" x14ac:dyDescent="0.25">
      <c r="BM3773" s="81"/>
      <c r="BN3773" s="81"/>
      <c r="BO3773" s="81"/>
      <c r="BP3773" s="81"/>
      <c r="BQ3773" s="81"/>
      <c r="BR3773" s="81"/>
      <c r="BS3773" s="81"/>
      <c r="BT3773" s="81"/>
    </row>
    <row r="3774" spans="65:72" x14ac:dyDescent="0.25">
      <c r="BM3774" s="81"/>
      <c r="BN3774" s="81"/>
      <c r="BO3774" s="81"/>
      <c r="BP3774" s="81"/>
      <c r="BQ3774" s="81"/>
      <c r="BR3774" s="81"/>
      <c r="BS3774" s="81"/>
      <c r="BT3774" s="81"/>
    </row>
    <row r="3775" spans="65:72" x14ac:dyDescent="0.25">
      <c r="BM3775" s="81"/>
      <c r="BN3775" s="81"/>
      <c r="BO3775" s="81"/>
      <c r="BP3775" s="81"/>
      <c r="BQ3775" s="81"/>
      <c r="BR3775" s="81"/>
      <c r="BS3775" s="81"/>
      <c r="BT3775" s="81"/>
    </row>
    <row r="3776" spans="65:72" x14ac:dyDescent="0.25">
      <c r="BM3776" s="81"/>
      <c r="BN3776" s="81"/>
      <c r="BO3776" s="81"/>
      <c r="BP3776" s="81"/>
      <c r="BQ3776" s="81"/>
      <c r="BR3776" s="81"/>
      <c r="BS3776" s="81"/>
      <c r="BT3776" s="81"/>
    </row>
    <row r="3777" spans="65:72" x14ac:dyDescent="0.25">
      <c r="BM3777" s="81"/>
      <c r="BN3777" s="81"/>
      <c r="BO3777" s="81"/>
      <c r="BP3777" s="81"/>
      <c r="BQ3777" s="81"/>
      <c r="BR3777" s="81"/>
      <c r="BS3777" s="81"/>
      <c r="BT3777" s="81"/>
    </row>
    <row r="3778" spans="65:72" x14ac:dyDescent="0.25">
      <c r="BM3778" s="81"/>
      <c r="BN3778" s="81"/>
      <c r="BO3778" s="81"/>
      <c r="BP3778" s="81"/>
      <c r="BQ3778" s="81"/>
      <c r="BR3778" s="81"/>
      <c r="BS3778" s="81"/>
      <c r="BT3778" s="81"/>
    </row>
    <row r="3779" spans="65:72" x14ac:dyDescent="0.25">
      <c r="BM3779" s="81"/>
      <c r="BN3779" s="81"/>
      <c r="BO3779" s="81"/>
      <c r="BP3779" s="81"/>
      <c r="BQ3779" s="81"/>
      <c r="BR3779" s="81"/>
      <c r="BS3779" s="81"/>
      <c r="BT3779" s="81"/>
    </row>
    <row r="3780" spans="65:72" x14ac:dyDescent="0.25">
      <c r="BM3780" s="81"/>
      <c r="BN3780" s="81"/>
      <c r="BO3780" s="81"/>
      <c r="BP3780" s="81"/>
      <c r="BQ3780" s="81"/>
      <c r="BR3780" s="81"/>
      <c r="BS3780" s="81"/>
      <c r="BT3780" s="81"/>
    </row>
    <row r="3781" spans="65:72" x14ac:dyDescent="0.25">
      <c r="BM3781" s="81"/>
      <c r="BN3781" s="81"/>
      <c r="BO3781" s="81"/>
      <c r="BP3781" s="81"/>
      <c r="BQ3781" s="81"/>
      <c r="BR3781" s="81"/>
      <c r="BS3781" s="81"/>
      <c r="BT3781" s="81"/>
    </row>
    <row r="3782" spans="65:72" x14ac:dyDescent="0.25">
      <c r="BM3782" s="81"/>
      <c r="BN3782" s="81"/>
      <c r="BO3782" s="81"/>
      <c r="BP3782" s="81"/>
      <c r="BQ3782" s="81"/>
      <c r="BR3782" s="81"/>
      <c r="BS3782" s="81"/>
      <c r="BT3782" s="81"/>
    </row>
    <row r="3783" spans="65:72" x14ac:dyDescent="0.25">
      <c r="BM3783" s="81"/>
      <c r="BN3783" s="81"/>
      <c r="BO3783" s="81"/>
      <c r="BP3783" s="81"/>
      <c r="BQ3783" s="81"/>
      <c r="BR3783" s="81"/>
      <c r="BS3783" s="81"/>
      <c r="BT3783" s="81"/>
    </row>
    <row r="3784" spans="65:72" x14ac:dyDescent="0.25">
      <c r="BM3784" s="81"/>
      <c r="BN3784" s="81"/>
      <c r="BO3784" s="81"/>
      <c r="BP3784" s="81"/>
      <c r="BQ3784" s="81"/>
      <c r="BR3784" s="81"/>
      <c r="BS3784" s="81"/>
      <c r="BT3784" s="81"/>
    </row>
    <row r="3785" spans="65:72" x14ac:dyDescent="0.25">
      <c r="BM3785" s="81"/>
      <c r="BN3785" s="81"/>
      <c r="BO3785" s="81"/>
      <c r="BP3785" s="81"/>
      <c r="BQ3785" s="81"/>
      <c r="BR3785" s="81"/>
      <c r="BS3785" s="81"/>
      <c r="BT3785" s="81"/>
    </row>
    <row r="3786" spans="65:72" x14ac:dyDescent="0.25">
      <c r="BM3786" s="81"/>
      <c r="BN3786" s="81"/>
      <c r="BO3786" s="81"/>
      <c r="BP3786" s="81"/>
      <c r="BQ3786" s="81"/>
      <c r="BR3786" s="81"/>
      <c r="BS3786" s="81"/>
      <c r="BT3786" s="81"/>
    </row>
    <row r="3787" spans="65:72" x14ac:dyDescent="0.25">
      <c r="BM3787" s="81"/>
      <c r="BN3787" s="81"/>
      <c r="BO3787" s="81"/>
      <c r="BP3787" s="81"/>
      <c r="BQ3787" s="81"/>
      <c r="BR3787" s="81"/>
      <c r="BS3787" s="81"/>
      <c r="BT3787" s="81"/>
    </row>
    <row r="3788" spans="65:72" x14ac:dyDescent="0.25">
      <c r="BM3788" s="81"/>
      <c r="BN3788" s="81"/>
      <c r="BO3788" s="81"/>
      <c r="BP3788" s="81"/>
      <c r="BQ3788" s="81"/>
      <c r="BR3788" s="81"/>
      <c r="BS3788" s="81"/>
      <c r="BT3788" s="81"/>
    </row>
    <row r="3789" spans="65:72" x14ac:dyDescent="0.25">
      <c r="BM3789" s="81"/>
      <c r="BN3789" s="81"/>
      <c r="BO3789" s="81"/>
      <c r="BP3789" s="81"/>
      <c r="BQ3789" s="81"/>
      <c r="BR3789" s="81"/>
      <c r="BS3789" s="81"/>
      <c r="BT3789" s="81"/>
    </row>
    <row r="3790" spans="65:72" x14ac:dyDescent="0.25">
      <c r="BM3790" s="81"/>
      <c r="BN3790" s="81"/>
      <c r="BO3790" s="81"/>
      <c r="BP3790" s="81"/>
      <c r="BQ3790" s="81"/>
      <c r="BR3790" s="81"/>
      <c r="BS3790" s="81"/>
      <c r="BT3790" s="81"/>
    </row>
    <row r="3791" spans="65:72" x14ac:dyDescent="0.25">
      <c r="BM3791" s="81"/>
      <c r="BN3791" s="81"/>
      <c r="BO3791" s="81"/>
      <c r="BP3791" s="81"/>
      <c r="BQ3791" s="81"/>
      <c r="BR3791" s="81"/>
      <c r="BS3791" s="81"/>
      <c r="BT3791" s="81"/>
    </row>
    <row r="3792" spans="65:72" x14ac:dyDescent="0.25">
      <c r="BM3792" s="81"/>
      <c r="BN3792" s="81"/>
      <c r="BO3792" s="81"/>
      <c r="BP3792" s="81"/>
      <c r="BQ3792" s="81"/>
      <c r="BR3792" s="81"/>
      <c r="BS3792" s="81"/>
      <c r="BT3792" s="81"/>
    </row>
    <row r="3793" spans="65:72" x14ac:dyDescent="0.25">
      <c r="BM3793" s="81"/>
      <c r="BN3793" s="81"/>
      <c r="BO3793" s="81"/>
      <c r="BP3793" s="81"/>
      <c r="BQ3793" s="81"/>
      <c r="BR3793" s="81"/>
      <c r="BS3793" s="81"/>
      <c r="BT3793" s="81"/>
    </row>
    <row r="3794" spans="65:72" x14ac:dyDescent="0.25">
      <c r="BM3794" s="81"/>
      <c r="BN3794" s="81"/>
      <c r="BO3794" s="81"/>
      <c r="BP3794" s="81"/>
      <c r="BQ3794" s="81"/>
      <c r="BR3794" s="81"/>
      <c r="BS3794" s="81"/>
      <c r="BT3794" s="81"/>
    </row>
    <row r="3795" spans="65:72" x14ac:dyDescent="0.25">
      <c r="BM3795" s="81"/>
      <c r="BN3795" s="81"/>
      <c r="BO3795" s="81"/>
      <c r="BP3795" s="81"/>
      <c r="BQ3795" s="81"/>
      <c r="BR3795" s="81"/>
      <c r="BS3795" s="81"/>
      <c r="BT3795" s="81"/>
    </row>
    <row r="3796" spans="65:72" x14ac:dyDescent="0.25">
      <c r="BM3796" s="81"/>
      <c r="BN3796" s="81"/>
      <c r="BO3796" s="81"/>
      <c r="BP3796" s="81"/>
      <c r="BQ3796" s="81"/>
      <c r="BR3796" s="81"/>
      <c r="BS3796" s="81"/>
      <c r="BT3796" s="81"/>
    </row>
    <row r="3797" spans="65:72" x14ac:dyDescent="0.25">
      <c r="BM3797" s="81"/>
      <c r="BN3797" s="81"/>
      <c r="BO3797" s="81"/>
      <c r="BP3797" s="81"/>
      <c r="BQ3797" s="81"/>
      <c r="BR3797" s="81"/>
      <c r="BS3797" s="81"/>
      <c r="BT3797" s="81"/>
    </row>
    <row r="3798" spans="65:72" x14ac:dyDescent="0.25">
      <c r="BM3798" s="81"/>
      <c r="BN3798" s="81"/>
      <c r="BO3798" s="81"/>
      <c r="BP3798" s="81"/>
      <c r="BQ3798" s="81"/>
      <c r="BR3798" s="81"/>
      <c r="BS3798" s="81"/>
      <c r="BT3798" s="81"/>
    </row>
    <row r="3799" spans="65:72" x14ac:dyDescent="0.25">
      <c r="BM3799" s="81"/>
      <c r="BN3799" s="81"/>
      <c r="BO3799" s="81"/>
      <c r="BP3799" s="81"/>
      <c r="BQ3799" s="81"/>
      <c r="BR3799" s="81"/>
      <c r="BS3799" s="81"/>
      <c r="BT3799" s="81"/>
    </row>
    <row r="3800" spans="65:72" x14ac:dyDescent="0.25">
      <c r="BM3800" s="81"/>
      <c r="BN3800" s="81"/>
      <c r="BO3800" s="81"/>
      <c r="BP3800" s="81"/>
      <c r="BQ3800" s="81"/>
      <c r="BR3800" s="81"/>
      <c r="BS3800" s="81"/>
      <c r="BT3800" s="81"/>
    </row>
    <row r="3801" spans="65:72" x14ac:dyDescent="0.25">
      <c r="BM3801" s="81"/>
      <c r="BN3801" s="81"/>
      <c r="BO3801" s="81"/>
      <c r="BP3801" s="81"/>
      <c r="BQ3801" s="81"/>
      <c r="BR3801" s="81"/>
      <c r="BS3801" s="81"/>
      <c r="BT3801" s="81"/>
    </row>
    <row r="3802" spans="65:72" x14ac:dyDescent="0.25">
      <c r="BM3802" s="81"/>
      <c r="BN3802" s="81"/>
      <c r="BO3802" s="81"/>
      <c r="BP3802" s="81"/>
      <c r="BQ3802" s="81"/>
      <c r="BR3802" s="81"/>
      <c r="BS3802" s="81"/>
      <c r="BT3802" s="81"/>
    </row>
    <row r="3803" spans="65:72" x14ac:dyDescent="0.25">
      <c r="BM3803" s="81"/>
      <c r="BN3803" s="81"/>
      <c r="BO3803" s="81"/>
      <c r="BP3803" s="81"/>
      <c r="BQ3803" s="81"/>
      <c r="BR3803" s="81"/>
      <c r="BS3803" s="81"/>
      <c r="BT3803" s="81"/>
    </row>
    <row r="3804" spans="65:72" x14ac:dyDescent="0.25">
      <c r="BM3804" s="81"/>
      <c r="BN3804" s="81"/>
      <c r="BO3804" s="81"/>
      <c r="BP3804" s="81"/>
      <c r="BQ3804" s="81"/>
      <c r="BR3804" s="81"/>
      <c r="BS3804" s="81"/>
      <c r="BT3804" s="81"/>
    </row>
    <row r="3805" spans="65:72" x14ac:dyDescent="0.25">
      <c r="BM3805" s="81"/>
      <c r="BN3805" s="81"/>
      <c r="BO3805" s="81"/>
      <c r="BP3805" s="81"/>
      <c r="BQ3805" s="81"/>
      <c r="BR3805" s="81"/>
      <c r="BS3805" s="81"/>
      <c r="BT3805" s="81"/>
    </row>
    <row r="3806" spans="65:72" x14ac:dyDescent="0.25">
      <c r="BM3806" s="81"/>
      <c r="BN3806" s="81"/>
      <c r="BO3806" s="81"/>
      <c r="BP3806" s="81"/>
      <c r="BQ3806" s="81"/>
      <c r="BR3806" s="81"/>
      <c r="BS3806" s="81"/>
      <c r="BT3806" s="81"/>
    </row>
    <row r="3807" spans="65:72" x14ac:dyDescent="0.25">
      <c r="BM3807" s="81"/>
      <c r="BN3807" s="81"/>
      <c r="BO3807" s="81"/>
      <c r="BP3807" s="81"/>
      <c r="BQ3807" s="81"/>
      <c r="BR3807" s="81"/>
      <c r="BS3807" s="81"/>
      <c r="BT3807" s="81"/>
    </row>
    <row r="3808" spans="65:72" x14ac:dyDescent="0.25">
      <c r="BM3808" s="81"/>
      <c r="BN3808" s="81"/>
      <c r="BO3808" s="81"/>
      <c r="BP3808" s="81"/>
      <c r="BQ3808" s="81"/>
      <c r="BR3808" s="81"/>
      <c r="BS3808" s="81"/>
      <c r="BT3808" s="81"/>
    </row>
    <row r="3809" spans="65:72" x14ac:dyDescent="0.25">
      <c r="BM3809" s="81"/>
      <c r="BN3809" s="81"/>
      <c r="BO3809" s="81"/>
      <c r="BP3809" s="81"/>
      <c r="BQ3809" s="81"/>
      <c r="BR3809" s="81"/>
      <c r="BS3809" s="81"/>
      <c r="BT3809" s="81"/>
    </row>
    <row r="3810" spans="65:72" x14ac:dyDescent="0.25">
      <c r="BM3810" s="81"/>
      <c r="BN3810" s="81"/>
      <c r="BO3810" s="81"/>
      <c r="BP3810" s="81"/>
      <c r="BQ3810" s="81"/>
      <c r="BR3810" s="81"/>
      <c r="BS3810" s="81"/>
      <c r="BT3810" s="81"/>
    </row>
    <row r="3811" spans="65:72" x14ac:dyDescent="0.25">
      <c r="BM3811" s="81"/>
      <c r="BN3811" s="81"/>
      <c r="BO3811" s="81"/>
      <c r="BP3811" s="81"/>
      <c r="BQ3811" s="81"/>
      <c r="BR3811" s="81"/>
      <c r="BS3811" s="81"/>
      <c r="BT3811" s="81"/>
    </row>
    <row r="3812" spans="65:72" x14ac:dyDescent="0.25">
      <c r="BM3812" s="81"/>
      <c r="BN3812" s="81"/>
      <c r="BO3812" s="81"/>
      <c r="BP3812" s="81"/>
      <c r="BQ3812" s="81"/>
      <c r="BR3812" s="81"/>
      <c r="BS3812" s="81"/>
      <c r="BT3812" s="81"/>
    </row>
    <row r="3813" spans="65:72" x14ac:dyDescent="0.25">
      <c r="BM3813" s="81"/>
      <c r="BN3813" s="81"/>
      <c r="BO3813" s="81"/>
      <c r="BP3813" s="81"/>
      <c r="BQ3813" s="81"/>
      <c r="BR3813" s="81"/>
      <c r="BS3813" s="81"/>
      <c r="BT3813" s="81"/>
    </row>
    <row r="3814" spans="65:72" x14ac:dyDescent="0.25">
      <c r="BM3814" s="81"/>
      <c r="BN3814" s="81"/>
      <c r="BO3814" s="81"/>
      <c r="BP3814" s="81"/>
      <c r="BQ3814" s="81"/>
      <c r="BR3814" s="81"/>
      <c r="BS3814" s="81"/>
      <c r="BT3814" s="81"/>
    </row>
    <row r="3815" spans="65:72" x14ac:dyDescent="0.25">
      <c r="BM3815" s="81"/>
      <c r="BN3815" s="81"/>
      <c r="BO3815" s="81"/>
      <c r="BP3815" s="81"/>
      <c r="BQ3815" s="81"/>
      <c r="BR3815" s="81"/>
      <c r="BS3815" s="81"/>
      <c r="BT3815" s="81"/>
    </row>
    <row r="3816" spans="65:72" x14ac:dyDescent="0.25">
      <c r="BM3816" s="81"/>
      <c r="BN3816" s="81"/>
      <c r="BO3816" s="81"/>
      <c r="BP3816" s="81"/>
      <c r="BQ3816" s="81"/>
      <c r="BR3816" s="81"/>
      <c r="BS3816" s="81"/>
      <c r="BT3816" s="81"/>
    </row>
    <row r="3817" spans="65:72" x14ac:dyDescent="0.25">
      <c r="BM3817" s="81"/>
      <c r="BN3817" s="81"/>
      <c r="BO3817" s="81"/>
      <c r="BP3817" s="81"/>
      <c r="BQ3817" s="81"/>
      <c r="BR3817" s="81"/>
      <c r="BS3817" s="81"/>
      <c r="BT3817" s="81"/>
    </row>
    <row r="3818" spans="65:72" x14ac:dyDescent="0.25">
      <c r="BM3818" s="81"/>
      <c r="BN3818" s="81"/>
      <c r="BO3818" s="81"/>
      <c r="BP3818" s="81"/>
      <c r="BQ3818" s="81"/>
      <c r="BR3818" s="81"/>
      <c r="BS3818" s="81"/>
      <c r="BT3818" s="81"/>
    </row>
    <row r="3819" spans="65:72" x14ac:dyDescent="0.25">
      <c r="BM3819" s="81"/>
      <c r="BN3819" s="81"/>
      <c r="BO3819" s="81"/>
      <c r="BP3819" s="81"/>
      <c r="BQ3819" s="81"/>
      <c r="BR3819" s="81"/>
      <c r="BS3819" s="81"/>
      <c r="BT3819" s="81"/>
    </row>
    <row r="3820" spans="65:72" x14ac:dyDescent="0.25">
      <c r="BM3820" s="81"/>
      <c r="BN3820" s="81"/>
      <c r="BO3820" s="81"/>
      <c r="BP3820" s="81"/>
      <c r="BQ3820" s="81"/>
      <c r="BR3820" s="81"/>
      <c r="BS3820" s="81"/>
      <c r="BT3820" s="81"/>
    </row>
    <row r="3821" spans="65:72" x14ac:dyDescent="0.25">
      <c r="BM3821" s="81"/>
      <c r="BN3821" s="81"/>
      <c r="BO3821" s="81"/>
      <c r="BP3821" s="81"/>
      <c r="BQ3821" s="81"/>
      <c r="BR3821" s="81"/>
      <c r="BS3821" s="81"/>
      <c r="BT3821" s="81"/>
    </row>
    <row r="3822" spans="65:72" x14ac:dyDescent="0.25">
      <c r="BM3822" s="81"/>
      <c r="BN3822" s="81"/>
      <c r="BO3822" s="81"/>
      <c r="BP3822" s="81"/>
      <c r="BQ3822" s="81"/>
      <c r="BR3822" s="81"/>
      <c r="BS3822" s="81"/>
      <c r="BT3822" s="81"/>
    </row>
    <row r="3823" spans="65:72" x14ac:dyDescent="0.25">
      <c r="BM3823" s="81"/>
      <c r="BN3823" s="81"/>
      <c r="BO3823" s="81"/>
      <c r="BP3823" s="81"/>
      <c r="BQ3823" s="81"/>
      <c r="BR3823" s="81"/>
      <c r="BS3823" s="81"/>
      <c r="BT3823" s="81"/>
    </row>
    <row r="3824" spans="65:72" x14ac:dyDescent="0.25">
      <c r="BM3824" s="81"/>
      <c r="BN3824" s="81"/>
      <c r="BO3824" s="81"/>
      <c r="BP3824" s="81"/>
      <c r="BQ3824" s="81"/>
      <c r="BR3824" s="81"/>
      <c r="BS3824" s="81"/>
      <c r="BT3824" s="81"/>
    </row>
    <row r="3825" spans="65:72" x14ac:dyDescent="0.25">
      <c r="BM3825" s="81"/>
      <c r="BN3825" s="81"/>
      <c r="BO3825" s="81"/>
      <c r="BP3825" s="81"/>
      <c r="BQ3825" s="81"/>
      <c r="BR3825" s="81"/>
      <c r="BS3825" s="81"/>
      <c r="BT3825" s="81"/>
    </row>
    <row r="3826" spans="65:72" x14ac:dyDescent="0.25">
      <c r="BM3826" s="81"/>
      <c r="BN3826" s="81"/>
      <c r="BO3826" s="81"/>
      <c r="BP3826" s="81"/>
      <c r="BQ3826" s="81"/>
      <c r="BR3826" s="81"/>
      <c r="BS3826" s="81"/>
      <c r="BT3826" s="81"/>
    </row>
    <row r="3827" spans="65:72" x14ac:dyDescent="0.25">
      <c r="BM3827" s="81"/>
      <c r="BN3827" s="81"/>
      <c r="BO3827" s="81"/>
      <c r="BP3827" s="81"/>
      <c r="BQ3827" s="81"/>
      <c r="BR3827" s="81"/>
      <c r="BS3827" s="81"/>
      <c r="BT3827" s="81"/>
    </row>
    <row r="3828" spans="65:72" x14ac:dyDescent="0.25">
      <c r="BM3828" s="81"/>
      <c r="BN3828" s="81"/>
      <c r="BO3828" s="81"/>
      <c r="BP3828" s="81"/>
      <c r="BQ3828" s="81"/>
      <c r="BR3828" s="81"/>
      <c r="BS3828" s="81"/>
      <c r="BT3828" s="81"/>
    </row>
    <row r="3829" spans="65:72" x14ac:dyDescent="0.25">
      <c r="BM3829" s="81"/>
      <c r="BN3829" s="81"/>
      <c r="BO3829" s="81"/>
      <c r="BP3829" s="81"/>
      <c r="BQ3829" s="81"/>
      <c r="BR3829" s="81"/>
      <c r="BS3829" s="81"/>
      <c r="BT3829" s="81"/>
    </row>
    <row r="3830" spans="65:72" x14ac:dyDescent="0.25">
      <c r="BM3830" s="81"/>
      <c r="BN3830" s="81"/>
      <c r="BO3830" s="81"/>
      <c r="BP3830" s="81"/>
      <c r="BQ3830" s="81"/>
      <c r="BR3830" s="81"/>
      <c r="BS3830" s="81"/>
      <c r="BT3830" s="81"/>
    </row>
    <row r="3831" spans="65:72" x14ac:dyDescent="0.25">
      <c r="BM3831" s="81"/>
      <c r="BN3831" s="81"/>
      <c r="BO3831" s="81"/>
      <c r="BP3831" s="81"/>
      <c r="BQ3831" s="81"/>
      <c r="BR3831" s="81"/>
      <c r="BS3831" s="81"/>
      <c r="BT3831" s="81"/>
    </row>
    <row r="3832" spans="65:72" x14ac:dyDescent="0.25">
      <c r="BM3832" s="81"/>
      <c r="BN3832" s="81"/>
      <c r="BO3832" s="81"/>
      <c r="BP3832" s="81"/>
      <c r="BQ3832" s="81"/>
      <c r="BR3832" s="81"/>
      <c r="BS3832" s="81"/>
      <c r="BT3832" s="81"/>
    </row>
    <row r="3833" spans="65:72" x14ac:dyDescent="0.25">
      <c r="BM3833" s="81"/>
      <c r="BN3833" s="81"/>
      <c r="BO3833" s="81"/>
      <c r="BP3833" s="81"/>
      <c r="BQ3833" s="81"/>
      <c r="BR3833" s="81"/>
      <c r="BS3833" s="81"/>
      <c r="BT3833" s="81"/>
    </row>
    <row r="3834" spans="65:72" x14ac:dyDescent="0.25">
      <c r="BM3834" s="81"/>
      <c r="BN3834" s="81"/>
      <c r="BO3834" s="81"/>
      <c r="BP3834" s="81"/>
      <c r="BQ3834" s="81"/>
      <c r="BR3834" s="81"/>
      <c r="BS3834" s="81"/>
      <c r="BT3834" s="81"/>
    </row>
    <row r="3835" spans="65:72" x14ac:dyDescent="0.25">
      <c r="BM3835" s="81"/>
      <c r="BN3835" s="81"/>
      <c r="BO3835" s="81"/>
      <c r="BP3835" s="81"/>
      <c r="BQ3835" s="81"/>
      <c r="BR3835" s="81"/>
      <c r="BS3835" s="81"/>
      <c r="BT3835" s="81"/>
    </row>
    <row r="3836" spans="65:72" x14ac:dyDescent="0.25">
      <c r="BM3836" s="81"/>
      <c r="BN3836" s="81"/>
      <c r="BO3836" s="81"/>
      <c r="BP3836" s="81"/>
      <c r="BQ3836" s="81"/>
      <c r="BR3836" s="81"/>
      <c r="BS3836" s="81"/>
      <c r="BT3836" s="81"/>
    </row>
    <row r="3837" spans="65:72" x14ac:dyDescent="0.25">
      <c r="BM3837" s="81"/>
      <c r="BN3837" s="81"/>
      <c r="BO3837" s="81"/>
      <c r="BP3837" s="81"/>
      <c r="BQ3837" s="81"/>
      <c r="BR3837" s="81"/>
      <c r="BS3837" s="81"/>
      <c r="BT3837" s="81"/>
    </row>
    <row r="3838" spans="65:72" x14ac:dyDescent="0.25">
      <c r="BM3838" s="81"/>
      <c r="BN3838" s="81"/>
      <c r="BO3838" s="81"/>
      <c r="BP3838" s="81"/>
      <c r="BQ3838" s="81"/>
      <c r="BR3838" s="81"/>
      <c r="BS3838" s="81"/>
      <c r="BT3838" s="81"/>
    </row>
    <row r="3839" spans="65:72" x14ac:dyDescent="0.25">
      <c r="BM3839" s="81"/>
      <c r="BN3839" s="81"/>
      <c r="BO3839" s="81"/>
      <c r="BP3839" s="81"/>
      <c r="BQ3839" s="81"/>
      <c r="BR3839" s="81"/>
      <c r="BS3839" s="81"/>
      <c r="BT3839" s="81"/>
    </row>
    <row r="3840" spans="65:72" x14ac:dyDescent="0.25">
      <c r="BM3840" s="81"/>
      <c r="BN3840" s="81"/>
      <c r="BO3840" s="81"/>
      <c r="BP3840" s="81"/>
      <c r="BQ3840" s="81"/>
      <c r="BR3840" s="81"/>
      <c r="BS3840" s="81"/>
      <c r="BT3840" s="81"/>
    </row>
    <row r="3841" spans="65:72" x14ac:dyDescent="0.25">
      <c r="BM3841" s="81"/>
      <c r="BN3841" s="81"/>
      <c r="BO3841" s="81"/>
      <c r="BP3841" s="81"/>
      <c r="BQ3841" s="81"/>
      <c r="BR3841" s="81"/>
      <c r="BS3841" s="81"/>
      <c r="BT3841" s="81"/>
    </row>
    <row r="3842" spans="65:72" x14ac:dyDescent="0.25">
      <c r="BM3842" s="81"/>
      <c r="BN3842" s="81"/>
      <c r="BO3842" s="81"/>
      <c r="BP3842" s="81"/>
      <c r="BQ3842" s="81"/>
      <c r="BR3842" s="81"/>
      <c r="BS3842" s="81"/>
      <c r="BT3842" s="81"/>
    </row>
    <row r="3843" spans="65:72" x14ac:dyDescent="0.25">
      <c r="BM3843" s="81"/>
      <c r="BN3843" s="81"/>
      <c r="BO3843" s="81"/>
      <c r="BP3843" s="81"/>
      <c r="BQ3843" s="81"/>
      <c r="BR3843" s="81"/>
      <c r="BS3843" s="81"/>
      <c r="BT3843" s="81"/>
    </row>
    <row r="3844" spans="65:72" x14ac:dyDescent="0.25">
      <c r="BM3844" s="81"/>
      <c r="BN3844" s="81"/>
      <c r="BO3844" s="81"/>
      <c r="BP3844" s="81"/>
      <c r="BQ3844" s="81"/>
      <c r="BR3844" s="81"/>
      <c r="BS3844" s="81"/>
      <c r="BT3844" s="81"/>
    </row>
    <row r="3845" spans="65:72" x14ac:dyDescent="0.25">
      <c r="BM3845" s="81"/>
      <c r="BN3845" s="81"/>
      <c r="BO3845" s="81"/>
      <c r="BP3845" s="81"/>
      <c r="BQ3845" s="81"/>
      <c r="BR3845" s="81"/>
      <c r="BS3845" s="81"/>
      <c r="BT3845" s="81"/>
    </row>
    <row r="3846" spans="65:72" x14ac:dyDescent="0.25">
      <c r="BM3846" s="81"/>
      <c r="BN3846" s="81"/>
      <c r="BO3846" s="81"/>
      <c r="BP3846" s="81"/>
      <c r="BQ3846" s="81"/>
      <c r="BR3846" s="81"/>
      <c r="BS3846" s="81"/>
      <c r="BT3846" s="81"/>
    </row>
    <row r="3847" spans="65:72" x14ac:dyDescent="0.25">
      <c r="BM3847" s="81"/>
      <c r="BN3847" s="81"/>
      <c r="BO3847" s="81"/>
      <c r="BP3847" s="81"/>
      <c r="BQ3847" s="81"/>
      <c r="BR3847" s="81"/>
      <c r="BS3847" s="81"/>
      <c r="BT3847" s="81"/>
    </row>
    <row r="3848" spans="65:72" x14ac:dyDescent="0.25">
      <c r="BM3848" s="81"/>
      <c r="BN3848" s="81"/>
      <c r="BO3848" s="81"/>
      <c r="BP3848" s="81"/>
      <c r="BQ3848" s="81"/>
      <c r="BR3848" s="81"/>
      <c r="BS3848" s="81"/>
      <c r="BT3848" s="81"/>
    </row>
    <row r="3849" spans="65:72" x14ac:dyDescent="0.25">
      <c r="BM3849" s="81"/>
      <c r="BN3849" s="81"/>
      <c r="BO3849" s="81"/>
      <c r="BP3849" s="81"/>
      <c r="BQ3849" s="81"/>
      <c r="BR3849" s="81"/>
      <c r="BS3849" s="81"/>
      <c r="BT3849" s="81"/>
    </row>
    <row r="3850" spans="65:72" x14ac:dyDescent="0.25">
      <c r="BM3850" s="81"/>
      <c r="BN3850" s="81"/>
      <c r="BO3850" s="81"/>
      <c r="BP3850" s="81"/>
      <c r="BQ3850" s="81"/>
      <c r="BR3850" s="81"/>
      <c r="BS3850" s="81"/>
      <c r="BT3850" s="81"/>
    </row>
    <row r="3851" spans="65:72" x14ac:dyDescent="0.25">
      <c r="BM3851" s="81"/>
      <c r="BN3851" s="81"/>
      <c r="BO3851" s="81"/>
      <c r="BP3851" s="81"/>
      <c r="BQ3851" s="81"/>
      <c r="BR3851" s="81"/>
      <c r="BS3851" s="81"/>
      <c r="BT3851" s="81"/>
    </row>
    <row r="3852" spans="65:72" x14ac:dyDescent="0.25">
      <c r="BM3852" s="81"/>
      <c r="BN3852" s="81"/>
      <c r="BO3852" s="81"/>
      <c r="BP3852" s="81"/>
      <c r="BQ3852" s="81"/>
      <c r="BR3852" s="81"/>
      <c r="BS3852" s="81"/>
      <c r="BT3852" s="81"/>
    </row>
    <row r="3853" spans="65:72" x14ac:dyDescent="0.25">
      <c r="BM3853" s="81"/>
      <c r="BN3853" s="81"/>
      <c r="BO3853" s="81"/>
      <c r="BP3853" s="81"/>
      <c r="BQ3853" s="81"/>
      <c r="BR3853" s="81"/>
      <c r="BS3853" s="81"/>
      <c r="BT3853" s="81"/>
    </row>
    <row r="3854" spans="65:72" x14ac:dyDescent="0.25">
      <c r="BM3854" s="81"/>
      <c r="BN3854" s="81"/>
      <c r="BO3854" s="81"/>
      <c r="BP3854" s="81"/>
      <c r="BQ3854" s="81"/>
      <c r="BR3854" s="81"/>
      <c r="BS3854" s="81"/>
      <c r="BT3854" s="81"/>
    </row>
    <row r="3855" spans="65:72" x14ac:dyDescent="0.25">
      <c r="BM3855" s="81"/>
      <c r="BN3855" s="81"/>
      <c r="BO3855" s="81"/>
      <c r="BP3855" s="81"/>
      <c r="BQ3855" s="81"/>
      <c r="BR3855" s="81"/>
      <c r="BS3855" s="81"/>
      <c r="BT3855" s="81"/>
    </row>
    <row r="3856" spans="65:72" x14ac:dyDescent="0.25">
      <c r="BM3856" s="81"/>
      <c r="BN3856" s="81"/>
      <c r="BO3856" s="81"/>
      <c r="BP3856" s="81"/>
      <c r="BQ3856" s="81"/>
      <c r="BR3856" s="81"/>
      <c r="BS3856" s="81"/>
      <c r="BT3856" s="81"/>
    </row>
    <row r="3857" spans="65:72" x14ac:dyDescent="0.25">
      <c r="BM3857" s="81"/>
      <c r="BN3857" s="81"/>
      <c r="BO3857" s="81"/>
      <c r="BP3857" s="81"/>
      <c r="BQ3857" s="81"/>
      <c r="BR3857" s="81"/>
      <c r="BS3857" s="81"/>
      <c r="BT3857" s="81"/>
    </row>
    <row r="3858" spans="65:72" x14ac:dyDescent="0.25">
      <c r="BM3858" s="81"/>
      <c r="BN3858" s="81"/>
      <c r="BO3858" s="81"/>
      <c r="BP3858" s="81"/>
      <c r="BQ3858" s="81"/>
      <c r="BR3858" s="81"/>
      <c r="BS3858" s="81"/>
      <c r="BT3858" s="81"/>
    </row>
    <row r="3859" spans="65:72" x14ac:dyDescent="0.25">
      <c r="BM3859" s="81"/>
      <c r="BN3859" s="81"/>
      <c r="BO3859" s="81"/>
      <c r="BP3859" s="81"/>
      <c r="BQ3859" s="81"/>
      <c r="BR3859" s="81"/>
      <c r="BS3859" s="81"/>
      <c r="BT3859" s="81"/>
    </row>
    <row r="3860" spans="65:72" x14ac:dyDescent="0.25">
      <c r="BM3860" s="81"/>
      <c r="BN3860" s="81"/>
      <c r="BO3860" s="81"/>
      <c r="BP3860" s="81"/>
      <c r="BQ3860" s="81"/>
      <c r="BR3860" s="81"/>
      <c r="BS3860" s="81"/>
      <c r="BT3860" s="81"/>
    </row>
    <row r="3861" spans="65:72" x14ac:dyDescent="0.25">
      <c r="BM3861" s="81"/>
      <c r="BN3861" s="81"/>
      <c r="BO3861" s="81"/>
      <c r="BP3861" s="81"/>
      <c r="BQ3861" s="81"/>
      <c r="BR3861" s="81"/>
      <c r="BS3861" s="81"/>
      <c r="BT3861" s="81"/>
    </row>
    <row r="3862" spans="65:72" x14ac:dyDescent="0.25">
      <c r="BM3862" s="81"/>
      <c r="BN3862" s="81"/>
      <c r="BO3862" s="81"/>
      <c r="BP3862" s="81"/>
      <c r="BQ3862" s="81"/>
      <c r="BR3862" s="81"/>
      <c r="BS3862" s="81"/>
      <c r="BT3862" s="81"/>
    </row>
    <row r="3863" spans="65:72" x14ac:dyDescent="0.25">
      <c r="BM3863" s="81"/>
      <c r="BN3863" s="81"/>
      <c r="BO3863" s="81"/>
      <c r="BP3863" s="81"/>
      <c r="BQ3863" s="81"/>
      <c r="BR3863" s="81"/>
      <c r="BS3863" s="81"/>
      <c r="BT3863" s="81"/>
    </row>
    <row r="3864" spans="65:72" x14ac:dyDescent="0.25">
      <c r="BM3864" s="81"/>
      <c r="BN3864" s="81"/>
      <c r="BO3864" s="81"/>
      <c r="BP3864" s="81"/>
      <c r="BQ3864" s="81"/>
      <c r="BR3864" s="81"/>
      <c r="BS3864" s="81"/>
      <c r="BT3864" s="81"/>
    </row>
    <row r="3865" spans="65:72" x14ac:dyDescent="0.25">
      <c r="BM3865" s="81"/>
      <c r="BN3865" s="81"/>
      <c r="BO3865" s="81"/>
      <c r="BP3865" s="81"/>
      <c r="BQ3865" s="81"/>
      <c r="BR3865" s="81"/>
      <c r="BS3865" s="81"/>
      <c r="BT3865" s="81"/>
    </row>
    <row r="3866" spans="65:72" x14ac:dyDescent="0.25">
      <c r="BM3866" s="81"/>
      <c r="BN3866" s="81"/>
      <c r="BO3866" s="81"/>
      <c r="BP3866" s="81"/>
      <c r="BQ3866" s="81"/>
      <c r="BR3866" s="81"/>
      <c r="BS3866" s="81"/>
      <c r="BT3866" s="81"/>
    </row>
    <row r="3867" spans="65:72" x14ac:dyDescent="0.25">
      <c r="BM3867" s="81"/>
      <c r="BN3867" s="81"/>
      <c r="BO3867" s="81"/>
      <c r="BP3867" s="81"/>
      <c r="BQ3867" s="81"/>
      <c r="BR3867" s="81"/>
      <c r="BS3867" s="81"/>
      <c r="BT3867" s="81"/>
    </row>
    <row r="3868" spans="65:72" x14ac:dyDescent="0.25">
      <c r="BM3868" s="81"/>
      <c r="BN3868" s="81"/>
      <c r="BO3868" s="81"/>
      <c r="BP3868" s="81"/>
      <c r="BQ3868" s="81"/>
      <c r="BR3868" s="81"/>
      <c r="BS3868" s="81"/>
      <c r="BT3868" s="81"/>
    </row>
    <row r="3869" spans="65:72" x14ac:dyDescent="0.25">
      <c r="BM3869" s="81"/>
      <c r="BN3869" s="81"/>
      <c r="BO3869" s="81"/>
      <c r="BP3869" s="81"/>
      <c r="BQ3869" s="81"/>
      <c r="BR3869" s="81"/>
      <c r="BS3869" s="81"/>
      <c r="BT3869" s="81"/>
    </row>
    <row r="3870" spans="65:72" x14ac:dyDescent="0.25">
      <c r="BM3870" s="81"/>
      <c r="BN3870" s="81"/>
      <c r="BO3870" s="81"/>
      <c r="BP3870" s="81"/>
      <c r="BQ3870" s="81"/>
      <c r="BR3870" s="81"/>
      <c r="BS3870" s="81"/>
      <c r="BT3870" s="81"/>
    </row>
    <row r="3871" spans="65:72" x14ac:dyDescent="0.25">
      <c r="BM3871" s="81"/>
      <c r="BN3871" s="81"/>
      <c r="BO3871" s="81"/>
      <c r="BP3871" s="81"/>
      <c r="BQ3871" s="81"/>
      <c r="BR3871" s="81"/>
      <c r="BS3871" s="81"/>
      <c r="BT3871" s="81"/>
    </row>
    <row r="3872" spans="65:72" x14ac:dyDescent="0.25">
      <c r="BM3872" s="81"/>
      <c r="BN3872" s="81"/>
      <c r="BO3872" s="81"/>
      <c r="BP3872" s="81"/>
      <c r="BQ3872" s="81"/>
      <c r="BR3872" s="81"/>
      <c r="BS3872" s="81"/>
      <c r="BT3872" s="81"/>
    </row>
    <row r="3873" spans="65:72" x14ac:dyDescent="0.25">
      <c r="BM3873" s="81"/>
      <c r="BN3873" s="81"/>
      <c r="BO3873" s="81"/>
      <c r="BP3873" s="81"/>
      <c r="BQ3873" s="81"/>
      <c r="BR3873" s="81"/>
      <c r="BS3873" s="81"/>
      <c r="BT3873" s="81"/>
    </row>
    <row r="3874" spans="65:72" x14ac:dyDescent="0.25">
      <c r="BM3874" s="81"/>
      <c r="BN3874" s="81"/>
      <c r="BO3874" s="81"/>
      <c r="BP3874" s="81"/>
      <c r="BQ3874" s="81"/>
      <c r="BR3874" s="81"/>
      <c r="BS3874" s="81"/>
      <c r="BT3874" s="81"/>
    </row>
    <row r="3875" spans="65:72" x14ac:dyDescent="0.25">
      <c r="BM3875" s="81"/>
      <c r="BN3875" s="81"/>
      <c r="BO3875" s="81"/>
      <c r="BP3875" s="81"/>
      <c r="BQ3875" s="81"/>
      <c r="BR3875" s="81"/>
      <c r="BS3875" s="81"/>
      <c r="BT3875" s="81"/>
    </row>
    <row r="3876" spans="65:72" x14ac:dyDescent="0.25">
      <c r="BM3876" s="81"/>
      <c r="BN3876" s="81"/>
      <c r="BO3876" s="81"/>
      <c r="BP3876" s="81"/>
      <c r="BQ3876" s="81"/>
      <c r="BR3876" s="81"/>
      <c r="BS3876" s="81"/>
      <c r="BT3876" s="81"/>
    </row>
    <row r="3877" spans="65:72" x14ac:dyDescent="0.25">
      <c r="BM3877" s="81"/>
      <c r="BN3877" s="81"/>
      <c r="BO3877" s="81"/>
      <c r="BP3877" s="81"/>
      <c r="BQ3877" s="81"/>
      <c r="BR3877" s="81"/>
      <c r="BS3877" s="81"/>
      <c r="BT3877" s="81"/>
    </row>
    <row r="3878" spans="65:72" x14ac:dyDescent="0.25">
      <c r="BM3878" s="81"/>
      <c r="BN3878" s="81"/>
      <c r="BO3878" s="81"/>
      <c r="BP3878" s="81"/>
      <c r="BQ3878" s="81"/>
      <c r="BR3878" s="81"/>
      <c r="BS3878" s="81"/>
      <c r="BT3878" s="81"/>
    </row>
    <row r="3879" spans="65:72" x14ac:dyDescent="0.25">
      <c r="BM3879" s="81"/>
      <c r="BN3879" s="81"/>
      <c r="BO3879" s="81"/>
      <c r="BP3879" s="81"/>
      <c r="BQ3879" s="81"/>
      <c r="BR3879" s="81"/>
      <c r="BS3879" s="81"/>
      <c r="BT3879" s="81"/>
    </row>
    <row r="3880" spans="65:72" x14ac:dyDescent="0.25">
      <c r="BM3880" s="81"/>
      <c r="BN3880" s="81"/>
      <c r="BO3880" s="81"/>
      <c r="BP3880" s="81"/>
      <c r="BQ3880" s="81"/>
      <c r="BR3880" s="81"/>
      <c r="BS3880" s="81"/>
      <c r="BT3880" s="81"/>
    </row>
    <row r="3881" spans="65:72" x14ac:dyDescent="0.25">
      <c r="BM3881" s="81"/>
      <c r="BN3881" s="81"/>
      <c r="BO3881" s="81"/>
      <c r="BP3881" s="81"/>
      <c r="BQ3881" s="81"/>
      <c r="BR3881" s="81"/>
      <c r="BS3881" s="81"/>
      <c r="BT3881" s="81"/>
    </row>
    <row r="3882" spans="65:72" x14ac:dyDescent="0.25">
      <c r="BM3882" s="81"/>
      <c r="BN3882" s="81"/>
      <c r="BO3882" s="81"/>
      <c r="BP3882" s="81"/>
      <c r="BQ3882" s="81"/>
      <c r="BR3882" s="81"/>
      <c r="BS3882" s="81"/>
      <c r="BT3882" s="81"/>
    </row>
    <row r="3883" spans="65:72" x14ac:dyDescent="0.25">
      <c r="BM3883" s="81"/>
      <c r="BN3883" s="81"/>
      <c r="BO3883" s="81"/>
      <c r="BP3883" s="81"/>
      <c r="BQ3883" s="81"/>
      <c r="BR3883" s="81"/>
      <c r="BS3883" s="81"/>
      <c r="BT3883" s="81"/>
    </row>
    <row r="3884" spans="65:72" x14ac:dyDescent="0.25">
      <c r="BM3884" s="81"/>
      <c r="BN3884" s="81"/>
      <c r="BO3884" s="81"/>
      <c r="BP3884" s="81"/>
      <c r="BQ3884" s="81"/>
      <c r="BR3884" s="81"/>
      <c r="BS3884" s="81"/>
      <c r="BT3884" s="81"/>
    </row>
    <row r="3885" spans="65:72" x14ac:dyDescent="0.25">
      <c r="BM3885" s="81"/>
      <c r="BN3885" s="81"/>
      <c r="BO3885" s="81"/>
      <c r="BP3885" s="81"/>
      <c r="BQ3885" s="81"/>
      <c r="BR3885" s="81"/>
      <c r="BS3885" s="81"/>
      <c r="BT3885" s="81"/>
    </row>
    <row r="3886" spans="65:72" x14ac:dyDescent="0.25">
      <c r="BM3886" s="81"/>
      <c r="BN3886" s="81"/>
      <c r="BO3886" s="81"/>
      <c r="BP3886" s="81"/>
      <c r="BQ3886" s="81"/>
      <c r="BR3886" s="81"/>
      <c r="BS3886" s="81"/>
      <c r="BT3886" s="81"/>
    </row>
    <row r="3887" spans="65:72" x14ac:dyDescent="0.25">
      <c r="BM3887" s="81"/>
      <c r="BN3887" s="81"/>
      <c r="BO3887" s="81"/>
      <c r="BP3887" s="81"/>
      <c r="BQ3887" s="81"/>
      <c r="BR3887" s="81"/>
      <c r="BS3887" s="81"/>
      <c r="BT3887" s="81"/>
    </row>
    <row r="3888" spans="65:72" x14ac:dyDescent="0.25">
      <c r="BM3888" s="81"/>
      <c r="BN3888" s="81"/>
      <c r="BO3888" s="81"/>
      <c r="BP3888" s="81"/>
      <c r="BQ3888" s="81"/>
      <c r="BR3888" s="81"/>
      <c r="BS3888" s="81"/>
      <c r="BT3888" s="81"/>
    </row>
    <row r="3889" spans="65:72" x14ac:dyDescent="0.25">
      <c r="BM3889" s="81"/>
      <c r="BN3889" s="81"/>
      <c r="BO3889" s="81"/>
      <c r="BP3889" s="81"/>
      <c r="BQ3889" s="81"/>
      <c r="BR3889" s="81"/>
      <c r="BS3889" s="81"/>
      <c r="BT3889" s="81"/>
    </row>
    <row r="3890" spans="65:72" x14ac:dyDescent="0.25">
      <c r="BM3890" s="81"/>
      <c r="BN3890" s="81"/>
      <c r="BO3890" s="81"/>
      <c r="BP3890" s="81"/>
      <c r="BQ3890" s="81"/>
      <c r="BR3890" s="81"/>
      <c r="BS3890" s="81"/>
      <c r="BT3890" s="81"/>
    </row>
    <row r="3891" spans="65:72" x14ac:dyDescent="0.25">
      <c r="BM3891" s="81"/>
      <c r="BN3891" s="81"/>
      <c r="BO3891" s="81"/>
      <c r="BP3891" s="81"/>
      <c r="BQ3891" s="81"/>
      <c r="BR3891" s="81"/>
      <c r="BS3891" s="81"/>
      <c r="BT3891" s="81"/>
    </row>
    <row r="3892" spans="65:72" x14ac:dyDescent="0.25">
      <c r="BM3892" s="81"/>
      <c r="BN3892" s="81"/>
      <c r="BO3892" s="81"/>
      <c r="BP3892" s="81"/>
      <c r="BQ3892" s="81"/>
      <c r="BR3892" s="81"/>
      <c r="BS3892" s="81"/>
      <c r="BT3892" s="81"/>
    </row>
    <row r="3893" spans="65:72" x14ac:dyDescent="0.25">
      <c r="BM3893" s="81"/>
      <c r="BN3893" s="81"/>
      <c r="BO3893" s="81"/>
      <c r="BP3893" s="81"/>
      <c r="BQ3893" s="81"/>
      <c r="BR3893" s="81"/>
      <c r="BS3893" s="81"/>
      <c r="BT3893" s="81"/>
    </row>
    <row r="3894" spans="65:72" x14ac:dyDescent="0.25">
      <c r="BM3894" s="81"/>
      <c r="BN3894" s="81"/>
      <c r="BO3894" s="81"/>
      <c r="BP3894" s="81"/>
      <c r="BQ3894" s="81"/>
      <c r="BR3894" s="81"/>
      <c r="BS3894" s="81"/>
      <c r="BT3894" s="81"/>
    </row>
    <row r="3895" spans="65:72" x14ac:dyDescent="0.25">
      <c r="BM3895" s="81"/>
      <c r="BN3895" s="81"/>
      <c r="BO3895" s="81"/>
      <c r="BP3895" s="81"/>
      <c r="BQ3895" s="81"/>
      <c r="BR3895" s="81"/>
      <c r="BS3895" s="81"/>
      <c r="BT3895" s="81"/>
    </row>
    <row r="3896" spans="65:72" x14ac:dyDescent="0.25">
      <c r="BM3896" s="81"/>
      <c r="BN3896" s="81"/>
      <c r="BO3896" s="81"/>
      <c r="BP3896" s="81"/>
      <c r="BQ3896" s="81"/>
      <c r="BR3896" s="81"/>
      <c r="BS3896" s="81"/>
      <c r="BT3896" s="81"/>
    </row>
    <row r="3897" spans="65:72" x14ac:dyDescent="0.25">
      <c r="BM3897" s="81"/>
      <c r="BN3897" s="81"/>
      <c r="BO3897" s="81"/>
      <c r="BP3897" s="81"/>
      <c r="BQ3897" s="81"/>
      <c r="BR3897" s="81"/>
      <c r="BS3897" s="81"/>
      <c r="BT3897" s="81"/>
    </row>
    <row r="3898" spans="65:72" x14ac:dyDescent="0.25">
      <c r="BM3898" s="81"/>
      <c r="BN3898" s="81"/>
      <c r="BO3898" s="81"/>
      <c r="BP3898" s="81"/>
      <c r="BQ3898" s="81"/>
      <c r="BR3898" s="81"/>
      <c r="BS3898" s="81"/>
      <c r="BT3898" s="81"/>
    </row>
    <row r="3899" spans="65:72" x14ac:dyDescent="0.25">
      <c r="BM3899" s="81"/>
      <c r="BN3899" s="81"/>
      <c r="BO3899" s="81"/>
      <c r="BP3899" s="81"/>
      <c r="BQ3899" s="81"/>
      <c r="BR3899" s="81"/>
      <c r="BS3899" s="81"/>
      <c r="BT3899" s="81"/>
    </row>
    <row r="3900" spans="65:72" x14ac:dyDescent="0.25">
      <c r="BM3900" s="81"/>
      <c r="BN3900" s="81"/>
      <c r="BO3900" s="81"/>
      <c r="BP3900" s="81"/>
      <c r="BQ3900" s="81"/>
      <c r="BR3900" s="81"/>
      <c r="BS3900" s="81"/>
      <c r="BT3900" s="81"/>
    </row>
    <row r="3901" spans="65:72" x14ac:dyDescent="0.25">
      <c r="BM3901" s="81"/>
      <c r="BN3901" s="81"/>
      <c r="BO3901" s="81"/>
      <c r="BP3901" s="81"/>
      <c r="BQ3901" s="81"/>
      <c r="BR3901" s="81"/>
      <c r="BS3901" s="81"/>
      <c r="BT3901" s="81"/>
    </row>
    <row r="3902" spans="65:72" x14ac:dyDescent="0.25">
      <c r="BM3902" s="81"/>
      <c r="BN3902" s="81"/>
      <c r="BO3902" s="81"/>
      <c r="BP3902" s="81"/>
      <c r="BQ3902" s="81"/>
      <c r="BR3902" s="81"/>
      <c r="BS3902" s="81"/>
      <c r="BT3902" s="81"/>
    </row>
    <row r="3903" spans="65:72" x14ac:dyDescent="0.25">
      <c r="BM3903" s="81"/>
      <c r="BN3903" s="81"/>
      <c r="BO3903" s="81"/>
      <c r="BP3903" s="81"/>
      <c r="BQ3903" s="81"/>
      <c r="BR3903" s="81"/>
      <c r="BS3903" s="81"/>
      <c r="BT3903" s="81"/>
    </row>
    <row r="3904" spans="65:72" x14ac:dyDescent="0.25">
      <c r="BM3904" s="81"/>
      <c r="BN3904" s="81"/>
      <c r="BO3904" s="81"/>
      <c r="BP3904" s="81"/>
      <c r="BQ3904" s="81"/>
      <c r="BR3904" s="81"/>
      <c r="BS3904" s="81"/>
      <c r="BT3904" s="81"/>
    </row>
    <row r="3905" spans="65:72" x14ac:dyDescent="0.25">
      <c r="BM3905" s="81"/>
      <c r="BN3905" s="81"/>
      <c r="BO3905" s="81"/>
      <c r="BP3905" s="81"/>
      <c r="BQ3905" s="81"/>
      <c r="BR3905" s="81"/>
      <c r="BS3905" s="81"/>
      <c r="BT3905" s="81"/>
    </row>
    <row r="3906" spans="65:72" x14ac:dyDescent="0.25">
      <c r="BM3906" s="81"/>
      <c r="BN3906" s="81"/>
      <c r="BO3906" s="81"/>
      <c r="BP3906" s="81"/>
      <c r="BQ3906" s="81"/>
      <c r="BR3906" s="81"/>
      <c r="BS3906" s="81"/>
      <c r="BT3906" s="81"/>
    </row>
    <row r="3907" spans="65:72" x14ac:dyDescent="0.25">
      <c r="BM3907" s="81"/>
      <c r="BN3907" s="81"/>
      <c r="BO3907" s="81"/>
      <c r="BP3907" s="81"/>
      <c r="BQ3907" s="81"/>
      <c r="BR3907" s="81"/>
      <c r="BS3907" s="81"/>
      <c r="BT3907" s="81"/>
    </row>
    <row r="3908" spans="65:72" x14ac:dyDescent="0.25">
      <c r="BM3908" s="81"/>
      <c r="BN3908" s="81"/>
      <c r="BO3908" s="81"/>
      <c r="BP3908" s="81"/>
      <c r="BQ3908" s="81"/>
      <c r="BR3908" s="81"/>
      <c r="BS3908" s="81"/>
      <c r="BT3908" s="81"/>
    </row>
    <row r="3909" spans="65:72" x14ac:dyDescent="0.25">
      <c r="BM3909" s="81"/>
      <c r="BN3909" s="81"/>
      <c r="BO3909" s="81"/>
      <c r="BP3909" s="81"/>
      <c r="BQ3909" s="81"/>
      <c r="BR3909" s="81"/>
      <c r="BS3909" s="81"/>
      <c r="BT3909" s="81"/>
    </row>
    <row r="3910" spans="65:72" x14ac:dyDescent="0.25">
      <c r="BM3910" s="81"/>
      <c r="BN3910" s="81"/>
      <c r="BO3910" s="81"/>
      <c r="BP3910" s="81"/>
      <c r="BQ3910" s="81"/>
      <c r="BR3910" s="81"/>
      <c r="BS3910" s="81"/>
      <c r="BT3910" s="81"/>
    </row>
    <row r="3911" spans="65:72" x14ac:dyDescent="0.25">
      <c r="BM3911" s="81"/>
      <c r="BN3911" s="81"/>
      <c r="BO3911" s="81"/>
      <c r="BP3911" s="81"/>
      <c r="BQ3911" s="81"/>
      <c r="BR3911" s="81"/>
      <c r="BS3911" s="81"/>
      <c r="BT3911" s="81"/>
    </row>
    <row r="3912" spans="65:72" x14ac:dyDescent="0.25">
      <c r="BM3912" s="81"/>
      <c r="BN3912" s="81"/>
      <c r="BO3912" s="81"/>
      <c r="BP3912" s="81"/>
      <c r="BQ3912" s="81"/>
      <c r="BR3912" s="81"/>
      <c r="BS3912" s="81"/>
      <c r="BT3912" s="81"/>
    </row>
    <row r="3913" spans="65:72" x14ac:dyDescent="0.25">
      <c r="BM3913" s="81"/>
      <c r="BN3913" s="81"/>
      <c r="BO3913" s="81"/>
      <c r="BP3913" s="81"/>
      <c r="BQ3913" s="81"/>
      <c r="BR3913" s="81"/>
      <c r="BS3913" s="81"/>
      <c r="BT3913" s="81"/>
    </row>
    <row r="3914" spans="65:72" x14ac:dyDescent="0.25">
      <c r="BM3914" s="81"/>
      <c r="BN3914" s="81"/>
      <c r="BO3914" s="81"/>
      <c r="BP3914" s="81"/>
      <c r="BQ3914" s="81"/>
      <c r="BR3914" s="81"/>
      <c r="BS3914" s="81"/>
      <c r="BT3914" s="81"/>
    </row>
    <row r="3915" spans="65:72" x14ac:dyDescent="0.25">
      <c r="BM3915" s="81"/>
      <c r="BN3915" s="81"/>
      <c r="BO3915" s="81"/>
      <c r="BP3915" s="81"/>
      <c r="BQ3915" s="81"/>
      <c r="BR3915" s="81"/>
      <c r="BS3915" s="81"/>
      <c r="BT3915" s="81"/>
    </row>
    <row r="3916" spans="65:72" x14ac:dyDescent="0.25">
      <c r="BM3916" s="81"/>
      <c r="BN3916" s="81"/>
      <c r="BO3916" s="81"/>
      <c r="BP3916" s="81"/>
      <c r="BQ3916" s="81"/>
      <c r="BR3916" s="81"/>
      <c r="BS3916" s="81"/>
      <c r="BT3916" s="81"/>
    </row>
    <row r="3917" spans="65:72" x14ac:dyDescent="0.25">
      <c r="BM3917" s="81"/>
      <c r="BN3917" s="81"/>
      <c r="BO3917" s="81"/>
      <c r="BP3917" s="81"/>
      <c r="BQ3917" s="81"/>
      <c r="BR3917" s="81"/>
      <c r="BS3917" s="81"/>
      <c r="BT3917" s="81"/>
    </row>
    <row r="3918" spans="65:72" x14ac:dyDescent="0.25">
      <c r="BM3918" s="81"/>
      <c r="BN3918" s="81"/>
      <c r="BO3918" s="81"/>
      <c r="BP3918" s="81"/>
      <c r="BQ3918" s="81"/>
      <c r="BR3918" s="81"/>
      <c r="BS3918" s="81"/>
      <c r="BT3918" s="81"/>
    </row>
    <row r="3919" spans="65:72" x14ac:dyDescent="0.25">
      <c r="BM3919" s="81"/>
      <c r="BN3919" s="81"/>
      <c r="BO3919" s="81"/>
      <c r="BP3919" s="81"/>
      <c r="BQ3919" s="81"/>
      <c r="BR3919" s="81"/>
      <c r="BS3919" s="81"/>
      <c r="BT3919" s="81"/>
    </row>
    <row r="3920" spans="65:72" x14ac:dyDescent="0.25">
      <c r="BM3920" s="81"/>
      <c r="BN3920" s="81"/>
      <c r="BO3920" s="81"/>
      <c r="BP3920" s="81"/>
      <c r="BQ3920" s="81"/>
      <c r="BR3920" s="81"/>
      <c r="BS3920" s="81"/>
      <c r="BT3920" s="81"/>
    </row>
    <row r="3921" spans="65:72" x14ac:dyDescent="0.25">
      <c r="BM3921" s="81"/>
      <c r="BN3921" s="81"/>
      <c r="BO3921" s="81"/>
      <c r="BP3921" s="81"/>
      <c r="BQ3921" s="81"/>
      <c r="BR3921" s="81"/>
      <c r="BS3921" s="81"/>
      <c r="BT3921" s="81"/>
    </row>
    <row r="3922" spans="65:72" x14ac:dyDescent="0.25">
      <c r="BM3922" s="81"/>
      <c r="BN3922" s="81"/>
      <c r="BO3922" s="81"/>
      <c r="BP3922" s="81"/>
      <c r="BQ3922" s="81"/>
      <c r="BR3922" s="81"/>
      <c r="BS3922" s="81"/>
      <c r="BT3922" s="81"/>
    </row>
    <row r="3923" spans="65:72" x14ac:dyDescent="0.25">
      <c r="BM3923" s="81"/>
      <c r="BN3923" s="81"/>
      <c r="BO3923" s="81"/>
      <c r="BP3923" s="81"/>
      <c r="BQ3923" s="81"/>
      <c r="BR3923" s="81"/>
      <c r="BS3923" s="81"/>
      <c r="BT3923" s="81"/>
    </row>
    <row r="3924" spans="65:72" x14ac:dyDescent="0.25">
      <c r="BM3924" s="81"/>
      <c r="BN3924" s="81"/>
      <c r="BO3924" s="81"/>
      <c r="BP3924" s="81"/>
      <c r="BQ3924" s="81"/>
      <c r="BR3924" s="81"/>
      <c r="BS3924" s="81"/>
      <c r="BT3924" s="81"/>
    </row>
    <row r="3925" spans="65:72" x14ac:dyDescent="0.25">
      <c r="BM3925" s="81"/>
      <c r="BN3925" s="81"/>
      <c r="BO3925" s="81"/>
      <c r="BP3925" s="81"/>
      <c r="BQ3925" s="81"/>
      <c r="BR3925" s="81"/>
      <c r="BS3925" s="81"/>
      <c r="BT3925" s="81"/>
    </row>
    <row r="3926" spans="65:72" x14ac:dyDescent="0.25">
      <c r="BM3926" s="81"/>
      <c r="BN3926" s="81"/>
      <c r="BO3926" s="81"/>
      <c r="BP3926" s="81"/>
      <c r="BQ3926" s="81"/>
      <c r="BR3926" s="81"/>
      <c r="BS3926" s="81"/>
      <c r="BT3926" s="81"/>
    </row>
    <row r="3927" spans="65:72" x14ac:dyDescent="0.25">
      <c r="BM3927" s="81"/>
      <c r="BN3927" s="81"/>
      <c r="BO3927" s="81"/>
      <c r="BP3927" s="81"/>
      <c r="BQ3927" s="81"/>
      <c r="BR3927" s="81"/>
      <c r="BS3927" s="81"/>
      <c r="BT3927" s="81"/>
    </row>
    <row r="3928" spans="65:72" x14ac:dyDescent="0.25">
      <c r="BM3928" s="81"/>
      <c r="BN3928" s="81"/>
      <c r="BO3928" s="81"/>
      <c r="BP3928" s="81"/>
      <c r="BQ3928" s="81"/>
      <c r="BR3928" s="81"/>
      <c r="BS3928" s="81"/>
      <c r="BT3928" s="81"/>
    </row>
    <row r="3929" spans="65:72" x14ac:dyDescent="0.25">
      <c r="BM3929" s="81"/>
      <c r="BN3929" s="81"/>
      <c r="BO3929" s="81"/>
      <c r="BP3929" s="81"/>
      <c r="BQ3929" s="81"/>
      <c r="BR3929" s="81"/>
      <c r="BS3929" s="81"/>
      <c r="BT3929" s="81"/>
    </row>
    <row r="3930" spans="65:72" x14ac:dyDescent="0.25">
      <c r="BM3930" s="81"/>
      <c r="BN3930" s="81"/>
      <c r="BO3930" s="81"/>
      <c r="BP3930" s="81"/>
      <c r="BQ3930" s="81"/>
      <c r="BR3930" s="81"/>
      <c r="BS3930" s="81"/>
      <c r="BT3930" s="81"/>
    </row>
    <row r="3931" spans="65:72" x14ac:dyDescent="0.25">
      <c r="BM3931" s="81"/>
      <c r="BN3931" s="81"/>
      <c r="BO3931" s="81"/>
      <c r="BP3931" s="81"/>
      <c r="BQ3931" s="81"/>
      <c r="BR3931" s="81"/>
      <c r="BS3931" s="81"/>
      <c r="BT3931" s="81"/>
    </row>
    <row r="3932" spans="65:72" x14ac:dyDescent="0.25">
      <c r="BM3932" s="81"/>
      <c r="BN3932" s="81"/>
      <c r="BO3932" s="81"/>
      <c r="BP3932" s="81"/>
      <c r="BQ3932" s="81"/>
      <c r="BR3932" s="81"/>
      <c r="BS3932" s="81"/>
      <c r="BT3932" s="81"/>
    </row>
    <row r="3933" spans="65:72" x14ac:dyDescent="0.25">
      <c r="BM3933" s="81"/>
      <c r="BN3933" s="81"/>
      <c r="BO3933" s="81"/>
      <c r="BP3933" s="81"/>
      <c r="BQ3933" s="81"/>
      <c r="BR3933" s="81"/>
      <c r="BS3933" s="81"/>
      <c r="BT3933" s="81"/>
    </row>
    <row r="3934" spans="65:72" x14ac:dyDescent="0.25">
      <c r="BM3934" s="81"/>
      <c r="BN3934" s="81"/>
      <c r="BO3934" s="81"/>
      <c r="BP3934" s="81"/>
      <c r="BQ3934" s="81"/>
      <c r="BR3934" s="81"/>
      <c r="BS3934" s="81"/>
      <c r="BT3934" s="81"/>
    </row>
    <row r="3935" spans="65:72" x14ac:dyDescent="0.25">
      <c r="BM3935" s="81"/>
      <c r="BN3935" s="81"/>
      <c r="BO3935" s="81"/>
      <c r="BP3935" s="81"/>
      <c r="BQ3935" s="81"/>
      <c r="BR3935" s="81"/>
      <c r="BS3935" s="81"/>
      <c r="BT3935" s="81"/>
    </row>
    <row r="3936" spans="65:72" x14ac:dyDescent="0.25">
      <c r="BM3936" s="81"/>
      <c r="BN3936" s="81"/>
      <c r="BO3936" s="81"/>
      <c r="BP3936" s="81"/>
      <c r="BQ3936" s="81"/>
      <c r="BR3936" s="81"/>
      <c r="BS3936" s="81"/>
      <c r="BT3936" s="81"/>
    </row>
    <row r="3937" spans="65:72" x14ac:dyDescent="0.25">
      <c r="BM3937" s="81"/>
      <c r="BN3937" s="81"/>
      <c r="BO3937" s="81"/>
      <c r="BP3937" s="81"/>
      <c r="BQ3937" s="81"/>
      <c r="BR3937" s="81"/>
      <c r="BS3937" s="81"/>
      <c r="BT3937" s="81"/>
    </row>
    <row r="3938" spans="65:72" x14ac:dyDescent="0.25">
      <c r="BM3938" s="81"/>
      <c r="BN3938" s="81"/>
      <c r="BO3938" s="81"/>
      <c r="BP3938" s="81"/>
      <c r="BQ3938" s="81"/>
      <c r="BR3938" s="81"/>
      <c r="BS3938" s="81"/>
      <c r="BT3938" s="81"/>
    </row>
    <row r="3939" spans="65:72" x14ac:dyDescent="0.25">
      <c r="BM3939" s="81"/>
      <c r="BN3939" s="81"/>
      <c r="BO3939" s="81"/>
      <c r="BP3939" s="81"/>
      <c r="BQ3939" s="81"/>
      <c r="BR3939" s="81"/>
      <c r="BS3939" s="81"/>
      <c r="BT3939" s="81"/>
    </row>
    <row r="3940" spans="65:72" x14ac:dyDescent="0.25">
      <c r="BM3940" s="81"/>
      <c r="BN3940" s="81"/>
      <c r="BO3940" s="81"/>
      <c r="BP3940" s="81"/>
      <c r="BQ3940" s="81"/>
      <c r="BR3940" s="81"/>
      <c r="BS3940" s="81"/>
      <c r="BT3940" s="81"/>
    </row>
    <row r="3941" spans="65:72" x14ac:dyDescent="0.25">
      <c r="BM3941" s="81"/>
      <c r="BN3941" s="81"/>
      <c r="BO3941" s="81"/>
      <c r="BP3941" s="81"/>
      <c r="BQ3941" s="81"/>
      <c r="BR3941" s="81"/>
      <c r="BS3941" s="81"/>
      <c r="BT3941" s="81"/>
    </row>
    <row r="3942" spans="65:72" x14ac:dyDescent="0.25">
      <c r="BM3942" s="81"/>
      <c r="BN3942" s="81"/>
      <c r="BO3942" s="81"/>
      <c r="BP3942" s="81"/>
      <c r="BQ3942" s="81"/>
      <c r="BR3942" s="81"/>
      <c r="BS3942" s="81"/>
      <c r="BT3942" s="81"/>
    </row>
    <row r="3943" spans="65:72" x14ac:dyDescent="0.25">
      <c r="BM3943" s="81"/>
      <c r="BN3943" s="81"/>
      <c r="BO3943" s="81"/>
      <c r="BP3943" s="81"/>
      <c r="BQ3943" s="81"/>
      <c r="BR3943" s="81"/>
      <c r="BS3943" s="81"/>
      <c r="BT3943" s="81"/>
    </row>
    <row r="3944" spans="65:72" x14ac:dyDescent="0.25">
      <c r="BM3944" s="81"/>
      <c r="BN3944" s="81"/>
      <c r="BO3944" s="81"/>
      <c r="BP3944" s="81"/>
      <c r="BQ3944" s="81"/>
      <c r="BR3944" s="81"/>
      <c r="BS3944" s="81"/>
      <c r="BT3944" s="81"/>
    </row>
    <row r="3945" spans="65:72" x14ac:dyDescent="0.25">
      <c r="BM3945" s="81"/>
      <c r="BN3945" s="81"/>
      <c r="BO3945" s="81"/>
      <c r="BP3945" s="81"/>
      <c r="BQ3945" s="81"/>
      <c r="BR3945" s="81"/>
      <c r="BS3945" s="81"/>
      <c r="BT3945" s="81"/>
    </row>
    <row r="3946" spans="65:72" x14ac:dyDescent="0.25">
      <c r="BM3946" s="81"/>
      <c r="BN3946" s="81"/>
      <c r="BO3946" s="81"/>
      <c r="BP3946" s="81"/>
      <c r="BQ3946" s="81"/>
      <c r="BR3946" s="81"/>
      <c r="BS3946" s="81"/>
      <c r="BT3946" s="81"/>
    </row>
    <row r="3947" spans="65:72" x14ac:dyDescent="0.25">
      <c r="BM3947" s="81"/>
      <c r="BN3947" s="81"/>
      <c r="BO3947" s="81"/>
      <c r="BP3947" s="81"/>
      <c r="BQ3947" s="81"/>
      <c r="BR3947" s="81"/>
      <c r="BS3947" s="81"/>
      <c r="BT3947" s="81"/>
    </row>
    <row r="3948" spans="65:72" x14ac:dyDescent="0.25">
      <c r="BM3948" s="81"/>
      <c r="BN3948" s="81"/>
      <c r="BO3948" s="81"/>
      <c r="BP3948" s="81"/>
      <c r="BQ3948" s="81"/>
      <c r="BR3948" s="81"/>
      <c r="BS3948" s="81"/>
      <c r="BT3948" s="81"/>
    </row>
    <row r="3949" spans="65:72" x14ac:dyDescent="0.25">
      <c r="BM3949" s="81"/>
      <c r="BN3949" s="81"/>
      <c r="BO3949" s="81"/>
      <c r="BP3949" s="81"/>
      <c r="BQ3949" s="81"/>
      <c r="BR3949" s="81"/>
      <c r="BS3949" s="81"/>
      <c r="BT3949" s="81"/>
    </row>
    <row r="3950" spans="65:72" x14ac:dyDescent="0.25">
      <c r="BM3950" s="81"/>
      <c r="BN3950" s="81"/>
      <c r="BO3950" s="81"/>
      <c r="BP3950" s="81"/>
      <c r="BQ3950" s="81"/>
      <c r="BR3950" s="81"/>
      <c r="BS3950" s="81"/>
      <c r="BT3950" s="81"/>
    </row>
    <row r="3951" spans="65:72" x14ac:dyDescent="0.25">
      <c r="BM3951" s="81"/>
      <c r="BN3951" s="81"/>
      <c r="BO3951" s="81"/>
      <c r="BP3951" s="81"/>
      <c r="BQ3951" s="81"/>
      <c r="BR3951" s="81"/>
      <c r="BS3951" s="81"/>
      <c r="BT3951" s="81"/>
    </row>
    <row r="3952" spans="65:72" x14ac:dyDescent="0.25">
      <c r="BM3952" s="81"/>
      <c r="BN3952" s="81"/>
      <c r="BO3952" s="81"/>
      <c r="BP3952" s="81"/>
      <c r="BQ3952" s="81"/>
      <c r="BR3952" s="81"/>
      <c r="BS3952" s="81"/>
      <c r="BT3952" s="81"/>
    </row>
    <row r="3953" spans="65:72" x14ac:dyDescent="0.25">
      <c r="BM3953" s="81"/>
      <c r="BN3953" s="81"/>
      <c r="BO3953" s="81"/>
      <c r="BP3953" s="81"/>
      <c r="BQ3953" s="81"/>
      <c r="BR3953" s="81"/>
      <c r="BS3953" s="81"/>
      <c r="BT3953" s="81"/>
    </row>
    <row r="3954" spans="65:72" x14ac:dyDescent="0.25">
      <c r="BM3954" s="81"/>
      <c r="BN3954" s="81"/>
      <c r="BO3954" s="81"/>
      <c r="BP3954" s="81"/>
      <c r="BQ3954" s="81"/>
      <c r="BR3954" s="81"/>
      <c r="BS3954" s="81"/>
      <c r="BT3954" s="81"/>
    </row>
    <row r="3955" spans="65:72" x14ac:dyDescent="0.25">
      <c r="BM3955" s="81"/>
      <c r="BN3955" s="81"/>
      <c r="BO3955" s="81"/>
      <c r="BP3955" s="81"/>
      <c r="BQ3955" s="81"/>
      <c r="BR3955" s="81"/>
      <c r="BS3955" s="81"/>
      <c r="BT3955" s="81"/>
    </row>
    <row r="3956" spans="65:72" x14ac:dyDescent="0.25">
      <c r="BM3956" s="81"/>
      <c r="BN3956" s="81"/>
      <c r="BO3956" s="81"/>
      <c r="BP3956" s="81"/>
      <c r="BQ3956" s="81"/>
      <c r="BR3956" s="81"/>
      <c r="BS3956" s="81"/>
      <c r="BT3956" s="81"/>
    </row>
    <row r="3957" spans="65:72" x14ac:dyDescent="0.25">
      <c r="BM3957" s="81"/>
      <c r="BN3957" s="81"/>
      <c r="BO3957" s="81"/>
      <c r="BP3957" s="81"/>
      <c r="BQ3957" s="81"/>
      <c r="BR3957" s="81"/>
      <c r="BS3957" s="81"/>
      <c r="BT3957" s="81"/>
    </row>
    <row r="3958" spans="65:72" x14ac:dyDescent="0.25">
      <c r="BM3958" s="81"/>
      <c r="BN3958" s="81"/>
      <c r="BO3958" s="81"/>
      <c r="BP3958" s="81"/>
      <c r="BQ3958" s="81"/>
      <c r="BR3958" s="81"/>
      <c r="BS3958" s="81"/>
      <c r="BT3958" s="81"/>
    </row>
    <row r="3959" spans="65:72" x14ac:dyDescent="0.25">
      <c r="BM3959" s="81"/>
      <c r="BN3959" s="81"/>
      <c r="BO3959" s="81"/>
      <c r="BP3959" s="81"/>
      <c r="BQ3959" s="81"/>
      <c r="BR3959" s="81"/>
      <c r="BS3959" s="81"/>
      <c r="BT3959" s="81"/>
    </row>
    <row r="3960" spans="65:72" x14ac:dyDescent="0.25">
      <c r="BM3960" s="81"/>
      <c r="BN3960" s="81"/>
      <c r="BO3960" s="81"/>
      <c r="BP3960" s="81"/>
      <c r="BQ3960" s="81"/>
      <c r="BR3960" s="81"/>
      <c r="BS3960" s="81"/>
      <c r="BT3960" s="81"/>
    </row>
    <row r="3961" spans="65:72" x14ac:dyDescent="0.25">
      <c r="BM3961" s="81"/>
      <c r="BN3961" s="81"/>
      <c r="BO3961" s="81"/>
      <c r="BP3961" s="81"/>
      <c r="BQ3961" s="81"/>
      <c r="BR3961" s="81"/>
      <c r="BS3961" s="81"/>
      <c r="BT3961" s="81"/>
    </row>
    <row r="3962" spans="65:72" x14ac:dyDescent="0.25">
      <c r="BM3962" s="81"/>
      <c r="BN3962" s="81"/>
      <c r="BO3962" s="81"/>
      <c r="BP3962" s="81"/>
      <c r="BQ3962" s="81"/>
      <c r="BR3962" s="81"/>
      <c r="BS3962" s="81"/>
      <c r="BT3962" s="81"/>
    </row>
    <row r="3963" spans="65:72" x14ac:dyDescent="0.25">
      <c r="BM3963" s="81"/>
      <c r="BN3963" s="81"/>
      <c r="BO3963" s="81"/>
      <c r="BP3963" s="81"/>
      <c r="BQ3963" s="81"/>
      <c r="BR3963" s="81"/>
      <c r="BS3963" s="81"/>
      <c r="BT3963" s="81"/>
    </row>
    <row r="3964" spans="65:72" x14ac:dyDescent="0.25">
      <c r="BM3964" s="81"/>
      <c r="BN3964" s="81"/>
      <c r="BO3964" s="81"/>
      <c r="BP3964" s="81"/>
      <c r="BQ3964" s="81"/>
      <c r="BR3964" s="81"/>
      <c r="BS3964" s="81"/>
      <c r="BT3964" s="81"/>
    </row>
    <row r="3965" spans="65:72" x14ac:dyDescent="0.25">
      <c r="BM3965" s="81"/>
      <c r="BN3965" s="81"/>
      <c r="BO3965" s="81"/>
      <c r="BP3965" s="81"/>
      <c r="BQ3965" s="81"/>
      <c r="BR3965" s="81"/>
      <c r="BS3965" s="81"/>
      <c r="BT3965" s="81"/>
    </row>
    <row r="3966" spans="65:72" x14ac:dyDescent="0.25">
      <c r="BM3966" s="81"/>
      <c r="BN3966" s="81"/>
      <c r="BO3966" s="81"/>
      <c r="BP3966" s="81"/>
      <c r="BQ3966" s="81"/>
      <c r="BR3966" s="81"/>
      <c r="BS3966" s="81"/>
      <c r="BT3966" s="81"/>
    </row>
    <row r="3967" spans="65:72" x14ac:dyDescent="0.25">
      <c r="BM3967" s="81"/>
      <c r="BN3967" s="81"/>
      <c r="BO3967" s="81"/>
      <c r="BP3967" s="81"/>
      <c r="BQ3967" s="81"/>
      <c r="BR3967" s="81"/>
      <c r="BS3967" s="81"/>
      <c r="BT3967" s="81"/>
    </row>
    <row r="3968" spans="65:72" x14ac:dyDescent="0.25">
      <c r="BM3968" s="81"/>
      <c r="BN3968" s="81"/>
      <c r="BO3968" s="81"/>
      <c r="BP3968" s="81"/>
      <c r="BQ3968" s="81"/>
      <c r="BR3968" s="81"/>
      <c r="BS3968" s="81"/>
      <c r="BT3968" s="81"/>
    </row>
    <row r="3969" spans="65:72" x14ac:dyDescent="0.25">
      <c r="BM3969" s="81"/>
      <c r="BN3969" s="81"/>
      <c r="BO3969" s="81"/>
      <c r="BP3969" s="81"/>
      <c r="BQ3969" s="81"/>
      <c r="BR3969" s="81"/>
      <c r="BS3969" s="81"/>
      <c r="BT3969" s="81"/>
    </row>
    <row r="3970" spans="65:72" x14ac:dyDescent="0.25">
      <c r="BM3970" s="81"/>
      <c r="BN3970" s="81"/>
      <c r="BO3970" s="81"/>
      <c r="BP3970" s="81"/>
      <c r="BQ3970" s="81"/>
      <c r="BR3970" s="81"/>
      <c r="BS3970" s="81"/>
      <c r="BT3970" s="81"/>
    </row>
    <row r="3971" spans="65:72" x14ac:dyDescent="0.25">
      <c r="BM3971" s="81"/>
      <c r="BN3971" s="81"/>
      <c r="BO3971" s="81"/>
      <c r="BP3971" s="81"/>
      <c r="BQ3971" s="81"/>
      <c r="BR3971" s="81"/>
      <c r="BS3971" s="81"/>
      <c r="BT3971" s="81"/>
    </row>
    <row r="3972" spans="65:72" x14ac:dyDescent="0.25">
      <c r="BM3972" s="81"/>
      <c r="BN3972" s="81"/>
      <c r="BO3972" s="81"/>
      <c r="BP3972" s="81"/>
      <c r="BQ3972" s="81"/>
      <c r="BR3972" s="81"/>
      <c r="BS3972" s="81"/>
      <c r="BT3972" s="81"/>
    </row>
    <row r="3973" spans="65:72" x14ac:dyDescent="0.25">
      <c r="BM3973" s="81"/>
      <c r="BN3973" s="81"/>
      <c r="BO3973" s="81"/>
      <c r="BP3973" s="81"/>
      <c r="BQ3973" s="81"/>
      <c r="BR3973" s="81"/>
      <c r="BS3973" s="81"/>
      <c r="BT3973" s="81"/>
    </row>
    <row r="3974" spans="65:72" x14ac:dyDescent="0.25">
      <c r="BM3974" s="81"/>
      <c r="BN3974" s="81"/>
      <c r="BO3974" s="81"/>
      <c r="BP3974" s="81"/>
      <c r="BQ3974" s="81"/>
      <c r="BR3974" s="81"/>
      <c r="BS3974" s="81"/>
      <c r="BT3974" s="81"/>
    </row>
    <row r="3975" spans="65:72" x14ac:dyDescent="0.25">
      <c r="BM3975" s="81"/>
      <c r="BN3975" s="81"/>
      <c r="BO3975" s="81"/>
      <c r="BP3975" s="81"/>
      <c r="BQ3975" s="81"/>
      <c r="BR3975" s="81"/>
      <c r="BS3975" s="81"/>
      <c r="BT3975" s="81"/>
    </row>
    <row r="3976" spans="65:72" x14ac:dyDescent="0.25">
      <c r="BM3976" s="81"/>
      <c r="BN3976" s="81"/>
      <c r="BO3976" s="81"/>
      <c r="BP3976" s="81"/>
      <c r="BQ3976" s="81"/>
      <c r="BR3976" s="81"/>
      <c r="BS3976" s="81"/>
      <c r="BT3976" s="81"/>
    </row>
    <row r="3977" spans="65:72" x14ac:dyDescent="0.25">
      <c r="BM3977" s="81"/>
      <c r="BN3977" s="81"/>
      <c r="BO3977" s="81"/>
      <c r="BP3977" s="81"/>
      <c r="BQ3977" s="81"/>
      <c r="BR3977" s="81"/>
      <c r="BS3977" s="81"/>
      <c r="BT3977" s="81"/>
    </row>
    <row r="3978" spans="65:72" x14ac:dyDescent="0.25">
      <c r="BM3978" s="81"/>
      <c r="BN3978" s="81"/>
      <c r="BO3978" s="81"/>
      <c r="BP3978" s="81"/>
      <c r="BQ3978" s="81"/>
      <c r="BR3978" s="81"/>
      <c r="BS3978" s="81"/>
      <c r="BT3978" s="81"/>
    </row>
    <row r="3979" spans="65:72" x14ac:dyDescent="0.25">
      <c r="BM3979" s="81"/>
      <c r="BN3979" s="81"/>
      <c r="BO3979" s="81"/>
      <c r="BP3979" s="81"/>
      <c r="BQ3979" s="81"/>
      <c r="BR3979" s="81"/>
      <c r="BS3979" s="81"/>
      <c r="BT3979" s="81"/>
    </row>
    <row r="3980" spans="65:72" x14ac:dyDescent="0.25">
      <c r="BM3980" s="81"/>
      <c r="BN3980" s="81"/>
      <c r="BO3980" s="81"/>
      <c r="BP3980" s="81"/>
      <c r="BQ3980" s="81"/>
      <c r="BR3980" s="81"/>
      <c r="BS3980" s="81"/>
      <c r="BT3980" s="81"/>
    </row>
    <row r="3981" spans="65:72" x14ac:dyDescent="0.25">
      <c r="BM3981" s="81"/>
      <c r="BN3981" s="81"/>
      <c r="BO3981" s="81"/>
      <c r="BP3981" s="81"/>
      <c r="BQ3981" s="81"/>
      <c r="BR3981" s="81"/>
      <c r="BS3981" s="81"/>
      <c r="BT3981" s="81"/>
    </row>
    <row r="3982" spans="65:72" x14ac:dyDescent="0.25">
      <c r="BM3982" s="81"/>
      <c r="BN3982" s="81"/>
      <c r="BO3982" s="81"/>
      <c r="BP3982" s="81"/>
      <c r="BQ3982" s="81"/>
      <c r="BR3982" s="81"/>
      <c r="BS3982" s="81"/>
      <c r="BT3982" s="81"/>
    </row>
    <row r="3983" spans="65:72" x14ac:dyDescent="0.25">
      <c r="BM3983" s="81"/>
      <c r="BN3983" s="81"/>
      <c r="BO3983" s="81"/>
      <c r="BP3983" s="81"/>
      <c r="BQ3983" s="81"/>
      <c r="BR3983" s="81"/>
      <c r="BS3983" s="81"/>
      <c r="BT3983" s="81"/>
    </row>
    <row r="3984" spans="65:72" x14ac:dyDescent="0.25">
      <c r="BM3984" s="81"/>
      <c r="BN3984" s="81"/>
      <c r="BO3984" s="81"/>
      <c r="BP3984" s="81"/>
      <c r="BQ3984" s="81"/>
      <c r="BR3984" s="81"/>
      <c r="BS3984" s="81"/>
      <c r="BT3984" s="81"/>
    </row>
    <row r="3985" spans="65:72" x14ac:dyDescent="0.25">
      <c r="BM3985" s="81"/>
      <c r="BN3985" s="81"/>
      <c r="BO3985" s="81"/>
      <c r="BP3985" s="81"/>
      <c r="BQ3985" s="81"/>
      <c r="BR3985" s="81"/>
      <c r="BS3985" s="81"/>
      <c r="BT3985" s="81"/>
    </row>
    <row r="3986" spans="65:72" x14ac:dyDescent="0.25">
      <c r="BM3986" s="81"/>
      <c r="BN3986" s="81"/>
      <c r="BO3986" s="81"/>
      <c r="BP3986" s="81"/>
      <c r="BQ3986" s="81"/>
      <c r="BR3986" s="81"/>
      <c r="BS3986" s="81"/>
      <c r="BT3986" s="81"/>
    </row>
    <row r="3987" spans="65:72" x14ac:dyDescent="0.25">
      <c r="BM3987" s="81"/>
      <c r="BN3987" s="81"/>
      <c r="BO3987" s="81"/>
      <c r="BP3987" s="81"/>
      <c r="BQ3987" s="81"/>
      <c r="BR3987" s="81"/>
      <c r="BS3987" s="81"/>
      <c r="BT3987" s="81"/>
    </row>
    <row r="3988" spans="65:72" x14ac:dyDescent="0.25">
      <c r="BM3988" s="81"/>
      <c r="BN3988" s="81"/>
      <c r="BO3988" s="81"/>
      <c r="BP3988" s="81"/>
      <c r="BQ3988" s="81"/>
      <c r="BR3988" s="81"/>
      <c r="BS3988" s="81"/>
      <c r="BT3988" s="81"/>
    </row>
    <row r="3989" spans="65:72" x14ac:dyDescent="0.25">
      <c r="BM3989" s="81"/>
      <c r="BN3989" s="81"/>
      <c r="BO3989" s="81"/>
      <c r="BP3989" s="81"/>
      <c r="BQ3989" s="81"/>
      <c r="BR3989" s="81"/>
      <c r="BS3989" s="81"/>
      <c r="BT3989" s="81"/>
    </row>
    <row r="3990" spans="65:72" x14ac:dyDescent="0.25">
      <c r="BM3990" s="81"/>
      <c r="BN3990" s="81"/>
      <c r="BO3990" s="81"/>
      <c r="BP3990" s="81"/>
      <c r="BQ3990" s="81"/>
      <c r="BR3990" s="81"/>
      <c r="BS3990" s="81"/>
      <c r="BT3990" s="81"/>
    </row>
    <row r="3991" spans="65:72" x14ac:dyDescent="0.25">
      <c r="BM3991" s="81"/>
      <c r="BN3991" s="81"/>
      <c r="BO3991" s="81"/>
      <c r="BP3991" s="81"/>
      <c r="BQ3991" s="81"/>
      <c r="BR3991" s="81"/>
      <c r="BS3991" s="81"/>
      <c r="BT3991" s="81"/>
    </row>
    <row r="3992" spans="65:72" x14ac:dyDescent="0.25">
      <c r="BM3992" s="81"/>
      <c r="BN3992" s="81"/>
      <c r="BO3992" s="81"/>
      <c r="BP3992" s="81"/>
      <c r="BQ3992" s="81"/>
      <c r="BR3992" s="81"/>
      <c r="BS3992" s="81"/>
      <c r="BT3992" s="81"/>
    </row>
    <row r="3993" spans="65:72" x14ac:dyDescent="0.25">
      <c r="BM3993" s="81"/>
      <c r="BN3993" s="81"/>
      <c r="BO3993" s="81"/>
      <c r="BP3993" s="81"/>
      <c r="BQ3993" s="81"/>
      <c r="BR3993" s="81"/>
      <c r="BS3993" s="81"/>
      <c r="BT3993" s="81"/>
    </row>
    <row r="3994" spans="65:72" x14ac:dyDescent="0.25">
      <c r="BM3994" s="81"/>
      <c r="BN3994" s="81"/>
      <c r="BO3994" s="81"/>
      <c r="BP3994" s="81"/>
      <c r="BQ3994" s="81"/>
      <c r="BR3994" s="81"/>
      <c r="BS3994" s="81"/>
      <c r="BT3994" s="81"/>
    </row>
    <row r="3995" spans="65:72" x14ac:dyDescent="0.25">
      <c r="BM3995" s="81"/>
      <c r="BN3995" s="81"/>
      <c r="BO3995" s="81"/>
      <c r="BP3995" s="81"/>
      <c r="BQ3995" s="81"/>
      <c r="BR3995" s="81"/>
      <c r="BS3995" s="81"/>
      <c r="BT3995" s="81"/>
    </row>
    <row r="3996" spans="65:72" x14ac:dyDescent="0.25">
      <c r="BM3996" s="81"/>
      <c r="BN3996" s="81"/>
      <c r="BO3996" s="81"/>
      <c r="BP3996" s="81"/>
      <c r="BQ3996" s="81"/>
      <c r="BR3996" s="81"/>
      <c r="BS3996" s="81"/>
      <c r="BT3996" s="81"/>
    </row>
    <row r="3997" spans="65:72" x14ac:dyDescent="0.25">
      <c r="BM3997" s="81"/>
      <c r="BN3997" s="81"/>
      <c r="BO3997" s="81"/>
      <c r="BP3997" s="81"/>
      <c r="BQ3997" s="81"/>
      <c r="BR3997" s="81"/>
      <c r="BS3997" s="81"/>
      <c r="BT3997" s="81"/>
    </row>
    <row r="3998" spans="65:72" x14ac:dyDescent="0.25">
      <c r="BM3998" s="81"/>
      <c r="BN3998" s="81"/>
      <c r="BO3998" s="81"/>
      <c r="BP3998" s="81"/>
      <c r="BQ3998" s="81"/>
      <c r="BR3998" s="81"/>
      <c r="BS3998" s="81"/>
      <c r="BT3998" s="81"/>
    </row>
    <row r="3999" spans="65:72" x14ac:dyDescent="0.25">
      <c r="BM3999" s="81"/>
      <c r="BN3999" s="81"/>
      <c r="BO3999" s="81"/>
      <c r="BP3999" s="81"/>
      <c r="BQ3999" s="81"/>
      <c r="BR3999" s="81"/>
      <c r="BS3999" s="81"/>
      <c r="BT3999" s="81"/>
    </row>
    <row r="4000" spans="65:72" x14ac:dyDescent="0.25">
      <c r="BM4000" s="81"/>
      <c r="BN4000" s="81"/>
      <c r="BO4000" s="81"/>
      <c r="BP4000" s="81"/>
      <c r="BQ4000" s="81"/>
      <c r="BR4000" s="81"/>
      <c r="BS4000" s="81"/>
      <c r="BT4000" s="81"/>
    </row>
    <row r="4001" spans="65:72" x14ac:dyDescent="0.25">
      <c r="BM4001" s="81"/>
      <c r="BN4001" s="81"/>
      <c r="BO4001" s="81"/>
      <c r="BP4001" s="81"/>
      <c r="BQ4001" s="81"/>
      <c r="BR4001" s="81"/>
      <c r="BS4001" s="81"/>
      <c r="BT4001" s="81"/>
    </row>
    <row r="4002" spans="65:72" x14ac:dyDescent="0.25">
      <c r="BM4002" s="81"/>
      <c r="BN4002" s="81"/>
      <c r="BO4002" s="81"/>
      <c r="BP4002" s="81"/>
      <c r="BQ4002" s="81"/>
      <c r="BR4002" s="81"/>
      <c r="BS4002" s="81"/>
      <c r="BT4002" s="81"/>
    </row>
    <row r="4003" spans="65:72" x14ac:dyDescent="0.25">
      <c r="BM4003" s="81"/>
      <c r="BN4003" s="81"/>
      <c r="BO4003" s="81"/>
      <c r="BP4003" s="81"/>
      <c r="BQ4003" s="81"/>
      <c r="BR4003" s="81"/>
      <c r="BS4003" s="81"/>
      <c r="BT4003" s="81"/>
    </row>
    <row r="4004" spans="65:72" x14ac:dyDescent="0.25">
      <c r="BM4004" s="81"/>
      <c r="BN4004" s="81"/>
      <c r="BO4004" s="81"/>
      <c r="BP4004" s="81"/>
      <c r="BQ4004" s="81"/>
      <c r="BR4004" s="81"/>
      <c r="BS4004" s="81"/>
      <c r="BT4004" s="81"/>
    </row>
    <row r="4005" spans="65:72" x14ac:dyDescent="0.25">
      <c r="BM4005" s="81"/>
      <c r="BN4005" s="81"/>
      <c r="BO4005" s="81"/>
      <c r="BP4005" s="81"/>
      <c r="BQ4005" s="81"/>
      <c r="BR4005" s="81"/>
      <c r="BS4005" s="81"/>
      <c r="BT4005" s="81"/>
    </row>
    <row r="4006" spans="65:72" x14ac:dyDescent="0.25">
      <c r="BM4006" s="81"/>
      <c r="BN4006" s="81"/>
      <c r="BO4006" s="81"/>
      <c r="BP4006" s="81"/>
      <c r="BQ4006" s="81"/>
      <c r="BR4006" s="81"/>
      <c r="BS4006" s="81"/>
      <c r="BT4006" s="81"/>
    </row>
    <row r="4007" spans="65:72" x14ac:dyDescent="0.25">
      <c r="BM4007" s="81"/>
      <c r="BN4007" s="81"/>
      <c r="BO4007" s="81"/>
      <c r="BP4007" s="81"/>
      <c r="BQ4007" s="81"/>
      <c r="BR4007" s="81"/>
      <c r="BS4007" s="81"/>
      <c r="BT4007" s="81"/>
    </row>
    <row r="4008" spans="65:72" x14ac:dyDescent="0.25">
      <c r="BM4008" s="81"/>
      <c r="BN4008" s="81"/>
      <c r="BO4008" s="81"/>
      <c r="BP4008" s="81"/>
      <c r="BQ4008" s="81"/>
      <c r="BR4008" s="81"/>
      <c r="BS4008" s="81"/>
      <c r="BT4008" s="81"/>
    </row>
    <row r="4009" spans="65:72" x14ac:dyDescent="0.25">
      <c r="BM4009" s="81"/>
      <c r="BN4009" s="81"/>
      <c r="BO4009" s="81"/>
      <c r="BP4009" s="81"/>
      <c r="BQ4009" s="81"/>
      <c r="BR4009" s="81"/>
      <c r="BS4009" s="81"/>
      <c r="BT4009" s="81"/>
    </row>
    <row r="4010" spans="65:72" x14ac:dyDescent="0.25">
      <c r="BM4010" s="81"/>
      <c r="BN4010" s="81"/>
      <c r="BO4010" s="81"/>
      <c r="BP4010" s="81"/>
      <c r="BQ4010" s="81"/>
      <c r="BR4010" s="81"/>
      <c r="BS4010" s="81"/>
      <c r="BT4010" s="81"/>
    </row>
    <row r="4011" spans="65:72" x14ac:dyDescent="0.25">
      <c r="BM4011" s="81"/>
      <c r="BN4011" s="81"/>
      <c r="BO4011" s="81"/>
      <c r="BP4011" s="81"/>
      <c r="BQ4011" s="81"/>
      <c r="BR4011" s="81"/>
      <c r="BS4011" s="81"/>
      <c r="BT4011" s="81"/>
    </row>
    <row r="4012" spans="65:72" x14ac:dyDescent="0.25">
      <c r="BM4012" s="81"/>
      <c r="BN4012" s="81"/>
      <c r="BO4012" s="81"/>
      <c r="BP4012" s="81"/>
      <c r="BQ4012" s="81"/>
      <c r="BR4012" s="81"/>
      <c r="BS4012" s="81"/>
      <c r="BT4012" s="81"/>
    </row>
    <row r="4013" spans="65:72" x14ac:dyDescent="0.25">
      <c r="BM4013" s="81"/>
      <c r="BN4013" s="81"/>
      <c r="BO4013" s="81"/>
      <c r="BP4013" s="81"/>
      <c r="BQ4013" s="81"/>
      <c r="BR4013" s="81"/>
      <c r="BS4013" s="81"/>
      <c r="BT4013" s="81"/>
    </row>
    <row r="4014" spans="65:72" x14ac:dyDescent="0.25">
      <c r="BM4014" s="81"/>
      <c r="BN4014" s="81"/>
      <c r="BO4014" s="81"/>
      <c r="BP4014" s="81"/>
      <c r="BQ4014" s="81"/>
      <c r="BR4014" s="81"/>
      <c r="BS4014" s="81"/>
      <c r="BT4014" s="81"/>
    </row>
    <row r="4015" spans="65:72" x14ac:dyDescent="0.25">
      <c r="BM4015" s="81"/>
      <c r="BN4015" s="81"/>
      <c r="BO4015" s="81"/>
      <c r="BP4015" s="81"/>
      <c r="BQ4015" s="81"/>
      <c r="BR4015" s="81"/>
      <c r="BS4015" s="81"/>
      <c r="BT4015" s="81"/>
    </row>
    <row r="4016" spans="65:72" x14ac:dyDescent="0.25">
      <c r="BM4016" s="81"/>
      <c r="BN4016" s="81"/>
      <c r="BO4016" s="81"/>
      <c r="BP4016" s="81"/>
      <c r="BQ4016" s="81"/>
      <c r="BR4016" s="81"/>
      <c r="BS4016" s="81"/>
      <c r="BT4016" s="81"/>
    </row>
    <row r="4017" spans="65:72" x14ac:dyDescent="0.25">
      <c r="BM4017" s="81"/>
      <c r="BN4017" s="81"/>
      <c r="BO4017" s="81"/>
      <c r="BP4017" s="81"/>
      <c r="BQ4017" s="81"/>
      <c r="BR4017" s="81"/>
      <c r="BS4017" s="81"/>
      <c r="BT4017" s="81"/>
    </row>
    <row r="4018" spans="65:72" x14ac:dyDescent="0.25">
      <c r="BM4018" s="81"/>
      <c r="BN4018" s="81"/>
      <c r="BO4018" s="81"/>
      <c r="BP4018" s="81"/>
      <c r="BQ4018" s="81"/>
      <c r="BR4018" s="81"/>
      <c r="BS4018" s="81"/>
      <c r="BT4018" s="81"/>
    </row>
    <row r="4019" spans="65:72" x14ac:dyDescent="0.25">
      <c r="BM4019" s="81"/>
      <c r="BN4019" s="81"/>
      <c r="BO4019" s="81"/>
      <c r="BP4019" s="81"/>
      <c r="BQ4019" s="81"/>
      <c r="BR4019" s="81"/>
      <c r="BS4019" s="81"/>
      <c r="BT4019" s="81"/>
    </row>
    <row r="4020" spans="65:72" x14ac:dyDescent="0.25">
      <c r="BM4020" s="81"/>
      <c r="BN4020" s="81"/>
      <c r="BO4020" s="81"/>
      <c r="BP4020" s="81"/>
      <c r="BQ4020" s="81"/>
      <c r="BR4020" s="81"/>
      <c r="BS4020" s="81"/>
      <c r="BT4020" s="81"/>
    </row>
    <row r="4021" spans="65:72" x14ac:dyDescent="0.25">
      <c r="BM4021" s="81"/>
      <c r="BN4021" s="81"/>
      <c r="BO4021" s="81"/>
      <c r="BP4021" s="81"/>
      <c r="BQ4021" s="81"/>
      <c r="BR4021" s="81"/>
      <c r="BS4021" s="81"/>
      <c r="BT4021" s="81"/>
    </row>
    <row r="4022" spans="65:72" x14ac:dyDescent="0.25">
      <c r="BM4022" s="81"/>
      <c r="BN4022" s="81"/>
      <c r="BO4022" s="81"/>
      <c r="BP4022" s="81"/>
      <c r="BQ4022" s="81"/>
      <c r="BR4022" s="81"/>
      <c r="BS4022" s="81"/>
      <c r="BT4022" s="81"/>
    </row>
    <row r="4023" spans="65:72" x14ac:dyDescent="0.25">
      <c r="BM4023" s="81"/>
      <c r="BN4023" s="81"/>
      <c r="BO4023" s="81"/>
      <c r="BP4023" s="81"/>
      <c r="BQ4023" s="81"/>
      <c r="BR4023" s="81"/>
      <c r="BS4023" s="81"/>
      <c r="BT4023" s="81"/>
    </row>
    <row r="4024" spans="65:72" x14ac:dyDescent="0.25">
      <c r="BM4024" s="81"/>
      <c r="BN4024" s="81"/>
      <c r="BO4024" s="81"/>
      <c r="BP4024" s="81"/>
      <c r="BQ4024" s="81"/>
      <c r="BR4024" s="81"/>
      <c r="BS4024" s="81"/>
      <c r="BT4024" s="81"/>
    </row>
    <row r="4025" spans="65:72" x14ac:dyDescent="0.25">
      <c r="BM4025" s="81"/>
      <c r="BN4025" s="81"/>
      <c r="BO4025" s="81"/>
      <c r="BP4025" s="81"/>
      <c r="BQ4025" s="81"/>
      <c r="BR4025" s="81"/>
      <c r="BS4025" s="81"/>
      <c r="BT4025" s="81"/>
    </row>
    <row r="4026" spans="65:72" x14ac:dyDescent="0.25">
      <c r="BM4026" s="81"/>
      <c r="BN4026" s="81"/>
      <c r="BO4026" s="81"/>
      <c r="BP4026" s="81"/>
      <c r="BQ4026" s="81"/>
      <c r="BR4026" s="81"/>
      <c r="BS4026" s="81"/>
      <c r="BT4026" s="81"/>
    </row>
    <row r="4027" spans="65:72" x14ac:dyDescent="0.25">
      <c r="BM4027" s="81"/>
      <c r="BN4027" s="81"/>
      <c r="BO4027" s="81"/>
      <c r="BP4027" s="81"/>
      <c r="BQ4027" s="81"/>
      <c r="BR4027" s="81"/>
      <c r="BS4027" s="81"/>
      <c r="BT4027" s="81"/>
    </row>
    <row r="4028" spans="65:72" x14ac:dyDescent="0.25">
      <c r="BM4028" s="81"/>
      <c r="BN4028" s="81"/>
      <c r="BO4028" s="81"/>
      <c r="BP4028" s="81"/>
      <c r="BQ4028" s="81"/>
      <c r="BR4028" s="81"/>
      <c r="BS4028" s="81"/>
      <c r="BT4028" s="81"/>
    </row>
    <row r="4029" spans="65:72" x14ac:dyDescent="0.25">
      <c r="BM4029" s="81"/>
      <c r="BN4029" s="81"/>
      <c r="BO4029" s="81"/>
      <c r="BP4029" s="81"/>
      <c r="BQ4029" s="81"/>
      <c r="BR4029" s="81"/>
      <c r="BS4029" s="81"/>
      <c r="BT4029" s="81"/>
    </row>
    <row r="4030" spans="65:72" x14ac:dyDescent="0.25">
      <c r="BM4030" s="81"/>
      <c r="BN4030" s="81"/>
      <c r="BO4030" s="81"/>
      <c r="BP4030" s="81"/>
      <c r="BQ4030" s="81"/>
      <c r="BR4030" s="81"/>
      <c r="BS4030" s="81"/>
      <c r="BT4030" s="81"/>
    </row>
    <row r="4031" spans="65:72" x14ac:dyDescent="0.25">
      <c r="BM4031" s="81"/>
      <c r="BN4031" s="81"/>
      <c r="BO4031" s="81"/>
      <c r="BP4031" s="81"/>
      <c r="BQ4031" s="81"/>
      <c r="BR4031" s="81"/>
      <c r="BS4031" s="81"/>
      <c r="BT4031" s="81"/>
    </row>
    <row r="4032" spans="65:72" x14ac:dyDescent="0.25">
      <c r="BM4032" s="81"/>
      <c r="BN4032" s="81"/>
      <c r="BO4032" s="81"/>
      <c r="BP4032" s="81"/>
      <c r="BQ4032" s="81"/>
      <c r="BR4032" s="81"/>
      <c r="BS4032" s="81"/>
      <c r="BT4032" s="81"/>
    </row>
    <row r="4033" spans="65:72" x14ac:dyDescent="0.25">
      <c r="BM4033" s="81"/>
      <c r="BN4033" s="81"/>
      <c r="BO4033" s="81"/>
      <c r="BP4033" s="81"/>
      <c r="BQ4033" s="81"/>
      <c r="BR4033" s="81"/>
      <c r="BS4033" s="81"/>
      <c r="BT4033" s="81"/>
    </row>
    <row r="4034" spans="65:72" x14ac:dyDescent="0.25">
      <c r="BM4034" s="81"/>
      <c r="BN4034" s="81"/>
      <c r="BO4034" s="81"/>
      <c r="BP4034" s="81"/>
      <c r="BQ4034" s="81"/>
      <c r="BR4034" s="81"/>
      <c r="BS4034" s="81"/>
      <c r="BT4034" s="81"/>
    </row>
    <row r="4035" spans="65:72" x14ac:dyDescent="0.25">
      <c r="BM4035" s="81"/>
      <c r="BN4035" s="81"/>
      <c r="BO4035" s="81"/>
      <c r="BP4035" s="81"/>
      <c r="BQ4035" s="81"/>
      <c r="BR4035" s="81"/>
      <c r="BS4035" s="81"/>
      <c r="BT4035" s="81"/>
    </row>
    <row r="4036" spans="65:72" x14ac:dyDescent="0.25">
      <c r="BM4036" s="81"/>
      <c r="BN4036" s="81"/>
      <c r="BO4036" s="81"/>
      <c r="BP4036" s="81"/>
      <c r="BQ4036" s="81"/>
      <c r="BR4036" s="81"/>
      <c r="BS4036" s="81"/>
      <c r="BT4036" s="81"/>
    </row>
    <row r="4037" spans="65:72" x14ac:dyDescent="0.25">
      <c r="BM4037" s="81"/>
      <c r="BN4037" s="81"/>
      <c r="BO4037" s="81"/>
      <c r="BP4037" s="81"/>
      <c r="BQ4037" s="81"/>
      <c r="BR4037" s="81"/>
      <c r="BS4037" s="81"/>
      <c r="BT4037" s="81"/>
    </row>
    <row r="4038" spans="65:72" x14ac:dyDescent="0.25">
      <c r="BM4038" s="81"/>
      <c r="BN4038" s="81"/>
      <c r="BO4038" s="81"/>
      <c r="BP4038" s="81"/>
      <c r="BQ4038" s="81"/>
      <c r="BR4038" s="81"/>
      <c r="BS4038" s="81"/>
      <c r="BT4038" s="81"/>
    </row>
    <row r="4039" spans="65:72" x14ac:dyDescent="0.25">
      <c r="BM4039" s="81"/>
      <c r="BN4039" s="81"/>
      <c r="BO4039" s="81"/>
      <c r="BP4039" s="81"/>
      <c r="BQ4039" s="81"/>
      <c r="BR4039" s="81"/>
      <c r="BS4039" s="81"/>
      <c r="BT4039" s="81"/>
    </row>
    <row r="4040" spans="65:72" x14ac:dyDescent="0.25">
      <c r="BM4040" s="81"/>
      <c r="BN4040" s="81"/>
      <c r="BO4040" s="81"/>
      <c r="BP4040" s="81"/>
      <c r="BQ4040" s="81"/>
      <c r="BR4040" s="81"/>
      <c r="BS4040" s="81"/>
      <c r="BT4040" s="81"/>
    </row>
    <row r="4041" spans="65:72" x14ac:dyDescent="0.25">
      <c r="BM4041" s="81"/>
      <c r="BN4041" s="81"/>
      <c r="BO4041" s="81"/>
      <c r="BP4041" s="81"/>
      <c r="BQ4041" s="81"/>
      <c r="BR4041" s="81"/>
      <c r="BS4041" s="81"/>
      <c r="BT4041" s="81"/>
    </row>
    <row r="4042" spans="65:72" x14ac:dyDescent="0.25">
      <c r="BM4042" s="81"/>
      <c r="BN4042" s="81"/>
      <c r="BO4042" s="81"/>
      <c r="BP4042" s="81"/>
      <c r="BQ4042" s="81"/>
      <c r="BR4042" s="81"/>
      <c r="BS4042" s="81"/>
      <c r="BT4042" s="81"/>
    </row>
    <row r="4043" spans="65:72" x14ac:dyDescent="0.25">
      <c r="BM4043" s="81"/>
      <c r="BN4043" s="81"/>
      <c r="BO4043" s="81"/>
      <c r="BP4043" s="81"/>
      <c r="BQ4043" s="81"/>
      <c r="BR4043" s="81"/>
      <c r="BS4043" s="81"/>
      <c r="BT4043" s="81"/>
    </row>
    <row r="4044" spans="65:72" x14ac:dyDescent="0.25">
      <c r="BM4044" s="81"/>
      <c r="BN4044" s="81"/>
      <c r="BO4044" s="81"/>
      <c r="BP4044" s="81"/>
      <c r="BQ4044" s="81"/>
      <c r="BR4044" s="81"/>
      <c r="BS4044" s="81"/>
      <c r="BT4044" s="81"/>
    </row>
    <row r="4045" spans="65:72" x14ac:dyDescent="0.25">
      <c r="BM4045" s="81"/>
      <c r="BN4045" s="81"/>
      <c r="BO4045" s="81"/>
      <c r="BP4045" s="81"/>
      <c r="BQ4045" s="81"/>
      <c r="BR4045" s="81"/>
      <c r="BS4045" s="81"/>
      <c r="BT4045" s="81"/>
    </row>
    <row r="4046" spans="65:72" x14ac:dyDescent="0.25">
      <c r="BM4046" s="81"/>
      <c r="BN4046" s="81"/>
      <c r="BO4046" s="81"/>
      <c r="BP4046" s="81"/>
      <c r="BQ4046" s="81"/>
      <c r="BR4046" s="81"/>
      <c r="BS4046" s="81"/>
      <c r="BT4046" s="81"/>
    </row>
    <row r="4047" spans="65:72" x14ac:dyDescent="0.25">
      <c r="BM4047" s="81"/>
      <c r="BN4047" s="81"/>
      <c r="BO4047" s="81"/>
      <c r="BP4047" s="81"/>
      <c r="BQ4047" s="81"/>
      <c r="BR4047" s="81"/>
      <c r="BS4047" s="81"/>
      <c r="BT4047" s="81"/>
    </row>
    <row r="4048" spans="65:72" x14ac:dyDescent="0.25">
      <c r="BM4048" s="81"/>
      <c r="BN4048" s="81"/>
      <c r="BO4048" s="81"/>
      <c r="BP4048" s="81"/>
      <c r="BQ4048" s="81"/>
      <c r="BR4048" s="81"/>
      <c r="BS4048" s="81"/>
      <c r="BT4048" s="81"/>
    </row>
    <row r="4049" spans="65:72" x14ac:dyDescent="0.25">
      <c r="BM4049" s="81"/>
      <c r="BN4049" s="81"/>
      <c r="BO4049" s="81"/>
      <c r="BP4049" s="81"/>
      <c r="BQ4049" s="81"/>
      <c r="BR4049" s="81"/>
      <c r="BS4049" s="81"/>
      <c r="BT4049" s="81"/>
    </row>
    <row r="4050" spans="65:72" x14ac:dyDescent="0.25">
      <c r="BM4050" s="81"/>
      <c r="BN4050" s="81"/>
      <c r="BO4050" s="81"/>
      <c r="BP4050" s="81"/>
      <c r="BQ4050" s="81"/>
      <c r="BR4050" s="81"/>
      <c r="BS4050" s="81"/>
      <c r="BT4050" s="81"/>
    </row>
    <row r="4051" spans="65:72" x14ac:dyDescent="0.25">
      <c r="BM4051" s="81"/>
      <c r="BN4051" s="81"/>
      <c r="BO4051" s="81"/>
      <c r="BP4051" s="81"/>
      <c r="BQ4051" s="81"/>
      <c r="BR4051" s="81"/>
      <c r="BS4051" s="81"/>
      <c r="BT4051" s="81"/>
    </row>
    <row r="4052" spans="65:72" x14ac:dyDescent="0.25">
      <c r="BM4052" s="81"/>
      <c r="BN4052" s="81"/>
      <c r="BO4052" s="81"/>
      <c r="BP4052" s="81"/>
      <c r="BQ4052" s="81"/>
      <c r="BR4052" s="81"/>
      <c r="BS4052" s="81"/>
      <c r="BT4052" s="81"/>
    </row>
    <row r="4053" spans="65:72" x14ac:dyDescent="0.25">
      <c r="BM4053" s="81"/>
      <c r="BN4053" s="81"/>
      <c r="BO4053" s="81"/>
      <c r="BP4053" s="81"/>
      <c r="BQ4053" s="81"/>
      <c r="BR4053" s="81"/>
      <c r="BS4053" s="81"/>
      <c r="BT4053" s="81"/>
    </row>
    <row r="4054" spans="65:72" x14ac:dyDescent="0.25">
      <c r="BM4054" s="81"/>
      <c r="BN4054" s="81"/>
      <c r="BO4054" s="81"/>
      <c r="BP4054" s="81"/>
      <c r="BQ4054" s="81"/>
      <c r="BR4054" s="81"/>
      <c r="BS4054" s="81"/>
      <c r="BT4054" s="81"/>
    </row>
    <row r="4055" spans="65:72" x14ac:dyDescent="0.25">
      <c r="BM4055" s="81"/>
      <c r="BN4055" s="81"/>
      <c r="BO4055" s="81"/>
      <c r="BP4055" s="81"/>
      <c r="BQ4055" s="81"/>
      <c r="BR4055" s="81"/>
      <c r="BS4055" s="81"/>
      <c r="BT4055" s="81"/>
    </row>
    <row r="4056" spans="65:72" x14ac:dyDescent="0.25">
      <c r="BM4056" s="81"/>
      <c r="BN4056" s="81"/>
      <c r="BO4056" s="81"/>
      <c r="BP4056" s="81"/>
      <c r="BQ4056" s="81"/>
      <c r="BR4056" s="81"/>
      <c r="BS4056" s="81"/>
      <c r="BT4056" s="81"/>
    </row>
    <row r="4057" spans="65:72" x14ac:dyDescent="0.25">
      <c r="BM4057" s="81"/>
      <c r="BN4057" s="81"/>
      <c r="BO4057" s="81"/>
      <c r="BP4057" s="81"/>
      <c r="BQ4057" s="81"/>
      <c r="BR4057" s="81"/>
      <c r="BS4057" s="81"/>
      <c r="BT4057" s="81"/>
    </row>
    <row r="4058" spans="65:72" x14ac:dyDescent="0.25">
      <c r="BM4058" s="81"/>
      <c r="BN4058" s="81"/>
      <c r="BO4058" s="81"/>
      <c r="BP4058" s="81"/>
      <c r="BQ4058" s="81"/>
      <c r="BR4058" s="81"/>
      <c r="BS4058" s="81"/>
      <c r="BT4058" s="81"/>
    </row>
    <row r="4059" spans="65:72" x14ac:dyDescent="0.25">
      <c r="BM4059" s="81"/>
      <c r="BN4059" s="81"/>
      <c r="BO4059" s="81"/>
      <c r="BP4059" s="81"/>
      <c r="BQ4059" s="81"/>
      <c r="BR4059" s="81"/>
      <c r="BS4059" s="81"/>
      <c r="BT4059" s="81"/>
    </row>
    <row r="4060" spans="65:72" x14ac:dyDescent="0.25">
      <c r="BM4060" s="81"/>
      <c r="BN4060" s="81"/>
      <c r="BO4060" s="81"/>
      <c r="BP4060" s="81"/>
      <c r="BQ4060" s="81"/>
      <c r="BR4060" s="81"/>
      <c r="BS4060" s="81"/>
      <c r="BT4060" s="81"/>
    </row>
    <row r="4061" spans="65:72" x14ac:dyDescent="0.25">
      <c r="BM4061" s="81"/>
      <c r="BN4061" s="81"/>
      <c r="BO4061" s="81"/>
      <c r="BP4061" s="81"/>
      <c r="BQ4061" s="81"/>
      <c r="BR4061" s="81"/>
      <c r="BS4061" s="81"/>
      <c r="BT4061" s="81"/>
    </row>
    <row r="4062" spans="65:72" x14ac:dyDescent="0.25">
      <c r="BM4062" s="81"/>
      <c r="BN4062" s="81"/>
      <c r="BO4062" s="81"/>
      <c r="BP4062" s="81"/>
      <c r="BQ4062" s="81"/>
      <c r="BR4062" s="81"/>
      <c r="BS4062" s="81"/>
      <c r="BT4062" s="81"/>
    </row>
    <row r="4063" spans="65:72" x14ac:dyDescent="0.25">
      <c r="BM4063" s="81"/>
      <c r="BN4063" s="81"/>
      <c r="BO4063" s="81"/>
      <c r="BP4063" s="81"/>
      <c r="BQ4063" s="81"/>
      <c r="BR4063" s="81"/>
      <c r="BS4063" s="81"/>
      <c r="BT4063" s="81"/>
    </row>
    <row r="4064" spans="65:72" x14ac:dyDescent="0.25">
      <c r="BM4064" s="81"/>
      <c r="BN4064" s="81"/>
      <c r="BO4064" s="81"/>
      <c r="BP4064" s="81"/>
      <c r="BQ4064" s="81"/>
      <c r="BR4064" s="81"/>
      <c r="BS4064" s="81"/>
      <c r="BT4064" s="81"/>
    </row>
    <row r="4065" spans="65:72" x14ac:dyDescent="0.25">
      <c r="BM4065" s="81"/>
      <c r="BN4065" s="81"/>
      <c r="BO4065" s="81"/>
      <c r="BP4065" s="81"/>
      <c r="BQ4065" s="81"/>
      <c r="BR4065" s="81"/>
      <c r="BS4065" s="81"/>
      <c r="BT4065" s="81"/>
    </row>
    <row r="4066" spans="65:72" x14ac:dyDescent="0.25">
      <c r="BM4066" s="81"/>
      <c r="BN4066" s="81"/>
      <c r="BO4066" s="81"/>
      <c r="BP4066" s="81"/>
      <c r="BQ4066" s="81"/>
      <c r="BR4066" s="81"/>
      <c r="BS4066" s="81"/>
      <c r="BT4066" s="81"/>
    </row>
    <row r="4067" spans="65:72" x14ac:dyDescent="0.25">
      <c r="BM4067" s="81"/>
      <c r="BN4067" s="81"/>
      <c r="BO4067" s="81"/>
      <c r="BP4067" s="81"/>
      <c r="BQ4067" s="81"/>
      <c r="BR4067" s="81"/>
      <c r="BS4067" s="81"/>
      <c r="BT4067" s="81"/>
    </row>
    <row r="4068" spans="65:72" x14ac:dyDescent="0.25">
      <c r="BM4068" s="81"/>
      <c r="BN4068" s="81"/>
      <c r="BO4068" s="81"/>
      <c r="BP4068" s="81"/>
      <c r="BQ4068" s="81"/>
      <c r="BR4068" s="81"/>
      <c r="BS4068" s="81"/>
      <c r="BT4068" s="81"/>
    </row>
    <row r="4069" spans="65:72" x14ac:dyDescent="0.25">
      <c r="BM4069" s="81"/>
      <c r="BN4069" s="81"/>
      <c r="BO4069" s="81"/>
      <c r="BP4069" s="81"/>
      <c r="BQ4069" s="81"/>
      <c r="BR4069" s="81"/>
      <c r="BS4069" s="81"/>
      <c r="BT4069" s="81"/>
    </row>
    <row r="4070" spans="65:72" x14ac:dyDescent="0.25">
      <c r="BM4070" s="81"/>
      <c r="BN4070" s="81"/>
      <c r="BO4070" s="81"/>
      <c r="BP4070" s="81"/>
      <c r="BQ4070" s="81"/>
      <c r="BR4070" s="81"/>
      <c r="BS4070" s="81"/>
      <c r="BT4070" s="81"/>
    </row>
    <row r="4071" spans="65:72" x14ac:dyDescent="0.25">
      <c r="BM4071" s="81"/>
      <c r="BN4071" s="81"/>
      <c r="BO4071" s="81"/>
      <c r="BP4071" s="81"/>
      <c r="BQ4071" s="81"/>
      <c r="BR4071" s="81"/>
      <c r="BS4071" s="81"/>
      <c r="BT4071" s="81"/>
    </row>
    <row r="4072" spans="65:72" x14ac:dyDescent="0.25">
      <c r="BM4072" s="81"/>
      <c r="BN4072" s="81"/>
      <c r="BO4072" s="81"/>
      <c r="BP4072" s="81"/>
      <c r="BQ4072" s="81"/>
      <c r="BR4072" s="81"/>
      <c r="BS4072" s="81"/>
      <c r="BT4072" s="81"/>
    </row>
    <row r="4073" spans="65:72" x14ac:dyDescent="0.25">
      <c r="BM4073" s="81"/>
      <c r="BN4073" s="81"/>
      <c r="BO4073" s="81"/>
      <c r="BP4073" s="81"/>
      <c r="BQ4073" s="81"/>
      <c r="BR4073" s="81"/>
      <c r="BS4073" s="81"/>
      <c r="BT4073" s="81"/>
    </row>
    <row r="4074" spans="65:72" x14ac:dyDescent="0.25">
      <c r="BM4074" s="81"/>
      <c r="BN4074" s="81"/>
      <c r="BO4074" s="81"/>
      <c r="BP4074" s="81"/>
      <c r="BQ4074" s="81"/>
      <c r="BR4074" s="81"/>
      <c r="BS4074" s="81"/>
      <c r="BT4074" s="81"/>
    </row>
    <row r="4075" spans="65:72" x14ac:dyDescent="0.25">
      <c r="BM4075" s="81"/>
      <c r="BN4075" s="81"/>
      <c r="BO4075" s="81"/>
      <c r="BP4075" s="81"/>
      <c r="BQ4075" s="81"/>
      <c r="BR4075" s="81"/>
      <c r="BS4075" s="81"/>
      <c r="BT4075" s="81"/>
    </row>
    <row r="4076" spans="65:72" x14ac:dyDescent="0.25">
      <c r="BM4076" s="81"/>
      <c r="BN4076" s="81"/>
      <c r="BO4076" s="81"/>
      <c r="BP4076" s="81"/>
      <c r="BQ4076" s="81"/>
      <c r="BR4076" s="81"/>
      <c r="BS4076" s="81"/>
      <c r="BT4076" s="81"/>
    </row>
    <row r="4077" spans="65:72" x14ac:dyDescent="0.25">
      <c r="BM4077" s="81"/>
      <c r="BN4077" s="81"/>
      <c r="BO4077" s="81"/>
      <c r="BP4077" s="81"/>
      <c r="BQ4077" s="81"/>
      <c r="BR4077" s="81"/>
      <c r="BS4077" s="81"/>
      <c r="BT4077" s="81"/>
    </row>
    <row r="4078" spans="65:72" x14ac:dyDescent="0.25">
      <c r="BM4078" s="81"/>
      <c r="BN4078" s="81"/>
      <c r="BO4078" s="81"/>
      <c r="BP4078" s="81"/>
      <c r="BQ4078" s="81"/>
      <c r="BR4078" s="81"/>
      <c r="BS4078" s="81"/>
      <c r="BT4078" s="81"/>
    </row>
    <row r="4079" spans="65:72" x14ac:dyDescent="0.25">
      <c r="BM4079" s="81"/>
      <c r="BN4079" s="81"/>
      <c r="BO4079" s="81"/>
      <c r="BP4079" s="81"/>
      <c r="BQ4079" s="81"/>
      <c r="BR4079" s="81"/>
      <c r="BS4079" s="81"/>
      <c r="BT4079" s="81"/>
    </row>
    <row r="4080" spans="65:72" x14ac:dyDescent="0.25">
      <c r="BM4080" s="81"/>
      <c r="BN4080" s="81"/>
      <c r="BO4080" s="81"/>
      <c r="BP4080" s="81"/>
      <c r="BQ4080" s="81"/>
      <c r="BR4080" s="81"/>
      <c r="BS4080" s="81"/>
      <c r="BT4080" s="81"/>
    </row>
    <row r="4081" spans="65:72" x14ac:dyDescent="0.25">
      <c r="BM4081" s="81"/>
      <c r="BN4081" s="81"/>
      <c r="BO4081" s="81"/>
      <c r="BP4081" s="81"/>
      <c r="BQ4081" s="81"/>
      <c r="BR4081" s="81"/>
      <c r="BS4081" s="81"/>
      <c r="BT4081" s="81"/>
    </row>
    <row r="4082" spans="65:72" x14ac:dyDescent="0.25">
      <c r="BM4082" s="81"/>
      <c r="BN4082" s="81"/>
      <c r="BO4082" s="81"/>
      <c r="BP4082" s="81"/>
      <c r="BQ4082" s="81"/>
      <c r="BR4082" s="81"/>
      <c r="BS4082" s="81"/>
      <c r="BT4082" s="81"/>
    </row>
    <row r="4083" spans="65:72" x14ac:dyDescent="0.25">
      <c r="BM4083" s="81"/>
      <c r="BN4083" s="81"/>
      <c r="BO4083" s="81"/>
      <c r="BP4083" s="81"/>
      <c r="BQ4083" s="81"/>
      <c r="BR4083" s="81"/>
      <c r="BS4083" s="81"/>
      <c r="BT4083" s="81"/>
    </row>
    <row r="4084" spans="65:72" x14ac:dyDescent="0.25">
      <c r="BM4084" s="81"/>
      <c r="BN4084" s="81"/>
      <c r="BO4084" s="81"/>
      <c r="BP4084" s="81"/>
      <c r="BQ4084" s="81"/>
      <c r="BR4084" s="81"/>
      <c r="BS4084" s="81"/>
      <c r="BT4084" s="81"/>
    </row>
    <row r="4085" spans="65:72" x14ac:dyDescent="0.25">
      <c r="BM4085" s="81"/>
      <c r="BN4085" s="81"/>
      <c r="BO4085" s="81"/>
      <c r="BP4085" s="81"/>
      <c r="BQ4085" s="81"/>
      <c r="BR4085" s="81"/>
      <c r="BS4085" s="81"/>
      <c r="BT4085" s="81"/>
    </row>
    <row r="4086" spans="65:72" x14ac:dyDescent="0.25">
      <c r="BM4086" s="81"/>
      <c r="BN4086" s="81"/>
      <c r="BO4086" s="81"/>
      <c r="BP4086" s="81"/>
      <c r="BQ4086" s="81"/>
      <c r="BR4086" s="81"/>
      <c r="BS4086" s="81"/>
      <c r="BT4086" s="81"/>
    </row>
    <row r="4087" spans="65:72" x14ac:dyDescent="0.25">
      <c r="BM4087" s="81"/>
      <c r="BN4087" s="81"/>
      <c r="BO4087" s="81"/>
      <c r="BP4087" s="81"/>
      <c r="BQ4087" s="81"/>
      <c r="BR4087" s="81"/>
      <c r="BS4087" s="81"/>
      <c r="BT4087" s="81"/>
    </row>
    <row r="4088" spans="65:72" x14ac:dyDescent="0.25">
      <c r="BM4088" s="81"/>
      <c r="BN4088" s="81"/>
      <c r="BO4088" s="81"/>
      <c r="BP4088" s="81"/>
      <c r="BQ4088" s="81"/>
      <c r="BR4088" s="81"/>
      <c r="BS4088" s="81"/>
      <c r="BT4088" s="81"/>
    </row>
    <row r="4089" spans="65:72" x14ac:dyDescent="0.25">
      <c r="BM4089" s="81"/>
      <c r="BN4089" s="81"/>
      <c r="BO4089" s="81"/>
      <c r="BP4089" s="81"/>
      <c r="BQ4089" s="81"/>
      <c r="BR4089" s="81"/>
      <c r="BS4089" s="81"/>
      <c r="BT4089" s="81"/>
    </row>
    <row r="4090" spans="65:72" x14ac:dyDescent="0.25">
      <c r="BM4090" s="81"/>
      <c r="BN4090" s="81"/>
      <c r="BO4090" s="81"/>
      <c r="BP4090" s="81"/>
      <c r="BQ4090" s="81"/>
      <c r="BR4090" s="81"/>
      <c r="BS4090" s="81"/>
      <c r="BT4090" s="81"/>
    </row>
    <row r="4091" spans="65:72" x14ac:dyDescent="0.25">
      <c r="BM4091" s="81"/>
      <c r="BN4091" s="81"/>
      <c r="BO4091" s="81"/>
      <c r="BP4091" s="81"/>
      <c r="BQ4091" s="81"/>
      <c r="BR4091" s="81"/>
      <c r="BS4091" s="81"/>
      <c r="BT4091" s="81"/>
    </row>
    <row r="4092" spans="65:72" x14ac:dyDescent="0.25">
      <c r="BM4092" s="81"/>
      <c r="BN4092" s="81"/>
      <c r="BO4092" s="81"/>
      <c r="BP4092" s="81"/>
      <c r="BQ4092" s="81"/>
      <c r="BR4092" s="81"/>
      <c r="BS4092" s="81"/>
      <c r="BT4092" s="81"/>
    </row>
    <row r="4093" spans="65:72" x14ac:dyDescent="0.25">
      <c r="BM4093" s="81"/>
      <c r="BN4093" s="81"/>
      <c r="BO4093" s="81"/>
      <c r="BP4093" s="81"/>
      <c r="BQ4093" s="81"/>
      <c r="BR4093" s="81"/>
      <c r="BS4093" s="81"/>
      <c r="BT4093" s="81"/>
    </row>
    <row r="4094" spans="65:72" x14ac:dyDescent="0.25">
      <c r="BM4094" s="81"/>
      <c r="BN4094" s="81"/>
      <c r="BO4094" s="81"/>
      <c r="BP4094" s="81"/>
      <c r="BQ4094" s="81"/>
      <c r="BR4094" s="81"/>
      <c r="BS4094" s="81"/>
      <c r="BT4094" s="81"/>
    </row>
    <row r="4095" spans="65:72" x14ac:dyDescent="0.25">
      <c r="BM4095" s="81"/>
      <c r="BN4095" s="81"/>
      <c r="BO4095" s="81"/>
      <c r="BP4095" s="81"/>
      <c r="BQ4095" s="81"/>
      <c r="BR4095" s="81"/>
      <c r="BS4095" s="81"/>
      <c r="BT4095" s="81"/>
    </row>
    <row r="4096" spans="65:72" x14ac:dyDescent="0.25">
      <c r="BM4096" s="81"/>
      <c r="BN4096" s="81"/>
      <c r="BO4096" s="81"/>
      <c r="BP4096" s="81"/>
      <c r="BQ4096" s="81"/>
      <c r="BR4096" s="81"/>
      <c r="BS4096" s="81"/>
      <c r="BT4096" s="81"/>
    </row>
    <row r="4097" spans="65:72" x14ac:dyDescent="0.25">
      <c r="BM4097" s="81"/>
      <c r="BN4097" s="81"/>
      <c r="BO4097" s="81"/>
      <c r="BP4097" s="81"/>
      <c r="BQ4097" s="81"/>
      <c r="BR4097" s="81"/>
      <c r="BS4097" s="81"/>
      <c r="BT4097" s="81"/>
    </row>
    <row r="4098" spans="65:72" x14ac:dyDescent="0.25">
      <c r="BM4098" s="81"/>
      <c r="BN4098" s="81"/>
      <c r="BO4098" s="81"/>
      <c r="BP4098" s="81"/>
      <c r="BQ4098" s="81"/>
      <c r="BR4098" s="81"/>
      <c r="BS4098" s="81"/>
      <c r="BT4098" s="81"/>
    </row>
    <row r="4099" spans="65:72" x14ac:dyDescent="0.25">
      <c r="BM4099" s="81"/>
      <c r="BN4099" s="81"/>
      <c r="BO4099" s="81"/>
      <c r="BP4099" s="81"/>
      <c r="BQ4099" s="81"/>
      <c r="BR4099" s="81"/>
      <c r="BS4099" s="81"/>
      <c r="BT4099" s="81"/>
    </row>
    <row r="4100" spans="65:72" x14ac:dyDescent="0.25">
      <c r="BM4100" s="81"/>
      <c r="BN4100" s="81"/>
      <c r="BO4100" s="81"/>
      <c r="BP4100" s="81"/>
      <c r="BQ4100" s="81"/>
      <c r="BR4100" s="81"/>
      <c r="BS4100" s="81"/>
      <c r="BT4100" s="81"/>
    </row>
    <row r="4101" spans="65:72" x14ac:dyDescent="0.25">
      <c r="BM4101" s="81"/>
      <c r="BN4101" s="81"/>
      <c r="BO4101" s="81"/>
      <c r="BP4101" s="81"/>
      <c r="BQ4101" s="81"/>
      <c r="BR4101" s="81"/>
      <c r="BS4101" s="81"/>
      <c r="BT4101" s="81"/>
    </row>
    <row r="4102" spans="65:72" x14ac:dyDescent="0.25">
      <c r="BM4102" s="81"/>
      <c r="BN4102" s="81"/>
      <c r="BO4102" s="81"/>
      <c r="BP4102" s="81"/>
      <c r="BQ4102" s="81"/>
      <c r="BR4102" s="81"/>
      <c r="BS4102" s="81"/>
      <c r="BT4102" s="81"/>
    </row>
    <row r="4103" spans="65:72" x14ac:dyDescent="0.25">
      <c r="BM4103" s="81"/>
      <c r="BN4103" s="81"/>
      <c r="BO4103" s="81"/>
      <c r="BP4103" s="81"/>
      <c r="BQ4103" s="81"/>
      <c r="BR4103" s="81"/>
      <c r="BS4103" s="81"/>
      <c r="BT4103" s="81"/>
    </row>
    <row r="4104" spans="65:72" x14ac:dyDescent="0.25">
      <c r="BM4104" s="81"/>
      <c r="BN4104" s="81"/>
      <c r="BO4104" s="81"/>
      <c r="BP4104" s="81"/>
      <c r="BQ4104" s="81"/>
      <c r="BR4104" s="81"/>
      <c r="BS4104" s="81"/>
      <c r="BT4104" s="81"/>
    </row>
    <row r="4105" spans="65:72" x14ac:dyDescent="0.25">
      <c r="BM4105" s="81"/>
      <c r="BN4105" s="81"/>
      <c r="BO4105" s="81"/>
      <c r="BP4105" s="81"/>
      <c r="BQ4105" s="81"/>
      <c r="BR4105" s="81"/>
      <c r="BS4105" s="81"/>
      <c r="BT4105" s="81"/>
    </row>
    <row r="4106" spans="65:72" x14ac:dyDescent="0.25">
      <c r="BM4106" s="81"/>
      <c r="BN4106" s="81"/>
      <c r="BO4106" s="81"/>
      <c r="BP4106" s="81"/>
      <c r="BQ4106" s="81"/>
      <c r="BR4106" s="81"/>
      <c r="BS4106" s="81"/>
      <c r="BT4106" s="81"/>
    </row>
    <row r="4107" spans="65:72" x14ac:dyDescent="0.25">
      <c r="BM4107" s="81"/>
      <c r="BN4107" s="81"/>
      <c r="BO4107" s="81"/>
      <c r="BP4107" s="81"/>
      <c r="BQ4107" s="81"/>
      <c r="BR4107" s="81"/>
      <c r="BS4107" s="81"/>
      <c r="BT4107" s="81"/>
    </row>
    <row r="4108" spans="65:72" x14ac:dyDescent="0.25">
      <c r="BM4108" s="81"/>
      <c r="BN4108" s="81"/>
      <c r="BO4108" s="81"/>
      <c r="BP4108" s="81"/>
      <c r="BQ4108" s="81"/>
      <c r="BR4108" s="81"/>
      <c r="BS4108" s="81"/>
      <c r="BT4108" s="81"/>
    </row>
    <row r="4109" spans="65:72" x14ac:dyDescent="0.25">
      <c r="BM4109" s="81"/>
      <c r="BN4109" s="81"/>
      <c r="BO4109" s="81"/>
      <c r="BP4109" s="81"/>
      <c r="BQ4109" s="81"/>
      <c r="BR4109" s="81"/>
      <c r="BS4109" s="81"/>
      <c r="BT4109" s="81"/>
    </row>
    <row r="4110" spans="65:72" x14ac:dyDescent="0.25">
      <c r="BM4110" s="81"/>
      <c r="BN4110" s="81"/>
      <c r="BO4110" s="81"/>
      <c r="BP4110" s="81"/>
      <c r="BQ4110" s="81"/>
      <c r="BR4110" s="81"/>
      <c r="BS4110" s="81"/>
      <c r="BT4110" s="81"/>
    </row>
    <row r="4111" spans="65:72" x14ac:dyDescent="0.25">
      <c r="BM4111" s="81"/>
      <c r="BN4111" s="81"/>
      <c r="BO4111" s="81"/>
      <c r="BP4111" s="81"/>
      <c r="BQ4111" s="81"/>
      <c r="BR4111" s="81"/>
      <c r="BS4111" s="81"/>
      <c r="BT4111" s="81"/>
    </row>
    <row r="4112" spans="65:72" x14ac:dyDescent="0.25">
      <c r="BM4112" s="81"/>
      <c r="BN4112" s="81"/>
      <c r="BO4112" s="81"/>
      <c r="BP4112" s="81"/>
      <c r="BQ4112" s="81"/>
      <c r="BR4112" s="81"/>
      <c r="BS4112" s="81"/>
      <c r="BT4112" s="81"/>
    </row>
    <row r="4113" spans="65:72" x14ac:dyDescent="0.25">
      <c r="BM4113" s="81"/>
      <c r="BN4113" s="81"/>
      <c r="BO4113" s="81"/>
      <c r="BP4113" s="81"/>
      <c r="BQ4113" s="81"/>
      <c r="BR4113" s="81"/>
      <c r="BS4113" s="81"/>
      <c r="BT4113" s="81"/>
    </row>
    <row r="4114" spans="65:72" x14ac:dyDescent="0.25">
      <c r="BM4114" s="81"/>
      <c r="BN4114" s="81"/>
      <c r="BO4114" s="81"/>
      <c r="BP4114" s="81"/>
      <c r="BQ4114" s="81"/>
      <c r="BR4114" s="81"/>
      <c r="BS4114" s="81"/>
      <c r="BT4114" s="81"/>
    </row>
    <row r="4115" spans="65:72" x14ac:dyDescent="0.25">
      <c r="BM4115" s="81"/>
      <c r="BN4115" s="81"/>
      <c r="BO4115" s="81"/>
      <c r="BP4115" s="81"/>
      <c r="BQ4115" s="81"/>
      <c r="BR4115" s="81"/>
      <c r="BS4115" s="81"/>
      <c r="BT4115" s="81"/>
    </row>
    <row r="4116" spans="65:72" x14ac:dyDescent="0.25">
      <c r="BM4116" s="81"/>
      <c r="BN4116" s="81"/>
      <c r="BO4116" s="81"/>
      <c r="BP4116" s="81"/>
      <c r="BQ4116" s="81"/>
      <c r="BR4116" s="81"/>
      <c r="BS4116" s="81"/>
      <c r="BT4116" s="81"/>
    </row>
    <row r="4117" spans="65:72" x14ac:dyDescent="0.25">
      <c r="BM4117" s="81"/>
      <c r="BN4117" s="81"/>
      <c r="BO4117" s="81"/>
      <c r="BP4117" s="81"/>
      <c r="BQ4117" s="81"/>
      <c r="BR4117" s="81"/>
      <c r="BS4117" s="81"/>
      <c r="BT4117" s="81"/>
    </row>
    <row r="4118" spans="65:72" x14ac:dyDescent="0.25">
      <c r="BM4118" s="81"/>
      <c r="BN4118" s="81"/>
      <c r="BO4118" s="81"/>
      <c r="BP4118" s="81"/>
      <c r="BQ4118" s="81"/>
      <c r="BR4118" s="81"/>
      <c r="BS4118" s="81"/>
      <c r="BT4118" s="81"/>
    </row>
    <row r="4119" spans="65:72" x14ac:dyDescent="0.25">
      <c r="BM4119" s="81"/>
      <c r="BN4119" s="81"/>
      <c r="BO4119" s="81"/>
      <c r="BP4119" s="81"/>
      <c r="BQ4119" s="81"/>
      <c r="BR4119" s="81"/>
      <c r="BS4119" s="81"/>
      <c r="BT4119" s="81"/>
    </row>
    <row r="4120" spans="65:72" x14ac:dyDescent="0.25">
      <c r="BM4120" s="81"/>
      <c r="BN4120" s="81"/>
      <c r="BO4120" s="81"/>
      <c r="BP4120" s="81"/>
      <c r="BQ4120" s="81"/>
      <c r="BR4120" s="81"/>
      <c r="BS4120" s="81"/>
      <c r="BT4120" s="81"/>
    </row>
    <row r="4121" spans="65:72" x14ac:dyDescent="0.25">
      <c r="BM4121" s="81"/>
      <c r="BN4121" s="81"/>
      <c r="BO4121" s="81"/>
      <c r="BP4121" s="81"/>
      <c r="BQ4121" s="81"/>
      <c r="BR4121" s="81"/>
      <c r="BS4121" s="81"/>
      <c r="BT4121" s="81"/>
    </row>
    <row r="4122" spans="65:72" x14ac:dyDescent="0.25">
      <c r="BM4122" s="81"/>
      <c r="BN4122" s="81"/>
      <c r="BO4122" s="81"/>
      <c r="BP4122" s="81"/>
      <c r="BQ4122" s="81"/>
      <c r="BR4122" s="81"/>
      <c r="BS4122" s="81"/>
      <c r="BT4122" s="81"/>
    </row>
    <row r="4123" spans="65:72" x14ac:dyDescent="0.25">
      <c r="BM4123" s="81"/>
      <c r="BN4123" s="81"/>
      <c r="BO4123" s="81"/>
      <c r="BP4123" s="81"/>
      <c r="BQ4123" s="81"/>
      <c r="BR4123" s="81"/>
      <c r="BS4123" s="81"/>
      <c r="BT4123" s="81"/>
    </row>
    <row r="4124" spans="65:72" x14ac:dyDescent="0.25">
      <c r="BM4124" s="81"/>
      <c r="BN4124" s="81"/>
      <c r="BO4124" s="81"/>
      <c r="BP4124" s="81"/>
      <c r="BQ4124" s="81"/>
      <c r="BR4124" s="81"/>
      <c r="BS4124" s="81"/>
      <c r="BT4124" s="81"/>
    </row>
    <row r="4125" spans="65:72" x14ac:dyDescent="0.25">
      <c r="BM4125" s="81"/>
      <c r="BN4125" s="81"/>
      <c r="BO4125" s="81"/>
      <c r="BP4125" s="81"/>
      <c r="BQ4125" s="81"/>
      <c r="BR4125" s="81"/>
      <c r="BS4125" s="81"/>
      <c r="BT4125" s="81"/>
    </row>
    <row r="4126" spans="65:72" x14ac:dyDescent="0.25">
      <c r="BM4126" s="81"/>
      <c r="BN4126" s="81"/>
      <c r="BO4126" s="81"/>
      <c r="BP4126" s="81"/>
      <c r="BQ4126" s="81"/>
      <c r="BR4126" s="81"/>
      <c r="BS4126" s="81"/>
      <c r="BT4126" s="81"/>
    </row>
    <row r="4127" spans="65:72" x14ac:dyDescent="0.25">
      <c r="BM4127" s="81"/>
      <c r="BN4127" s="81"/>
      <c r="BO4127" s="81"/>
      <c r="BP4127" s="81"/>
      <c r="BQ4127" s="81"/>
      <c r="BR4127" s="81"/>
      <c r="BS4127" s="81"/>
      <c r="BT4127" s="81"/>
    </row>
    <row r="4128" spans="65:72" x14ac:dyDescent="0.25">
      <c r="BM4128" s="81"/>
      <c r="BN4128" s="81"/>
      <c r="BO4128" s="81"/>
      <c r="BP4128" s="81"/>
      <c r="BQ4128" s="81"/>
      <c r="BR4128" s="81"/>
      <c r="BS4128" s="81"/>
      <c r="BT4128" s="81"/>
    </row>
    <row r="4129" spans="65:72" x14ac:dyDescent="0.25">
      <c r="BM4129" s="81"/>
      <c r="BN4129" s="81"/>
      <c r="BO4129" s="81"/>
      <c r="BP4129" s="81"/>
      <c r="BQ4129" s="81"/>
      <c r="BR4129" s="81"/>
      <c r="BS4129" s="81"/>
      <c r="BT4129" s="81"/>
    </row>
    <row r="4130" spans="65:72" x14ac:dyDescent="0.25">
      <c r="BM4130" s="81"/>
      <c r="BN4130" s="81"/>
      <c r="BO4130" s="81"/>
      <c r="BP4130" s="81"/>
      <c r="BQ4130" s="81"/>
      <c r="BR4130" s="81"/>
      <c r="BS4130" s="81"/>
      <c r="BT4130" s="81"/>
    </row>
    <row r="4131" spans="65:72" x14ac:dyDescent="0.25">
      <c r="BM4131" s="81"/>
      <c r="BN4131" s="81"/>
      <c r="BO4131" s="81"/>
      <c r="BP4131" s="81"/>
      <c r="BQ4131" s="81"/>
      <c r="BR4131" s="81"/>
      <c r="BS4131" s="81"/>
      <c r="BT4131" s="81"/>
    </row>
    <row r="4132" spans="65:72" x14ac:dyDescent="0.25">
      <c r="BM4132" s="81"/>
      <c r="BN4132" s="81"/>
      <c r="BO4132" s="81"/>
      <c r="BP4132" s="81"/>
      <c r="BQ4132" s="81"/>
      <c r="BR4132" s="81"/>
      <c r="BS4132" s="81"/>
      <c r="BT4132" s="81"/>
    </row>
    <row r="4133" spans="65:72" x14ac:dyDescent="0.25">
      <c r="BM4133" s="81"/>
      <c r="BN4133" s="81"/>
      <c r="BO4133" s="81"/>
      <c r="BP4133" s="81"/>
      <c r="BQ4133" s="81"/>
      <c r="BR4133" s="81"/>
      <c r="BS4133" s="81"/>
      <c r="BT4133" s="81"/>
    </row>
    <row r="4134" spans="65:72" x14ac:dyDescent="0.25">
      <c r="BM4134" s="81"/>
      <c r="BN4134" s="81"/>
      <c r="BO4134" s="81"/>
      <c r="BP4134" s="81"/>
      <c r="BQ4134" s="81"/>
      <c r="BR4134" s="81"/>
      <c r="BS4134" s="81"/>
      <c r="BT4134" s="81"/>
    </row>
    <row r="4135" spans="65:72" x14ac:dyDescent="0.25">
      <c r="BM4135" s="81"/>
      <c r="BN4135" s="81"/>
      <c r="BO4135" s="81"/>
      <c r="BP4135" s="81"/>
      <c r="BQ4135" s="81"/>
      <c r="BR4135" s="81"/>
      <c r="BS4135" s="81"/>
      <c r="BT4135" s="81"/>
    </row>
    <row r="4136" spans="65:72" x14ac:dyDescent="0.25">
      <c r="BM4136" s="81"/>
      <c r="BN4136" s="81"/>
      <c r="BO4136" s="81"/>
      <c r="BP4136" s="81"/>
      <c r="BQ4136" s="81"/>
      <c r="BR4136" s="81"/>
      <c r="BS4136" s="81"/>
      <c r="BT4136" s="81"/>
    </row>
    <row r="4137" spans="65:72" x14ac:dyDescent="0.25">
      <c r="BM4137" s="81"/>
      <c r="BN4137" s="81"/>
      <c r="BO4137" s="81"/>
      <c r="BP4137" s="81"/>
      <c r="BQ4137" s="81"/>
      <c r="BR4137" s="81"/>
      <c r="BS4137" s="81"/>
      <c r="BT4137" s="81"/>
    </row>
    <row r="4138" spans="65:72" x14ac:dyDescent="0.25">
      <c r="BM4138" s="81"/>
      <c r="BN4138" s="81"/>
      <c r="BO4138" s="81"/>
      <c r="BP4138" s="81"/>
      <c r="BQ4138" s="81"/>
      <c r="BR4138" s="81"/>
      <c r="BS4138" s="81"/>
      <c r="BT4138" s="81"/>
    </row>
    <row r="4139" spans="65:72" x14ac:dyDescent="0.25">
      <c r="BM4139" s="81"/>
      <c r="BN4139" s="81"/>
      <c r="BO4139" s="81"/>
      <c r="BP4139" s="81"/>
      <c r="BQ4139" s="81"/>
      <c r="BR4139" s="81"/>
      <c r="BS4139" s="81"/>
      <c r="BT4139" s="81"/>
    </row>
    <row r="4140" spans="65:72" x14ac:dyDescent="0.25">
      <c r="BM4140" s="81"/>
      <c r="BN4140" s="81"/>
      <c r="BO4140" s="81"/>
      <c r="BP4140" s="81"/>
      <c r="BQ4140" s="81"/>
      <c r="BR4140" s="81"/>
      <c r="BS4140" s="81"/>
      <c r="BT4140" s="81"/>
    </row>
    <row r="4141" spans="65:72" x14ac:dyDescent="0.25">
      <c r="BM4141" s="81"/>
      <c r="BN4141" s="81"/>
      <c r="BO4141" s="81"/>
      <c r="BP4141" s="81"/>
      <c r="BQ4141" s="81"/>
      <c r="BR4141" s="81"/>
      <c r="BS4141" s="81"/>
      <c r="BT4141" s="81"/>
    </row>
    <row r="4142" spans="65:72" x14ac:dyDescent="0.25">
      <c r="BM4142" s="81"/>
      <c r="BN4142" s="81"/>
      <c r="BO4142" s="81"/>
      <c r="BP4142" s="81"/>
      <c r="BQ4142" s="81"/>
      <c r="BR4142" s="81"/>
      <c r="BS4142" s="81"/>
      <c r="BT4142" s="81"/>
    </row>
    <row r="4143" spans="65:72" x14ac:dyDescent="0.25">
      <c r="BM4143" s="81"/>
      <c r="BN4143" s="81"/>
      <c r="BO4143" s="81"/>
      <c r="BP4143" s="81"/>
      <c r="BQ4143" s="81"/>
      <c r="BR4143" s="81"/>
      <c r="BS4143" s="81"/>
      <c r="BT4143" s="81"/>
    </row>
    <row r="4144" spans="65:72" x14ac:dyDescent="0.25">
      <c r="BM4144" s="81"/>
      <c r="BN4144" s="81"/>
      <c r="BO4144" s="81"/>
      <c r="BP4144" s="81"/>
      <c r="BQ4144" s="81"/>
      <c r="BR4144" s="81"/>
      <c r="BS4144" s="81"/>
      <c r="BT4144" s="81"/>
    </row>
    <row r="4145" spans="65:72" x14ac:dyDescent="0.25">
      <c r="BM4145" s="81"/>
      <c r="BN4145" s="81"/>
      <c r="BO4145" s="81"/>
      <c r="BP4145" s="81"/>
      <c r="BQ4145" s="81"/>
      <c r="BR4145" s="81"/>
      <c r="BS4145" s="81"/>
      <c r="BT4145" s="81"/>
    </row>
    <row r="4146" spans="65:72" x14ac:dyDescent="0.25">
      <c r="BM4146" s="81"/>
      <c r="BN4146" s="81"/>
      <c r="BO4146" s="81"/>
      <c r="BP4146" s="81"/>
      <c r="BQ4146" s="81"/>
      <c r="BR4146" s="81"/>
      <c r="BS4146" s="81"/>
      <c r="BT4146" s="81"/>
    </row>
    <row r="4147" spans="65:72" x14ac:dyDescent="0.25">
      <c r="BM4147" s="81"/>
      <c r="BN4147" s="81"/>
      <c r="BO4147" s="81"/>
      <c r="BP4147" s="81"/>
      <c r="BQ4147" s="81"/>
      <c r="BR4147" s="81"/>
      <c r="BS4147" s="81"/>
      <c r="BT4147" s="81"/>
    </row>
    <row r="4148" spans="65:72" x14ac:dyDescent="0.25">
      <c r="BM4148" s="81"/>
      <c r="BN4148" s="81"/>
      <c r="BO4148" s="81"/>
      <c r="BP4148" s="81"/>
      <c r="BQ4148" s="81"/>
      <c r="BR4148" s="81"/>
      <c r="BS4148" s="81"/>
      <c r="BT4148" s="81"/>
    </row>
    <row r="4149" spans="65:72" x14ac:dyDescent="0.25">
      <c r="BM4149" s="81"/>
      <c r="BN4149" s="81"/>
      <c r="BO4149" s="81"/>
      <c r="BP4149" s="81"/>
      <c r="BQ4149" s="81"/>
      <c r="BR4149" s="81"/>
      <c r="BS4149" s="81"/>
      <c r="BT4149" s="81"/>
    </row>
    <row r="4150" spans="65:72" x14ac:dyDescent="0.25">
      <c r="BM4150" s="81"/>
      <c r="BN4150" s="81"/>
      <c r="BO4150" s="81"/>
      <c r="BP4150" s="81"/>
      <c r="BQ4150" s="81"/>
      <c r="BR4150" s="81"/>
      <c r="BS4150" s="81"/>
      <c r="BT4150" s="81"/>
    </row>
    <row r="4151" spans="65:72" x14ac:dyDescent="0.25">
      <c r="BM4151" s="81"/>
      <c r="BN4151" s="81"/>
      <c r="BO4151" s="81"/>
      <c r="BP4151" s="81"/>
      <c r="BQ4151" s="81"/>
      <c r="BR4151" s="81"/>
      <c r="BS4151" s="81"/>
      <c r="BT4151" s="81"/>
    </row>
    <row r="4152" spans="65:72" x14ac:dyDescent="0.25">
      <c r="BM4152" s="81"/>
      <c r="BN4152" s="81"/>
      <c r="BO4152" s="81"/>
      <c r="BP4152" s="81"/>
      <c r="BQ4152" s="81"/>
      <c r="BR4152" s="81"/>
      <c r="BS4152" s="81"/>
      <c r="BT4152" s="81"/>
    </row>
    <row r="4153" spans="65:72" x14ac:dyDescent="0.25">
      <c r="BM4153" s="81"/>
      <c r="BN4153" s="81"/>
      <c r="BO4153" s="81"/>
      <c r="BP4153" s="81"/>
      <c r="BQ4153" s="81"/>
      <c r="BR4153" s="81"/>
      <c r="BS4153" s="81"/>
      <c r="BT4153" s="81"/>
    </row>
    <row r="4154" spans="65:72" x14ac:dyDescent="0.25">
      <c r="BM4154" s="81"/>
      <c r="BN4154" s="81"/>
      <c r="BO4154" s="81"/>
      <c r="BP4154" s="81"/>
      <c r="BQ4154" s="81"/>
      <c r="BR4154" s="81"/>
      <c r="BS4154" s="81"/>
      <c r="BT4154" s="81"/>
    </row>
    <row r="4155" spans="65:72" x14ac:dyDescent="0.25">
      <c r="BM4155" s="81"/>
      <c r="BN4155" s="81"/>
      <c r="BO4155" s="81"/>
      <c r="BP4155" s="81"/>
      <c r="BQ4155" s="81"/>
      <c r="BR4155" s="81"/>
      <c r="BS4155" s="81"/>
      <c r="BT4155" s="81"/>
    </row>
    <row r="4156" spans="65:72" x14ac:dyDescent="0.25">
      <c r="BM4156" s="81"/>
      <c r="BN4156" s="81"/>
      <c r="BO4156" s="81"/>
      <c r="BP4156" s="81"/>
      <c r="BQ4156" s="81"/>
      <c r="BR4156" s="81"/>
      <c r="BS4156" s="81"/>
      <c r="BT4156" s="81"/>
    </row>
    <row r="4157" spans="65:72" x14ac:dyDescent="0.25">
      <c r="BM4157" s="81"/>
      <c r="BN4157" s="81"/>
      <c r="BO4157" s="81"/>
      <c r="BP4157" s="81"/>
      <c r="BQ4157" s="81"/>
      <c r="BR4157" s="81"/>
      <c r="BS4157" s="81"/>
      <c r="BT4157" s="81"/>
    </row>
    <row r="4158" spans="65:72" x14ac:dyDescent="0.25">
      <c r="BM4158" s="81"/>
      <c r="BN4158" s="81"/>
      <c r="BO4158" s="81"/>
      <c r="BP4158" s="81"/>
      <c r="BQ4158" s="81"/>
      <c r="BR4158" s="81"/>
      <c r="BS4158" s="81"/>
      <c r="BT4158" s="81"/>
    </row>
    <row r="4159" spans="65:72" x14ac:dyDescent="0.25">
      <c r="BM4159" s="81"/>
      <c r="BN4159" s="81"/>
      <c r="BO4159" s="81"/>
      <c r="BP4159" s="81"/>
      <c r="BQ4159" s="81"/>
      <c r="BR4159" s="81"/>
      <c r="BS4159" s="81"/>
      <c r="BT4159" s="81"/>
    </row>
    <row r="4160" spans="65:72" x14ac:dyDescent="0.25">
      <c r="BM4160" s="81"/>
      <c r="BN4160" s="81"/>
      <c r="BO4160" s="81"/>
      <c r="BP4160" s="81"/>
      <c r="BQ4160" s="81"/>
      <c r="BR4160" s="81"/>
      <c r="BS4160" s="81"/>
      <c r="BT4160" s="81"/>
    </row>
    <row r="4161" spans="65:72" x14ac:dyDescent="0.25">
      <c r="BM4161" s="81"/>
      <c r="BN4161" s="81"/>
      <c r="BO4161" s="81"/>
      <c r="BP4161" s="81"/>
      <c r="BQ4161" s="81"/>
      <c r="BR4161" s="81"/>
      <c r="BS4161" s="81"/>
      <c r="BT4161" s="81"/>
    </row>
    <row r="4162" spans="65:72" x14ac:dyDescent="0.25">
      <c r="BM4162" s="81"/>
      <c r="BN4162" s="81"/>
      <c r="BO4162" s="81"/>
      <c r="BP4162" s="81"/>
      <c r="BQ4162" s="81"/>
      <c r="BR4162" s="81"/>
      <c r="BS4162" s="81"/>
      <c r="BT4162" s="81"/>
    </row>
    <row r="4163" spans="65:72" x14ac:dyDescent="0.25">
      <c r="BM4163" s="81"/>
      <c r="BN4163" s="81"/>
      <c r="BO4163" s="81"/>
      <c r="BP4163" s="81"/>
      <c r="BQ4163" s="81"/>
      <c r="BR4163" s="81"/>
      <c r="BS4163" s="81"/>
      <c r="BT4163" s="81"/>
    </row>
    <row r="4164" spans="65:72" x14ac:dyDescent="0.25">
      <c r="BM4164" s="81"/>
      <c r="BN4164" s="81"/>
      <c r="BO4164" s="81"/>
      <c r="BP4164" s="81"/>
      <c r="BQ4164" s="81"/>
      <c r="BR4164" s="81"/>
      <c r="BS4164" s="81"/>
      <c r="BT4164" s="81"/>
    </row>
    <row r="4165" spans="65:72" x14ac:dyDescent="0.25">
      <c r="BM4165" s="81"/>
      <c r="BN4165" s="81"/>
      <c r="BO4165" s="81"/>
      <c r="BP4165" s="81"/>
      <c r="BQ4165" s="81"/>
      <c r="BR4165" s="81"/>
      <c r="BS4165" s="81"/>
      <c r="BT4165" s="81"/>
    </row>
    <row r="4166" spans="65:72" x14ac:dyDescent="0.25">
      <c r="BM4166" s="81"/>
      <c r="BN4166" s="81"/>
      <c r="BO4166" s="81"/>
      <c r="BP4166" s="81"/>
      <c r="BQ4166" s="81"/>
      <c r="BR4166" s="81"/>
      <c r="BS4166" s="81"/>
      <c r="BT4166" s="81"/>
    </row>
    <row r="4167" spans="65:72" x14ac:dyDescent="0.25">
      <c r="BM4167" s="81"/>
      <c r="BN4167" s="81"/>
      <c r="BO4167" s="81"/>
      <c r="BP4167" s="81"/>
      <c r="BQ4167" s="81"/>
      <c r="BR4167" s="81"/>
      <c r="BS4167" s="81"/>
      <c r="BT4167" s="81"/>
    </row>
    <row r="4168" spans="65:72" x14ac:dyDescent="0.25">
      <c r="BM4168" s="81"/>
      <c r="BN4168" s="81"/>
      <c r="BO4168" s="81"/>
      <c r="BP4168" s="81"/>
      <c r="BQ4168" s="81"/>
      <c r="BR4168" s="81"/>
      <c r="BS4168" s="81"/>
      <c r="BT4168" s="81"/>
    </row>
    <row r="4169" spans="65:72" x14ac:dyDescent="0.25">
      <c r="BM4169" s="81"/>
      <c r="BN4169" s="81"/>
      <c r="BO4169" s="81"/>
      <c r="BP4169" s="81"/>
      <c r="BQ4169" s="81"/>
      <c r="BR4169" s="81"/>
      <c r="BS4169" s="81"/>
      <c r="BT4169" s="81"/>
    </row>
    <row r="4170" spans="65:72" x14ac:dyDescent="0.25">
      <c r="BM4170" s="81"/>
      <c r="BN4170" s="81"/>
      <c r="BO4170" s="81"/>
      <c r="BP4170" s="81"/>
      <c r="BQ4170" s="81"/>
      <c r="BR4170" s="81"/>
      <c r="BS4170" s="81"/>
      <c r="BT4170" s="81"/>
    </row>
    <row r="4171" spans="65:72" x14ac:dyDescent="0.25">
      <c r="BM4171" s="81"/>
      <c r="BN4171" s="81"/>
      <c r="BO4171" s="81"/>
      <c r="BP4171" s="81"/>
      <c r="BQ4171" s="81"/>
      <c r="BR4171" s="81"/>
      <c r="BS4171" s="81"/>
      <c r="BT4171" s="81"/>
    </row>
    <row r="4172" spans="65:72" x14ac:dyDescent="0.25">
      <c r="BM4172" s="81"/>
      <c r="BN4172" s="81"/>
      <c r="BO4172" s="81"/>
      <c r="BP4172" s="81"/>
      <c r="BQ4172" s="81"/>
      <c r="BR4172" s="81"/>
      <c r="BS4172" s="81"/>
      <c r="BT4172" s="81"/>
    </row>
    <row r="4173" spans="65:72" x14ac:dyDescent="0.25">
      <c r="BM4173" s="81"/>
      <c r="BN4173" s="81"/>
      <c r="BO4173" s="81"/>
      <c r="BP4173" s="81"/>
      <c r="BQ4173" s="81"/>
      <c r="BR4173" s="81"/>
      <c r="BS4173" s="81"/>
      <c r="BT4173" s="81"/>
    </row>
    <row r="4174" spans="65:72" x14ac:dyDescent="0.25">
      <c r="BM4174" s="81"/>
      <c r="BN4174" s="81"/>
      <c r="BO4174" s="81"/>
      <c r="BP4174" s="81"/>
      <c r="BQ4174" s="81"/>
      <c r="BR4174" s="81"/>
      <c r="BS4174" s="81"/>
      <c r="BT4174" s="81"/>
    </row>
    <row r="4175" spans="65:72" x14ac:dyDescent="0.25">
      <c r="BM4175" s="81"/>
      <c r="BN4175" s="81"/>
      <c r="BO4175" s="81"/>
      <c r="BP4175" s="81"/>
      <c r="BQ4175" s="81"/>
      <c r="BR4175" s="81"/>
      <c r="BS4175" s="81"/>
      <c r="BT4175" s="81"/>
    </row>
    <row r="4176" spans="65:72" x14ac:dyDescent="0.25">
      <c r="BM4176" s="81"/>
      <c r="BN4176" s="81"/>
      <c r="BO4176" s="81"/>
      <c r="BP4176" s="81"/>
      <c r="BQ4176" s="81"/>
      <c r="BR4176" s="81"/>
      <c r="BS4176" s="81"/>
      <c r="BT4176" s="81"/>
    </row>
    <row r="4177" spans="65:72" x14ac:dyDescent="0.25">
      <c r="BM4177" s="81"/>
      <c r="BN4177" s="81"/>
      <c r="BO4177" s="81"/>
      <c r="BP4177" s="81"/>
      <c r="BQ4177" s="81"/>
      <c r="BR4177" s="81"/>
      <c r="BS4177" s="81"/>
      <c r="BT4177" s="81"/>
    </row>
    <row r="4178" spans="65:72" x14ac:dyDescent="0.25">
      <c r="BM4178" s="81"/>
      <c r="BN4178" s="81"/>
      <c r="BO4178" s="81"/>
      <c r="BP4178" s="81"/>
      <c r="BQ4178" s="81"/>
      <c r="BR4178" s="81"/>
      <c r="BS4178" s="81"/>
      <c r="BT4178" s="81"/>
    </row>
    <row r="4179" spans="65:72" x14ac:dyDescent="0.25">
      <c r="BM4179" s="81"/>
      <c r="BN4179" s="81"/>
      <c r="BO4179" s="81"/>
      <c r="BP4179" s="81"/>
      <c r="BQ4179" s="81"/>
      <c r="BR4179" s="81"/>
      <c r="BS4179" s="81"/>
      <c r="BT4179" s="81"/>
    </row>
    <row r="4180" spans="65:72" x14ac:dyDescent="0.25">
      <c r="BM4180" s="81"/>
      <c r="BN4180" s="81"/>
      <c r="BO4180" s="81"/>
      <c r="BP4180" s="81"/>
      <c r="BQ4180" s="81"/>
      <c r="BR4180" s="81"/>
      <c r="BS4180" s="81"/>
      <c r="BT4180" s="81"/>
    </row>
    <row r="4181" spans="65:72" x14ac:dyDescent="0.25">
      <c r="BM4181" s="81"/>
      <c r="BN4181" s="81"/>
      <c r="BO4181" s="81"/>
      <c r="BP4181" s="81"/>
      <c r="BQ4181" s="81"/>
      <c r="BR4181" s="81"/>
      <c r="BS4181" s="81"/>
      <c r="BT4181" s="81"/>
    </row>
    <row r="4182" spans="65:72" x14ac:dyDescent="0.25">
      <c r="BM4182" s="81"/>
      <c r="BN4182" s="81"/>
      <c r="BO4182" s="81"/>
      <c r="BP4182" s="81"/>
      <c r="BQ4182" s="81"/>
      <c r="BR4182" s="81"/>
      <c r="BS4182" s="81"/>
      <c r="BT4182" s="81"/>
    </row>
    <row r="4183" spans="65:72" x14ac:dyDescent="0.25">
      <c r="BM4183" s="81"/>
      <c r="BN4183" s="81"/>
      <c r="BO4183" s="81"/>
      <c r="BP4183" s="81"/>
      <c r="BQ4183" s="81"/>
      <c r="BR4183" s="81"/>
      <c r="BS4183" s="81"/>
      <c r="BT4183" s="81"/>
    </row>
    <row r="4184" spans="65:72" x14ac:dyDescent="0.25">
      <c r="BM4184" s="81"/>
      <c r="BN4184" s="81"/>
      <c r="BO4184" s="81"/>
      <c r="BP4184" s="81"/>
      <c r="BQ4184" s="81"/>
      <c r="BR4184" s="81"/>
      <c r="BS4184" s="81"/>
      <c r="BT4184" s="81"/>
    </row>
    <row r="4185" spans="65:72" x14ac:dyDescent="0.25">
      <c r="BM4185" s="81"/>
      <c r="BN4185" s="81"/>
      <c r="BO4185" s="81"/>
      <c r="BP4185" s="81"/>
      <c r="BQ4185" s="81"/>
      <c r="BR4185" s="81"/>
      <c r="BS4185" s="81"/>
      <c r="BT4185" s="81"/>
    </row>
    <row r="4186" spans="65:72" x14ac:dyDescent="0.25">
      <c r="BM4186" s="81"/>
      <c r="BN4186" s="81"/>
      <c r="BO4186" s="81"/>
      <c r="BP4186" s="81"/>
      <c r="BQ4186" s="81"/>
      <c r="BR4186" s="81"/>
      <c r="BS4186" s="81"/>
      <c r="BT4186" s="81"/>
    </row>
    <row r="4187" spans="65:72" x14ac:dyDescent="0.25">
      <c r="BM4187" s="81"/>
      <c r="BN4187" s="81"/>
      <c r="BO4187" s="81"/>
      <c r="BP4187" s="81"/>
      <c r="BQ4187" s="81"/>
      <c r="BR4187" s="81"/>
      <c r="BS4187" s="81"/>
      <c r="BT4187" s="81"/>
    </row>
    <row r="4188" spans="65:72" x14ac:dyDescent="0.25">
      <c r="BM4188" s="81"/>
      <c r="BN4188" s="81"/>
      <c r="BO4188" s="81"/>
      <c r="BP4188" s="81"/>
      <c r="BQ4188" s="81"/>
      <c r="BR4188" s="81"/>
      <c r="BS4188" s="81"/>
      <c r="BT4188" s="81"/>
    </row>
    <row r="4189" spans="65:72" x14ac:dyDescent="0.25">
      <c r="BM4189" s="81"/>
      <c r="BN4189" s="81"/>
      <c r="BO4189" s="81"/>
      <c r="BP4189" s="81"/>
      <c r="BQ4189" s="81"/>
      <c r="BR4189" s="81"/>
      <c r="BS4189" s="81"/>
      <c r="BT4189" s="81"/>
    </row>
    <row r="4190" spans="65:72" x14ac:dyDescent="0.25">
      <c r="BM4190" s="81"/>
      <c r="BN4190" s="81"/>
      <c r="BO4190" s="81"/>
      <c r="BP4190" s="81"/>
      <c r="BQ4190" s="81"/>
      <c r="BR4190" s="81"/>
      <c r="BS4190" s="81"/>
      <c r="BT4190" s="81"/>
    </row>
    <row r="4191" spans="65:72" x14ac:dyDescent="0.25">
      <c r="BM4191" s="81"/>
      <c r="BN4191" s="81"/>
      <c r="BO4191" s="81"/>
      <c r="BP4191" s="81"/>
      <c r="BQ4191" s="81"/>
      <c r="BR4191" s="81"/>
      <c r="BS4191" s="81"/>
      <c r="BT4191" s="81"/>
    </row>
    <row r="4192" spans="65:72" x14ac:dyDescent="0.25">
      <c r="BM4192" s="81"/>
      <c r="BN4192" s="81"/>
      <c r="BO4192" s="81"/>
      <c r="BP4192" s="81"/>
      <c r="BQ4192" s="81"/>
      <c r="BR4192" s="81"/>
      <c r="BS4192" s="81"/>
      <c r="BT4192" s="81"/>
    </row>
    <row r="4193" spans="65:72" x14ac:dyDescent="0.25">
      <c r="BM4193" s="81"/>
      <c r="BN4193" s="81"/>
      <c r="BO4193" s="81"/>
      <c r="BP4193" s="81"/>
      <c r="BQ4193" s="81"/>
      <c r="BR4193" s="81"/>
      <c r="BS4193" s="81"/>
      <c r="BT4193" s="81"/>
    </row>
    <row r="4194" spans="65:72" x14ac:dyDescent="0.25">
      <c r="BM4194" s="81"/>
      <c r="BN4194" s="81"/>
      <c r="BO4194" s="81"/>
      <c r="BP4194" s="81"/>
      <c r="BQ4194" s="81"/>
      <c r="BR4194" s="81"/>
      <c r="BS4194" s="81"/>
      <c r="BT4194" s="81"/>
    </row>
    <row r="4195" spans="65:72" x14ac:dyDescent="0.25">
      <c r="BM4195" s="81"/>
      <c r="BN4195" s="81"/>
      <c r="BO4195" s="81"/>
      <c r="BP4195" s="81"/>
      <c r="BQ4195" s="81"/>
      <c r="BR4195" s="81"/>
      <c r="BS4195" s="81"/>
      <c r="BT4195" s="81"/>
    </row>
    <row r="4196" spans="65:72" x14ac:dyDescent="0.25">
      <c r="BM4196" s="81"/>
      <c r="BN4196" s="81"/>
      <c r="BO4196" s="81"/>
      <c r="BP4196" s="81"/>
      <c r="BQ4196" s="81"/>
      <c r="BR4196" s="81"/>
      <c r="BS4196" s="81"/>
      <c r="BT4196" s="81"/>
    </row>
    <row r="4197" spans="65:72" x14ac:dyDescent="0.25">
      <c r="BM4197" s="81"/>
      <c r="BN4197" s="81"/>
      <c r="BO4197" s="81"/>
      <c r="BP4197" s="81"/>
      <c r="BQ4197" s="81"/>
      <c r="BR4197" s="81"/>
      <c r="BS4197" s="81"/>
      <c r="BT4197" s="81"/>
    </row>
    <row r="4198" spans="65:72" x14ac:dyDescent="0.25">
      <c r="BM4198" s="81"/>
      <c r="BN4198" s="81"/>
      <c r="BO4198" s="81"/>
      <c r="BP4198" s="81"/>
      <c r="BQ4198" s="81"/>
      <c r="BR4198" s="81"/>
      <c r="BS4198" s="81"/>
      <c r="BT4198" s="81"/>
    </row>
    <row r="4199" spans="65:72" x14ac:dyDescent="0.25">
      <c r="BM4199" s="81"/>
      <c r="BN4199" s="81"/>
      <c r="BO4199" s="81"/>
      <c r="BP4199" s="81"/>
      <c r="BQ4199" s="81"/>
      <c r="BR4199" s="81"/>
      <c r="BS4199" s="81"/>
      <c r="BT4199" s="81"/>
    </row>
    <row r="4200" spans="65:72" x14ac:dyDescent="0.25">
      <c r="BM4200" s="81"/>
      <c r="BN4200" s="81"/>
      <c r="BO4200" s="81"/>
      <c r="BP4200" s="81"/>
      <c r="BQ4200" s="81"/>
      <c r="BR4200" s="81"/>
      <c r="BS4200" s="81"/>
      <c r="BT4200" s="81"/>
    </row>
    <row r="4201" spans="65:72" x14ac:dyDescent="0.25">
      <c r="BM4201" s="81"/>
      <c r="BN4201" s="81"/>
      <c r="BO4201" s="81"/>
      <c r="BP4201" s="81"/>
      <c r="BQ4201" s="81"/>
      <c r="BR4201" s="81"/>
      <c r="BS4201" s="81"/>
      <c r="BT4201" s="81"/>
    </row>
    <row r="4202" spans="65:72" x14ac:dyDescent="0.25">
      <c r="BM4202" s="81"/>
      <c r="BN4202" s="81"/>
      <c r="BO4202" s="81"/>
      <c r="BP4202" s="81"/>
      <c r="BQ4202" s="81"/>
      <c r="BR4202" s="81"/>
      <c r="BS4202" s="81"/>
      <c r="BT4202" s="81"/>
    </row>
    <row r="4203" spans="65:72" x14ac:dyDescent="0.25">
      <c r="BM4203" s="81"/>
      <c r="BN4203" s="81"/>
      <c r="BO4203" s="81"/>
      <c r="BP4203" s="81"/>
      <c r="BQ4203" s="81"/>
      <c r="BR4203" s="81"/>
      <c r="BS4203" s="81"/>
      <c r="BT4203" s="81"/>
    </row>
    <row r="4204" spans="65:72" x14ac:dyDescent="0.25">
      <c r="BM4204" s="81"/>
      <c r="BN4204" s="81"/>
      <c r="BO4204" s="81"/>
      <c r="BP4204" s="81"/>
      <c r="BQ4204" s="81"/>
      <c r="BR4204" s="81"/>
      <c r="BS4204" s="81"/>
      <c r="BT4204" s="81"/>
    </row>
    <row r="4205" spans="65:72" x14ac:dyDescent="0.25">
      <c r="BM4205" s="81"/>
      <c r="BN4205" s="81"/>
      <c r="BO4205" s="81"/>
      <c r="BP4205" s="81"/>
      <c r="BQ4205" s="81"/>
      <c r="BR4205" s="81"/>
      <c r="BS4205" s="81"/>
      <c r="BT4205" s="81"/>
    </row>
    <row r="4206" spans="65:72" x14ac:dyDescent="0.25">
      <c r="BM4206" s="81"/>
      <c r="BN4206" s="81"/>
      <c r="BO4206" s="81"/>
      <c r="BP4206" s="81"/>
      <c r="BQ4206" s="81"/>
      <c r="BR4206" s="81"/>
      <c r="BS4206" s="81"/>
      <c r="BT4206" s="81"/>
    </row>
    <row r="4207" spans="65:72" x14ac:dyDescent="0.25">
      <c r="BM4207" s="81"/>
      <c r="BN4207" s="81"/>
      <c r="BO4207" s="81"/>
      <c r="BP4207" s="81"/>
      <c r="BQ4207" s="81"/>
      <c r="BR4207" s="81"/>
      <c r="BS4207" s="81"/>
      <c r="BT4207" s="81"/>
    </row>
    <row r="4208" spans="65:72" x14ac:dyDescent="0.25">
      <c r="BM4208" s="81"/>
      <c r="BN4208" s="81"/>
      <c r="BO4208" s="81"/>
      <c r="BP4208" s="81"/>
      <c r="BQ4208" s="81"/>
      <c r="BR4208" s="81"/>
      <c r="BS4208" s="81"/>
      <c r="BT4208" s="81"/>
    </row>
    <row r="4209" spans="65:72" x14ac:dyDescent="0.25">
      <c r="BM4209" s="81"/>
      <c r="BN4209" s="81"/>
      <c r="BO4209" s="81"/>
      <c r="BP4209" s="81"/>
      <c r="BQ4209" s="81"/>
      <c r="BR4209" s="81"/>
      <c r="BS4209" s="81"/>
      <c r="BT4209" s="81"/>
    </row>
    <row r="4210" spans="65:72" x14ac:dyDescent="0.25">
      <c r="BM4210" s="81"/>
      <c r="BN4210" s="81"/>
      <c r="BO4210" s="81"/>
      <c r="BP4210" s="81"/>
      <c r="BQ4210" s="81"/>
      <c r="BR4210" s="81"/>
      <c r="BS4210" s="81"/>
      <c r="BT4210" s="81"/>
    </row>
    <row r="4211" spans="65:72" x14ac:dyDescent="0.25">
      <c r="BM4211" s="81"/>
      <c r="BN4211" s="81"/>
      <c r="BO4211" s="81"/>
      <c r="BP4211" s="81"/>
      <c r="BQ4211" s="81"/>
      <c r="BR4211" s="81"/>
      <c r="BS4211" s="81"/>
      <c r="BT4211" s="81"/>
    </row>
    <row r="4212" spans="65:72" x14ac:dyDescent="0.25">
      <c r="BM4212" s="81"/>
      <c r="BN4212" s="81"/>
      <c r="BO4212" s="81"/>
      <c r="BP4212" s="81"/>
      <c r="BQ4212" s="81"/>
      <c r="BR4212" s="81"/>
      <c r="BS4212" s="81"/>
      <c r="BT4212" s="81"/>
    </row>
    <row r="4213" spans="65:72" x14ac:dyDescent="0.25">
      <c r="BM4213" s="81"/>
      <c r="BN4213" s="81"/>
      <c r="BO4213" s="81"/>
      <c r="BP4213" s="81"/>
      <c r="BQ4213" s="81"/>
      <c r="BR4213" s="81"/>
      <c r="BS4213" s="81"/>
      <c r="BT4213" s="81"/>
    </row>
    <row r="4214" spans="65:72" x14ac:dyDescent="0.25">
      <c r="BM4214" s="81"/>
      <c r="BN4214" s="81"/>
      <c r="BO4214" s="81"/>
      <c r="BP4214" s="81"/>
      <c r="BQ4214" s="81"/>
      <c r="BR4214" s="81"/>
      <c r="BS4214" s="81"/>
      <c r="BT4214" s="81"/>
    </row>
    <row r="4215" spans="65:72" x14ac:dyDescent="0.25">
      <c r="BM4215" s="81"/>
      <c r="BN4215" s="81"/>
      <c r="BO4215" s="81"/>
      <c r="BP4215" s="81"/>
      <c r="BQ4215" s="81"/>
      <c r="BR4215" s="81"/>
      <c r="BS4215" s="81"/>
      <c r="BT4215" s="81"/>
    </row>
    <row r="4216" spans="65:72" x14ac:dyDescent="0.25">
      <c r="BM4216" s="81"/>
      <c r="BN4216" s="81"/>
      <c r="BO4216" s="81"/>
      <c r="BP4216" s="81"/>
      <c r="BQ4216" s="81"/>
      <c r="BR4216" s="81"/>
      <c r="BS4216" s="81"/>
      <c r="BT4216" s="81"/>
    </row>
    <row r="4217" spans="65:72" x14ac:dyDescent="0.25">
      <c r="BM4217" s="81"/>
      <c r="BN4217" s="81"/>
      <c r="BO4217" s="81"/>
      <c r="BP4217" s="81"/>
      <c r="BQ4217" s="81"/>
      <c r="BR4217" s="81"/>
      <c r="BS4217" s="81"/>
      <c r="BT4217" s="81"/>
    </row>
    <row r="4218" spans="65:72" x14ac:dyDescent="0.25">
      <c r="BM4218" s="81"/>
      <c r="BN4218" s="81"/>
      <c r="BO4218" s="81"/>
      <c r="BP4218" s="81"/>
      <c r="BQ4218" s="81"/>
      <c r="BR4218" s="81"/>
      <c r="BS4218" s="81"/>
      <c r="BT4218" s="81"/>
    </row>
    <row r="4219" spans="65:72" x14ac:dyDescent="0.25">
      <c r="BM4219" s="81"/>
      <c r="BN4219" s="81"/>
      <c r="BO4219" s="81"/>
      <c r="BP4219" s="81"/>
      <c r="BQ4219" s="81"/>
      <c r="BR4219" s="81"/>
      <c r="BS4219" s="81"/>
      <c r="BT4219" s="81"/>
    </row>
    <row r="4220" spans="65:72" x14ac:dyDescent="0.25">
      <c r="BM4220" s="81"/>
      <c r="BN4220" s="81"/>
      <c r="BO4220" s="81"/>
      <c r="BP4220" s="81"/>
      <c r="BQ4220" s="81"/>
      <c r="BR4220" s="81"/>
      <c r="BS4220" s="81"/>
      <c r="BT4220" s="81"/>
    </row>
    <row r="4221" spans="65:72" x14ac:dyDescent="0.25">
      <c r="BM4221" s="81"/>
      <c r="BN4221" s="81"/>
      <c r="BO4221" s="81"/>
      <c r="BP4221" s="81"/>
      <c r="BQ4221" s="81"/>
      <c r="BR4221" s="81"/>
      <c r="BS4221" s="81"/>
      <c r="BT4221" s="81"/>
    </row>
    <row r="4222" spans="65:72" x14ac:dyDescent="0.25">
      <c r="BM4222" s="81"/>
      <c r="BN4222" s="81"/>
      <c r="BO4222" s="81"/>
      <c r="BP4222" s="81"/>
      <c r="BQ4222" s="81"/>
      <c r="BR4222" s="81"/>
      <c r="BS4222" s="81"/>
      <c r="BT4222" s="81"/>
    </row>
    <row r="4223" spans="65:72" x14ac:dyDescent="0.25">
      <c r="BM4223" s="81"/>
      <c r="BN4223" s="81"/>
      <c r="BO4223" s="81"/>
      <c r="BP4223" s="81"/>
      <c r="BQ4223" s="81"/>
      <c r="BR4223" s="81"/>
      <c r="BS4223" s="81"/>
      <c r="BT4223" s="81"/>
    </row>
    <row r="4224" spans="65:72" x14ac:dyDescent="0.25">
      <c r="BM4224" s="81"/>
      <c r="BN4224" s="81"/>
      <c r="BO4224" s="81"/>
      <c r="BP4224" s="81"/>
      <c r="BQ4224" s="81"/>
      <c r="BR4224" s="81"/>
      <c r="BS4224" s="81"/>
      <c r="BT4224" s="81"/>
    </row>
    <row r="4225" spans="65:72" x14ac:dyDescent="0.25">
      <c r="BM4225" s="81"/>
      <c r="BN4225" s="81"/>
      <c r="BO4225" s="81"/>
      <c r="BP4225" s="81"/>
      <c r="BQ4225" s="81"/>
      <c r="BR4225" s="81"/>
      <c r="BS4225" s="81"/>
      <c r="BT4225" s="81"/>
    </row>
    <row r="4226" spans="65:72" x14ac:dyDescent="0.25">
      <c r="BM4226" s="81"/>
      <c r="BN4226" s="81"/>
      <c r="BO4226" s="81"/>
      <c r="BP4226" s="81"/>
      <c r="BQ4226" s="81"/>
      <c r="BR4226" s="81"/>
      <c r="BS4226" s="81"/>
      <c r="BT4226" s="81"/>
    </row>
    <row r="4227" spans="65:72" x14ac:dyDescent="0.25">
      <c r="BM4227" s="81"/>
      <c r="BN4227" s="81"/>
      <c r="BO4227" s="81"/>
      <c r="BP4227" s="81"/>
      <c r="BQ4227" s="81"/>
      <c r="BR4227" s="81"/>
      <c r="BS4227" s="81"/>
      <c r="BT4227" s="81"/>
    </row>
    <row r="4228" spans="65:72" x14ac:dyDescent="0.25">
      <c r="BM4228" s="81"/>
      <c r="BN4228" s="81"/>
      <c r="BO4228" s="81"/>
      <c r="BP4228" s="81"/>
      <c r="BQ4228" s="81"/>
      <c r="BR4228" s="81"/>
      <c r="BS4228" s="81"/>
      <c r="BT4228" s="81"/>
    </row>
    <row r="4229" spans="65:72" x14ac:dyDescent="0.25">
      <c r="BM4229" s="81"/>
      <c r="BN4229" s="81"/>
      <c r="BO4229" s="81"/>
      <c r="BP4229" s="81"/>
      <c r="BQ4229" s="81"/>
      <c r="BR4229" s="81"/>
      <c r="BS4229" s="81"/>
      <c r="BT4229" s="81"/>
    </row>
    <row r="4230" spans="65:72" x14ac:dyDescent="0.25">
      <c r="BM4230" s="81"/>
      <c r="BN4230" s="81"/>
      <c r="BO4230" s="81"/>
      <c r="BP4230" s="81"/>
      <c r="BQ4230" s="81"/>
      <c r="BR4230" s="81"/>
      <c r="BS4230" s="81"/>
      <c r="BT4230" s="81"/>
    </row>
    <row r="4231" spans="65:72" x14ac:dyDescent="0.25">
      <c r="BM4231" s="81"/>
      <c r="BN4231" s="81"/>
      <c r="BO4231" s="81"/>
      <c r="BP4231" s="81"/>
      <c r="BQ4231" s="81"/>
      <c r="BR4231" s="81"/>
      <c r="BS4231" s="81"/>
      <c r="BT4231" s="81"/>
    </row>
    <row r="4232" spans="65:72" x14ac:dyDescent="0.25">
      <c r="BM4232" s="81"/>
      <c r="BN4232" s="81"/>
      <c r="BO4232" s="81"/>
      <c r="BP4232" s="81"/>
      <c r="BQ4232" s="81"/>
      <c r="BR4232" s="81"/>
      <c r="BS4232" s="81"/>
      <c r="BT4232" s="81"/>
    </row>
    <row r="4233" spans="65:72" x14ac:dyDescent="0.25">
      <c r="BM4233" s="81"/>
      <c r="BN4233" s="81"/>
      <c r="BO4233" s="81"/>
      <c r="BP4233" s="81"/>
      <c r="BQ4233" s="81"/>
      <c r="BR4233" s="81"/>
      <c r="BS4233" s="81"/>
      <c r="BT4233" s="81"/>
    </row>
    <row r="4234" spans="65:72" x14ac:dyDescent="0.25">
      <c r="BM4234" s="81"/>
      <c r="BN4234" s="81"/>
      <c r="BO4234" s="81"/>
      <c r="BP4234" s="81"/>
      <c r="BQ4234" s="81"/>
      <c r="BR4234" s="81"/>
      <c r="BS4234" s="81"/>
      <c r="BT4234" s="81"/>
    </row>
    <row r="4235" spans="65:72" x14ac:dyDescent="0.25">
      <c r="BM4235" s="81"/>
      <c r="BN4235" s="81"/>
      <c r="BO4235" s="81"/>
      <c r="BP4235" s="81"/>
      <c r="BQ4235" s="81"/>
      <c r="BR4235" s="81"/>
      <c r="BS4235" s="81"/>
      <c r="BT4235" s="81"/>
    </row>
    <row r="4236" spans="65:72" x14ac:dyDescent="0.25">
      <c r="BM4236" s="81"/>
      <c r="BN4236" s="81"/>
      <c r="BO4236" s="81"/>
      <c r="BP4236" s="81"/>
      <c r="BQ4236" s="81"/>
      <c r="BR4236" s="81"/>
      <c r="BS4236" s="81"/>
      <c r="BT4236" s="81"/>
    </row>
    <row r="4237" spans="65:72" x14ac:dyDescent="0.25">
      <c r="BM4237" s="81"/>
      <c r="BN4237" s="81"/>
      <c r="BO4237" s="81"/>
      <c r="BP4237" s="81"/>
      <c r="BQ4237" s="81"/>
      <c r="BR4237" s="81"/>
      <c r="BS4237" s="81"/>
      <c r="BT4237" s="81"/>
    </row>
    <row r="4238" spans="65:72" x14ac:dyDescent="0.25">
      <c r="BM4238" s="81"/>
      <c r="BN4238" s="81"/>
      <c r="BO4238" s="81"/>
      <c r="BP4238" s="81"/>
      <c r="BQ4238" s="81"/>
      <c r="BR4238" s="81"/>
      <c r="BS4238" s="81"/>
      <c r="BT4238" s="81"/>
    </row>
    <row r="4239" spans="65:72" x14ac:dyDescent="0.25">
      <c r="BM4239" s="81"/>
      <c r="BN4239" s="81"/>
      <c r="BO4239" s="81"/>
      <c r="BP4239" s="81"/>
      <c r="BQ4239" s="81"/>
      <c r="BR4239" s="81"/>
      <c r="BS4239" s="81"/>
      <c r="BT4239" s="81"/>
    </row>
    <row r="4240" spans="65:72" x14ac:dyDescent="0.25">
      <c r="BM4240" s="81"/>
      <c r="BN4240" s="81"/>
      <c r="BO4240" s="81"/>
      <c r="BP4240" s="81"/>
      <c r="BQ4240" s="81"/>
      <c r="BR4240" s="81"/>
      <c r="BS4240" s="81"/>
      <c r="BT4240" s="81"/>
    </row>
    <row r="4241" spans="65:72" x14ac:dyDescent="0.25">
      <c r="BM4241" s="81"/>
      <c r="BN4241" s="81"/>
      <c r="BO4241" s="81"/>
      <c r="BP4241" s="81"/>
      <c r="BQ4241" s="81"/>
      <c r="BR4241" s="81"/>
      <c r="BS4241" s="81"/>
      <c r="BT4241" s="81"/>
    </row>
    <row r="4242" spans="65:72" x14ac:dyDescent="0.25">
      <c r="BM4242" s="81"/>
      <c r="BN4242" s="81"/>
      <c r="BO4242" s="81"/>
      <c r="BP4242" s="81"/>
      <c r="BQ4242" s="81"/>
      <c r="BR4242" s="81"/>
      <c r="BS4242" s="81"/>
      <c r="BT4242" s="81"/>
    </row>
    <row r="4243" spans="65:72" x14ac:dyDescent="0.25">
      <c r="BM4243" s="81"/>
      <c r="BN4243" s="81"/>
      <c r="BO4243" s="81"/>
      <c r="BP4243" s="81"/>
      <c r="BQ4243" s="81"/>
      <c r="BR4243" s="81"/>
      <c r="BS4243" s="81"/>
      <c r="BT4243" s="81"/>
    </row>
    <row r="4244" spans="65:72" x14ac:dyDescent="0.25">
      <c r="BM4244" s="81"/>
      <c r="BN4244" s="81"/>
      <c r="BO4244" s="81"/>
      <c r="BP4244" s="81"/>
      <c r="BQ4244" s="81"/>
      <c r="BR4244" s="81"/>
      <c r="BS4244" s="81"/>
      <c r="BT4244" s="81"/>
    </row>
    <row r="4245" spans="65:72" x14ac:dyDescent="0.25">
      <c r="BM4245" s="81"/>
      <c r="BN4245" s="81"/>
      <c r="BO4245" s="81"/>
      <c r="BP4245" s="81"/>
      <c r="BQ4245" s="81"/>
      <c r="BR4245" s="81"/>
      <c r="BS4245" s="81"/>
      <c r="BT4245" s="81"/>
    </row>
    <row r="4246" spans="65:72" x14ac:dyDescent="0.25">
      <c r="BM4246" s="81"/>
      <c r="BN4246" s="81"/>
      <c r="BO4246" s="81"/>
      <c r="BP4246" s="81"/>
      <c r="BQ4246" s="81"/>
      <c r="BR4246" s="81"/>
      <c r="BS4246" s="81"/>
      <c r="BT4246" s="81"/>
    </row>
    <row r="4247" spans="65:72" x14ac:dyDescent="0.25">
      <c r="BM4247" s="81"/>
      <c r="BN4247" s="81"/>
      <c r="BO4247" s="81"/>
      <c r="BP4247" s="81"/>
      <c r="BQ4247" s="81"/>
      <c r="BR4247" s="81"/>
      <c r="BS4247" s="81"/>
      <c r="BT4247" s="81"/>
    </row>
    <row r="4248" spans="65:72" x14ac:dyDescent="0.25">
      <c r="BM4248" s="81"/>
      <c r="BN4248" s="81"/>
      <c r="BO4248" s="81"/>
      <c r="BP4248" s="81"/>
      <c r="BQ4248" s="81"/>
      <c r="BR4248" s="81"/>
      <c r="BS4248" s="81"/>
      <c r="BT4248" s="81"/>
    </row>
    <row r="4249" spans="65:72" x14ac:dyDescent="0.25">
      <c r="BM4249" s="81"/>
      <c r="BN4249" s="81"/>
      <c r="BO4249" s="81"/>
      <c r="BP4249" s="81"/>
      <c r="BQ4249" s="81"/>
      <c r="BR4249" s="81"/>
      <c r="BS4249" s="81"/>
      <c r="BT4249" s="81"/>
    </row>
    <row r="4250" spans="65:72" x14ac:dyDescent="0.25">
      <c r="BM4250" s="81"/>
      <c r="BN4250" s="81"/>
      <c r="BO4250" s="81"/>
      <c r="BP4250" s="81"/>
      <c r="BQ4250" s="81"/>
      <c r="BR4250" s="81"/>
      <c r="BS4250" s="81"/>
      <c r="BT4250" s="81"/>
    </row>
    <row r="4251" spans="65:72" x14ac:dyDescent="0.25">
      <c r="BM4251" s="81"/>
      <c r="BN4251" s="81"/>
      <c r="BO4251" s="81"/>
      <c r="BP4251" s="81"/>
      <c r="BQ4251" s="81"/>
      <c r="BR4251" s="81"/>
      <c r="BS4251" s="81"/>
      <c r="BT4251" s="81"/>
    </row>
    <row r="4252" spans="65:72" x14ac:dyDescent="0.25">
      <c r="BM4252" s="81"/>
      <c r="BN4252" s="81"/>
      <c r="BO4252" s="81"/>
      <c r="BP4252" s="81"/>
      <c r="BQ4252" s="81"/>
      <c r="BR4252" s="81"/>
      <c r="BS4252" s="81"/>
      <c r="BT4252" s="81"/>
    </row>
    <row r="4253" spans="65:72" x14ac:dyDescent="0.25">
      <c r="BM4253" s="81"/>
      <c r="BN4253" s="81"/>
      <c r="BO4253" s="81"/>
      <c r="BP4253" s="81"/>
      <c r="BQ4253" s="81"/>
      <c r="BR4253" s="81"/>
      <c r="BS4253" s="81"/>
      <c r="BT4253" s="81"/>
    </row>
    <row r="4254" spans="65:72" x14ac:dyDescent="0.25">
      <c r="BM4254" s="81"/>
      <c r="BN4254" s="81"/>
      <c r="BO4254" s="81"/>
      <c r="BP4254" s="81"/>
      <c r="BQ4254" s="81"/>
      <c r="BR4254" s="81"/>
      <c r="BS4254" s="81"/>
      <c r="BT4254" s="81"/>
    </row>
    <row r="4255" spans="65:72" x14ac:dyDescent="0.25">
      <c r="BM4255" s="81"/>
      <c r="BN4255" s="81"/>
      <c r="BO4255" s="81"/>
      <c r="BP4255" s="81"/>
      <c r="BQ4255" s="81"/>
      <c r="BR4255" s="81"/>
      <c r="BS4255" s="81"/>
      <c r="BT4255" s="81"/>
    </row>
    <row r="4256" spans="65:72" x14ac:dyDescent="0.25">
      <c r="BM4256" s="81"/>
      <c r="BN4256" s="81"/>
      <c r="BO4256" s="81"/>
      <c r="BP4256" s="81"/>
      <c r="BQ4256" s="81"/>
      <c r="BR4256" s="81"/>
      <c r="BS4256" s="81"/>
      <c r="BT4256" s="81"/>
    </row>
    <row r="4257" spans="65:72" x14ac:dyDescent="0.25">
      <c r="BM4257" s="81"/>
      <c r="BN4257" s="81"/>
      <c r="BO4257" s="81"/>
      <c r="BP4257" s="81"/>
      <c r="BQ4257" s="81"/>
      <c r="BR4257" s="81"/>
      <c r="BS4257" s="81"/>
      <c r="BT4257" s="81"/>
    </row>
    <row r="4258" spans="65:72" x14ac:dyDescent="0.25">
      <c r="BM4258" s="81"/>
      <c r="BN4258" s="81"/>
      <c r="BO4258" s="81"/>
      <c r="BP4258" s="81"/>
      <c r="BQ4258" s="81"/>
      <c r="BR4258" s="81"/>
      <c r="BS4258" s="81"/>
      <c r="BT4258" s="81"/>
    </row>
    <row r="4259" spans="65:72" x14ac:dyDescent="0.25">
      <c r="BM4259" s="81"/>
      <c r="BN4259" s="81"/>
      <c r="BO4259" s="81"/>
      <c r="BP4259" s="81"/>
      <c r="BQ4259" s="81"/>
      <c r="BR4259" s="81"/>
      <c r="BS4259" s="81"/>
      <c r="BT4259" s="81"/>
    </row>
    <row r="4260" spans="65:72" x14ac:dyDescent="0.25">
      <c r="BM4260" s="81"/>
      <c r="BN4260" s="81"/>
      <c r="BO4260" s="81"/>
      <c r="BP4260" s="81"/>
      <c r="BQ4260" s="81"/>
      <c r="BR4260" s="81"/>
      <c r="BS4260" s="81"/>
      <c r="BT4260" s="81"/>
    </row>
    <row r="4261" spans="65:72" x14ac:dyDescent="0.25">
      <c r="BM4261" s="81"/>
      <c r="BN4261" s="81"/>
      <c r="BO4261" s="81"/>
      <c r="BP4261" s="81"/>
      <c r="BQ4261" s="81"/>
      <c r="BR4261" s="81"/>
      <c r="BS4261" s="81"/>
      <c r="BT4261" s="81"/>
    </row>
    <row r="4262" spans="65:72" x14ac:dyDescent="0.25">
      <c r="BM4262" s="81"/>
      <c r="BN4262" s="81"/>
      <c r="BO4262" s="81"/>
      <c r="BP4262" s="81"/>
      <c r="BQ4262" s="81"/>
      <c r="BR4262" s="81"/>
      <c r="BS4262" s="81"/>
      <c r="BT4262" s="81"/>
    </row>
    <row r="4263" spans="65:72" x14ac:dyDescent="0.25">
      <c r="BM4263" s="81"/>
      <c r="BN4263" s="81"/>
      <c r="BO4263" s="81"/>
      <c r="BP4263" s="81"/>
      <c r="BQ4263" s="81"/>
      <c r="BR4263" s="81"/>
      <c r="BS4263" s="81"/>
      <c r="BT4263" s="81"/>
    </row>
    <row r="4264" spans="65:72" x14ac:dyDescent="0.25">
      <c r="BM4264" s="81"/>
      <c r="BN4264" s="81"/>
      <c r="BO4264" s="81"/>
      <c r="BP4264" s="81"/>
      <c r="BQ4264" s="81"/>
      <c r="BR4264" s="81"/>
      <c r="BS4264" s="81"/>
      <c r="BT4264" s="81"/>
    </row>
    <row r="4265" spans="65:72" x14ac:dyDescent="0.25">
      <c r="BM4265" s="81"/>
      <c r="BN4265" s="81"/>
      <c r="BO4265" s="81"/>
      <c r="BP4265" s="81"/>
      <c r="BQ4265" s="81"/>
      <c r="BR4265" s="81"/>
      <c r="BS4265" s="81"/>
      <c r="BT4265" s="81"/>
    </row>
    <row r="4266" spans="65:72" x14ac:dyDescent="0.25">
      <c r="BM4266" s="81"/>
      <c r="BN4266" s="81"/>
      <c r="BO4266" s="81"/>
      <c r="BP4266" s="81"/>
      <c r="BQ4266" s="81"/>
      <c r="BR4266" s="81"/>
      <c r="BS4266" s="81"/>
      <c r="BT4266" s="81"/>
    </row>
    <row r="4267" spans="65:72" x14ac:dyDescent="0.25">
      <c r="BM4267" s="81"/>
      <c r="BN4267" s="81"/>
      <c r="BO4267" s="81"/>
      <c r="BP4267" s="81"/>
      <c r="BQ4267" s="81"/>
      <c r="BR4267" s="81"/>
      <c r="BS4267" s="81"/>
      <c r="BT4267" s="81"/>
    </row>
    <row r="4268" spans="65:72" x14ac:dyDescent="0.25">
      <c r="BM4268" s="81"/>
      <c r="BN4268" s="81"/>
      <c r="BO4268" s="81"/>
      <c r="BP4268" s="81"/>
      <c r="BQ4268" s="81"/>
      <c r="BR4268" s="81"/>
      <c r="BS4268" s="81"/>
      <c r="BT4268" s="81"/>
    </row>
    <row r="4269" spans="65:72" x14ac:dyDescent="0.25">
      <c r="BM4269" s="81"/>
      <c r="BN4269" s="81"/>
      <c r="BO4269" s="81"/>
      <c r="BP4269" s="81"/>
      <c r="BQ4269" s="81"/>
      <c r="BR4269" s="81"/>
      <c r="BS4269" s="81"/>
      <c r="BT4269" s="81"/>
    </row>
    <row r="4270" spans="65:72" x14ac:dyDescent="0.25">
      <c r="BM4270" s="81"/>
      <c r="BN4270" s="81"/>
      <c r="BO4270" s="81"/>
      <c r="BP4270" s="81"/>
      <c r="BQ4270" s="81"/>
      <c r="BR4270" s="81"/>
      <c r="BS4270" s="81"/>
      <c r="BT4270" s="81"/>
    </row>
    <row r="4271" spans="65:72" x14ac:dyDescent="0.25">
      <c r="BM4271" s="81"/>
      <c r="BN4271" s="81"/>
      <c r="BO4271" s="81"/>
      <c r="BP4271" s="81"/>
      <c r="BQ4271" s="81"/>
      <c r="BR4271" s="81"/>
      <c r="BS4271" s="81"/>
      <c r="BT4271" s="81"/>
    </row>
    <row r="4272" spans="65:72" x14ac:dyDescent="0.25">
      <c r="BM4272" s="81"/>
      <c r="BN4272" s="81"/>
      <c r="BO4272" s="81"/>
      <c r="BP4272" s="81"/>
      <c r="BQ4272" s="81"/>
      <c r="BR4272" s="81"/>
      <c r="BS4272" s="81"/>
      <c r="BT4272" s="81"/>
    </row>
    <row r="4273" spans="65:72" x14ac:dyDescent="0.25">
      <c r="BM4273" s="81"/>
      <c r="BN4273" s="81"/>
      <c r="BO4273" s="81"/>
      <c r="BP4273" s="81"/>
      <c r="BQ4273" s="81"/>
      <c r="BR4273" s="81"/>
      <c r="BS4273" s="81"/>
      <c r="BT4273" s="81"/>
    </row>
    <row r="4274" spans="65:72" x14ac:dyDescent="0.25">
      <c r="BM4274" s="81"/>
      <c r="BN4274" s="81"/>
      <c r="BO4274" s="81"/>
      <c r="BP4274" s="81"/>
      <c r="BQ4274" s="81"/>
      <c r="BR4274" s="81"/>
      <c r="BS4274" s="81"/>
      <c r="BT4274" s="81"/>
    </row>
    <row r="4275" spans="65:72" x14ac:dyDescent="0.25">
      <c r="BM4275" s="81"/>
      <c r="BN4275" s="81"/>
      <c r="BO4275" s="81"/>
      <c r="BP4275" s="81"/>
      <c r="BQ4275" s="81"/>
      <c r="BR4275" s="81"/>
      <c r="BS4275" s="81"/>
      <c r="BT4275" s="81"/>
    </row>
    <row r="4276" spans="65:72" x14ac:dyDescent="0.25">
      <c r="BM4276" s="81"/>
      <c r="BN4276" s="81"/>
      <c r="BO4276" s="81"/>
      <c r="BP4276" s="81"/>
      <c r="BQ4276" s="81"/>
      <c r="BR4276" s="81"/>
      <c r="BS4276" s="81"/>
      <c r="BT4276" s="81"/>
    </row>
    <row r="4277" spans="65:72" x14ac:dyDescent="0.25">
      <c r="BM4277" s="81"/>
      <c r="BN4277" s="81"/>
      <c r="BO4277" s="81"/>
      <c r="BP4277" s="81"/>
      <c r="BQ4277" s="81"/>
      <c r="BR4277" s="81"/>
      <c r="BS4277" s="81"/>
      <c r="BT4277" s="81"/>
    </row>
    <row r="4278" spans="65:72" x14ac:dyDescent="0.25">
      <c r="BM4278" s="81"/>
      <c r="BN4278" s="81"/>
      <c r="BO4278" s="81"/>
      <c r="BP4278" s="81"/>
      <c r="BQ4278" s="81"/>
      <c r="BR4278" s="81"/>
      <c r="BS4278" s="81"/>
      <c r="BT4278" s="81"/>
    </row>
    <row r="4279" spans="65:72" x14ac:dyDescent="0.25">
      <c r="BM4279" s="81"/>
      <c r="BN4279" s="81"/>
      <c r="BO4279" s="81"/>
      <c r="BP4279" s="81"/>
      <c r="BQ4279" s="81"/>
      <c r="BR4279" s="81"/>
      <c r="BS4279" s="81"/>
      <c r="BT4279" s="81"/>
    </row>
    <row r="4280" spans="65:72" x14ac:dyDescent="0.25">
      <c r="BM4280" s="81"/>
      <c r="BN4280" s="81"/>
      <c r="BO4280" s="81"/>
      <c r="BP4280" s="81"/>
      <c r="BQ4280" s="81"/>
      <c r="BR4280" s="81"/>
      <c r="BS4280" s="81"/>
      <c r="BT4280" s="81"/>
    </row>
    <row r="4281" spans="65:72" x14ac:dyDescent="0.25">
      <c r="BM4281" s="81"/>
      <c r="BN4281" s="81"/>
      <c r="BO4281" s="81"/>
      <c r="BP4281" s="81"/>
      <c r="BQ4281" s="81"/>
      <c r="BR4281" s="81"/>
      <c r="BS4281" s="81"/>
      <c r="BT4281" s="81"/>
    </row>
    <row r="4282" spans="65:72" x14ac:dyDescent="0.25">
      <c r="BM4282" s="81"/>
      <c r="BN4282" s="81"/>
      <c r="BO4282" s="81"/>
      <c r="BP4282" s="81"/>
      <c r="BQ4282" s="81"/>
      <c r="BR4282" s="81"/>
      <c r="BS4282" s="81"/>
      <c r="BT4282" s="81"/>
    </row>
    <row r="4283" spans="65:72" x14ac:dyDescent="0.25">
      <c r="BM4283" s="81"/>
      <c r="BN4283" s="81"/>
      <c r="BO4283" s="81"/>
      <c r="BP4283" s="81"/>
      <c r="BQ4283" s="81"/>
      <c r="BR4283" s="81"/>
      <c r="BS4283" s="81"/>
      <c r="BT4283" s="81"/>
    </row>
    <row r="4284" spans="65:72" x14ac:dyDescent="0.25">
      <c r="BM4284" s="81"/>
      <c r="BN4284" s="81"/>
      <c r="BO4284" s="81"/>
      <c r="BP4284" s="81"/>
      <c r="BQ4284" s="81"/>
      <c r="BR4284" s="81"/>
      <c r="BS4284" s="81"/>
      <c r="BT4284" s="81"/>
    </row>
    <row r="4285" spans="65:72" x14ac:dyDescent="0.25">
      <c r="BM4285" s="81"/>
      <c r="BN4285" s="81"/>
      <c r="BO4285" s="81"/>
      <c r="BP4285" s="81"/>
      <c r="BQ4285" s="81"/>
      <c r="BR4285" s="81"/>
      <c r="BS4285" s="81"/>
      <c r="BT4285" s="81"/>
    </row>
    <row r="4286" spans="65:72" x14ac:dyDescent="0.25">
      <c r="BM4286" s="81"/>
      <c r="BN4286" s="81"/>
      <c r="BO4286" s="81"/>
      <c r="BP4286" s="81"/>
      <c r="BQ4286" s="81"/>
      <c r="BR4286" s="81"/>
      <c r="BS4286" s="81"/>
      <c r="BT4286" s="81"/>
    </row>
    <row r="4287" spans="65:72" x14ac:dyDescent="0.25">
      <c r="BM4287" s="81"/>
      <c r="BN4287" s="81"/>
      <c r="BO4287" s="81"/>
      <c r="BP4287" s="81"/>
      <c r="BQ4287" s="81"/>
      <c r="BR4287" s="81"/>
      <c r="BS4287" s="81"/>
      <c r="BT4287" s="81"/>
    </row>
    <row r="4288" spans="65:72" x14ac:dyDescent="0.25">
      <c r="BM4288" s="81"/>
      <c r="BN4288" s="81"/>
      <c r="BO4288" s="81"/>
      <c r="BP4288" s="81"/>
      <c r="BQ4288" s="81"/>
      <c r="BR4288" s="81"/>
      <c r="BS4288" s="81"/>
      <c r="BT4288" s="81"/>
    </row>
    <row r="4289" spans="65:72" x14ac:dyDescent="0.25">
      <c r="BM4289" s="81"/>
      <c r="BN4289" s="81"/>
      <c r="BO4289" s="81"/>
      <c r="BP4289" s="81"/>
      <c r="BQ4289" s="81"/>
      <c r="BR4289" s="81"/>
      <c r="BS4289" s="81"/>
      <c r="BT4289" s="81"/>
    </row>
    <row r="4290" spans="65:72" x14ac:dyDescent="0.25">
      <c r="BM4290" s="81"/>
      <c r="BN4290" s="81"/>
      <c r="BO4290" s="81"/>
      <c r="BP4290" s="81"/>
      <c r="BQ4290" s="81"/>
      <c r="BR4290" s="81"/>
      <c r="BS4290" s="81"/>
      <c r="BT4290" s="81"/>
    </row>
    <row r="4291" spans="65:72" x14ac:dyDescent="0.25">
      <c r="BM4291" s="81"/>
      <c r="BN4291" s="81"/>
      <c r="BO4291" s="81"/>
      <c r="BP4291" s="81"/>
      <c r="BQ4291" s="81"/>
      <c r="BR4291" s="81"/>
      <c r="BS4291" s="81"/>
      <c r="BT4291" s="81"/>
    </row>
    <row r="4292" spans="65:72" x14ac:dyDescent="0.25">
      <c r="BM4292" s="81"/>
      <c r="BN4292" s="81"/>
      <c r="BO4292" s="81"/>
      <c r="BP4292" s="81"/>
      <c r="BQ4292" s="81"/>
      <c r="BR4292" s="81"/>
      <c r="BS4292" s="81"/>
      <c r="BT4292" s="81"/>
    </row>
    <row r="4293" spans="65:72" x14ac:dyDescent="0.25">
      <c r="BM4293" s="81"/>
      <c r="BN4293" s="81"/>
      <c r="BO4293" s="81"/>
      <c r="BP4293" s="81"/>
      <c r="BQ4293" s="81"/>
      <c r="BR4293" s="81"/>
      <c r="BS4293" s="81"/>
      <c r="BT4293" s="81"/>
    </row>
    <row r="4294" spans="65:72" x14ac:dyDescent="0.25">
      <c r="BM4294" s="81"/>
      <c r="BN4294" s="81"/>
      <c r="BO4294" s="81"/>
      <c r="BP4294" s="81"/>
      <c r="BQ4294" s="81"/>
      <c r="BR4294" s="81"/>
      <c r="BS4294" s="81"/>
      <c r="BT4294" s="81"/>
    </row>
    <row r="4295" spans="65:72" x14ac:dyDescent="0.25">
      <c r="BM4295" s="81"/>
      <c r="BN4295" s="81"/>
      <c r="BO4295" s="81"/>
      <c r="BP4295" s="81"/>
      <c r="BQ4295" s="81"/>
      <c r="BR4295" s="81"/>
      <c r="BS4295" s="81"/>
      <c r="BT4295" s="81"/>
    </row>
    <row r="4296" spans="65:72" x14ac:dyDescent="0.25">
      <c r="BM4296" s="81"/>
      <c r="BN4296" s="81"/>
      <c r="BO4296" s="81"/>
      <c r="BP4296" s="81"/>
      <c r="BQ4296" s="81"/>
      <c r="BR4296" s="81"/>
      <c r="BS4296" s="81"/>
      <c r="BT4296" s="81"/>
    </row>
    <row r="4297" spans="65:72" x14ac:dyDescent="0.25">
      <c r="BM4297" s="81"/>
      <c r="BN4297" s="81"/>
      <c r="BO4297" s="81"/>
      <c r="BP4297" s="81"/>
      <c r="BQ4297" s="81"/>
      <c r="BR4297" s="81"/>
      <c r="BS4297" s="81"/>
      <c r="BT4297" s="81"/>
    </row>
    <row r="4298" spans="65:72" x14ac:dyDescent="0.25">
      <c r="BM4298" s="81"/>
      <c r="BN4298" s="81"/>
      <c r="BO4298" s="81"/>
      <c r="BP4298" s="81"/>
      <c r="BQ4298" s="81"/>
      <c r="BR4298" s="81"/>
      <c r="BS4298" s="81"/>
      <c r="BT4298" s="81"/>
    </row>
    <row r="4299" spans="65:72" x14ac:dyDescent="0.25">
      <c r="BM4299" s="81"/>
      <c r="BN4299" s="81"/>
      <c r="BO4299" s="81"/>
      <c r="BP4299" s="81"/>
      <c r="BQ4299" s="81"/>
      <c r="BR4299" s="81"/>
      <c r="BS4299" s="81"/>
      <c r="BT4299" s="81"/>
    </row>
    <row r="4300" spans="65:72" x14ac:dyDescent="0.25">
      <c r="BM4300" s="81"/>
      <c r="BN4300" s="81"/>
      <c r="BO4300" s="81"/>
      <c r="BP4300" s="81"/>
      <c r="BQ4300" s="81"/>
      <c r="BR4300" s="81"/>
      <c r="BS4300" s="81"/>
      <c r="BT4300" s="81"/>
    </row>
    <row r="4301" spans="65:72" x14ac:dyDescent="0.25">
      <c r="BM4301" s="81"/>
      <c r="BN4301" s="81"/>
      <c r="BO4301" s="81"/>
      <c r="BP4301" s="81"/>
      <c r="BQ4301" s="81"/>
      <c r="BR4301" s="81"/>
      <c r="BS4301" s="81"/>
      <c r="BT4301" s="81"/>
    </row>
    <row r="4302" spans="65:72" x14ac:dyDescent="0.25">
      <c r="BM4302" s="81"/>
      <c r="BN4302" s="81"/>
      <c r="BO4302" s="81"/>
      <c r="BP4302" s="81"/>
      <c r="BQ4302" s="81"/>
      <c r="BR4302" s="81"/>
      <c r="BS4302" s="81"/>
      <c r="BT4302" s="81"/>
    </row>
    <row r="4303" spans="65:72" x14ac:dyDescent="0.25">
      <c r="BM4303" s="81"/>
      <c r="BN4303" s="81"/>
      <c r="BO4303" s="81"/>
      <c r="BP4303" s="81"/>
      <c r="BQ4303" s="81"/>
      <c r="BR4303" s="81"/>
      <c r="BS4303" s="81"/>
      <c r="BT4303" s="81"/>
    </row>
    <row r="4304" spans="65:72" x14ac:dyDescent="0.25">
      <c r="BM4304" s="81"/>
      <c r="BN4304" s="81"/>
      <c r="BO4304" s="81"/>
      <c r="BP4304" s="81"/>
      <c r="BQ4304" s="81"/>
      <c r="BR4304" s="81"/>
      <c r="BS4304" s="81"/>
      <c r="BT4304" s="81"/>
    </row>
    <row r="4305" spans="65:72" x14ac:dyDescent="0.25">
      <c r="BM4305" s="81"/>
      <c r="BN4305" s="81"/>
      <c r="BO4305" s="81"/>
      <c r="BP4305" s="81"/>
      <c r="BQ4305" s="81"/>
      <c r="BR4305" s="81"/>
      <c r="BS4305" s="81"/>
      <c r="BT4305" s="81"/>
    </row>
    <row r="4306" spans="65:72" x14ac:dyDescent="0.25">
      <c r="BM4306" s="81"/>
      <c r="BN4306" s="81"/>
      <c r="BO4306" s="81"/>
      <c r="BP4306" s="81"/>
      <c r="BQ4306" s="81"/>
      <c r="BR4306" s="81"/>
      <c r="BS4306" s="81"/>
      <c r="BT4306" s="81"/>
    </row>
    <row r="4307" spans="65:72" x14ac:dyDescent="0.25">
      <c r="BM4307" s="81"/>
      <c r="BN4307" s="81"/>
      <c r="BO4307" s="81"/>
      <c r="BP4307" s="81"/>
      <c r="BQ4307" s="81"/>
      <c r="BR4307" s="81"/>
      <c r="BS4307" s="81"/>
      <c r="BT4307" s="81"/>
    </row>
    <row r="4308" spans="65:72" x14ac:dyDescent="0.25">
      <c r="BM4308" s="81"/>
      <c r="BN4308" s="81"/>
      <c r="BO4308" s="81"/>
      <c r="BP4308" s="81"/>
      <c r="BQ4308" s="81"/>
      <c r="BR4308" s="81"/>
      <c r="BS4308" s="81"/>
      <c r="BT4308" s="81"/>
    </row>
    <row r="4309" spans="65:72" x14ac:dyDescent="0.25">
      <c r="BM4309" s="81"/>
      <c r="BN4309" s="81"/>
      <c r="BO4309" s="81"/>
      <c r="BP4309" s="81"/>
      <c r="BQ4309" s="81"/>
      <c r="BR4309" s="81"/>
      <c r="BS4309" s="81"/>
      <c r="BT4309" s="81"/>
    </row>
    <row r="4310" spans="65:72" x14ac:dyDescent="0.25">
      <c r="BM4310" s="81"/>
      <c r="BN4310" s="81"/>
      <c r="BO4310" s="81"/>
      <c r="BP4310" s="81"/>
      <c r="BQ4310" s="81"/>
      <c r="BR4310" s="81"/>
      <c r="BS4310" s="81"/>
      <c r="BT4310" s="81"/>
    </row>
    <row r="4311" spans="65:72" x14ac:dyDescent="0.25">
      <c r="BM4311" s="81"/>
      <c r="BN4311" s="81"/>
      <c r="BO4311" s="81"/>
      <c r="BP4311" s="81"/>
      <c r="BQ4311" s="81"/>
      <c r="BR4311" s="81"/>
      <c r="BS4311" s="81"/>
      <c r="BT4311" s="81"/>
    </row>
    <row r="4312" spans="65:72" x14ac:dyDescent="0.25">
      <c r="BM4312" s="81"/>
      <c r="BN4312" s="81"/>
      <c r="BO4312" s="81"/>
      <c r="BP4312" s="81"/>
      <c r="BQ4312" s="81"/>
      <c r="BR4312" s="81"/>
      <c r="BS4312" s="81"/>
      <c r="BT4312" s="81"/>
    </row>
    <row r="4313" spans="65:72" x14ac:dyDescent="0.25">
      <c r="BM4313" s="81"/>
      <c r="BN4313" s="81"/>
      <c r="BO4313" s="81"/>
      <c r="BP4313" s="81"/>
      <c r="BQ4313" s="81"/>
      <c r="BR4313" s="81"/>
      <c r="BS4313" s="81"/>
      <c r="BT4313" s="81"/>
    </row>
    <row r="4314" spans="65:72" x14ac:dyDescent="0.25">
      <c r="BM4314" s="81"/>
      <c r="BN4314" s="81"/>
      <c r="BO4314" s="81"/>
      <c r="BP4314" s="81"/>
      <c r="BQ4314" s="81"/>
      <c r="BR4314" s="81"/>
      <c r="BS4314" s="81"/>
      <c r="BT4314" s="81"/>
    </row>
    <row r="4315" spans="65:72" x14ac:dyDescent="0.25">
      <c r="BM4315" s="81"/>
      <c r="BN4315" s="81"/>
      <c r="BO4315" s="81"/>
      <c r="BP4315" s="81"/>
      <c r="BQ4315" s="81"/>
      <c r="BR4315" s="81"/>
      <c r="BS4315" s="81"/>
      <c r="BT4315" s="81"/>
    </row>
    <row r="4316" spans="65:72" x14ac:dyDescent="0.25">
      <c r="BM4316" s="81"/>
      <c r="BN4316" s="81"/>
      <c r="BO4316" s="81"/>
      <c r="BP4316" s="81"/>
      <c r="BQ4316" s="81"/>
      <c r="BR4316" s="81"/>
      <c r="BS4316" s="81"/>
      <c r="BT4316" s="81"/>
    </row>
    <row r="4317" spans="65:72" x14ac:dyDescent="0.25">
      <c r="BM4317" s="81"/>
      <c r="BN4317" s="81"/>
      <c r="BO4317" s="81"/>
      <c r="BP4317" s="81"/>
      <c r="BQ4317" s="81"/>
      <c r="BR4317" s="81"/>
      <c r="BS4317" s="81"/>
      <c r="BT4317" s="81"/>
    </row>
    <row r="4318" spans="65:72" x14ac:dyDescent="0.25">
      <c r="BM4318" s="81"/>
      <c r="BN4318" s="81"/>
      <c r="BO4318" s="81"/>
      <c r="BP4318" s="81"/>
      <c r="BQ4318" s="81"/>
      <c r="BR4318" s="81"/>
      <c r="BS4318" s="81"/>
      <c r="BT4318" s="81"/>
    </row>
    <row r="4319" spans="65:72" x14ac:dyDescent="0.25">
      <c r="BM4319" s="81"/>
      <c r="BN4319" s="81"/>
      <c r="BO4319" s="81"/>
      <c r="BP4319" s="81"/>
      <c r="BQ4319" s="81"/>
      <c r="BR4319" s="81"/>
      <c r="BS4319" s="81"/>
      <c r="BT4319" s="81"/>
    </row>
    <row r="4320" spans="65:72" x14ac:dyDescent="0.25">
      <c r="BM4320" s="81"/>
      <c r="BN4320" s="81"/>
      <c r="BO4320" s="81"/>
      <c r="BP4320" s="81"/>
      <c r="BQ4320" s="81"/>
      <c r="BR4320" s="81"/>
      <c r="BS4320" s="81"/>
      <c r="BT4320" s="81"/>
    </row>
    <row r="4321" spans="65:72" x14ac:dyDescent="0.25">
      <c r="BM4321" s="81"/>
      <c r="BN4321" s="81"/>
      <c r="BO4321" s="81"/>
      <c r="BP4321" s="81"/>
      <c r="BQ4321" s="81"/>
      <c r="BR4321" s="81"/>
      <c r="BS4321" s="81"/>
      <c r="BT4321" s="81"/>
    </row>
    <row r="4322" spans="65:72" x14ac:dyDescent="0.25">
      <c r="BM4322" s="81"/>
      <c r="BN4322" s="81"/>
      <c r="BO4322" s="81"/>
      <c r="BP4322" s="81"/>
      <c r="BQ4322" s="81"/>
      <c r="BR4322" s="81"/>
      <c r="BS4322" s="81"/>
      <c r="BT4322" s="81"/>
    </row>
    <row r="4323" spans="65:72" x14ac:dyDescent="0.25">
      <c r="BM4323" s="81"/>
      <c r="BN4323" s="81"/>
      <c r="BO4323" s="81"/>
      <c r="BP4323" s="81"/>
      <c r="BQ4323" s="81"/>
      <c r="BR4323" s="81"/>
      <c r="BS4323" s="81"/>
      <c r="BT4323" s="81"/>
    </row>
    <row r="4324" spans="65:72" x14ac:dyDescent="0.25">
      <c r="BM4324" s="81"/>
      <c r="BN4324" s="81"/>
      <c r="BO4324" s="81"/>
      <c r="BP4324" s="81"/>
      <c r="BQ4324" s="81"/>
      <c r="BR4324" s="81"/>
      <c r="BS4324" s="81"/>
      <c r="BT4324" s="81"/>
    </row>
    <row r="4325" spans="65:72" x14ac:dyDescent="0.25">
      <c r="BM4325" s="81"/>
      <c r="BN4325" s="81"/>
      <c r="BO4325" s="81"/>
      <c r="BP4325" s="81"/>
      <c r="BQ4325" s="81"/>
      <c r="BR4325" s="81"/>
      <c r="BS4325" s="81"/>
      <c r="BT4325" s="81"/>
    </row>
    <row r="4326" spans="65:72" x14ac:dyDescent="0.25">
      <c r="BM4326" s="81"/>
      <c r="BN4326" s="81"/>
      <c r="BO4326" s="81"/>
      <c r="BP4326" s="81"/>
      <c r="BQ4326" s="81"/>
      <c r="BR4326" s="81"/>
      <c r="BS4326" s="81"/>
      <c r="BT4326" s="81"/>
    </row>
    <row r="4327" spans="65:72" x14ac:dyDescent="0.25">
      <c r="BM4327" s="81"/>
      <c r="BN4327" s="81"/>
      <c r="BO4327" s="81"/>
      <c r="BP4327" s="81"/>
      <c r="BQ4327" s="81"/>
      <c r="BR4327" s="81"/>
      <c r="BS4327" s="81"/>
      <c r="BT4327" s="81"/>
    </row>
    <row r="4328" spans="65:72" x14ac:dyDescent="0.25">
      <c r="BM4328" s="81"/>
      <c r="BN4328" s="81"/>
      <c r="BO4328" s="81"/>
      <c r="BP4328" s="81"/>
      <c r="BQ4328" s="81"/>
      <c r="BR4328" s="81"/>
      <c r="BS4328" s="81"/>
      <c r="BT4328" s="81"/>
    </row>
    <row r="4329" spans="65:72" x14ac:dyDescent="0.25">
      <c r="BM4329" s="81"/>
      <c r="BN4329" s="81"/>
      <c r="BO4329" s="81"/>
      <c r="BP4329" s="81"/>
      <c r="BQ4329" s="81"/>
      <c r="BR4329" s="81"/>
      <c r="BS4329" s="81"/>
      <c r="BT4329" s="81"/>
    </row>
    <row r="4330" spans="65:72" x14ac:dyDescent="0.25">
      <c r="BM4330" s="81"/>
      <c r="BN4330" s="81"/>
      <c r="BO4330" s="81"/>
      <c r="BP4330" s="81"/>
      <c r="BQ4330" s="81"/>
      <c r="BR4330" s="81"/>
      <c r="BS4330" s="81"/>
      <c r="BT4330" s="81"/>
    </row>
    <row r="4331" spans="65:72" x14ac:dyDescent="0.25">
      <c r="BM4331" s="81"/>
      <c r="BN4331" s="81"/>
      <c r="BO4331" s="81"/>
      <c r="BP4331" s="81"/>
      <c r="BQ4331" s="81"/>
      <c r="BR4331" s="81"/>
      <c r="BS4331" s="81"/>
      <c r="BT4331" s="81"/>
    </row>
    <row r="4332" spans="65:72" x14ac:dyDescent="0.25">
      <c r="BM4332" s="81"/>
      <c r="BN4332" s="81"/>
      <c r="BO4332" s="81"/>
      <c r="BP4332" s="81"/>
      <c r="BQ4332" s="81"/>
      <c r="BR4332" s="81"/>
      <c r="BS4332" s="81"/>
      <c r="BT4332" s="81"/>
    </row>
    <row r="4333" spans="65:72" x14ac:dyDescent="0.25">
      <c r="BM4333" s="81"/>
      <c r="BN4333" s="81"/>
      <c r="BO4333" s="81"/>
      <c r="BP4333" s="81"/>
      <c r="BQ4333" s="81"/>
      <c r="BR4333" s="81"/>
      <c r="BS4333" s="81"/>
      <c r="BT4333" s="81"/>
    </row>
    <row r="4334" spans="65:72" x14ac:dyDescent="0.25">
      <c r="BM4334" s="81"/>
      <c r="BN4334" s="81"/>
      <c r="BO4334" s="81"/>
      <c r="BP4334" s="81"/>
      <c r="BQ4334" s="81"/>
      <c r="BR4334" s="81"/>
      <c r="BS4334" s="81"/>
      <c r="BT4334" s="81"/>
    </row>
    <row r="4335" spans="65:72" x14ac:dyDescent="0.25">
      <c r="BM4335" s="81"/>
      <c r="BN4335" s="81"/>
      <c r="BO4335" s="81"/>
      <c r="BP4335" s="81"/>
      <c r="BQ4335" s="81"/>
      <c r="BR4335" s="81"/>
      <c r="BS4335" s="81"/>
      <c r="BT4335" s="81"/>
    </row>
    <row r="4336" spans="65:72" x14ac:dyDescent="0.25">
      <c r="BM4336" s="81"/>
      <c r="BN4336" s="81"/>
      <c r="BO4336" s="81"/>
      <c r="BP4336" s="81"/>
      <c r="BQ4336" s="81"/>
      <c r="BR4336" s="81"/>
      <c r="BS4336" s="81"/>
      <c r="BT4336" s="81"/>
    </row>
    <row r="4337" spans="65:72" x14ac:dyDescent="0.25">
      <c r="BM4337" s="81"/>
      <c r="BN4337" s="81"/>
      <c r="BO4337" s="81"/>
      <c r="BP4337" s="81"/>
      <c r="BQ4337" s="81"/>
      <c r="BR4337" s="81"/>
      <c r="BS4337" s="81"/>
      <c r="BT4337" s="81"/>
    </row>
    <row r="4338" spans="65:72" x14ac:dyDescent="0.25">
      <c r="BM4338" s="81"/>
      <c r="BN4338" s="81"/>
      <c r="BO4338" s="81"/>
      <c r="BP4338" s="81"/>
      <c r="BQ4338" s="81"/>
      <c r="BR4338" s="81"/>
      <c r="BS4338" s="81"/>
      <c r="BT4338" s="81"/>
    </row>
    <row r="4339" spans="65:72" x14ac:dyDescent="0.25">
      <c r="BM4339" s="81"/>
      <c r="BN4339" s="81"/>
      <c r="BO4339" s="81"/>
      <c r="BP4339" s="81"/>
      <c r="BQ4339" s="81"/>
      <c r="BR4339" s="81"/>
      <c r="BS4339" s="81"/>
      <c r="BT4339" s="81"/>
    </row>
    <row r="4340" spans="65:72" x14ac:dyDescent="0.25">
      <c r="BM4340" s="81"/>
      <c r="BN4340" s="81"/>
      <c r="BO4340" s="81"/>
      <c r="BP4340" s="81"/>
      <c r="BQ4340" s="81"/>
      <c r="BR4340" s="81"/>
      <c r="BS4340" s="81"/>
      <c r="BT4340" s="81"/>
    </row>
    <row r="4341" spans="65:72" x14ac:dyDescent="0.25">
      <c r="BM4341" s="81"/>
      <c r="BN4341" s="81"/>
      <c r="BO4341" s="81"/>
      <c r="BP4341" s="81"/>
      <c r="BQ4341" s="81"/>
      <c r="BR4341" s="81"/>
      <c r="BS4341" s="81"/>
      <c r="BT4341" s="81"/>
    </row>
    <row r="4342" spans="65:72" x14ac:dyDescent="0.25">
      <c r="BM4342" s="81"/>
      <c r="BN4342" s="81"/>
      <c r="BO4342" s="81"/>
      <c r="BP4342" s="81"/>
      <c r="BQ4342" s="81"/>
      <c r="BR4342" s="81"/>
      <c r="BS4342" s="81"/>
      <c r="BT4342" s="81"/>
    </row>
    <row r="4343" spans="65:72" x14ac:dyDescent="0.25">
      <c r="BM4343" s="81"/>
      <c r="BN4343" s="81"/>
      <c r="BO4343" s="81"/>
      <c r="BP4343" s="81"/>
      <c r="BQ4343" s="81"/>
      <c r="BR4343" s="81"/>
      <c r="BS4343" s="81"/>
      <c r="BT4343" s="81"/>
    </row>
    <row r="4344" spans="65:72" x14ac:dyDescent="0.25">
      <c r="BM4344" s="81"/>
      <c r="BN4344" s="81"/>
      <c r="BO4344" s="81"/>
      <c r="BP4344" s="81"/>
      <c r="BQ4344" s="81"/>
      <c r="BR4344" s="81"/>
      <c r="BS4344" s="81"/>
      <c r="BT4344" s="81"/>
    </row>
    <row r="4345" spans="65:72" x14ac:dyDescent="0.25">
      <c r="BM4345" s="81"/>
      <c r="BN4345" s="81"/>
      <c r="BO4345" s="81"/>
      <c r="BP4345" s="81"/>
      <c r="BQ4345" s="81"/>
      <c r="BR4345" s="81"/>
      <c r="BS4345" s="81"/>
      <c r="BT4345" s="81"/>
    </row>
    <row r="4346" spans="65:72" x14ac:dyDescent="0.25">
      <c r="BM4346" s="81"/>
      <c r="BN4346" s="81"/>
      <c r="BO4346" s="81"/>
      <c r="BP4346" s="81"/>
      <c r="BQ4346" s="81"/>
      <c r="BR4346" s="81"/>
      <c r="BS4346" s="81"/>
      <c r="BT4346" s="81"/>
    </row>
    <row r="4347" spans="65:72" x14ac:dyDescent="0.25">
      <c r="BM4347" s="81"/>
      <c r="BN4347" s="81"/>
      <c r="BO4347" s="81"/>
      <c r="BP4347" s="81"/>
      <c r="BQ4347" s="81"/>
      <c r="BR4347" s="81"/>
      <c r="BS4347" s="81"/>
      <c r="BT4347" s="81"/>
    </row>
    <row r="4348" spans="65:72" x14ac:dyDescent="0.25">
      <c r="BM4348" s="81"/>
      <c r="BN4348" s="81"/>
      <c r="BO4348" s="81"/>
      <c r="BP4348" s="81"/>
      <c r="BQ4348" s="81"/>
      <c r="BR4348" s="81"/>
      <c r="BS4348" s="81"/>
      <c r="BT4348" s="81"/>
    </row>
    <row r="4349" spans="65:72" x14ac:dyDescent="0.25">
      <c r="BM4349" s="81"/>
      <c r="BN4349" s="81"/>
      <c r="BO4349" s="81"/>
      <c r="BP4349" s="81"/>
      <c r="BQ4349" s="81"/>
      <c r="BR4349" s="81"/>
      <c r="BS4349" s="81"/>
      <c r="BT4349" s="81"/>
    </row>
    <row r="4350" spans="65:72" x14ac:dyDescent="0.25">
      <c r="BM4350" s="81"/>
      <c r="BN4350" s="81"/>
      <c r="BO4350" s="81"/>
      <c r="BP4350" s="81"/>
      <c r="BQ4350" s="81"/>
      <c r="BR4350" s="81"/>
      <c r="BS4350" s="81"/>
      <c r="BT4350" s="81"/>
    </row>
    <row r="4351" spans="65:72" x14ac:dyDescent="0.25">
      <c r="BM4351" s="81"/>
      <c r="BN4351" s="81"/>
      <c r="BO4351" s="81"/>
      <c r="BP4351" s="81"/>
      <c r="BQ4351" s="81"/>
      <c r="BR4351" s="81"/>
      <c r="BS4351" s="81"/>
      <c r="BT4351" s="81"/>
    </row>
    <row r="4352" spans="65:72" x14ac:dyDescent="0.25">
      <c r="BM4352" s="81"/>
      <c r="BN4352" s="81"/>
      <c r="BO4352" s="81"/>
      <c r="BP4352" s="81"/>
      <c r="BQ4352" s="81"/>
      <c r="BR4352" s="81"/>
      <c r="BS4352" s="81"/>
      <c r="BT4352" s="81"/>
    </row>
    <row r="4353" spans="65:72" x14ac:dyDescent="0.25">
      <c r="BM4353" s="81"/>
      <c r="BN4353" s="81"/>
      <c r="BO4353" s="81"/>
      <c r="BP4353" s="81"/>
      <c r="BQ4353" s="81"/>
      <c r="BR4353" s="81"/>
      <c r="BS4353" s="81"/>
      <c r="BT4353" s="81"/>
    </row>
    <row r="4354" spans="65:72" x14ac:dyDescent="0.25">
      <c r="BM4354" s="81"/>
      <c r="BN4354" s="81"/>
      <c r="BO4354" s="81"/>
      <c r="BP4354" s="81"/>
      <c r="BQ4354" s="81"/>
      <c r="BR4354" s="81"/>
      <c r="BS4354" s="81"/>
      <c r="BT4354" s="81"/>
    </row>
    <row r="4355" spans="65:72" x14ac:dyDescent="0.25">
      <c r="BM4355" s="81"/>
      <c r="BN4355" s="81"/>
      <c r="BO4355" s="81"/>
      <c r="BP4355" s="81"/>
      <c r="BQ4355" s="81"/>
      <c r="BR4355" s="81"/>
      <c r="BS4355" s="81"/>
      <c r="BT4355" s="81"/>
    </row>
    <row r="4356" spans="65:72" x14ac:dyDescent="0.25">
      <c r="BM4356" s="81"/>
      <c r="BN4356" s="81"/>
      <c r="BO4356" s="81"/>
      <c r="BP4356" s="81"/>
      <c r="BQ4356" s="81"/>
      <c r="BR4356" s="81"/>
      <c r="BS4356" s="81"/>
      <c r="BT4356" s="81"/>
    </row>
    <row r="4357" spans="65:72" x14ac:dyDescent="0.25">
      <c r="BM4357" s="81"/>
      <c r="BN4357" s="81"/>
      <c r="BO4357" s="81"/>
      <c r="BP4357" s="81"/>
      <c r="BQ4357" s="81"/>
      <c r="BR4357" s="81"/>
      <c r="BS4357" s="81"/>
      <c r="BT4357" s="81"/>
    </row>
    <row r="4358" spans="65:72" x14ac:dyDescent="0.25">
      <c r="BM4358" s="81"/>
      <c r="BN4358" s="81"/>
      <c r="BO4358" s="81"/>
      <c r="BP4358" s="81"/>
      <c r="BQ4358" s="81"/>
      <c r="BR4358" s="81"/>
      <c r="BS4358" s="81"/>
      <c r="BT4358" s="81"/>
    </row>
    <row r="4359" spans="65:72" x14ac:dyDescent="0.25">
      <c r="BM4359" s="81"/>
      <c r="BN4359" s="81"/>
      <c r="BO4359" s="81"/>
      <c r="BP4359" s="81"/>
      <c r="BQ4359" s="81"/>
      <c r="BR4359" s="81"/>
      <c r="BS4359" s="81"/>
      <c r="BT4359" s="81"/>
    </row>
    <row r="4360" spans="65:72" x14ac:dyDescent="0.25">
      <c r="BM4360" s="81"/>
      <c r="BN4360" s="81"/>
      <c r="BO4360" s="81"/>
      <c r="BP4360" s="81"/>
      <c r="BQ4360" s="81"/>
      <c r="BR4360" s="81"/>
      <c r="BS4360" s="81"/>
      <c r="BT4360" s="81"/>
    </row>
    <row r="4361" spans="65:72" x14ac:dyDescent="0.25">
      <c r="BM4361" s="81"/>
      <c r="BN4361" s="81"/>
      <c r="BO4361" s="81"/>
      <c r="BP4361" s="81"/>
      <c r="BQ4361" s="81"/>
      <c r="BR4361" s="81"/>
      <c r="BS4361" s="81"/>
      <c r="BT4361" s="81"/>
    </row>
    <row r="4362" spans="65:72" x14ac:dyDescent="0.25">
      <c r="BM4362" s="81"/>
      <c r="BN4362" s="81"/>
      <c r="BO4362" s="81"/>
      <c r="BP4362" s="81"/>
      <c r="BQ4362" s="81"/>
      <c r="BR4362" s="81"/>
      <c r="BS4362" s="81"/>
      <c r="BT4362" s="81"/>
    </row>
    <row r="4363" spans="65:72" x14ac:dyDescent="0.25">
      <c r="BM4363" s="81"/>
      <c r="BN4363" s="81"/>
      <c r="BO4363" s="81"/>
      <c r="BP4363" s="81"/>
      <c r="BQ4363" s="81"/>
      <c r="BR4363" s="81"/>
      <c r="BS4363" s="81"/>
      <c r="BT4363" s="81"/>
    </row>
    <row r="4364" spans="65:72" x14ac:dyDescent="0.25">
      <c r="BM4364" s="81"/>
      <c r="BN4364" s="81"/>
      <c r="BO4364" s="81"/>
      <c r="BP4364" s="81"/>
      <c r="BQ4364" s="81"/>
      <c r="BR4364" s="81"/>
      <c r="BS4364" s="81"/>
      <c r="BT4364" s="81"/>
    </row>
    <row r="4365" spans="65:72" x14ac:dyDescent="0.25">
      <c r="BM4365" s="81"/>
      <c r="BN4365" s="81"/>
      <c r="BO4365" s="81"/>
      <c r="BP4365" s="81"/>
      <c r="BQ4365" s="81"/>
      <c r="BR4365" s="81"/>
      <c r="BS4365" s="81"/>
      <c r="BT4365" s="81"/>
    </row>
    <row r="4366" spans="65:72" x14ac:dyDescent="0.25">
      <c r="BM4366" s="81"/>
      <c r="BN4366" s="81"/>
      <c r="BO4366" s="81"/>
      <c r="BP4366" s="81"/>
      <c r="BQ4366" s="81"/>
      <c r="BR4366" s="81"/>
      <c r="BS4366" s="81"/>
      <c r="BT4366" s="81"/>
    </row>
    <row r="4367" spans="65:72" x14ac:dyDescent="0.25">
      <c r="BM4367" s="81"/>
      <c r="BN4367" s="81"/>
      <c r="BO4367" s="81"/>
      <c r="BP4367" s="81"/>
      <c r="BQ4367" s="81"/>
      <c r="BR4367" s="81"/>
      <c r="BS4367" s="81"/>
      <c r="BT4367" s="81"/>
    </row>
    <row r="4368" spans="65:72" x14ac:dyDescent="0.25">
      <c r="BM4368" s="81"/>
      <c r="BN4368" s="81"/>
      <c r="BO4368" s="81"/>
      <c r="BP4368" s="81"/>
      <c r="BQ4368" s="81"/>
      <c r="BR4368" s="81"/>
      <c r="BS4368" s="81"/>
      <c r="BT4368" s="81"/>
    </row>
    <row r="4369" spans="65:72" x14ac:dyDescent="0.25">
      <c r="BM4369" s="81"/>
      <c r="BN4369" s="81"/>
      <c r="BO4369" s="81"/>
      <c r="BP4369" s="81"/>
      <c r="BQ4369" s="81"/>
      <c r="BR4369" s="81"/>
      <c r="BS4369" s="81"/>
      <c r="BT4369" s="81"/>
    </row>
    <row r="4370" spans="65:72" x14ac:dyDescent="0.25">
      <c r="BM4370" s="81"/>
      <c r="BN4370" s="81"/>
      <c r="BO4370" s="81"/>
      <c r="BP4370" s="81"/>
      <c r="BQ4370" s="81"/>
      <c r="BR4370" s="81"/>
      <c r="BS4370" s="81"/>
      <c r="BT4370" s="81"/>
    </row>
    <row r="4371" spans="65:72" x14ac:dyDescent="0.25">
      <c r="BM4371" s="81"/>
      <c r="BN4371" s="81"/>
      <c r="BO4371" s="81"/>
      <c r="BP4371" s="81"/>
      <c r="BQ4371" s="81"/>
      <c r="BR4371" s="81"/>
      <c r="BS4371" s="81"/>
      <c r="BT4371" s="81"/>
    </row>
    <row r="4372" spans="65:72" x14ac:dyDescent="0.25">
      <c r="BM4372" s="81"/>
      <c r="BN4372" s="81"/>
      <c r="BO4372" s="81"/>
      <c r="BP4372" s="81"/>
      <c r="BQ4372" s="81"/>
      <c r="BR4372" s="81"/>
      <c r="BS4372" s="81"/>
      <c r="BT4372" s="81"/>
    </row>
    <row r="4373" spans="65:72" x14ac:dyDescent="0.25">
      <c r="BM4373" s="81"/>
      <c r="BN4373" s="81"/>
      <c r="BO4373" s="81"/>
      <c r="BP4373" s="81"/>
      <c r="BQ4373" s="81"/>
      <c r="BR4373" s="81"/>
      <c r="BS4373" s="81"/>
      <c r="BT4373" s="81"/>
    </row>
    <row r="4374" spans="65:72" x14ac:dyDescent="0.25">
      <c r="BM4374" s="81"/>
      <c r="BN4374" s="81"/>
      <c r="BO4374" s="81"/>
      <c r="BP4374" s="81"/>
      <c r="BQ4374" s="81"/>
      <c r="BR4374" s="81"/>
      <c r="BS4374" s="81"/>
      <c r="BT4374" s="81"/>
    </row>
    <row r="4375" spans="65:72" x14ac:dyDescent="0.25">
      <c r="BM4375" s="81"/>
      <c r="BN4375" s="81"/>
      <c r="BO4375" s="81"/>
      <c r="BP4375" s="81"/>
      <c r="BQ4375" s="81"/>
      <c r="BR4375" s="81"/>
      <c r="BS4375" s="81"/>
      <c r="BT4375" s="81"/>
    </row>
    <row r="4376" spans="65:72" x14ac:dyDescent="0.25">
      <c r="BM4376" s="81"/>
      <c r="BN4376" s="81"/>
      <c r="BO4376" s="81"/>
      <c r="BP4376" s="81"/>
      <c r="BQ4376" s="81"/>
      <c r="BR4376" s="81"/>
      <c r="BS4376" s="81"/>
      <c r="BT4376" s="81"/>
    </row>
    <row r="4377" spans="65:72" x14ac:dyDescent="0.25">
      <c r="BM4377" s="81"/>
      <c r="BN4377" s="81"/>
      <c r="BO4377" s="81"/>
      <c r="BP4377" s="81"/>
      <c r="BQ4377" s="81"/>
      <c r="BR4377" s="81"/>
      <c r="BS4377" s="81"/>
      <c r="BT4377" s="81"/>
    </row>
    <row r="4378" spans="65:72" x14ac:dyDescent="0.25">
      <c r="BM4378" s="81"/>
      <c r="BN4378" s="81"/>
      <c r="BO4378" s="81"/>
      <c r="BP4378" s="81"/>
      <c r="BQ4378" s="81"/>
      <c r="BR4378" s="81"/>
      <c r="BS4378" s="81"/>
      <c r="BT4378" s="81"/>
    </row>
    <row r="4379" spans="65:72" x14ac:dyDescent="0.25">
      <c r="BM4379" s="81"/>
      <c r="BN4379" s="81"/>
      <c r="BO4379" s="81"/>
      <c r="BP4379" s="81"/>
      <c r="BQ4379" s="81"/>
      <c r="BR4379" s="81"/>
      <c r="BS4379" s="81"/>
      <c r="BT4379" s="81"/>
    </row>
    <row r="4380" spans="65:72" x14ac:dyDescent="0.25">
      <c r="BM4380" s="81"/>
      <c r="BN4380" s="81"/>
      <c r="BO4380" s="81"/>
      <c r="BP4380" s="81"/>
      <c r="BQ4380" s="81"/>
      <c r="BR4380" s="81"/>
      <c r="BS4380" s="81"/>
      <c r="BT4380" s="81"/>
    </row>
    <row r="4381" spans="65:72" x14ac:dyDescent="0.25">
      <c r="BM4381" s="81"/>
      <c r="BN4381" s="81"/>
      <c r="BO4381" s="81"/>
      <c r="BP4381" s="81"/>
      <c r="BQ4381" s="81"/>
      <c r="BR4381" s="81"/>
      <c r="BS4381" s="81"/>
      <c r="BT4381" s="81"/>
    </row>
    <row r="4382" spans="65:72" x14ac:dyDescent="0.25">
      <c r="BM4382" s="81"/>
      <c r="BN4382" s="81"/>
      <c r="BO4382" s="81"/>
      <c r="BP4382" s="81"/>
      <c r="BQ4382" s="81"/>
      <c r="BR4382" s="81"/>
      <c r="BS4382" s="81"/>
      <c r="BT4382" s="81"/>
    </row>
    <row r="4383" spans="65:72" x14ac:dyDescent="0.25">
      <c r="BM4383" s="81"/>
      <c r="BN4383" s="81"/>
      <c r="BO4383" s="81"/>
      <c r="BP4383" s="81"/>
      <c r="BQ4383" s="81"/>
      <c r="BR4383" s="81"/>
      <c r="BS4383" s="81"/>
      <c r="BT4383" s="81"/>
    </row>
    <row r="4384" spans="65:72" x14ac:dyDescent="0.25">
      <c r="BM4384" s="81"/>
      <c r="BN4384" s="81"/>
      <c r="BO4384" s="81"/>
      <c r="BP4384" s="81"/>
      <c r="BQ4384" s="81"/>
      <c r="BR4384" s="81"/>
      <c r="BS4384" s="81"/>
      <c r="BT4384" s="81"/>
    </row>
    <row r="4385" spans="65:72" x14ac:dyDescent="0.25">
      <c r="BM4385" s="81"/>
      <c r="BN4385" s="81"/>
      <c r="BO4385" s="81"/>
      <c r="BP4385" s="81"/>
      <c r="BQ4385" s="81"/>
      <c r="BR4385" s="81"/>
      <c r="BS4385" s="81"/>
      <c r="BT4385" s="81"/>
    </row>
    <row r="4386" spans="65:72" x14ac:dyDescent="0.25">
      <c r="BM4386" s="81"/>
      <c r="BN4386" s="81"/>
      <c r="BO4386" s="81"/>
      <c r="BP4386" s="81"/>
      <c r="BQ4386" s="81"/>
      <c r="BR4386" s="81"/>
      <c r="BS4386" s="81"/>
      <c r="BT4386" s="81"/>
    </row>
    <row r="4387" spans="65:72" x14ac:dyDescent="0.25">
      <c r="BM4387" s="81"/>
      <c r="BN4387" s="81"/>
      <c r="BO4387" s="81"/>
      <c r="BP4387" s="81"/>
      <c r="BQ4387" s="81"/>
      <c r="BR4387" s="81"/>
      <c r="BS4387" s="81"/>
      <c r="BT4387" s="81"/>
    </row>
    <row r="4388" spans="65:72" x14ac:dyDescent="0.25">
      <c r="BM4388" s="81"/>
      <c r="BN4388" s="81"/>
      <c r="BO4388" s="81"/>
      <c r="BP4388" s="81"/>
      <c r="BQ4388" s="81"/>
      <c r="BR4388" s="81"/>
      <c r="BS4388" s="81"/>
      <c r="BT4388" s="81"/>
    </row>
    <row r="4389" spans="65:72" x14ac:dyDescent="0.25">
      <c r="BM4389" s="81"/>
      <c r="BN4389" s="81"/>
      <c r="BO4389" s="81"/>
      <c r="BP4389" s="81"/>
      <c r="BQ4389" s="81"/>
      <c r="BR4389" s="81"/>
      <c r="BS4389" s="81"/>
      <c r="BT4389" s="81"/>
    </row>
    <row r="4390" spans="65:72" x14ac:dyDescent="0.25">
      <c r="BM4390" s="81"/>
      <c r="BN4390" s="81"/>
      <c r="BO4390" s="81"/>
      <c r="BP4390" s="81"/>
      <c r="BQ4390" s="81"/>
      <c r="BR4390" s="81"/>
      <c r="BS4390" s="81"/>
      <c r="BT4390" s="81"/>
    </row>
    <row r="4391" spans="65:72" x14ac:dyDescent="0.25">
      <c r="BM4391" s="81"/>
      <c r="BN4391" s="81"/>
      <c r="BO4391" s="81"/>
      <c r="BP4391" s="81"/>
      <c r="BQ4391" s="81"/>
      <c r="BR4391" s="81"/>
      <c r="BS4391" s="81"/>
      <c r="BT4391" s="81"/>
    </row>
    <row r="4392" spans="65:72" x14ac:dyDescent="0.25">
      <c r="BM4392" s="81"/>
      <c r="BN4392" s="81"/>
      <c r="BO4392" s="81"/>
      <c r="BP4392" s="81"/>
      <c r="BQ4392" s="81"/>
      <c r="BR4392" s="81"/>
      <c r="BS4392" s="81"/>
      <c r="BT4392" s="81"/>
    </row>
    <row r="4393" spans="65:72" x14ac:dyDescent="0.25">
      <c r="BM4393" s="81"/>
      <c r="BN4393" s="81"/>
      <c r="BO4393" s="81"/>
      <c r="BP4393" s="81"/>
      <c r="BQ4393" s="81"/>
      <c r="BR4393" s="81"/>
      <c r="BS4393" s="81"/>
      <c r="BT4393" s="81"/>
    </row>
    <row r="4394" spans="65:72" x14ac:dyDescent="0.25">
      <c r="BM4394" s="81"/>
      <c r="BN4394" s="81"/>
      <c r="BO4394" s="81"/>
      <c r="BP4394" s="81"/>
      <c r="BQ4394" s="81"/>
      <c r="BR4394" s="81"/>
      <c r="BS4394" s="81"/>
      <c r="BT4394" s="81"/>
    </row>
    <row r="4395" spans="65:72" x14ac:dyDescent="0.25">
      <c r="BM4395" s="81"/>
      <c r="BN4395" s="81"/>
      <c r="BO4395" s="81"/>
      <c r="BP4395" s="81"/>
      <c r="BQ4395" s="81"/>
      <c r="BR4395" s="81"/>
      <c r="BS4395" s="81"/>
      <c r="BT4395" s="81"/>
    </row>
    <row r="4396" spans="65:72" x14ac:dyDescent="0.25">
      <c r="BM4396" s="81"/>
      <c r="BN4396" s="81"/>
      <c r="BO4396" s="81"/>
      <c r="BP4396" s="81"/>
      <c r="BQ4396" s="81"/>
      <c r="BR4396" s="81"/>
      <c r="BS4396" s="81"/>
      <c r="BT4396" s="81"/>
    </row>
    <row r="4397" spans="65:72" x14ac:dyDescent="0.25">
      <c r="BM4397" s="81"/>
      <c r="BN4397" s="81"/>
      <c r="BO4397" s="81"/>
      <c r="BP4397" s="81"/>
      <c r="BQ4397" s="81"/>
      <c r="BR4397" s="81"/>
      <c r="BS4397" s="81"/>
      <c r="BT4397" s="81"/>
    </row>
    <row r="4398" spans="65:72" x14ac:dyDescent="0.25">
      <c r="BM4398" s="81"/>
      <c r="BN4398" s="81"/>
      <c r="BO4398" s="81"/>
      <c r="BP4398" s="81"/>
      <c r="BQ4398" s="81"/>
      <c r="BR4398" s="81"/>
      <c r="BS4398" s="81"/>
      <c r="BT4398" s="81"/>
    </row>
    <row r="4399" spans="65:72" x14ac:dyDescent="0.25">
      <c r="BM4399" s="81"/>
      <c r="BN4399" s="81"/>
      <c r="BO4399" s="81"/>
      <c r="BP4399" s="81"/>
      <c r="BQ4399" s="81"/>
      <c r="BR4399" s="81"/>
      <c r="BS4399" s="81"/>
      <c r="BT4399" s="81"/>
    </row>
    <row r="4400" spans="65:72" x14ac:dyDescent="0.25">
      <c r="BM4400" s="81"/>
      <c r="BN4400" s="81"/>
      <c r="BO4400" s="81"/>
      <c r="BP4400" s="81"/>
      <c r="BQ4400" s="81"/>
      <c r="BR4400" s="81"/>
      <c r="BS4400" s="81"/>
      <c r="BT4400" s="81"/>
    </row>
    <row r="4401" spans="65:72" x14ac:dyDescent="0.25">
      <c r="BM4401" s="81"/>
      <c r="BN4401" s="81"/>
      <c r="BO4401" s="81"/>
      <c r="BP4401" s="81"/>
      <c r="BQ4401" s="81"/>
      <c r="BR4401" s="81"/>
      <c r="BS4401" s="81"/>
      <c r="BT4401" s="81"/>
    </row>
    <row r="4402" spans="65:72" x14ac:dyDescent="0.25">
      <c r="BM4402" s="81"/>
      <c r="BN4402" s="81"/>
      <c r="BO4402" s="81"/>
      <c r="BP4402" s="81"/>
      <c r="BQ4402" s="81"/>
      <c r="BR4402" s="81"/>
      <c r="BS4402" s="81"/>
      <c r="BT4402" s="81"/>
    </row>
    <row r="4403" spans="65:72" x14ac:dyDescent="0.25">
      <c r="BM4403" s="81"/>
      <c r="BN4403" s="81"/>
      <c r="BO4403" s="81"/>
      <c r="BP4403" s="81"/>
      <c r="BQ4403" s="81"/>
      <c r="BR4403" s="81"/>
      <c r="BS4403" s="81"/>
      <c r="BT4403" s="81"/>
    </row>
    <row r="4404" spans="65:72" x14ac:dyDescent="0.25">
      <c r="BM4404" s="81"/>
      <c r="BN4404" s="81"/>
      <c r="BO4404" s="81"/>
      <c r="BP4404" s="81"/>
      <c r="BQ4404" s="81"/>
      <c r="BR4404" s="81"/>
      <c r="BS4404" s="81"/>
      <c r="BT4404" s="81"/>
    </row>
    <row r="4405" spans="65:72" x14ac:dyDescent="0.25">
      <c r="BM4405" s="81"/>
      <c r="BN4405" s="81"/>
      <c r="BO4405" s="81"/>
      <c r="BP4405" s="81"/>
      <c r="BQ4405" s="81"/>
      <c r="BR4405" s="81"/>
      <c r="BS4405" s="81"/>
      <c r="BT4405" s="81"/>
    </row>
    <row r="4406" spans="65:72" x14ac:dyDescent="0.25">
      <c r="BM4406" s="81"/>
      <c r="BN4406" s="81"/>
      <c r="BO4406" s="81"/>
      <c r="BP4406" s="81"/>
      <c r="BQ4406" s="81"/>
      <c r="BR4406" s="81"/>
      <c r="BS4406" s="81"/>
      <c r="BT4406" s="81"/>
    </row>
    <row r="4407" spans="65:72" x14ac:dyDescent="0.25">
      <c r="BM4407" s="81"/>
      <c r="BN4407" s="81"/>
      <c r="BO4407" s="81"/>
      <c r="BP4407" s="81"/>
      <c r="BQ4407" s="81"/>
      <c r="BR4407" s="81"/>
      <c r="BS4407" s="81"/>
      <c r="BT4407" s="81"/>
    </row>
    <row r="4408" spans="65:72" x14ac:dyDescent="0.25">
      <c r="BM4408" s="81"/>
      <c r="BN4408" s="81"/>
      <c r="BO4408" s="81"/>
      <c r="BP4408" s="81"/>
      <c r="BQ4408" s="81"/>
      <c r="BR4408" s="81"/>
      <c r="BS4408" s="81"/>
      <c r="BT4408" s="81"/>
    </row>
    <row r="4409" spans="65:72" x14ac:dyDescent="0.25">
      <c r="BM4409" s="81"/>
      <c r="BN4409" s="81"/>
      <c r="BO4409" s="81"/>
      <c r="BP4409" s="81"/>
      <c r="BQ4409" s="81"/>
      <c r="BR4409" s="81"/>
      <c r="BS4409" s="81"/>
      <c r="BT4409" s="81"/>
    </row>
    <row r="4410" spans="65:72" x14ac:dyDescent="0.25">
      <c r="BM4410" s="81"/>
      <c r="BN4410" s="81"/>
      <c r="BO4410" s="81"/>
      <c r="BP4410" s="81"/>
      <c r="BQ4410" s="81"/>
      <c r="BR4410" s="81"/>
      <c r="BS4410" s="81"/>
      <c r="BT4410" s="81"/>
    </row>
    <row r="4411" spans="65:72" x14ac:dyDescent="0.25">
      <c r="BM4411" s="81"/>
      <c r="BN4411" s="81"/>
      <c r="BO4411" s="81"/>
      <c r="BP4411" s="81"/>
      <c r="BQ4411" s="81"/>
      <c r="BR4411" s="81"/>
      <c r="BS4411" s="81"/>
      <c r="BT4411" s="81"/>
    </row>
    <row r="4412" spans="65:72" x14ac:dyDescent="0.25">
      <c r="BM4412" s="81"/>
      <c r="BN4412" s="81"/>
      <c r="BO4412" s="81"/>
      <c r="BP4412" s="81"/>
      <c r="BQ4412" s="81"/>
      <c r="BR4412" s="81"/>
      <c r="BS4412" s="81"/>
      <c r="BT4412" s="81"/>
    </row>
    <row r="4413" spans="65:72" x14ac:dyDescent="0.25">
      <c r="BM4413" s="81"/>
      <c r="BN4413" s="81"/>
      <c r="BO4413" s="81"/>
      <c r="BP4413" s="81"/>
      <c r="BQ4413" s="81"/>
      <c r="BR4413" s="81"/>
      <c r="BS4413" s="81"/>
      <c r="BT4413" s="81"/>
    </row>
    <row r="4414" spans="65:72" x14ac:dyDescent="0.25">
      <c r="BM4414" s="81"/>
      <c r="BN4414" s="81"/>
      <c r="BO4414" s="81"/>
      <c r="BP4414" s="81"/>
      <c r="BQ4414" s="81"/>
      <c r="BR4414" s="81"/>
      <c r="BS4414" s="81"/>
      <c r="BT4414" s="81"/>
    </row>
    <row r="4415" spans="65:72" x14ac:dyDescent="0.25">
      <c r="BM4415" s="81"/>
      <c r="BN4415" s="81"/>
      <c r="BO4415" s="81"/>
      <c r="BP4415" s="81"/>
      <c r="BQ4415" s="81"/>
      <c r="BR4415" s="81"/>
      <c r="BS4415" s="81"/>
      <c r="BT4415" s="81"/>
    </row>
    <row r="4416" spans="65:72" x14ac:dyDescent="0.25">
      <c r="BM4416" s="81"/>
      <c r="BN4416" s="81"/>
      <c r="BO4416" s="81"/>
      <c r="BP4416" s="81"/>
      <c r="BQ4416" s="81"/>
      <c r="BR4416" s="81"/>
      <c r="BS4416" s="81"/>
      <c r="BT4416" s="81"/>
    </row>
    <row r="4417" spans="65:72" x14ac:dyDescent="0.25">
      <c r="BM4417" s="81"/>
      <c r="BN4417" s="81"/>
      <c r="BO4417" s="81"/>
      <c r="BP4417" s="81"/>
      <c r="BQ4417" s="81"/>
      <c r="BR4417" s="81"/>
      <c r="BS4417" s="81"/>
      <c r="BT4417" s="81"/>
    </row>
    <row r="4418" spans="65:72" x14ac:dyDescent="0.25">
      <c r="BM4418" s="81"/>
      <c r="BN4418" s="81"/>
      <c r="BO4418" s="81"/>
      <c r="BP4418" s="81"/>
      <c r="BQ4418" s="81"/>
      <c r="BR4418" s="81"/>
      <c r="BS4418" s="81"/>
      <c r="BT4418" s="81"/>
    </row>
    <row r="4419" spans="65:72" x14ac:dyDescent="0.25">
      <c r="BM4419" s="81"/>
      <c r="BN4419" s="81"/>
      <c r="BO4419" s="81"/>
      <c r="BP4419" s="81"/>
      <c r="BQ4419" s="81"/>
      <c r="BR4419" s="81"/>
      <c r="BS4419" s="81"/>
      <c r="BT4419" s="81"/>
    </row>
    <row r="4420" spans="65:72" x14ac:dyDescent="0.25">
      <c r="BM4420" s="81"/>
      <c r="BN4420" s="81"/>
      <c r="BO4420" s="81"/>
      <c r="BP4420" s="81"/>
      <c r="BQ4420" s="81"/>
      <c r="BR4420" s="81"/>
      <c r="BS4420" s="81"/>
      <c r="BT4420" s="81"/>
    </row>
    <row r="4421" spans="65:72" x14ac:dyDescent="0.25">
      <c r="BM4421" s="81"/>
      <c r="BN4421" s="81"/>
      <c r="BO4421" s="81"/>
      <c r="BP4421" s="81"/>
      <c r="BQ4421" s="81"/>
      <c r="BR4421" s="81"/>
      <c r="BS4421" s="81"/>
      <c r="BT4421" s="81"/>
    </row>
    <row r="4422" spans="65:72" x14ac:dyDescent="0.25">
      <c r="BM4422" s="81"/>
      <c r="BN4422" s="81"/>
      <c r="BO4422" s="81"/>
      <c r="BP4422" s="81"/>
      <c r="BQ4422" s="81"/>
      <c r="BR4422" s="81"/>
      <c r="BS4422" s="81"/>
      <c r="BT4422" s="81"/>
    </row>
    <row r="4423" spans="65:72" x14ac:dyDescent="0.25">
      <c r="BM4423" s="81"/>
      <c r="BN4423" s="81"/>
      <c r="BO4423" s="81"/>
      <c r="BP4423" s="81"/>
      <c r="BQ4423" s="81"/>
      <c r="BR4423" s="81"/>
      <c r="BS4423" s="81"/>
      <c r="BT4423" s="81"/>
    </row>
    <row r="4424" spans="65:72" x14ac:dyDescent="0.25">
      <c r="BM4424" s="81"/>
      <c r="BN4424" s="81"/>
      <c r="BO4424" s="81"/>
      <c r="BP4424" s="81"/>
      <c r="BQ4424" s="81"/>
      <c r="BR4424" s="81"/>
      <c r="BS4424" s="81"/>
      <c r="BT4424" s="81"/>
    </row>
    <row r="4425" spans="65:72" x14ac:dyDescent="0.25">
      <c r="BM4425" s="81"/>
      <c r="BN4425" s="81"/>
      <c r="BO4425" s="81"/>
      <c r="BP4425" s="81"/>
      <c r="BQ4425" s="81"/>
      <c r="BR4425" s="81"/>
      <c r="BS4425" s="81"/>
      <c r="BT4425" s="81"/>
    </row>
    <row r="4426" spans="65:72" x14ac:dyDescent="0.25">
      <c r="BM4426" s="81"/>
      <c r="BN4426" s="81"/>
      <c r="BO4426" s="81"/>
      <c r="BP4426" s="81"/>
      <c r="BQ4426" s="81"/>
      <c r="BR4426" s="81"/>
      <c r="BS4426" s="81"/>
      <c r="BT4426" s="81"/>
    </row>
    <row r="4427" spans="65:72" x14ac:dyDescent="0.25">
      <c r="BM4427" s="81"/>
      <c r="BN4427" s="81"/>
      <c r="BO4427" s="81"/>
      <c r="BP4427" s="81"/>
      <c r="BQ4427" s="81"/>
      <c r="BR4427" s="81"/>
      <c r="BS4427" s="81"/>
      <c r="BT4427" s="81"/>
    </row>
    <row r="4428" spans="65:72" x14ac:dyDescent="0.25">
      <c r="BM4428" s="81"/>
      <c r="BN4428" s="81"/>
      <c r="BO4428" s="81"/>
      <c r="BP4428" s="81"/>
      <c r="BQ4428" s="81"/>
      <c r="BR4428" s="81"/>
      <c r="BS4428" s="81"/>
      <c r="BT4428" s="81"/>
    </row>
    <row r="4429" spans="65:72" x14ac:dyDescent="0.25">
      <c r="BM4429" s="81"/>
      <c r="BN4429" s="81"/>
      <c r="BO4429" s="81"/>
      <c r="BP4429" s="81"/>
      <c r="BQ4429" s="81"/>
      <c r="BR4429" s="81"/>
      <c r="BS4429" s="81"/>
      <c r="BT4429" s="81"/>
    </row>
    <row r="4430" spans="65:72" x14ac:dyDescent="0.25">
      <c r="BM4430" s="81"/>
      <c r="BN4430" s="81"/>
      <c r="BO4430" s="81"/>
      <c r="BP4430" s="81"/>
      <c r="BQ4430" s="81"/>
      <c r="BR4430" s="81"/>
      <c r="BS4430" s="81"/>
      <c r="BT4430" s="81"/>
    </row>
    <row r="4431" spans="65:72" x14ac:dyDescent="0.25">
      <c r="BM4431" s="81"/>
      <c r="BN4431" s="81"/>
      <c r="BO4431" s="81"/>
      <c r="BP4431" s="81"/>
      <c r="BQ4431" s="81"/>
      <c r="BR4431" s="81"/>
      <c r="BS4431" s="81"/>
      <c r="BT4431" s="81"/>
    </row>
    <row r="4432" spans="65:72" x14ac:dyDescent="0.25">
      <c r="BM4432" s="81"/>
      <c r="BN4432" s="81"/>
      <c r="BO4432" s="81"/>
      <c r="BP4432" s="81"/>
      <c r="BQ4432" s="81"/>
      <c r="BR4432" s="81"/>
      <c r="BS4432" s="81"/>
      <c r="BT4432" s="81"/>
    </row>
    <row r="4433" spans="65:72" x14ac:dyDescent="0.25">
      <c r="BM4433" s="81"/>
      <c r="BN4433" s="81"/>
      <c r="BO4433" s="81"/>
      <c r="BP4433" s="81"/>
      <c r="BQ4433" s="81"/>
      <c r="BR4433" s="81"/>
      <c r="BS4433" s="81"/>
      <c r="BT4433" s="81"/>
    </row>
    <row r="4434" spans="65:72" x14ac:dyDescent="0.25">
      <c r="BM4434" s="81"/>
      <c r="BN4434" s="81"/>
      <c r="BO4434" s="81"/>
      <c r="BP4434" s="81"/>
      <c r="BQ4434" s="81"/>
      <c r="BR4434" s="81"/>
      <c r="BS4434" s="81"/>
      <c r="BT4434" s="81"/>
    </row>
    <row r="4435" spans="65:72" x14ac:dyDescent="0.25">
      <c r="BM4435" s="81"/>
      <c r="BN4435" s="81"/>
      <c r="BO4435" s="81"/>
      <c r="BP4435" s="81"/>
      <c r="BQ4435" s="81"/>
      <c r="BR4435" s="81"/>
      <c r="BS4435" s="81"/>
      <c r="BT4435" s="81"/>
    </row>
    <row r="4436" spans="65:72" x14ac:dyDescent="0.25">
      <c r="BM4436" s="81"/>
      <c r="BN4436" s="81"/>
      <c r="BO4436" s="81"/>
      <c r="BP4436" s="81"/>
      <c r="BQ4436" s="81"/>
      <c r="BR4436" s="81"/>
      <c r="BS4436" s="81"/>
      <c r="BT4436" s="81"/>
    </row>
    <row r="4437" spans="65:72" x14ac:dyDescent="0.25">
      <c r="BM4437" s="81"/>
      <c r="BN4437" s="81"/>
      <c r="BO4437" s="81"/>
      <c r="BP4437" s="81"/>
      <c r="BQ4437" s="81"/>
      <c r="BR4437" s="81"/>
      <c r="BS4437" s="81"/>
      <c r="BT4437" s="81"/>
    </row>
    <row r="4438" spans="65:72" x14ac:dyDescent="0.25">
      <c r="BM4438" s="81"/>
      <c r="BN4438" s="81"/>
      <c r="BO4438" s="81"/>
      <c r="BP4438" s="81"/>
      <c r="BQ4438" s="81"/>
      <c r="BR4438" s="81"/>
      <c r="BS4438" s="81"/>
      <c r="BT4438" s="81"/>
    </row>
    <row r="4439" spans="65:72" x14ac:dyDescent="0.25">
      <c r="BM4439" s="81"/>
      <c r="BN4439" s="81"/>
      <c r="BO4439" s="81"/>
      <c r="BP4439" s="81"/>
      <c r="BQ4439" s="81"/>
      <c r="BR4439" s="81"/>
      <c r="BS4439" s="81"/>
      <c r="BT4439" s="81"/>
    </row>
    <row r="4440" spans="65:72" x14ac:dyDescent="0.25">
      <c r="BM4440" s="81"/>
      <c r="BN4440" s="81"/>
      <c r="BO4440" s="81"/>
      <c r="BP4440" s="81"/>
      <c r="BQ4440" s="81"/>
      <c r="BR4440" s="81"/>
      <c r="BS4440" s="81"/>
      <c r="BT4440" s="81"/>
    </row>
    <row r="4441" spans="65:72" x14ac:dyDescent="0.25">
      <c r="BM4441" s="81"/>
      <c r="BN4441" s="81"/>
      <c r="BO4441" s="81"/>
      <c r="BP4441" s="81"/>
      <c r="BQ4441" s="81"/>
      <c r="BR4441" s="81"/>
      <c r="BS4441" s="81"/>
      <c r="BT4441" s="81"/>
    </row>
    <row r="4442" spans="65:72" x14ac:dyDescent="0.25">
      <c r="BM4442" s="81"/>
      <c r="BN4442" s="81"/>
      <c r="BO4442" s="81"/>
      <c r="BP4442" s="81"/>
      <c r="BQ4442" s="81"/>
      <c r="BR4442" s="81"/>
      <c r="BS4442" s="81"/>
      <c r="BT4442" s="81"/>
    </row>
    <row r="4443" spans="65:72" x14ac:dyDescent="0.25">
      <c r="BM4443" s="81"/>
      <c r="BN4443" s="81"/>
      <c r="BO4443" s="81"/>
      <c r="BP4443" s="81"/>
      <c r="BQ4443" s="81"/>
      <c r="BR4443" s="81"/>
      <c r="BS4443" s="81"/>
      <c r="BT4443" s="81"/>
    </row>
    <row r="4444" spans="65:72" x14ac:dyDescent="0.25">
      <c r="BM4444" s="81"/>
      <c r="BN4444" s="81"/>
      <c r="BO4444" s="81"/>
      <c r="BP4444" s="81"/>
      <c r="BQ4444" s="81"/>
      <c r="BR4444" s="81"/>
      <c r="BS4444" s="81"/>
      <c r="BT4444" s="81"/>
    </row>
    <row r="4445" spans="65:72" x14ac:dyDescent="0.25">
      <c r="BM4445" s="81"/>
      <c r="BN4445" s="81"/>
      <c r="BO4445" s="81"/>
      <c r="BP4445" s="81"/>
      <c r="BQ4445" s="81"/>
      <c r="BR4445" s="81"/>
      <c r="BS4445" s="81"/>
      <c r="BT4445" s="81"/>
    </row>
    <row r="4446" spans="65:72" x14ac:dyDescent="0.25">
      <c r="BM4446" s="81"/>
      <c r="BN4446" s="81"/>
      <c r="BO4446" s="81"/>
      <c r="BP4446" s="81"/>
      <c r="BQ4446" s="81"/>
      <c r="BR4446" s="81"/>
      <c r="BS4446" s="81"/>
      <c r="BT4446" s="81"/>
    </row>
    <row r="4447" spans="65:72" x14ac:dyDescent="0.25">
      <c r="BM4447" s="81"/>
      <c r="BN4447" s="81"/>
      <c r="BO4447" s="81"/>
      <c r="BP4447" s="81"/>
      <c r="BQ4447" s="81"/>
      <c r="BR4447" s="81"/>
      <c r="BS4447" s="81"/>
      <c r="BT4447" s="81"/>
    </row>
    <row r="4448" spans="65:72" x14ac:dyDescent="0.25">
      <c r="BM4448" s="81"/>
      <c r="BN4448" s="81"/>
      <c r="BO4448" s="81"/>
      <c r="BP4448" s="81"/>
      <c r="BQ4448" s="81"/>
      <c r="BR4448" s="81"/>
      <c r="BS4448" s="81"/>
      <c r="BT4448" s="81"/>
    </row>
    <row r="4449" spans="65:72" x14ac:dyDescent="0.25">
      <c r="BM4449" s="81"/>
      <c r="BN4449" s="81"/>
      <c r="BO4449" s="81"/>
      <c r="BP4449" s="81"/>
      <c r="BQ4449" s="81"/>
      <c r="BR4449" s="81"/>
      <c r="BS4449" s="81"/>
      <c r="BT4449" s="81"/>
    </row>
    <row r="4450" spans="65:72" x14ac:dyDescent="0.25">
      <c r="BM4450" s="81"/>
      <c r="BN4450" s="81"/>
      <c r="BO4450" s="81"/>
      <c r="BP4450" s="81"/>
      <c r="BQ4450" s="81"/>
      <c r="BR4450" s="81"/>
      <c r="BS4450" s="81"/>
      <c r="BT4450" s="81"/>
    </row>
    <row r="4451" spans="65:72" x14ac:dyDescent="0.25">
      <c r="BM4451" s="81"/>
      <c r="BN4451" s="81"/>
      <c r="BO4451" s="81"/>
      <c r="BP4451" s="81"/>
      <c r="BQ4451" s="81"/>
      <c r="BR4451" s="81"/>
      <c r="BS4451" s="81"/>
      <c r="BT4451" s="81"/>
    </row>
    <row r="4452" spans="65:72" x14ac:dyDescent="0.25">
      <c r="BM4452" s="81"/>
      <c r="BN4452" s="81"/>
      <c r="BO4452" s="81"/>
      <c r="BP4452" s="81"/>
      <c r="BQ4452" s="81"/>
      <c r="BR4452" s="81"/>
      <c r="BS4452" s="81"/>
      <c r="BT4452" s="81"/>
    </row>
    <row r="4453" spans="65:72" x14ac:dyDescent="0.25">
      <c r="BM4453" s="81"/>
      <c r="BN4453" s="81"/>
      <c r="BO4453" s="81"/>
      <c r="BP4453" s="81"/>
      <c r="BQ4453" s="81"/>
      <c r="BR4453" s="81"/>
      <c r="BS4453" s="81"/>
      <c r="BT4453" s="81"/>
    </row>
    <row r="4454" spans="65:72" x14ac:dyDescent="0.25">
      <c r="BM4454" s="81"/>
      <c r="BN4454" s="81"/>
      <c r="BO4454" s="81"/>
      <c r="BP4454" s="81"/>
      <c r="BQ4454" s="81"/>
      <c r="BR4454" s="81"/>
      <c r="BS4454" s="81"/>
      <c r="BT4454" s="81"/>
    </row>
    <row r="4455" spans="65:72" x14ac:dyDescent="0.25">
      <c r="BM4455" s="81"/>
      <c r="BN4455" s="81"/>
      <c r="BO4455" s="81"/>
      <c r="BP4455" s="81"/>
      <c r="BQ4455" s="81"/>
      <c r="BR4455" s="81"/>
      <c r="BS4455" s="81"/>
      <c r="BT4455" s="81"/>
    </row>
    <row r="4456" spans="65:72" x14ac:dyDescent="0.25">
      <c r="BM4456" s="81"/>
      <c r="BN4456" s="81"/>
      <c r="BO4456" s="81"/>
      <c r="BP4456" s="81"/>
      <c r="BQ4456" s="81"/>
      <c r="BR4456" s="81"/>
      <c r="BS4456" s="81"/>
      <c r="BT4456" s="81"/>
    </row>
    <row r="4457" spans="65:72" x14ac:dyDescent="0.25">
      <c r="BM4457" s="81"/>
      <c r="BN4457" s="81"/>
      <c r="BO4457" s="81"/>
      <c r="BP4457" s="81"/>
      <c r="BQ4457" s="81"/>
      <c r="BR4457" s="81"/>
      <c r="BS4457" s="81"/>
      <c r="BT4457" s="81"/>
    </row>
    <row r="4458" spans="65:72" x14ac:dyDescent="0.25">
      <c r="BM4458" s="81"/>
      <c r="BN4458" s="81"/>
      <c r="BO4458" s="81"/>
      <c r="BP4458" s="81"/>
      <c r="BQ4458" s="81"/>
      <c r="BR4458" s="81"/>
      <c r="BS4458" s="81"/>
      <c r="BT4458" s="81"/>
    </row>
    <row r="4459" spans="65:72" x14ac:dyDescent="0.25">
      <c r="BM4459" s="81"/>
      <c r="BN4459" s="81"/>
      <c r="BO4459" s="81"/>
      <c r="BP4459" s="81"/>
      <c r="BQ4459" s="81"/>
      <c r="BR4459" s="81"/>
      <c r="BS4459" s="81"/>
      <c r="BT4459" s="81"/>
    </row>
    <row r="4460" spans="65:72" x14ac:dyDescent="0.25">
      <c r="BM4460" s="81"/>
      <c r="BN4460" s="81"/>
      <c r="BO4460" s="81"/>
      <c r="BP4460" s="81"/>
      <c r="BQ4460" s="81"/>
      <c r="BR4460" s="81"/>
      <c r="BS4460" s="81"/>
      <c r="BT4460" s="81"/>
    </row>
    <row r="4461" spans="65:72" x14ac:dyDescent="0.25">
      <c r="BM4461" s="81"/>
      <c r="BN4461" s="81"/>
      <c r="BO4461" s="81"/>
      <c r="BP4461" s="81"/>
      <c r="BQ4461" s="81"/>
      <c r="BR4461" s="81"/>
      <c r="BS4461" s="81"/>
      <c r="BT4461" s="81"/>
    </row>
    <row r="4462" spans="65:72" x14ac:dyDescent="0.25">
      <c r="BM4462" s="81"/>
      <c r="BN4462" s="81"/>
      <c r="BO4462" s="81"/>
      <c r="BP4462" s="81"/>
      <c r="BQ4462" s="81"/>
      <c r="BR4462" s="81"/>
      <c r="BS4462" s="81"/>
      <c r="BT4462" s="81"/>
    </row>
    <row r="4463" spans="65:72" x14ac:dyDescent="0.25">
      <c r="BM4463" s="81"/>
      <c r="BN4463" s="81"/>
      <c r="BO4463" s="81"/>
      <c r="BP4463" s="81"/>
      <c r="BQ4463" s="81"/>
      <c r="BR4463" s="81"/>
      <c r="BS4463" s="81"/>
      <c r="BT4463" s="81"/>
    </row>
    <row r="4464" spans="65:72" x14ac:dyDescent="0.25">
      <c r="BM4464" s="81"/>
      <c r="BN4464" s="81"/>
      <c r="BO4464" s="81"/>
      <c r="BP4464" s="81"/>
      <c r="BQ4464" s="81"/>
      <c r="BR4464" s="81"/>
      <c r="BS4464" s="81"/>
      <c r="BT4464" s="81"/>
    </row>
    <row r="4465" spans="65:72" x14ac:dyDescent="0.25">
      <c r="BM4465" s="81"/>
      <c r="BN4465" s="81"/>
      <c r="BO4465" s="81"/>
      <c r="BP4465" s="81"/>
      <c r="BQ4465" s="81"/>
      <c r="BR4465" s="81"/>
      <c r="BS4465" s="81"/>
      <c r="BT4465" s="81"/>
    </row>
    <row r="4466" spans="65:72" x14ac:dyDescent="0.25">
      <c r="BM4466" s="81"/>
      <c r="BN4466" s="81"/>
      <c r="BO4466" s="81"/>
      <c r="BP4466" s="81"/>
      <c r="BQ4466" s="81"/>
      <c r="BR4466" s="81"/>
      <c r="BS4466" s="81"/>
      <c r="BT4466" s="81"/>
    </row>
    <row r="4467" spans="65:72" x14ac:dyDescent="0.25">
      <c r="BM4467" s="81"/>
      <c r="BN4467" s="81"/>
      <c r="BO4467" s="81"/>
      <c r="BP4467" s="81"/>
      <c r="BQ4467" s="81"/>
      <c r="BR4467" s="81"/>
      <c r="BS4467" s="81"/>
      <c r="BT4467" s="81"/>
    </row>
    <row r="4468" spans="65:72" x14ac:dyDescent="0.25">
      <c r="BM4468" s="81"/>
      <c r="BN4468" s="81"/>
      <c r="BO4468" s="81"/>
      <c r="BP4468" s="81"/>
      <c r="BQ4468" s="81"/>
      <c r="BR4468" s="81"/>
      <c r="BS4468" s="81"/>
      <c r="BT4468" s="81"/>
    </row>
    <row r="4469" spans="65:72" x14ac:dyDescent="0.25">
      <c r="BM4469" s="81"/>
      <c r="BN4469" s="81"/>
      <c r="BO4469" s="81"/>
      <c r="BP4469" s="81"/>
      <c r="BQ4469" s="81"/>
      <c r="BR4469" s="81"/>
      <c r="BS4469" s="81"/>
      <c r="BT4469" s="81"/>
    </row>
    <row r="4470" spans="65:72" x14ac:dyDescent="0.25">
      <c r="BM4470" s="81"/>
      <c r="BN4470" s="81"/>
      <c r="BO4470" s="81"/>
      <c r="BP4470" s="81"/>
      <c r="BQ4470" s="81"/>
      <c r="BR4470" s="81"/>
      <c r="BS4470" s="81"/>
      <c r="BT4470" s="81"/>
    </row>
    <row r="4471" spans="65:72" x14ac:dyDescent="0.25">
      <c r="BM4471" s="81"/>
      <c r="BN4471" s="81"/>
      <c r="BO4471" s="81"/>
      <c r="BP4471" s="81"/>
      <c r="BQ4471" s="81"/>
      <c r="BR4471" s="81"/>
      <c r="BS4471" s="81"/>
      <c r="BT4471" s="81"/>
    </row>
    <row r="4472" spans="65:72" x14ac:dyDescent="0.25">
      <c r="BM4472" s="81"/>
      <c r="BN4472" s="81"/>
      <c r="BO4472" s="81"/>
      <c r="BP4472" s="81"/>
      <c r="BQ4472" s="81"/>
      <c r="BR4472" s="81"/>
      <c r="BS4472" s="81"/>
      <c r="BT4472" s="81"/>
    </row>
    <row r="4473" spans="65:72" x14ac:dyDescent="0.25">
      <c r="BM4473" s="81"/>
      <c r="BN4473" s="81"/>
      <c r="BO4473" s="81"/>
      <c r="BP4473" s="81"/>
      <c r="BQ4473" s="81"/>
      <c r="BR4473" s="81"/>
      <c r="BS4473" s="81"/>
      <c r="BT4473" s="81"/>
    </row>
    <row r="4474" spans="65:72" x14ac:dyDescent="0.25">
      <c r="BM4474" s="81"/>
      <c r="BN4474" s="81"/>
      <c r="BO4474" s="81"/>
      <c r="BP4474" s="81"/>
      <c r="BQ4474" s="81"/>
      <c r="BR4474" s="81"/>
      <c r="BS4474" s="81"/>
      <c r="BT4474" s="81"/>
    </row>
    <row r="4475" spans="65:72" x14ac:dyDescent="0.25">
      <c r="BM4475" s="81"/>
      <c r="BN4475" s="81"/>
      <c r="BO4475" s="81"/>
      <c r="BP4475" s="81"/>
      <c r="BQ4475" s="81"/>
      <c r="BR4475" s="81"/>
      <c r="BS4475" s="81"/>
      <c r="BT4475" s="81"/>
    </row>
    <row r="4476" spans="65:72" x14ac:dyDescent="0.25">
      <c r="BM4476" s="81"/>
      <c r="BN4476" s="81"/>
      <c r="BO4476" s="81"/>
      <c r="BP4476" s="81"/>
      <c r="BQ4476" s="81"/>
      <c r="BR4476" s="81"/>
      <c r="BS4476" s="81"/>
      <c r="BT4476" s="81"/>
    </row>
    <row r="4477" spans="65:72" x14ac:dyDescent="0.25">
      <c r="BM4477" s="81"/>
      <c r="BN4477" s="81"/>
      <c r="BO4477" s="81"/>
      <c r="BP4477" s="81"/>
      <c r="BQ4477" s="81"/>
      <c r="BR4477" s="81"/>
      <c r="BS4477" s="81"/>
      <c r="BT4477" s="81"/>
    </row>
    <row r="4478" spans="65:72" x14ac:dyDescent="0.25">
      <c r="BM4478" s="81"/>
      <c r="BN4478" s="81"/>
      <c r="BO4478" s="81"/>
      <c r="BP4478" s="81"/>
      <c r="BQ4478" s="81"/>
      <c r="BR4478" s="81"/>
      <c r="BS4478" s="81"/>
      <c r="BT4478" s="81"/>
    </row>
    <row r="4479" spans="65:72" x14ac:dyDescent="0.25">
      <c r="BM4479" s="81"/>
      <c r="BN4479" s="81"/>
      <c r="BO4479" s="81"/>
      <c r="BP4479" s="81"/>
      <c r="BQ4479" s="81"/>
      <c r="BR4479" s="81"/>
      <c r="BS4479" s="81"/>
      <c r="BT4479" s="81"/>
    </row>
    <row r="4480" spans="65:72" x14ac:dyDescent="0.25">
      <c r="BM4480" s="81"/>
      <c r="BN4480" s="81"/>
      <c r="BO4480" s="81"/>
      <c r="BP4480" s="81"/>
      <c r="BQ4480" s="81"/>
      <c r="BR4480" s="81"/>
      <c r="BS4480" s="81"/>
      <c r="BT4480" s="81"/>
    </row>
    <row r="4481" spans="65:72" x14ac:dyDescent="0.25">
      <c r="BM4481" s="81"/>
      <c r="BN4481" s="81"/>
      <c r="BO4481" s="81"/>
      <c r="BP4481" s="81"/>
      <c r="BQ4481" s="81"/>
      <c r="BR4481" s="81"/>
      <c r="BS4481" s="81"/>
      <c r="BT4481" s="81"/>
    </row>
    <row r="4482" spans="65:72" x14ac:dyDescent="0.25">
      <c r="BM4482" s="81"/>
      <c r="BN4482" s="81"/>
      <c r="BO4482" s="81"/>
      <c r="BP4482" s="81"/>
      <c r="BQ4482" s="81"/>
      <c r="BR4482" s="81"/>
      <c r="BS4482" s="81"/>
      <c r="BT4482" s="81"/>
    </row>
    <row r="4483" spans="65:72" x14ac:dyDescent="0.25">
      <c r="BM4483" s="81"/>
      <c r="BN4483" s="81"/>
      <c r="BO4483" s="81"/>
      <c r="BP4483" s="81"/>
      <c r="BQ4483" s="81"/>
      <c r="BR4483" s="81"/>
      <c r="BS4483" s="81"/>
      <c r="BT4483" s="81"/>
    </row>
    <row r="4484" spans="65:72" x14ac:dyDescent="0.25">
      <c r="BM4484" s="81"/>
      <c r="BN4484" s="81"/>
      <c r="BO4484" s="81"/>
      <c r="BP4484" s="81"/>
      <c r="BQ4484" s="81"/>
      <c r="BR4484" s="81"/>
      <c r="BS4484" s="81"/>
      <c r="BT4484" s="81"/>
    </row>
    <row r="4485" spans="65:72" x14ac:dyDescent="0.25">
      <c r="BM4485" s="81"/>
      <c r="BN4485" s="81"/>
      <c r="BO4485" s="81"/>
      <c r="BP4485" s="81"/>
      <c r="BQ4485" s="81"/>
      <c r="BR4485" s="81"/>
      <c r="BS4485" s="81"/>
      <c r="BT4485" s="81"/>
    </row>
    <row r="4486" spans="65:72" x14ac:dyDescent="0.25">
      <c r="BM4486" s="81"/>
      <c r="BN4486" s="81"/>
      <c r="BO4486" s="81"/>
      <c r="BP4486" s="81"/>
      <c r="BQ4486" s="81"/>
      <c r="BR4486" s="81"/>
      <c r="BS4486" s="81"/>
      <c r="BT4486" s="81"/>
    </row>
    <row r="4487" spans="65:72" x14ac:dyDescent="0.25">
      <c r="BM4487" s="81"/>
      <c r="BN4487" s="81"/>
      <c r="BO4487" s="81"/>
      <c r="BP4487" s="81"/>
      <c r="BQ4487" s="81"/>
      <c r="BR4487" s="81"/>
      <c r="BS4487" s="81"/>
      <c r="BT4487" s="81"/>
    </row>
    <row r="4488" spans="65:72" x14ac:dyDescent="0.25">
      <c r="BM4488" s="81"/>
      <c r="BN4488" s="81"/>
      <c r="BO4488" s="81"/>
      <c r="BP4488" s="81"/>
      <c r="BQ4488" s="81"/>
      <c r="BR4488" s="81"/>
      <c r="BS4488" s="81"/>
      <c r="BT4488" s="81"/>
    </row>
    <row r="4489" spans="65:72" x14ac:dyDescent="0.25">
      <c r="BM4489" s="81"/>
      <c r="BN4489" s="81"/>
      <c r="BO4489" s="81"/>
      <c r="BP4489" s="81"/>
      <c r="BQ4489" s="81"/>
      <c r="BR4489" s="81"/>
      <c r="BS4489" s="81"/>
      <c r="BT4489" s="81"/>
    </row>
    <row r="4490" spans="65:72" x14ac:dyDescent="0.25">
      <c r="BM4490" s="81"/>
      <c r="BN4490" s="81"/>
      <c r="BO4490" s="81"/>
      <c r="BP4490" s="81"/>
      <c r="BQ4490" s="81"/>
      <c r="BR4490" s="81"/>
      <c r="BS4490" s="81"/>
      <c r="BT4490" s="81"/>
    </row>
    <row r="4491" spans="65:72" x14ac:dyDescent="0.25">
      <c r="BM4491" s="81"/>
      <c r="BN4491" s="81"/>
      <c r="BO4491" s="81"/>
      <c r="BP4491" s="81"/>
      <c r="BQ4491" s="81"/>
      <c r="BR4491" s="81"/>
      <c r="BS4491" s="81"/>
      <c r="BT4491" s="81"/>
    </row>
    <row r="4492" spans="65:72" x14ac:dyDescent="0.25">
      <c r="BM4492" s="81"/>
      <c r="BN4492" s="81"/>
      <c r="BO4492" s="81"/>
      <c r="BP4492" s="81"/>
      <c r="BQ4492" s="81"/>
      <c r="BR4492" s="81"/>
      <c r="BS4492" s="81"/>
      <c r="BT4492" s="81"/>
    </row>
    <row r="4493" spans="65:72" x14ac:dyDescent="0.25">
      <c r="BM4493" s="81"/>
      <c r="BN4493" s="81"/>
      <c r="BO4493" s="81"/>
      <c r="BP4493" s="81"/>
      <c r="BQ4493" s="81"/>
      <c r="BR4493" s="81"/>
      <c r="BS4493" s="81"/>
      <c r="BT4493" s="81"/>
    </row>
    <row r="4494" spans="65:72" x14ac:dyDescent="0.25">
      <c r="BM4494" s="81"/>
      <c r="BN4494" s="81"/>
      <c r="BO4494" s="81"/>
      <c r="BP4494" s="81"/>
      <c r="BQ4494" s="81"/>
      <c r="BR4494" s="81"/>
      <c r="BS4494" s="81"/>
      <c r="BT4494" s="81"/>
    </row>
    <row r="4495" spans="65:72" x14ac:dyDescent="0.25">
      <c r="BM4495" s="81"/>
      <c r="BN4495" s="81"/>
      <c r="BO4495" s="81"/>
      <c r="BP4495" s="81"/>
      <c r="BQ4495" s="81"/>
      <c r="BR4495" s="81"/>
      <c r="BS4495" s="81"/>
      <c r="BT4495" s="81"/>
    </row>
    <row r="4496" spans="65:72" x14ac:dyDescent="0.25">
      <c r="BM4496" s="81"/>
      <c r="BN4496" s="81"/>
      <c r="BO4496" s="81"/>
      <c r="BP4496" s="81"/>
      <c r="BQ4496" s="81"/>
      <c r="BR4496" s="81"/>
      <c r="BS4496" s="81"/>
      <c r="BT4496" s="81"/>
    </row>
    <row r="4497" spans="65:72" x14ac:dyDescent="0.25">
      <c r="BM4497" s="81"/>
      <c r="BN4497" s="81"/>
      <c r="BO4497" s="81"/>
      <c r="BP4497" s="81"/>
      <c r="BQ4497" s="81"/>
      <c r="BR4497" s="81"/>
      <c r="BS4497" s="81"/>
      <c r="BT4497" s="81"/>
    </row>
    <row r="4498" spans="65:72" x14ac:dyDescent="0.25">
      <c r="BM4498" s="81"/>
      <c r="BN4498" s="81"/>
      <c r="BO4498" s="81"/>
      <c r="BP4498" s="81"/>
      <c r="BQ4498" s="81"/>
      <c r="BR4498" s="81"/>
      <c r="BS4498" s="81"/>
      <c r="BT4498" s="81"/>
    </row>
    <row r="4499" spans="65:72" x14ac:dyDescent="0.25">
      <c r="BM4499" s="81"/>
      <c r="BN4499" s="81"/>
      <c r="BO4499" s="81"/>
      <c r="BP4499" s="81"/>
      <c r="BQ4499" s="81"/>
      <c r="BR4499" s="81"/>
      <c r="BS4499" s="81"/>
      <c r="BT4499" s="81"/>
    </row>
    <row r="4500" spans="65:72" x14ac:dyDescent="0.25">
      <c r="BM4500" s="81"/>
      <c r="BN4500" s="81"/>
      <c r="BO4500" s="81"/>
      <c r="BP4500" s="81"/>
      <c r="BQ4500" s="81"/>
      <c r="BR4500" s="81"/>
      <c r="BS4500" s="81"/>
      <c r="BT4500" s="81"/>
    </row>
    <row r="4501" spans="65:72" x14ac:dyDescent="0.25">
      <c r="BM4501" s="81"/>
      <c r="BN4501" s="81"/>
      <c r="BO4501" s="81"/>
      <c r="BP4501" s="81"/>
      <c r="BQ4501" s="81"/>
      <c r="BR4501" s="81"/>
      <c r="BS4501" s="81"/>
      <c r="BT4501" s="81"/>
    </row>
    <row r="4502" spans="65:72" x14ac:dyDescent="0.25">
      <c r="BM4502" s="81"/>
      <c r="BN4502" s="81"/>
      <c r="BO4502" s="81"/>
      <c r="BP4502" s="81"/>
      <c r="BQ4502" s="81"/>
      <c r="BR4502" s="81"/>
      <c r="BS4502" s="81"/>
      <c r="BT4502" s="81"/>
    </row>
    <row r="4503" spans="65:72" x14ac:dyDescent="0.25">
      <c r="BM4503" s="81"/>
      <c r="BN4503" s="81"/>
      <c r="BO4503" s="81"/>
      <c r="BP4503" s="81"/>
      <c r="BQ4503" s="81"/>
      <c r="BR4503" s="81"/>
      <c r="BS4503" s="81"/>
      <c r="BT4503" s="81"/>
    </row>
    <row r="4504" spans="65:72" x14ac:dyDescent="0.25">
      <c r="BM4504" s="81"/>
      <c r="BN4504" s="81"/>
      <c r="BO4504" s="81"/>
      <c r="BP4504" s="81"/>
      <c r="BQ4504" s="81"/>
      <c r="BR4504" s="81"/>
      <c r="BS4504" s="81"/>
      <c r="BT4504" s="81"/>
    </row>
    <row r="4505" spans="65:72" x14ac:dyDescent="0.25">
      <c r="BM4505" s="81"/>
      <c r="BN4505" s="81"/>
      <c r="BO4505" s="81"/>
      <c r="BP4505" s="81"/>
      <c r="BQ4505" s="81"/>
      <c r="BR4505" s="81"/>
      <c r="BS4505" s="81"/>
      <c r="BT4505" s="81"/>
    </row>
    <row r="4506" spans="65:72" x14ac:dyDescent="0.25">
      <c r="BM4506" s="81"/>
      <c r="BN4506" s="81"/>
      <c r="BO4506" s="81"/>
      <c r="BP4506" s="81"/>
      <c r="BQ4506" s="81"/>
      <c r="BR4506" s="81"/>
      <c r="BS4506" s="81"/>
      <c r="BT4506" s="81"/>
    </row>
    <row r="4507" spans="65:72" x14ac:dyDescent="0.25">
      <c r="BM4507" s="81"/>
      <c r="BN4507" s="81"/>
      <c r="BO4507" s="81"/>
      <c r="BP4507" s="81"/>
      <c r="BQ4507" s="81"/>
      <c r="BR4507" s="81"/>
      <c r="BS4507" s="81"/>
      <c r="BT4507" s="81"/>
    </row>
    <row r="4508" spans="65:72" x14ac:dyDescent="0.25">
      <c r="BM4508" s="81"/>
      <c r="BN4508" s="81"/>
      <c r="BO4508" s="81"/>
      <c r="BP4508" s="81"/>
      <c r="BQ4508" s="81"/>
      <c r="BR4508" s="81"/>
      <c r="BS4508" s="81"/>
      <c r="BT4508" s="81"/>
    </row>
    <row r="4509" spans="65:72" x14ac:dyDescent="0.25">
      <c r="BM4509" s="81"/>
      <c r="BN4509" s="81"/>
      <c r="BO4509" s="81"/>
      <c r="BP4509" s="81"/>
      <c r="BQ4509" s="81"/>
      <c r="BR4509" s="81"/>
      <c r="BS4509" s="81"/>
      <c r="BT4509" s="81"/>
    </row>
    <row r="4510" spans="65:72" x14ac:dyDescent="0.25">
      <c r="BM4510" s="81"/>
      <c r="BN4510" s="81"/>
      <c r="BO4510" s="81"/>
      <c r="BP4510" s="81"/>
      <c r="BQ4510" s="81"/>
      <c r="BR4510" s="81"/>
      <c r="BS4510" s="81"/>
      <c r="BT4510" s="81"/>
    </row>
    <row r="4511" spans="65:72" x14ac:dyDescent="0.25">
      <c r="BM4511" s="81"/>
      <c r="BN4511" s="81"/>
      <c r="BO4511" s="81"/>
      <c r="BP4511" s="81"/>
      <c r="BQ4511" s="81"/>
      <c r="BR4511" s="81"/>
      <c r="BS4511" s="81"/>
      <c r="BT4511" s="81"/>
    </row>
    <row r="4512" spans="65:72" x14ac:dyDescent="0.25">
      <c r="BM4512" s="81"/>
      <c r="BN4512" s="81"/>
      <c r="BO4512" s="81"/>
      <c r="BP4512" s="81"/>
      <c r="BQ4512" s="81"/>
      <c r="BR4512" s="81"/>
      <c r="BS4512" s="81"/>
      <c r="BT4512" s="81"/>
    </row>
    <row r="4513" spans="65:72" x14ac:dyDescent="0.25">
      <c r="BM4513" s="81"/>
      <c r="BN4513" s="81"/>
      <c r="BO4513" s="81"/>
      <c r="BP4513" s="81"/>
      <c r="BQ4513" s="81"/>
      <c r="BR4513" s="81"/>
      <c r="BS4513" s="81"/>
      <c r="BT4513" s="81"/>
    </row>
    <row r="4514" spans="65:72" x14ac:dyDescent="0.25">
      <c r="BM4514" s="81"/>
      <c r="BN4514" s="81"/>
      <c r="BO4514" s="81"/>
      <c r="BP4514" s="81"/>
      <c r="BQ4514" s="81"/>
      <c r="BR4514" s="81"/>
      <c r="BS4514" s="81"/>
      <c r="BT4514" s="81"/>
    </row>
    <row r="4515" spans="65:72" x14ac:dyDescent="0.25">
      <c r="BM4515" s="81"/>
      <c r="BN4515" s="81"/>
      <c r="BO4515" s="81"/>
      <c r="BP4515" s="81"/>
      <c r="BQ4515" s="81"/>
      <c r="BR4515" s="81"/>
      <c r="BS4515" s="81"/>
      <c r="BT4515" s="81"/>
    </row>
    <row r="4516" spans="65:72" x14ac:dyDescent="0.25">
      <c r="BM4516" s="81"/>
      <c r="BN4516" s="81"/>
      <c r="BO4516" s="81"/>
      <c r="BP4516" s="81"/>
      <c r="BQ4516" s="81"/>
      <c r="BR4516" s="81"/>
      <c r="BS4516" s="81"/>
      <c r="BT4516" s="81"/>
    </row>
    <row r="4517" spans="65:72" x14ac:dyDescent="0.25">
      <c r="BM4517" s="81"/>
      <c r="BN4517" s="81"/>
      <c r="BO4517" s="81"/>
      <c r="BP4517" s="81"/>
      <c r="BQ4517" s="81"/>
      <c r="BR4517" s="81"/>
      <c r="BS4517" s="81"/>
      <c r="BT4517" s="81"/>
    </row>
    <row r="4518" spans="65:72" x14ac:dyDescent="0.25">
      <c r="BM4518" s="81"/>
      <c r="BN4518" s="81"/>
      <c r="BO4518" s="81"/>
      <c r="BP4518" s="81"/>
      <c r="BQ4518" s="81"/>
      <c r="BR4518" s="81"/>
      <c r="BS4518" s="81"/>
      <c r="BT4518" s="81"/>
    </row>
    <row r="4519" spans="65:72" x14ac:dyDescent="0.25">
      <c r="BM4519" s="81"/>
      <c r="BN4519" s="81"/>
      <c r="BO4519" s="81"/>
      <c r="BP4519" s="81"/>
      <c r="BQ4519" s="81"/>
      <c r="BR4519" s="81"/>
      <c r="BS4519" s="81"/>
      <c r="BT4519" s="81"/>
    </row>
    <row r="4520" spans="65:72" x14ac:dyDescent="0.25">
      <c r="BM4520" s="81"/>
      <c r="BN4520" s="81"/>
      <c r="BO4520" s="81"/>
      <c r="BP4520" s="81"/>
      <c r="BQ4520" s="81"/>
      <c r="BR4520" s="81"/>
      <c r="BS4520" s="81"/>
      <c r="BT4520" s="81"/>
    </row>
    <row r="4521" spans="65:72" x14ac:dyDescent="0.25">
      <c r="BM4521" s="81"/>
      <c r="BN4521" s="81"/>
      <c r="BO4521" s="81"/>
      <c r="BP4521" s="81"/>
      <c r="BQ4521" s="81"/>
      <c r="BR4521" s="81"/>
      <c r="BS4521" s="81"/>
      <c r="BT4521" s="81"/>
    </row>
    <row r="4522" spans="65:72" x14ac:dyDescent="0.25">
      <c r="BM4522" s="81"/>
      <c r="BN4522" s="81"/>
      <c r="BO4522" s="81"/>
      <c r="BP4522" s="81"/>
      <c r="BQ4522" s="81"/>
      <c r="BR4522" s="81"/>
      <c r="BS4522" s="81"/>
      <c r="BT4522" s="81"/>
    </row>
    <row r="4523" spans="65:72" x14ac:dyDescent="0.25">
      <c r="BM4523" s="81"/>
      <c r="BN4523" s="81"/>
      <c r="BO4523" s="81"/>
      <c r="BP4523" s="81"/>
      <c r="BQ4523" s="81"/>
      <c r="BR4523" s="81"/>
      <c r="BS4523" s="81"/>
      <c r="BT4523" s="81"/>
    </row>
    <row r="4524" spans="65:72" x14ac:dyDescent="0.25">
      <c r="BM4524" s="81"/>
      <c r="BN4524" s="81"/>
      <c r="BO4524" s="81"/>
      <c r="BP4524" s="81"/>
      <c r="BQ4524" s="81"/>
      <c r="BR4524" s="81"/>
      <c r="BS4524" s="81"/>
      <c r="BT4524" s="81"/>
    </row>
    <row r="4525" spans="65:72" x14ac:dyDescent="0.25">
      <c r="BM4525" s="81"/>
      <c r="BN4525" s="81"/>
      <c r="BO4525" s="81"/>
      <c r="BP4525" s="81"/>
      <c r="BQ4525" s="81"/>
      <c r="BR4525" s="81"/>
      <c r="BS4525" s="81"/>
      <c r="BT4525" s="81"/>
    </row>
    <row r="4526" spans="65:72" x14ac:dyDescent="0.25">
      <c r="BM4526" s="81"/>
      <c r="BN4526" s="81"/>
      <c r="BO4526" s="81"/>
      <c r="BP4526" s="81"/>
      <c r="BQ4526" s="81"/>
      <c r="BR4526" s="81"/>
      <c r="BS4526" s="81"/>
      <c r="BT4526" s="81"/>
    </row>
    <row r="4527" spans="65:72" x14ac:dyDescent="0.25">
      <c r="BM4527" s="81"/>
      <c r="BN4527" s="81"/>
      <c r="BO4527" s="81"/>
      <c r="BP4527" s="81"/>
      <c r="BQ4527" s="81"/>
      <c r="BR4527" s="81"/>
      <c r="BS4527" s="81"/>
      <c r="BT4527" s="81"/>
    </row>
    <row r="4528" spans="65:72" x14ac:dyDescent="0.25">
      <c r="BM4528" s="81"/>
      <c r="BN4528" s="81"/>
      <c r="BO4528" s="81"/>
      <c r="BP4528" s="81"/>
      <c r="BQ4528" s="81"/>
      <c r="BR4528" s="81"/>
      <c r="BS4528" s="81"/>
      <c r="BT4528" s="81"/>
    </row>
    <row r="4529" spans="65:72" x14ac:dyDescent="0.25">
      <c r="BM4529" s="81"/>
      <c r="BN4529" s="81"/>
      <c r="BO4529" s="81"/>
      <c r="BP4529" s="81"/>
      <c r="BQ4529" s="81"/>
      <c r="BR4529" s="81"/>
      <c r="BS4529" s="81"/>
      <c r="BT4529" s="81"/>
    </row>
    <row r="4530" spans="65:72" x14ac:dyDescent="0.25">
      <c r="BM4530" s="81"/>
      <c r="BN4530" s="81"/>
      <c r="BO4530" s="81"/>
      <c r="BP4530" s="81"/>
      <c r="BQ4530" s="81"/>
      <c r="BR4530" s="81"/>
      <c r="BS4530" s="81"/>
      <c r="BT4530" s="81"/>
    </row>
    <row r="4531" spans="65:72" x14ac:dyDescent="0.25">
      <c r="BM4531" s="81"/>
      <c r="BN4531" s="81"/>
      <c r="BO4531" s="81"/>
      <c r="BP4531" s="81"/>
      <c r="BQ4531" s="81"/>
      <c r="BR4531" s="81"/>
      <c r="BS4531" s="81"/>
      <c r="BT4531" s="81"/>
    </row>
    <row r="4532" spans="65:72" x14ac:dyDescent="0.25">
      <c r="BM4532" s="81"/>
      <c r="BN4532" s="81"/>
      <c r="BO4532" s="81"/>
      <c r="BP4532" s="81"/>
      <c r="BQ4532" s="81"/>
      <c r="BR4532" s="81"/>
      <c r="BS4532" s="81"/>
      <c r="BT4532" s="81"/>
    </row>
    <row r="4533" spans="65:72" x14ac:dyDescent="0.25">
      <c r="BM4533" s="81"/>
      <c r="BN4533" s="81"/>
      <c r="BO4533" s="81"/>
      <c r="BP4533" s="81"/>
      <c r="BQ4533" s="81"/>
      <c r="BR4533" s="81"/>
      <c r="BS4533" s="81"/>
      <c r="BT4533" s="81"/>
    </row>
    <row r="4534" spans="65:72" x14ac:dyDescent="0.25">
      <c r="BM4534" s="81"/>
      <c r="BN4534" s="81"/>
      <c r="BO4534" s="81"/>
      <c r="BP4534" s="81"/>
      <c r="BQ4534" s="81"/>
      <c r="BR4534" s="81"/>
      <c r="BS4534" s="81"/>
      <c r="BT4534" s="81"/>
    </row>
    <row r="4535" spans="65:72" x14ac:dyDescent="0.25">
      <c r="BM4535" s="81"/>
      <c r="BN4535" s="81"/>
      <c r="BO4535" s="81"/>
      <c r="BP4535" s="81"/>
      <c r="BQ4535" s="81"/>
      <c r="BR4535" s="81"/>
      <c r="BS4535" s="81"/>
      <c r="BT4535" s="81"/>
    </row>
    <row r="4536" spans="65:72" x14ac:dyDescent="0.25">
      <c r="BM4536" s="81"/>
      <c r="BN4536" s="81"/>
      <c r="BO4536" s="81"/>
      <c r="BP4536" s="81"/>
      <c r="BQ4536" s="81"/>
      <c r="BR4536" s="81"/>
      <c r="BS4536" s="81"/>
      <c r="BT4536" s="81"/>
    </row>
    <row r="4537" spans="65:72" x14ac:dyDescent="0.25">
      <c r="BM4537" s="81"/>
      <c r="BN4537" s="81"/>
      <c r="BO4537" s="81"/>
      <c r="BP4537" s="81"/>
      <c r="BQ4537" s="81"/>
      <c r="BR4537" s="81"/>
      <c r="BS4537" s="81"/>
      <c r="BT4537" s="81"/>
    </row>
    <row r="4538" spans="65:72" x14ac:dyDescent="0.25">
      <c r="BM4538" s="81"/>
      <c r="BN4538" s="81"/>
      <c r="BO4538" s="81"/>
      <c r="BP4538" s="81"/>
      <c r="BQ4538" s="81"/>
      <c r="BR4538" s="81"/>
      <c r="BS4538" s="81"/>
      <c r="BT4538" s="81"/>
    </row>
    <row r="4539" spans="65:72" x14ac:dyDescent="0.25">
      <c r="BM4539" s="81"/>
      <c r="BN4539" s="81"/>
      <c r="BO4539" s="81"/>
      <c r="BP4539" s="81"/>
      <c r="BQ4539" s="81"/>
      <c r="BR4539" s="81"/>
      <c r="BS4539" s="81"/>
      <c r="BT4539" s="81"/>
    </row>
    <row r="4540" spans="65:72" x14ac:dyDescent="0.25">
      <c r="BM4540" s="81"/>
      <c r="BN4540" s="81"/>
      <c r="BO4540" s="81"/>
      <c r="BP4540" s="81"/>
      <c r="BQ4540" s="81"/>
      <c r="BR4540" s="81"/>
      <c r="BS4540" s="81"/>
      <c r="BT4540" s="81"/>
    </row>
    <row r="4541" spans="65:72" x14ac:dyDescent="0.25">
      <c r="BM4541" s="81"/>
      <c r="BN4541" s="81"/>
      <c r="BO4541" s="81"/>
      <c r="BP4541" s="81"/>
      <c r="BQ4541" s="81"/>
      <c r="BR4541" s="81"/>
      <c r="BS4541" s="81"/>
      <c r="BT4541" s="81"/>
    </row>
    <row r="4542" spans="65:72" x14ac:dyDescent="0.25">
      <c r="BM4542" s="81"/>
      <c r="BN4542" s="81"/>
      <c r="BO4542" s="81"/>
      <c r="BP4542" s="81"/>
      <c r="BQ4542" s="81"/>
      <c r="BR4542" s="81"/>
      <c r="BS4542" s="81"/>
      <c r="BT4542" s="81"/>
    </row>
    <row r="4543" spans="65:72" x14ac:dyDescent="0.25">
      <c r="BM4543" s="81"/>
      <c r="BN4543" s="81"/>
      <c r="BO4543" s="81"/>
      <c r="BP4543" s="81"/>
      <c r="BQ4543" s="81"/>
      <c r="BR4543" s="81"/>
      <c r="BS4543" s="81"/>
      <c r="BT4543" s="81"/>
    </row>
    <row r="4544" spans="65:72" x14ac:dyDescent="0.25">
      <c r="BM4544" s="81"/>
      <c r="BN4544" s="81"/>
      <c r="BO4544" s="81"/>
      <c r="BP4544" s="81"/>
      <c r="BQ4544" s="81"/>
      <c r="BR4544" s="81"/>
      <c r="BS4544" s="81"/>
      <c r="BT4544" s="81"/>
    </row>
    <row r="4545" spans="65:72" x14ac:dyDescent="0.25">
      <c r="BM4545" s="81"/>
      <c r="BN4545" s="81"/>
      <c r="BO4545" s="81"/>
      <c r="BP4545" s="81"/>
      <c r="BQ4545" s="81"/>
      <c r="BR4545" s="81"/>
      <c r="BS4545" s="81"/>
      <c r="BT4545" s="81"/>
    </row>
    <row r="4546" spans="65:72" x14ac:dyDescent="0.25">
      <c r="BM4546" s="81"/>
      <c r="BN4546" s="81"/>
      <c r="BO4546" s="81"/>
      <c r="BP4546" s="81"/>
      <c r="BQ4546" s="81"/>
      <c r="BR4546" s="81"/>
      <c r="BS4546" s="81"/>
      <c r="BT4546" s="81"/>
    </row>
    <row r="4547" spans="65:72" x14ac:dyDescent="0.25">
      <c r="BM4547" s="81"/>
      <c r="BN4547" s="81"/>
      <c r="BO4547" s="81"/>
      <c r="BP4547" s="81"/>
      <c r="BQ4547" s="81"/>
      <c r="BR4547" s="81"/>
      <c r="BS4547" s="81"/>
      <c r="BT4547" s="81"/>
    </row>
    <row r="4548" spans="65:72" x14ac:dyDescent="0.25">
      <c r="BM4548" s="81"/>
      <c r="BN4548" s="81"/>
      <c r="BO4548" s="81"/>
      <c r="BP4548" s="81"/>
      <c r="BQ4548" s="81"/>
      <c r="BR4548" s="81"/>
      <c r="BS4548" s="81"/>
      <c r="BT4548" s="81"/>
    </row>
    <row r="4549" spans="65:72" x14ac:dyDescent="0.25">
      <c r="BM4549" s="81"/>
      <c r="BN4549" s="81"/>
      <c r="BO4549" s="81"/>
      <c r="BP4549" s="81"/>
      <c r="BQ4549" s="81"/>
      <c r="BR4549" s="81"/>
      <c r="BS4549" s="81"/>
      <c r="BT4549" s="81"/>
    </row>
    <row r="4550" spans="65:72" x14ac:dyDescent="0.25">
      <c r="BM4550" s="81"/>
      <c r="BN4550" s="81"/>
      <c r="BO4550" s="81"/>
      <c r="BP4550" s="81"/>
      <c r="BQ4550" s="81"/>
      <c r="BR4550" s="81"/>
      <c r="BS4550" s="81"/>
      <c r="BT4550" s="81"/>
    </row>
    <row r="4551" spans="65:72" x14ac:dyDescent="0.25">
      <c r="BM4551" s="81"/>
      <c r="BN4551" s="81"/>
      <c r="BO4551" s="81"/>
      <c r="BP4551" s="81"/>
      <c r="BQ4551" s="81"/>
      <c r="BR4551" s="81"/>
      <c r="BS4551" s="81"/>
      <c r="BT4551" s="81"/>
    </row>
    <row r="4552" spans="65:72" x14ac:dyDescent="0.25">
      <c r="BM4552" s="81"/>
      <c r="BN4552" s="81"/>
      <c r="BO4552" s="81"/>
      <c r="BP4552" s="81"/>
      <c r="BQ4552" s="81"/>
      <c r="BR4552" s="81"/>
      <c r="BS4552" s="81"/>
      <c r="BT4552" s="81"/>
    </row>
    <row r="4553" spans="65:72" x14ac:dyDescent="0.25">
      <c r="BM4553" s="81"/>
      <c r="BN4553" s="81"/>
      <c r="BO4553" s="81"/>
      <c r="BP4553" s="81"/>
      <c r="BQ4553" s="81"/>
      <c r="BR4553" s="81"/>
      <c r="BS4553" s="81"/>
      <c r="BT4553" s="81"/>
    </row>
    <row r="4554" spans="65:72" x14ac:dyDescent="0.25">
      <c r="BM4554" s="81"/>
      <c r="BN4554" s="81"/>
      <c r="BO4554" s="81"/>
      <c r="BP4554" s="81"/>
      <c r="BQ4554" s="81"/>
      <c r="BR4554" s="81"/>
      <c r="BS4554" s="81"/>
      <c r="BT4554" s="81"/>
    </row>
    <row r="4555" spans="65:72" x14ac:dyDescent="0.25">
      <c r="BM4555" s="81"/>
      <c r="BN4555" s="81"/>
      <c r="BO4555" s="81"/>
      <c r="BP4555" s="81"/>
      <c r="BQ4555" s="81"/>
      <c r="BR4555" s="81"/>
      <c r="BS4555" s="81"/>
      <c r="BT4555" s="81"/>
    </row>
    <row r="4556" spans="65:72" x14ac:dyDescent="0.25">
      <c r="BM4556" s="81"/>
      <c r="BN4556" s="81"/>
      <c r="BO4556" s="81"/>
      <c r="BP4556" s="81"/>
      <c r="BQ4556" s="81"/>
      <c r="BR4556" s="81"/>
      <c r="BS4556" s="81"/>
      <c r="BT4556" s="81"/>
    </row>
    <row r="4557" spans="65:72" x14ac:dyDescent="0.25">
      <c r="BM4557" s="81"/>
      <c r="BN4557" s="81"/>
      <c r="BO4557" s="81"/>
      <c r="BP4557" s="81"/>
      <c r="BQ4557" s="81"/>
      <c r="BR4557" s="81"/>
      <c r="BS4557" s="81"/>
      <c r="BT4557" s="81"/>
    </row>
    <row r="4558" spans="65:72" x14ac:dyDescent="0.25">
      <c r="BM4558" s="81"/>
      <c r="BN4558" s="81"/>
      <c r="BO4558" s="81"/>
      <c r="BP4558" s="81"/>
      <c r="BQ4558" s="81"/>
      <c r="BR4558" s="81"/>
      <c r="BS4558" s="81"/>
      <c r="BT4558" s="81"/>
    </row>
    <row r="4559" spans="65:72" x14ac:dyDescent="0.25">
      <c r="BM4559" s="81"/>
      <c r="BN4559" s="81"/>
      <c r="BO4559" s="81"/>
      <c r="BP4559" s="81"/>
      <c r="BQ4559" s="81"/>
      <c r="BR4559" s="81"/>
      <c r="BS4559" s="81"/>
      <c r="BT4559" s="81"/>
    </row>
    <row r="4560" spans="65:72" x14ac:dyDescent="0.25">
      <c r="BM4560" s="81"/>
      <c r="BN4560" s="81"/>
      <c r="BO4560" s="81"/>
      <c r="BP4560" s="81"/>
      <c r="BQ4560" s="81"/>
      <c r="BR4560" s="81"/>
      <c r="BS4560" s="81"/>
      <c r="BT4560" s="81"/>
    </row>
    <row r="4561" spans="65:72" x14ac:dyDescent="0.25">
      <c r="BM4561" s="81"/>
      <c r="BN4561" s="81"/>
      <c r="BO4561" s="81"/>
      <c r="BP4561" s="81"/>
      <c r="BQ4561" s="81"/>
      <c r="BR4561" s="81"/>
      <c r="BS4561" s="81"/>
      <c r="BT4561" s="81"/>
    </row>
    <row r="4562" spans="65:72" x14ac:dyDescent="0.25">
      <c r="BM4562" s="81"/>
      <c r="BN4562" s="81"/>
      <c r="BO4562" s="81"/>
      <c r="BP4562" s="81"/>
      <c r="BQ4562" s="81"/>
      <c r="BR4562" s="81"/>
      <c r="BS4562" s="81"/>
      <c r="BT4562" s="81"/>
    </row>
    <row r="4563" spans="65:72" x14ac:dyDescent="0.25">
      <c r="BM4563" s="81"/>
      <c r="BN4563" s="81"/>
      <c r="BO4563" s="81"/>
      <c r="BP4563" s="81"/>
      <c r="BQ4563" s="81"/>
      <c r="BR4563" s="81"/>
      <c r="BS4563" s="81"/>
      <c r="BT4563" s="81"/>
    </row>
    <row r="4564" spans="65:72" x14ac:dyDescent="0.25">
      <c r="BM4564" s="81"/>
      <c r="BN4564" s="81"/>
      <c r="BO4564" s="81"/>
      <c r="BP4564" s="81"/>
      <c r="BQ4564" s="81"/>
      <c r="BR4564" s="81"/>
      <c r="BS4564" s="81"/>
      <c r="BT4564" s="81"/>
    </row>
    <row r="4565" spans="65:72" x14ac:dyDescent="0.25">
      <c r="BM4565" s="81"/>
      <c r="BN4565" s="81"/>
      <c r="BO4565" s="81"/>
      <c r="BP4565" s="81"/>
      <c r="BQ4565" s="81"/>
      <c r="BR4565" s="81"/>
      <c r="BS4565" s="81"/>
      <c r="BT4565" s="81"/>
    </row>
    <row r="4566" spans="65:72" x14ac:dyDescent="0.25">
      <c r="BM4566" s="81"/>
      <c r="BN4566" s="81"/>
      <c r="BO4566" s="81"/>
      <c r="BP4566" s="81"/>
      <c r="BQ4566" s="81"/>
      <c r="BR4566" s="81"/>
      <c r="BS4566" s="81"/>
      <c r="BT4566" s="81"/>
    </row>
    <row r="4567" spans="65:72" x14ac:dyDescent="0.25">
      <c r="BM4567" s="81"/>
      <c r="BN4567" s="81"/>
      <c r="BO4567" s="81"/>
      <c r="BP4567" s="81"/>
      <c r="BQ4567" s="81"/>
      <c r="BR4567" s="81"/>
      <c r="BS4567" s="81"/>
      <c r="BT4567" s="81"/>
    </row>
    <row r="4568" spans="65:72" x14ac:dyDescent="0.25">
      <c r="BM4568" s="81"/>
      <c r="BN4568" s="81"/>
      <c r="BO4568" s="81"/>
      <c r="BP4568" s="81"/>
      <c r="BQ4568" s="81"/>
      <c r="BR4568" s="81"/>
      <c r="BS4568" s="81"/>
      <c r="BT4568" s="81"/>
    </row>
    <row r="4569" spans="65:72" x14ac:dyDescent="0.25">
      <c r="BM4569" s="81"/>
      <c r="BN4569" s="81"/>
      <c r="BO4569" s="81"/>
      <c r="BP4569" s="81"/>
      <c r="BQ4569" s="81"/>
      <c r="BR4569" s="81"/>
      <c r="BS4569" s="81"/>
      <c r="BT4569" s="81"/>
    </row>
    <row r="4570" spans="65:72" x14ac:dyDescent="0.25">
      <c r="BM4570" s="81"/>
      <c r="BN4570" s="81"/>
      <c r="BO4570" s="81"/>
      <c r="BP4570" s="81"/>
      <c r="BQ4570" s="81"/>
      <c r="BR4570" s="81"/>
      <c r="BS4570" s="81"/>
      <c r="BT4570" s="81"/>
    </row>
    <row r="4571" spans="65:72" x14ac:dyDescent="0.25">
      <c r="BM4571" s="81"/>
      <c r="BN4571" s="81"/>
      <c r="BO4571" s="81"/>
      <c r="BP4571" s="81"/>
      <c r="BQ4571" s="81"/>
      <c r="BR4571" s="81"/>
      <c r="BS4571" s="81"/>
      <c r="BT4571" s="81"/>
    </row>
    <row r="4572" spans="65:72" x14ac:dyDescent="0.25">
      <c r="BM4572" s="81"/>
      <c r="BN4572" s="81"/>
      <c r="BO4572" s="81"/>
      <c r="BP4572" s="81"/>
      <c r="BQ4572" s="81"/>
      <c r="BR4572" s="81"/>
      <c r="BS4572" s="81"/>
      <c r="BT4572" s="81"/>
    </row>
    <row r="4573" spans="65:72" x14ac:dyDescent="0.25">
      <c r="BM4573" s="81"/>
      <c r="BN4573" s="81"/>
      <c r="BO4573" s="81"/>
      <c r="BP4573" s="81"/>
      <c r="BQ4573" s="81"/>
      <c r="BR4573" s="81"/>
      <c r="BS4573" s="81"/>
      <c r="BT4573" s="81"/>
    </row>
    <row r="4574" spans="65:72" x14ac:dyDescent="0.25">
      <c r="BM4574" s="81"/>
      <c r="BN4574" s="81"/>
      <c r="BO4574" s="81"/>
      <c r="BP4574" s="81"/>
      <c r="BQ4574" s="81"/>
      <c r="BR4574" s="81"/>
      <c r="BS4574" s="81"/>
      <c r="BT4574" s="81"/>
    </row>
    <row r="4575" spans="65:72" x14ac:dyDescent="0.25">
      <c r="BM4575" s="81"/>
      <c r="BN4575" s="81"/>
      <c r="BO4575" s="81"/>
      <c r="BP4575" s="81"/>
      <c r="BQ4575" s="81"/>
      <c r="BR4575" s="81"/>
      <c r="BS4575" s="81"/>
      <c r="BT4575" s="81"/>
    </row>
    <row r="4576" spans="65:72" x14ac:dyDescent="0.25">
      <c r="BM4576" s="81"/>
      <c r="BN4576" s="81"/>
      <c r="BO4576" s="81"/>
      <c r="BP4576" s="81"/>
      <c r="BQ4576" s="81"/>
      <c r="BR4576" s="81"/>
      <c r="BS4576" s="81"/>
      <c r="BT4576" s="81"/>
    </row>
    <row r="4577" spans="65:72" x14ac:dyDescent="0.25">
      <c r="BM4577" s="81"/>
      <c r="BN4577" s="81"/>
      <c r="BO4577" s="81"/>
      <c r="BP4577" s="81"/>
      <c r="BQ4577" s="81"/>
      <c r="BR4577" s="81"/>
      <c r="BS4577" s="81"/>
      <c r="BT4577" s="81"/>
    </row>
    <row r="4578" spans="65:72" x14ac:dyDescent="0.25">
      <c r="BM4578" s="81"/>
      <c r="BN4578" s="81"/>
      <c r="BO4578" s="81"/>
      <c r="BP4578" s="81"/>
      <c r="BQ4578" s="81"/>
      <c r="BR4578" s="81"/>
      <c r="BS4578" s="81"/>
      <c r="BT4578" s="81"/>
    </row>
    <row r="4579" spans="65:72" x14ac:dyDescent="0.25">
      <c r="BM4579" s="81"/>
      <c r="BN4579" s="81"/>
      <c r="BO4579" s="81"/>
      <c r="BP4579" s="81"/>
      <c r="BQ4579" s="81"/>
      <c r="BR4579" s="81"/>
      <c r="BS4579" s="81"/>
      <c r="BT4579" s="81"/>
    </row>
    <row r="4580" spans="65:72" x14ac:dyDescent="0.25">
      <c r="BM4580" s="81"/>
      <c r="BN4580" s="81"/>
      <c r="BO4580" s="81"/>
      <c r="BP4580" s="81"/>
      <c r="BQ4580" s="81"/>
      <c r="BR4580" s="81"/>
      <c r="BS4580" s="81"/>
      <c r="BT4580" s="81"/>
    </row>
    <row r="4581" spans="65:72" x14ac:dyDescent="0.25">
      <c r="BM4581" s="81"/>
      <c r="BN4581" s="81"/>
      <c r="BO4581" s="81"/>
      <c r="BP4581" s="81"/>
      <c r="BQ4581" s="81"/>
      <c r="BR4581" s="81"/>
      <c r="BS4581" s="81"/>
      <c r="BT4581" s="81"/>
    </row>
    <row r="4582" spans="65:72" x14ac:dyDescent="0.25">
      <c r="BM4582" s="81"/>
      <c r="BN4582" s="81"/>
      <c r="BO4582" s="81"/>
      <c r="BP4582" s="81"/>
      <c r="BQ4582" s="81"/>
      <c r="BR4582" s="81"/>
      <c r="BS4582" s="81"/>
      <c r="BT4582" s="81"/>
    </row>
    <row r="4583" spans="65:72" x14ac:dyDescent="0.25">
      <c r="BM4583" s="81"/>
      <c r="BN4583" s="81"/>
      <c r="BO4583" s="81"/>
      <c r="BP4583" s="81"/>
      <c r="BQ4583" s="81"/>
      <c r="BR4583" s="81"/>
      <c r="BS4583" s="81"/>
      <c r="BT4583" s="81"/>
    </row>
    <row r="4584" spans="65:72" x14ac:dyDescent="0.25">
      <c r="BM4584" s="81"/>
      <c r="BN4584" s="81"/>
      <c r="BO4584" s="81"/>
      <c r="BP4584" s="81"/>
      <c r="BQ4584" s="81"/>
      <c r="BR4584" s="81"/>
      <c r="BS4584" s="81"/>
      <c r="BT4584" s="81"/>
    </row>
    <row r="4585" spans="65:72" x14ac:dyDescent="0.25">
      <c r="BM4585" s="81"/>
      <c r="BN4585" s="81"/>
      <c r="BO4585" s="81"/>
      <c r="BP4585" s="81"/>
      <c r="BQ4585" s="81"/>
      <c r="BR4585" s="81"/>
      <c r="BS4585" s="81"/>
      <c r="BT4585" s="81"/>
    </row>
    <row r="4586" spans="65:72" x14ac:dyDescent="0.25">
      <c r="BM4586" s="81"/>
      <c r="BN4586" s="81"/>
      <c r="BO4586" s="81"/>
      <c r="BP4586" s="81"/>
      <c r="BQ4586" s="81"/>
      <c r="BR4586" s="81"/>
      <c r="BS4586" s="81"/>
      <c r="BT4586" s="81"/>
    </row>
    <row r="4587" spans="65:72" x14ac:dyDescent="0.25">
      <c r="BM4587" s="81"/>
      <c r="BN4587" s="81"/>
      <c r="BO4587" s="81"/>
      <c r="BP4587" s="81"/>
      <c r="BQ4587" s="81"/>
      <c r="BR4587" s="81"/>
      <c r="BS4587" s="81"/>
      <c r="BT4587" s="81"/>
    </row>
    <row r="4588" spans="65:72" x14ac:dyDescent="0.25">
      <c r="BM4588" s="81"/>
      <c r="BN4588" s="81"/>
      <c r="BO4588" s="81"/>
      <c r="BP4588" s="81"/>
      <c r="BQ4588" s="81"/>
      <c r="BR4588" s="81"/>
      <c r="BS4588" s="81"/>
      <c r="BT4588" s="81"/>
    </row>
    <row r="4589" spans="65:72" x14ac:dyDescent="0.25">
      <c r="BM4589" s="81"/>
      <c r="BN4589" s="81"/>
      <c r="BO4589" s="81"/>
      <c r="BP4589" s="81"/>
      <c r="BQ4589" s="81"/>
      <c r="BR4589" s="81"/>
      <c r="BS4589" s="81"/>
      <c r="BT4589" s="81"/>
    </row>
    <row r="4590" spans="65:72" x14ac:dyDescent="0.25">
      <c r="BM4590" s="81"/>
      <c r="BN4590" s="81"/>
      <c r="BO4590" s="81"/>
      <c r="BP4590" s="81"/>
      <c r="BQ4590" s="81"/>
      <c r="BR4590" s="81"/>
      <c r="BS4590" s="81"/>
      <c r="BT4590" s="81"/>
    </row>
    <row r="4591" spans="65:72" x14ac:dyDescent="0.25">
      <c r="BM4591" s="81"/>
      <c r="BN4591" s="81"/>
      <c r="BO4591" s="81"/>
      <c r="BP4591" s="81"/>
      <c r="BQ4591" s="81"/>
      <c r="BR4591" s="81"/>
      <c r="BS4591" s="81"/>
      <c r="BT4591" s="81"/>
    </row>
    <row r="4592" spans="65:72" x14ac:dyDescent="0.25">
      <c r="BM4592" s="81"/>
      <c r="BN4592" s="81"/>
      <c r="BO4592" s="81"/>
      <c r="BP4592" s="81"/>
      <c r="BQ4592" s="81"/>
      <c r="BR4592" s="81"/>
      <c r="BS4592" s="81"/>
      <c r="BT4592" s="81"/>
    </row>
    <row r="4593" spans="65:72" x14ac:dyDescent="0.25">
      <c r="BM4593" s="81"/>
      <c r="BN4593" s="81"/>
      <c r="BO4593" s="81"/>
      <c r="BP4593" s="81"/>
      <c r="BQ4593" s="81"/>
      <c r="BR4593" s="81"/>
      <c r="BS4593" s="81"/>
      <c r="BT4593" s="81"/>
    </row>
    <row r="4594" spans="65:72" x14ac:dyDescent="0.25">
      <c r="BM4594" s="81"/>
      <c r="BN4594" s="81"/>
      <c r="BO4594" s="81"/>
      <c r="BP4594" s="81"/>
      <c r="BQ4594" s="81"/>
      <c r="BR4594" s="81"/>
      <c r="BS4594" s="81"/>
      <c r="BT4594" s="81"/>
    </row>
    <row r="4595" spans="65:72" x14ac:dyDescent="0.25">
      <c r="BM4595" s="81"/>
      <c r="BN4595" s="81"/>
      <c r="BO4595" s="81"/>
      <c r="BP4595" s="81"/>
      <c r="BQ4595" s="81"/>
      <c r="BR4595" s="81"/>
      <c r="BS4595" s="81"/>
      <c r="BT4595" s="81"/>
    </row>
    <row r="4596" spans="65:72" x14ac:dyDescent="0.25">
      <c r="BM4596" s="81"/>
      <c r="BN4596" s="81"/>
      <c r="BO4596" s="81"/>
      <c r="BP4596" s="81"/>
      <c r="BQ4596" s="81"/>
      <c r="BR4596" s="81"/>
      <c r="BS4596" s="81"/>
      <c r="BT4596" s="81"/>
    </row>
    <row r="4597" spans="65:72" x14ac:dyDescent="0.25">
      <c r="BM4597" s="81"/>
      <c r="BN4597" s="81"/>
      <c r="BO4597" s="81"/>
      <c r="BP4597" s="81"/>
      <c r="BQ4597" s="81"/>
      <c r="BR4597" s="81"/>
      <c r="BS4597" s="81"/>
      <c r="BT4597" s="81"/>
    </row>
    <row r="4598" spans="65:72" x14ac:dyDescent="0.25">
      <c r="BM4598" s="81"/>
      <c r="BN4598" s="81"/>
      <c r="BO4598" s="81"/>
      <c r="BP4598" s="81"/>
      <c r="BQ4598" s="81"/>
      <c r="BR4598" s="81"/>
      <c r="BS4598" s="81"/>
      <c r="BT4598" s="81"/>
    </row>
    <row r="4599" spans="65:72" x14ac:dyDescent="0.25">
      <c r="BM4599" s="81"/>
      <c r="BN4599" s="81"/>
      <c r="BO4599" s="81"/>
      <c r="BP4599" s="81"/>
      <c r="BQ4599" s="81"/>
      <c r="BR4599" s="81"/>
      <c r="BS4599" s="81"/>
      <c r="BT4599" s="81"/>
    </row>
    <row r="4600" spans="65:72" x14ac:dyDescent="0.25">
      <c r="BM4600" s="81"/>
      <c r="BN4600" s="81"/>
      <c r="BO4600" s="81"/>
      <c r="BP4600" s="81"/>
      <c r="BQ4600" s="81"/>
      <c r="BR4600" s="81"/>
      <c r="BS4600" s="81"/>
      <c r="BT4600" s="81"/>
    </row>
    <row r="4601" spans="65:72" x14ac:dyDescent="0.25">
      <c r="BM4601" s="81"/>
      <c r="BN4601" s="81"/>
      <c r="BO4601" s="81"/>
      <c r="BP4601" s="81"/>
      <c r="BQ4601" s="81"/>
      <c r="BR4601" s="81"/>
      <c r="BS4601" s="81"/>
      <c r="BT4601" s="81"/>
    </row>
    <row r="4602" spans="65:72" x14ac:dyDescent="0.25">
      <c r="BM4602" s="81"/>
      <c r="BN4602" s="81"/>
      <c r="BO4602" s="81"/>
      <c r="BP4602" s="81"/>
      <c r="BQ4602" s="81"/>
      <c r="BR4602" s="81"/>
      <c r="BS4602" s="81"/>
      <c r="BT4602" s="81"/>
    </row>
    <row r="4603" spans="65:72" x14ac:dyDescent="0.25">
      <c r="BM4603" s="81"/>
      <c r="BN4603" s="81"/>
      <c r="BO4603" s="81"/>
      <c r="BP4603" s="81"/>
      <c r="BQ4603" s="81"/>
      <c r="BR4603" s="81"/>
      <c r="BS4603" s="81"/>
      <c r="BT4603" s="81"/>
    </row>
    <row r="4604" spans="65:72" x14ac:dyDescent="0.25">
      <c r="BM4604" s="81"/>
      <c r="BN4604" s="81"/>
      <c r="BO4604" s="81"/>
      <c r="BP4604" s="81"/>
      <c r="BQ4604" s="81"/>
      <c r="BR4604" s="81"/>
      <c r="BS4604" s="81"/>
      <c r="BT4604" s="81"/>
    </row>
    <row r="4605" spans="65:72" x14ac:dyDescent="0.25">
      <c r="BM4605" s="81"/>
      <c r="BN4605" s="81"/>
      <c r="BO4605" s="81"/>
      <c r="BP4605" s="81"/>
      <c r="BQ4605" s="81"/>
      <c r="BR4605" s="81"/>
      <c r="BS4605" s="81"/>
      <c r="BT4605" s="81"/>
    </row>
    <row r="4606" spans="65:72" x14ac:dyDescent="0.25">
      <c r="BM4606" s="81"/>
      <c r="BN4606" s="81"/>
      <c r="BO4606" s="81"/>
      <c r="BP4606" s="81"/>
      <c r="BQ4606" s="81"/>
      <c r="BR4606" s="81"/>
      <c r="BS4606" s="81"/>
      <c r="BT4606" s="81"/>
    </row>
    <row r="4607" spans="65:72" x14ac:dyDescent="0.25">
      <c r="BM4607" s="81"/>
      <c r="BN4607" s="81"/>
      <c r="BO4607" s="81"/>
      <c r="BP4607" s="81"/>
      <c r="BQ4607" s="81"/>
      <c r="BR4607" s="81"/>
      <c r="BS4607" s="81"/>
      <c r="BT4607" s="81"/>
    </row>
    <row r="4608" spans="65:72" x14ac:dyDescent="0.25">
      <c r="BM4608" s="81"/>
      <c r="BN4608" s="81"/>
      <c r="BO4608" s="81"/>
      <c r="BP4608" s="81"/>
      <c r="BQ4608" s="81"/>
      <c r="BR4608" s="81"/>
      <c r="BS4608" s="81"/>
      <c r="BT4608" s="81"/>
    </row>
    <row r="4609" spans="65:72" x14ac:dyDescent="0.25">
      <c r="BM4609" s="81"/>
      <c r="BN4609" s="81"/>
      <c r="BO4609" s="81"/>
      <c r="BP4609" s="81"/>
      <c r="BQ4609" s="81"/>
      <c r="BR4609" s="81"/>
      <c r="BS4609" s="81"/>
      <c r="BT4609" s="81"/>
    </row>
    <row r="4610" spans="65:72" x14ac:dyDescent="0.25">
      <c r="BM4610" s="81"/>
      <c r="BN4610" s="81"/>
      <c r="BO4610" s="81"/>
      <c r="BP4610" s="81"/>
      <c r="BQ4610" s="81"/>
      <c r="BR4610" s="81"/>
      <c r="BS4610" s="81"/>
      <c r="BT4610" s="81"/>
    </row>
    <row r="4611" spans="65:72" x14ac:dyDescent="0.25">
      <c r="BM4611" s="81"/>
      <c r="BN4611" s="81"/>
      <c r="BO4611" s="81"/>
      <c r="BP4611" s="81"/>
      <c r="BQ4611" s="81"/>
      <c r="BR4611" s="81"/>
      <c r="BS4611" s="81"/>
      <c r="BT4611" s="81"/>
    </row>
    <row r="4612" spans="65:72" x14ac:dyDescent="0.25">
      <c r="BM4612" s="81"/>
      <c r="BN4612" s="81"/>
      <c r="BO4612" s="81"/>
      <c r="BP4612" s="81"/>
      <c r="BQ4612" s="81"/>
      <c r="BR4612" s="81"/>
      <c r="BS4612" s="81"/>
      <c r="BT4612" s="81"/>
    </row>
    <row r="4613" spans="65:72" x14ac:dyDescent="0.25">
      <c r="BM4613" s="81"/>
      <c r="BN4613" s="81"/>
      <c r="BO4613" s="81"/>
      <c r="BP4613" s="81"/>
      <c r="BQ4613" s="81"/>
      <c r="BR4613" s="81"/>
      <c r="BS4613" s="81"/>
      <c r="BT4613" s="81"/>
    </row>
    <row r="4614" spans="65:72" x14ac:dyDescent="0.25">
      <c r="BM4614" s="81"/>
      <c r="BN4614" s="81"/>
      <c r="BO4614" s="81"/>
      <c r="BP4614" s="81"/>
      <c r="BQ4614" s="81"/>
      <c r="BR4614" s="81"/>
      <c r="BS4614" s="81"/>
      <c r="BT4614" s="81"/>
    </row>
    <row r="4615" spans="65:72" x14ac:dyDescent="0.25">
      <c r="BM4615" s="81"/>
      <c r="BN4615" s="81"/>
      <c r="BO4615" s="81"/>
      <c r="BP4615" s="81"/>
      <c r="BQ4615" s="81"/>
      <c r="BR4615" s="81"/>
      <c r="BS4615" s="81"/>
      <c r="BT4615" s="81"/>
    </row>
    <row r="4616" spans="65:72" x14ac:dyDescent="0.25">
      <c r="BM4616" s="81"/>
      <c r="BN4616" s="81"/>
      <c r="BO4616" s="81"/>
      <c r="BP4616" s="81"/>
      <c r="BQ4616" s="81"/>
      <c r="BR4616" s="81"/>
      <c r="BS4616" s="81"/>
      <c r="BT4616" s="81"/>
    </row>
    <row r="4617" spans="65:72" x14ac:dyDescent="0.25">
      <c r="BM4617" s="81"/>
      <c r="BN4617" s="81"/>
      <c r="BO4617" s="81"/>
      <c r="BP4617" s="81"/>
      <c r="BQ4617" s="81"/>
      <c r="BR4617" s="81"/>
      <c r="BS4617" s="81"/>
      <c r="BT4617" s="81"/>
    </row>
    <row r="4618" spans="65:72" x14ac:dyDescent="0.25">
      <c r="BM4618" s="81"/>
      <c r="BN4618" s="81"/>
      <c r="BO4618" s="81"/>
      <c r="BP4618" s="81"/>
      <c r="BQ4618" s="81"/>
      <c r="BR4618" s="81"/>
      <c r="BS4618" s="81"/>
      <c r="BT4618" s="81"/>
    </row>
    <row r="4619" spans="65:72" x14ac:dyDescent="0.25">
      <c r="BM4619" s="81"/>
      <c r="BN4619" s="81"/>
      <c r="BO4619" s="81"/>
      <c r="BP4619" s="81"/>
      <c r="BQ4619" s="81"/>
      <c r="BR4619" s="81"/>
      <c r="BS4619" s="81"/>
      <c r="BT4619" s="81"/>
    </row>
    <row r="4620" spans="65:72" x14ac:dyDescent="0.25">
      <c r="BM4620" s="81"/>
      <c r="BN4620" s="81"/>
      <c r="BO4620" s="81"/>
      <c r="BP4620" s="81"/>
      <c r="BQ4620" s="81"/>
      <c r="BR4620" s="81"/>
      <c r="BS4620" s="81"/>
      <c r="BT4620" s="81"/>
    </row>
    <row r="4621" spans="65:72" x14ac:dyDescent="0.25">
      <c r="BM4621" s="81"/>
      <c r="BN4621" s="81"/>
      <c r="BO4621" s="81"/>
      <c r="BP4621" s="81"/>
      <c r="BQ4621" s="81"/>
      <c r="BR4621" s="81"/>
      <c r="BS4621" s="81"/>
      <c r="BT4621" s="81"/>
    </row>
    <row r="4622" spans="65:72" x14ac:dyDescent="0.25">
      <c r="BM4622" s="81"/>
      <c r="BN4622" s="81"/>
      <c r="BO4622" s="81"/>
      <c r="BP4622" s="81"/>
      <c r="BQ4622" s="81"/>
      <c r="BR4622" s="81"/>
      <c r="BS4622" s="81"/>
      <c r="BT4622" s="81"/>
    </row>
    <row r="4623" spans="65:72" x14ac:dyDescent="0.25">
      <c r="BM4623" s="81"/>
      <c r="BN4623" s="81"/>
      <c r="BO4623" s="81"/>
      <c r="BP4623" s="81"/>
      <c r="BQ4623" s="81"/>
      <c r="BR4623" s="81"/>
      <c r="BS4623" s="81"/>
      <c r="BT4623" s="81"/>
    </row>
    <row r="4624" spans="65:72" x14ac:dyDescent="0.25">
      <c r="BM4624" s="81"/>
      <c r="BN4624" s="81"/>
      <c r="BO4624" s="81"/>
      <c r="BP4624" s="81"/>
      <c r="BQ4624" s="81"/>
      <c r="BR4624" s="81"/>
      <c r="BS4624" s="81"/>
      <c r="BT4624" s="81"/>
    </row>
    <row r="4625" spans="65:72" x14ac:dyDescent="0.25">
      <c r="BM4625" s="81"/>
      <c r="BN4625" s="81"/>
      <c r="BO4625" s="81"/>
      <c r="BP4625" s="81"/>
      <c r="BQ4625" s="81"/>
      <c r="BR4625" s="81"/>
      <c r="BS4625" s="81"/>
      <c r="BT4625" s="81"/>
    </row>
    <row r="4626" spans="65:72" x14ac:dyDescent="0.25">
      <c r="BM4626" s="81"/>
      <c r="BN4626" s="81"/>
      <c r="BO4626" s="81"/>
      <c r="BP4626" s="81"/>
      <c r="BQ4626" s="81"/>
      <c r="BR4626" s="81"/>
      <c r="BS4626" s="81"/>
      <c r="BT4626" s="81"/>
    </row>
    <row r="4627" spans="65:72" x14ac:dyDescent="0.25">
      <c r="BM4627" s="81"/>
      <c r="BN4627" s="81"/>
      <c r="BO4627" s="81"/>
      <c r="BP4627" s="81"/>
      <c r="BQ4627" s="81"/>
      <c r="BR4627" s="81"/>
      <c r="BS4627" s="81"/>
      <c r="BT4627" s="81"/>
    </row>
    <row r="4628" spans="65:72" x14ac:dyDescent="0.25">
      <c r="BM4628" s="81"/>
      <c r="BN4628" s="81"/>
      <c r="BO4628" s="81"/>
      <c r="BP4628" s="81"/>
      <c r="BQ4628" s="81"/>
      <c r="BR4628" s="81"/>
      <c r="BS4628" s="81"/>
      <c r="BT4628" s="81"/>
    </row>
    <row r="4629" spans="65:72" x14ac:dyDescent="0.25">
      <c r="BM4629" s="81"/>
      <c r="BN4629" s="81"/>
      <c r="BO4629" s="81"/>
      <c r="BP4629" s="81"/>
      <c r="BQ4629" s="81"/>
      <c r="BR4629" s="81"/>
      <c r="BS4629" s="81"/>
      <c r="BT4629" s="81"/>
    </row>
    <row r="4630" spans="65:72" x14ac:dyDescent="0.25">
      <c r="BM4630" s="81"/>
      <c r="BN4630" s="81"/>
      <c r="BO4630" s="81"/>
      <c r="BP4630" s="81"/>
      <c r="BQ4630" s="81"/>
      <c r="BR4630" s="81"/>
      <c r="BS4630" s="81"/>
      <c r="BT4630" s="81"/>
    </row>
    <row r="4631" spans="65:72" x14ac:dyDescent="0.25">
      <c r="BM4631" s="81"/>
      <c r="BN4631" s="81"/>
      <c r="BO4631" s="81"/>
      <c r="BP4631" s="81"/>
      <c r="BQ4631" s="81"/>
      <c r="BR4631" s="81"/>
      <c r="BS4631" s="81"/>
      <c r="BT4631" s="81"/>
    </row>
    <row r="4632" spans="65:72" x14ac:dyDescent="0.25">
      <c r="BM4632" s="81"/>
      <c r="BN4632" s="81"/>
      <c r="BO4632" s="81"/>
      <c r="BP4632" s="81"/>
      <c r="BQ4632" s="81"/>
      <c r="BR4632" s="81"/>
      <c r="BS4632" s="81"/>
      <c r="BT4632" s="81"/>
    </row>
    <row r="4633" spans="65:72" x14ac:dyDescent="0.25">
      <c r="BM4633" s="81"/>
      <c r="BN4633" s="81"/>
      <c r="BO4633" s="81"/>
      <c r="BP4633" s="81"/>
      <c r="BQ4633" s="81"/>
      <c r="BR4633" s="81"/>
      <c r="BS4633" s="81"/>
      <c r="BT4633" s="81"/>
    </row>
    <row r="4634" spans="65:72" x14ac:dyDescent="0.25">
      <c r="BM4634" s="81"/>
      <c r="BN4634" s="81"/>
      <c r="BO4634" s="81"/>
      <c r="BP4634" s="81"/>
      <c r="BQ4634" s="81"/>
      <c r="BR4634" s="81"/>
      <c r="BS4634" s="81"/>
      <c r="BT4634" s="81"/>
    </row>
    <row r="4635" spans="65:72" x14ac:dyDescent="0.25">
      <c r="BM4635" s="81"/>
      <c r="BN4635" s="81"/>
      <c r="BO4635" s="81"/>
      <c r="BP4635" s="81"/>
      <c r="BQ4635" s="81"/>
      <c r="BR4635" s="81"/>
      <c r="BS4635" s="81"/>
      <c r="BT4635" s="81"/>
    </row>
    <row r="4636" spans="65:72" x14ac:dyDescent="0.25">
      <c r="BM4636" s="81"/>
      <c r="BN4636" s="81"/>
      <c r="BO4636" s="81"/>
      <c r="BP4636" s="81"/>
      <c r="BQ4636" s="81"/>
      <c r="BR4636" s="81"/>
      <c r="BS4636" s="81"/>
      <c r="BT4636" s="81"/>
    </row>
    <row r="4637" spans="65:72" x14ac:dyDescent="0.25">
      <c r="BM4637" s="81"/>
      <c r="BN4637" s="81"/>
      <c r="BO4637" s="81"/>
      <c r="BP4637" s="81"/>
      <c r="BQ4637" s="81"/>
      <c r="BR4637" s="81"/>
      <c r="BS4637" s="81"/>
      <c r="BT4637" s="81"/>
    </row>
    <row r="4638" spans="65:72" x14ac:dyDescent="0.25">
      <c r="BM4638" s="81"/>
      <c r="BN4638" s="81"/>
      <c r="BO4638" s="81"/>
      <c r="BP4638" s="81"/>
      <c r="BQ4638" s="81"/>
      <c r="BR4638" s="81"/>
      <c r="BS4638" s="81"/>
      <c r="BT4638" s="81"/>
    </row>
    <row r="4639" spans="65:72" x14ac:dyDescent="0.25">
      <c r="BM4639" s="81"/>
      <c r="BN4639" s="81"/>
      <c r="BO4639" s="81"/>
      <c r="BP4639" s="81"/>
      <c r="BQ4639" s="81"/>
      <c r="BR4639" s="81"/>
      <c r="BS4639" s="81"/>
      <c r="BT4639" s="81"/>
    </row>
    <row r="4640" spans="65:72" x14ac:dyDescent="0.25">
      <c r="BM4640" s="81"/>
      <c r="BN4640" s="81"/>
      <c r="BO4640" s="81"/>
      <c r="BP4640" s="81"/>
      <c r="BQ4640" s="81"/>
      <c r="BR4640" s="81"/>
      <c r="BS4640" s="81"/>
      <c r="BT4640" s="81"/>
    </row>
    <row r="4641" spans="65:72" x14ac:dyDescent="0.25">
      <c r="BM4641" s="81"/>
      <c r="BN4641" s="81"/>
      <c r="BO4641" s="81"/>
      <c r="BP4641" s="81"/>
      <c r="BQ4641" s="81"/>
      <c r="BR4641" s="81"/>
      <c r="BS4641" s="81"/>
      <c r="BT4641" s="81"/>
    </row>
    <row r="4642" spans="65:72" x14ac:dyDescent="0.25">
      <c r="BM4642" s="81"/>
      <c r="BN4642" s="81"/>
      <c r="BO4642" s="81"/>
      <c r="BP4642" s="81"/>
      <c r="BQ4642" s="81"/>
      <c r="BR4642" s="81"/>
      <c r="BS4642" s="81"/>
      <c r="BT4642" s="81"/>
    </row>
    <row r="4643" spans="65:72" x14ac:dyDescent="0.25">
      <c r="BM4643" s="81"/>
      <c r="BN4643" s="81"/>
      <c r="BO4643" s="81"/>
      <c r="BP4643" s="81"/>
      <c r="BQ4643" s="81"/>
      <c r="BR4643" s="81"/>
      <c r="BS4643" s="81"/>
      <c r="BT4643" s="81"/>
    </row>
    <row r="4644" spans="65:72" x14ac:dyDescent="0.25">
      <c r="BM4644" s="81"/>
      <c r="BN4644" s="81"/>
      <c r="BO4644" s="81"/>
      <c r="BP4644" s="81"/>
      <c r="BQ4644" s="81"/>
      <c r="BR4644" s="81"/>
      <c r="BS4644" s="81"/>
      <c r="BT4644" s="81"/>
    </row>
    <row r="4645" spans="65:72" x14ac:dyDescent="0.25">
      <c r="BM4645" s="81"/>
      <c r="BN4645" s="81"/>
      <c r="BO4645" s="81"/>
      <c r="BP4645" s="81"/>
      <c r="BQ4645" s="81"/>
      <c r="BR4645" s="81"/>
      <c r="BS4645" s="81"/>
      <c r="BT4645" s="81"/>
    </row>
    <row r="4646" spans="65:72" x14ac:dyDescent="0.25">
      <c r="BM4646" s="81"/>
      <c r="BN4646" s="81"/>
      <c r="BO4646" s="81"/>
      <c r="BP4646" s="81"/>
      <c r="BQ4646" s="81"/>
      <c r="BR4646" s="81"/>
      <c r="BS4646" s="81"/>
      <c r="BT4646" s="81"/>
    </row>
    <row r="4647" spans="65:72" x14ac:dyDescent="0.25">
      <c r="BM4647" s="81"/>
      <c r="BN4647" s="81"/>
      <c r="BO4647" s="81"/>
      <c r="BP4647" s="81"/>
      <c r="BQ4647" s="81"/>
      <c r="BR4647" s="81"/>
      <c r="BS4647" s="81"/>
      <c r="BT4647" s="81"/>
    </row>
    <row r="4648" spans="65:72" x14ac:dyDescent="0.25">
      <c r="BM4648" s="81"/>
      <c r="BN4648" s="81"/>
      <c r="BO4648" s="81"/>
      <c r="BP4648" s="81"/>
      <c r="BQ4648" s="81"/>
      <c r="BR4648" s="81"/>
      <c r="BS4648" s="81"/>
      <c r="BT4648" s="81"/>
    </row>
    <row r="4649" spans="65:72" x14ac:dyDescent="0.25">
      <c r="BM4649" s="81"/>
      <c r="BN4649" s="81"/>
      <c r="BO4649" s="81"/>
      <c r="BP4649" s="81"/>
      <c r="BQ4649" s="81"/>
      <c r="BR4649" s="81"/>
      <c r="BS4649" s="81"/>
      <c r="BT4649" s="81"/>
    </row>
    <row r="4650" spans="65:72" x14ac:dyDescent="0.25">
      <c r="BM4650" s="81"/>
      <c r="BN4650" s="81"/>
      <c r="BO4650" s="81"/>
      <c r="BP4650" s="81"/>
      <c r="BQ4650" s="81"/>
      <c r="BR4650" s="81"/>
      <c r="BS4650" s="81"/>
      <c r="BT4650" s="81"/>
    </row>
    <row r="4651" spans="65:72" x14ac:dyDescent="0.25">
      <c r="BM4651" s="81"/>
      <c r="BN4651" s="81"/>
      <c r="BO4651" s="81"/>
      <c r="BP4651" s="81"/>
      <c r="BQ4651" s="81"/>
      <c r="BR4651" s="81"/>
      <c r="BS4651" s="81"/>
      <c r="BT4651" s="81"/>
    </row>
    <row r="4652" spans="65:72" x14ac:dyDescent="0.25">
      <c r="BM4652" s="81"/>
      <c r="BN4652" s="81"/>
      <c r="BO4652" s="81"/>
      <c r="BP4652" s="81"/>
      <c r="BQ4652" s="81"/>
      <c r="BR4652" s="81"/>
      <c r="BS4652" s="81"/>
      <c r="BT4652" s="81"/>
    </row>
    <row r="4653" spans="65:72" x14ac:dyDescent="0.25">
      <c r="BM4653" s="81"/>
      <c r="BN4653" s="81"/>
      <c r="BO4653" s="81"/>
      <c r="BP4653" s="81"/>
      <c r="BQ4653" s="81"/>
      <c r="BR4653" s="81"/>
      <c r="BS4653" s="81"/>
      <c r="BT4653" s="81"/>
    </row>
    <row r="4654" spans="65:72" x14ac:dyDescent="0.25">
      <c r="BM4654" s="81"/>
      <c r="BN4654" s="81"/>
      <c r="BO4654" s="81"/>
      <c r="BP4654" s="81"/>
      <c r="BQ4654" s="81"/>
      <c r="BR4654" s="81"/>
      <c r="BS4654" s="81"/>
      <c r="BT4654" s="81"/>
    </row>
    <row r="4655" spans="65:72" x14ac:dyDescent="0.25">
      <c r="BM4655" s="81"/>
      <c r="BN4655" s="81"/>
      <c r="BO4655" s="81"/>
      <c r="BP4655" s="81"/>
      <c r="BQ4655" s="81"/>
      <c r="BR4655" s="81"/>
      <c r="BS4655" s="81"/>
      <c r="BT4655" s="81"/>
    </row>
    <row r="4656" spans="65:72" x14ac:dyDescent="0.25">
      <c r="BM4656" s="81"/>
      <c r="BN4656" s="81"/>
      <c r="BO4656" s="81"/>
      <c r="BP4656" s="81"/>
      <c r="BQ4656" s="81"/>
      <c r="BR4656" s="81"/>
      <c r="BS4656" s="81"/>
      <c r="BT4656" s="81"/>
    </row>
    <row r="4657" spans="65:72" x14ac:dyDescent="0.25">
      <c r="BM4657" s="81"/>
      <c r="BN4657" s="81"/>
      <c r="BO4657" s="81"/>
      <c r="BP4657" s="81"/>
      <c r="BQ4657" s="81"/>
      <c r="BR4657" s="81"/>
      <c r="BS4657" s="81"/>
      <c r="BT4657" s="81"/>
    </row>
    <row r="4658" spans="65:72" x14ac:dyDescent="0.25">
      <c r="BM4658" s="81"/>
      <c r="BN4658" s="81"/>
      <c r="BO4658" s="81"/>
      <c r="BP4658" s="81"/>
      <c r="BQ4658" s="81"/>
      <c r="BR4658" s="81"/>
      <c r="BS4658" s="81"/>
      <c r="BT4658" s="81"/>
    </row>
    <row r="4659" spans="65:72" x14ac:dyDescent="0.25">
      <c r="BM4659" s="81"/>
      <c r="BN4659" s="81"/>
      <c r="BO4659" s="81"/>
      <c r="BP4659" s="81"/>
      <c r="BQ4659" s="81"/>
      <c r="BR4659" s="81"/>
      <c r="BS4659" s="81"/>
      <c r="BT4659" s="81"/>
    </row>
    <row r="4660" spans="65:72" x14ac:dyDescent="0.25">
      <c r="BM4660" s="81"/>
      <c r="BN4660" s="81"/>
      <c r="BO4660" s="81"/>
      <c r="BP4660" s="81"/>
      <c r="BQ4660" s="81"/>
      <c r="BR4660" s="81"/>
      <c r="BS4660" s="81"/>
      <c r="BT4660" s="81"/>
    </row>
    <row r="4661" spans="65:72" x14ac:dyDescent="0.25">
      <c r="BM4661" s="81"/>
      <c r="BN4661" s="81"/>
      <c r="BO4661" s="81"/>
      <c r="BP4661" s="81"/>
      <c r="BQ4661" s="81"/>
      <c r="BR4661" s="81"/>
      <c r="BS4661" s="81"/>
      <c r="BT4661" s="81"/>
    </row>
    <row r="4662" spans="65:72" x14ac:dyDescent="0.25">
      <c r="BM4662" s="81"/>
      <c r="BN4662" s="81"/>
      <c r="BO4662" s="81"/>
      <c r="BP4662" s="81"/>
      <c r="BQ4662" s="81"/>
      <c r="BR4662" s="81"/>
      <c r="BS4662" s="81"/>
      <c r="BT4662" s="81"/>
    </row>
    <row r="4663" spans="65:72" x14ac:dyDescent="0.25">
      <c r="BM4663" s="81"/>
      <c r="BN4663" s="81"/>
      <c r="BO4663" s="81"/>
      <c r="BP4663" s="81"/>
      <c r="BQ4663" s="81"/>
      <c r="BR4663" s="81"/>
      <c r="BS4663" s="81"/>
      <c r="BT4663" s="81"/>
    </row>
    <row r="4664" spans="65:72" x14ac:dyDescent="0.25">
      <c r="BM4664" s="81"/>
      <c r="BN4664" s="81"/>
      <c r="BO4664" s="81"/>
      <c r="BP4664" s="81"/>
      <c r="BQ4664" s="81"/>
      <c r="BR4664" s="81"/>
      <c r="BS4664" s="81"/>
      <c r="BT4664" s="81"/>
    </row>
    <row r="4665" spans="65:72" x14ac:dyDescent="0.25">
      <c r="BM4665" s="81"/>
      <c r="BN4665" s="81"/>
      <c r="BO4665" s="81"/>
      <c r="BP4665" s="81"/>
      <c r="BQ4665" s="81"/>
      <c r="BR4665" s="81"/>
      <c r="BS4665" s="81"/>
      <c r="BT4665" s="81"/>
    </row>
    <row r="4666" spans="65:72" x14ac:dyDescent="0.25">
      <c r="BM4666" s="81"/>
      <c r="BN4666" s="81"/>
      <c r="BO4666" s="81"/>
      <c r="BP4666" s="81"/>
      <c r="BQ4666" s="81"/>
      <c r="BR4666" s="81"/>
      <c r="BS4666" s="81"/>
      <c r="BT4666" s="81"/>
    </row>
    <row r="4667" spans="65:72" x14ac:dyDescent="0.25">
      <c r="BM4667" s="81"/>
      <c r="BN4667" s="81"/>
      <c r="BO4667" s="81"/>
      <c r="BP4667" s="81"/>
      <c r="BQ4667" s="81"/>
      <c r="BR4667" s="81"/>
      <c r="BS4667" s="81"/>
      <c r="BT4667" s="81"/>
    </row>
    <row r="4668" spans="65:72" x14ac:dyDescent="0.25">
      <c r="BM4668" s="81"/>
      <c r="BN4668" s="81"/>
      <c r="BO4668" s="81"/>
      <c r="BP4668" s="81"/>
      <c r="BQ4668" s="81"/>
      <c r="BR4668" s="81"/>
      <c r="BS4668" s="81"/>
      <c r="BT4668" s="81"/>
    </row>
    <row r="4669" spans="65:72" x14ac:dyDescent="0.25">
      <c r="BM4669" s="81"/>
      <c r="BN4669" s="81"/>
      <c r="BO4669" s="81"/>
      <c r="BP4669" s="81"/>
      <c r="BQ4669" s="81"/>
      <c r="BR4669" s="81"/>
      <c r="BS4669" s="81"/>
      <c r="BT4669" s="81"/>
    </row>
    <row r="4670" spans="65:72" x14ac:dyDescent="0.25">
      <c r="BM4670" s="81"/>
      <c r="BN4670" s="81"/>
      <c r="BO4670" s="81"/>
      <c r="BP4670" s="81"/>
      <c r="BQ4670" s="81"/>
      <c r="BR4670" s="81"/>
      <c r="BS4670" s="81"/>
      <c r="BT4670" s="81"/>
    </row>
    <row r="4671" spans="65:72" x14ac:dyDescent="0.25">
      <c r="BM4671" s="81"/>
      <c r="BN4671" s="81"/>
      <c r="BO4671" s="81"/>
      <c r="BP4671" s="81"/>
      <c r="BQ4671" s="81"/>
      <c r="BR4671" s="81"/>
      <c r="BS4671" s="81"/>
      <c r="BT4671" s="81"/>
    </row>
    <row r="4672" spans="65:72" x14ac:dyDescent="0.25">
      <c r="BM4672" s="81"/>
      <c r="BN4672" s="81"/>
      <c r="BO4672" s="81"/>
      <c r="BP4672" s="81"/>
      <c r="BQ4672" s="81"/>
      <c r="BR4672" s="81"/>
      <c r="BS4672" s="81"/>
      <c r="BT4672" s="81"/>
    </row>
    <row r="4673" spans="65:72" x14ac:dyDescent="0.25">
      <c r="BM4673" s="81"/>
      <c r="BN4673" s="81"/>
      <c r="BO4673" s="81"/>
      <c r="BP4673" s="81"/>
      <c r="BQ4673" s="81"/>
      <c r="BR4673" s="81"/>
      <c r="BS4673" s="81"/>
      <c r="BT4673" s="81"/>
    </row>
    <row r="4674" spans="65:72" x14ac:dyDescent="0.25">
      <c r="BM4674" s="81"/>
      <c r="BN4674" s="81"/>
      <c r="BO4674" s="81"/>
      <c r="BP4674" s="81"/>
      <c r="BQ4674" s="81"/>
      <c r="BR4674" s="81"/>
      <c r="BS4674" s="81"/>
      <c r="BT4674" s="81"/>
    </row>
    <row r="4675" spans="65:72" x14ac:dyDescent="0.25">
      <c r="BM4675" s="81"/>
      <c r="BN4675" s="81"/>
      <c r="BO4675" s="81"/>
      <c r="BP4675" s="81"/>
      <c r="BQ4675" s="81"/>
      <c r="BR4675" s="81"/>
      <c r="BS4675" s="81"/>
      <c r="BT4675" s="81"/>
    </row>
    <row r="4676" spans="65:72" x14ac:dyDescent="0.25">
      <c r="BM4676" s="81"/>
      <c r="BN4676" s="81"/>
      <c r="BO4676" s="81"/>
      <c r="BP4676" s="81"/>
      <c r="BQ4676" s="81"/>
      <c r="BR4676" s="81"/>
      <c r="BS4676" s="81"/>
      <c r="BT4676" s="81"/>
    </row>
    <row r="4677" spans="65:72" x14ac:dyDescent="0.25">
      <c r="BM4677" s="81"/>
      <c r="BN4677" s="81"/>
      <c r="BO4677" s="81"/>
      <c r="BP4677" s="81"/>
      <c r="BQ4677" s="81"/>
      <c r="BR4677" s="81"/>
      <c r="BS4677" s="81"/>
      <c r="BT4677" s="81"/>
    </row>
    <row r="4678" spans="65:72" x14ac:dyDescent="0.25">
      <c r="BM4678" s="81"/>
      <c r="BN4678" s="81"/>
      <c r="BO4678" s="81"/>
      <c r="BP4678" s="81"/>
      <c r="BQ4678" s="81"/>
      <c r="BR4678" s="81"/>
      <c r="BS4678" s="81"/>
      <c r="BT4678" s="81"/>
    </row>
    <row r="4679" spans="65:72" x14ac:dyDescent="0.25">
      <c r="BM4679" s="81"/>
      <c r="BN4679" s="81"/>
      <c r="BO4679" s="81"/>
      <c r="BP4679" s="81"/>
      <c r="BQ4679" s="81"/>
      <c r="BR4679" s="81"/>
      <c r="BS4679" s="81"/>
      <c r="BT4679" s="81"/>
    </row>
    <row r="4680" spans="65:72" x14ac:dyDescent="0.25">
      <c r="BM4680" s="81"/>
      <c r="BN4680" s="81"/>
      <c r="BO4680" s="81"/>
      <c r="BP4680" s="81"/>
      <c r="BQ4680" s="81"/>
      <c r="BR4680" s="81"/>
      <c r="BS4680" s="81"/>
      <c r="BT4680" s="81"/>
    </row>
    <row r="4681" spans="65:72" x14ac:dyDescent="0.25">
      <c r="BM4681" s="81"/>
      <c r="BN4681" s="81"/>
      <c r="BO4681" s="81"/>
      <c r="BP4681" s="81"/>
      <c r="BQ4681" s="81"/>
      <c r="BR4681" s="81"/>
      <c r="BS4681" s="81"/>
      <c r="BT4681" s="81"/>
    </row>
    <row r="4682" spans="65:72" x14ac:dyDescent="0.25">
      <c r="BM4682" s="81"/>
      <c r="BN4682" s="81"/>
      <c r="BO4682" s="81"/>
      <c r="BP4682" s="81"/>
      <c r="BQ4682" s="81"/>
      <c r="BR4682" s="81"/>
      <c r="BS4682" s="81"/>
      <c r="BT4682" s="81"/>
    </row>
    <row r="4683" spans="65:72" x14ac:dyDescent="0.25">
      <c r="BM4683" s="81"/>
      <c r="BN4683" s="81"/>
      <c r="BO4683" s="81"/>
      <c r="BP4683" s="81"/>
      <c r="BQ4683" s="81"/>
      <c r="BR4683" s="81"/>
      <c r="BS4683" s="81"/>
      <c r="BT4683" s="81"/>
    </row>
    <row r="4684" spans="65:72" x14ac:dyDescent="0.25">
      <c r="BM4684" s="81"/>
      <c r="BN4684" s="81"/>
      <c r="BO4684" s="81"/>
      <c r="BP4684" s="81"/>
      <c r="BQ4684" s="81"/>
      <c r="BR4684" s="81"/>
      <c r="BS4684" s="81"/>
      <c r="BT4684" s="81"/>
    </row>
    <row r="4685" spans="65:72" x14ac:dyDescent="0.25">
      <c r="BM4685" s="81"/>
      <c r="BN4685" s="81"/>
      <c r="BO4685" s="81"/>
      <c r="BP4685" s="81"/>
      <c r="BQ4685" s="81"/>
      <c r="BR4685" s="81"/>
      <c r="BS4685" s="81"/>
      <c r="BT4685" s="81"/>
    </row>
    <row r="4686" spans="65:72" x14ac:dyDescent="0.25">
      <c r="BM4686" s="81"/>
      <c r="BN4686" s="81"/>
      <c r="BO4686" s="81"/>
      <c r="BP4686" s="81"/>
      <c r="BQ4686" s="81"/>
      <c r="BR4686" s="81"/>
      <c r="BS4686" s="81"/>
      <c r="BT4686" s="81"/>
    </row>
    <row r="4687" spans="65:72" x14ac:dyDescent="0.25">
      <c r="BM4687" s="81"/>
      <c r="BN4687" s="81"/>
      <c r="BO4687" s="81"/>
      <c r="BP4687" s="81"/>
      <c r="BQ4687" s="81"/>
      <c r="BR4687" s="81"/>
      <c r="BS4687" s="81"/>
      <c r="BT4687" s="81"/>
    </row>
    <row r="4688" spans="65:72" x14ac:dyDescent="0.25">
      <c r="BM4688" s="81"/>
      <c r="BN4688" s="81"/>
      <c r="BO4688" s="81"/>
      <c r="BP4688" s="81"/>
      <c r="BQ4688" s="81"/>
      <c r="BR4688" s="81"/>
      <c r="BS4688" s="81"/>
      <c r="BT4688" s="81"/>
    </row>
    <row r="4689" spans="65:72" x14ac:dyDescent="0.25">
      <c r="BM4689" s="81"/>
      <c r="BN4689" s="81"/>
      <c r="BO4689" s="81"/>
      <c r="BP4689" s="81"/>
      <c r="BQ4689" s="81"/>
      <c r="BR4689" s="81"/>
      <c r="BS4689" s="81"/>
      <c r="BT4689" s="81"/>
    </row>
    <row r="4690" spans="65:72" x14ac:dyDescent="0.25">
      <c r="BM4690" s="81"/>
      <c r="BN4690" s="81"/>
      <c r="BO4690" s="81"/>
      <c r="BP4690" s="81"/>
      <c r="BQ4690" s="81"/>
      <c r="BR4690" s="81"/>
      <c r="BS4690" s="81"/>
      <c r="BT4690" s="81"/>
    </row>
    <row r="4691" spans="65:72" x14ac:dyDescent="0.25">
      <c r="BM4691" s="81"/>
      <c r="BN4691" s="81"/>
      <c r="BO4691" s="81"/>
      <c r="BP4691" s="81"/>
      <c r="BQ4691" s="81"/>
      <c r="BR4691" s="81"/>
      <c r="BS4691" s="81"/>
      <c r="BT4691" s="81"/>
    </row>
    <row r="4692" spans="65:72" x14ac:dyDescent="0.25">
      <c r="BM4692" s="81"/>
      <c r="BN4692" s="81"/>
      <c r="BO4692" s="81"/>
      <c r="BP4692" s="81"/>
      <c r="BQ4692" s="81"/>
      <c r="BR4692" s="81"/>
      <c r="BS4692" s="81"/>
      <c r="BT4692" s="81"/>
    </row>
    <row r="4693" spans="65:72" x14ac:dyDescent="0.25">
      <c r="BM4693" s="81"/>
      <c r="BN4693" s="81"/>
      <c r="BO4693" s="81"/>
      <c r="BP4693" s="81"/>
      <c r="BQ4693" s="81"/>
      <c r="BR4693" s="81"/>
      <c r="BS4693" s="81"/>
      <c r="BT4693" s="81"/>
    </row>
    <row r="4694" spans="65:72" x14ac:dyDescent="0.25">
      <c r="BM4694" s="81"/>
      <c r="BN4694" s="81"/>
      <c r="BO4694" s="81"/>
      <c r="BP4694" s="81"/>
      <c r="BQ4694" s="81"/>
      <c r="BR4694" s="81"/>
      <c r="BS4694" s="81"/>
      <c r="BT4694" s="81"/>
    </row>
    <row r="4695" spans="65:72" x14ac:dyDescent="0.25">
      <c r="BM4695" s="81"/>
      <c r="BN4695" s="81"/>
      <c r="BO4695" s="81"/>
      <c r="BP4695" s="81"/>
      <c r="BQ4695" s="81"/>
      <c r="BR4695" s="81"/>
      <c r="BS4695" s="81"/>
      <c r="BT4695" s="81"/>
    </row>
    <row r="4696" spans="65:72" x14ac:dyDescent="0.25">
      <c r="BM4696" s="81"/>
      <c r="BN4696" s="81"/>
      <c r="BO4696" s="81"/>
      <c r="BP4696" s="81"/>
      <c r="BQ4696" s="81"/>
      <c r="BR4696" s="81"/>
      <c r="BS4696" s="81"/>
      <c r="BT4696" s="81"/>
    </row>
    <row r="4697" spans="65:72" x14ac:dyDescent="0.25">
      <c r="BM4697" s="81"/>
      <c r="BN4697" s="81"/>
      <c r="BO4697" s="81"/>
      <c r="BP4697" s="81"/>
      <c r="BQ4697" s="81"/>
      <c r="BR4697" s="81"/>
      <c r="BS4697" s="81"/>
      <c r="BT4697" s="81"/>
    </row>
    <row r="4698" spans="65:72" x14ac:dyDescent="0.25">
      <c r="BM4698" s="81"/>
      <c r="BN4698" s="81"/>
      <c r="BO4698" s="81"/>
      <c r="BP4698" s="81"/>
      <c r="BQ4698" s="81"/>
      <c r="BR4698" s="81"/>
      <c r="BS4698" s="81"/>
      <c r="BT4698" s="81"/>
    </row>
    <row r="4699" spans="65:72" x14ac:dyDescent="0.25">
      <c r="BM4699" s="81"/>
      <c r="BN4699" s="81"/>
      <c r="BO4699" s="81"/>
      <c r="BP4699" s="81"/>
      <c r="BQ4699" s="81"/>
      <c r="BR4699" s="81"/>
      <c r="BS4699" s="81"/>
      <c r="BT4699" s="81"/>
    </row>
    <row r="4700" spans="65:72" x14ac:dyDescent="0.25">
      <c r="BM4700" s="81"/>
      <c r="BN4700" s="81"/>
      <c r="BO4700" s="81"/>
      <c r="BP4700" s="81"/>
      <c r="BQ4700" s="81"/>
      <c r="BR4700" s="81"/>
      <c r="BS4700" s="81"/>
      <c r="BT4700" s="81"/>
    </row>
    <row r="4701" spans="65:72" x14ac:dyDescent="0.25">
      <c r="BM4701" s="81"/>
      <c r="BN4701" s="81"/>
      <c r="BO4701" s="81"/>
      <c r="BP4701" s="81"/>
      <c r="BQ4701" s="81"/>
      <c r="BR4701" s="81"/>
      <c r="BS4701" s="81"/>
      <c r="BT4701" s="81"/>
    </row>
    <row r="4702" spans="65:72" x14ac:dyDescent="0.25">
      <c r="BM4702" s="81"/>
      <c r="BN4702" s="81"/>
      <c r="BO4702" s="81"/>
      <c r="BP4702" s="81"/>
      <c r="BQ4702" s="81"/>
      <c r="BR4702" s="81"/>
      <c r="BS4702" s="81"/>
      <c r="BT4702" s="81"/>
    </row>
    <row r="4703" spans="65:72" x14ac:dyDescent="0.25">
      <c r="BM4703" s="81"/>
      <c r="BN4703" s="81"/>
      <c r="BO4703" s="81"/>
      <c r="BP4703" s="81"/>
      <c r="BQ4703" s="81"/>
      <c r="BR4703" s="81"/>
      <c r="BS4703" s="81"/>
      <c r="BT4703" s="81"/>
    </row>
    <row r="4704" spans="65:72" x14ac:dyDescent="0.25">
      <c r="BM4704" s="81"/>
      <c r="BN4704" s="81"/>
      <c r="BO4704" s="81"/>
      <c r="BP4704" s="81"/>
      <c r="BQ4704" s="81"/>
      <c r="BR4704" s="81"/>
      <c r="BS4704" s="81"/>
      <c r="BT4704" s="81"/>
    </row>
    <row r="4705" spans="65:72" x14ac:dyDescent="0.25">
      <c r="BM4705" s="81"/>
      <c r="BN4705" s="81"/>
      <c r="BO4705" s="81"/>
      <c r="BP4705" s="81"/>
      <c r="BQ4705" s="81"/>
      <c r="BR4705" s="81"/>
      <c r="BS4705" s="81"/>
      <c r="BT4705" s="81"/>
    </row>
    <row r="4706" spans="65:72" x14ac:dyDescent="0.25">
      <c r="BM4706" s="81"/>
      <c r="BN4706" s="81"/>
      <c r="BO4706" s="81"/>
      <c r="BP4706" s="81"/>
      <c r="BQ4706" s="81"/>
      <c r="BR4706" s="81"/>
      <c r="BS4706" s="81"/>
      <c r="BT4706" s="81"/>
    </row>
    <row r="4707" spans="65:72" x14ac:dyDescent="0.25">
      <c r="BM4707" s="81"/>
      <c r="BN4707" s="81"/>
      <c r="BO4707" s="81"/>
      <c r="BP4707" s="81"/>
      <c r="BQ4707" s="81"/>
      <c r="BR4707" s="81"/>
      <c r="BS4707" s="81"/>
      <c r="BT4707" s="81"/>
    </row>
    <row r="4708" spans="65:72" x14ac:dyDescent="0.25">
      <c r="BM4708" s="81"/>
      <c r="BN4708" s="81"/>
      <c r="BO4708" s="81"/>
      <c r="BP4708" s="81"/>
      <c r="BQ4708" s="81"/>
      <c r="BR4708" s="81"/>
      <c r="BS4708" s="81"/>
      <c r="BT4708" s="81"/>
    </row>
    <row r="4709" spans="65:72" x14ac:dyDescent="0.25">
      <c r="BM4709" s="81"/>
      <c r="BN4709" s="81"/>
      <c r="BO4709" s="81"/>
      <c r="BP4709" s="81"/>
      <c r="BQ4709" s="81"/>
      <c r="BR4709" s="81"/>
      <c r="BS4709" s="81"/>
      <c r="BT4709" s="81"/>
    </row>
    <row r="4710" spans="65:72" x14ac:dyDescent="0.25">
      <c r="BM4710" s="81"/>
      <c r="BN4710" s="81"/>
      <c r="BO4710" s="81"/>
      <c r="BP4710" s="81"/>
      <c r="BQ4710" s="81"/>
      <c r="BR4710" s="81"/>
      <c r="BS4710" s="81"/>
      <c r="BT4710" s="81"/>
    </row>
    <row r="4711" spans="65:72" x14ac:dyDescent="0.25">
      <c r="BM4711" s="81"/>
      <c r="BN4711" s="81"/>
      <c r="BO4711" s="81"/>
      <c r="BP4711" s="81"/>
      <c r="BQ4711" s="81"/>
      <c r="BR4711" s="81"/>
      <c r="BS4711" s="81"/>
      <c r="BT4711" s="81"/>
    </row>
    <row r="4712" spans="65:72" x14ac:dyDescent="0.25">
      <c r="BM4712" s="81"/>
      <c r="BN4712" s="81"/>
      <c r="BO4712" s="81"/>
      <c r="BP4712" s="81"/>
      <c r="BQ4712" s="81"/>
      <c r="BR4712" s="81"/>
      <c r="BS4712" s="81"/>
      <c r="BT4712" s="81"/>
    </row>
    <row r="4713" spans="65:72" x14ac:dyDescent="0.25">
      <c r="BM4713" s="81"/>
      <c r="BN4713" s="81"/>
      <c r="BO4713" s="81"/>
      <c r="BP4713" s="81"/>
      <c r="BQ4713" s="81"/>
      <c r="BR4713" s="81"/>
      <c r="BS4713" s="81"/>
      <c r="BT4713" s="81"/>
    </row>
    <row r="4714" spans="65:72" x14ac:dyDescent="0.25">
      <c r="BM4714" s="81"/>
      <c r="BN4714" s="81"/>
      <c r="BO4714" s="81"/>
      <c r="BP4714" s="81"/>
      <c r="BQ4714" s="81"/>
      <c r="BR4714" s="81"/>
      <c r="BS4714" s="81"/>
      <c r="BT4714" s="81"/>
    </row>
    <row r="4715" spans="65:72" x14ac:dyDescent="0.25">
      <c r="BM4715" s="81"/>
      <c r="BN4715" s="81"/>
      <c r="BO4715" s="81"/>
      <c r="BP4715" s="81"/>
      <c r="BQ4715" s="81"/>
      <c r="BR4715" s="81"/>
      <c r="BS4715" s="81"/>
      <c r="BT4715" s="81"/>
    </row>
    <row r="4716" spans="65:72" x14ac:dyDescent="0.25">
      <c r="BM4716" s="81"/>
      <c r="BN4716" s="81"/>
      <c r="BO4716" s="81"/>
      <c r="BP4716" s="81"/>
      <c r="BQ4716" s="81"/>
      <c r="BR4716" s="81"/>
      <c r="BS4716" s="81"/>
      <c r="BT4716" s="81"/>
    </row>
    <row r="4717" spans="65:72" x14ac:dyDescent="0.25">
      <c r="BM4717" s="81"/>
      <c r="BN4717" s="81"/>
      <c r="BO4717" s="81"/>
      <c r="BP4717" s="81"/>
      <c r="BQ4717" s="81"/>
      <c r="BR4717" s="81"/>
      <c r="BS4717" s="81"/>
      <c r="BT4717" s="81"/>
    </row>
    <row r="4718" spans="65:72" x14ac:dyDescent="0.25">
      <c r="BM4718" s="81"/>
      <c r="BN4718" s="81"/>
      <c r="BO4718" s="81"/>
      <c r="BP4718" s="81"/>
      <c r="BQ4718" s="81"/>
      <c r="BR4718" s="81"/>
      <c r="BS4718" s="81"/>
      <c r="BT4718" s="81"/>
    </row>
    <row r="4719" spans="65:72" x14ac:dyDescent="0.25">
      <c r="BM4719" s="81"/>
      <c r="BN4719" s="81"/>
      <c r="BO4719" s="81"/>
      <c r="BP4719" s="81"/>
      <c r="BQ4719" s="81"/>
      <c r="BR4719" s="81"/>
      <c r="BS4719" s="81"/>
      <c r="BT4719" s="81"/>
    </row>
    <row r="4720" spans="65:72" x14ac:dyDescent="0.25">
      <c r="BM4720" s="81"/>
      <c r="BN4720" s="81"/>
      <c r="BO4720" s="81"/>
      <c r="BP4720" s="81"/>
      <c r="BQ4720" s="81"/>
      <c r="BR4720" s="81"/>
      <c r="BS4720" s="81"/>
      <c r="BT4720" s="81"/>
    </row>
    <row r="4721" spans="65:72" x14ac:dyDescent="0.25">
      <c r="BM4721" s="81"/>
      <c r="BN4721" s="81"/>
      <c r="BO4721" s="81"/>
      <c r="BP4721" s="81"/>
      <c r="BQ4721" s="81"/>
      <c r="BR4721" s="81"/>
      <c r="BS4721" s="81"/>
      <c r="BT4721" s="81"/>
    </row>
    <row r="4722" spans="65:72" x14ac:dyDescent="0.25">
      <c r="BM4722" s="81"/>
      <c r="BN4722" s="81"/>
      <c r="BO4722" s="81"/>
      <c r="BP4722" s="81"/>
      <c r="BQ4722" s="81"/>
      <c r="BR4722" s="81"/>
      <c r="BS4722" s="81"/>
      <c r="BT4722" s="81"/>
    </row>
    <row r="4723" spans="65:72" x14ac:dyDescent="0.25">
      <c r="BM4723" s="81"/>
      <c r="BN4723" s="81"/>
      <c r="BO4723" s="81"/>
      <c r="BP4723" s="81"/>
      <c r="BQ4723" s="81"/>
      <c r="BR4723" s="81"/>
      <c r="BS4723" s="81"/>
      <c r="BT4723" s="81"/>
    </row>
    <row r="4724" spans="65:72" x14ac:dyDescent="0.25">
      <c r="BM4724" s="81"/>
      <c r="BN4724" s="81"/>
      <c r="BO4724" s="81"/>
      <c r="BP4724" s="81"/>
      <c r="BQ4724" s="81"/>
      <c r="BR4724" s="81"/>
      <c r="BS4724" s="81"/>
      <c r="BT4724" s="81"/>
    </row>
    <row r="4725" spans="65:72" x14ac:dyDescent="0.25">
      <c r="BM4725" s="81"/>
      <c r="BN4725" s="81"/>
      <c r="BO4725" s="81"/>
      <c r="BP4725" s="81"/>
      <c r="BQ4725" s="81"/>
      <c r="BR4725" s="81"/>
      <c r="BS4725" s="81"/>
      <c r="BT4725" s="81"/>
    </row>
    <row r="4726" spans="65:72" x14ac:dyDescent="0.25">
      <c r="BM4726" s="81"/>
      <c r="BN4726" s="81"/>
      <c r="BO4726" s="81"/>
      <c r="BP4726" s="81"/>
      <c r="BQ4726" s="81"/>
      <c r="BR4726" s="81"/>
      <c r="BS4726" s="81"/>
      <c r="BT4726" s="81"/>
    </row>
    <row r="4727" spans="65:72" x14ac:dyDescent="0.25">
      <c r="BM4727" s="81"/>
      <c r="BN4727" s="81"/>
      <c r="BO4727" s="81"/>
      <c r="BP4727" s="81"/>
      <c r="BQ4727" s="81"/>
      <c r="BR4727" s="81"/>
      <c r="BS4727" s="81"/>
      <c r="BT4727" s="81"/>
    </row>
    <row r="4728" spans="65:72" x14ac:dyDescent="0.25">
      <c r="BM4728" s="81"/>
      <c r="BN4728" s="81"/>
      <c r="BO4728" s="81"/>
      <c r="BP4728" s="81"/>
      <c r="BQ4728" s="81"/>
      <c r="BR4728" s="81"/>
      <c r="BS4728" s="81"/>
      <c r="BT4728" s="81"/>
    </row>
    <row r="4729" spans="65:72" x14ac:dyDescent="0.25">
      <c r="BM4729" s="81"/>
      <c r="BN4729" s="81"/>
      <c r="BO4729" s="81"/>
      <c r="BP4729" s="81"/>
      <c r="BQ4729" s="81"/>
      <c r="BR4729" s="81"/>
      <c r="BS4729" s="81"/>
      <c r="BT4729" s="81"/>
    </row>
    <row r="4730" spans="65:72" x14ac:dyDescent="0.25">
      <c r="BM4730" s="81"/>
      <c r="BN4730" s="81"/>
      <c r="BO4730" s="81"/>
      <c r="BP4730" s="81"/>
      <c r="BQ4730" s="81"/>
      <c r="BR4730" s="81"/>
      <c r="BS4730" s="81"/>
      <c r="BT4730" s="81"/>
    </row>
    <row r="4731" spans="65:72" x14ac:dyDescent="0.25">
      <c r="BM4731" s="81"/>
      <c r="BN4731" s="81"/>
      <c r="BO4731" s="81"/>
      <c r="BP4731" s="81"/>
      <c r="BQ4731" s="81"/>
      <c r="BR4731" s="81"/>
      <c r="BS4731" s="81"/>
      <c r="BT4731" s="81"/>
    </row>
    <row r="4732" spans="65:72" x14ac:dyDescent="0.25">
      <c r="BM4732" s="81"/>
      <c r="BN4732" s="81"/>
      <c r="BO4732" s="81"/>
      <c r="BP4732" s="81"/>
      <c r="BQ4732" s="81"/>
      <c r="BR4732" s="81"/>
      <c r="BS4732" s="81"/>
      <c r="BT4732" s="81"/>
    </row>
    <row r="4733" spans="65:72" x14ac:dyDescent="0.25">
      <c r="BM4733" s="81"/>
      <c r="BN4733" s="81"/>
      <c r="BO4733" s="81"/>
      <c r="BP4733" s="81"/>
      <c r="BQ4733" s="81"/>
      <c r="BR4733" s="81"/>
      <c r="BS4733" s="81"/>
      <c r="BT4733" s="81"/>
    </row>
    <row r="4734" spans="65:72" x14ac:dyDescent="0.25">
      <c r="BM4734" s="81"/>
      <c r="BN4734" s="81"/>
      <c r="BO4734" s="81"/>
      <c r="BP4734" s="81"/>
      <c r="BQ4734" s="81"/>
      <c r="BR4734" s="81"/>
      <c r="BS4734" s="81"/>
      <c r="BT4734" s="81"/>
    </row>
    <row r="4735" spans="65:72" x14ac:dyDescent="0.25">
      <c r="BM4735" s="81"/>
      <c r="BN4735" s="81"/>
      <c r="BO4735" s="81"/>
      <c r="BP4735" s="81"/>
      <c r="BQ4735" s="81"/>
      <c r="BR4735" s="81"/>
      <c r="BS4735" s="81"/>
      <c r="BT4735" s="81"/>
    </row>
    <row r="4736" spans="65:72" x14ac:dyDescent="0.25">
      <c r="BM4736" s="81"/>
      <c r="BN4736" s="81"/>
      <c r="BO4736" s="81"/>
      <c r="BP4736" s="81"/>
      <c r="BQ4736" s="81"/>
      <c r="BR4736" s="81"/>
      <c r="BS4736" s="81"/>
      <c r="BT4736" s="81"/>
    </row>
    <row r="4737" spans="65:72" x14ac:dyDescent="0.25">
      <c r="BM4737" s="81"/>
      <c r="BN4737" s="81"/>
      <c r="BO4737" s="81"/>
      <c r="BP4737" s="81"/>
      <c r="BQ4737" s="81"/>
      <c r="BR4737" s="81"/>
      <c r="BS4737" s="81"/>
      <c r="BT4737" s="81"/>
    </row>
    <row r="4738" spans="65:72" x14ac:dyDescent="0.25">
      <c r="BM4738" s="81"/>
      <c r="BN4738" s="81"/>
      <c r="BO4738" s="81"/>
      <c r="BP4738" s="81"/>
      <c r="BQ4738" s="81"/>
      <c r="BR4738" s="81"/>
      <c r="BS4738" s="81"/>
      <c r="BT4738" s="81"/>
    </row>
    <row r="4739" spans="65:72" x14ac:dyDescent="0.25">
      <c r="BM4739" s="81"/>
      <c r="BN4739" s="81"/>
      <c r="BO4739" s="81"/>
      <c r="BP4739" s="81"/>
      <c r="BQ4739" s="81"/>
      <c r="BR4739" s="81"/>
      <c r="BS4739" s="81"/>
      <c r="BT4739" s="81"/>
    </row>
    <row r="4740" spans="65:72" x14ac:dyDescent="0.25">
      <c r="BM4740" s="81"/>
      <c r="BN4740" s="81"/>
      <c r="BO4740" s="81"/>
      <c r="BP4740" s="81"/>
      <c r="BQ4740" s="81"/>
      <c r="BR4740" s="81"/>
      <c r="BS4740" s="81"/>
      <c r="BT4740" s="81"/>
    </row>
    <row r="4741" spans="65:72" x14ac:dyDescent="0.25">
      <c r="BM4741" s="81"/>
      <c r="BN4741" s="81"/>
      <c r="BO4741" s="81"/>
      <c r="BP4741" s="81"/>
      <c r="BQ4741" s="81"/>
      <c r="BR4741" s="81"/>
      <c r="BS4741" s="81"/>
      <c r="BT4741" s="81"/>
    </row>
    <row r="4742" spans="65:72" x14ac:dyDescent="0.25">
      <c r="BM4742" s="81"/>
      <c r="BN4742" s="81"/>
      <c r="BO4742" s="81"/>
      <c r="BP4742" s="81"/>
      <c r="BQ4742" s="81"/>
      <c r="BR4742" s="81"/>
      <c r="BS4742" s="81"/>
      <c r="BT4742" s="81"/>
    </row>
    <row r="4743" spans="65:72" x14ac:dyDescent="0.25">
      <c r="BM4743" s="81"/>
      <c r="BN4743" s="81"/>
      <c r="BO4743" s="81"/>
      <c r="BP4743" s="81"/>
      <c r="BQ4743" s="81"/>
      <c r="BR4743" s="81"/>
      <c r="BS4743" s="81"/>
      <c r="BT4743" s="81"/>
    </row>
    <row r="4744" spans="65:72" x14ac:dyDescent="0.25">
      <c r="BM4744" s="81"/>
      <c r="BN4744" s="81"/>
      <c r="BO4744" s="81"/>
      <c r="BP4744" s="81"/>
      <c r="BQ4744" s="81"/>
      <c r="BR4744" s="81"/>
      <c r="BS4744" s="81"/>
      <c r="BT4744" s="81"/>
    </row>
    <row r="4745" spans="65:72" x14ac:dyDescent="0.25">
      <c r="BM4745" s="81"/>
      <c r="BN4745" s="81"/>
      <c r="BO4745" s="81"/>
      <c r="BP4745" s="81"/>
      <c r="BQ4745" s="81"/>
      <c r="BR4745" s="81"/>
      <c r="BS4745" s="81"/>
      <c r="BT4745" s="81"/>
    </row>
    <row r="4746" spans="65:72" x14ac:dyDescent="0.25">
      <c r="BM4746" s="81"/>
      <c r="BN4746" s="81"/>
      <c r="BO4746" s="81"/>
      <c r="BP4746" s="81"/>
      <c r="BQ4746" s="81"/>
      <c r="BR4746" s="81"/>
      <c r="BS4746" s="81"/>
      <c r="BT4746" s="81"/>
    </row>
    <row r="4747" spans="65:72" x14ac:dyDescent="0.25">
      <c r="BM4747" s="81"/>
      <c r="BN4747" s="81"/>
      <c r="BO4747" s="81"/>
      <c r="BP4747" s="81"/>
      <c r="BQ4747" s="81"/>
      <c r="BR4747" s="81"/>
      <c r="BS4747" s="81"/>
      <c r="BT4747" s="81"/>
    </row>
    <row r="4748" spans="65:72" x14ac:dyDescent="0.25">
      <c r="BM4748" s="81"/>
      <c r="BN4748" s="81"/>
      <c r="BO4748" s="81"/>
      <c r="BP4748" s="81"/>
      <c r="BQ4748" s="81"/>
      <c r="BR4748" s="81"/>
      <c r="BS4748" s="81"/>
      <c r="BT4748" s="81"/>
    </row>
    <row r="4749" spans="65:72" x14ac:dyDescent="0.25">
      <c r="BM4749" s="81"/>
      <c r="BN4749" s="81"/>
      <c r="BO4749" s="81"/>
      <c r="BP4749" s="81"/>
      <c r="BQ4749" s="81"/>
      <c r="BR4749" s="81"/>
      <c r="BS4749" s="81"/>
      <c r="BT4749" s="81"/>
    </row>
    <row r="4750" spans="65:72" x14ac:dyDescent="0.25">
      <c r="BM4750" s="81"/>
      <c r="BN4750" s="81"/>
      <c r="BO4750" s="81"/>
      <c r="BP4750" s="81"/>
      <c r="BQ4750" s="81"/>
      <c r="BR4750" s="81"/>
      <c r="BS4750" s="81"/>
      <c r="BT4750" s="81"/>
    </row>
    <row r="4751" spans="65:72" x14ac:dyDescent="0.25">
      <c r="BM4751" s="81"/>
      <c r="BN4751" s="81"/>
      <c r="BO4751" s="81"/>
      <c r="BP4751" s="81"/>
      <c r="BQ4751" s="81"/>
      <c r="BR4751" s="81"/>
      <c r="BS4751" s="81"/>
      <c r="BT4751" s="81"/>
    </row>
    <row r="4752" spans="65:72" x14ac:dyDescent="0.25">
      <c r="BM4752" s="81"/>
      <c r="BN4752" s="81"/>
      <c r="BO4752" s="81"/>
      <c r="BP4752" s="81"/>
      <c r="BQ4752" s="81"/>
      <c r="BR4752" s="81"/>
      <c r="BS4752" s="81"/>
      <c r="BT4752" s="81"/>
    </row>
    <row r="4753" spans="65:72" x14ac:dyDescent="0.25">
      <c r="BM4753" s="81"/>
      <c r="BN4753" s="81"/>
      <c r="BO4753" s="81"/>
      <c r="BP4753" s="81"/>
      <c r="BQ4753" s="81"/>
      <c r="BR4753" s="81"/>
      <c r="BS4753" s="81"/>
      <c r="BT4753" s="81"/>
    </row>
    <row r="4754" spans="65:72" x14ac:dyDescent="0.25">
      <c r="BM4754" s="81"/>
      <c r="BN4754" s="81"/>
      <c r="BO4754" s="81"/>
      <c r="BP4754" s="81"/>
      <c r="BQ4754" s="81"/>
      <c r="BR4754" s="81"/>
      <c r="BS4754" s="81"/>
      <c r="BT4754" s="81"/>
    </row>
    <row r="4755" spans="65:72" x14ac:dyDescent="0.25">
      <c r="BM4755" s="81"/>
      <c r="BN4755" s="81"/>
      <c r="BO4755" s="81"/>
      <c r="BP4755" s="81"/>
      <c r="BQ4755" s="81"/>
      <c r="BR4755" s="81"/>
      <c r="BS4755" s="81"/>
      <c r="BT4755" s="81"/>
    </row>
    <row r="4756" spans="65:72" x14ac:dyDescent="0.25">
      <c r="BM4756" s="81"/>
      <c r="BN4756" s="81"/>
      <c r="BO4756" s="81"/>
      <c r="BP4756" s="81"/>
      <c r="BQ4756" s="81"/>
      <c r="BR4756" s="81"/>
      <c r="BS4756" s="81"/>
      <c r="BT4756" s="81"/>
    </row>
    <row r="4757" spans="65:72" x14ac:dyDescent="0.25">
      <c r="BM4757" s="81"/>
      <c r="BN4757" s="81"/>
      <c r="BO4757" s="81"/>
      <c r="BP4757" s="81"/>
      <c r="BQ4757" s="81"/>
      <c r="BR4757" s="81"/>
      <c r="BS4757" s="81"/>
      <c r="BT4757" s="81"/>
    </row>
    <row r="4758" spans="65:72" x14ac:dyDescent="0.25">
      <c r="BM4758" s="81"/>
      <c r="BN4758" s="81"/>
      <c r="BO4758" s="81"/>
      <c r="BP4758" s="81"/>
      <c r="BQ4758" s="81"/>
      <c r="BR4758" s="81"/>
      <c r="BS4758" s="81"/>
      <c r="BT4758" s="81"/>
    </row>
    <row r="4759" spans="65:72" x14ac:dyDescent="0.25">
      <c r="BM4759" s="81"/>
      <c r="BN4759" s="81"/>
      <c r="BO4759" s="81"/>
      <c r="BP4759" s="81"/>
      <c r="BQ4759" s="81"/>
      <c r="BR4759" s="81"/>
      <c r="BS4759" s="81"/>
      <c r="BT4759" s="81"/>
    </row>
    <row r="4760" spans="65:72" x14ac:dyDescent="0.25">
      <c r="BM4760" s="81"/>
      <c r="BN4760" s="81"/>
      <c r="BO4760" s="81"/>
      <c r="BP4760" s="81"/>
      <c r="BQ4760" s="81"/>
      <c r="BR4760" s="81"/>
      <c r="BS4760" s="81"/>
      <c r="BT4760" s="81"/>
    </row>
    <row r="4761" spans="65:72" x14ac:dyDescent="0.25">
      <c r="BM4761" s="81"/>
      <c r="BN4761" s="81"/>
      <c r="BO4761" s="81"/>
      <c r="BP4761" s="81"/>
      <c r="BQ4761" s="81"/>
      <c r="BR4761" s="81"/>
      <c r="BS4761" s="81"/>
      <c r="BT4761" s="81"/>
    </row>
    <row r="4762" spans="65:72" x14ac:dyDescent="0.25">
      <c r="BM4762" s="81"/>
      <c r="BN4762" s="81"/>
      <c r="BO4762" s="81"/>
      <c r="BP4762" s="81"/>
      <c r="BQ4762" s="81"/>
      <c r="BR4762" s="81"/>
      <c r="BS4762" s="81"/>
      <c r="BT4762" s="81"/>
    </row>
    <row r="4763" spans="65:72" x14ac:dyDescent="0.25">
      <c r="BM4763" s="81"/>
      <c r="BN4763" s="81"/>
      <c r="BO4763" s="81"/>
      <c r="BP4763" s="81"/>
      <c r="BQ4763" s="81"/>
      <c r="BR4763" s="81"/>
      <c r="BS4763" s="81"/>
      <c r="BT4763" s="81"/>
    </row>
    <row r="4764" spans="65:72" x14ac:dyDescent="0.25">
      <c r="BM4764" s="81"/>
      <c r="BN4764" s="81"/>
      <c r="BO4764" s="81"/>
      <c r="BP4764" s="81"/>
      <c r="BQ4764" s="81"/>
      <c r="BR4764" s="81"/>
      <c r="BS4764" s="81"/>
      <c r="BT4764" s="81"/>
    </row>
    <row r="4765" spans="65:72" x14ac:dyDescent="0.25">
      <c r="BM4765" s="81"/>
      <c r="BN4765" s="81"/>
      <c r="BO4765" s="81"/>
      <c r="BP4765" s="81"/>
      <c r="BQ4765" s="81"/>
      <c r="BR4765" s="81"/>
      <c r="BS4765" s="81"/>
      <c r="BT4765" s="81"/>
    </row>
    <row r="4766" spans="65:72" x14ac:dyDescent="0.25">
      <c r="BM4766" s="81"/>
      <c r="BN4766" s="81"/>
      <c r="BO4766" s="81"/>
      <c r="BP4766" s="81"/>
      <c r="BQ4766" s="81"/>
      <c r="BR4766" s="81"/>
      <c r="BS4766" s="81"/>
      <c r="BT4766" s="81"/>
    </row>
    <row r="4767" spans="65:72" x14ac:dyDescent="0.25">
      <c r="BM4767" s="81"/>
      <c r="BN4767" s="81"/>
      <c r="BO4767" s="81"/>
      <c r="BP4767" s="81"/>
      <c r="BQ4767" s="81"/>
      <c r="BR4767" s="81"/>
      <c r="BS4767" s="81"/>
      <c r="BT4767" s="81"/>
    </row>
    <row r="4768" spans="65:72" x14ac:dyDescent="0.25">
      <c r="BM4768" s="81"/>
      <c r="BN4768" s="81"/>
      <c r="BO4768" s="81"/>
      <c r="BP4768" s="81"/>
      <c r="BQ4768" s="81"/>
      <c r="BR4768" s="81"/>
      <c r="BS4768" s="81"/>
      <c r="BT4768" s="81"/>
    </row>
    <row r="4769" spans="65:72" x14ac:dyDescent="0.25">
      <c r="BM4769" s="81"/>
      <c r="BN4769" s="81"/>
      <c r="BO4769" s="81"/>
      <c r="BP4769" s="81"/>
      <c r="BQ4769" s="81"/>
      <c r="BR4769" s="81"/>
      <c r="BS4769" s="81"/>
      <c r="BT4769" s="81"/>
    </row>
    <row r="4770" spans="65:72" x14ac:dyDescent="0.25">
      <c r="BM4770" s="81"/>
      <c r="BN4770" s="81"/>
      <c r="BO4770" s="81"/>
      <c r="BP4770" s="81"/>
      <c r="BQ4770" s="81"/>
      <c r="BR4770" s="81"/>
      <c r="BS4770" s="81"/>
      <c r="BT4770" s="81"/>
    </row>
    <row r="4771" spans="65:72" x14ac:dyDescent="0.25">
      <c r="BM4771" s="81"/>
      <c r="BN4771" s="81"/>
      <c r="BO4771" s="81"/>
      <c r="BP4771" s="81"/>
      <c r="BQ4771" s="81"/>
      <c r="BR4771" s="81"/>
      <c r="BS4771" s="81"/>
      <c r="BT4771" s="81"/>
    </row>
    <row r="4772" spans="65:72" x14ac:dyDescent="0.25">
      <c r="BM4772" s="81"/>
      <c r="BN4772" s="81"/>
      <c r="BO4772" s="81"/>
      <c r="BP4772" s="81"/>
      <c r="BQ4772" s="81"/>
      <c r="BR4772" s="81"/>
      <c r="BS4772" s="81"/>
      <c r="BT4772" s="81"/>
    </row>
    <row r="4773" spans="65:72" x14ac:dyDescent="0.25">
      <c r="BM4773" s="81"/>
      <c r="BN4773" s="81"/>
      <c r="BO4773" s="81"/>
      <c r="BP4773" s="81"/>
      <c r="BQ4773" s="81"/>
      <c r="BR4773" s="81"/>
      <c r="BS4773" s="81"/>
      <c r="BT4773" s="81"/>
    </row>
    <row r="4774" spans="65:72" x14ac:dyDescent="0.25">
      <c r="BM4774" s="81"/>
      <c r="BN4774" s="81"/>
      <c r="BO4774" s="81"/>
      <c r="BP4774" s="81"/>
      <c r="BQ4774" s="81"/>
      <c r="BR4774" s="81"/>
      <c r="BS4774" s="81"/>
      <c r="BT4774" s="81"/>
    </row>
    <row r="4775" spans="65:72" x14ac:dyDescent="0.25">
      <c r="BM4775" s="81"/>
      <c r="BN4775" s="81"/>
      <c r="BO4775" s="81"/>
      <c r="BP4775" s="81"/>
      <c r="BQ4775" s="81"/>
      <c r="BR4775" s="81"/>
      <c r="BS4775" s="81"/>
      <c r="BT4775" s="81"/>
    </row>
    <row r="4776" spans="65:72" x14ac:dyDescent="0.25">
      <c r="BM4776" s="81"/>
      <c r="BN4776" s="81"/>
      <c r="BO4776" s="81"/>
      <c r="BP4776" s="81"/>
      <c r="BQ4776" s="81"/>
      <c r="BR4776" s="81"/>
      <c r="BS4776" s="81"/>
      <c r="BT4776" s="81"/>
    </row>
    <row r="4777" spans="65:72" x14ac:dyDescent="0.25">
      <c r="BM4777" s="81"/>
      <c r="BN4777" s="81"/>
      <c r="BO4777" s="81"/>
      <c r="BP4777" s="81"/>
      <c r="BQ4777" s="81"/>
      <c r="BR4777" s="81"/>
      <c r="BS4777" s="81"/>
      <c r="BT4777" s="81"/>
    </row>
    <row r="4778" spans="65:72" x14ac:dyDescent="0.25">
      <c r="BM4778" s="81"/>
      <c r="BN4778" s="81"/>
      <c r="BO4778" s="81"/>
      <c r="BP4778" s="81"/>
      <c r="BQ4778" s="81"/>
      <c r="BR4778" s="81"/>
      <c r="BS4778" s="81"/>
      <c r="BT4778" s="81"/>
    </row>
    <row r="4779" spans="65:72" x14ac:dyDescent="0.25">
      <c r="BM4779" s="81"/>
      <c r="BN4779" s="81"/>
      <c r="BO4779" s="81"/>
      <c r="BP4779" s="81"/>
      <c r="BQ4779" s="81"/>
      <c r="BR4779" s="81"/>
      <c r="BS4779" s="81"/>
      <c r="BT4779" s="81"/>
    </row>
    <row r="4780" spans="65:72" x14ac:dyDescent="0.25">
      <c r="BM4780" s="81"/>
      <c r="BN4780" s="81"/>
      <c r="BO4780" s="81"/>
      <c r="BP4780" s="81"/>
      <c r="BQ4780" s="81"/>
      <c r="BR4780" s="81"/>
      <c r="BS4780" s="81"/>
      <c r="BT4780" s="81"/>
    </row>
    <row r="4781" spans="65:72" x14ac:dyDescent="0.25">
      <c r="BM4781" s="81"/>
      <c r="BN4781" s="81"/>
      <c r="BO4781" s="81"/>
      <c r="BP4781" s="81"/>
      <c r="BQ4781" s="81"/>
      <c r="BR4781" s="81"/>
      <c r="BS4781" s="81"/>
      <c r="BT4781" s="81"/>
    </row>
    <row r="4782" spans="65:72" x14ac:dyDescent="0.25">
      <c r="BM4782" s="81"/>
      <c r="BN4782" s="81"/>
      <c r="BO4782" s="81"/>
      <c r="BP4782" s="81"/>
      <c r="BQ4782" s="81"/>
      <c r="BR4782" s="81"/>
      <c r="BS4782" s="81"/>
      <c r="BT4782" s="81"/>
    </row>
    <row r="4783" spans="65:72" x14ac:dyDescent="0.25">
      <c r="BM4783" s="81"/>
      <c r="BN4783" s="81"/>
      <c r="BO4783" s="81"/>
      <c r="BP4783" s="81"/>
      <c r="BQ4783" s="81"/>
      <c r="BR4783" s="81"/>
      <c r="BS4783" s="81"/>
      <c r="BT4783" s="81"/>
    </row>
    <row r="4784" spans="65:72" x14ac:dyDescent="0.25">
      <c r="BM4784" s="81"/>
      <c r="BN4784" s="81"/>
      <c r="BO4784" s="81"/>
      <c r="BP4784" s="81"/>
      <c r="BQ4784" s="81"/>
      <c r="BR4784" s="81"/>
      <c r="BS4784" s="81"/>
      <c r="BT4784" s="81"/>
    </row>
    <row r="4785" spans="65:72" x14ac:dyDescent="0.25">
      <c r="BM4785" s="81"/>
      <c r="BN4785" s="81"/>
      <c r="BO4785" s="81"/>
      <c r="BP4785" s="81"/>
      <c r="BQ4785" s="81"/>
      <c r="BR4785" s="81"/>
      <c r="BS4785" s="81"/>
      <c r="BT4785" s="81"/>
    </row>
    <row r="4786" spans="65:72" x14ac:dyDescent="0.25">
      <c r="BM4786" s="81"/>
      <c r="BN4786" s="81"/>
      <c r="BO4786" s="81"/>
      <c r="BP4786" s="81"/>
      <c r="BQ4786" s="81"/>
      <c r="BR4786" s="81"/>
      <c r="BS4786" s="81"/>
      <c r="BT4786" s="81"/>
    </row>
    <row r="4787" spans="65:72" x14ac:dyDescent="0.25">
      <c r="BM4787" s="81"/>
      <c r="BN4787" s="81"/>
      <c r="BO4787" s="81"/>
      <c r="BP4787" s="81"/>
      <c r="BQ4787" s="81"/>
      <c r="BR4787" s="81"/>
      <c r="BS4787" s="81"/>
      <c r="BT4787" s="81"/>
    </row>
    <row r="4788" spans="65:72" x14ac:dyDescent="0.25">
      <c r="BM4788" s="81"/>
      <c r="BN4788" s="81"/>
      <c r="BO4788" s="81"/>
      <c r="BP4788" s="81"/>
      <c r="BQ4788" s="81"/>
      <c r="BR4788" s="81"/>
      <c r="BS4788" s="81"/>
      <c r="BT4788" s="81"/>
    </row>
    <row r="4789" spans="65:72" x14ac:dyDescent="0.25">
      <c r="BM4789" s="81"/>
      <c r="BN4789" s="81"/>
      <c r="BO4789" s="81"/>
      <c r="BP4789" s="81"/>
      <c r="BQ4789" s="81"/>
      <c r="BR4789" s="81"/>
      <c r="BS4789" s="81"/>
      <c r="BT4789" s="81"/>
    </row>
    <row r="4790" spans="65:72" x14ac:dyDescent="0.25">
      <c r="BM4790" s="81"/>
      <c r="BN4790" s="81"/>
      <c r="BO4790" s="81"/>
      <c r="BP4790" s="81"/>
      <c r="BQ4790" s="81"/>
      <c r="BR4790" s="81"/>
      <c r="BS4790" s="81"/>
      <c r="BT4790" s="81"/>
    </row>
    <row r="4791" spans="65:72" x14ac:dyDescent="0.25">
      <c r="BM4791" s="81"/>
      <c r="BN4791" s="81"/>
      <c r="BO4791" s="81"/>
      <c r="BP4791" s="81"/>
      <c r="BQ4791" s="81"/>
      <c r="BR4791" s="81"/>
      <c r="BS4791" s="81"/>
      <c r="BT4791" s="81"/>
    </row>
    <row r="4792" spans="65:72" x14ac:dyDescent="0.25">
      <c r="BM4792" s="81"/>
      <c r="BN4792" s="81"/>
      <c r="BO4792" s="81"/>
      <c r="BP4792" s="81"/>
      <c r="BQ4792" s="81"/>
      <c r="BR4792" s="81"/>
      <c r="BS4792" s="81"/>
      <c r="BT4792" s="81"/>
    </row>
    <row r="4793" spans="65:72" x14ac:dyDescent="0.25">
      <c r="BM4793" s="81"/>
      <c r="BN4793" s="81"/>
      <c r="BO4793" s="81"/>
      <c r="BP4793" s="81"/>
      <c r="BQ4793" s="81"/>
      <c r="BR4793" s="81"/>
      <c r="BS4793" s="81"/>
      <c r="BT4793" s="81"/>
    </row>
    <row r="4794" spans="65:72" x14ac:dyDescent="0.25">
      <c r="BM4794" s="81"/>
      <c r="BN4794" s="81"/>
      <c r="BO4794" s="81"/>
      <c r="BP4794" s="81"/>
      <c r="BQ4794" s="81"/>
      <c r="BR4794" s="81"/>
      <c r="BS4794" s="81"/>
      <c r="BT4794" s="81"/>
    </row>
    <row r="4795" spans="65:72" x14ac:dyDescent="0.25">
      <c r="BM4795" s="81"/>
      <c r="BN4795" s="81"/>
      <c r="BO4795" s="81"/>
      <c r="BP4795" s="81"/>
      <c r="BQ4795" s="81"/>
      <c r="BR4795" s="81"/>
      <c r="BS4795" s="81"/>
      <c r="BT4795" s="81"/>
    </row>
    <row r="4796" spans="65:72" x14ac:dyDescent="0.25">
      <c r="BM4796" s="81"/>
      <c r="BN4796" s="81"/>
      <c r="BO4796" s="81"/>
      <c r="BP4796" s="81"/>
      <c r="BQ4796" s="81"/>
      <c r="BR4796" s="81"/>
      <c r="BS4796" s="81"/>
      <c r="BT4796" s="81"/>
    </row>
    <row r="4797" spans="65:72" x14ac:dyDescent="0.25">
      <c r="BM4797" s="81"/>
      <c r="BN4797" s="81"/>
      <c r="BO4797" s="81"/>
      <c r="BP4797" s="81"/>
      <c r="BQ4797" s="81"/>
      <c r="BR4797" s="81"/>
      <c r="BS4797" s="81"/>
      <c r="BT4797" s="81"/>
    </row>
    <row r="4798" spans="65:72" x14ac:dyDescent="0.25">
      <c r="BM4798" s="81"/>
      <c r="BN4798" s="81"/>
      <c r="BO4798" s="81"/>
      <c r="BP4798" s="81"/>
      <c r="BQ4798" s="81"/>
      <c r="BR4798" s="81"/>
      <c r="BS4798" s="81"/>
      <c r="BT4798" s="81"/>
    </row>
    <row r="4799" spans="65:72" x14ac:dyDescent="0.25">
      <c r="BM4799" s="81"/>
      <c r="BN4799" s="81"/>
      <c r="BO4799" s="81"/>
      <c r="BP4799" s="81"/>
      <c r="BQ4799" s="81"/>
      <c r="BR4799" s="81"/>
      <c r="BS4799" s="81"/>
      <c r="BT4799" s="81"/>
    </row>
    <row r="4800" spans="65:72" x14ac:dyDescent="0.25">
      <c r="BM4800" s="81"/>
      <c r="BN4800" s="81"/>
      <c r="BO4800" s="81"/>
      <c r="BP4800" s="81"/>
      <c r="BQ4800" s="81"/>
      <c r="BR4800" s="81"/>
      <c r="BS4800" s="81"/>
      <c r="BT4800" s="81"/>
    </row>
    <row r="4801" spans="65:72" x14ac:dyDescent="0.25">
      <c r="BM4801" s="81"/>
      <c r="BN4801" s="81"/>
      <c r="BO4801" s="81"/>
      <c r="BP4801" s="81"/>
      <c r="BQ4801" s="81"/>
      <c r="BR4801" s="81"/>
      <c r="BS4801" s="81"/>
      <c r="BT4801" s="81"/>
    </row>
    <row r="4802" spans="65:72" x14ac:dyDescent="0.25">
      <c r="BM4802" s="81"/>
      <c r="BN4802" s="81"/>
      <c r="BO4802" s="81"/>
      <c r="BP4802" s="81"/>
      <c r="BQ4802" s="81"/>
      <c r="BR4802" s="81"/>
      <c r="BS4802" s="81"/>
      <c r="BT4802" s="81"/>
    </row>
    <row r="4803" spans="65:72" x14ac:dyDescent="0.25">
      <c r="BM4803" s="81"/>
      <c r="BN4803" s="81"/>
      <c r="BO4803" s="81"/>
      <c r="BP4803" s="81"/>
      <c r="BQ4803" s="81"/>
      <c r="BR4803" s="81"/>
      <c r="BS4803" s="81"/>
      <c r="BT4803" s="81"/>
    </row>
    <row r="4804" spans="65:72" x14ac:dyDescent="0.25">
      <c r="BM4804" s="81"/>
      <c r="BN4804" s="81"/>
      <c r="BO4804" s="81"/>
      <c r="BP4804" s="81"/>
      <c r="BQ4804" s="81"/>
      <c r="BR4804" s="81"/>
      <c r="BS4804" s="81"/>
      <c r="BT4804" s="81"/>
    </row>
    <row r="4805" spans="65:72" x14ac:dyDescent="0.25">
      <c r="BM4805" s="81"/>
      <c r="BN4805" s="81"/>
      <c r="BO4805" s="81"/>
      <c r="BP4805" s="81"/>
      <c r="BQ4805" s="81"/>
      <c r="BR4805" s="81"/>
      <c r="BS4805" s="81"/>
      <c r="BT4805" s="81"/>
    </row>
    <row r="4806" spans="65:72" x14ac:dyDescent="0.25">
      <c r="BM4806" s="81"/>
      <c r="BN4806" s="81"/>
      <c r="BO4806" s="81"/>
      <c r="BP4806" s="81"/>
      <c r="BQ4806" s="81"/>
      <c r="BR4806" s="81"/>
      <c r="BS4806" s="81"/>
      <c r="BT4806" s="81"/>
    </row>
    <row r="4807" spans="65:72" x14ac:dyDescent="0.25">
      <c r="BM4807" s="81"/>
      <c r="BN4807" s="81"/>
      <c r="BO4807" s="81"/>
      <c r="BP4807" s="81"/>
      <c r="BQ4807" s="81"/>
      <c r="BR4807" s="81"/>
      <c r="BS4807" s="81"/>
      <c r="BT4807" s="81"/>
    </row>
    <row r="4808" spans="65:72" x14ac:dyDescent="0.25">
      <c r="BM4808" s="81"/>
      <c r="BN4808" s="81"/>
      <c r="BO4808" s="81"/>
      <c r="BP4808" s="81"/>
      <c r="BQ4808" s="81"/>
      <c r="BR4808" s="81"/>
      <c r="BS4808" s="81"/>
      <c r="BT4808" s="81"/>
    </row>
    <row r="4809" spans="65:72" x14ac:dyDescent="0.25">
      <c r="BM4809" s="81"/>
      <c r="BN4809" s="81"/>
      <c r="BO4809" s="81"/>
      <c r="BP4809" s="81"/>
      <c r="BQ4809" s="81"/>
      <c r="BR4809" s="81"/>
      <c r="BS4809" s="81"/>
      <c r="BT4809" s="81"/>
    </row>
    <row r="4810" spans="65:72" x14ac:dyDescent="0.25">
      <c r="BM4810" s="81"/>
      <c r="BN4810" s="81"/>
      <c r="BO4810" s="81"/>
      <c r="BP4810" s="81"/>
      <c r="BQ4810" s="81"/>
      <c r="BR4810" s="81"/>
      <c r="BS4810" s="81"/>
      <c r="BT4810" s="81"/>
    </row>
    <row r="4811" spans="65:72" x14ac:dyDescent="0.25">
      <c r="BM4811" s="81"/>
      <c r="BN4811" s="81"/>
      <c r="BO4811" s="81"/>
      <c r="BP4811" s="81"/>
      <c r="BQ4811" s="81"/>
      <c r="BR4811" s="81"/>
      <c r="BS4811" s="81"/>
      <c r="BT4811" s="81"/>
    </row>
    <row r="4812" spans="65:72" x14ac:dyDescent="0.25">
      <c r="BM4812" s="81"/>
      <c r="BN4812" s="81"/>
      <c r="BO4812" s="81"/>
      <c r="BP4812" s="81"/>
      <c r="BQ4812" s="81"/>
      <c r="BR4812" s="81"/>
      <c r="BS4812" s="81"/>
      <c r="BT4812" s="81"/>
    </row>
    <row r="4813" spans="65:72" x14ac:dyDescent="0.25">
      <c r="BM4813" s="81"/>
      <c r="BN4813" s="81"/>
      <c r="BO4813" s="81"/>
      <c r="BP4813" s="81"/>
      <c r="BQ4813" s="81"/>
      <c r="BR4813" s="81"/>
      <c r="BS4813" s="81"/>
      <c r="BT4813" s="81"/>
    </row>
    <row r="4814" spans="65:72" x14ac:dyDescent="0.25">
      <c r="BM4814" s="81"/>
      <c r="BN4814" s="81"/>
      <c r="BO4814" s="81"/>
      <c r="BP4814" s="81"/>
      <c r="BQ4814" s="81"/>
      <c r="BR4814" s="81"/>
      <c r="BS4814" s="81"/>
      <c r="BT4814" s="81"/>
    </row>
    <row r="4815" spans="65:72" x14ac:dyDescent="0.25">
      <c r="BM4815" s="81"/>
      <c r="BN4815" s="81"/>
      <c r="BO4815" s="81"/>
      <c r="BP4815" s="81"/>
      <c r="BQ4815" s="81"/>
      <c r="BR4815" s="81"/>
      <c r="BS4815" s="81"/>
      <c r="BT4815" s="81"/>
    </row>
    <row r="4816" spans="65:72" x14ac:dyDescent="0.25">
      <c r="BM4816" s="81"/>
      <c r="BN4816" s="81"/>
      <c r="BO4816" s="81"/>
      <c r="BP4816" s="81"/>
      <c r="BQ4816" s="81"/>
      <c r="BR4816" s="81"/>
      <c r="BS4816" s="81"/>
      <c r="BT4816" s="81"/>
    </row>
    <row r="4817" spans="65:72" x14ac:dyDescent="0.25">
      <c r="BM4817" s="81"/>
      <c r="BN4817" s="81"/>
      <c r="BO4817" s="81"/>
      <c r="BP4817" s="81"/>
      <c r="BQ4817" s="81"/>
      <c r="BR4817" s="81"/>
      <c r="BS4817" s="81"/>
      <c r="BT4817" s="81"/>
    </row>
    <row r="4818" spans="65:72" x14ac:dyDescent="0.25">
      <c r="BM4818" s="81"/>
      <c r="BN4818" s="81"/>
      <c r="BO4818" s="81"/>
      <c r="BP4818" s="81"/>
      <c r="BQ4818" s="81"/>
      <c r="BR4818" s="81"/>
      <c r="BS4818" s="81"/>
      <c r="BT4818" s="81"/>
    </row>
    <row r="4819" spans="65:72" x14ac:dyDescent="0.25">
      <c r="BM4819" s="81"/>
      <c r="BN4819" s="81"/>
      <c r="BO4819" s="81"/>
      <c r="BP4819" s="81"/>
      <c r="BQ4819" s="81"/>
      <c r="BR4819" s="81"/>
      <c r="BS4819" s="81"/>
      <c r="BT4819" s="81"/>
    </row>
    <row r="4820" spans="65:72" x14ac:dyDescent="0.25">
      <c r="BM4820" s="81"/>
      <c r="BN4820" s="81"/>
      <c r="BO4820" s="81"/>
      <c r="BP4820" s="81"/>
      <c r="BQ4820" s="81"/>
      <c r="BR4820" s="81"/>
      <c r="BS4820" s="81"/>
      <c r="BT4820" s="81"/>
    </row>
    <row r="4821" spans="65:72" x14ac:dyDescent="0.25">
      <c r="BM4821" s="81"/>
      <c r="BN4821" s="81"/>
      <c r="BO4821" s="81"/>
      <c r="BP4821" s="81"/>
      <c r="BQ4821" s="81"/>
      <c r="BR4821" s="81"/>
      <c r="BS4821" s="81"/>
      <c r="BT4821" s="81"/>
    </row>
    <row r="4822" spans="65:72" x14ac:dyDescent="0.25">
      <c r="BM4822" s="81"/>
      <c r="BN4822" s="81"/>
      <c r="BO4822" s="81"/>
      <c r="BP4822" s="81"/>
      <c r="BQ4822" s="81"/>
      <c r="BR4822" s="81"/>
      <c r="BS4822" s="81"/>
      <c r="BT4822" s="81"/>
    </row>
    <row r="4823" spans="65:72" x14ac:dyDescent="0.25">
      <c r="BM4823" s="81"/>
      <c r="BN4823" s="81"/>
      <c r="BO4823" s="81"/>
      <c r="BP4823" s="81"/>
      <c r="BQ4823" s="81"/>
      <c r="BR4823" s="81"/>
      <c r="BS4823" s="81"/>
      <c r="BT4823" s="81"/>
    </row>
    <row r="4824" spans="65:72" x14ac:dyDescent="0.25">
      <c r="BM4824" s="81"/>
      <c r="BN4824" s="81"/>
      <c r="BO4824" s="81"/>
      <c r="BP4824" s="81"/>
      <c r="BQ4824" s="81"/>
      <c r="BR4824" s="81"/>
      <c r="BS4824" s="81"/>
      <c r="BT4824" s="81"/>
    </row>
    <row r="4825" spans="65:72" x14ac:dyDescent="0.25">
      <c r="BM4825" s="81"/>
      <c r="BN4825" s="81"/>
      <c r="BO4825" s="81"/>
      <c r="BP4825" s="81"/>
      <c r="BQ4825" s="81"/>
      <c r="BR4825" s="81"/>
      <c r="BS4825" s="81"/>
      <c r="BT4825" s="81"/>
    </row>
    <row r="4826" spans="65:72" x14ac:dyDescent="0.25">
      <c r="BM4826" s="81"/>
      <c r="BN4826" s="81"/>
      <c r="BO4826" s="81"/>
      <c r="BP4826" s="81"/>
      <c r="BQ4826" s="81"/>
      <c r="BR4826" s="81"/>
      <c r="BS4826" s="81"/>
      <c r="BT4826" s="81"/>
    </row>
    <row r="4827" spans="65:72" x14ac:dyDescent="0.25">
      <c r="BM4827" s="81"/>
      <c r="BN4827" s="81"/>
      <c r="BO4827" s="81"/>
      <c r="BP4827" s="81"/>
      <c r="BQ4827" s="81"/>
      <c r="BR4827" s="81"/>
      <c r="BS4827" s="81"/>
      <c r="BT4827" s="81"/>
    </row>
    <row r="4828" spans="65:72" x14ac:dyDescent="0.25">
      <c r="BM4828" s="81"/>
      <c r="BN4828" s="81"/>
      <c r="BO4828" s="81"/>
      <c r="BP4828" s="81"/>
      <c r="BQ4828" s="81"/>
      <c r="BR4828" s="81"/>
      <c r="BS4828" s="81"/>
      <c r="BT4828" s="81"/>
    </row>
    <row r="4829" spans="65:72" x14ac:dyDescent="0.25">
      <c r="BM4829" s="81"/>
      <c r="BN4829" s="81"/>
      <c r="BO4829" s="81"/>
      <c r="BP4829" s="81"/>
      <c r="BQ4829" s="81"/>
      <c r="BR4829" s="81"/>
      <c r="BS4829" s="81"/>
      <c r="BT4829" s="81"/>
    </row>
    <row r="4830" spans="65:72" x14ac:dyDescent="0.25">
      <c r="BM4830" s="81"/>
      <c r="BN4830" s="81"/>
      <c r="BO4830" s="81"/>
      <c r="BP4830" s="81"/>
      <c r="BQ4830" s="81"/>
      <c r="BR4830" s="81"/>
      <c r="BS4830" s="81"/>
      <c r="BT4830" s="81"/>
    </row>
    <row r="4831" spans="65:72" x14ac:dyDescent="0.25">
      <c r="BM4831" s="81"/>
      <c r="BN4831" s="81"/>
      <c r="BO4831" s="81"/>
      <c r="BP4831" s="81"/>
      <c r="BQ4831" s="81"/>
      <c r="BR4831" s="81"/>
      <c r="BS4831" s="81"/>
      <c r="BT4831" s="81"/>
    </row>
    <row r="4832" spans="65:72" x14ac:dyDescent="0.25">
      <c r="BM4832" s="81"/>
      <c r="BN4832" s="81"/>
      <c r="BO4832" s="81"/>
      <c r="BP4832" s="81"/>
      <c r="BQ4832" s="81"/>
      <c r="BR4832" s="81"/>
      <c r="BS4832" s="81"/>
      <c r="BT4832" s="81"/>
    </row>
    <row r="4833" spans="65:72" x14ac:dyDescent="0.25">
      <c r="BM4833" s="81"/>
      <c r="BN4833" s="81"/>
      <c r="BO4833" s="81"/>
      <c r="BP4833" s="81"/>
      <c r="BQ4833" s="81"/>
      <c r="BR4833" s="81"/>
      <c r="BS4833" s="81"/>
      <c r="BT4833" s="81"/>
    </row>
    <row r="4834" spans="65:72" x14ac:dyDescent="0.25">
      <c r="BM4834" s="81"/>
      <c r="BN4834" s="81"/>
      <c r="BO4834" s="81"/>
      <c r="BP4834" s="81"/>
      <c r="BQ4834" s="81"/>
      <c r="BR4834" s="81"/>
      <c r="BS4834" s="81"/>
      <c r="BT4834" s="81"/>
    </row>
    <row r="4835" spans="65:72" x14ac:dyDescent="0.25">
      <c r="BM4835" s="81"/>
      <c r="BN4835" s="81"/>
      <c r="BO4835" s="81"/>
      <c r="BP4835" s="81"/>
      <c r="BQ4835" s="81"/>
      <c r="BR4835" s="81"/>
      <c r="BS4835" s="81"/>
      <c r="BT4835" s="81"/>
    </row>
    <row r="4836" spans="65:72" x14ac:dyDescent="0.25">
      <c r="BM4836" s="81"/>
      <c r="BN4836" s="81"/>
      <c r="BO4836" s="81"/>
      <c r="BP4836" s="81"/>
      <c r="BQ4836" s="81"/>
      <c r="BR4836" s="81"/>
      <c r="BS4836" s="81"/>
      <c r="BT4836" s="81"/>
    </row>
    <row r="4837" spans="65:72" x14ac:dyDescent="0.25">
      <c r="BM4837" s="81"/>
      <c r="BN4837" s="81"/>
      <c r="BO4837" s="81"/>
      <c r="BP4837" s="81"/>
      <c r="BQ4837" s="81"/>
      <c r="BR4837" s="81"/>
      <c r="BS4837" s="81"/>
      <c r="BT4837" s="81"/>
    </row>
    <row r="4838" spans="65:72" x14ac:dyDescent="0.25">
      <c r="BM4838" s="81"/>
      <c r="BN4838" s="81"/>
      <c r="BO4838" s="81"/>
      <c r="BP4838" s="81"/>
      <c r="BQ4838" s="81"/>
      <c r="BR4838" s="81"/>
      <c r="BS4838" s="81"/>
      <c r="BT4838" s="81"/>
    </row>
    <row r="4839" spans="65:72" x14ac:dyDescent="0.25">
      <c r="BM4839" s="81"/>
      <c r="BN4839" s="81"/>
      <c r="BO4839" s="81"/>
      <c r="BP4839" s="81"/>
      <c r="BQ4839" s="81"/>
      <c r="BR4839" s="81"/>
      <c r="BS4839" s="81"/>
      <c r="BT4839" s="81"/>
    </row>
    <row r="4840" spans="65:72" x14ac:dyDescent="0.25">
      <c r="BM4840" s="81"/>
      <c r="BN4840" s="81"/>
      <c r="BO4840" s="81"/>
      <c r="BP4840" s="81"/>
      <c r="BQ4840" s="81"/>
      <c r="BR4840" s="81"/>
      <c r="BS4840" s="81"/>
      <c r="BT4840" s="81"/>
    </row>
    <row r="4841" spans="65:72" x14ac:dyDescent="0.25">
      <c r="BM4841" s="81"/>
      <c r="BN4841" s="81"/>
      <c r="BO4841" s="81"/>
      <c r="BP4841" s="81"/>
      <c r="BQ4841" s="81"/>
      <c r="BR4841" s="81"/>
      <c r="BS4841" s="81"/>
      <c r="BT4841" s="81"/>
    </row>
    <row r="4842" spans="65:72" x14ac:dyDescent="0.25">
      <c r="BM4842" s="81"/>
      <c r="BN4842" s="81"/>
      <c r="BO4842" s="81"/>
      <c r="BP4842" s="81"/>
      <c r="BQ4842" s="81"/>
      <c r="BR4842" s="81"/>
      <c r="BS4842" s="81"/>
      <c r="BT4842" s="81"/>
    </row>
    <row r="4843" spans="65:72" x14ac:dyDescent="0.25">
      <c r="BM4843" s="81"/>
      <c r="BN4843" s="81"/>
      <c r="BO4843" s="81"/>
      <c r="BP4843" s="81"/>
      <c r="BQ4843" s="81"/>
      <c r="BR4843" s="81"/>
      <c r="BS4843" s="81"/>
      <c r="BT4843" s="81"/>
    </row>
    <row r="4844" spans="65:72" x14ac:dyDescent="0.25">
      <c r="BM4844" s="81"/>
      <c r="BN4844" s="81"/>
      <c r="BO4844" s="81"/>
      <c r="BP4844" s="81"/>
      <c r="BQ4844" s="81"/>
      <c r="BR4844" s="81"/>
      <c r="BS4844" s="81"/>
      <c r="BT4844" s="81"/>
    </row>
    <row r="4845" spans="65:72" x14ac:dyDescent="0.25">
      <c r="BM4845" s="81"/>
      <c r="BN4845" s="81"/>
      <c r="BO4845" s="81"/>
      <c r="BP4845" s="81"/>
      <c r="BQ4845" s="81"/>
      <c r="BR4845" s="81"/>
      <c r="BS4845" s="81"/>
      <c r="BT4845" s="81"/>
    </row>
    <row r="4846" spans="65:72" x14ac:dyDescent="0.25">
      <c r="BM4846" s="81"/>
      <c r="BN4846" s="81"/>
      <c r="BO4846" s="81"/>
      <c r="BP4846" s="81"/>
      <c r="BQ4846" s="81"/>
      <c r="BR4846" s="81"/>
      <c r="BS4846" s="81"/>
      <c r="BT4846" s="81"/>
    </row>
    <row r="4847" spans="65:72" x14ac:dyDescent="0.25">
      <c r="BM4847" s="81"/>
      <c r="BN4847" s="81"/>
      <c r="BO4847" s="81"/>
      <c r="BP4847" s="81"/>
      <c r="BQ4847" s="81"/>
      <c r="BR4847" s="81"/>
      <c r="BS4847" s="81"/>
      <c r="BT4847" s="81"/>
    </row>
    <row r="4848" spans="65:72" x14ac:dyDescent="0.25">
      <c r="BM4848" s="81"/>
      <c r="BN4848" s="81"/>
      <c r="BO4848" s="81"/>
      <c r="BP4848" s="81"/>
      <c r="BQ4848" s="81"/>
      <c r="BR4848" s="81"/>
      <c r="BS4848" s="81"/>
      <c r="BT4848" s="81"/>
    </row>
    <row r="4849" spans="65:72" x14ac:dyDescent="0.25">
      <c r="BM4849" s="81"/>
      <c r="BN4849" s="81"/>
      <c r="BO4849" s="81"/>
      <c r="BP4849" s="81"/>
      <c r="BQ4849" s="81"/>
      <c r="BR4849" s="81"/>
      <c r="BS4849" s="81"/>
      <c r="BT4849" s="81"/>
    </row>
    <row r="4850" spans="65:72" x14ac:dyDescent="0.25">
      <c r="BM4850" s="81"/>
      <c r="BN4850" s="81"/>
      <c r="BO4850" s="81"/>
      <c r="BP4850" s="81"/>
      <c r="BQ4850" s="81"/>
      <c r="BR4850" s="81"/>
      <c r="BS4850" s="81"/>
      <c r="BT4850" s="81"/>
    </row>
    <row r="4851" spans="65:72" x14ac:dyDescent="0.25">
      <c r="BM4851" s="81"/>
      <c r="BN4851" s="81"/>
      <c r="BO4851" s="81"/>
      <c r="BP4851" s="81"/>
      <c r="BQ4851" s="81"/>
      <c r="BR4851" s="81"/>
      <c r="BS4851" s="81"/>
      <c r="BT4851" s="81"/>
    </row>
    <row r="4852" spans="65:72" x14ac:dyDescent="0.25">
      <c r="BM4852" s="81"/>
      <c r="BN4852" s="81"/>
      <c r="BO4852" s="81"/>
      <c r="BP4852" s="81"/>
      <c r="BQ4852" s="81"/>
      <c r="BR4852" s="81"/>
      <c r="BS4852" s="81"/>
      <c r="BT4852" s="81"/>
    </row>
    <row r="4853" spans="65:72" x14ac:dyDescent="0.25">
      <c r="BM4853" s="81"/>
      <c r="BN4853" s="81"/>
      <c r="BO4853" s="81"/>
      <c r="BP4853" s="81"/>
      <c r="BQ4853" s="81"/>
      <c r="BR4853" s="81"/>
      <c r="BS4853" s="81"/>
      <c r="BT4853" s="81"/>
    </row>
    <row r="4854" spans="65:72" x14ac:dyDescent="0.25">
      <c r="BM4854" s="81"/>
      <c r="BN4854" s="81"/>
      <c r="BO4854" s="81"/>
      <c r="BP4854" s="81"/>
      <c r="BQ4854" s="81"/>
      <c r="BR4854" s="81"/>
      <c r="BS4854" s="81"/>
      <c r="BT4854" s="81"/>
    </row>
    <row r="4855" spans="65:72" x14ac:dyDescent="0.25">
      <c r="BM4855" s="81"/>
      <c r="BN4855" s="81"/>
      <c r="BO4855" s="81"/>
      <c r="BP4855" s="81"/>
      <c r="BQ4855" s="81"/>
      <c r="BR4855" s="81"/>
      <c r="BS4855" s="81"/>
      <c r="BT4855" s="81"/>
    </row>
    <row r="4856" spans="65:72" x14ac:dyDescent="0.25">
      <c r="BM4856" s="81"/>
      <c r="BN4856" s="81"/>
      <c r="BO4856" s="81"/>
      <c r="BP4856" s="81"/>
      <c r="BQ4856" s="81"/>
      <c r="BR4856" s="81"/>
      <c r="BS4856" s="81"/>
      <c r="BT4856" s="81"/>
    </row>
    <row r="4857" spans="65:72" x14ac:dyDescent="0.25">
      <c r="BM4857" s="81"/>
      <c r="BN4857" s="81"/>
      <c r="BO4857" s="81"/>
      <c r="BP4857" s="81"/>
      <c r="BQ4857" s="81"/>
      <c r="BR4857" s="81"/>
      <c r="BS4857" s="81"/>
      <c r="BT4857" s="81"/>
    </row>
    <row r="4858" spans="65:72" x14ac:dyDescent="0.25">
      <c r="BM4858" s="81"/>
      <c r="BN4858" s="81"/>
      <c r="BO4858" s="81"/>
      <c r="BP4858" s="81"/>
      <c r="BQ4858" s="81"/>
      <c r="BR4858" s="81"/>
      <c r="BS4858" s="81"/>
      <c r="BT4858" s="81"/>
    </row>
    <row r="4859" spans="65:72" x14ac:dyDescent="0.25">
      <c r="BM4859" s="81"/>
      <c r="BN4859" s="81"/>
      <c r="BO4859" s="81"/>
      <c r="BP4859" s="81"/>
      <c r="BQ4859" s="81"/>
      <c r="BR4859" s="81"/>
      <c r="BS4859" s="81"/>
      <c r="BT4859" s="81"/>
    </row>
    <row r="4860" spans="65:72" x14ac:dyDescent="0.25">
      <c r="BM4860" s="81"/>
      <c r="BN4860" s="81"/>
      <c r="BO4860" s="81"/>
      <c r="BP4860" s="81"/>
      <c r="BQ4860" s="81"/>
      <c r="BR4860" s="81"/>
      <c r="BS4860" s="81"/>
      <c r="BT4860" s="81"/>
    </row>
    <row r="4861" spans="65:72" x14ac:dyDescent="0.25">
      <c r="BM4861" s="81"/>
      <c r="BN4861" s="81"/>
      <c r="BO4861" s="81"/>
      <c r="BP4861" s="81"/>
      <c r="BQ4861" s="81"/>
      <c r="BR4861" s="81"/>
      <c r="BS4861" s="81"/>
      <c r="BT4861" s="81"/>
    </row>
    <row r="4862" spans="65:72" x14ac:dyDescent="0.25">
      <c r="BM4862" s="81"/>
      <c r="BN4862" s="81"/>
      <c r="BO4862" s="81"/>
      <c r="BP4862" s="81"/>
      <c r="BQ4862" s="81"/>
      <c r="BR4862" s="81"/>
      <c r="BS4862" s="81"/>
      <c r="BT4862" s="81"/>
    </row>
    <row r="4863" spans="65:72" x14ac:dyDescent="0.25">
      <c r="BM4863" s="81"/>
      <c r="BN4863" s="81"/>
      <c r="BO4863" s="81"/>
      <c r="BP4863" s="81"/>
      <c r="BQ4863" s="81"/>
      <c r="BR4863" s="81"/>
      <c r="BS4863" s="81"/>
      <c r="BT4863" s="81"/>
    </row>
    <row r="4864" spans="65:72" x14ac:dyDescent="0.25">
      <c r="BM4864" s="81"/>
      <c r="BN4864" s="81"/>
      <c r="BO4864" s="81"/>
      <c r="BP4864" s="81"/>
      <c r="BQ4864" s="81"/>
      <c r="BR4864" s="81"/>
      <c r="BS4864" s="81"/>
      <c r="BT4864" s="81"/>
    </row>
    <row r="4865" spans="65:72" x14ac:dyDescent="0.25">
      <c r="BM4865" s="81"/>
      <c r="BN4865" s="81"/>
      <c r="BO4865" s="81"/>
      <c r="BP4865" s="81"/>
      <c r="BQ4865" s="81"/>
      <c r="BR4865" s="81"/>
      <c r="BS4865" s="81"/>
      <c r="BT4865" s="81"/>
    </row>
    <row r="4866" spans="65:72" x14ac:dyDescent="0.25">
      <c r="BM4866" s="81"/>
      <c r="BN4866" s="81"/>
      <c r="BO4866" s="81"/>
      <c r="BP4866" s="81"/>
      <c r="BQ4866" s="81"/>
      <c r="BR4866" s="81"/>
      <c r="BS4866" s="81"/>
      <c r="BT4866" s="81"/>
    </row>
    <row r="4867" spans="65:72" x14ac:dyDescent="0.25">
      <c r="BM4867" s="81"/>
      <c r="BN4867" s="81"/>
      <c r="BO4867" s="81"/>
      <c r="BP4867" s="81"/>
      <c r="BQ4867" s="81"/>
      <c r="BR4867" s="81"/>
      <c r="BS4867" s="81"/>
      <c r="BT4867" s="81"/>
    </row>
    <row r="4868" spans="65:72" x14ac:dyDescent="0.25">
      <c r="BM4868" s="81"/>
      <c r="BN4868" s="81"/>
      <c r="BO4868" s="81"/>
      <c r="BP4868" s="81"/>
      <c r="BQ4868" s="81"/>
      <c r="BR4868" s="81"/>
      <c r="BS4868" s="81"/>
      <c r="BT4868" s="81"/>
    </row>
    <row r="4869" spans="65:72" x14ac:dyDescent="0.25">
      <c r="BM4869" s="81"/>
      <c r="BN4869" s="81"/>
      <c r="BO4869" s="81"/>
      <c r="BP4869" s="81"/>
      <c r="BQ4869" s="81"/>
      <c r="BR4869" s="81"/>
      <c r="BS4869" s="81"/>
      <c r="BT4869" s="81"/>
    </row>
    <row r="4870" spans="65:72" x14ac:dyDescent="0.25">
      <c r="BM4870" s="81"/>
      <c r="BN4870" s="81"/>
      <c r="BO4870" s="81"/>
      <c r="BP4870" s="81"/>
      <c r="BQ4870" s="81"/>
      <c r="BR4870" s="81"/>
      <c r="BS4870" s="81"/>
      <c r="BT4870" s="81"/>
    </row>
    <row r="4871" spans="65:72" x14ac:dyDescent="0.25">
      <c r="BM4871" s="81"/>
      <c r="BN4871" s="81"/>
      <c r="BO4871" s="81"/>
      <c r="BP4871" s="81"/>
      <c r="BQ4871" s="81"/>
      <c r="BR4871" s="81"/>
      <c r="BS4871" s="81"/>
      <c r="BT4871" s="81"/>
    </row>
    <row r="4872" spans="65:72" x14ac:dyDescent="0.25">
      <c r="BM4872" s="81"/>
      <c r="BN4872" s="81"/>
      <c r="BO4872" s="81"/>
      <c r="BP4872" s="81"/>
      <c r="BQ4872" s="81"/>
      <c r="BR4872" s="81"/>
      <c r="BS4872" s="81"/>
      <c r="BT4872" s="81"/>
    </row>
    <row r="4873" spans="65:72" x14ac:dyDescent="0.25">
      <c r="BM4873" s="81"/>
      <c r="BN4873" s="81"/>
      <c r="BO4873" s="81"/>
      <c r="BP4873" s="81"/>
      <c r="BQ4873" s="81"/>
      <c r="BR4873" s="81"/>
      <c r="BS4873" s="81"/>
      <c r="BT4873" s="81"/>
    </row>
    <row r="4874" spans="65:72" x14ac:dyDescent="0.25">
      <c r="BM4874" s="81"/>
      <c r="BN4874" s="81"/>
      <c r="BO4874" s="81"/>
      <c r="BP4874" s="81"/>
      <c r="BQ4874" s="81"/>
      <c r="BR4874" s="81"/>
      <c r="BS4874" s="81"/>
      <c r="BT4874" s="81"/>
    </row>
    <row r="4875" spans="65:72" x14ac:dyDescent="0.25">
      <c r="BM4875" s="81"/>
      <c r="BN4875" s="81"/>
      <c r="BO4875" s="81"/>
      <c r="BP4875" s="81"/>
      <c r="BQ4875" s="81"/>
      <c r="BR4875" s="81"/>
      <c r="BS4875" s="81"/>
      <c r="BT4875" s="81"/>
    </row>
    <row r="4876" spans="65:72" x14ac:dyDescent="0.25">
      <c r="BM4876" s="81"/>
      <c r="BN4876" s="81"/>
      <c r="BO4876" s="81"/>
      <c r="BP4876" s="81"/>
      <c r="BQ4876" s="81"/>
      <c r="BR4876" s="81"/>
      <c r="BS4876" s="81"/>
      <c r="BT4876" s="81"/>
    </row>
    <row r="4877" spans="65:72" x14ac:dyDescent="0.25">
      <c r="BM4877" s="81"/>
      <c r="BN4877" s="81"/>
      <c r="BO4877" s="81"/>
      <c r="BP4877" s="81"/>
      <c r="BQ4877" s="81"/>
      <c r="BR4877" s="81"/>
      <c r="BS4877" s="81"/>
      <c r="BT4877" s="81"/>
    </row>
    <row r="4878" spans="65:72" x14ac:dyDescent="0.25">
      <c r="BM4878" s="81"/>
      <c r="BN4878" s="81"/>
      <c r="BO4878" s="81"/>
      <c r="BP4878" s="81"/>
      <c r="BQ4878" s="81"/>
      <c r="BR4878" s="81"/>
      <c r="BS4878" s="81"/>
      <c r="BT4878" s="81"/>
    </row>
    <row r="4879" spans="65:72" x14ac:dyDescent="0.25">
      <c r="BM4879" s="81"/>
      <c r="BN4879" s="81"/>
      <c r="BO4879" s="81"/>
      <c r="BP4879" s="81"/>
      <c r="BQ4879" s="81"/>
      <c r="BR4879" s="81"/>
      <c r="BS4879" s="81"/>
      <c r="BT4879" s="81"/>
    </row>
    <row r="4880" spans="65:72" x14ac:dyDescent="0.25">
      <c r="BM4880" s="81"/>
      <c r="BN4880" s="81"/>
      <c r="BO4880" s="81"/>
      <c r="BP4880" s="81"/>
      <c r="BQ4880" s="81"/>
      <c r="BR4880" s="81"/>
      <c r="BS4880" s="81"/>
      <c r="BT4880" s="81"/>
    </row>
    <row r="4881" spans="65:72" x14ac:dyDescent="0.25">
      <c r="BM4881" s="81"/>
      <c r="BN4881" s="81"/>
      <c r="BO4881" s="81"/>
      <c r="BP4881" s="81"/>
      <c r="BQ4881" s="81"/>
      <c r="BR4881" s="81"/>
      <c r="BS4881" s="81"/>
      <c r="BT4881" s="81"/>
    </row>
    <row r="4882" spans="65:72" x14ac:dyDescent="0.25">
      <c r="BM4882" s="81"/>
      <c r="BN4882" s="81"/>
      <c r="BO4882" s="81"/>
      <c r="BP4882" s="81"/>
      <c r="BQ4882" s="81"/>
      <c r="BR4882" s="81"/>
      <c r="BS4882" s="81"/>
      <c r="BT4882" s="81"/>
    </row>
    <row r="4883" spans="65:72" x14ac:dyDescent="0.25">
      <c r="BM4883" s="81"/>
      <c r="BN4883" s="81"/>
      <c r="BO4883" s="81"/>
      <c r="BP4883" s="81"/>
      <c r="BQ4883" s="81"/>
      <c r="BR4883" s="81"/>
      <c r="BS4883" s="81"/>
      <c r="BT4883" s="81"/>
    </row>
    <row r="4884" spans="65:72" x14ac:dyDescent="0.25">
      <c r="BM4884" s="81"/>
      <c r="BN4884" s="81"/>
      <c r="BO4884" s="81"/>
      <c r="BP4884" s="81"/>
      <c r="BQ4884" s="81"/>
      <c r="BR4884" s="81"/>
      <c r="BS4884" s="81"/>
      <c r="BT4884" s="81"/>
    </row>
    <row r="4885" spans="65:72" x14ac:dyDescent="0.25">
      <c r="BM4885" s="81"/>
      <c r="BN4885" s="81"/>
      <c r="BO4885" s="81"/>
      <c r="BP4885" s="81"/>
      <c r="BQ4885" s="81"/>
      <c r="BR4885" s="81"/>
      <c r="BS4885" s="81"/>
      <c r="BT4885" s="81"/>
    </row>
    <row r="4886" spans="65:72" x14ac:dyDescent="0.25">
      <c r="BM4886" s="81"/>
      <c r="BN4886" s="81"/>
      <c r="BO4886" s="81"/>
      <c r="BP4886" s="81"/>
      <c r="BQ4886" s="81"/>
      <c r="BR4886" s="81"/>
      <c r="BS4886" s="81"/>
      <c r="BT4886" s="81"/>
    </row>
    <row r="4887" spans="65:72" x14ac:dyDescent="0.25">
      <c r="BM4887" s="81"/>
      <c r="BN4887" s="81"/>
      <c r="BO4887" s="81"/>
      <c r="BP4887" s="81"/>
      <c r="BQ4887" s="81"/>
      <c r="BR4887" s="81"/>
      <c r="BS4887" s="81"/>
      <c r="BT4887" s="81"/>
    </row>
    <row r="4888" spans="65:72" x14ac:dyDescent="0.25">
      <c r="BM4888" s="81"/>
      <c r="BN4888" s="81"/>
      <c r="BO4888" s="81"/>
      <c r="BP4888" s="81"/>
      <c r="BQ4888" s="81"/>
      <c r="BR4888" s="81"/>
      <c r="BS4888" s="81"/>
      <c r="BT4888" s="81"/>
    </row>
    <row r="4889" spans="65:72" x14ac:dyDescent="0.25">
      <c r="BM4889" s="81"/>
      <c r="BN4889" s="81"/>
      <c r="BO4889" s="81"/>
      <c r="BP4889" s="81"/>
      <c r="BQ4889" s="81"/>
      <c r="BR4889" s="81"/>
      <c r="BS4889" s="81"/>
      <c r="BT4889" s="81"/>
    </row>
    <row r="4890" spans="65:72" x14ac:dyDescent="0.25">
      <c r="BM4890" s="81"/>
      <c r="BN4890" s="81"/>
      <c r="BO4890" s="81"/>
      <c r="BP4890" s="81"/>
      <c r="BQ4890" s="81"/>
      <c r="BR4890" s="81"/>
      <c r="BS4890" s="81"/>
      <c r="BT4890" s="81"/>
    </row>
    <row r="4891" spans="65:72" x14ac:dyDescent="0.25">
      <c r="BM4891" s="81"/>
      <c r="BN4891" s="81"/>
      <c r="BO4891" s="81"/>
      <c r="BP4891" s="81"/>
      <c r="BQ4891" s="81"/>
      <c r="BR4891" s="81"/>
      <c r="BS4891" s="81"/>
      <c r="BT4891" s="81"/>
    </row>
    <row r="4892" spans="65:72" x14ac:dyDescent="0.25">
      <c r="BM4892" s="81"/>
      <c r="BN4892" s="81"/>
      <c r="BO4892" s="81"/>
      <c r="BP4892" s="81"/>
      <c r="BQ4892" s="81"/>
      <c r="BR4892" s="81"/>
      <c r="BS4892" s="81"/>
      <c r="BT4892" s="81"/>
    </row>
    <row r="4893" spans="65:72" x14ac:dyDescent="0.25">
      <c r="BM4893" s="81"/>
      <c r="BN4893" s="81"/>
      <c r="BO4893" s="81"/>
      <c r="BP4893" s="81"/>
      <c r="BQ4893" s="81"/>
      <c r="BR4893" s="81"/>
      <c r="BS4893" s="81"/>
      <c r="BT4893" s="81"/>
    </row>
    <row r="4894" spans="65:72" x14ac:dyDescent="0.25">
      <c r="BM4894" s="81"/>
      <c r="BN4894" s="81"/>
      <c r="BO4894" s="81"/>
      <c r="BP4894" s="81"/>
      <c r="BQ4894" s="81"/>
      <c r="BR4894" s="81"/>
      <c r="BS4894" s="81"/>
      <c r="BT4894" s="81"/>
    </row>
    <row r="4895" spans="65:72" x14ac:dyDescent="0.25">
      <c r="BM4895" s="81"/>
      <c r="BN4895" s="81"/>
      <c r="BO4895" s="81"/>
      <c r="BP4895" s="81"/>
      <c r="BQ4895" s="81"/>
      <c r="BR4895" s="81"/>
      <c r="BS4895" s="81"/>
      <c r="BT4895" s="81"/>
    </row>
    <row r="4896" spans="65:72" x14ac:dyDescent="0.25">
      <c r="BM4896" s="81"/>
      <c r="BN4896" s="81"/>
      <c r="BO4896" s="81"/>
      <c r="BP4896" s="81"/>
      <c r="BQ4896" s="81"/>
      <c r="BR4896" s="81"/>
      <c r="BS4896" s="81"/>
      <c r="BT4896" s="81"/>
    </row>
    <row r="4897" spans="65:72" x14ac:dyDescent="0.25">
      <c r="BM4897" s="81"/>
      <c r="BN4897" s="81"/>
      <c r="BO4897" s="81"/>
      <c r="BP4897" s="81"/>
      <c r="BQ4897" s="81"/>
      <c r="BR4897" s="81"/>
      <c r="BS4897" s="81"/>
      <c r="BT4897" s="81"/>
    </row>
    <row r="4898" spans="65:72" x14ac:dyDescent="0.25">
      <c r="BM4898" s="81"/>
      <c r="BN4898" s="81"/>
      <c r="BO4898" s="81"/>
      <c r="BP4898" s="81"/>
      <c r="BQ4898" s="81"/>
      <c r="BR4898" s="81"/>
      <c r="BS4898" s="81"/>
      <c r="BT4898" s="81"/>
    </row>
    <row r="4899" spans="65:72" x14ac:dyDescent="0.25">
      <c r="BM4899" s="81"/>
      <c r="BN4899" s="81"/>
      <c r="BO4899" s="81"/>
      <c r="BP4899" s="81"/>
      <c r="BQ4899" s="81"/>
      <c r="BR4899" s="81"/>
      <c r="BS4899" s="81"/>
      <c r="BT4899" s="81"/>
    </row>
    <row r="4900" spans="65:72" x14ac:dyDescent="0.25">
      <c r="BM4900" s="81"/>
      <c r="BN4900" s="81"/>
      <c r="BO4900" s="81"/>
      <c r="BP4900" s="81"/>
      <c r="BQ4900" s="81"/>
      <c r="BR4900" s="81"/>
      <c r="BS4900" s="81"/>
      <c r="BT4900" s="81"/>
    </row>
    <row r="4901" spans="65:72" x14ac:dyDescent="0.25">
      <c r="BM4901" s="81"/>
      <c r="BN4901" s="81"/>
      <c r="BO4901" s="81"/>
      <c r="BP4901" s="81"/>
      <c r="BQ4901" s="81"/>
      <c r="BR4901" s="81"/>
      <c r="BS4901" s="81"/>
      <c r="BT4901" s="81"/>
    </row>
    <row r="4902" spans="65:72" x14ac:dyDescent="0.25">
      <c r="BM4902" s="81"/>
      <c r="BN4902" s="81"/>
      <c r="BO4902" s="81"/>
      <c r="BP4902" s="81"/>
      <c r="BQ4902" s="81"/>
      <c r="BR4902" s="81"/>
      <c r="BS4902" s="81"/>
      <c r="BT4902" s="81"/>
    </row>
    <row r="4903" spans="65:72" x14ac:dyDescent="0.25">
      <c r="BM4903" s="81"/>
      <c r="BN4903" s="81"/>
      <c r="BO4903" s="81"/>
      <c r="BP4903" s="81"/>
      <c r="BQ4903" s="81"/>
      <c r="BR4903" s="81"/>
      <c r="BS4903" s="81"/>
      <c r="BT4903" s="81"/>
    </row>
    <row r="4904" spans="65:72" x14ac:dyDescent="0.25">
      <c r="BM4904" s="81"/>
      <c r="BN4904" s="81"/>
      <c r="BO4904" s="81"/>
      <c r="BP4904" s="81"/>
      <c r="BQ4904" s="81"/>
      <c r="BR4904" s="81"/>
      <c r="BS4904" s="81"/>
      <c r="BT4904" s="81"/>
    </row>
    <row r="4905" spans="65:72" x14ac:dyDescent="0.25">
      <c r="BM4905" s="81"/>
      <c r="BN4905" s="81"/>
      <c r="BO4905" s="81"/>
      <c r="BP4905" s="81"/>
      <c r="BQ4905" s="81"/>
      <c r="BR4905" s="81"/>
      <c r="BS4905" s="81"/>
      <c r="BT4905" s="81"/>
    </row>
    <row r="4906" spans="65:72" x14ac:dyDescent="0.25">
      <c r="BM4906" s="81"/>
      <c r="BN4906" s="81"/>
      <c r="BO4906" s="81"/>
      <c r="BP4906" s="81"/>
      <c r="BQ4906" s="81"/>
      <c r="BR4906" s="81"/>
      <c r="BS4906" s="81"/>
      <c r="BT4906" s="81"/>
    </row>
    <row r="4907" spans="65:72" x14ac:dyDescent="0.25">
      <c r="BM4907" s="81"/>
      <c r="BN4907" s="81"/>
      <c r="BO4907" s="81"/>
      <c r="BP4907" s="81"/>
      <c r="BQ4907" s="81"/>
      <c r="BR4907" s="81"/>
      <c r="BS4907" s="81"/>
      <c r="BT4907" s="81"/>
    </row>
    <row r="4908" spans="65:72" x14ac:dyDescent="0.25">
      <c r="BM4908" s="81"/>
      <c r="BN4908" s="81"/>
      <c r="BO4908" s="81"/>
      <c r="BP4908" s="81"/>
      <c r="BQ4908" s="81"/>
      <c r="BR4908" s="81"/>
      <c r="BS4908" s="81"/>
      <c r="BT4908" s="81"/>
    </row>
    <row r="4909" spans="65:72" x14ac:dyDescent="0.25">
      <c r="BM4909" s="81"/>
      <c r="BN4909" s="81"/>
      <c r="BO4909" s="81"/>
      <c r="BP4909" s="81"/>
      <c r="BQ4909" s="81"/>
      <c r="BR4909" s="81"/>
      <c r="BS4909" s="81"/>
      <c r="BT4909" s="81"/>
    </row>
    <row r="4910" spans="65:72" x14ac:dyDescent="0.25">
      <c r="BM4910" s="81"/>
      <c r="BN4910" s="81"/>
      <c r="BO4910" s="81"/>
      <c r="BP4910" s="81"/>
      <c r="BQ4910" s="81"/>
      <c r="BR4910" s="81"/>
      <c r="BS4910" s="81"/>
      <c r="BT4910" s="81"/>
    </row>
    <row r="4911" spans="65:72" x14ac:dyDescent="0.25">
      <c r="BM4911" s="81"/>
      <c r="BN4911" s="81"/>
      <c r="BO4911" s="81"/>
      <c r="BP4911" s="81"/>
      <c r="BQ4911" s="81"/>
      <c r="BR4911" s="81"/>
      <c r="BS4911" s="81"/>
      <c r="BT4911" s="81"/>
    </row>
    <row r="4912" spans="65:72" x14ac:dyDescent="0.25">
      <c r="BM4912" s="81"/>
      <c r="BN4912" s="81"/>
      <c r="BO4912" s="81"/>
      <c r="BP4912" s="81"/>
      <c r="BQ4912" s="81"/>
      <c r="BR4912" s="81"/>
      <c r="BS4912" s="81"/>
      <c r="BT4912" s="81"/>
    </row>
    <row r="4913" spans="65:72" x14ac:dyDescent="0.25">
      <c r="BM4913" s="81"/>
      <c r="BN4913" s="81"/>
      <c r="BO4913" s="81"/>
      <c r="BP4913" s="81"/>
      <c r="BQ4913" s="81"/>
      <c r="BR4913" s="81"/>
      <c r="BS4913" s="81"/>
      <c r="BT4913" s="81"/>
    </row>
    <row r="4914" spans="65:72" x14ac:dyDescent="0.25">
      <c r="BM4914" s="81"/>
      <c r="BN4914" s="81"/>
      <c r="BO4914" s="81"/>
      <c r="BP4914" s="81"/>
      <c r="BQ4914" s="81"/>
      <c r="BR4914" s="81"/>
      <c r="BS4914" s="81"/>
      <c r="BT4914" s="81"/>
    </row>
    <row r="4915" spans="65:72" x14ac:dyDescent="0.25">
      <c r="BM4915" s="81"/>
      <c r="BN4915" s="81"/>
      <c r="BO4915" s="81"/>
      <c r="BP4915" s="81"/>
      <c r="BQ4915" s="81"/>
      <c r="BR4915" s="81"/>
      <c r="BS4915" s="81"/>
      <c r="BT4915" s="81"/>
    </row>
    <row r="4916" spans="65:72" x14ac:dyDescent="0.25">
      <c r="BM4916" s="81"/>
      <c r="BN4916" s="81"/>
      <c r="BO4916" s="81"/>
      <c r="BP4916" s="81"/>
      <c r="BQ4916" s="81"/>
      <c r="BR4916" s="81"/>
      <c r="BS4916" s="81"/>
      <c r="BT4916" s="81"/>
    </row>
    <row r="4917" spans="65:72" x14ac:dyDescent="0.25">
      <c r="BM4917" s="81"/>
      <c r="BN4917" s="81"/>
      <c r="BO4917" s="81"/>
      <c r="BP4917" s="81"/>
      <c r="BQ4917" s="81"/>
      <c r="BR4917" s="81"/>
      <c r="BS4917" s="81"/>
      <c r="BT4917" s="81"/>
    </row>
    <row r="4918" spans="65:72" x14ac:dyDescent="0.25">
      <c r="BM4918" s="81"/>
      <c r="BN4918" s="81"/>
      <c r="BO4918" s="81"/>
      <c r="BP4918" s="81"/>
      <c r="BQ4918" s="81"/>
      <c r="BR4918" s="81"/>
      <c r="BS4918" s="81"/>
      <c r="BT4918" s="81"/>
    </row>
    <row r="4919" spans="65:72" x14ac:dyDescent="0.25">
      <c r="BM4919" s="81"/>
      <c r="BN4919" s="81"/>
      <c r="BO4919" s="81"/>
      <c r="BP4919" s="81"/>
      <c r="BQ4919" s="81"/>
      <c r="BR4919" s="81"/>
      <c r="BS4919" s="81"/>
      <c r="BT4919" s="81"/>
    </row>
    <row r="4920" spans="65:72" x14ac:dyDescent="0.25">
      <c r="BM4920" s="81"/>
      <c r="BN4920" s="81"/>
      <c r="BO4920" s="81"/>
      <c r="BP4920" s="81"/>
      <c r="BQ4920" s="81"/>
      <c r="BR4920" s="81"/>
      <c r="BS4920" s="81"/>
      <c r="BT4920" s="81"/>
    </row>
    <row r="4921" spans="65:72" x14ac:dyDescent="0.25">
      <c r="BM4921" s="81"/>
      <c r="BN4921" s="81"/>
      <c r="BO4921" s="81"/>
      <c r="BP4921" s="81"/>
      <c r="BQ4921" s="81"/>
      <c r="BR4921" s="81"/>
      <c r="BS4921" s="81"/>
      <c r="BT4921" s="81"/>
    </row>
    <row r="4922" spans="65:72" x14ac:dyDescent="0.25">
      <c r="BM4922" s="81"/>
      <c r="BN4922" s="81"/>
      <c r="BO4922" s="81"/>
      <c r="BP4922" s="81"/>
      <c r="BQ4922" s="81"/>
      <c r="BR4922" s="81"/>
      <c r="BS4922" s="81"/>
      <c r="BT4922" s="81"/>
    </row>
    <row r="4923" spans="65:72" x14ac:dyDescent="0.25">
      <c r="BM4923" s="81"/>
      <c r="BN4923" s="81"/>
      <c r="BO4923" s="81"/>
      <c r="BP4923" s="81"/>
      <c r="BQ4923" s="81"/>
      <c r="BR4923" s="81"/>
      <c r="BS4923" s="81"/>
      <c r="BT4923" s="81"/>
    </row>
    <row r="4924" spans="65:72" x14ac:dyDescent="0.25">
      <c r="BM4924" s="81"/>
      <c r="BN4924" s="81"/>
      <c r="BO4924" s="81"/>
      <c r="BP4924" s="81"/>
      <c r="BQ4924" s="81"/>
      <c r="BR4924" s="81"/>
      <c r="BS4924" s="81"/>
      <c r="BT4924" s="81"/>
    </row>
    <row r="4925" spans="65:72" x14ac:dyDescent="0.25">
      <c r="BM4925" s="81"/>
      <c r="BN4925" s="81"/>
      <c r="BO4925" s="81"/>
      <c r="BP4925" s="81"/>
      <c r="BQ4925" s="81"/>
      <c r="BR4925" s="81"/>
      <c r="BS4925" s="81"/>
      <c r="BT4925" s="81"/>
    </row>
    <row r="4926" spans="65:72" x14ac:dyDescent="0.25">
      <c r="BM4926" s="81"/>
      <c r="BN4926" s="81"/>
      <c r="BO4926" s="81"/>
      <c r="BP4926" s="81"/>
      <c r="BQ4926" s="81"/>
      <c r="BR4926" s="81"/>
      <c r="BS4926" s="81"/>
      <c r="BT4926" s="81"/>
    </row>
    <row r="4927" spans="65:72" x14ac:dyDescent="0.25">
      <c r="BM4927" s="81"/>
      <c r="BN4927" s="81"/>
      <c r="BO4927" s="81"/>
      <c r="BP4927" s="81"/>
      <c r="BQ4927" s="81"/>
      <c r="BR4927" s="81"/>
      <c r="BS4927" s="81"/>
      <c r="BT4927" s="81"/>
    </row>
    <row r="4928" spans="65:72" x14ac:dyDescent="0.25">
      <c r="BM4928" s="81"/>
      <c r="BN4928" s="81"/>
      <c r="BO4928" s="81"/>
      <c r="BP4928" s="81"/>
      <c r="BQ4928" s="81"/>
      <c r="BR4928" s="81"/>
      <c r="BS4928" s="81"/>
      <c r="BT4928" s="81"/>
    </row>
    <row r="4929" spans="65:72" x14ac:dyDescent="0.25">
      <c r="BM4929" s="81"/>
      <c r="BN4929" s="81"/>
      <c r="BO4929" s="81"/>
      <c r="BP4929" s="81"/>
      <c r="BQ4929" s="81"/>
      <c r="BR4929" s="81"/>
      <c r="BS4929" s="81"/>
      <c r="BT4929" s="81"/>
    </row>
    <row r="4930" spans="65:72" x14ac:dyDescent="0.25">
      <c r="BM4930" s="81"/>
      <c r="BN4930" s="81"/>
      <c r="BO4930" s="81"/>
      <c r="BP4930" s="81"/>
      <c r="BQ4930" s="81"/>
      <c r="BR4930" s="81"/>
      <c r="BS4930" s="81"/>
      <c r="BT4930" s="81"/>
    </row>
    <row r="4931" spans="65:72" x14ac:dyDescent="0.25">
      <c r="BM4931" s="81"/>
      <c r="BN4931" s="81"/>
      <c r="BO4931" s="81"/>
      <c r="BP4931" s="81"/>
      <c r="BQ4931" s="81"/>
      <c r="BR4931" s="81"/>
      <c r="BS4931" s="81"/>
      <c r="BT4931" s="81"/>
    </row>
    <row r="4932" spans="65:72" x14ac:dyDescent="0.25">
      <c r="BM4932" s="81"/>
      <c r="BN4932" s="81"/>
      <c r="BO4932" s="81"/>
      <c r="BP4932" s="81"/>
      <c r="BQ4932" s="81"/>
      <c r="BR4932" s="81"/>
      <c r="BS4932" s="81"/>
      <c r="BT4932" s="81"/>
    </row>
    <row r="4933" spans="65:72" x14ac:dyDescent="0.25">
      <c r="BM4933" s="81"/>
      <c r="BN4933" s="81"/>
      <c r="BO4933" s="81"/>
      <c r="BP4933" s="81"/>
      <c r="BQ4933" s="81"/>
      <c r="BR4933" s="81"/>
      <c r="BS4933" s="81"/>
      <c r="BT4933" s="81"/>
    </row>
    <row r="4934" spans="65:72" x14ac:dyDescent="0.25">
      <c r="BM4934" s="81"/>
      <c r="BN4934" s="81"/>
      <c r="BO4934" s="81"/>
      <c r="BP4934" s="81"/>
      <c r="BQ4934" s="81"/>
      <c r="BR4934" s="81"/>
      <c r="BS4934" s="81"/>
      <c r="BT4934" s="81"/>
    </row>
    <row r="4935" spans="65:72" x14ac:dyDescent="0.25">
      <c r="BM4935" s="81"/>
      <c r="BN4935" s="81"/>
      <c r="BO4935" s="81"/>
      <c r="BP4935" s="81"/>
      <c r="BQ4935" s="81"/>
      <c r="BR4935" s="81"/>
      <c r="BS4935" s="81"/>
      <c r="BT4935" s="81"/>
    </row>
    <row r="4936" spans="65:72" x14ac:dyDescent="0.25">
      <c r="BM4936" s="81"/>
      <c r="BN4936" s="81"/>
      <c r="BO4936" s="81"/>
      <c r="BP4936" s="81"/>
      <c r="BQ4936" s="81"/>
      <c r="BR4936" s="81"/>
      <c r="BS4936" s="81"/>
      <c r="BT4936" s="81"/>
    </row>
    <row r="4937" spans="65:72" x14ac:dyDescent="0.25">
      <c r="BM4937" s="81"/>
      <c r="BN4937" s="81"/>
      <c r="BO4937" s="81"/>
      <c r="BP4937" s="81"/>
      <c r="BQ4937" s="81"/>
      <c r="BR4937" s="81"/>
      <c r="BS4937" s="81"/>
      <c r="BT4937" s="81"/>
    </row>
    <row r="4938" spans="65:72" x14ac:dyDescent="0.25">
      <c r="BM4938" s="81"/>
      <c r="BN4938" s="81"/>
      <c r="BO4938" s="81"/>
      <c r="BP4938" s="81"/>
      <c r="BQ4938" s="81"/>
      <c r="BR4938" s="81"/>
      <c r="BS4938" s="81"/>
      <c r="BT4938" s="81"/>
    </row>
    <row r="4939" spans="65:72" x14ac:dyDescent="0.25">
      <c r="BM4939" s="81"/>
      <c r="BN4939" s="81"/>
      <c r="BO4939" s="81"/>
      <c r="BP4939" s="81"/>
      <c r="BQ4939" s="81"/>
      <c r="BR4939" s="81"/>
      <c r="BS4939" s="81"/>
      <c r="BT4939" s="81"/>
    </row>
    <row r="4940" spans="65:72" x14ac:dyDescent="0.25">
      <c r="BM4940" s="81"/>
      <c r="BN4940" s="81"/>
      <c r="BO4940" s="81"/>
      <c r="BP4940" s="81"/>
      <c r="BQ4940" s="81"/>
      <c r="BR4940" s="81"/>
      <c r="BS4940" s="81"/>
      <c r="BT4940" s="81"/>
    </row>
    <row r="4941" spans="65:72" x14ac:dyDescent="0.25">
      <c r="BM4941" s="81"/>
      <c r="BN4941" s="81"/>
      <c r="BO4941" s="81"/>
      <c r="BP4941" s="81"/>
      <c r="BQ4941" s="81"/>
      <c r="BR4941" s="81"/>
      <c r="BS4941" s="81"/>
      <c r="BT4941" s="81"/>
    </row>
    <row r="4942" spans="65:72" x14ac:dyDescent="0.25">
      <c r="BM4942" s="81"/>
      <c r="BN4942" s="81"/>
      <c r="BO4942" s="81"/>
      <c r="BP4942" s="81"/>
      <c r="BQ4942" s="81"/>
      <c r="BR4942" s="81"/>
      <c r="BS4942" s="81"/>
      <c r="BT4942" s="81"/>
    </row>
    <row r="4943" spans="65:72" x14ac:dyDescent="0.25">
      <c r="BM4943" s="81"/>
      <c r="BN4943" s="81"/>
      <c r="BO4943" s="81"/>
      <c r="BP4943" s="81"/>
      <c r="BQ4943" s="81"/>
      <c r="BR4943" s="81"/>
      <c r="BS4943" s="81"/>
      <c r="BT4943" s="81"/>
    </row>
    <row r="4944" spans="65:72" x14ac:dyDescent="0.25">
      <c r="BM4944" s="81"/>
      <c r="BN4944" s="81"/>
      <c r="BO4944" s="81"/>
      <c r="BP4944" s="81"/>
      <c r="BQ4944" s="81"/>
      <c r="BR4944" s="81"/>
      <c r="BS4944" s="81"/>
      <c r="BT4944" s="81"/>
    </row>
    <row r="4945" spans="65:72" x14ac:dyDescent="0.25">
      <c r="BM4945" s="81"/>
      <c r="BN4945" s="81"/>
      <c r="BO4945" s="81"/>
      <c r="BP4945" s="81"/>
      <c r="BQ4945" s="81"/>
      <c r="BR4945" s="81"/>
      <c r="BS4945" s="81"/>
      <c r="BT4945" s="81"/>
    </row>
    <row r="4946" spans="65:72" x14ac:dyDescent="0.25">
      <c r="BM4946" s="81"/>
      <c r="BN4946" s="81"/>
      <c r="BO4946" s="81"/>
      <c r="BP4946" s="81"/>
      <c r="BQ4946" s="81"/>
      <c r="BR4946" s="81"/>
      <c r="BS4946" s="81"/>
      <c r="BT4946" s="81"/>
    </row>
    <row r="4947" spans="65:72" x14ac:dyDescent="0.25">
      <c r="BM4947" s="81"/>
      <c r="BN4947" s="81"/>
      <c r="BO4947" s="81"/>
      <c r="BP4947" s="81"/>
      <c r="BQ4947" s="81"/>
      <c r="BR4947" s="81"/>
      <c r="BS4947" s="81"/>
      <c r="BT4947" s="81"/>
    </row>
    <row r="4948" spans="65:72" x14ac:dyDescent="0.25">
      <c r="BM4948" s="81"/>
      <c r="BN4948" s="81"/>
      <c r="BO4948" s="81"/>
      <c r="BP4948" s="81"/>
      <c r="BQ4948" s="81"/>
      <c r="BR4948" s="81"/>
      <c r="BS4948" s="81"/>
      <c r="BT4948" s="81"/>
    </row>
    <row r="4949" spans="65:72" x14ac:dyDescent="0.25">
      <c r="BM4949" s="81"/>
      <c r="BN4949" s="81"/>
      <c r="BO4949" s="81"/>
      <c r="BP4949" s="81"/>
      <c r="BQ4949" s="81"/>
      <c r="BR4949" s="81"/>
      <c r="BS4949" s="81"/>
      <c r="BT4949" s="81"/>
    </row>
    <row r="4950" spans="65:72" x14ac:dyDescent="0.25">
      <c r="BM4950" s="81"/>
      <c r="BN4950" s="81"/>
      <c r="BO4950" s="81"/>
      <c r="BP4950" s="81"/>
      <c r="BQ4950" s="81"/>
      <c r="BR4950" s="81"/>
      <c r="BS4950" s="81"/>
      <c r="BT4950" s="81"/>
    </row>
    <row r="4951" spans="65:72" x14ac:dyDescent="0.25">
      <c r="BM4951" s="81"/>
      <c r="BN4951" s="81"/>
      <c r="BO4951" s="81"/>
      <c r="BP4951" s="81"/>
      <c r="BQ4951" s="81"/>
      <c r="BR4951" s="81"/>
      <c r="BS4951" s="81"/>
      <c r="BT4951" s="81"/>
    </row>
    <row r="4952" spans="65:72" x14ac:dyDescent="0.25">
      <c r="BM4952" s="81"/>
      <c r="BN4952" s="81"/>
      <c r="BO4952" s="81"/>
      <c r="BP4952" s="81"/>
      <c r="BQ4952" s="81"/>
      <c r="BR4952" s="81"/>
      <c r="BS4952" s="81"/>
      <c r="BT4952" s="81"/>
    </row>
    <row r="4953" spans="65:72" x14ac:dyDescent="0.25">
      <c r="BM4953" s="81"/>
      <c r="BN4953" s="81"/>
      <c r="BO4953" s="81"/>
      <c r="BP4953" s="81"/>
      <c r="BQ4953" s="81"/>
      <c r="BR4953" s="81"/>
      <c r="BS4953" s="81"/>
      <c r="BT4953" s="81"/>
    </row>
    <row r="4954" spans="65:72" x14ac:dyDescent="0.25">
      <c r="BM4954" s="81"/>
      <c r="BN4954" s="81"/>
      <c r="BO4954" s="81"/>
      <c r="BP4954" s="81"/>
      <c r="BQ4954" s="81"/>
      <c r="BR4954" s="81"/>
      <c r="BS4954" s="81"/>
      <c r="BT4954" s="81"/>
    </row>
    <row r="4955" spans="65:72" x14ac:dyDescent="0.25">
      <c r="BM4955" s="81"/>
      <c r="BN4955" s="81"/>
      <c r="BO4955" s="81"/>
      <c r="BP4955" s="81"/>
      <c r="BQ4955" s="81"/>
      <c r="BR4955" s="81"/>
      <c r="BS4955" s="81"/>
      <c r="BT4955" s="81"/>
    </row>
    <row r="4956" spans="65:72" x14ac:dyDescent="0.25">
      <c r="BM4956" s="81"/>
      <c r="BN4956" s="81"/>
      <c r="BO4956" s="81"/>
      <c r="BP4956" s="81"/>
      <c r="BQ4956" s="81"/>
      <c r="BR4956" s="81"/>
      <c r="BS4956" s="81"/>
      <c r="BT4956" s="81"/>
    </row>
    <row r="4957" spans="65:72" x14ac:dyDescent="0.25">
      <c r="BM4957" s="81"/>
      <c r="BN4957" s="81"/>
      <c r="BO4957" s="81"/>
      <c r="BP4957" s="81"/>
      <c r="BQ4957" s="81"/>
      <c r="BR4957" s="81"/>
      <c r="BS4957" s="81"/>
      <c r="BT4957" s="81"/>
    </row>
    <row r="4958" spans="65:72" x14ac:dyDescent="0.25">
      <c r="BM4958" s="81"/>
      <c r="BN4958" s="81"/>
      <c r="BO4958" s="81"/>
      <c r="BP4958" s="81"/>
      <c r="BQ4958" s="81"/>
      <c r="BR4958" s="81"/>
      <c r="BS4958" s="81"/>
      <c r="BT4958" s="81"/>
    </row>
    <row r="4959" spans="65:72" x14ac:dyDescent="0.25">
      <c r="BM4959" s="81"/>
      <c r="BN4959" s="81"/>
      <c r="BO4959" s="81"/>
      <c r="BP4959" s="81"/>
      <c r="BQ4959" s="81"/>
      <c r="BR4959" s="81"/>
      <c r="BS4959" s="81"/>
      <c r="BT4959" s="81"/>
    </row>
    <row r="4960" spans="65:72" x14ac:dyDescent="0.25">
      <c r="BM4960" s="81"/>
      <c r="BN4960" s="81"/>
      <c r="BO4960" s="81"/>
      <c r="BP4960" s="81"/>
      <c r="BQ4960" s="81"/>
      <c r="BR4960" s="81"/>
      <c r="BS4960" s="81"/>
      <c r="BT4960" s="81"/>
    </row>
    <row r="4961" spans="65:72" x14ac:dyDescent="0.25">
      <c r="BM4961" s="81"/>
      <c r="BN4961" s="81"/>
      <c r="BO4961" s="81"/>
      <c r="BP4961" s="81"/>
      <c r="BQ4961" s="81"/>
      <c r="BR4961" s="81"/>
      <c r="BS4961" s="81"/>
      <c r="BT4961" s="81"/>
    </row>
    <row r="4962" spans="65:72" x14ac:dyDescent="0.25">
      <c r="BM4962" s="81"/>
      <c r="BN4962" s="81"/>
      <c r="BO4962" s="81"/>
      <c r="BP4962" s="81"/>
      <c r="BQ4962" s="81"/>
      <c r="BR4962" s="81"/>
      <c r="BS4962" s="81"/>
      <c r="BT4962" s="81"/>
    </row>
    <row r="4963" spans="65:72" x14ac:dyDescent="0.25">
      <c r="BM4963" s="81"/>
      <c r="BN4963" s="81"/>
      <c r="BO4963" s="81"/>
      <c r="BP4963" s="81"/>
      <c r="BQ4963" s="81"/>
      <c r="BR4963" s="81"/>
      <c r="BS4963" s="81"/>
      <c r="BT4963" s="81"/>
    </row>
    <row r="4964" spans="65:72" x14ac:dyDescent="0.25">
      <c r="BM4964" s="81"/>
      <c r="BN4964" s="81"/>
      <c r="BO4964" s="81"/>
      <c r="BP4964" s="81"/>
      <c r="BQ4964" s="81"/>
      <c r="BR4964" s="81"/>
      <c r="BS4964" s="81"/>
      <c r="BT4964" s="81"/>
    </row>
    <row r="4965" spans="65:72" x14ac:dyDescent="0.25">
      <c r="BM4965" s="81"/>
      <c r="BN4965" s="81"/>
      <c r="BO4965" s="81"/>
      <c r="BP4965" s="81"/>
      <c r="BQ4965" s="81"/>
      <c r="BR4965" s="81"/>
      <c r="BS4965" s="81"/>
      <c r="BT4965" s="81"/>
    </row>
    <row r="4966" spans="65:72" x14ac:dyDescent="0.25">
      <c r="BM4966" s="81"/>
      <c r="BN4966" s="81"/>
      <c r="BO4966" s="81"/>
      <c r="BP4966" s="81"/>
      <c r="BQ4966" s="81"/>
      <c r="BR4966" s="81"/>
      <c r="BS4966" s="81"/>
      <c r="BT4966" s="81"/>
    </row>
    <row r="4967" spans="65:72" x14ac:dyDescent="0.25">
      <c r="BM4967" s="81"/>
      <c r="BN4967" s="81"/>
      <c r="BO4967" s="81"/>
      <c r="BP4967" s="81"/>
      <c r="BQ4967" s="81"/>
      <c r="BR4967" s="81"/>
      <c r="BS4967" s="81"/>
      <c r="BT4967" s="81"/>
    </row>
    <row r="4968" spans="65:72" x14ac:dyDescent="0.25">
      <c r="BM4968" s="81"/>
      <c r="BN4968" s="81"/>
      <c r="BO4968" s="81"/>
      <c r="BP4968" s="81"/>
      <c r="BQ4968" s="81"/>
      <c r="BR4968" s="81"/>
      <c r="BS4968" s="81"/>
      <c r="BT4968" s="81"/>
    </row>
    <row r="4969" spans="65:72" x14ac:dyDescent="0.25">
      <c r="BM4969" s="81"/>
      <c r="BN4969" s="81"/>
      <c r="BO4969" s="81"/>
      <c r="BP4969" s="81"/>
      <c r="BQ4969" s="81"/>
      <c r="BR4969" s="81"/>
      <c r="BS4969" s="81"/>
      <c r="BT4969" s="81"/>
    </row>
    <row r="4970" spans="65:72" x14ac:dyDescent="0.25">
      <c r="BM4970" s="81"/>
      <c r="BN4970" s="81"/>
      <c r="BO4970" s="81"/>
      <c r="BP4970" s="81"/>
      <c r="BQ4970" s="81"/>
      <c r="BR4970" s="81"/>
      <c r="BS4970" s="81"/>
      <c r="BT4970" s="81"/>
    </row>
    <row r="4971" spans="65:72" x14ac:dyDescent="0.25">
      <c r="BM4971" s="81"/>
      <c r="BN4971" s="81"/>
      <c r="BO4971" s="81"/>
      <c r="BP4971" s="81"/>
      <c r="BQ4971" s="81"/>
      <c r="BR4971" s="81"/>
      <c r="BS4971" s="81"/>
      <c r="BT4971" s="81"/>
    </row>
    <row r="4972" spans="65:72" x14ac:dyDescent="0.25">
      <c r="BM4972" s="81"/>
      <c r="BN4972" s="81"/>
      <c r="BO4972" s="81"/>
      <c r="BP4972" s="81"/>
      <c r="BQ4972" s="81"/>
      <c r="BR4972" s="81"/>
      <c r="BS4972" s="81"/>
      <c r="BT4972" s="81"/>
    </row>
    <row r="4973" spans="65:72" x14ac:dyDescent="0.25">
      <c r="BM4973" s="81"/>
      <c r="BN4973" s="81"/>
      <c r="BO4973" s="81"/>
      <c r="BP4973" s="81"/>
      <c r="BQ4973" s="81"/>
      <c r="BR4973" s="81"/>
      <c r="BS4973" s="81"/>
      <c r="BT4973" s="81"/>
    </row>
    <row r="4974" spans="65:72" x14ac:dyDescent="0.25">
      <c r="BM4974" s="81"/>
      <c r="BN4974" s="81"/>
      <c r="BO4974" s="81"/>
      <c r="BP4974" s="81"/>
      <c r="BQ4974" s="81"/>
      <c r="BR4974" s="81"/>
      <c r="BS4974" s="81"/>
      <c r="BT4974" s="81"/>
    </row>
    <row r="4975" spans="65:72" x14ac:dyDescent="0.25">
      <c r="BM4975" s="81"/>
      <c r="BN4975" s="81"/>
      <c r="BO4975" s="81"/>
      <c r="BP4975" s="81"/>
      <c r="BQ4975" s="81"/>
      <c r="BR4975" s="81"/>
      <c r="BS4975" s="81"/>
      <c r="BT4975" s="81"/>
    </row>
    <row r="4976" spans="65:72" x14ac:dyDescent="0.25">
      <c r="BM4976" s="81"/>
      <c r="BN4976" s="81"/>
      <c r="BO4976" s="81"/>
      <c r="BP4976" s="81"/>
      <c r="BQ4976" s="81"/>
      <c r="BR4976" s="81"/>
      <c r="BS4976" s="81"/>
      <c r="BT4976" s="81"/>
    </row>
    <row r="4977" spans="65:72" x14ac:dyDescent="0.25">
      <c r="BM4977" s="81"/>
      <c r="BN4977" s="81"/>
      <c r="BO4977" s="81"/>
      <c r="BP4977" s="81"/>
      <c r="BQ4977" s="81"/>
      <c r="BR4977" s="81"/>
      <c r="BS4977" s="81"/>
      <c r="BT4977" s="81"/>
    </row>
    <row r="4978" spans="65:72" x14ac:dyDescent="0.25">
      <c r="BM4978" s="81"/>
      <c r="BN4978" s="81"/>
      <c r="BO4978" s="81"/>
      <c r="BP4978" s="81"/>
      <c r="BQ4978" s="81"/>
      <c r="BR4978" s="81"/>
      <c r="BS4978" s="81"/>
      <c r="BT4978" s="81"/>
    </row>
    <row r="4979" spans="65:72" x14ac:dyDescent="0.25">
      <c r="BM4979" s="81"/>
      <c r="BN4979" s="81"/>
      <c r="BO4979" s="81"/>
      <c r="BP4979" s="81"/>
      <c r="BQ4979" s="81"/>
      <c r="BR4979" s="81"/>
      <c r="BS4979" s="81"/>
      <c r="BT4979" s="81"/>
    </row>
    <row r="4980" spans="65:72" x14ac:dyDescent="0.25">
      <c r="BM4980" s="81"/>
      <c r="BN4980" s="81"/>
      <c r="BO4980" s="81"/>
      <c r="BP4980" s="81"/>
      <c r="BQ4980" s="81"/>
      <c r="BR4980" s="81"/>
      <c r="BS4980" s="81"/>
      <c r="BT4980" s="81"/>
    </row>
    <row r="4981" spans="65:72" x14ac:dyDescent="0.25">
      <c r="BM4981" s="81"/>
      <c r="BN4981" s="81"/>
      <c r="BO4981" s="81"/>
      <c r="BP4981" s="81"/>
      <c r="BQ4981" s="81"/>
      <c r="BR4981" s="81"/>
      <c r="BS4981" s="81"/>
      <c r="BT4981" s="81"/>
    </row>
    <row r="4982" spans="65:72" x14ac:dyDescent="0.25">
      <c r="BM4982" s="81"/>
      <c r="BN4982" s="81"/>
      <c r="BO4982" s="81"/>
      <c r="BP4982" s="81"/>
      <c r="BQ4982" s="81"/>
      <c r="BR4982" s="81"/>
      <c r="BS4982" s="81"/>
      <c r="BT4982" s="81"/>
    </row>
    <row r="4983" spans="65:72" x14ac:dyDescent="0.25">
      <c r="BM4983" s="81"/>
      <c r="BN4983" s="81"/>
      <c r="BO4983" s="81"/>
      <c r="BP4983" s="81"/>
      <c r="BQ4983" s="81"/>
      <c r="BR4983" s="81"/>
      <c r="BS4983" s="81"/>
      <c r="BT4983" s="81"/>
    </row>
    <row r="4984" spans="65:72" x14ac:dyDescent="0.25">
      <c r="BM4984" s="81"/>
      <c r="BN4984" s="81"/>
      <c r="BO4984" s="81"/>
      <c r="BP4984" s="81"/>
      <c r="BQ4984" s="81"/>
      <c r="BR4984" s="81"/>
      <c r="BS4984" s="81"/>
      <c r="BT4984" s="81"/>
    </row>
    <row r="4985" spans="65:72" x14ac:dyDescent="0.25">
      <c r="BM4985" s="81"/>
      <c r="BN4985" s="81"/>
      <c r="BO4985" s="81"/>
      <c r="BP4985" s="81"/>
      <c r="BQ4985" s="81"/>
      <c r="BR4985" s="81"/>
      <c r="BS4985" s="81"/>
      <c r="BT4985" s="81"/>
    </row>
    <row r="4986" spans="65:72" x14ac:dyDescent="0.25">
      <c r="BM4986" s="81"/>
      <c r="BN4986" s="81"/>
      <c r="BO4986" s="81"/>
      <c r="BP4986" s="81"/>
      <c r="BQ4986" s="81"/>
      <c r="BR4986" s="81"/>
      <c r="BS4986" s="81"/>
      <c r="BT4986" s="81"/>
    </row>
    <row r="4987" spans="65:72" x14ac:dyDescent="0.25">
      <c r="BM4987" s="81"/>
      <c r="BN4987" s="81"/>
      <c r="BO4987" s="81"/>
      <c r="BP4987" s="81"/>
      <c r="BQ4987" s="81"/>
      <c r="BR4987" s="81"/>
      <c r="BS4987" s="81"/>
      <c r="BT4987" s="81"/>
    </row>
    <row r="4988" spans="65:72" x14ac:dyDescent="0.25">
      <c r="BM4988" s="81"/>
      <c r="BN4988" s="81"/>
      <c r="BO4988" s="81"/>
      <c r="BP4988" s="81"/>
      <c r="BQ4988" s="81"/>
      <c r="BR4988" s="81"/>
      <c r="BS4988" s="81"/>
      <c r="BT4988" s="81"/>
    </row>
    <row r="4989" spans="65:72" x14ac:dyDescent="0.25">
      <c r="BM4989" s="81"/>
      <c r="BN4989" s="81"/>
      <c r="BO4989" s="81"/>
      <c r="BP4989" s="81"/>
      <c r="BQ4989" s="81"/>
      <c r="BR4989" s="81"/>
      <c r="BS4989" s="81"/>
      <c r="BT4989" s="81"/>
    </row>
    <row r="4990" spans="65:72" x14ac:dyDescent="0.25">
      <c r="BM4990" s="81"/>
      <c r="BN4990" s="81"/>
      <c r="BO4990" s="81"/>
      <c r="BP4990" s="81"/>
      <c r="BQ4990" s="81"/>
      <c r="BR4990" s="81"/>
      <c r="BS4990" s="81"/>
      <c r="BT4990" s="81"/>
    </row>
    <row r="4991" spans="65:72" x14ac:dyDescent="0.25">
      <c r="BM4991" s="81"/>
      <c r="BN4991" s="81"/>
      <c r="BO4991" s="81"/>
      <c r="BP4991" s="81"/>
      <c r="BQ4991" s="81"/>
      <c r="BR4991" s="81"/>
      <c r="BS4991" s="81"/>
      <c r="BT4991" s="81"/>
    </row>
    <row r="4992" spans="65:72" x14ac:dyDescent="0.25">
      <c r="BM4992" s="81"/>
      <c r="BN4992" s="81"/>
      <c r="BO4992" s="81"/>
      <c r="BP4992" s="81"/>
      <c r="BQ4992" s="81"/>
      <c r="BR4992" s="81"/>
      <c r="BS4992" s="81"/>
      <c r="BT4992" s="81"/>
    </row>
    <row r="4993" spans="65:72" x14ac:dyDescent="0.25">
      <c r="BM4993" s="81"/>
      <c r="BN4993" s="81"/>
      <c r="BO4993" s="81"/>
      <c r="BP4993" s="81"/>
      <c r="BQ4993" s="81"/>
      <c r="BR4993" s="81"/>
      <c r="BS4993" s="81"/>
      <c r="BT4993" s="81"/>
    </row>
    <row r="4994" spans="65:72" x14ac:dyDescent="0.25">
      <c r="BM4994" s="81"/>
      <c r="BN4994" s="81"/>
      <c r="BO4994" s="81"/>
      <c r="BP4994" s="81"/>
      <c r="BQ4994" s="81"/>
      <c r="BR4994" s="81"/>
      <c r="BS4994" s="81"/>
      <c r="BT4994" s="81"/>
    </row>
    <row r="4995" spans="65:72" x14ac:dyDescent="0.25">
      <c r="BM4995" s="81"/>
      <c r="BN4995" s="81"/>
      <c r="BO4995" s="81"/>
      <c r="BP4995" s="81"/>
      <c r="BQ4995" s="81"/>
      <c r="BR4995" s="81"/>
      <c r="BS4995" s="81"/>
      <c r="BT4995" s="81"/>
    </row>
    <row r="4996" spans="65:72" x14ac:dyDescent="0.25">
      <c r="BM4996" s="81"/>
      <c r="BN4996" s="81"/>
      <c r="BO4996" s="81"/>
      <c r="BP4996" s="81"/>
      <c r="BQ4996" s="81"/>
      <c r="BR4996" s="81"/>
      <c r="BS4996" s="81"/>
      <c r="BT4996" s="81"/>
    </row>
    <row r="4997" spans="65:72" x14ac:dyDescent="0.25">
      <c r="BM4997" s="81"/>
      <c r="BN4997" s="81"/>
      <c r="BO4997" s="81"/>
      <c r="BP4997" s="81"/>
      <c r="BQ4997" s="81"/>
      <c r="BR4997" s="81"/>
      <c r="BS4997" s="81"/>
      <c r="BT4997" s="81"/>
    </row>
    <row r="4998" spans="65:72" x14ac:dyDescent="0.25">
      <c r="BM4998" s="81"/>
      <c r="BN4998" s="81"/>
      <c r="BO4998" s="81"/>
      <c r="BP4998" s="81"/>
      <c r="BQ4998" s="81"/>
      <c r="BR4998" s="81"/>
      <c r="BS4998" s="81"/>
      <c r="BT4998" s="81"/>
    </row>
    <row r="4999" spans="65:72" x14ac:dyDescent="0.25">
      <c r="BM4999" s="81"/>
      <c r="BN4999" s="81"/>
      <c r="BO4999" s="81"/>
      <c r="BP4999" s="81"/>
      <c r="BQ4999" s="81"/>
      <c r="BR4999" s="81"/>
      <c r="BS4999" s="81"/>
      <c r="BT4999" s="81"/>
    </row>
    <row r="5000" spans="65:72" x14ac:dyDescent="0.25">
      <c r="BM5000" s="81"/>
      <c r="BN5000" s="81"/>
      <c r="BO5000" s="81"/>
      <c r="BP5000" s="81"/>
      <c r="BQ5000" s="81"/>
      <c r="BR5000" s="81"/>
      <c r="BS5000" s="81"/>
      <c r="BT5000" s="81"/>
    </row>
    <row r="5001" spans="65:72" x14ac:dyDescent="0.25">
      <c r="BM5001" s="81"/>
      <c r="BN5001" s="81"/>
      <c r="BO5001" s="81"/>
      <c r="BP5001" s="81"/>
      <c r="BQ5001" s="81"/>
      <c r="BR5001" s="81"/>
      <c r="BS5001" s="81"/>
      <c r="BT5001" s="81"/>
    </row>
    <row r="5002" spans="65:72" x14ac:dyDescent="0.25">
      <c r="BM5002" s="81"/>
      <c r="BN5002" s="81"/>
      <c r="BO5002" s="81"/>
      <c r="BP5002" s="81"/>
      <c r="BQ5002" s="81"/>
      <c r="BR5002" s="81"/>
      <c r="BS5002" s="81"/>
      <c r="BT5002" s="81"/>
    </row>
    <row r="5003" spans="65:72" x14ac:dyDescent="0.25">
      <c r="BM5003" s="81"/>
      <c r="BN5003" s="81"/>
      <c r="BO5003" s="81"/>
      <c r="BP5003" s="81"/>
      <c r="BQ5003" s="81"/>
      <c r="BR5003" s="81"/>
      <c r="BS5003" s="81"/>
      <c r="BT5003" s="81"/>
    </row>
    <row r="5004" spans="65:72" x14ac:dyDescent="0.25">
      <c r="BM5004" s="81"/>
      <c r="BN5004" s="81"/>
      <c r="BO5004" s="81"/>
      <c r="BP5004" s="81"/>
      <c r="BQ5004" s="81"/>
      <c r="BR5004" s="81"/>
      <c r="BS5004" s="81"/>
      <c r="BT5004" s="81"/>
    </row>
    <row r="5005" spans="65:72" x14ac:dyDescent="0.25">
      <c r="BM5005" s="81"/>
      <c r="BN5005" s="81"/>
      <c r="BO5005" s="81"/>
      <c r="BP5005" s="81"/>
      <c r="BQ5005" s="81"/>
      <c r="BR5005" s="81"/>
      <c r="BS5005" s="81"/>
      <c r="BT5005" s="81"/>
    </row>
    <row r="5006" spans="65:72" x14ac:dyDescent="0.25">
      <c r="BM5006" s="81"/>
      <c r="BN5006" s="81"/>
      <c r="BO5006" s="81"/>
      <c r="BP5006" s="81"/>
      <c r="BQ5006" s="81"/>
      <c r="BR5006" s="81"/>
      <c r="BS5006" s="81"/>
      <c r="BT5006" s="81"/>
    </row>
    <row r="5007" spans="65:72" x14ac:dyDescent="0.25">
      <c r="BM5007" s="81"/>
      <c r="BN5007" s="81"/>
      <c r="BO5007" s="81"/>
      <c r="BP5007" s="81"/>
      <c r="BQ5007" s="81"/>
      <c r="BR5007" s="81"/>
      <c r="BS5007" s="81"/>
      <c r="BT5007" s="81"/>
    </row>
    <row r="5008" spans="65:72" x14ac:dyDescent="0.25">
      <c r="BM5008" s="81"/>
      <c r="BN5008" s="81"/>
      <c r="BO5008" s="81"/>
      <c r="BP5008" s="81"/>
      <c r="BQ5008" s="81"/>
      <c r="BR5008" s="81"/>
      <c r="BS5008" s="81"/>
      <c r="BT5008" s="81"/>
    </row>
    <row r="5009" spans="65:72" x14ac:dyDescent="0.25">
      <c r="BM5009" s="81"/>
      <c r="BN5009" s="81"/>
      <c r="BO5009" s="81"/>
      <c r="BP5009" s="81"/>
      <c r="BQ5009" s="81"/>
      <c r="BR5009" s="81"/>
      <c r="BS5009" s="81"/>
      <c r="BT5009" s="81"/>
    </row>
    <row r="5010" spans="65:72" x14ac:dyDescent="0.25">
      <c r="BM5010" s="81"/>
      <c r="BN5010" s="81"/>
      <c r="BO5010" s="81"/>
      <c r="BP5010" s="81"/>
      <c r="BQ5010" s="81"/>
      <c r="BR5010" s="81"/>
      <c r="BS5010" s="81"/>
      <c r="BT5010" s="81"/>
    </row>
    <row r="5011" spans="65:72" x14ac:dyDescent="0.25">
      <c r="BM5011" s="81"/>
      <c r="BN5011" s="81"/>
      <c r="BO5011" s="81"/>
      <c r="BP5011" s="81"/>
      <c r="BQ5011" s="81"/>
      <c r="BR5011" s="81"/>
      <c r="BS5011" s="81"/>
      <c r="BT5011" s="81"/>
    </row>
    <row r="5012" spans="65:72" x14ac:dyDescent="0.25">
      <c r="BM5012" s="81"/>
      <c r="BN5012" s="81"/>
      <c r="BO5012" s="81"/>
      <c r="BP5012" s="81"/>
      <c r="BQ5012" s="81"/>
      <c r="BR5012" s="81"/>
      <c r="BS5012" s="81"/>
      <c r="BT5012" s="81"/>
    </row>
    <row r="5013" spans="65:72" x14ac:dyDescent="0.25">
      <c r="BM5013" s="81"/>
      <c r="BN5013" s="81"/>
      <c r="BO5013" s="81"/>
      <c r="BP5013" s="81"/>
      <c r="BQ5013" s="81"/>
      <c r="BR5013" s="81"/>
      <c r="BS5013" s="81"/>
      <c r="BT5013" s="81"/>
    </row>
    <row r="5014" spans="65:72" x14ac:dyDescent="0.25">
      <c r="BM5014" s="81"/>
      <c r="BN5014" s="81"/>
      <c r="BO5014" s="81"/>
      <c r="BP5014" s="81"/>
      <c r="BQ5014" s="81"/>
      <c r="BR5014" s="81"/>
      <c r="BS5014" s="81"/>
      <c r="BT5014" s="81"/>
    </row>
    <row r="5015" spans="65:72" x14ac:dyDescent="0.25">
      <c r="BM5015" s="81"/>
      <c r="BN5015" s="81"/>
      <c r="BO5015" s="81"/>
      <c r="BP5015" s="81"/>
      <c r="BQ5015" s="81"/>
      <c r="BR5015" s="81"/>
      <c r="BS5015" s="81"/>
      <c r="BT5015" s="81"/>
    </row>
    <row r="5016" spans="65:72" x14ac:dyDescent="0.25">
      <c r="BM5016" s="81"/>
      <c r="BN5016" s="81"/>
      <c r="BO5016" s="81"/>
      <c r="BP5016" s="81"/>
      <c r="BQ5016" s="81"/>
      <c r="BR5016" s="81"/>
      <c r="BS5016" s="81"/>
      <c r="BT5016" s="81"/>
    </row>
    <row r="5017" spans="65:72" x14ac:dyDescent="0.25">
      <c r="BM5017" s="81"/>
      <c r="BN5017" s="81"/>
      <c r="BO5017" s="81"/>
      <c r="BP5017" s="81"/>
      <c r="BQ5017" s="81"/>
      <c r="BR5017" s="81"/>
      <c r="BS5017" s="81"/>
      <c r="BT5017" s="81"/>
    </row>
    <row r="5018" spans="65:72" x14ac:dyDescent="0.25">
      <c r="BM5018" s="81"/>
      <c r="BN5018" s="81"/>
      <c r="BO5018" s="81"/>
      <c r="BP5018" s="81"/>
      <c r="BQ5018" s="81"/>
      <c r="BR5018" s="81"/>
      <c r="BS5018" s="81"/>
      <c r="BT5018" s="81"/>
    </row>
    <row r="5019" spans="65:72" x14ac:dyDescent="0.25">
      <c r="BM5019" s="81"/>
      <c r="BN5019" s="81"/>
      <c r="BO5019" s="81"/>
      <c r="BP5019" s="81"/>
      <c r="BQ5019" s="81"/>
      <c r="BR5019" s="81"/>
      <c r="BS5019" s="81"/>
      <c r="BT5019" s="81"/>
    </row>
    <row r="5020" spans="65:72" x14ac:dyDescent="0.25">
      <c r="BM5020" s="81"/>
      <c r="BN5020" s="81"/>
      <c r="BO5020" s="81"/>
      <c r="BP5020" s="81"/>
      <c r="BQ5020" s="81"/>
      <c r="BR5020" s="81"/>
      <c r="BS5020" s="81"/>
      <c r="BT5020" s="81"/>
    </row>
    <row r="5021" spans="65:72" x14ac:dyDescent="0.25">
      <c r="BM5021" s="81"/>
      <c r="BN5021" s="81"/>
      <c r="BO5021" s="81"/>
      <c r="BP5021" s="81"/>
      <c r="BQ5021" s="81"/>
      <c r="BR5021" s="81"/>
      <c r="BS5021" s="81"/>
      <c r="BT5021" s="81"/>
    </row>
    <row r="5022" spans="65:72" x14ac:dyDescent="0.25">
      <c r="BM5022" s="81"/>
      <c r="BN5022" s="81"/>
      <c r="BO5022" s="81"/>
      <c r="BP5022" s="81"/>
      <c r="BQ5022" s="81"/>
      <c r="BR5022" s="81"/>
      <c r="BS5022" s="81"/>
      <c r="BT5022" s="81"/>
    </row>
    <row r="5023" spans="65:72" x14ac:dyDescent="0.25">
      <c r="BM5023" s="81"/>
      <c r="BN5023" s="81"/>
      <c r="BO5023" s="81"/>
      <c r="BP5023" s="81"/>
      <c r="BQ5023" s="81"/>
      <c r="BR5023" s="81"/>
      <c r="BS5023" s="81"/>
      <c r="BT5023" s="81"/>
    </row>
    <row r="5024" spans="65:72" x14ac:dyDescent="0.25">
      <c r="BM5024" s="81"/>
      <c r="BN5024" s="81"/>
      <c r="BO5024" s="81"/>
      <c r="BP5024" s="81"/>
      <c r="BQ5024" s="81"/>
      <c r="BR5024" s="81"/>
      <c r="BS5024" s="81"/>
      <c r="BT5024" s="81"/>
    </row>
    <row r="5025" spans="65:72" x14ac:dyDescent="0.25">
      <c r="BM5025" s="81"/>
      <c r="BN5025" s="81"/>
      <c r="BO5025" s="81"/>
      <c r="BP5025" s="81"/>
      <c r="BQ5025" s="81"/>
      <c r="BR5025" s="81"/>
      <c r="BS5025" s="81"/>
      <c r="BT5025" s="81"/>
    </row>
    <row r="5026" spans="65:72" x14ac:dyDescent="0.25">
      <c r="BM5026" s="81"/>
      <c r="BN5026" s="81"/>
      <c r="BO5026" s="81"/>
      <c r="BP5026" s="81"/>
      <c r="BQ5026" s="81"/>
      <c r="BR5026" s="81"/>
      <c r="BS5026" s="81"/>
      <c r="BT5026" s="81"/>
    </row>
    <row r="5027" spans="65:72" x14ac:dyDescent="0.25">
      <c r="BM5027" s="81"/>
      <c r="BN5027" s="81"/>
      <c r="BO5027" s="81"/>
      <c r="BP5027" s="81"/>
      <c r="BQ5027" s="81"/>
      <c r="BR5027" s="81"/>
      <c r="BS5027" s="81"/>
      <c r="BT5027" s="81"/>
    </row>
    <row r="5028" spans="65:72" x14ac:dyDescent="0.25">
      <c r="BM5028" s="81"/>
      <c r="BN5028" s="81"/>
      <c r="BO5028" s="81"/>
      <c r="BP5028" s="81"/>
      <c r="BQ5028" s="81"/>
      <c r="BR5028" s="81"/>
      <c r="BS5028" s="81"/>
      <c r="BT5028" s="81"/>
    </row>
    <row r="5029" spans="65:72" x14ac:dyDescent="0.25">
      <c r="BM5029" s="81"/>
      <c r="BN5029" s="81"/>
      <c r="BO5029" s="81"/>
      <c r="BP5029" s="81"/>
      <c r="BQ5029" s="81"/>
      <c r="BR5029" s="81"/>
      <c r="BS5029" s="81"/>
      <c r="BT5029" s="81"/>
    </row>
    <row r="5030" spans="65:72" x14ac:dyDescent="0.25">
      <c r="BM5030" s="81"/>
      <c r="BN5030" s="81"/>
      <c r="BO5030" s="81"/>
      <c r="BP5030" s="81"/>
      <c r="BQ5030" s="81"/>
      <c r="BR5030" s="81"/>
      <c r="BS5030" s="81"/>
      <c r="BT5030" s="81"/>
    </row>
    <row r="5031" spans="65:72" x14ac:dyDescent="0.25">
      <c r="BM5031" s="81"/>
      <c r="BN5031" s="81"/>
      <c r="BO5031" s="81"/>
      <c r="BP5031" s="81"/>
      <c r="BQ5031" s="81"/>
      <c r="BR5031" s="81"/>
      <c r="BS5031" s="81"/>
      <c r="BT5031" s="81"/>
    </row>
    <row r="5032" spans="65:72" x14ac:dyDescent="0.25">
      <c r="BM5032" s="81"/>
      <c r="BN5032" s="81"/>
      <c r="BO5032" s="81"/>
      <c r="BP5032" s="81"/>
      <c r="BQ5032" s="81"/>
      <c r="BR5032" s="81"/>
      <c r="BS5032" s="81"/>
      <c r="BT5032" s="81"/>
    </row>
    <row r="5033" spans="65:72" x14ac:dyDescent="0.25">
      <c r="BM5033" s="81"/>
      <c r="BN5033" s="81"/>
      <c r="BO5033" s="81"/>
      <c r="BP5033" s="81"/>
      <c r="BQ5033" s="81"/>
      <c r="BR5033" s="81"/>
      <c r="BS5033" s="81"/>
      <c r="BT5033" s="81"/>
    </row>
    <row r="5034" spans="65:72" x14ac:dyDescent="0.25">
      <c r="BM5034" s="81"/>
      <c r="BN5034" s="81"/>
      <c r="BO5034" s="81"/>
      <c r="BP5034" s="81"/>
      <c r="BQ5034" s="81"/>
      <c r="BR5034" s="81"/>
      <c r="BS5034" s="81"/>
      <c r="BT5034" s="81"/>
    </row>
    <row r="5035" spans="65:72" x14ac:dyDescent="0.25">
      <c r="BM5035" s="81"/>
      <c r="BN5035" s="81"/>
      <c r="BO5035" s="81"/>
      <c r="BP5035" s="81"/>
      <c r="BQ5035" s="81"/>
      <c r="BR5035" s="81"/>
      <c r="BS5035" s="81"/>
      <c r="BT5035" s="81"/>
    </row>
    <row r="5036" spans="65:72" x14ac:dyDescent="0.25">
      <c r="BM5036" s="81"/>
      <c r="BN5036" s="81"/>
      <c r="BO5036" s="81"/>
      <c r="BP5036" s="81"/>
      <c r="BQ5036" s="81"/>
      <c r="BR5036" s="81"/>
      <c r="BS5036" s="81"/>
      <c r="BT5036" s="81"/>
    </row>
    <row r="5037" spans="65:72" x14ac:dyDescent="0.25">
      <c r="BM5037" s="81"/>
      <c r="BN5037" s="81"/>
      <c r="BO5037" s="81"/>
      <c r="BP5037" s="81"/>
      <c r="BQ5037" s="81"/>
      <c r="BR5037" s="81"/>
      <c r="BS5037" s="81"/>
      <c r="BT5037" s="81"/>
    </row>
    <row r="5038" spans="65:72" x14ac:dyDescent="0.25">
      <c r="BM5038" s="81"/>
      <c r="BN5038" s="81"/>
      <c r="BO5038" s="81"/>
      <c r="BP5038" s="81"/>
      <c r="BQ5038" s="81"/>
      <c r="BR5038" s="81"/>
      <c r="BS5038" s="81"/>
      <c r="BT5038" s="81"/>
    </row>
    <row r="5039" spans="65:72" x14ac:dyDescent="0.25">
      <c r="BM5039" s="81"/>
      <c r="BN5039" s="81"/>
      <c r="BO5039" s="81"/>
      <c r="BP5039" s="81"/>
      <c r="BQ5039" s="81"/>
      <c r="BR5039" s="81"/>
      <c r="BS5039" s="81"/>
      <c r="BT5039" s="81"/>
    </row>
    <row r="5040" spans="65:72" x14ac:dyDescent="0.25">
      <c r="BM5040" s="81"/>
      <c r="BN5040" s="81"/>
      <c r="BO5040" s="81"/>
      <c r="BP5040" s="81"/>
      <c r="BQ5040" s="81"/>
      <c r="BR5040" s="81"/>
      <c r="BS5040" s="81"/>
      <c r="BT5040" s="81"/>
    </row>
    <row r="5041" spans="65:72" x14ac:dyDescent="0.25">
      <c r="BM5041" s="81"/>
      <c r="BN5041" s="81"/>
      <c r="BO5041" s="81"/>
      <c r="BP5041" s="81"/>
      <c r="BQ5041" s="81"/>
      <c r="BR5041" s="81"/>
      <c r="BS5041" s="81"/>
      <c r="BT5041" s="81"/>
    </row>
    <row r="5042" spans="65:72" x14ac:dyDescent="0.25">
      <c r="BM5042" s="81"/>
      <c r="BN5042" s="81"/>
      <c r="BO5042" s="81"/>
      <c r="BP5042" s="81"/>
      <c r="BQ5042" s="81"/>
      <c r="BR5042" s="81"/>
      <c r="BS5042" s="81"/>
      <c r="BT5042" s="81"/>
    </row>
    <row r="5043" spans="65:72" x14ac:dyDescent="0.25">
      <c r="BM5043" s="81"/>
      <c r="BN5043" s="81"/>
      <c r="BO5043" s="81"/>
      <c r="BP5043" s="81"/>
      <c r="BQ5043" s="81"/>
      <c r="BR5043" s="81"/>
      <c r="BS5043" s="81"/>
      <c r="BT5043" s="81"/>
    </row>
    <row r="5044" spans="65:72" x14ac:dyDescent="0.25">
      <c r="BM5044" s="81"/>
      <c r="BN5044" s="81"/>
      <c r="BO5044" s="81"/>
      <c r="BP5044" s="81"/>
      <c r="BQ5044" s="81"/>
      <c r="BR5044" s="81"/>
      <c r="BS5044" s="81"/>
      <c r="BT5044" s="81"/>
    </row>
    <row r="5045" spans="65:72" x14ac:dyDescent="0.25">
      <c r="BM5045" s="81"/>
      <c r="BN5045" s="81"/>
      <c r="BO5045" s="81"/>
      <c r="BP5045" s="81"/>
      <c r="BQ5045" s="81"/>
      <c r="BR5045" s="81"/>
      <c r="BS5045" s="81"/>
      <c r="BT5045" s="81"/>
    </row>
    <row r="5046" spans="65:72" x14ac:dyDescent="0.25">
      <c r="BM5046" s="81"/>
      <c r="BN5046" s="81"/>
      <c r="BO5046" s="81"/>
      <c r="BP5046" s="81"/>
      <c r="BQ5046" s="81"/>
      <c r="BR5046" s="81"/>
      <c r="BS5046" s="81"/>
      <c r="BT5046" s="81"/>
    </row>
    <row r="5047" spans="65:72" x14ac:dyDescent="0.25">
      <c r="BM5047" s="81"/>
      <c r="BN5047" s="81"/>
      <c r="BO5047" s="81"/>
      <c r="BP5047" s="81"/>
      <c r="BQ5047" s="81"/>
      <c r="BR5047" s="81"/>
      <c r="BS5047" s="81"/>
      <c r="BT5047" s="81"/>
    </row>
    <row r="5048" spans="65:72" x14ac:dyDescent="0.25">
      <c r="BM5048" s="81"/>
      <c r="BN5048" s="81"/>
      <c r="BO5048" s="81"/>
      <c r="BP5048" s="81"/>
      <c r="BQ5048" s="81"/>
      <c r="BR5048" s="81"/>
      <c r="BS5048" s="81"/>
      <c r="BT5048" s="81"/>
    </row>
    <row r="5049" spans="65:72" x14ac:dyDescent="0.25">
      <c r="BM5049" s="81"/>
      <c r="BN5049" s="81"/>
      <c r="BO5049" s="81"/>
      <c r="BP5049" s="81"/>
      <c r="BQ5049" s="81"/>
      <c r="BR5049" s="81"/>
      <c r="BS5049" s="81"/>
      <c r="BT5049" s="81"/>
    </row>
    <row r="5050" spans="65:72" x14ac:dyDescent="0.25">
      <c r="BM5050" s="81"/>
      <c r="BN5050" s="81"/>
      <c r="BO5050" s="81"/>
      <c r="BP5050" s="81"/>
      <c r="BQ5050" s="81"/>
      <c r="BR5050" s="81"/>
      <c r="BS5050" s="81"/>
      <c r="BT5050" s="81"/>
    </row>
    <row r="5051" spans="65:72" x14ac:dyDescent="0.25">
      <c r="BM5051" s="81"/>
      <c r="BN5051" s="81"/>
      <c r="BO5051" s="81"/>
      <c r="BP5051" s="81"/>
      <c r="BQ5051" s="81"/>
      <c r="BR5051" s="81"/>
      <c r="BS5051" s="81"/>
      <c r="BT5051" s="81"/>
    </row>
    <row r="5052" spans="65:72" x14ac:dyDescent="0.25">
      <c r="BM5052" s="81"/>
      <c r="BN5052" s="81"/>
      <c r="BO5052" s="81"/>
      <c r="BP5052" s="81"/>
      <c r="BQ5052" s="81"/>
      <c r="BR5052" s="81"/>
      <c r="BS5052" s="81"/>
      <c r="BT5052" s="81"/>
    </row>
    <row r="5053" spans="65:72" x14ac:dyDescent="0.25">
      <c r="BM5053" s="81"/>
      <c r="BN5053" s="81"/>
      <c r="BO5053" s="81"/>
      <c r="BP5053" s="81"/>
      <c r="BQ5053" s="81"/>
      <c r="BR5053" s="81"/>
      <c r="BS5053" s="81"/>
      <c r="BT5053" s="81"/>
    </row>
    <row r="5054" spans="65:72" x14ac:dyDescent="0.25">
      <c r="BM5054" s="81"/>
      <c r="BN5054" s="81"/>
      <c r="BO5054" s="81"/>
      <c r="BP5054" s="81"/>
      <c r="BQ5054" s="81"/>
      <c r="BR5054" s="81"/>
      <c r="BS5054" s="81"/>
      <c r="BT5054" s="81"/>
    </row>
    <row r="5055" spans="65:72" x14ac:dyDescent="0.25">
      <c r="BM5055" s="81"/>
      <c r="BN5055" s="81"/>
      <c r="BO5055" s="81"/>
      <c r="BP5055" s="81"/>
      <c r="BQ5055" s="81"/>
      <c r="BR5055" s="81"/>
      <c r="BS5055" s="81"/>
      <c r="BT5055" s="81"/>
    </row>
    <row r="5056" spans="65:72" x14ac:dyDescent="0.25">
      <c r="BM5056" s="81"/>
      <c r="BN5056" s="81"/>
      <c r="BO5056" s="81"/>
      <c r="BP5056" s="81"/>
      <c r="BQ5056" s="81"/>
      <c r="BR5056" s="81"/>
      <c r="BS5056" s="81"/>
      <c r="BT5056" s="81"/>
    </row>
    <row r="5057" spans="65:72" x14ac:dyDescent="0.25">
      <c r="BM5057" s="81"/>
      <c r="BN5057" s="81"/>
      <c r="BO5057" s="81"/>
      <c r="BP5057" s="81"/>
      <c r="BQ5057" s="81"/>
      <c r="BR5057" s="81"/>
      <c r="BS5057" s="81"/>
      <c r="BT5057" s="81"/>
    </row>
    <row r="5058" spans="65:72" x14ac:dyDescent="0.25">
      <c r="BM5058" s="81"/>
      <c r="BN5058" s="81"/>
      <c r="BO5058" s="81"/>
      <c r="BP5058" s="81"/>
      <c r="BQ5058" s="81"/>
      <c r="BR5058" s="81"/>
      <c r="BS5058" s="81"/>
      <c r="BT5058" s="81"/>
    </row>
    <row r="5059" spans="65:72" x14ac:dyDescent="0.25">
      <c r="BM5059" s="81"/>
      <c r="BN5059" s="81"/>
      <c r="BO5059" s="81"/>
      <c r="BP5059" s="81"/>
      <c r="BQ5059" s="81"/>
      <c r="BR5059" s="81"/>
      <c r="BS5059" s="81"/>
      <c r="BT5059" s="81"/>
    </row>
    <row r="5060" spans="65:72" x14ac:dyDescent="0.25">
      <c r="BM5060" s="81"/>
      <c r="BN5060" s="81"/>
      <c r="BO5060" s="81"/>
      <c r="BP5060" s="81"/>
      <c r="BQ5060" s="81"/>
      <c r="BR5060" s="81"/>
      <c r="BS5060" s="81"/>
      <c r="BT5060" s="81"/>
    </row>
    <row r="5061" spans="65:72" x14ac:dyDescent="0.25">
      <c r="BM5061" s="81"/>
      <c r="BN5061" s="81"/>
      <c r="BO5061" s="81"/>
      <c r="BP5061" s="81"/>
      <c r="BQ5061" s="81"/>
      <c r="BR5061" s="81"/>
      <c r="BS5061" s="81"/>
      <c r="BT5061" s="81"/>
    </row>
    <row r="5062" spans="65:72" x14ac:dyDescent="0.25">
      <c r="BM5062" s="81"/>
      <c r="BN5062" s="81"/>
      <c r="BO5062" s="81"/>
      <c r="BP5062" s="81"/>
      <c r="BQ5062" s="81"/>
      <c r="BR5062" s="81"/>
      <c r="BS5062" s="81"/>
      <c r="BT5062" s="81"/>
    </row>
    <row r="5063" spans="65:72" x14ac:dyDescent="0.25">
      <c r="BM5063" s="81"/>
      <c r="BN5063" s="81"/>
      <c r="BO5063" s="81"/>
      <c r="BP5063" s="81"/>
      <c r="BQ5063" s="81"/>
      <c r="BR5063" s="81"/>
      <c r="BS5063" s="81"/>
      <c r="BT5063" s="81"/>
    </row>
    <row r="5064" spans="65:72" x14ac:dyDescent="0.25">
      <c r="BM5064" s="81"/>
      <c r="BN5064" s="81"/>
      <c r="BO5064" s="81"/>
      <c r="BP5064" s="81"/>
      <c r="BQ5064" s="81"/>
      <c r="BR5064" s="81"/>
      <c r="BS5064" s="81"/>
      <c r="BT5064" s="81"/>
    </row>
    <row r="5065" spans="65:72" x14ac:dyDescent="0.25">
      <c r="BM5065" s="81"/>
      <c r="BN5065" s="81"/>
      <c r="BO5065" s="81"/>
      <c r="BP5065" s="81"/>
      <c r="BQ5065" s="81"/>
      <c r="BR5065" s="81"/>
      <c r="BS5065" s="81"/>
      <c r="BT5065" s="81"/>
    </row>
    <row r="5066" spans="65:72" x14ac:dyDescent="0.25">
      <c r="BM5066" s="81"/>
      <c r="BN5066" s="81"/>
      <c r="BO5066" s="81"/>
      <c r="BP5066" s="81"/>
      <c r="BQ5066" s="81"/>
      <c r="BR5066" s="81"/>
      <c r="BS5066" s="81"/>
      <c r="BT5066" s="81"/>
    </row>
    <row r="5067" spans="65:72" x14ac:dyDescent="0.25">
      <c r="BM5067" s="81"/>
      <c r="BN5067" s="81"/>
      <c r="BO5067" s="81"/>
      <c r="BP5067" s="81"/>
      <c r="BQ5067" s="81"/>
      <c r="BR5067" s="81"/>
      <c r="BS5067" s="81"/>
      <c r="BT5067" s="81"/>
    </row>
    <row r="5068" spans="65:72" x14ac:dyDescent="0.25">
      <c r="BM5068" s="81"/>
      <c r="BN5068" s="81"/>
      <c r="BO5068" s="81"/>
      <c r="BP5068" s="81"/>
      <c r="BQ5068" s="81"/>
      <c r="BR5068" s="81"/>
      <c r="BS5068" s="81"/>
      <c r="BT5068" s="81"/>
    </row>
    <row r="5069" spans="65:72" x14ac:dyDescent="0.25">
      <c r="BM5069" s="81"/>
      <c r="BN5069" s="81"/>
      <c r="BO5069" s="81"/>
      <c r="BP5069" s="81"/>
      <c r="BQ5069" s="81"/>
      <c r="BR5069" s="81"/>
      <c r="BS5069" s="81"/>
      <c r="BT5069" s="81"/>
    </row>
    <row r="5070" spans="65:72" x14ac:dyDescent="0.25">
      <c r="BM5070" s="81"/>
      <c r="BN5070" s="81"/>
      <c r="BO5070" s="81"/>
      <c r="BP5070" s="81"/>
      <c r="BQ5070" s="81"/>
      <c r="BR5070" s="81"/>
      <c r="BS5070" s="81"/>
      <c r="BT5070" s="81"/>
    </row>
    <row r="5071" spans="65:72" x14ac:dyDescent="0.25">
      <c r="BM5071" s="81"/>
      <c r="BN5071" s="81"/>
      <c r="BO5071" s="81"/>
      <c r="BP5071" s="81"/>
      <c r="BQ5071" s="81"/>
      <c r="BR5071" s="81"/>
      <c r="BS5071" s="81"/>
      <c r="BT5071" s="81"/>
    </row>
    <row r="5072" spans="65:72" x14ac:dyDescent="0.25">
      <c r="BM5072" s="81"/>
      <c r="BN5072" s="81"/>
      <c r="BO5072" s="81"/>
      <c r="BP5072" s="81"/>
      <c r="BQ5072" s="81"/>
      <c r="BR5072" s="81"/>
      <c r="BS5072" s="81"/>
      <c r="BT5072" s="81"/>
    </row>
    <row r="5073" spans="65:72" x14ac:dyDescent="0.25">
      <c r="BM5073" s="81"/>
      <c r="BN5073" s="81"/>
      <c r="BO5073" s="81"/>
      <c r="BP5073" s="81"/>
      <c r="BQ5073" s="81"/>
      <c r="BR5073" s="81"/>
      <c r="BS5073" s="81"/>
      <c r="BT5073" s="81"/>
    </row>
    <row r="5074" spans="65:72" x14ac:dyDescent="0.25">
      <c r="BM5074" s="81"/>
      <c r="BN5074" s="81"/>
      <c r="BO5074" s="81"/>
      <c r="BP5074" s="81"/>
      <c r="BQ5074" s="81"/>
      <c r="BR5074" s="81"/>
      <c r="BS5074" s="81"/>
      <c r="BT5074" s="81"/>
    </row>
    <row r="5075" spans="65:72" x14ac:dyDescent="0.25">
      <c r="BM5075" s="81"/>
      <c r="BN5075" s="81"/>
      <c r="BO5075" s="81"/>
      <c r="BP5075" s="81"/>
      <c r="BQ5075" s="81"/>
      <c r="BR5075" s="81"/>
      <c r="BS5075" s="81"/>
      <c r="BT5075" s="81"/>
    </row>
    <row r="5076" spans="65:72" x14ac:dyDescent="0.25">
      <c r="BM5076" s="81"/>
      <c r="BN5076" s="81"/>
      <c r="BO5076" s="81"/>
      <c r="BP5076" s="81"/>
      <c r="BQ5076" s="81"/>
      <c r="BR5076" s="81"/>
      <c r="BS5076" s="81"/>
      <c r="BT5076" s="81"/>
    </row>
    <row r="5077" spans="65:72" x14ac:dyDescent="0.25">
      <c r="BM5077" s="81"/>
      <c r="BN5077" s="81"/>
      <c r="BO5077" s="81"/>
      <c r="BP5077" s="81"/>
      <c r="BQ5077" s="81"/>
      <c r="BR5077" s="81"/>
      <c r="BS5077" s="81"/>
      <c r="BT5077" s="81"/>
    </row>
    <row r="5078" spans="65:72" x14ac:dyDescent="0.25">
      <c r="BM5078" s="81"/>
      <c r="BN5078" s="81"/>
      <c r="BO5078" s="81"/>
      <c r="BP5078" s="81"/>
      <c r="BQ5078" s="81"/>
      <c r="BR5078" s="81"/>
      <c r="BS5078" s="81"/>
      <c r="BT5078" s="81"/>
    </row>
    <row r="5079" spans="65:72" x14ac:dyDescent="0.25">
      <c r="BM5079" s="81"/>
      <c r="BN5079" s="81"/>
      <c r="BO5079" s="81"/>
      <c r="BP5079" s="81"/>
      <c r="BQ5079" s="81"/>
      <c r="BR5079" s="81"/>
      <c r="BS5079" s="81"/>
      <c r="BT5079" s="81"/>
    </row>
    <row r="5080" spans="65:72" x14ac:dyDescent="0.25">
      <c r="BM5080" s="81"/>
      <c r="BN5080" s="81"/>
      <c r="BO5080" s="81"/>
      <c r="BP5080" s="81"/>
      <c r="BQ5080" s="81"/>
      <c r="BR5080" s="81"/>
      <c r="BS5080" s="81"/>
      <c r="BT5080" s="81"/>
    </row>
    <row r="5081" spans="65:72" x14ac:dyDescent="0.25">
      <c r="BM5081" s="81"/>
      <c r="BN5081" s="81"/>
      <c r="BO5081" s="81"/>
      <c r="BP5081" s="81"/>
      <c r="BQ5081" s="81"/>
      <c r="BR5081" s="81"/>
      <c r="BS5081" s="81"/>
      <c r="BT5081" s="81"/>
    </row>
    <row r="5082" spans="65:72" x14ac:dyDescent="0.25">
      <c r="BM5082" s="81"/>
      <c r="BN5082" s="81"/>
      <c r="BO5082" s="81"/>
      <c r="BP5082" s="81"/>
      <c r="BQ5082" s="81"/>
      <c r="BR5082" s="81"/>
      <c r="BS5082" s="81"/>
      <c r="BT5082" s="81"/>
    </row>
    <row r="5083" spans="65:72" x14ac:dyDescent="0.25">
      <c r="BM5083" s="81"/>
      <c r="BN5083" s="81"/>
      <c r="BO5083" s="81"/>
      <c r="BP5083" s="81"/>
      <c r="BQ5083" s="81"/>
      <c r="BR5083" s="81"/>
      <c r="BS5083" s="81"/>
      <c r="BT5083" s="81"/>
    </row>
    <row r="5084" spans="65:72" x14ac:dyDescent="0.25">
      <c r="BM5084" s="81"/>
      <c r="BN5084" s="81"/>
      <c r="BO5084" s="81"/>
      <c r="BP5084" s="81"/>
      <c r="BQ5084" s="81"/>
      <c r="BR5084" s="81"/>
      <c r="BS5084" s="81"/>
      <c r="BT5084" s="81"/>
    </row>
    <row r="5085" spans="65:72" x14ac:dyDescent="0.25">
      <c r="BM5085" s="81"/>
      <c r="BN5085" s="81"/>
      <c r="BO5085" s="81"/>
      <c r="BP5085" s="81"/>
      <c r="BQ5085" s="81"/>
      <c r="BR5085" s="81"/>
      <c r="BS5085" s="81"/>
      <c r="BT5085" s="81"/>
    </row>
    <row r="5086" spans="65:72" x14ac:dyDescent="0.25">
      <c r="BM5086" s="81"/>
      <c r="BN5086" s="81"/>
      <c r="BO5086" s="81"/>
      <c r="BP5086" s="81"/>
      <c r="BQ5086" s="81"/>
      <c r="BR5086" s="81"/>
      <c r="BS5086" s="81"/>
      <c r="BT5086" s="81"/>
    </row>
    <row r="5087" spans="65:72" x14ac:dyDescent="0.25">
      <c r="BM5087" s="81"/>
      <c r="BN5087" s="81"/>
      <c r="BO5087" s="81"/>
      <c r="BP5087" s="81"/>
      <c r="BQ5087" s="81"/>
      <c r="BR5087" s="81"/>
      <c r="BS5087" s="81"/>
      <c r="BT5087" s="81"/>
    </row>
    <row r="5088" spans="65:72" x14ac:dyDescent="0.25">
      <c r="BM5088" s="81"/>
      <c r="BN5088" s="81"/>
      <c r="BO5088" s="81"/>
      <c r="BP5088" s="81"/>
      <c r="BQ5088" s="81"/>
      <c r="BR5088" s="81"/>
      <c r="BS5088" s="81"/>
      <c r="BT5088" s="81"/>
    </row>
    <row r="5089" spans="65:72" x14ac:dyDescent="0.25">
      <c r="BM5089" s="81"/>
      <c r="BN5089" s="81"/>
      <c r="BO5089" s="81"/>
      <c r="BP5089" s="81"/>
      <c r="BQ5089" s="81"/>
      <c r="BR5089" s="81"/>
      <c r="BS5089" s="81"/>
      <c r="BT5089" s="81"/>
    </row>
    <row r="5090" spans="65:72" x14ac:dyDescent="0.25">
      <c r="BM5090" s="81"/>
      <c r="BN5090" s="81"/>
      <c r="BO5090" s="81"/>
      <c r="BP5090" s="81"/>
      <c r="BQ5090" s="81"/>
      <c r="BR5090" s="81"/>
      <c r="BS5090" s="81"/>
      <c r="BT5090" s="81"/>
    </row>
    <row r="5091" spans="65:72" x14ac:dyDescent="0.25">
      <c r="BM5091" s="81"/>
      <c r="BN5091" s="81"/>
      <c r="BO5091" s="81"/>
      <c r="BP5091" s="81"/>
      <c r="BQ5091" s="81"/>
      <c r="BR5091" s="81"/>
      <c r="BS5091" s="81"/>
      <c r="BT5091" s="81"/>
    </row>
    <row r="5092" spans="65:72" x14ac:dyDescent="0.25">
      <c r="BM5092" s="81"/>
      <c r="BN5092" s="81"/>
      <c r="BO5092" s="81"/>
      <c r="BP5092" s="81"/>
      <c r="BQ5092" s="81"/>
      <c r="BR5092" s="81"/>
      <c r="BS5092" s="81"/>
      <c r="BT5092" s="81"/>
    </row>
    <row r="5093" spans="65:72" x14ac:dyDescent="0.25">
      <c r="BM5093" s="81"/>
      <c r="BN5093" s="81"/>
      <c r="BO5093" s="81"/>
      <c r="BP5093" s="81"/>
      <c r="BQ5093" s="81"/>
      <c r="BR5093" s="81"/>
      <c r="BS5093" s="81"/>
      <c r="BT5093" s="81"/>
    </row>
    <row r="5094" spans="65:72" x14ac:dyDescent="0.25">
      <c r="BM5094" s="81"/>
      <c r="BN5094" s="81"/>
      <c r="BO5094" s="81"/>
      <c r="BP5094" s="81"/>
      <c r="BQ5094" s="81"/>
      <c r="BR5094" s="81"/>
      <c r="BS5094" s="81"/>
      <c r="BT5094" s="81"/>
    </row>
    <row r="5095" spans="65:72" x14ac:dyDescent="0.25">
      <c r="BM5095" s="81"/>
      <c r="BN5095" s="81"/>
      <c r="BO5095" s="81"/>
      <c r="BP5095" s="81"/>
      <c r="BQ5095" s="81"/>
      <c r="BR5095" s="81"/>
      <c r="BS5095" s="81"/>
      <c r="BT5095" s="81"/>
    </row>
    <row r="5096" spans="65:72" x14ac:dyDescent="0.25">
      <c r="BM5096" s="81"/>
      <c r="BN5096" s="81"/>
      <c r="BO5096" s="81"/>
      <c r="BP5096" s="81"/>
      <c r="BQ5096" s="81"/>
      <c r="BR5096" s="81"/>
      <c r="BS5096" s="81"/>
      <c r="BT5096" s="81"/>
    </row>
    <row r="5097" spans="65:72" x14ac:dyDescent="0.25">
      <c r="BM5097" s="81"/>
      <c r="BN5097" s="81"/>
      <c r="BO5097" s="81"/>
      <c r="BP5097" s="81"/>
      <c r="BQ5097" s="81"/>
      <c r="BR5097" s="81"/>
      <c r="BS5097" s="81"/>
      <c r="BT5097" s="81"/>
    </row>
    <row r="5098" spans="65:72" x14ac:dyDescent="0.25">
      <c r="BM5098" s="81"/>
      <c r="BN5098" s="81"/>
      <c r="BO5098" s="81"/>
      <c r="BP5098" s="81"/>
      <c r="BQ5098" s="81"/>
      <c r="BR5098" s="81"/>
      <c r="BS5098" s="81"/>
      <c r="BT5098" s="81"/>
    </row>
    <row r="5099" spans="65:72" x14ac:dyDescent="0.25">
      <c r="BM5099" s="81"/>
      <c r="BN5099" s="81"/>
      <c r="BO5099" s="81"/>
      <c r="BP5099" s="81"/>
      <c r="BQ5099" s="81"/>
      <c r="BR5099" s="81"/>
      <c r="BS5099" s="81"/>
      <c r="BT5099" s="81"/>
    </row>
    <row r="5100" spans="65:72" x14ac:dyDescent="0.25">
      <c r="BM5100" s="81"/>
      <c r="BN5100" s="81"/>
      <c r="BO5100" s="81"/>
      <c r="BP5100" s="81"/>
      <c r="BQ5100" s="81"/>
      <c r="BR5100" s="81"/>
      <c r="BS5100" s="81"/>
      <c r="BT5100" s="81"/>
    </row>
    <row r="5101" spans="65:72" x14ac:dyDescent="0.25">
      <c r="BM5101" s="81"/>
      <c r="BN5101" s="81"/>
      <c r="BO5101" s="81"/>
      <c r="BP5101" s="81"/>
      <c r="BQ5101" s="81"/>
      <c r="BR5101" s="81"/>
      <c r="BS5101" s="81"/>
      <c r="BT5101" s="81"/>
    </row>
    <row r="5102" spans="65:72" x14ac:dyDescent="0.25">
      <c r="BM5102" s="81"/>
      <c r="BN5102" s="81"/>
      <c r="BO5102" s="81"/>
      <c r="BP5102" s="81"/>
      <c r="BQ5102" s="81"/>
      <c r="BR5102" s="81"/>
      <c r="BS5102" s="81"/>
      <c r="BT5102" s="81"/>
    </row>
    <row r="5103" spans="65:72" x14ac:dyDescent="0.25">
      <c r="BM5103" s="81"/>
      <c r="BN5103" s="81"/>
      <c r="BO5103" s="81"/>
      <c r="BP5103" s="81"/>
      <c r="BQ5103" s="81"/>
      <c r="BR5103" s="81"/>
      <c r="BS5103" s="81"/>
      <c r="BT5103" s="81"/>
    </row>
    <row r="5104" spans="65:72" x14ac:dyDescent="0.25">
      <c r="BM5104" s="81"/>
      <c r="BN5104" s="81"/>
      <c r="BO5104" s="81"/>
      <c r="BP5104" s="81"/>
      <c r="BQ5104" s="81"/>
      <c r="BR5104" s="81"/>
      <c r="BS5104" s="81"/>
      <c r="BT5104" s="81"/>
    </row>
    <row r="5105" spans="65:72" x14ac:dyDescent="0.25">
      <c r="BM5105" s="81"/>
      <c r="BN5105" s="81"/>
      <c r="BO5105" s="81"/>
      <c r="BP5105" s="81"/>
      <c r="BQ5105" s="81"/>
      <c r="BR5105" s="81"/>
      <c r="BS5105" s="81"/>
      <c r="BT5105" s="81"/>
    </row>
    <row r="5106" spans="65:72" x14ac:dyDescent="0.25">
      <c r="BM5106" s="81"/>
      <c r="BN5106" s="81"/>
      <c r="BO5106" s="81"/>
      <c r="BP5106" s="81"/>
      <c r="BQ5106" s="81"/>
      <c r="BR5106" s="81"/>
      <c r="BS5106" s="81"/>
      <c r="BT5106" s="81"/>
    </row>
    <row r="5107" spans="65:72" x14ac:dyDescent="0.25">
      <c r="BM5107" s="81"/>
      <c r="BN5107" s="81"/>
      <c r="BO5107" s="81"/>
      <c r="BP5107" s="81"/>
      <c r="BQ5107" s="81"/>
      <c r="BR5107" s="81"/>
      <c r="BS5107" s="81"/>
      <c r="BT5107" s="81"/>
    </row>
    <row r="5108" spans="65:72" x14ac:dyDescent="0.25">
      <c r="BM5108" s="81"/>
      <c r="BN5108" s="81"/>
      <c r="BO5108" s="81"/>
      <c r="BP5108" s="81"/>
      <c r="BQ5108" s="81"/>
      <c r="BR5108" s="81"/>
      <c r="BS5108" s="81"/>
      <c r="BT5108" s="81"/>
    </row>
    <row r="5109" spans="65:72" x14ac:dyDescent="0.25">
      <c r="BM5109" s="81"/>
      <c r="BN5109" s="81"/>
      <c r="BO5109" s="81"/>
      <c r="BP5109" s="81"/>
      <c r="BQ5109" s="81"/>
      <c r="BR5109" s="81"/>
      <c r="BS5109" s="81"/>
      <c r="BT5109" s="81"/>
    </row>
    <row r="5110" spans="65:72" x14ac:dyDescent="0.25">
      <c r="BM5110" s="81"/>
      <c r="BN5110" s="81"/>
      <c r="BO5110" s="81"/>
      <c r="BP5110" s="81"/>
      <c r="BQ5110" s="81"/>
      <c r="BR5110" s="81"/>
      <c r="BS5110" s="81"/>
      <c r="BT5110" s="81"/>
    </row>
    <row r="5111" spans="65:72" x14ac:dyDescent="0.25">
      <c r="BM5111" s="81"/>
      <c r="BN5111" s="81"/>
      <c r="BO5111" s="81"/>
      <c r="BP5111" s="81"/>
      <c r="BQ5111" s="81"/>
      <c r="BR5111" s="81"/>
      <c r="BS5111" s="81"/>
      <c r="BT5111" s="81"/>
    </row>
    <row r="5112" spans="65:72" x14ac:dyDescent="0.25">
      <c r="BM5112" s="81"/>
      <c r="BN5112" s="81"/>
      <c r="BO5112" s="81"/>
      <c r="BP5112" s="81"/>
      <c r="BQ5112" s="81"/>
      <c r="BR5112" s="81"/>
      <c r="BS5112" s="81"/>
      <c r="BT5112" s="81"/>
    </row>
    <row r="5113" spans="65:72" x14ac:dyDescent="0.25">
      <c r="BM5113" s="81"/>
      <c r="BN5113" s="81"/>
      <c r="BO5113" s="81"/>
      <c r="BP5113" s="81"/>
      <c r="BQ5113" s="81"/>
      <c r="BR5113" s="81"/>
      <c r="BS5113" s="81"/>
      <c r="BT5113" s="81"/>
    </row>
    <row r="5114" spans="65:72" x14ac:dyDescent="0.25">
      <c r="BM5114" s="81"/>
      <c r="BN5114" s="81"/>
      <c r="BO5114" s="81"/>
      <c r="BP5114" s="81"/>
      <c r="BQ5114" s="81"/>
      <c r="BR5114" s="81"/>
      <c r="BS5114" s="81"/>
      <c r="BT5114" s="81"/>
    </row>
    <row r="5115" spans="65:72" x14ac:dyDescent="0.25">
      <c r="BM5115" s="81"/>
      <c r="BN5115" s="81"/>
      <c r="BO5115" s="81"/>
      <c r="BP5115" s="81"/>
      <c r="BQ5115" s="81"/>
      <c r="BR5115" s="81"/>
      <c r="BS5115" s="81"/>
      <c r="BT5115" s="81"/>
    </row>
    <row r="5116" spans="65:72" x14ac:dyDescent="0.25">
      <c r="BM5116" s="81"/>
      <c r="BN5116" s="81"/>
      <c r="BO5116" s="81"/>
      <c r="BP5116" s="81"/>
      <c r="BQ5116" s="81"/>
      <c r="BR5116" s="81"/>
      <c r="BS5116" s="81"/>
      <c r="BT5116" s="81"/>
    </row>
    <row r="5117" spans="65:72" x14ac:dyDescent="0.25">
      <c r="BM5117" s="81"/>
      <c r="BN5117" s="81"/>
      <c r="BO5117" s="81"/>
      <c r="BP5117" s="81"/>
      <c r="BQ5117" s="81"/>
      <c r="BR5117" s="81"/>
      <c r="BS5117" s="81"/>
      <c r="BT5117" s="81"/>
    </row>
    <row r="5118" spans="65:72" x14ac:dyDescent="0.25">
      <c r="BM5118" s="81"/>
      <c r="BN5118" s="81"/>
      <c r="BO5118" s="81"/>
      <c r="BP5118" s="81"/>
      <c r="BQ5118" s="81"/>
      <c r="BR5118" s="81"/>
      <c r="BS5118" s="81"/>
      <c r="BT5118" s="81"/>
    </row>
    <row r="5119" spans="65:72" x14ac:dyDescent="0.25">
      <c r="BM5119" s="81"/>
      <c r="BN5119" s="81"/>
      <c r="BO5119" s="81"/>
      <c r="BP5119" s="81"/>
      <c r="BQ5119" s="81"/>
      <c r="BR5119" s="81"/>
      <c r="BS5119" s="81"/>
      <c r="BT5119" s="81"/>
    </row>
    <row r="5120" spans="65:72" x14ac:dyDescent="0.25">
      <c r="BM5120" s="81"/>
      <c r="BN5120" s="81"/>
      <c r="BO5120" s="81"/>
      <c r="BP5120" s="81"/>
      <c r="BQ5120" s="81"/>
      <c r="BR5120" s="81"/>
      <c r="BS5120" s="81"/>
      <c r="BT5120" s="81"/>
    </row>
    <row r="5121" spans="65:72" x14ac:dyDescent="0.25">
      <c r="BM5121" s="81"/>
      <c r="BN5121" s="81"/>
      <c r="BO5121" s="81"/>
      <c r="BP5121" s="81"/>
      <c r="BQ5121" s="81"/>
      <c r="BR5121" s="81"/>
      <c r="BS5121" s="81"/>
      <c r="BT5121" s="81"/>
    </row>
    <row r="5122" spans="65:72" x14ac:dyDescent="0.25">
      <c r="BM5122" s="81"/>
      <c r="BN5122" s="81"/>
      <c r="BO5122" s="81"/>
      <c r="BP5122" s="81"/>
      <c r="BQ5122" s="81"/>
      <c r="BR5122" s="81"/>
      <c r="BS5122" s="81"/>
      <c r="BT5122" s="81"/>
    </row>
    <row r="5123" spans="65:72" x14ac:dyDescent="0.25">
      <c r="BM5123" s="81"/>
      <c r="BN5123" s="81"/>
      <c r="BO5123" s="81"/>
      <c r="BP5123" s="81"/>
      <c r="BQ5123" s="81"/>
      <c r="BR5123" s="81"/>
      <c r="BS5123" s="81"/>
      <c r="BT5123" s="81"/>
    </row>
    <row r="5124" spans="65:72" x14ac:dyDescent="0.25">
      <c r="BM5124" s="81"/>
      <c r="BN5124" s="81"/>
      <c r="BO5124" s="81"/>
      <c r="BP5124" s="81"/>
      <c r="BQ5124" s="81"/>
      <c r="BR5124" s="81"/>
      <c r="BS5124" s="81"/>
      <c r="BT5124" s="81"/>
    </row>
    <row r="5125" spans="65:72" x14ac:dyDescent="0.25">
      <c r="BM5125" s="81"/>
      <c r="BN5125" s="81"/>
      <c r="BO5125" s="81"/>
      <c r="BP5125" s="81"/>
      <c r="BQ5125" s="81"/>
      <c r="BR5125" s="81"/>
      <c r="BS5125" s="81"/>
      <c r="BT5125" s="81"/>
    </row>
    <row r="5126" spans="65:72" x14ac:dyDescent="0.25">
      <c r="BM5126" s="81"/>
      <c r="BN5126" s="81"/>
      <c r="BO5126" s="81"/>
      <c r="BP5126" s="81"/>
      <c r="BQ5126" s="81"/>
      <c r="BR5126" s="81"/>
      <c r="BS5126" s="81"/>
      <c r="BT5126" s="81"/>
    </row>
    <row r="5127" spans="65:72" x14ac:dyDescent="0.25">
      <c r="BM5127" s="81"/>
      <c r="BN5127" s="81"/>
      <c r="BO5127" s="81"/>
      <c r="BP5127" s="81"/>
      <c r="BQ5127" s="81"/>
      <c r="BR5127" s="81"/>
      <c r="BS5127" s="81"/>
      <c r="BT5127" s="81"/>
    </row>
    <row r="5128" spans="65:72" x14ac:dyDescent="0.25">
      <c r="BM5128" s="81"/>
      <c r="BN5128" s="81"/>
      <c r="BO5128" s="81"/>
      <c r="BP5128" s="81"/>
      <c r="BQ5128" s="81"/>
      <c r="BR5128" s="81"/>
      <c r="BS5128" s="81"/>
      <c r="BT5128" s="81"/>
    </row>
    <row r="5129" spans="65:72" x14ac:dyDescent="0.25">
      <c r="BM5129" s="81"/>
      <c r="BN5129" s="81"/>
      <c r="BO5129" s="81"/>
      <c r="BP5129" s="81"/>
      <c r="BQ5129" s="81"/>
      <c r="BR5129" s="81"/>
      <c r="BS5129" s="81"/>
      <c r="BT5129" s="81"/>
    </row>
    <row r="5130" spans="65:72" x14ac:dyDescent="0.25">
      <c r="BM5130" s="81"/>
      <c r="BN5130" s="81"/>
      <c r="BO5130" s="81"/>
      <c r="BP5130" s="81"/>
      <c r="BQ5130" s="81"/>
      <c r="BR5130" s="81"/>
      <c r="BS5130" s="81"/>
      <c r="BT5130" s="81"/>
    </row>
    <row r="5131" spans="65:72" x14ac:dyDescent="0.25">
      <c r="BM5131" s="81"/>
      <c r="BN5131" s="81"/>
      <c r="BO5131" s="81"/>
      <c r="BP5131" s="81"/>
      <c r="BQ5131" s="81"/>
      <c r="BR5131" s="81"/>
      <c r="BS5131" s="81"/>
      <c r="BT5131" s="81"/>
    </row>
    <row r="5132" spans="65:72" x14ac:dyDescent="0.25">
      <c r="BM5132" s="81"/>
      <c r="BN5132" s="81"/>
      <c r="BO5132" s="81"/>
      <c r="BP5132" s="81"/>
      <c r="BQ5132" s="81"/>
      <c r="BR5132" s="81"/>
      <c r="BS5132" s="81"/>
      <c r="BT5132" s="81"/>
    </row>
    <row r="5133" spans="65:72" x14ac:dyDescent="0.25">
      <c r="BM5133" s="81"/>
      <c r="BN5133" s="81"/>
      <c r="BO5133" s="81"/>
      <c r="BP5133" s="81"/>
      <c r="BQ5133" s="81"/>
      <c r="BR5133" s="81"/>
      <c r="BS5133" s="81"/>
      <c r="BT5133" s="81"/>
    </row>
    <row r="5134" spans="65:72" x14ac:dyDescent="0.25">
      <c r="BM5134" s="81"/>
      <c r="BN5134" s="81"/>
      <c r="BO5134" s="81"/>
      <c r="BP5134" s="81"/>
      <c r="BQ5134" s="81"/>
      <c r="BR5134" s="81"/>
      <c r="BS5134" s="81"/>
      <c r="BT5134" s="81"/>
    </row>
    <row r="5135" spans="65:72" x14ac:dyDescent="0.25">
      <c r="BM5135" s="81"/>
      <c r="BN5135" s="81"/>
      <c r="BO5135" s="81"/>
      <c r="BP5135" s="81"/>
      <c r="BQ5135" s="81"/>
      <c r="BR5135" s="81"/>
      <c r="BS5135" s="81"/>
      <c r="BT5135" s="81"/>
    </row>
    <row r="5136" spans="65:72" x14ac:dyDescent="0.25">
      <c r="BM5136" s="81"/>
      <c r="BN5136" s="81"/>
      <c r="BO5136" s="81"/>
      <c r="BP5136" s="81"/>
      <c r="BQ5136" s="81"/>
      <c r="BR5136" s="81"/>
      <c r="BS5136" s="81"/>
      <c r="BT5136" s="81"/>
    </row>
    <row r="5137" spans="65:72" x14ac:dyDescent="0.25">
      <c r="BM5137" s="81"/>
      <c r="BN5137" s="81"/>
      <c r="BO5137" s="81"/>
      <c r="BP5137" s="81"/>
      <c r="BQ5137" s="81"/>
      <c r="BR5137" s="81"/>
      <c r="BS5137" s="81"/>
      <c r="BT5137" s="81"/>
    </row>
    <row r="5138" spans="65:72" x14ac:dyDescent="0.25">
      <c r="BM5138" s="81"/>
      <c r="BN5138" s="81"/>
      <c r="BO5138" s="81"/>
      <c r="BP5138" s="81"/>
      <c r="BQ5138" s="81"/>
      <c r="BR5138" s="81"/>
      <c r="BS5138" s="81"/>
      <c r="BT5138" s="81"/>
    </row>
    <row r="5139" spans="65:72" x14ac:dyDescent="0.25">
      <c r="BM5139" s="81"/>
      <c r="BN5139" s="81"/>
      <c r="BO5139" s="81"/>
      <c r="BP5139" s="81"/>
      <c r="BQ5139" s="81"/>
      <c r="BR5139" s="81"/>
      <c r="BS5139" s="81"/>
      <c r="BT5139" s="81"/>
    </row>
    <row r="5140" spans="65:72" x14ac:dyDescent="0.25">
      <c r="BM5140" s="81"/>
      <c r="BN5140" s="81"/>
      <c r="BO5140" s="81"/>
      <c r="BP5140" s="81"/>
      <c r="BQ5140" s="81"/>
      <c r="BR5140" s="81"/>
      <c r="BS5140" s="81"/>
      <c r="BT5140" s="81"/>
    </row>
    <row r="5141" spans="65:72" x14ac:dyDescent="0.25">
      <c r="BM5141" s="81"/>
      <c r="BN5141" s="81"/>
      <c r="BO5141" s="81"/>
      <c r="BP5141" s="81"/>
      <c r="BQ5141" s="81"/>
      <c r="BR5141" s="81"/>
      <c r="BS5141" s="81"/>
      <c r="BT5141" s="81"/>
    </row>
    <row r="5142" spans="65:72" x14ac:dyDescent="0.25">
      <c r="BM5142" s="81"/>
      <c r="BN5142" s="81"/>
      <c r="BO5142" s="81"/>
      <c r="BP5142" s="81"/>
      <c r="BQ5142" s="81"/>
      <c r="BR5142" s="81"/>
      <c r="BS5142" s="81"/>
      <c r="BT5142" s="81"/>
    </row>
    <row r="5143" spans="65:72" x14ac:dyDescent="0.25">
      <c r="BM5143" s="81"/>
      <c r="BN5143" s="81"/>
      <c r="BO5143" s="81"/>
      <c r="BP5143" s="81"/>
      <c r="BQ5143" s="81"/>
      <c r="BR5143" s="81"/>
      <c r="BS5143" s="81"/>
      <c r="BT5143" s="81"/>
    </row>
    <row r="5144" spans="65:72" x14ac:dyDescent="0.25">
      <c r="BM5144" s="81"/>
      <c r="BN5144" s="81"/>
      <c r="BO5144" s="81"/>
      <c r="BP5144" s="81"/>
      <c r="BQ5144" s="81"/>
      <c r="BR5144" s="81"/>
      <c r="BS5144" s="81"/>
      <c r="BT5144" s="81"/>
    </row>
    <row r="5145" spans="65:72" x14ac:dyDescent="0.25">
      <c r="BM5145" s="81"/>
      <c r="BN5145" s="81"/>
      <c r="BO5145" s="81"/>
      <c r="BP5145" s="81"/>
      <c r="BQ5145" s="81"/>
      <c r="BR5145" s="81"/>
      <c r="BS5145" s="81"/>
      <c r="BT5145" s="81"/>
    </row>
    <row r="5146" spans="65:72" x14ac:dyDescent="0.25">
      <c r="BM5146" s="81"/>
      <c r="BN5146" s="81"/>
      <c r="BO5146" s="81"/>
      <c r="BP5146" s="81"/>
      <c r="BQ5146" s="81"/>
      <c r="BR5146" s="81"/>
      <c r="BS5146" s="81"/>
      <c r="BT5146" s="81"/>
    </row>
    <row r="5147" spans="65:72" x14ac:dyDescent="0.25">
      <c r="BM5147" s="81"/>
      <c r="BN5147" s="81"/>
      <c r="BO5147" s="81"/>
      <c r="BP5147" s="81"/>
      <c r="BQ5147" s="81"/>
      <c r="BR5147" s="81"/>
      <c r="BS5147" s="81"/>
      <c r="BT5147" s="81"/>
    </row>
    <row r="5148" spans="65:72" x14ac:dyDescent="0.25">
      <c r="BM5148" s="81"/>
      <c r="BN5148" s="81"/>
      <c r="BO5148" s="81"/>
      <c r="BP5148" s="81"/>
      <c r="BQ5148" s="81"/>
      <c r="BR5148" s="81"/>
      <c r="BS5148" s="81"/>
      <c r="BT5148" s="81"/>
    </row>
    <row r="5149" spans="65:72" x14ac:dyDescent="0.25">
      <c r="BM5149" s="81"/>
      <c r="BN5149" s="81"/>
      <c r="BO5149" s="81"/>
      <c r="BP5149" s="81"/>
      <c r="BQ5149" s="81"/>
      <c r="BR5149" s="81"/>
      <c r="BS5149" s="81"/>
      <c r="BT5149" s="81"/>
    </row>
    <row r="5150" spans="65:72" x14ac:dyDescent="0.25">
      <c r="BM5150" s="81"/>
      <c r="BN5150" s="81"/>
      <c r="BO5150" s="81"/>
      <c r="BP5150" s="81"/>
      <c r="BQ5150" s="81"/>
      <c r="BR5150" s="81"/>
      <c r="BS5150" s="81"/>
      <c r="BT5150" s="81"/>
    </row>
    <row r="5151" spans="65:72" x14ac:dyDescent="0.25">
      <c r="BM5151" s="81"/>
      <c r="BN5151" s="81"/>
      <c r="BO5151" s="81"/>
      <c r="BP5151" s="81"/>
      <c r="BQ5151" s="81"/>
      <c r="BR5151" s="81"/>
      <c r="BS5151" s="81"/>
      <c r="BT5151" s="81"/>
    </row>
    <row r="5152" spans="65:72" x14ac:dyDescent="0.25">
      <c r="BM5152" s="81"/>
      <c r="BN5152" s="81"/>
      <c r="BO5152" s="81"/>
      <c r="BP5152" s="81"/>
      <c r="BQ5152" s="81"/>
      <c r="BR5152" s="81"/>
      <c r="BS5152" s="81"/>
      <c r="BT5152" s="81"/>
    </row>
    <row r="5153" spans="65:72" x14ac:dyDescent="0.25">
      <c r="BM5153" s="81"/>
      <c r="BN5153" s="81"/>
      <c r="BO5153" s="81"/>
      <c r="BP5153" s="81"/>
      <c r="BQ5153" s="81"/>
      <c r="BR5153" s="81"/>
      <c r="BS5153" s="81"/>
      <c r="BT5153" s="81"/>
    </row>
    <row r="5154" spans="65:72" x14ac:dyDescent="0.25">
      <c r="BM5154" s="81"/>
      <c r="BN5154" s="81"/>
      <c r="BO5154" s="81"/>
      <c r="BP5154" s="81"/>
      <c r="BQ5154" s="81"/>
      <c r="BR5154" s="81"/>
      <c r="BS5154" s="81"/>
      <c r="BT5154" s="81"/>
    </row>
    <row r="5155" spans="65:72" x14ac:dyDescent="0.25">
      <c r="BM5155" s="81"/>
      <c r="BN5155" s="81"/>
      <c r="BO5155" s="81"/>
      <c r="BP5155" s="81"/>
      <c r="BQ5155" s="81"/>
      <c r="BR5155" s="81"/>
      <c r="BS5155" s="81"/>
      <c r="BT5155" s="81"/>
    </row>
    <row r="5156" spans="65:72" x14ac:dyDescent="0.25">
      <c r="BM5156" s="81"/>
      <c r="BN5156" s="81"/>
      <c r="BO5156" s="81"/>
      <c r="BP5156" s="81"/>
      <c r="BQ5156" s="81"/>
      <c r="BR5156" s="81"/>
      <c r="BS5156" s="81"/>
      <c r="BT5156" s="81"/>
    </row>
    <row r="5157" spans="65:72" x14ac:dyDescent="0.25">
      <c r="BM5157" s="81"/>
      <c r="BN5157" s="81"/>
      <c r="BO5157" s="81"/>
      <c r="BP5157" s="81"/>
      <c r="BQ5157" s="81"/>
      <c r="BR5157" s="81"/>
      <c r="BS5157" s="81"/>
      <c r="BT5157" s="81"/>
    </row>
    <row r="5158" spans="65:72" x14ac:dyDescent="0.25">
      <c r="BM5158" s="81"/>
      <c r="BN5158" s="81"/>
      <c r="BO5158" s="81"/>
      <c r="BP5158" s="81"/>
      <c r="BQ5158" s="81"/>
      <c r="BR5158" s="81"/>
      <c r="BS5158" s="81"/>
      <c r="BT5158" s="81"/>
    </row>
    <row r="5159" spans="65:72" x14ac:dyDescent="0.25">
      <c r="BM5159" s="81"/>
      <c r="BN5159" s="81"/>
      <c r="BO5159" s="81"/>
      <c r="BP5159" s="81"/>
      <c r="BQ5159" s="81"/>
      <c r="BR5159" s="81"/>
      <c r="BS5159" s="81"/>
      <c r="BT5159" s="81"/>
    </row>
    <row r="5160" spans="65:72" x14ac:dyDescent="0.25">
      <c r="BM5160" s="81"/>
      <c r="BN5160" s="81"/>
      <c r="BO5160" s="81"/>
      <c r="BP5160" s="81"/>
      <c r="BQ5160" s="81"/>
      <c r="BR5160" s="81"/>
      <c r="BS5160" s="81"/>
      <c r="BT5160" s="81"/>
    </row>
    <row r="5161" spans="65:72" x14ac:dyDescent="0.25">
      <c r="BM5161" s="81"/>
      <c r="BN5161" s="81"/>
      <c r="BO5161" s="81"/>
      <c r="BP5161" s="81"/>
      <c r="BQ5161" s="81"/>
      <c r="BR5161" s="81"/>
      <c r="BS5161" s="81"/>
      <c r="BT5161" s="81"/>
    </row>
    <row r="5162" spans="65:72" x14ac:dyDescent="0.25">
      <c r="BM5162" s="81"/>
      <c r="BN5162" s="81"/>
      <c r="BO5162" s="81"/>
      <c r="BP5162" s="81"/>
      <c r="BQ5162" s="81"/>
      <c r="BR5162" s="81"/>
      <c r="BS5162" s="81"/>
      <c r="BT5162" s="81"/>
    </row>
    <row r="5163" spans="65:72" x14ac:dyDescent="0.25">
      <c r="BM5163" s="81"/>
      <c r="BN5163" s="81"/>
      <c r="BO5163" s="81"/>
      <c r="BP5163" s="81"/>
      <c r="BQ5163" s="81"/>
      <c r="BR5163" s="81"/>
      <c r="BS5163" s="81"/>
      <c r="BT5163" s="81"/>
    </row>
    <row r="5164" spans="65:72" x14ac:dyDescent="0.25">
      <c r="BM5164" s="81"/>
      <c r="BN5164" s="81"/>
      <c r="BO5164" s="81"/>
      <c r="BP5164" s="81"/>
      <c r="BQ5164" s="81"/>
      <c r="BR5164" s="81"/>
      <c r="BS5164" s="81"/>
      <c r="BT5164" s="81"/>
    </row>
    <row r="5165" spans="65:72" x14ac:dyDescent="0.25">
      <c r="BM5165" s="81"/>
      <c r="BN5165" s="81"/>
      <c r="BO5165" s="81"/>
      <c r="BP5165" s="81"/>
      <c r="BQ5165" s="81"/>
      <c r="BR5165" s="81"/>
      <c r="BS5165" s="81"/>
      <c r="BT5165" s="81"/>
    </row>
    <row r="5166" spans="65:72" x14ac:dyDescent="0.25">
      <c r="BM5166" s="81"/>
      <c r="BN5166" s="81"/>
      <c r="BO5166" s="81"/>
      <c r="BP5166" s="81"/>
      <c r="BQ5166" s="81"/>
      <c r="BR5166" s="81"/>
      <c r="BS5166" s="81"/>
      <c r="BT5166" s="81"/>
    </row>
    <row r="5167" spans="65:72" x14ac:dyDescent="0.25">
      <c r="BM5167" s="81"/>
      <c r="BN5167" s="81"/>
      <c r="BO5167" s="81"/>
      <c r="BP5167" s="81"/>
      <c r="BQ5167" s="81"/>
      <c r="BR5167" s="81"/>
      <c r="BS5167" s="81"/>
      <c r="BT5167" s="81"/>
    </row>
    <row r="5168" spans="65:72" x14ac:dyDescent="0.25">
      <c r="BM5168" s="81"/>
      <c r="BN5168" s="81"/>
      <c r="BO5168" s="81"/>
      <c r="BP5168" s="81"/>
      <c r="BQ5168" s="81"/>
      <c r="BR5168" s="81"/>
      <c r="BS5168" s="81"/>
      <c r="BT5168" s="81"/>
    </row>
    <row r="5169" spans="65:72" x14ac:dyDescent="0.25">
      <c r="BM5169" s="81"/>
      <c r="BN5169" s="81"/>
      <c r="BO5169" s="81"/>
      <c r="BP5169" s="81"/>
      <c r="BQ5169" s="81"/>
      <c r="BR5169" s="81"/>
      <c r="BS5169" s="81"/>
      <c r="BT5169" s="81"/>
    </row>
    <row r="5170" spans="65:72" x14ac:dyDescent="0.25">
      <c r="BM5170" s="81"/>
      <c r="BN5170" s="81"/>
      <c r="BO5170" s="81"/>
      <c r="BP5170" s="81"/>
      <c r="BQ5170" s="81"/>
      <c r="BR5170" s="81"/>
      <c r="BS5170" s="81"/>
      <c r="BT5170" s="81"/>
    </row>
    <row r="5171" spans="65:72" x14ac:dyDescent="0.25">
      <c r="BM5171" s="81"/>
      <c r="BN5171" s="81"/>
      <c r="BO5171" s="81"/>
      <c r="BP5171" s="81"/>
      <c r="BQ5171" s="81"/>
      <c r="BR5171" s="81"/>
      <c r="BS5171" s="81"/>
      <c r="BT5171" s="81"/>
    </row>
    <row r="5172" spans="65:72" x14ac:dyDescent="0.25">
      <c r="BM5172" s="81"/>
      <c r="BN5172" s="81"/>
      <c r="BO5172" s="81"/>
      <c r="BP5172" s="81"/>
      <c r="BQ5172" s="81"/>
      <c r="BR5172" s="81"/>
      <c r="BS5172" s="81"/>
      <c r="BT5172" s="81"/>
    </row>
    <row r="5173" spans="65:72" x14ac:dyDescent="0.25">
      <c r="BM5173" s="81"/>
      <c r="BN5173" s="81"/>
      <c r="BO5173" s="81"/>
      <c r="BP5173" s="81"/>
      <c r="BQ5173" s="81"/>
      <c r="BR5173" s="81"/>
      <c r="BS5173" s="81"/>
      <c r="BT5173" s="81"/>
    </row>
    <row r="5174" spans="65:72" x14ac:dyDescent="0.25">
      <c r="BM5174" s="81"/>
      <c r="BN5174" s="81"/>
      <c r="BO5174" s="81"/>
      <c r="BP5174" s="81"/>
      <c r="BQ5174" s="81"/>
      <c r="BR5174" s="81"/>
      <c r="BS5174" s="81"/>
      <c r="BT5174" s="81"/>
    </row>
    <row r="5175" spans="65:72" x14ac:dyDescent="0.25">
      <c r="BM5175" s="81"/>
      <c r="BN5175" s="81"/>
      <c r="BO5175" s="81"/>
      <c r="BP5175" s="81"/>
      <c r="BQ5175" s="81"/>
      <c r="BR5175" s="81"/>
      <c r="BS5175" s="81"/>
      <c r="BT5175" s="81"/>
    </row>
    <row r="5176" spans="65:72" x14ac:dyDescent="0.25">
      <c r="BM5176" s="81"/>
      <c r="BN5176" s="81"/>
      <c r="BO5176" s="81"/>
      <c r="BP5176" s="81"/>
      <c r="BQ5176" s="81"/>
      <c r="BR5176" s="81"/>
      <c r="BS5176" s="81"/>
      <c r="BT5176" s="81"/>
    </row>
    <row r="5177" spans="65:72" x14ac:dyDescent="0.25">
      <c r="BM5177" s="81"/>
      <c r="BN5177" s="81"/>
      <c r="BO5177" s="81"/>
      <c r="BP5177" s="81"/>
      <c r="BQ5177" s="81"/>
      <c r="BR5177" s="81"/>
      <c r="BS5177" s="81"/>
      <c r="BT5177" s="81"/>
    </row>
    <row r="5178" spans="65:72" x14ac:dyDescent="0.25">
      <c r="BM5178" s="81"/>
      <c r="BN5178" s="81"/>
      <c r="BO5178" s="81"/>
      <c r="BP5178" s="81"/>
      <c r="BQ5178" s="81"/>
      <c r="BR5178" s="81"/>
      <c r="BS5178" s="81"/>
      <c r="BT5178" s="81"/>
    </row>
    <row r="5179" spans="65:72" x14ac:dyDescent="0.25">
      <c r="BM5179" s="81"/>
      <c r="BN5179" s="81"/>
      <c r="BO5179" s="81"/>
      <c r="BP5179" s="81"/>
      <c r="BQ5179" s="81"/>
      <c r="BR5179" s="81"/>
      <c r="BS5179" s="81"/>
      <c r="BT5179" s="81"/>
    </row>
    <row r="5180" spans="65:72" x14ac:dyDescent="0.25">
      <c r="BM5180" s="81"/>
      <c r="BN5180" s="81"/>
      <c r="BO5180" s="81"/>
      <c r="BP5180" s="81"/>
      <c r="BQ5180" s="81"/>
      <c r="BR5180" s="81"/>
      <c r="BS5180" s="81"/>
      <c r="BT5180" s="81"/>
    </row>
    <row r="5181" spans="65:72" x14ac:dyDescent="0.25">
      <c r="BM5181" s="81"/>
      <c r="BN5181" s="81"/>
      <c r="BO5181" s="81"/>
      <c r="BP5181" s="81"/>
      <c r="BQ5181" s="81"/>
      <c r="BR5181" s="81"/>
      <c r="BS5181" s="81"/>
      <c r="BT5181" s="81"/>
    </row>
    <row r="5182" spans="65:72" x14ac:dyDescent="0.25">
      <c r="BM5182" s="81"/>
      <c r="BN5182" s="81"/>
      <c r="BO5182" s="81"/>
      <c r="BP5182" s="81"/>
      <c r="BQ5182" s="81"/>
      <c r="BR5182" s="81"/>
      <c r="BS5182" s="81"/>
      <c r="BT5182" s="81"/>
    </row>
    <row r="5183" spans="65:72" x14ac:dyDescent="0.25">
      <c r="BM5183" s="81"/>
      <c r="BN5183" s="81"/>
      <c r="BO5183" s="81"/>
      <c r="BP5183" s="81"/>
      <c r="BQ5183" s="81"/>
      <c r="BR5183" s="81"/>
      <c r="BS5183" s="81"/>
      <c r="BT5183" s="81"/>
    </row>
    <row r="5184" spans="65:72" x14ac:dyDescent="0.25">
      <c r="BM5184" s="81"/>
      <c r="BN5184" s="81"/>
      <c r="BO5184" s="81"/>
      <c r="BP5184" s="81"/>
      <c r="BQ5184" s="81"/>
      <c r="BR5184" s="81"/>
      <c r="BS5184" s="81"/>
      <c r="BT5184" s="81"/>
    </row>
    <row r="5185" spans="65:72" x14ac:dyDescent="0.25">
      <c r="BM5185" s="81"/>
      <c r="BN5185" s="81"/>
      <c r="BO5185" s="81"/>
      <c r="BP5185" s="81"/>
      <c r="BQ5185" s="81"/>
      <c r="BR5185" s="81"/>
      <c r="BS5185" s="81"/>
      <c r="BT5185" s="81"/>
    </row>
    <row r="5186" spans="65:72" x14ac:dyDescent="0.25">
      <c r="BM5186" s="81"/>
      <c r="BN5186" s="81"/>
      <c r="BO5186" s="81"/>
      <c r="BP5186" s="81"/>
      <c r="BQ5186" s="81"/>
      <c r="BR5186" s="81"/>
      <c r="BS5186" s="81"/>
      <c r="BT5186" s="81"/>
    </row>
    <row r="5187" spans="65:72" x14ac:dyDescent="0.25">
      <c r="BM5187" s="81"/>
      <c r="BN5187" s="81"/>
      <c r="BO5187" s="81"/>
      <c r="BP5187" s="81"/>
      <c r="BQ5187" s="81"/>
      <c r="BR5187" s="81"/>
      <c r="BS5187" s="81"/>
      <c r="BT5187" s="81"/>
    </row>
    <row r="5188" spans="65:72" x14ac:dyDescent="0.25">
      <c r="BM5188" s="81"/>
      <c r="BN5188" s="81"/>
      <c r="BO5188" s="81"/>
      <c r="BP5188" s="81"/>
      <c r="BQ5188" s="81"/>
      <c r="BR5188" s="81"/>
      <c r="BS5188" s="81"/>
      <c r="BT5188" s="81"/>
    </row>
    <row r="5189" spans="65:72" x14ac:dyDescent="0.25">
      <c r="BM5189" s="81"/>
      <c r="BN5189" s="81"/>
      <c r="BO5189" s="81"/>
      <c r="BP5189" s="81"/>
      <c r="BQ5189" s="81"/>
      <c r="BR5189" s="81"/>
      <c r="BS5189" s="81"/>
      <c r="BT5189" s="81"/>
    </row>
    <row r="5190" spans="65:72" x14ac:dyDescent="0.25">
      <c r="BM5190" s="81"/>
      <c r="BN5190" s="81"/>
      <c r="BO5190" s="81"/>
      <c r="BP5190" s="81"/>
      <c r="BQ5190" s="81"/>
      <c r="BR5190" s="81"/>
      <c r="BS5190" s="81"/>
      <c r="BT5190" s="81"/>
    </row>
    <row r="5191" spans="65:72" x14ac:dyDescent="0.25">
      <c r="BM5191" s="81"/>
      <c r="BN5191" s="81"/>
      <c r="BO5191" s="81"/>
      <c r="BP5191" s="81"/>
      <c r="BQ5191" s="81"/>
      <c r="BR5191" s="81"/>
      <c r="BS5191" s="81"/>
      <c r="BT5191" s="81"/>
    </row>
    <row r="5192" spans="65:72" x14ac:dyDescent="0.25">
      <c r="BM5192" s="81"/>
      <c r="BN5192" s="81"/>
      <c r="BO5192" s="81"/>
      <c r="BP5192" s="81"/>
      <c r="BQ5192" s="81"/>
      <c r="BR5192" s="81"/>
      <c r="BS5192" s="81"/>
      <c r="BT5192" s="81"/>
    </row>
    <row r="5193" spans="65:72" x14ac:dyDescent="0.25">
      <c r="BM5193" s="81"/>
      <c r="BN5193" s="81"/>
      <c r="BO5193" s="81"/>
      <c r="BP5193" s="81"/>
      <c r="BQ5193" s="81"/>
      <c r="BR5193" s="81"/>
      <c r="BS5193" s="81"/>
      <c r="BT5193" s="81"/>
    </row>
    <row r="5194" spans="65:72" x14ac:dyDescent="0.25">
      <c r="BM5194" s="81"/>
      <c r="BN5194" s="81"/>
      <c r="BO5194" s="81"/>
      <c r="BP5194" s="81"/>
      <c r="BQ5194" s="81"/>
      <c r="BR5194" s="81"/>
      <c r="BS5194" s="81"/>
      <c r="BT5194" s="81"/>
    </row>
    <row r="5195" spans="65:72" x14ac:dyDescent="0.25">
      <c r="BM5195" s="81"/>
      <c r="BN5195" s="81"/>
      <c r="BO5195" s="81"/>
      <c r="BP5195" s="81"/>
      <c r="BQ5195" s="81"/>
      <c r="BR5195" s="81"/>
      <c r="BS5195" s="81"/>
      <c r="BT5195" s="81"/>
    </row>
    <row r="5196" spans="65:72" x14ac:dyDescent="0.25">
      <c r="BM5196" s="81"/>
      <c r="BN5196" s="81"/>
      <c r="BO5196" s="81"/>
      <c r="BP5196" s="81"/>
      <c r="BQ5196" s="81"/>
      <c r="BR5196" s="81"/>
      <c r="BS5196" s="81"/>
      <c r="BT5196" s="81"/>
    </row>
    <row r="5197" spans="65:72" x14ac:dyDescent="0.25">
      <c r="BM5197" s="81"/>
      <c r="BN5197" s="81"/>
      <c r="BO5197" s="81"/>
      <c r="BP5197" s="81"/>
      <c r="BQ5197" s="81"/>
      <c r="BR5197" s="81"/>
      <c r="BS5197" s="81"/>
      <c r="BT5197" s="81"/>
    </row>
    <row r="5198" spans="65:72" x14ac:dyDescent="0.25">
      <c r="BM5198" s="81"/>
      <c r="BN5198" s="81"/>
      <c r="BO5198" s="81"/>
      <c r="BP5198" s="81"/>
      <c r="BQ5198" s="81"/>
      <c r="BR5198" s="81"/>
      <c r="BS5198" s="81"/>
      <c r="BT5198" s="81"/>
    </row>
    <row r="5199" spans="65:72" x14ac:dyDescent="0.25">
      <c r="BM5199" s="81"/>
      <c r="BN5199" s="81"/>
      <c r="BO5199" s="81"/>
      <c r="BP5199" s="81"/>
      <c r="BQ5199" s="81"/>
      <c r="BR5199" s="81"/>
      <c r="BS5199" s="81"/>
      <c r="BT5199" s="81"/>
    </row>
    <row r="5200" spans="65:72" x14ac:dyDescent="0.25">
      <c r="BM5200" s="81"/>
      <c r="BN5200" s="81"/>
      <c r="BO5200" s="81"/>
      <c r="BP5200" s="81"/>
      <c r="BQ5200" s="81"/>
      <c r="BR5200" s="81"/>
      <c r="BS5200" s="81"/>
      <c r="BT5200" s="81"/>
    </row>
    <row r="5201" spans="65:72" x14ac:dyDescent="0.25">
      <c r="BM5201" s="81"/>
      <c r="BN5201" s="81"/>
      <c r="BO5201" s="81"/>
      <c r="BP5201" s="81"/>
      <c r="BQ5201" s="81"/>
      <c r="BR5201" s="81"/>
      <c r="BS5201" s="81"/>
      <c r="BT5201" s="81"/>
    </row>
    <row r="5202" spans="65:72" x14ac:dyDescent="0.25">
      <c r="BM5202" s="81"/>
      <c r="BN5202" s="81"/>
      <c r="BO5202" s="81"/>
      <c r="BP5202" s="81"/>
      <c r="BQ5202" s="81"/>
      <c r="BR5202" s="81"/>
      <c r="BS5202" s="81"/>
      <c r="BT5202" s="81"/>
    </row>
    <row r="5203" spans="65:72" x14ac:dyDescent="0.25">
      <c r="BM5203" s="81"/>
      <c r="BN5203" s="81"/>
      <c r="BO5203" s="81"/>
      <c r="BP5203" s="81"/>
      <c r="BQ5203" s="81"/>
      <c r="BR5203" s="81"/>
      <c r="BS5203" s="81"/>
      <c r="BT5203" s="81"/>
    </row>
    <row r="5204" spans="65:72" x14ac:dyDescent="0.25">
      <c r="BM5204" s="81"/>
      <c r="BN5204" s="81"/>
      <c r="BO5204" s="81"/>
      <c r="BP5204" s="81"/>
      <c r="BQ5204" s="81"/>
      <c r="BR5204" s="81"/>
      <c r="BS5204" s="81"/>
      <c r="BT5204" s="81"/>
    </row>
    <row r="5205" spans="65:72" x14ac:dyDescent="0.25">
      <c r="BM5205" s="81"/>
      <c r="BN5205" s="81"/>
      <c r="BO5205" s="81"/>
      <c r="BP5205" s="81"/>
      <c r="BQ5205" s="81"/>
      <c r="BR5205" s="81"/>
      <c r="BS5205" s="81"/>
      <c r="BT5205" s="81"/>
    </row>
    <row r="5206" spans="65:72" x14ac:dyDescent="0.25">
      <c r="BM5206" s="81"/>
      <c r="BN5206" s="81"/>
      <c r="BO5206" s="81"/>
      <c r="BP5206" s="81"/>
      <c r="BQ5206" s="81"/>
      <c r="BR5206" s="81"/>
      <c r="BS5206" s="81"/>
      <c r="BT5206" s="81"/>
    </row>
    <row r="5207" spans="65:72" x14ac:dyDescent="0.25">
      <c r="BM5207" s="81"/>
      <c r="BN5207" s="81"/>
      <c r="BO5207" s="81"/>
      <c r="BP5207" s="81"/>
      <c r="BQ5207" s="81"/>
      <c r="BR5207" s="81"/>
      <c r="BS5207" s="81"/>
      <c r="BT5207" s="81"/>
    </row>
    <row r="5208" spans="65:72" x14ac:dyDescent="0.25">
      <c r="BM5208" s="81"/>
      <c r="BN5208" s="81"/>
      <c r="BO5208" s="81"/>
      <c r="BP5208" s="81"/>
      <c r="BQ5208" s="81"/>
      <c r="BR5208" s="81"/>
      <c r="BS5208" s="81"/>
      <c r="BT5208" s="81"/>
    </row>
    <row r="5209" spans="65:72" x14ac:dyDescent="0.25">
      <c r="BM5209" s="81"/>
      <c r="BN5209" s="81"/>
      <c r="BO5209" s="81"/>
      <c r="BP5209" s="81"/>
      <c r="BQ5209" s="81"/>
      <c r="BR5209" s="81"/>
      <c r="BS5209" s="81"/>
      <c r="BT5209" s="81"/>
    </row>
    <row r="5210" spans="65:72" x14ac:dyDescent="0.25">
      <c r="BM5210" s="81"/>
      <c r="BN5210" s="81"/>
      <c r="BO5210" s="81"/>
      <c r="BP5210" s="81"/>
      <c r="BQ5210" s="81"/>
      <c r="BR5210" s="81"/>
      <c r="BS5210" s="81"/>
      <c r="BT5210" s="81"/>
    </row>
    <row r="5211" spans="65:72" x14ac:dyDescent="0.25">
      <c r="BM5211" s="81"/>
      <c r="BN5211" s="81"/>
      <c r="BO5211" s="81"/>
      <c r="BP5211" s="81"/>
      <c r="BQ5211" s="81"/>
      <c r="BR5211" s="81"/>
      <c r="BS5211" s="81"/>
      <c r="BT5211" s="81"/>
    </row>
    <row r="5212" spans="65:72" x14ac:dyDescent="0.25">
      <c r="BM5212" s="81"/>
      <c r="BN5212" s="81"/>
      <c r="BO5212" s="81"/>
      <c r="BP5212" s="81"/>
      <c r="BQ5212" s="81"/>
      <c r="BR5212" s="81"/>
      <c r="BS5212" s="81"/>
      <c r="BT5212" s="81"/>
    </row>
    <row r="5213" spans="65:72" x14ac:dyDescent="0.25">
      <c r="BM5213" s="81"/>
      <c r="BN5213" s="81"/>
      <c r="BO5213" s="81"/>
      <c r="BP5213" s="81"/>
      <c r="BQ5213" s="81"/>
      <c r="BR5213" s="81"/>
      <c r="BS5213" s="81"/>
      <c r="BT5213" s="81"/>
    </row>
    <row r="5214" spans="65:72" x14ac:dyDescent="0.25">
      <c r="BM5214" s="81"/>
      <c r="BN5214" s="81"/>
      <c r="BO5214" s="81"/>
      <c r="BP5214" s="81"/>
      <c r="BQ5214" s="81"/>
      <c r="BR5214" s="81"/>
      <c r="BS5214" s="81"/>
      <c r="BT5214" s="81"/>
    </row>
    <row r="5215" spans="65:72" x14ac:dyDescent="0.25">
      <c r="BM5215" s="81"/>
      <c r="BN5215" s="81"/>
      <c r="BO5215" s="81"/>
      <c r="BP5215" s="81"/>
      <c r="BQ5215" s="81"/>
      <c r="BR5215" s="81"/>
      <c r="BS5215" s="81"/>
      <c r="BT5215" s="81"/>
    </row>
    <row r="5216" spans="65:72" x14ac:dyDescent="0.25">
      <c r="BM5216" s="81"/>
      <c r="BN5216" s="81"/>
      <c r="BO5216" s="81"/>
      <c r="BP5216" s="81"/>
      <c r="BQ5216" s="81"/>
      <c r="BR5216" s="81"/>
      <c r="BS5216" s="81"/>
      <c r="BT5216" s="81"/>
    </row>
    <row r="5217" spans="65:72" x14ac:dyDescent="0.25">
      <c r="BM5217" s="81"/>
      <c r="BN5217" s="81"/>
      <c r="BO5217" s="81"/>
      <c r="BP5217" s="81"/>
      <c r="BQ5217" s="81"/>
      <c r="BR5217" s="81"/>
      <c r="BS5217" s="81"/>
      <c r="BT5217" s="81"/>
    </row>
    <row r="5218" spans="65:72" x14ac:dyDescent="0.25">
      <c r="BM5218" s="81"/>
      <c r="BN5218" s="81"/>
      <c r="BO5218" s="81"/>
      <c r="BP5218" s="81"/>
      <c r="BQ5218" s="81"/>
      <c r="BR5218" s="81"/>
      <c r="BS5218" s="81"/>
      <c r="BT5218" s="81"/>
    </row>
    <row r="5219" spans="65:72" x14ac:dyDescent="0.25">
      <c r="BM5219" s="81"/>
      <c r="BN5219" s="81"/>
      <c r="BO5219" s="81"/>
      <c r="BP5219" s="81"/>
      <c r="BQ5219" s="81"/>
      <c r="BR5219" s="81"/>
      <c r="BS5219" s="81"/>
      <c r="BT5219" s="81"/>
    </row>
    <row r="5220" spans="65:72" x14ac:dyDescent="0.25">
      <c r="BM5220" s="81"/>
      <c r="BN5220" s="81"/>
      <c r="BO5220" s="81"/>
      <c r="BP5220" s="81"/>
      <c r="BQ5220" s="81"/>
      <c r="BR5220" s="81"/>
      <c r="BS5220" s="81"/>
      <c r="BT5220" s="81"/>
    </row>
    <row r="5221" spans="65:72" x14ac:dyDescent="0.25">
      <c r="BM5221" s="81"/>
      <c r="BN5221" s="81"/>
      <c r="BO5221" s="81"/>
      <c r="BP5221" s="81"/>
      <c r="BQ5221" s="81"/>
      <c r="BR5221" s="81"/>
      <c r="BS5221" s="81"/>
      <c r="BT5221" s="81"/>
    </row>
    <row r="5222" spans="65:72" x14ac:dyDescent="0.25">
      <c r="BM5222" s="81"/>
      <c r="BN5222" s="81"/>
      <c r="BO5222" s="81"/>
      <c r="BP5222" s="81"/>
      <c r="BQ5222" s="81"/>
      <c r="BR5222" s="81"/>
      <c r="BS5222" s="81"/>
      <c r="BT5222" s="81"/>
    </row>
    <row r="5223" spans="65:72" x14ac:dyDescent="0.25">
      <c r="BM5223" s="81"/>
      <c r="BN5223" s="81"/>
      <c r="BO5223" s="81"/>
      <c r="BP5223" s="81"/>
      <c r="BQ5223" s="81"/>
      <c r="BR5223" s="81"/>
      <c r="BS5223" s="81"/>
      <c r="BT5223" s="81"/>
    </row>
    <row r="5224" spans="65:72" x14ac:dyDescent="0.25">
      <c r="BM5224" s="81"/>
      <c r="BN5224" s="81"/>
      <c r="BO5224" s="81"/>
      <c r="BP5224" s="81"/>
      <c r="BQ5224" s="81"/>
      <c r="BR5224" s="81"/>
      <c r="BS5224" s="81"/>
      <c r="BT5224" s="81"/>
    </row>
    <row r="5225" spans="65:72" x14ac:dyDescent="0.25">
      <c r="BM5225" s="81"/>
      <c r="BN5225" s="81"/>
      <c r="BO5225" s="81"/>
      <c r="BP5225" s="81"/>
      <c r="BQ5225" s="81"/>
      <c r="BR5225" s="81"/>
      <c r="BS5225" s="81"/>
      <c r="BT5225" s="81"/>
    </row>
    <row r="5226" spans="65:72" x14ac:dyDescent="0.25">
      <c r="BM5226" s="81"/>
      <c r="BN5226" s="81"/>
      <c r="BO5226" s="81"/>
      <c r="BP5226" s="81"/>
      <c r="BQ5226" s="81"/>
      <c r="BR5226" s="81"/>
      <c r="BS5226" s="81"/>
      <c r="BT5226" s="81"/>
    </row>
    <row r="5227" spans="65:72" x14ac:dyDescent="0.25">
      <c r="BM5227" s="81"/>
      <c r="BN5227" s="81"/>
      <c r="BO5227" s="81"/>
      <c r="BP5227" s="81"/>
      <c r="BQ5227" s="81"/>
      <c r="BR5227" s="81"/>
      <c r="BS5227" s="81"/>
      <c r="BT5227" s="81"/>
    </row>
    <row r="5228" spans="65:72" x14ac:dyDescent="0.25">
      <c r="BM5228" s="81"/>
      <c r="BN5228" s="81"/>
      <c r="BO5228" s="81"/>
      <c r="BP5228" s="81"/>
      <c r="BQ5228" s="81"/>
      <c r="BR5228" s="81"/>
      <c r="BS5228" s="81"/>
      <c r="BT5228" s="81"/>
    </row>
    <row r="5229" spans="65:72" x14ac:dyDescent="0.25">
      <c r="BM5229" s="81"/>
      <c r="BN5229" s="81"/>
      <c r="BO5229" s="81"/>
      <c r="BP5229" s="81"/>
      <c r="BQ5229" s="81"/>
      <c r="BR5229" s="81"/>
      <c r="BS5229" s="81"/>
      <c r="BT5229" s="81"/>
    </row>
    <row r="5230" spans="65:72" x14ac:dyDescent="0.25">
      <c r="BM5230" s="81"/>
      <c r="BN5230" s="81"/>
      <c r="BO5230" s="81"/>
      <c r="BP5230" s="81"/>
      <c r="BQ5230" s="81"/>
      <c r="BR5230" s="81"/>
      <c r="BS5230" s="81"/>
      <c r="BT5230" s="81"/>
    </row>
    <row r="5231" spans="65:72" x14ac:dyDescent="0.25">
      <c r="BM5231" s="81"/>
      <c r="BN5231" s="81"/>
      <c r="BO5231" s="81"/>
      <c r="BP5231" s="81"/>
      <c r="BQ5231" s="81"/>
      <c r="BR5231" s="81"/>
      <c r="BS5231" s="81"/>
      <c r="BT5231" s="81"/>
    </row>
    <row r="5232" spans="65:72" x14ac:dyDescent="0.25">
      <c r="BM5232" s="81"/>
      <c r="BN5232" s="81"/>
      <c r="BO5232" s="81"/>
      <c r="BP5232" s="81"/>
      <c r="BQ5232" s="81"/>
      <c r="BR5232" s="81"/>
      <c r="BS5232" s="81"/>
      <c r="BT5232" s="81"/>
    </row>
    <row r="5233" spans="65:72" x14ac:dyDescent="0.25">
      <c r="BM5233" s="81"/>
      <c r="BN5233" s="81"/>
      <c r="BO5233" s="81"/>
      <c r="BP5233" s="81"/>
      <c r="BQ5233" s="81"/>
      <c r="BR5233" s="81"/>
      <c r="BS5233" s="81"/>
      <c r="BT5233" s="81"/>
    </row>
    <row r="5234" spans="65:72" x14ac:dyDescent="0.25">
      <c r="BM5234" s="81"/>
      <c r="BN5234" s="81"/>
      <c r="BO5234" s="81"/>
      <c r="BP5234" s="81"/>
      <c r="BQ5234" s="81"/>
      <c r="BR5234" s="81"/>
      <c r="BS5234" s="81"/>
      <c r="BT5234" s="81"/>
    </row>
    <row r="5235" spans="65:72" x14ac:dyDescent="0.25">
      <c r="BM5235" s="81"/>
      <c r="BN5235" s="81"/>
      <c r="BO5235" s="81"/>
      <c r="BP5235" s="81"/>
      <c r="BQ5235" s="81"/>
      <c r="BR5235" s="81"/>
      <c r="BS5235" s="81"/>
      <c r="BT5235" s="81"/>
    </row>
    <row r="5236" spans="65:72" x14ac:dyDescent="0.25">
      <c r="BM5236" s="81"/>
      <c r="BN5236" s="81"/>
      <c r="BO5236" s="81"/>
      <c r="BP5236" s="81"/>
      <c r="BQ5236" s="81"/>
      <c r="BR5236" s="81"/>
      <c r="BS5236" s="81"/>
      <c r="BT5236" s="81"/>
    </row>
    <row r="5237" spans="65:72" x14ac:dyDescent="0.25">
      <c r="BM5237" s="81"/>
      <c r="BN5237" s="81"/>
      <c r="BO5237" s="81"/>
      <c r="BP5237" s="81"/>
      <c r="BQ5237" s="81"/>
      <c r="BR5237" s="81"/>
      <c r="BS5237" s="81"/>
      <c r="BT5237" s="81"/>
    </row>
    <row r="5238" spans="65:72" x14ac:dyDescent="0.25">
      <c r="BM5238" s="81"/>
      <c r="BN5238" s="81"/>
      <c r="BO5238" s="81"/>
      <c r="BP5238" s="81"/>
      <c r="BQ5238" s="81"/>
      <c r="BR5238" s="81"/>
      <c r="BS5238" s="81"/>
      <c r="BT5238" s="81"/>
    </row>
    <row r="5239" spans="65:72" x14ac:dyDescent="0.25">
      <c r="BM5239" s="81"/>
      <c r="BN5239" s="81"/>
      <c r="BO5239" s="81"/>
      <c r="BP5239" s="81"/>
      <c r="BQ5239" s="81"/>
      <c r="BR5239" s="81"/>
      <c r="BS5239" s="81"/>
      <c r="BT5239" s="81"/>
    </row>
    <row r="5240" spans="65:72" x14ac:dyDescent="0.25">
      <c r="BM5240" s="81"/>
      <c r="BN5240" s="81"/>
      <c r="BO5240" s="81"/>
      <c r="BP5240" s="81"/>
      <c r="BQ5240" s="81"/>
      <c r="BR5240" s="81"/>
      <c r="BS5240" s="81"/>
      <c r="BT5240" s="81"/>
    </row>
    <row r="5241" spans="65:72" x14ac:dyDescent="0.25">
      <c r="BM5241" s="81"/>
      <c r="BN5241" s="81"/>
      <c r="BO5241" s="81"/>
      <c r="BP5241" s="81"/>
      <c r="BQ5241" s="81"/>
      <c r="BR5241" s="81"/>
      <c r="BS5241" s="81"/>
      <c r="BT5241" s="81"/>
    </row>
    <row r="5242" spans="65:72" x14ac:dyDescent="0.25">
      <c r="BM5242" s="81"/>
      <c r="BN5242" s="81"/>
      <c r="BO5242" s="81"/>
      <c r="BP5242" s="81"/>
      <c r="BQ5242" s="81"/>
      <c r="BR5242" s="81"/>
      <c r="BS5242" s="81"/>
      <c r="BT5242" s="81"/>
    </row>
    <row r="5243" spans="65:72" x14ac:dyDescent="0.25">
      <c r="BM5243" s="81"/>
      <c r="BN5243" s="81"/>
      <c r="BO5243" s="81"/>
      <c r="BP5243" s="81"/>
      <c r="BQ5243" s="81"/>
      <c r="BR5243" s="81"/>
      <c r="BS5243" s="81"/>
      <c r="BT5243" s="81"/>
    </row>
    <row r="5244" spans="65:72" x14ac:dyDescent="0.25">
      <c r="BM5244" s="81"/>
      <c r="BN5244" s="81"/>
      <c r="BO5244" s="81"/>
      <c r="BP5244" s="81"/>
      <c r="BQ5244" s="81"/>
      <c r="BR5244" s="81"/>
      <c r="BS5244" s="81"/>
      <c r="BT5244" s="81"/>
    </row>
    <row r="5245" spans="65:72" x14ac:dyDescent="0.25">
      <c r="BM5245" s="81"/>
      <c r="BN5245" s="81"/>
      <c r="BO5245" s="81"/>
      <c r="BP5245" s="81"/>
      <c r="BQ5245" s="81"/>
      <c r="BR5245" s="81"/>
      <c r="BS5245" s="81"/>
      <c r="BT5245" s="81"/>
    </row>
    <row r="5246" spans="65:72" x14ac:dyDescent="0.25">
      <c r="BM5246" s="81"/>
      <c r="BN5246" s="81"/>
      <c r="BO5246" s="81"/>
      <c r="BP5246" s="81"/>
      <c r="BQ5246" s="81"/>
      <c r="BR5246" s="81"/>
      <c r="BS5246" s="81"/>
      <c r="BT5246" s="81"/>
    </row>
    <row r="5247" spans="65:72" x14ac:dyDescent="0.25">
      <c r="BM5247" s="81"/>
      <c r="BN5247" s="81"/>
      <c r="BO5247" s="81"/>
      <c r="BP5247" s="81"/>
      <c r="BQ5247" s="81"/>
      <c r="BR5247" s="81"/>
      <c r="BS5247" s="81"/>
      <c r="BT5247" s="81"/>
    </row>
    <row r="5248" spans="65:72" x14ac:dyDescent="0.25">
      <c r="BM5248" s="81"/>
      <c r="BN5248" s="81"/>
      <c r="BO5248" s="81"/>
      <c r="BP5248" s="81"/>
      <c r="BQ5248" s="81"/>
      <c r="BR5248" s="81"/>
      <c r="BS5248" s="81"/>
      <c r="BT5248" s="81"/>
    </row>
    <row r="5249" spans="65:72" x14ac:dyDescent="0.25">
      <c r="BM5249" s="81"/>
      <c r="BN5249" s="81"/>
      <c r="BO5249" s="81"/>
      <c r="BP5249" s="81"/>
      <c r="BQ5249" s="81"/>
      <c r="BR5249" s="81"/>
      <c r="BS5249" s="81"/>
      <c r="BT5249" s="81"/>
    </row>
    <row r="5250" spans="65:72" x14ac:dyDescent="0.25">
      <c r="BM5250" s="81"/>
      <c r="BN5250" s="81"/>
      <c r="BO5250" s="81"/>
      <c r="BP5250" s="81"/>
      <c r="BQ5250" s="81"/>
      <c r="BR5250" s="81"/>
      <c r="BS5250" s="81"/>
      <c r="BT5250" s="81"/>
    </row>
    <row r="5251" spans="65:72" x14ac:dyDescent="0.25">
      <c r="BM5251" s="81"/>
      <c r="BN5251" s="81"/>
      <c r="BO5251" s="81"/>
      <c r="BP5251" s="81"/>
      <c r="BQ5251" s="81"/>
      <c r="BR5251" s="81"/>
      <c r="BS5251" s="81"/>
      <c r="BT5251" s="81"/>
    </row>
    <row r="5252" spans="65:72" x14ac:dyDescent="0.25">
      <c r="BM5252" s="81"/>
      <c r="BN5252" s="81"/>
      <c r="BO5252" s="81"/>
      <c r="BP5252" s="81"/>
      <c r="BQ5252" s="81"/>
      <c r="BR5252" s="81"/>
      <c r="BS5252" s="81"/>
      <c r="BT5252" s="81"/>
    </row>
    <row r="5253" spans="65:72" x14ac:dyDescent="0.25">
      <c r="BM5253" s="81"/>
      <c r="BN5253" s="81"/>
      <c r="BO5253" s="81"/>
      <c r="BP5253" s="81"/>
      <c r="BQ5253" s="81"/>
      <c r="BR5253" s="81"/>
      <c r="BS5253" s="81"/>
      <c r="BT5253" s="81"/>
    </row>
    <row r="5254" spans="65:72" x14ac:dyDescent="0.25">
      <c r="BM5254" s="81"/>
      <c r="BN5254" s="81"/>
      <c r="BO5254" s="81"/>
      <c r="BP5254" s="81"/>
      <c r="BQ5254" s="81"/>
      <c r="BR5254" s="81"/>
      <c r="BS5254" s="81"/>
      <c r="BT5254" s="81"/>
    </row>
    <row r="5255" spans="65:72" x14ac:dyDescent="0.25">
      <c r="BM5255" s="81"/>
      <c r="BN5255" s="81"/>
      <c r="BO5255" s="81"/>
      <c r="BP5255" s="81"/>
      <c r="BQ5255" s="81"/>
      <c r="BR5255" s="81"/>
      <c r="BS5255" s="81"/>
      <c r="BT5255" s="81"/>
    </row>
    <row r="5256" spans="65:72" x14ac:dyDescent="0.25">
      <c r="BM5256" s="81"/>
      <c r="BN5256" s="81"/>
      <c r="BO5256" s="81"/>
      <c r="BP5256" s="81"/>
      <c r="BQ5256" s="81"/>
      <c r="BR5256" s="81"/>
      <c r="BS5256" s="81"/>
      <c r="BT5256" s="81"/>
    </row>
    <row r="5257" spans="65:72" x14ac:dyDescent="0.25">
      <c r="BM5257" s="81"/>
      <c r="BN5257" s="81"/>
      <c r="BO5257" s="81"/>
      <c r="BP5257" s="81"/>
      <c r="BQ5257" s="81"/>
      <c r="BR5257" s="81"/>
      <c r="BS5257" s="81"/>
      <c r="BT5257" s="81"/>
    </row>
    <row r="5258" spans="65:72" x14ac:dyDescent="0.25">
      <c r="BM5258" s="81"/>
      <c r="BN5258" s="81"/>
      <c r="BO5258" s="81"/>
      <c r="BP5258" s="81"/>
      <c r="BQ5258" s="81"/>
      <c r="BR5258" s="81"/>
      <c r="BS5258" s="81"/>
      <c r="BT5258" s="81"/>
    </row>
    <row r="5259" spans="65:72" x14ac:dyDescent="0.25">
      <c r="BM5259" s="81"/>
      <c r="BN5259" s="81"/>
      <c r="BO5259" s="81"/>
      <c r="BP5259" s="81"/>
      <c r="BQ5259" s="81"/>
      <c r="BR5259" s="81"/>
      <c r="BS5259" s="81"/>
      <c r="BT5259" s="81"/>
    </row>
    <row r="5260" spans="65:72" x14ac:dyDescent="0.25">
      <c r="BM5260" s="81"/>
      <c r="BN5260" s="81"/>
      <c r="BO5260" s="81"/>
      <c r="BP5260" s="81"/>
      <c r="BQ5260" s="81"/>
      <c r="BR5260" s="81"/>
      <c r="BS5260" s="81"/>
      <c r="BT5260" s="81"/>
    </row>
    <row r="5261" spans="65:72" x14ac:dyDescent="0.25">
      <c r="BM5261" s="81"/>
      <c r="BN5261" s="81"/>
      <c r="BO5261" s="81"/>
      <c r="BP5261" s="81"/>
      <c r="BQ5261" s="81"/>
      <c r="BR5261" s="81"/>
      <c r="BS5261" s="81"/>
      <c r="BT5261" s="81"/>
    </row>
    <row r="5262" spans="65:72" x14ac:dyDescent="0.25">
      <c r="BM5262" s="81"/>
      <c r="BN5262" s="81"/>
      <c r="BO5262" s="81"/>
      <c r="BP5262" s="81"/>
      <c r="BQ5262" s="81"/>
      <c r="BR5262" s="81"/>
      <c r="BS5262" s="81"/>
      <c r="BT5262" s="81"/>
    </row>
    <row r="5263" spans="65:72" x14ac:dyDescent="0.25">
      <c r="BM5263" s="81"/>
      <c r="BN5263" s="81"/>
      <c r="BO5263" s="81"/>
      <c r="BP5263" s="81"/>
      <c r="BQ5263" s="81"/>
      <c r="BR5263" s="81"/>
      <c r="BS5263" s="81"/>
      <c r="BT5263" s="81"/>
    </row>
    <row r="5264" spans="65:72" x14ac:dyDescent="0.25">
      <c r="BM5264" s="81"/>
      <c r="BN5264" s="81"/>
      <c r="BO5264" s="81"/>
      <c r="BP5264" s="81"/>
      <c r="BQ5264" s="81"/>
      <c r="BR5264" s="81"/>
      <c r="BS5264" s="81"/>
      <c r="BT5264" s="81"/>
    </row>
    <row r="5265" spans="65:72" x14ac:dyDescent="0.25">
      <c r="BM5265" s="81"/>
      <c r="BN5265" s="81"/>
      <c r="BO5265" s="81"/>
      <c r="BP5265" s="81"/>
      <c r="BQ5265" s="81"/>
      <c r="BR5265" s="81"/>
      <c r="BS5265" s="81"/>
      <c r="BT5265" s="81"/>
    </row>
    <row r="5266" spans="65:72" x14ac:dyDescent="0.25">
      <c r="BM5266" s="81"/>
      <c r="BN5266" s="81"/>
      <c r="BO5266" s="81"/>
      <c r="BP5266" s="81"/>
      <c r="BQ5266" s="81"/>
      <c r="BR5266" s="81"/>
      <c r="BS5266" s="81"/>
      <c r="BT5266" s="81"/>
    </row>
    <row r="5267" spans="65:72" x14ac:dyDescent="0.25">
      <c r="BM5267" s="81"/>
      <c r="BN5267" s="81"/>
      <c r="BO5267" s="81"/>
      <c r="BP5267" s="81"/>
      <c r="BQ5267" s="81"/>
      <c r="BR5267" s="81"/>
      <c r="BS5267" s="81"/>
      <c r="BT5267" s="81"/>
    </row>
    <row r="5268" spans="65:72" x14ac:dyDescent="0.25">
      <c r="BM5268" s="81"/>
      <c r="BN5268" s="81"/>
      <c r="BO5268" s="81"/>
      <c r="BP5268" s="81"/>
      <c r="BQ5268" s="81"/>
      <c r="BR5268" s="81"/>
      <c r="BS5268" s="81"/>
      <c r="BT5268" s="81"/>
    </row>
    <row r="5269" spans="65:72" x14ac:dyDescent="0.25">
      <c r="BM5269" s="81"/>
      <c r="BN5269" s="81"/>
      <c r="BO5269" s="81"/>
      <c r="BP5269" s="81"/>
      <c r="BQ5269" s="81"/>
      <c r="BR5269" s="81"/>
      <c r="BS5269" s="81"/>
      <c r="BT5269" s="81"/>
    </row>
    <row r="5270" spans="65:72" x14ac:dyDescent="0.25">
      <c r="BM5270" s="81"/>
      <c r="BN5270" s="81"/>
      <c r="BO5270" s="81"/>
      <c r="BP5270" s="81"/>
      <c r="BQ5270" s="81"/>
      <c r="BR5270" s="81"/>
      <c r="BS5270" s="81"/>
      <c r="BT5270" s="81"/>
    </row>
    <row r="5271" spans="65:72" x14ac:dyDescent="0.25">
      <c r="BM5271" s="81"/>
      <c r="BN5271" s="81"/>
      <c r="BO5271" s="81"/>
      <c r="BP5271" s="81"/>
      <c r="BQ5271" s="81"/>
      <c r="BR5271" s="81"/>
      <c r="BS5271" s="81"/>
      <c r="BT5271" s="81"/>
    </row>
    <row r="5272" spans="65:72" x14ac:dyDescent="0.25">
      <c r="BM5272" s="81"/>
      <c r="BN5272" s="81"/>
      <c r="BO5272" s="81"/>
      <c r="BP5272" s="81"/>
      <c r="BQ5272" s="81"/>
      <c r="BR5272" s="81"/>
      <c r="BS5272" s="81"/>
      <c r="BT5272" s="81"/>
    </row>
    <row r="5273" spans="65:72" x14ac:dyDescent="0.25">
      <c r="BM5273" s="81"/>
      <c r="BN5273" s="81"/>
      <c r="BO5273" s="81"/>
      <c r="BP5273" s="81"/>
      <c r="BQ5273" s="81"/>
      <c r="BR5273" s="81"/>
      <c r="BS5273" s="81"/>
      <c r="BT5273" s="81"/>
    </row>
    <row r="5274" spans="65:72" x14ac:dyDescent="0.25">
      <c r="BM5274" s="81"/>
      <c r="BN5274" s="81"/>
      <c r="BO5274" s="81"/>
      <c r="BP5274" s="81"/>
      <c r="BQ5274" s="81"/>
      <c r="BR5274" s="81"/>
      <c r="BS5274" s="81"/>
      <c r="BT5274" s="81"/>
    </row>
    <row r="5275" spans="65:72" x14ac:dyDescent="0.25">
      <c r="BM5275" s="81"/>
      <c r="BN5275" s="81"/>
      <c r="BO5275" s="81"/>
      <c r="BP5275" s="81"/>
      <c r="BQ5275" s="81"/>
      <c r="BR5275" s="81"/>
      <c r="BS5275" s="81"/>
      <c r="BT5275" s="81"/>
    </row>
    <row r="5276" spans="65:72" x14ac:dyDescent="0.25">
      <c r="BM5276" s="81"/>
      <c r="BN5276" s="81"/>
      <c r="BO5276" s="81"/>
      <c r="BP5276" s="81"/>
      <c r="BQ5276" s="81"/>
      <c r="BR5276" s="81"/>
      <c r="BS5276" s="81"/>
      <c r="BT5276" s="81"/>
    </row>
    <row r="5277" spans="65:72" x14ac:dyDescent="0.25">
      <c r="BM5277" s="81"/>
      <c r="BN5277" s="81"/>
      <c r="BO5277" s="81"/>
      <c r="BP5277" s="81"/>
      <c r="BQ5277" s="81"/>
      <c r="BR5277" s="81"/>
      <c r="BS5277" s="81"/>
      <c r="BT5277" s="81"/>
    </row>
    <row r="5278" spans="65:72" x14ac:dyDescent="0.25">
      <c r="BM5278" s="81"/>
      <c r="BN5278" s="81"/>
      <c r="BO5278" s="81"/>
      <c r="BP5278" s="81"/>
      <c r="BQ5278" s="81"/>
      <c r="BR5278" s="81"/>
      <c r="BS5278" s="81"/>
      <c r="BT5278" s="81"/>
    </row>
    <row r="5279" spans="65:72" x14ac:dyDescent="0.25">
      <c r="BM5279" s="81"/>
      <c r="BN5279" s="81"/>
      <c r="BO5279" s="81"/>
      <c r="BP5279" s="81"/>
      <c r="BQ5279" s="81"/>
      <c r="BR5279" s="81"/>
      <c r="BS5279" s="81"/>
      <c r="BT5279" s="81"/>
    </row>
    <row r="5280" spans="65:72" x14ac:dyDescent="0.25">
      <c r="BM5280" s="81"/>
      <c r="BN5280" s="81"/>
      <c r="BO5280" s="81"/>
      <c r="BP5280" s="81"/>
      <c r="BQ5280" s="81"/>
      <c r="BR5280" s="81"/>
      <c r="BS5280" s="81"/>
      <c r="BT5280" s="81"/>
    </row>
    <row r="5281" spans="65:72" x14ac:dyDescent="0.25">
      <c r="BM5281" s="81"/>
      <c r="BN5281" s="81"/>
      <c r="BO5281" s="81"/>
      <c r="BP5281" s="81"/>
      <c r="BQ5281" s="81"/>
      <c r="BR5281" s="81"/>
      <c r="BS5281" s="81"/>
      <c r="BT5281" s="81"/>
    </row>
    <row r="5282" spans="65:72" x14ac:dyDescent="0.25">
      <c r="BM5282" s="81"/>
      <c r="BN5282" s="81"/>
      <c r="BO5282" s="81"/>
      <c r="BP5282" s="81"/>
      <c r="BQ5282" s="81"/>
      <c r="BR5282" s="81"/>
      <c r="BS5282" s="81"/>
      <c r="BT5282" s="81"/>
    </row>
    <row r="5283" spans="65:72" x14ac:dyDescent="0.25">
      <c r="BM5283" s="81"/>
      <c r="BN5283" s="81"/>
      <c r="BO5283" s="81"/>
      <c r="BP5283" s="81"/>
      <c r="BQ5283" s="81"/>
      <c r="BR5283" s="81"/>
      <c r="BS5283" s="81"/>
      <c r="BT5283" s="81"/>
    </row>
    <row r="5284" spans="65:72" x14ac:dyDescent="0.25">
      <c r="BM5284" s="81"/>
      <c r="BN5284" s="81"/>
      <c r="BO5284" s="81"/>
      <c r="BP5284" s="81"/>
      <c r="BQ5284" s="81"/>
      <c r="BR5284" s="81"/>
      <c r="BS5284" s="81"/>
      <c r="BT5284" s="81"/>
    </row>
    <row r="5285" spans="65:72" x14ac:dyDescent="0.25">
      <c r="BM5285" s="81"/>
      <c r="BN5285" s="81"/>
      <c r="BO5285" s="81"/>
      <c r="BP5285" s="81"/>
      <c r="BQ5285" s="81"/>
      <c r="BR5285" s="81"/>
      <c r="BS5285" s="81"/>
      <c r="BT5285" s="81"/>
    </row>
    <row r="5286" spans="65:72" x14ac:dyDescent="0.25">
      <c r="BM5286" s="81"/>
      <c r="BN5286" s="81"/>
      <c r="BO5286" s="81"/>
      <c r="BP5286" s="81"/>
      <c r="BQ5286" s="81"/>
      <c r="BR5286" s="81"/>
      <c r="BS5286" s="81"/>
      <c r="BT5286" s="81"/>
    </row>
    <row r="5287" spans="65:72" x14ac:dyDescent="0.25">
      <c r="BM5287" s="81"/>
      <c r="BN5287" s="81"/>
      <c r="BO5287" s="81"/>
      <c r="BP5287" s="81"/>
      <c r="BQ5287" s="81"/>
      <c r="BR5287" s="81"/>
      <c r="BS5287" s="81"/>
      <c r="BT5287" s="81"/>
    </row>
    <row r="5288" spans="65:72" x14ac:dyDescent="0.25">
      <c r="BM5288" s="81"/>
      <c r="BN5288" s="81"/>
      <c r="BO5288" s="81"/>
      <c r="BP5288" s="81"/>
      <c r="BQ5288" s="81"/>
      <c r="BR5288" s="81"/>
      <c r="BS5288" s="81"/>
      <c r="BT5288" s="81"/>
    </row>
    <row r="5289" spans="65:72" x14ac:dyDescent="0.25">
      <c r="BM5289" s="81"/>
      <c r="BN5289" s="81"/>
      <c r="BO5289" s="81"/>
      <c r="BP5289" s="81"/>
      <c r="BQ5289" s="81"/>
      <c r="BR5289" s="81"/>
      <c r="BS5289" s="81"/>
      <c r="BT5289" s="81"/>
    </row>
    <row r="5290" spans="65:72" x14ac:dyDescent="0.25">
      <c r="BM5290" s="81"/>
      <c r="BN5290" s="81"/>
      <c r="BO5290" s="81"/>
      <c r="BP5290" s="81"/>
      <c r="BQ5290" s="81"/>
      <c r="BR5290" s="81"/>
      <c r="BS5290" s="81"/>
      <c r="BT5290" s="81"/>
    </row>
    <row r="5291" spans="65:72" x14ac:dyDescent="0.25">
      <c r="BM5291" s="81"/>
      <c r="BN5291" s="81"/>
      <c r="BO5291" s="81"/>
      <c r="BP5291" s="81"/>
      <c r="BQ5291" s="81"/>
      <c r="BR5291" s="81"/>
      <c r="BS5291" s="81"/>
      <c r="BT5291" s="81"/>
    </row>
    <row r="5292" spans="65:72" x14ac:dyDescent="0.25">
      <c r="BM5292" s="81"/>
      <c r="BN5292" s="81"/>
      <c r="BO5292" s="81"/>
      <c r="BP5292" s="81"/>
      <c r="BQ5292" s="81"/>
      <c r="BR5292" s="81"/>
      <c r="BS5292" s="81"/>
      <c r="BT5292" s="81"/>
    </row>
    <row r="5293" spans="65:72" x14ac:dyDescent="0.25">
      <c r="BM5293" s="81"/>
      <c r="BN5293" s="81"/>
      <c r="BO5293" s="81"/>
      <c r="BP5293" s="81"/>
      <c r="BQ5293" s="81"/>
      <c r="BR5293" s="81"/>
      <c r="BS5293" s="81"/>
      <c r="BT5293" s="81"/>
    </row>
    <row r="5294" spans="65:72" x14ac:dyDescent="0.25">
      <c r="BM5294" s="81"/>
      <c r="BN5294" s="81"/>
      <c r="BO5294" s="81"/>
      <c r="BP5294" s="81"/>
      <c r="BQ5294" s="81"/>
      <c r="BR5294" s="81"/>
      <c r="BS5294" s="81"/>
      <c r="BT5294" s="81"/>
    </row>
    <row r="5295" spans="65:72" x14ac:dyDescent="0.25">
      <c r="BM5295" s="81"/>
      <c r="BN5295" s="81"/>
      <c r="BO5295" s="81"/>
      <c r="BP5295" s="81"/>
      <c r="BQ5295" s="81"/>
      <c r="BR5295" s="81"/>
      <c r="BS5295" s="81"/>
      <c r="BT5295" s="81"/>
    </row>
    <row r="5296" spans="65:72" x14ac:dyDescent="0.25">
      <c r="BM5296" s="81"/>
      <c r="BN5296" s="81"/>
      <c r="BO5296" s="81"/>
      <c r="BP5296" s="81"/>
      <c r="BQ5296" s="81"/>
      <c r="BR5296" s="81"/>
      <c r="BS5296" s="81"/>
      <c r="BT5296" s="81"/>
    </row>
    <row r="5297" spans="65:72" x14ac:dyDescent="0.25">
      <c r="BM5297" s="81"/>
      <c r="BN5297" s="81"/>
      <c r="BO5297" s="81"/>
      <c r="BP5297" s="81"/>
      <c r="BQ5297" s="81"/>
      <c r="BR5297" s="81"/>
      <c r="BS5297" s="81"/>
      <c r="BT5297" s="81"/>
    </row>
    <row r="5298" spans="65:72" x14ac:dyDescent="0.25">
      <c r="BM5298" s="81"/>
      <c r="BN5298" s="81"/>
      <c r="BO5298" s="81"/>
      <c r="BP5298" s="81"/>
      <c r="BQ5298" s="81"/>
      <c r="BR5298" s="81"/>
      <c r="BS5298" s="81"/>
      <c r="BT5298" s="81"/>
    </row>
    <row r="5299" spans="65:72" x14ac:dyDescent="0.25">
      <c r="BM5299" s="81"/>
      <c r="BN5299" s="81"/>
      <c r="BO5299" s="81"/>
      <c r="BP5299" s="81"/>
      <c r="BQ5299" s="81"/>
      <c r="BR5299" s="81"/>
      <c r="BS5299" s="81"/>
      <c r="BT5299" s="81"/>
    </row>
    <row r="5300" spans="65:72" x14ac:dyDescent="0.25">
      <c r="BM5300" s="81"/>
      <c r="BN5300" s="81"/>
      <c r="BO5300" s="81"/>
      <c r="BP5300" s="81"/>
      <c r="BQ5300" s="81"/>
      <c r="BR5300" s="81"/>
      <c r="BS5300" s="81"/>
      <c r="BT5300" s="81"/>
    </row>
    <row r="5301" spans="65:72" x14ac:dyDescent="0.25">
      <c r="BM5301" s="81"/>
      <c r="BN5301" s="81"/>
      <c r="BO5301" s="81"/>
      <c r="BP5301" s="81"/>
      <c r="BQ5301" s="81"/>
      <c r="BR5301" s="81"/>
      <c r="BS5301" s="81"/>
      <c r="BT5301" s="81"/>
    </row>
    <row r="5302" spans="65:72" x14ac:dyDescent="0.25">
      <c r="BM5302" s="81"/>
      <c r="BN5302" s="81"/>
      <c r="BO5302" s="81"/>
      <c r="BP5302" s="81"/>
      <c r="BQ5302" s="81"/>
      <c r="BR5302" s="81"/>
      <c r="BS5302" s="81"/>
      <c r="BT5302" s="81"/>
    </row>
    <row r="5303" spans="65:72" x14ac:dyDescent="0.25">
      <c r="BM5303" s="81"/>
      <c r="BN5303" s="81"/>
      <c r="BO5303" s="81"/>
      <c r="BP5303" s="81"/>
      <c r="BQ5303" s="81"/>
      <c r="BR5303" s="81"/>
      <c r="BS5303" s="81"/>
      <c r="BT5303" s="81"/>
    </row>
    <row r="5304" spans="65:72" x14ac:dyDescent="0.25">
      <c r="BM5304" s="81"/>
      <c r="BN5304" s="81"/>
      <c r="BO5304" s="81"/>
      <c r="BP5304" s="81"/>
      <c r="BQ5304" s="81"/>
      <c r="BR5304" s="81"/>
      <c r="BS5304" s="81"/>
      <c r="BT5304" s="81"/>
    </row>
    <row r="5305" spans="65:72" x14ac:dyDescent="0.25">
      <c r="BM5305" s="81"/>
      <c r="BN5305" s="81"/>
      <c r="BO5305" s="81"/>
      <c r="BP5305" s="81"/>
      <c r="BQ5305" s="81"/>
      <c r="BR5305" s="81"/>
      <c r="BS5305" s="81"/>
      <c r="BT5305" s="81"/>
    </row>
    <row r="5306" spans="65:72" x14ac:dyDescent="0.25">
      <c r="BM5306" s="81"/>
      <c r="BN5306" s="81"/>
      <c r="BO5306" s="81"/>
      <c r="BP5306" s="81"/>
      <c r="BQ5306" s="81"/>
      <c r="BR5306" s="81"/>
      <c r="BS5306" s="81"/>
      <c r="BT5306" s="81"/>
    </row>
    <row r="5307" spans="65:72" x14ac:dyDescent="0.25">
      <c r="BM5307" s="81"/>
      <c r="BN5307" s="81"/>
      <c r="BO5307" s="81"/>
      <c r="BP5307" s="81"/>
      <c r="BQ5307" s="81"/>
      <c r="BR5307" s="81"/>
      <c r="BS5307" s="81"/>
      <c r="BT5307" s="81"/>
    </row>
    <row r="5308" spans="65:72" x14ac:dyDescent="0.25">
      <c r="BM5308" s="81"/>
      <c r="BN5308" s="81"/>
      <c r="BO5308" s="81"/>
      <c r="BP5308" s="81"/>
      <c r="BQ5308" s="81"/>
      <c r="BR5308" s="81"/>
      <c r="BS5308" s="81"/>
      <c r="BT5308" s="81"/>
    </row>
    <row r="5309" spans="65:72" x14ac:dyDescent="0.25">
      <c r="BM5309" s="81"/>
      <c r="BN5309" s="81"/>
      <c r="BO5309" s="81"/>
      <c r="BP5309" s="81"/>
      <c r="BQ5309" s="81"/>
      <c r="BR5309" s="81"/>
      <c r="BS5309" s="81"/>
      <c r="BT5309" s="81"/>
    </row>
    <row r="5310" spans="65:72" x14ac:dyDescent="0.25">
      <c r="BM5310" s="81"/>
      <c r="BN5310" s="81"/>
      <c r="BO5310" s="81"/>
      <c r="BP5310" s="81"/>
      <c r="BQ5310" s="81"/>
      <c r="BR5310" s="81"/>
      <c r="BS5310" s="81"/>
      <c r="BT5310" s="81"/>
    </row>
    <row r="5311" spans="65:72" x14ac:dyDescent="0.25">
      <c r="BM5311" s="81"/>
      <c r="BN5311" s="81"/>
      <c r="BO5311" s="81"/>
      <c r="BP5311" s="81"/>
      <c r="BQ5311" s="81"/>
      <c r="BR5311" s="81"/>
      <c r="BS5311" s="81"/>
      <c r="BT5311" s="81"/>
    </row>
    <row r="5312" spans="65:72" x14ac:dyDescent="0.25">
      <c r="BM5312" s="81"/>
      <c r="BN5312" s="81"/>
      <c r="BO5312" s="81"/>
      <c r="BP5312" s="81"/>
      <c r="BQ5312" s="81"/>
      <c r="BR5312" s="81"/>
      <c r="BS5312" s="81"/>
      <c r="BT5312" s="81"/>
    </row>
    <row r="5313" spans="65:72" x14ac:dyDescent="0.25">
      <c r="BM5313" s="81"/>
      <c r="BN5313" s="81"/>
      <c r="BO5313" s="81"/>
      <c r="BP5313" s="81"/>
      <c r="BQ5313" s="81"/>
      <c r="BR5313" s="81"/>
      <c r="BS5313" s="81"/>
      <c r="BT5313" s="81"/>
    </row>
    <row r="5314" spans="65:72" x14ac:dyDescent="0.25">
      <c r="BM5314" s="81"/>
      <c r="BN5314" s="81"/>
      <c r="BO5314" s="81"/>
      <c r="BP5314" s="81"/>
      <c r="BQ5314" s="81"/>
      <c r="BR5314" s="81"/>
      <c r="BS5314" s="81"/>
      <c r="BT5314" s="81"/>
    </row>
    <row r="5315" spans="65:72" x14ac:dyDescent="0.25">
      <c r="BM5315" s="81"/>
      <c r="BN5315" s="81"/>
      <c r="BO5315" s="81"/>
      <c r="BP5315" s="81"/>
      <c r="BQ5315" s="81"/>
      <c r="BR5315" s="81"/>
      <c r="BS5315" s="81"/>
      <c r="BT5315" s="81"/>
    </row>
    <row r="5316" spans="65:72" x14ac:dyDescent="0.25">
      <c r="BM5316" s="81"/>
      <c r="BN5316" s="81"/>
      <c r="BO5316" s="81"/>
      <c r="BP5316" s="81"/>
      <c r="BQ5316" s="81"/>
      <c r="BR5316" s="81"/>
      <c r="BS5316" s="81"/>
      <c r="BT5316" s="81"/>
    </row>
    <row r="5317" spans="65:72" x14ac:dyDescent="0.25">
      <c r="BM5317" s="81"/>
      <c r="BN5317" s="81"/>
      <c r="BO5317" s="81"/>
      <c r="BP5317" s="81"/>
      <c r="BQ5317" s="81"/>
      <c r="BR5317" s="81"/>
      <c r="BS5317" s="81"/>
      <c r="BT5317" s="81"/>
    </row>
    <row r="5318" spans="65:72" x14ac:dyDescent="0.25">
      <c r="BM5318" s="81"/>
      <c r="BN5318" s="81"/>
      <c r="BO5318" s="81"/>
      <c r="BP5318" s="81"/>
      <c r="BQ5318" s="81"/>
      <c r="BR5318" s="81"/>
      <c r="BS5318" s="81"/>
      <c r="BT5318" s="81"/>
    </row>
    <row r="5319" spans="65:72" x14ac:dyDescent="0.25">
      <c r="BM5319" s="81"/>
      <c r="BN5319" s="81"/>
      <c r="BO5319" s="81"/>
      <c r="BP5319" s="81"/>
      <c r="BQ5319" s="81"/>
      <c r="BR5319" s="81"/>
      <c r="BS5319" s="81"/>
      <c r="BT5319" s="81"/>
    </row>
    <row r="5320" spans="65:72" x14ac:dyDescent="0.25">
      <c r="BM5320" s="81"/>
      <c r="BN5320" s="81"/>
      <c r="BO5320" s="81"/>
      <c r="BP5320" s="81"/>
      <c r="BQ5320" s="81"/>
      <c r="BR5320" s="81"/>
      <c r="BS5320" s="81"/>
      <c r="BT5320" s="81"/>
    </row>
    <row r="5321" spans="65:72" x14ac:dyDescent="0.25">
      <c r="BM5321" s="81"/>
      <c r="BN5321" s="81"/>
      <c r="BO5321" s="81"/>
      <c r="BP5321" s="81"/>
      <c r="BQ5321" s="81"/>
      <c r="BR5321" s="81"/>
      <c r="BS5321" s="81"/>
      <c r="BT5321" s="81"/>
    </row>
    <row r="5322" spans="65:72" x14ac:dyDescent="0.25">
      <c r="BM5322" s="81"/>
      <c r="BN5322" s="81"/>
      <c r="BO5322" s="81"/>
      <c r="BP5322" s="81"/>
      <c r="BQ5322" s="81"/>
      <c r="BR5322" s="81"/>
      <c r="BS5322" s="81"/>
      <c r="BT5322" s="81"/>
    </row>
    <row r="5323" spans="65:72" x14ac:dyDescent="0.25">
      <c r="BM5323" s="81"/>
      <c r="BN5323" s="81"/>
      <c r="BO5323" s="81"/>
      <c r="BP5323" s="81"/>
      <c r="BQ5323" s="81"/>
      <c r="BR5323" s="81"/>
      <c r="BS5323" s="81"/>
      <c r="BT5323" s="81"/>
    </row>
    <row r="5324" spans="65:72" x14ac:dyDescent="0.25">
      <c r="BM5324" s="81"/>
      <c r="BN5324" s="81"/>
      <c r="BO5324" s="81"/>
      <c r="BP5324" s="81"/>
      <c r="BQ5324" s="81"/>
      <c r="BR5324" s="81"/>
      <c r="BS5324" s="81"/>
      <c r="BT5324" s="81"/>
    </row>
    <row r="5325" spans="65:72" x14ac:dyDescent="0.25">
      <c r="BM5325" s="81"/>
      <c r="BN5325" s="81"/>
      <c r="BO5325" s="81"/>
      <c r="BP5325" s="81"/>
      <c r="BQ5325" s="81"/>
      <c r="BR5325" s="81"/>
      <c r="BS5325" s="81"/>
      <c r="BT5325" s="81"/>
    </row>
    <row r="5326" spans="65:72" x14ac:dyDescent="0.25">
      <c r="BM5326" s="81"/>
      <c r="BN5326" s="81"/>
      <c r="BO5326" s="81"/>
      <c r="BP5326" s="81"/>
      <c r="BQ5326" s="81"/>
      <c r="BR5326" s="81"/>
      <c r="BS5326" s="81"/>
      <c r="BT5326" s="81"/>
    </row>
    <row r="5327" spans="65:72" x14ac:dyDescent="0.25">
      <c r="BM5327" s="81"/>
      <c r="BN5327" s="81"/>
      <c r="BO5327" s="81"/>
      <c r="BP5327" s="81"/>
      <c r="BQ5327" s="81"/>
      <c r="BR5327" s="81"/>
      <c r="BS5327" s="81"/>
      <c r="BT5327" s="81"/>
    </row>
    <row r="5328" spans="65:72" x14ac:dyDescent="0.25">
      <c r="BM5328" s="81"/>
      <c r="BN5328" s="81"/>
      <c r="BO5328" s="81"/>
      <c r="BP5328" s="81"/>
      <c r="BQ5328" s="81"/>
      <c r="BR5328" s="81"/>
      <c r="BS5328" s="81"/>
      <c r="BT5328" s="81"/>
    </row>
    <row r="5329" spans="65:72" x14ac:dyDescent="0.25">
      <c r="BM5329" s="81"/>
      <c r="BN5329" s="81"/>
      <c r="BO5329" s="81"/>
      <c r="BP5329" s="81"/>
      <c r="BQ5329" s="81"/>
      <c r="BR5329" s="81"/>
      <c r="BS5329" s="81"/>
      <c r="BT5329" s="81"/>
    </row>
    <row r="5330" spans="65:72" x14ac:dyDescent="0.25">
      <c r="BM5330" s="81"/>
      <c r="BN5330" s="81"/>
      <c r="BO5330" s="81"/>
      <c r="BP5330" s="81"/>
      <c r="BQ5330" s="81"/>
      <c r="BR5330" s="81"/>
      <c r="BS5330" s="81"/>
      <c r="BT5330" s="81"/>
    </row>
    <row r="5331" spans="65:72" x14ac:dyDescent="0.25">
      <c r="BM5331" s="81"/>
      <c r="BN5331" s="81"/>
      <c r="BO5331" s="81"/>
      <c r="BP5331" s="81"/>
      <c r="BQ5331" s="81"/>
      <c r="BR5331" s="81"/>
      <c r="BS5331" s="81"/>
      <c r="BT5331" s="81"/>
    </row>
    <row r="5332" spans="65:72" x14ac:dyDescent="0.25">
      <c r="BM5332" s="81"/>
      <c r="BN5332" s="81"/>
      <c r="BO5332" s="81"/>
      <c r="BP5332" s="81"/>
      <c r="BQ5332" s="81"/>
      <c r="BR5332" s="81"/>
      <c r="BS5332" s="81"/>
      <c r="BT5332" s="81"/>
    </row>
    <row r="5333" spans="65:72" x14ac:dyDescent="0.25">
      <c r="BM5333" s="81"/>
      <c r="BN5333" s="81"/>
      <c r="BO5333" s="81"/>
      <c r="BP5333" s="81"/>
      <c r="BQ5333" s="81"/>
      <c r="BR5333" s="81"/>
      <c r="BS5333" s="81"/>
      <c r="BT5333" s="81"/>
    </row>
    <row r="5334" spans="65:72" x14ac:dyDescent="0.25">
      <c r="BM5334" s="81"/>
      <c r="BN5334" s="81"/>
      <c r="BO5334" s="81"/>
      <c r="BP5334" s="81"/>
      <c r="BQ5334" s="81"/>
      <c r="BR5334" s="81"/>
      <c r="BS5334" s="81"/>
      <c r="BT5334" s="81"/>
    </row>
    <row r="5335" spans="65:72" x14ac:dyDescent="0.25">
      <c r="BM5335" s="81"/>
      <c r="BN5335" s="81"/>
      <c r="BO5335" s="81"/>
      <c r="BP5335" s="81"/>
      <c r="BQ5335" s="81"/>
      <c r="BR5335" s="81"/>
      <c r="BS5335" s="81"/>
      <c r="BT5335" s="81"/>
    </row>
    <row r="5336" spans="65:72" x14ac:dyDescent="0.25">
      <c r="BM5336" s="81"/>
      <c r="BN5336" s="81"/>
      <c r="BO5336" s="81"/>
      <c r="BP5336" s="81"/>
      <c r="BQ5336" s="81"/>
      <c r="BR5336" s="81"/>
      <c r="BS5336" s="81"/>
      <c r="BT5336" s="81"/>
    </row>
    <row r="5337" spans="65:72" x14ac:dyDescent="0.25">
      <c r="BM5337" s="81"/>
      <c r="BN5337" s="81"/>
      <c r="BO5337" s="81"/>
      <c r="BP5337" s="81"/>
      <c r="BQ5337" s="81"/>
      <c r="BR5337" s="81"/>
      <c r="BS5337" s="81"/>
      <c r="BT5337" s="81"/>
    </row>
    <row r="5338" spans="65:72" x14ac:dyDescent="0.25">
      <c r="BM5338" s="81"/>
      <c r="BN5338" s="81"/>
      <c r="BO5338" s="81"/>
      <c r="BP5338" s="81"/>
      <c r="BQ5338" s="81"/>
      <c r="BR5338" s="81"/>
      <c r="BS5338" s="81"/>
      <c r="BT5338" s="81"/>
    </row>
    <row r="5339" spans="65:72" x14ac:dyDescent="0.25">
      <c r="BM5339" s="81"/>
      <c r="BN5339" s="81"/>
      <c r="BO5339" s="81"/>
      <c r="BP5339" s="81"/>
      <c r="BQ5339" s="81"/>
      <c r="BR5339" s="81"/>
      <c r="BS5339" s="81"/>
      <c r="BT5339" s="81"/>
    </row>
    <row r="5340" spans="65:72" x14ac:dyDescent="0.25">
      <c r="BM5340" s="81"/>
      <c r="BN5340" s="81"/>
      <c r="BO5340" s="81"/>
      <c r="BP5340" s="81"/>
      <c r="BQ5340" s="81"/>
      <c r="BR5340" s="81"/>
      <c r="BS5340" s="81"/>
      <c r="BT5340" s="81"/>
    </row>
    <row r="5341" spans="65:72" x14ac:dyDescent="0.25">
      <c r="BM5341" s="81"/>
      <c r="BN5341" s="81"/>
      <c r="BO5341" s="81"/>
      <c r="BP5341" s="81"/>
      <c r="BQ5341" s="81"/>
      <c r="BR5341" s="81"/>
      <c r="BS5341" s="81"/>
      <c r="BT5341" s="81"/>
    </row>
    <row r="5342" spans="65:72" x14ac:dyDescent="0.25">
      <c r="BM5342" s="81"/>
      <c r="BN5342" s="81"/>
      <c r="BO5342" s="81"/>
      <c r="BP5342" s="81"/>
      <c r="BQ5342" s="81"/>
      <c r="BR5342" s="81"/>
      <c r="BS5342" s="81"/>
      <c r="BT5342" s="81"/>
    </row>
    <row r="5343" spans="65:72" x14ac:dyDescent="0.25">
      <c r="BM5343" s="81"/>
      <c r="BN5343" s="81"/>
      <c r="BO5343" s="81"/>
      <c r="BP5343" s="81"/>
      <c r="BQ5343" s="81"/>
      <c r="BR5343" s="81"/>
      <c r="BS5343" s="81"/>
      <c r="BT5343" s="81"/>
    </row>
    <row r="5344" spans="65:72" x14ac:dyDescent="0.25">
      <c r="BM5344" s="81"/>
      <c r="BN5344" s="81"/>
      <c r="BO5344" s="81"/>
      <c r="BP5344" s="81"/>
      <c r="BQ5344" s="81"/>
      <c r="BR5344" s="81"/>
      <c r="BS5344" s="81"/>
      <c r="BT5344" s="81"/>
    </row>
    <row r="5345" spans="65:72" x14ac:dyDescent="0.25">
      <c r="BM5345" s="81"/>
      <c r="BN5345" s="81"/>
      <c r="BO5345" s="81"/>
      <c r="BP5345" s="81"/>
      <c r="BQ5345" s="81"/>
      <c r="BR5345" s="81"/>
      <c r="BS5345" s="81"/>
      <c r="BT5345" s="81"/>
    </row>
    <row r="5346" spans="65:72" x14ac:dyDescent="0.25">
      <c r="BM5346" s="81"/>
      <c r="BN5346" s="81"/>
      <c r="BO5346" s="81"/>
      <c r="BP5346" s="81"/>
      <c r="BQ5346" s="81"/>
      <c r="BR5346" s="81"/>
      <c r="BS5346" s="81"/>
      <c r="BT5346" s="81"/>
    </row>
    <row r="5347" spans="65:72" x14ac:dyDescent="0.25">
      <c r="BM5347" s="81"/>
      <c r="BN5347" s="81"/>
      <c r="BO5347" s="81"/>
      <c r="BP5347" s="81"/>
      <c r="BQ5347" s="81"/>
      <c r="BR5347" s="81"/>
      <c r="BS5347" s="81"/>
      <c r="BT5347" s="81"/>
    </row>
    <row r="5348" spans="65:72" x14ac:dyDescent="0.25">
      <c r="BM5348" s="81"/>
      <c r="BN5348" s="81"/>
      <c r="BO5348" s="81"/>
      <c r="BP5348" s="81"/>
      <c r="BQ5348" s="81"/>
      <c r="BR5348" s="81"/>
      <c r="BS5348" s="81"/>
      <c r="BT5348" s="81"/>
    </row>
    <row r="5349" spans="65:72" x14ac:dyDescent="0.25">
      <c r="BM5349" s="81"/>
      <c r="BN5349" s="81"/>
      <c r="BO5349" s="81"/>
      <c r="BP5349" s="81"/>
      <c r="BQ5349" s="81"/>
      <c r="BR5349" s="81"/>
      <c r="BS5349" s="81"/>
      <c r="BT5349" s="81"/>
    </row>
    <row r="5350" spans="65:72" x14ac:dyDescent="0.25">
      <c r="BM5350" s="81"/>
      <c r="BN5350" s="81"/>
      <c r="BO5350" s="81"/>
      <c r="BP5350" s="81"/>
      <c r="BQ5350" s="81"/>
      <c r="BR5350" s="81"/>
      <c r="BS5350" s="81"/>
      <c r="BT5350" s="81"/>
    </row>
    <row r="5351" spans="65:72" x14ac:dyDescent="0.25">
      <c r="BM5351" s="81"/>
      <c r="BN5351" s="81"/>
      <c r="BO5351" s="81"/>
      <c r="BP5351" s="81"/>
      <c r="BQ5351" s="81"/>
      <c r="BR5351" s="81"/>
      <c r="BS5351" s="81"/>
      <c r="BT5351" s="81"/>
    </row>
    <row r="5352" spans="65:72" x14ac:dyDescent="0.25">
      <c r="BM5352" s="81"/>
      <c r="BN5352" s="81"/>
      <c r="BO5352" s="81"/>
      <c r="BP5352" s="81"/>
      <c r="BQ5352" s="81"/>
      <c r="BR5352" s="81"/>
      <c r="BS5352" s="81"/>
      <c r="BT5352" s="81"/>
    </row>
    <row r="5353" spans="65:72" x14ac:dyDescent="0.25">
      <c r="BM5353" s="81"/>
      <c r="BN5353" s="81"/>
      <c r="BO5353" s="81"/>
      <c r="BP5353" s="81"/>
      <c r="BQ5353" s="81"/>
      <c r="BR5353" s="81"/>
      <c r="BS5353" s="81"/>
      <c r="BT5353" s="81"/>
    </row>
    <row r="5354" spans="65:72" x14ac:dyDescent="0.25">
      <c r="BM5354" s="81"/>
      <c r="BN5354" s="81"/>
      <c r="BO5354" s="81"/>
      <c r="BP5354" s="81"/>
      <c r="BQ5354" s="81"/>
      <c r="BR5354" s="81"/>
      <c r="BS5354" s="81"/>
      <c r="BT5354" s="81"/>
    </row>
    <row r="5355" spans="65:72" x14ac:dyDescent="0.25">
      <c r="BM5355" s="81"/>
      <c r="BN5355" s="81"/>
      <c r="BO5355" s="81"/>
      <c r="BP5355" s="81"/>
      <c r="BQ5355" s="81"/>
      <c r="BR5355" s="81"/>
      <c r="BS5355" s="81"/>
      <c r="BT5355" s="81"/>
    </row>
    <row r="5356" spans="65:72" x14ac:dyDescent="0.25">
      <c r="BM5356" s="81"/>
      <c r="BN5356" s="81"/>
      <c r="BO5356" s="81"/>
      <c r="BP5356" s="81"/>
      <c r="BQ5356" s="81"/>
      <c r="BR5356" s="81"/>
      <c r="BS5356" s="81"/>
      <c r="BT5356" s="81"/>
    </row>
    <row r="5357" spans="65:72" x14ac:dyDescent="0.25">
      <c r="BM5357" s="81"/>
      <c r="BN5357" s="81"/>
      <c r="BO5357" s="81"/>
      <c r="BP5357" s="81"/>
      <c r="BQ5357" s="81"/>
      <c r="BR5357" s="81"/>
      <c r="BS5357" s="81"/>
      <c r="BT5357" s="81"/>
    </row>
    <row r="5358" spans="65:72" x14ac:dyDescent="0.25">
      <c r="BM5358" s="81"/>
      <c r="BN5358" s="81"/>
      <c r="BO5358" s="81"/>
      <c r="BP5358" s="81"/>
      <c r="BQ5358" s="81"/>
      <c r="BR5358" s="81"/>
      <c r="BS5358" s="81"/>
      <c r="BT5358" s="81"/>
    </row>
    <row r="5359" spans="65:72" x14ac:dyDescent="0.25">
      <c r="BM5359" s="81"/>
      <c r="BN5359" s="81"/>
      <c r="BO5359" s="81"/>
      <c r="BP5359" s="81"/>
      <c r="BQ5359" s="81"/>
      <c r="BR5359" s="81"/>
      <c r="BS5359" s="81"/>
      <c r="BT5359" s="81"/>
    </row>
    <row r="5360" spans="65:72" x14ac:dyDescent="0.25">
      <c r="BM5360" s="81"/>
      <c r="BN5360" s="81"/>
      <c r="BO5360" s="81"/>
      <c r="BP5360" s="81"/>
      <c r="BQ5360" s="81"/>
      <c r="BR5360" s="81"/>
      <c r="BS5360" s="81"/>
      <c r="BT5360" s="81"/>
    </row>
    <row r="5361" spans="65:72" x14ac:dyDescent="0.25">
      <c r="BM5361" s="81"/>
      <c r="BN5361" s="81"/>
      <c r="BO5361" s="81"/>
      <c r="BP5361" s="81"/>
      <c r="BQ5361" s="81"/>
      <c r="BR5361" s="81"/>
      <c r="BS5361" s="81"/>
      <c r="BT5361" s="81"/>
    </row>
    <row r="5362" spans="65:72" x14ac:dyDescent="0.25">
      <c r="BM5362" s="81"/>
      <c r="BN5362" s="81"/>
      <c r="BO5362" s="81"/>
      <c r="BP5362" s="81"/>
      <c r="BQ5362" s="81"/>
      <c r="BR5362" s="81"/>
      <c r="BS5362" s="81"/>
      <c r="BT5362" s="81"/>
    </row>
    <row r="5363" spans="65:72" x14ac:dyDescent="0.25">
      <c r="BM5363" s="81"/>
      <c r="BN5363" s="81"/>
      <c r="BO5363" s="81"/>
      <c r="BP5363" s="81"/>
      <c r="BQ5363" s="81"/>
      <c r="BR5363" s="81"/>
      <c r="BS5363" s="81"/>
      <c r="BT5363" s="81"/>
    </row>
    <row r="5364" spans="65:72" x14ac:dyDescent="0.25">
      <c r="BM5364" s="81"/>
      <c r="BN5364" s="81"/>
      <c r="BO5364" s="81"/>
      <c r="BP5364" s="81"/>
      <c r="BQ5364" s="81"/>
      <c r="BR5364" s="81"/>
      <c r="BS5364" s="81"/>
      <c r="BT5364" s="81"/>
    </row>
    <row r="5365" spans="65:72" x14ac:dyDescent="0.25">
      <c r="BM5365" s="81"/>
      <c r="BN5365" s="81"/>
      <c r="BO5365" s="81"/>
      <c r="BP5365" s="81"/>
      <c r="BQ5365" s="81"/>
      <c r="BR5365" s="81"/>
      <c r="BS5365" s="81"/>
      <c r="BT5365" s="81"/>
    </row>
    <row r="5366" spans="65:72" x14ac:dyDescent="0.25">
      <c r="BM5366" s="81"/>
      <c r="BN5366" s="81"/>
      <c r="BO5366" s="81"/>
      <c r="BP5366" s="81"/>
      <c r="BQ5366" s="81"/>
      <c r="BR5366" s="81"/>
      <c r="BS5366" s="81"/>
      <c r="BT5366" s="81"/>
    </row>
    <row r="5367" spans="65:72" x14ac:dyDescent="0.25">
      <c r="BM5367" s="81"/>
      <c r="BN5367" s="81"/>
      <c r="BO5367" s="81"/>
      <c r="BP5367" s="81"/>
      <c r="BQ5367" s="81"/>
      <c r="BR5367" s="81"/>
      <c r="BS5367" s="81"/>
      <c r="BT5367" s="81"/>
    </row>
    <row r="5368" spans="65:72" x14ac:dyDescent="0.25">
      <c r="BM5368" s="81"/>
      <c r="BN5368" s="81"/>
      <c r="BO5368" s="81"/>
      <c r="BP5368" s="81"/>
      <c r="BQ5368" s="81"/>
      <c r="BR5368" s="81"/>
      <c r="BS5368" s="81"/>
      <c r="BT5368" s="81"/>
    </row>
    <row r="5369" spans="65:72" x14ac:dyDescent="0.25">
      <c r="BM5369" s="81"/>
      <c r="BN5369" s="81"/>
      <c r="BO5369" s="81"/>
      <c r="BP5369" s="81"/>
      <c r="BQ5369" s="81"/>
      <c r="BR5369" s="81"/>
      <c r="BS5369" s="81"/>
      <c r="BT5369" s="81"/>
    </row>
    <row r="5370" spans="65:72" x14ac:dyDescent="0.25">
      <c r="BM5370" s="81"/>
      <c r="BN5370" s="81"/>
      <c r="BO5370" s="81"/>
      <c r="BP5370" s="81"/>
      <c r="BQ5370" s="81"/>
      <c r="BR5370" s="81"/>
      <c r="BS5370" s="81"/>
      <c r="BT5370" s="81"/>
    </row>
    <row r="5371" spans="65:72" x14ac:dyDescent="0.25">
      <c r="BM5371" s="81"/>
      <c r="BN5371" s="81"/>
      <c r="BO5371" s="81"/>
      <c r="BP5371" s="81"/>
      <c r="BQ5371" s="81"/>
      <c r="BR5371" s="81"/>
      <c r="BS5371" s="81"/>
      <c r="BT5371" s="81"/>
    </row>
    <row r="5372" spans="65:72" x14ac:dyDescent="0.25">
      <c r="BM5372" s="81"/>
      <c r="BN5372" s="81"/>
      <c r="BO5372" s="81"/>
      <c r="BP5372" s="81"/>
      <c r="BQ5372" s="81"/>
      <c r="BR5372" s="81"/>
      <c r="BS5372" s="81"/>
      <c r="BT5372" s="81"/>
    </row>
    <row r="5373" spans="65:72" x14ac:dyDescent="0.25">
      <c r="BM5373" s="81"/>
      <c r="BN5373" s="81"/>
      <c r="BO5373" s="81"/>
      <c r="BP5373" s="81"/>
      <c r="BQ5373" s="81"/>
      <c r="BR5373" s="81"/>
      <c r="BS5373" s="81"/>
      <c r="BT5373" s="81"/>
    </row>
    <row r="5374" spans="65:72" x14ac:dyDescent="0.25">
      <c r="BM5374" s="81"/>
      <c r="BN5374" s="81"/>
      <c r="BO5374" s="81"/>
      <c r="BP5374" s="81"/>
      <c r="BQ5374" s="81"/>
      <c r="BR5374" s="81"/>
      <c r="BS5374" s="81"/>
      <c r="BT5374" s="81"/>
    </row>
    <row r="5375" spans="65:72" x14ac:dyDescent="0.25">
      <c r="BM5375" s="81"/>
      <c r="BN5375" s="81"/>
      <c r="BO5375" s="81"/>
      <c r="BP5375" s="81"/>
      <c r="BQ5375" s="81"/>
      <c r="BR5375" s="81"/>
      <c r="BS5375" s="81"/>
      <c r="BT5375" s="81"/>
    </row>
    <row r="5376" spans="65:72" x14ac:dyDescent="0.25">
      <c r="BM5376" s="81"/>
      <c r="BN5376" s="81"/>
      <c r="BO5376" s="81"/>
      <c r="BP5376" s="81"/>
      <c r="BQ5376" s="81"/>
      <c r="BR5376" s="81"/>
      <c r="BS5376" s="81"/>
      <c r="BT5376" s="81"/>
    </row>
    <row r="5377" spans="65:72" x14ac:dyDescent="0.25">
      <c r="BM5377" s="81"/>
      <c r="BN5377" s="81"/>
      <c r="BO5377" s="81"/>
      <c r="BP5377" s="81"/>
      <c r="BQ5377" s="81"/>
      <c r="BR5377" s="81"/>
      <c r="BS5377" s="81"/>
      <c r="BT5377" s="81"/>
    </row>
    <row r="5378" spans="65:72" x14ac:dyDescent="0.25">
      <c r="BM5378" s="81"/>
      <c r="BN5378" s="81"/>
      <c r="BO5378" s="81"/>
      <c r="BP5378" s="81"/>
      <c r="BQ5378" s="81"/>
      <c r="BR5378" s="81"/>
      <c r="BS5378" s="81"/>
      <c r="BT5378" s="81"/>
    </row>
    <row r="5379" spans="65:72" x14ac:dyDescent="0.25">
      <c r="BM5379" s="81"/>
      <c r="BN5379" s="81"/>
      <c r="BO5379" s="81"/>
      <c r="BP5379" s="81"/>
      <c r="BQ5379" s="81"/>
      <c r="BR5379" s="81"/>
      <c r="BS5379" s="81"/>
      <c r="BT5379" s="81"/>
    </row>
    <row r="5380" spans="65:72" x14ac:dyDescent="0.25">
      <c r="BM5380" s="81"/>
      <c r="BN5380" s="81"/>
      <c r="BO5380" s="81"/>
      <c r="BP5380" s="81"/>
      <c r="BQ5380" s="81"/>
      <c r="BR5380" s="81"/>
      <c r="BS5380" s="81"/>
      <c r="BT5380" s="81"/>
    </row>
    <row r="5381" spans="65:72" x14ac:dyDescent="0.25">
      <c r="BM5381" s="81"/>
      <c r="BN5381" s="81"/>
      <c r="BO5381" s="81"/>
      <c r="BP5381" s="81"/>
      <c r="BQ5381" s="81"/>
      <c r="BR5381" s="81"/>
      <c r="BS5381" s="81"/>
      <c r="BT5381" s="81"/>
    </row>
    <row r="5382" spans="65:72" x14ac:dyDescent="0.25">
      <c r="BM5382" s="81"/>
      <c r="BN5382" s="81"/>
      <c r="BO5382" s="81"/>
      <c r="BP5382" s="81"/>
      <c r="BQ5382" s="81"/>
      <c r="BR5382" s="81"/>
      <c r="BS5382" s="81"/>
      <c r="BT5382" s="81"/>
    </row>
    <row r="5383" spans="65:72" x14ac:dyDescent="0.25">
      <c r="BM5383" s="81"/>
      <c r="BN5383" s="81"/>
      <c r="BO5383" s="81"/>
      <c r="BP5383" s="81"/>
      <c r="BQ5383" s="81"/>
      <c r="BR5383" s="81"/>
      <c r="BS5383" s="81"/>
      <c r="BT5383" s="81"/>
    </row>
    <row r="5384" spans="65:72" x14ac:dyDescent="0.25">
      <c r="BM5384" s="81"/>
      <c r="BN5384" s="81"/>
      <c r="BO5384" s="81"/>
      <c r="BP5384" s="81"/>
      <c r="BQ5384" s="81"/>
      <c r="BR5384" s="81"/>
      <c r="BS5384" s="81"/>
      <c r="BT5384" s="81"/>
    </row>
    <row r="5385" spans="65:72" x14ac:dyDescent="0.25">
      <c r="BM5385" s="81"/>
      <c r="BN5385" s="81"/>
      <c r="BO5385" s="81"/>
      <c r="BP5385" s="81"/>
      <c r="BQ5385" s="81"/>
      <c r="BR5385" s="81"/>
      <c r="BS5385" s="81"/>
      <c r="BT5385" s="81"/>
    </row>
    <row r="5386" spans="65:72" x14ac:dyDescent="0.25">
      <c r="BM5386" s="81"/>
      <c r="BN5386" s="81"/>
      <c r="BO5386" s="81"/>
      <c r="BP5386" s="81"/>
      <c r="BQ5386" s="81"/>
      <c r="BR5386" s="81"/>
      <c r="BS5386" s="81"/>
      <c r="BT5386" s="81"/>
    </row>
    <row r="5387" spans="65:72" x14ac:dyDescent="0.25">
      <c r="BM5387" s="81"/>
      <c r="BN5387" s="81"/>
      <c r="BO5387" s="81"/>
      <c r="BP5387" s="81"/>
      <c r="BQ5387" s="81"/>
      <c r="BR5387" s="81"/>
      <c r="BS5387" s="81"/>
      <c r="BT5387" s="81"/>
    </row>
    <row r="5388" spans="65:72" x14ac:dyDescent="0.25">
      <c r="BM5388" s="81"/>
      <c r="BN5388" s="81"/>
      <c r="BO5388" s="81"/>
      <c r="BP5388" s="81"/>
      <c r="BQ5388" s="81"/>
      <c r="BR5388" s="81"/>
      <c r="BS5388" s="81"/>
      <c r="BT5388" s="81"/>
    </row>
    <row r="5389" spans="65:72" x14ac:dyDescent="0.25">
      <c r="BM5389" s="81"/>
      <c r="BN5389" s="81"/>
      <c r="BO5389" s="81"/>
      <c r="BP5389" s="81"/>
      <c r="BQ5389" s="81"/>
      <c r="BR5389" s="81"/>
      <c r="BS5389" s="81"/>
      <c r="BT5389" s="81"/>
    </row>
    <row r="5390" spans="65:72" x14ac:dyDescent="0.25">
      <c r="BM5390" s="81"/>
      <c r="BN5390" s="81"/>
      <c r="BO5390" s="81"/>
      <c r="BP5390" s="81"/>
      <c r="BQ5390" s="81"/>
      <c r="BR5390" s="81"/>
      <c r="BS5390" s="81"/>
      <c r="BT5390" s="81"/>
    </row>
    <row r="5391" spans="65:72" x14ac:dyDescent="0.25">
      <c r="BM5391" s="81"/>
      <c r="BN5391" s="81"/>
      <c r="BO5391" s="81"/>
      <c r="BP5391" s="81"/>
      <c r="BQ5391" s="81"/>
      <c r="BR5391" s="81"/>
      <c r="BS5391" s="81"/>
      <c r="BT5391" s="81"/>
    </row>
    <row r="5392" spans="65:72" x14ac:dyDescent="0.25">
      <c r="BM5392" s="81"/>
      <c r="BN5392" s="81"/>
      <c r="BO5392" s="81"/>
      <c r="BP5392" s="81"/>
      <c r="BQ5392" s="81"/>
      <c r="BR5392" s="81"/>
      <c r="BS5392" s="81"/>
      <c r="BT5392" s="81"/>
    </row>
    <row r="5393" spans="65:72" x14ac:dyDescent="0.25">
      <c r="BM5393" s="81"/>
      <c r="BN5393" s="81"/>
      <c r="BO5393" s="81"/>
      <c r="BP5393" s="81"/>
      <c r="BQ5393" s="81"/>
      <c r="BR5393" s="81"/>
      <c r="BS5393" s="81"/>
      <c r="BT5393" s="81"/>
    </row>
    <row r="5394" spans="65:72" x14ac:dyDescent="0.25">
      <c r="BM5394" s="81"/>
      <c r="BN5394" s="81"/>
      <c r="BO5394" s="81"/>
      <c r="BP5394" s="81"/>
      <c r="BQ5394" s="81"/>
      <c r="BR5394" s="81"/>
      <c r="BS5394" s="81"/>
      <c r="BT5394" s="81"/>
    </row>
    <row r="5395" spans="65:72" x14ac:dyDescent="0.25">
      <c r="BM5395" s="81"/>
      <c r="BN5395" s="81"/>
      <c r="BO5395" s="81"/>
      <c r="BP5395" s="81"/>
      <c r="BQ5395" s="81"/>
      <c r="BR5395" s="81"/>
      <c r="BS5395" s="81"/>
      <c r="BT5395" s="81"/>
    </row>
    <row r="5396" spans="65:72" x14ac:dyDescent="0.25">
      <c r="BM5396" s="81"/>
      <c r="BN5396" s="81"/>
      <c r="BO5396" s="81"/>
      <c r="BP5396" s="81"/>
      <c r="BQ5396" s="81"/>
      <c r="BR5396" s="81"/>
      <c r="BS5396" s="81"/>
      <c r="BT5396" s="81"/>
    </row>
    <row r="5397" spans="65:72" x14ac:dyDescent="0.25">
      <c r="BM5397" s="81"/>
      <c r="BN5397" s="81"/>
      <c r="BO5397" s="81"/>
      <c r="BP5397" s="81"/>
      <c r="BQ5397" s="81"/>
      <c r="BR5397" s="81"/>
      <c r="BS5397" s="81"/>
      <c r="BT5397" s="81"/>
    </row>
    <row r="5398" spans="65:72" x14ac:dyDescent="0.25">
      <c r="BM5398" s="81"/>
      <c r="BN5398" s="81"/>
      <c r="BO5398" s="81"/>
      <c r="BP5398" s="81"/>
      <c r="BQ5398" s="81"/>
      <c r="BR5398" s="81"/>
      <c r="BS5398" s="81"/>
      <c r="BT5398" s="81"/>
    </row>
    <row r="5399" spans="65:72" x14ac:dyDescent="0.25">
      <c r="BM5399" s="81"/>
      <c r="BN5399" s="81"/>
      <c r="BO5399" s="81"/>
      <c r="BP5399" s="81"/>
      <c r="BQ5399" s="81"/>
      <c r="BR5399" s="81"/>
      <c r="BS5399" s="81"/>
      <c r="BT5399" s="81"/>
    </row>
    <row r="5400" spans="65:72" x14ac:dyDescent="0.25">
      <c r="BM5400" s="81"/>
      <c r="BN5400" s="81"/>
      <c r="BO5400" s="81"/>
      <c r="BP5400" s="81"/>
      <c r="BQ5400" s="81"/>
      <c r="BR5400" s="81"/>
      <c r="BS5400" s="81"/>
      <c r="BT5400" s="81"/>
    </row>
    <row r="5401" spans="65:72" x14ac:dyDescent="0.25">
      <c r="BM5401" s="81"/>
      <c r="BN5401" s="81"/>
      <c r="BO5401" s="81"/>
      <c r="BP5401" s="81"/>
      <c r="BQ5401" s="81"/>
      <c r="BR5401" s="81"/>
      <c r="BS5401" s="81"/>
      <c r="BT5401" s="81"/>
    </row>
    <row r="5402" spans="65:72" x14ac:dyDescent="0.25">
      <c r="BM5402" s="81"/>
      <c r="BN5402" s="81"/>
      <c r="BO5402" s="81"/>
      <c r="BP5402" s="81"/>
      <c r="BQ5402" s="81"/>
      <c r="BR5402" s="81"/>
      <c r="BS5402" s="81"/>
      <c r="BT5402" s="81"/>
    </row>
    <row r="5403" spans="65:72" x14ac:dyDescent="0.25">
      <c r="BM5403" s="81"/>
      <c r="BN5403" s="81"/>
      <c r="BO5403" s="81"/>
      <c r="BP5403" s="81"/>
      <c r="BQ5403" s="81"/>
      <c r="BR5403" s="81"/>
      <c r="BS5403" s="81"/>
      <c r="BT5403" s="81"/>
    </row>
    <row r="5404" spans="65:72" x14ac:dyDescent="0.25">
      <c r="BM5404" s="81"/>
      <c r="BN5404" s="81"/>
      <c r="BO5404" s="81"/>
      <c r="BP5404" s="81"/>
      <c r="BQ5404" s="81"/>
      <c r="BR5404" s="81"/>
      <c r="BS5404" s="81"/>
      <c r="BT5404" s="81"/>
    </row>
    <row r="5405" spans="65:72" x14ac:dyDescent="0.25">
      <c r="BM5405" s="81"/>
      <c r="BN5405" s="81"/>
      <c r="BO5405" s="81"/>
      <c r="BP5405" s="81"/>
      <c r="BQ5405" s="81"/>
      <c r="BR5405" s="81"/>
      <c r="BS5405" s="81"/>
      <c r="BT5405" s="81"/>
    </row>
    <row r="5406" spans="65:72" x14ac:dyDescent="0.25">
      <c r="BM5406" s="81"/>
      <c r="BN5406" s="81"/>
      <c r="BO5406" s="81"/>
      <c r="BP5406" s="81"/>
      <c r="BQ5406" s="81"/>
      <c r="BR5406" s="81"/>
      <c r="BS5406" s="81"/>
      <c r="BT5406" s="81"/>
    </row>
    <row r="5407" spans="65:72" x14ac:dyDescent="0.25">
      <c r="BM5407" s="81"/>
      <c r="BN5407" s="81"/>
      <c r="BO5407" s="81"/>
      <c r="BP5407" s="81"/>
      <c r="BQ5407" s="81"/>
      <c r="BR5407" s="81"/>
      <c r="BS5407" s="81"/>
      <c r="BT5407" s="81"/>
    </row>
    <row r="5408" spans="65:72" x14ac:dyDescent="0.25">
      <c r="BM5408" s="81"/>
      <c r="BN5408" s="81"/>
      <c r="BO5408" s="81"/>
      <c r="BP5408" s="81"/>
      <c r="BQ5408" s="81"/>
      <c r="BR5408" s="81"/>
      <c r="BS5408" s="81"/>
      <c r="BT5408" s="81"/>
    </row>
    <row r="5409" spans="65:72" x14ac:dyDescent="0.25">
      <c r="BM5409" s="81"/>
      <c r="BN5409" s="81"/>
      <c r="BO5409" s="81"/>
      <c r="BP5409" s="81"/>
      <c r="BQ5409" s="81"/>
      <c r="BR5409" s="81"/>
      <c r="BS5409" s="81"/>
      <c r="BT5409" s="81"/>
    </row>
    <row r="5410" spans="65:72" x14ac:dyDescent="0.25">
      <c r="BM5410" s="81"/>
      <c r="BN5410" s="81"/>
      <c r="BO5410" s="81"/>
      <c r="BP5410" s="81"/>
      <c r="BQ5410" s="81"/>
      <c r="BR5410" s="81"/>
      <c r="BS5410" s="81"/>
      <c r="BT5410" s="81"/>
    </row>
    <row r="5411" spans="65:72" x14ac:dyDescent="0.25">
      <c r="BM5411" s="81"/>
      <c r="BN5411" s="81"/>
      <c r="BO5411" s="81"/>
      <c r="BP5411" s="81"/>
      <c r="BQ5411" s="81"/>
      <c r="BR5411" s="81"/>
      <c r="BS5411" s="81"/>
      <c r="BT5411" s="81"/>
    </row>
    <row r="5412" spans="65:72" x14ac:dyDescent="0.25">
      <c r="BM5412" s="81"/>
      <c r="BN5412" s="81"/>
      <c r="BO5412" s="81"/>
      <c r="BP5412" s="81"/>
      <c r="BQ5412" s="81"/>
      <c r="BR5412" s="81"/>
      <c r="BS5412" s="81"/>
      <c r="BT5412" s="81"/>
    </row>
    <row r="5413" spans="65:72" x14ac:dyDescent="0.25">
      <c r="BM5413" s="81"/>
      <c r="BN5413" s="81"/>
      <c r="BO5413" s="81"/>
      <c r="BP5413" s="81"/>
      <c r="BQ5413" s="81"/>
      <c r="BR5413" s="81"/>
      <c r="BS5413" s="81"/>
      <c r="BT5413" s="81"/>
    </row>
    <row r="5414" spans="65:72" x14ac:dyDescent="0.25">
      <c r="BM5414" s="81"/>
      <c r="BN5414" s="81"/>
      <c r="BO5414" s="81"/>
      <c r="BP5414" s="81"/>
      <c r="BQ5414" s="81"/>
      <c r="BR5414" s="81"/>
      <c r="BS5414" s="81"/>
      <c r="BT5414" s="81"/>
    </row>
    <row r="5415" spans="65:72" x14ac:dyDescent="0.25">
      <c r="BM5415" s="81"/>
      <c r="BN5415" s="81"/>
      <c r="BO5415" s="81"/>
      <c r="BP5415" s="81"/>
      <c r="BQ5415" s="81"/>
      <c r="BR5415" s="81"/>
      <c r="BS5415" s="81"/>
      <c r="BT5415" s="81"/>
    </row>
    <row r="5416" spans="65:72" x14ac:dyDescent="0.25">
      <c r="BM5416" s="81"/>
      <c r="BN5416" s="81"/>
      <c r="BO5416" s="81"/>
      <c r="BP5416" s="81"/>
      <c r="BQ5416" s="81"/>
      <c r="BR5416" s="81"/>
      <c r="BS5416" s="81"/>
      <c r="BT5416" s="81"/>
    </row>
    <row r="5417" spans="65:72" x14ac:dyDescent="0.25">
      <c r="BM5417" s="81"/>
      <c r="BN5417" s="81"/>
      <c r="BO5417" s="81"/>
      <c r="BP5417" s="81"/>
      <c r="BQ5417" s="81"/>
      <c r="BR5417" s="81"/>
      <c r="BS5417" s="81"/>
      <c r="BT5417" s="81"/>
    </row>
    <row r="5418" spans="65:72" x14ac:dyDescent="0.25">
      <c r="BM5418" s="81"/>
      <c r="BN5418" s="81"/>
      <c r="BO5418" s="81"/>
      <c r="BP5418" s="81"/>
      <c r="BQ5418" s="81"/>
      <c r="BR5418" s="81"/>
      <c r="BS5418" s="81"/>
      <c r="BT5418" s="81"/>
    </row>
    <row r="5419" spans="65:72" x14ac:dyDescent="0.25">
      <c r="BM5419" s="81"/>
      <c r="BN5419" s="81"/>
      <c r="BO5419" s="81"/>
      <c r="BP5419" s="81"/>
      <c r="BQ5419" s="81"/>
      <c r="BR5419" s="81"/>
      <c r="BS5419" s="81"/>
      <c r="BT5419" s="81"/>
    </row>
    <row r="5420" spans="65:72" x14ac:dyDescent="0.25">
      <c r="BM5420" s="81"/>
      <c r="BN5420" s="81"/>
      <c r="BO5420" s="81"/>
      <c r="BP5420" s="81"/>
      <c r="BQ5420" s="81"/>
      <c r="BR5420" s="81"/>
      <c r="BS5420" s="81"/>
      <c r="BT5420" s="81"/>
    </row>
    <row r="5421" spans="65:72" x14ac:dyDescent="0.25">
      <c r="BM5421" s="81"/>
      <c r="BN5421" s="81"/>
      <c r="BO5421" s="81"/>
      <c r="BP5421" s="81"/>
      <c r="BQ5421" s="81"/>
      <c r="BR5421" s="81"/>
      <c r="BS5421" s="81"/>
      <c r="BT5421" s="81"/>
    </row>
    <row r="5422" spans="65:72" x14ac:dyDescent="0.25">
      <c r="BM5422" s="81"/>
      <c r="BN5422" s="81"/>
      <c r="BO5422" s="81"/>
      <c r="BP5422" s="81"/>
      <c r="BQ5422" s="81"/>
      <c r="BR5422" s="81"/>
      <c r="BS5422" s="81"/>
      <c r="BT5422" s="81"/>
    </row>
    <row r="5423" spans="65:72" x14ac:dyDescent="0.25">
      <c r="BM5423" s="81"/>
      <c r="BN5423" s="81"/>
      <c r="BO5423" s="81"/>
      <c r="BP5423" s="81"/>
      <c r="BQ5423" s="81"/>
      <c r="BR5423" s="81"/>
      <c r="BS5423" s="81"/>
      <c r="BT5423" s="81"/>
    </row>
    <row r="5424" spans="65:72" x14ac:dyDescent="0.25">
      <c r="BM5424" s="81"/>
      <c r="BN5424" s="81"/>
      <c r="BO5424" s="81"/>
      <c r="BP5424" s="81"/>
      <c r="BQ5424" s="81"/>
      <c r="BR5424" s="81"/>
      <c r="BS5424" s="81"/>
      <c r="BT5424" s="81"/>
    </row>
    <row r="5425" spans="65:72" x14ac:dyDescent="0.25">
      <c r="BM5425" s="81"/>
      <c r="BN5425" s="81"/>
      <c r="BO5425" s="81"/>
      <c r="BP5425" s="81"/>
      <c r="BQ5425" s="81"/>
      <c r="BR5425" s="81"/>
      <c r="BS5425" s="81"/>
      <c r="BT5425" s="81"/>
    </row>
    <row r="5426" spans="65:72" x14ac:dyDescent="0.25">
      <c r="BM5426" s="81"/>
      <c r="BN5426" s="81"/>
      <c r="BO5426" s="81"/>
      <c r="BP5426" s="81"/>
      <c r="BQ5426" s="81"/>
      <c r="BR5426" s="81"/>
      <c r="BS5426" s="81"/>
      <c r="BT5426" s="81"/>
    </row>
    <row r="5427" spans="65:72" x14ac:dyDescent="0.25">
      <c r="BM5427" s="81"/>
      <c r="BN5427" s="81"/>
      <c r="BO5427" s="81"/>
      <c r="BP5427" s="81"/>
      <c r="BQ5427" s="81"/>
      <c r="BR5427" s="81"/>
      <c r="BS5427" s="81"/>
      <c r="BT5427" s="81"/>
    </row>
    <row r="5428" spans="65:72" x14ac:dyDescent="0.25">
      <c r="BM5428" s="81"/>
      <c r="BN5428" s="81"/>
      <c r="BO5428" s="81"/>
      <c r="BP5428" s="81"/>
      <c r="BQ5428" s="81"/>
      <c r="BR5428" s="81"/>
      <c r="BS5428" s="81"/>
      <c r="BT5428" s="81"/>
    </row>
    <row r="5429" spans="65:72" x14ac:dyDescent="0.25">
      <c r="BM5429" s="81"/>
      <c r="BN5429" s="81"/>
      <c r="BO5429" s="81"/>
      <c r="BP5429" s="81"/>
      <c r="BQ5429" s="81"/>
      <c r="BR5429" s="81"/>
      <c r="BS5429" s="81"/>
      <c r="BT5429" s="81"/>
    </row>
    <row r="5430" spans="65:72" x14ac:dyDescent="0.25">
      <c r="BM5430" s="81"/>
      <c r="BN5430" s="81"/>
      <c r="BO5430" s="81"/>
      <c r="BP5430" s="81"/>
      <c r="BQ5430" s="81"/>
      <c r="BR5430" s="81"/>
      <c r="BS5430" s="81"/>
      <c r="BT5430" s="81"/>
    </row>
    <row r="5431" spans="65:72" x14ac:dyDescent="0.25">
      <c r="BM5431" s="81"/>
      <c r="BN5431" s="81"/>
      <c r="BO5431" s="81"/>
      <c r="BP5431" s="81"/>
      <c r="BQ5431" s="81"/>
      <c r="BR5431" s="81"/>
      <c r="BS5431" s="81"/>
      <c r="BT5431" s="81"/>
    </row>
    <row r="5432" spans="65:72" x14ac:dyDescent="0.25">
      <c r="BM5432" s="81"/>
      <c r="BN5432" s="81"/>
      <c r="BO5432" s="81"/>
      <c r="BP5432" s="81"/>
      <c r="BQ5432" s="81"/>
      <c r="BR5432" s="81"/>
      <c r="BS5432" s="81"/>
      <c r="BT5432" s="81"/>
    </row>
    <row r="5433" spans="65:72" x14ac:dyDescent="0.25">
      <c r="BM5433" s="81"/>
      <c r="BN5433" s="81"/>
      <c r="BO5433" s="81"/>
      <c r="BP5433" s="81"/>
      <c r="BQ5433" s="81"/>
      <c r="BR5433" s="81"/>
      <c r="BS5433" s="81"/>
      <c r="BT5433" s="81"/>
    </row>
    <row r="5434" spans="65:72" x14ac:dyDescent="0.25">
      <c r="BM5434" s="81"/>
      <c r="BN5434" s="81"/>
      <c r="BO5434" s="81"/>
      <c r="BP5434" s="81"/>
      <c r="BQ5434" s="81"/>
      <c r="BR5434" s="81"/>
      <c r="BS5434" s="81"/>
      <c r="BT5434" s="81"/>
    </row>
    <row r="5435" spans="65:72" x14ac:dyDescent="0.25">
      <c r="BM5435" s="81"/>
      <c r="BN5435" s="81"/>
      <c r="BO5435" s="81"/>
      <c r="BP5435" s="81"/>
      <c r="BQ5435" s="81"/>
      <c r="BR5435" s="81"/>
      <c r="BS5435" s="81"/>
      <c r="BT5435" s="81"/>
    </row>
    <row r="5436" spans="65:72" x14ac:dyDescent="0.25">
      <c r="BM5436" s="81"/>
      <c r="BN5436" s="81"/>
      <c r="BO5436" s="81"/>
      <c r="BP5436" s="81"/>
      <c r="BQ5436" s="81"/>
      <c r="BR5436" s="81"/>
      <c r="BS5436" s="81"/>
      <c r="BT5436" s="81"/>
    </row>
    <row r="5437" spans="65:72" x14ac:dyDescent="0.25">
      <c r="BM5437" s="81"/>
      <c r="BN5437" s="81"/>
      <c r="BO5437" s="81"/>
      <c r="BP5437" s="81"/>
      <c r="BQ5437" s="81"/>
      <c r="BR5437" s="81"/>
      <c r="BS5437" s="81"/>
      <c r="BT5437" s="81"/>
    </row>
    <row r="5438" spans="65:72" x14ac:dyDescent="0.25">
      <c r="BM5438" s="81"/>
      <c r="BN5438" s="81"/>
      <c r="BO5438" s="81"/>
      <c r="BP5438" s="81"/>
      <c r="BQ5438" s="81"/>
      <c r="BR5438" s="81"/>
      <c r="BS5438" s="81"/>
      <c r="BT5438" s="81"/>
    </row>
    <row r="5439" spans="65:72" x14ac:dyDescent="0.25">
      <c r="BM5439" s="81"/>
      <c r="BN5439" s="81"/>
      <c r="BO5439" s="81"/>
      <c r="BP5439" s="81"/>
      <c r="BQ5439" s="81"/>
      <c r="BR5439" s="81"/>
      <c r="BS5439" s="81"/>
      <c r="BT5439" s="81"/>
    </row>
    <row r="5440" spans="65:72" x14ac:dyDescent="0.25">
      <c r="BM5440" s="81"/>
      <c r="BN5440" s="81"/>
      <c r="BO5440" s="81"/>
      <c r="BP5440" s="81"/>
      <c r="BQ5440" s="81"/>
      <c r="BR5440" s="81"/>
      <c r="BS5440" s="81"/>
      <c r="BT5440" s="81"/>
    </row>
    <row r="5441" spans="65:72" x14ac:dyDescent="0.25">
      <c r="BM5441" s="81"/>
      <c r="BN5441" s="81"/>
      <c r="BO5441" s="81"/>
      <c r="BP5441" s="81"/>
      <c r="BQ5441" s="81"/>
      <c r="BR5441" s="81"/>
      <c r="BS5441" s="81"/>
      <c r="BT5441" s="81"/>
    </row>
    <row r="5442" spans="65:72" x14ac:dyDescent="0.25">
      <c r="BM5442" s="81"/>
      <c r="BN5442" s="81"/>
      <c r="BO5442" s="81"/>
      <c r="BP5442" s="81"/>
      <c r="BQ5442" s="81"/>
      <c r="BR5442" s="81"/>
      <c r="BS5442" s="81"/>
      <c r="BT5442" s="81"/>
    </row>
    <row r="5443" spans="65:72" x14ac:dyDescent="0.25">
      <c r="BM5443" s="81"/>
      <c r="BN5443" s="81"/>
      <c r="BO5443" s="81"/>
      <c r="BP5443" s="81"/>
      <c r="BQ5443" s="81"/>
      <c r="BR5443" s="81"/>
      <c r="BS5443" s="81"/>
      <c r="BT5443" s="81"/>
    </row>
    <row r="5444" spans="65:72" x14ac:dyDescent="0.25">
      <c r="BM5444" s="81"/>
      <c r="BN5444" s="81"/>
      <c r="BO5444" s="81"/>
      <c r="BP5444" s="81"/>
      <c r="BQ5444" s="81"/>
      <c r="BR5444" s="81"/>
      <c r="BS5444" s="81"/>
      <c r="BT5444" s="81"/>
    </row>
    <row r="5445" spans="65:72" x14ac:dyDescent="0.25">
      <c r="BM5445" s="81"/>
      <c r="BN5445" s="81"/>
      <c r="BO5445" s="81"/>
      <c r="BP5445" s="81"/>
      <c r="BQ5445" s="81"/>
      <c r="BR5445" s="81"/>
      <c r="BS5445" s="81"/>
      <c r="BT5445" s="81"/>
    </row>
    <row r="5446" spans="65:72" x14ac:dyDescent="0.25">
      <c r="BM5446" s="81"/>
      <c r="BN5446" s="81"/>
      <c r="BO5446" s="81"/>
      <c r="BP5446" s="81"/>
      <c r="BQ5446" s="81"/>
      <c r="BR5446" s="81"/>
      <c r="BS5446" s="81"/>
      <c r="BT5446" s="81"/>
    </row>
    <row r="5447" spans="65:72" x14ac:dyDescent="0.25">
      <c r="BM5447" s="81"/>
      <c r="BN5447" s="81"/>
      <c r="BO5447" s="81"/>
      <c r="BP5447" s="81"/>
      <c r="BQ5447" s="81"/>
      <c r="BR5447" s="81"/>
      <c r="BS5447" s="81"/>
      <c r="BT5447" s="81"/>
    </row>
    <row r="5448" spans="65:72" x14ac:dyDescent="0.25">
      <c r="BM5448" s="81"/>
      <c r="BN5448" s="81"/>
      <c r="BO5448" s="81"/>
      <c r="BP5448" s="81"/>
      <c r="BQ5448" s="81"/>
      <c r="BR5448" s="81"/>
      <c r="BS5448" s="81"/>
      <c r="BT5448" s="81"/>
    </row>
    <row r="5449" spans="65:72" x14ac:dyDescent="0.25">
      <c r="BM5449" s="81"/>
      <c r="BN5449" s="81"/>
      <c r="BO5449" s="81"/>
      <c r="BP5449" s="81"/>
      <c r="BQ5449" s="81"/>
      <c r="BR5449" s="81"/>
      <c r="BS5449" s="81"/>
      <c r="BT5449" s="81"/>
    </row>
    <row r="5450" spans="65:72" x14ac:dyDescent="0.25">
      <c r="BM5450" s="81"/>
      <c r="BN5450" s="81"/>
      <c r="BO5450" s="81"/>
      <c r="BP5450" s="81"/>
      <c r="BQ5450" s="81"/>
      <c r="BR5450" s="81"/>
      <c r="BS5450" s="81"/>
      <c r="BT5450" s="81"/>
    </row>
    <row r="5451" spans="65:72" x14ac:dyDescent="0.25">
      <c r="BM5451" s="81"/>
      <c r="BN5451" s="81"/>
      <c r="BO5451" s="81"/>
      <c r="BP5451" s="81"/>
      <c r="BQ5451" s="81"/>
      <c r="BR5451" s="81"/>
      <c r="BS5451" s="81"/>
      <c r="BT5451" s="81"/>
    </row>
    <row r="5452" spans="65:72" x14ac:dyDescent="0.25">
      <c r="BM5452" s="81"/>
      <c r="BN5452" s="81"/>
      <c r="BO5452" s="81"/>
      <c r="BP5452" s="81"/>
      <c r="BQ5452" s="81"/>
      <c r="BR5452" s="81"/>
      <c r="BS5452" s="81"/>
      <c r="BT5452" s="81"/>
    </row>
    <row r="5453" spans="65:72" x14ac:dyDescent="0.25">
      <c r="BM5453" s="81"/>
      <c r="BN5453" s="81"/>
      <c r="BO5453" s="81"/>
      <c r="BP5453" s="81"/>
      <c r="BQ5453" s="81"/>
      <c r="BR5453" s="81"/>
      <c r="BS5453" s="81"/>
      <c r="BT5453" s="81"/>
    </row>
    <row r="5454" spans="65:72" x14ac:dyDescent="0.25">
      <c r="BM5454" s="81"/>
      <c r="BN5454" s="81"/>
      <c r="BO5454" s="81"/>
      <c r="BP5454" s="81"/>
      <c r="BQ5454" s="81"/>
      <c r="BR5454" s="81"/>
      <c r="BS5454" s="81"/>
      <c r="BT5454" s="81"/>
    </row>
    <row r="5455" spans="65:72" x14ac:dyDescent="0.25">
      <c r="BM5455" s="81"/>
      <c r="BN5455" s="81"/>
      <c r="BO5455" s="81"/>
      <c r="BP5455" s="81"/>
      <c r="BQ5455" s="81"/>
      <c r="BR5455" s="81"/>
      <c r="BS5455" s="81"/>
      <c r="BT5455" s="81"/>
    </row>
    <row r="5456" spans="65:72" x14ac:dyDescent="0.25">
      <c r="BM5456" s="81"/>
      <c r="BN5456" s="81"/>
      <c r="BO5456" s="81"/>
      <c r="BP5456" s="81"/>
      <c r="BQ5456" s="81"/>
      <c r="BR5456" s="81"/>
      <c r="BS5456" s="81"/>
      <c r="BT5456" s="81"/>
    </row>
    <row r="5457" spans="65:72" x14ac:dyDescent="0.25">
      <c r="BM5457" s="81"/>
      <c r="BN5457" s="81"/>
      <c r="BO5457" s="81"/>
      <c r="BP5457" s="81"/>
      <c r="BQ5457" s="81"/>
      <c r="BR5457" s="81"/>
      <c r="BS5457" s="81"/>
      <c r="BT5457" s="81"/>
    </row>
    <row r="5458" spans="65:72" x14ac:dyDescent="0.25">
      <c r="BM5458" s="81"/>
      <c r="BN5458" s="81"/>
      <c r="BO5458" s="81"/>
      <c r="BP5458" s="81"/>
      <c r="BQ5458" s="81"/>
      <c r="BR5458" s="81"/>
      <c r="BS5458" s="81"/>
      <c r="BT5458" s="81"/>
    </row>
    <row r="5459" spans="65:72" x14ac:dyDescent="0.25">
      <c r="BM5459" s="81"/>
      <c r="BN5459" s="81"/>
      <c r="BO5459" s="81"/>
      <c r="BP5459" s="81"/>
      <c r="BQ5459" s="81"/>
      <c r="BR5459" s="81"/>
      <c r="BS5459" s="81"/>
      <c r="BT5459" s="81"/>
    </row>
    <row r="5460" spans="65:72" x14ac:dyDescent="0.25">
      <c r="BM5460" s="81"/>
      <c r="BN5460" s="81"/>
      <c r="BO5460" s="81"/>
      <c r="BP5460" s="81"/>
      <c r="BQ5460" s="81"/>
      <c r="BR5460" s="81"/>
      <c r="BS5460" s="81"/>
      <c r="BT5460" s="81"/>
    </row>
    <row r="5461" spans="65:72" x14ac:dyDescent="0.25">
      <c r="BM5461" s="81"/>
      <c r="BN5461" s="81"/>
      <c r="BO5461" s="81"/>
      <c r="BP5461" s="81"/>
      <c r="BQ5461" s="81"/>
      <c r="BR5461" s="81"/>
      <c r="BS5461" s="81"/>
      <c r="BT5461" s="81"/>
    </row>
    <row r="5462" spans="65:72" x14ac:dyDescent="0.25">
      <c r="BM5462" s="81"/>
      <c r="BN5462" s="81"/>
      <c r="BO5462" s="81"/>
      <c r="BP5462" s="81"/>
      <c r="BQ5462" s="81"/>
      <c r="BR5462" s="81"/>
      <c r="BS5462" s="81"/>
      <c r="BT5462" s="81"/>
    </row>
    <row r="5463" spans="65:72" x14ac:dyDescent="0.25">
      <c r="BM5463" s="81"/>
      <c r="BN5463" s="81"/>
      <c r="BO5463" s="81"/>
      <c r="BP5463" s="81"/>
      <c r="BQ5463" s="81"/>
      <c r="BR5463" s="81"/>
      <c r="BS5463" s="81"/>
      <c r="BT5463" s="81"/>
    </row>
    <row r="5464" spans="65:72" x14ac:dyDescent="0.25">
      <c r="BM5464" s="81"/>
      <c r="BN5464" s="81"/>
      <c r="BO5464" s="81"/>
      <c r="BP5464" s="81"/>
      <c r="BQ5464" s="81"/>
      <c r="BR5464" s="81"/>
      <c r="BS5464" s="81"/>
      <c r="BT5464" s="81"/>
    </row>
    <row r="5465" spans="65:72" x14ac:dyDescent="0.25">
      <c r="BM5465" s="81"/>
      <c r="BN5465" s="81"/>
      <c r="BO5465" s="81"/>
      <c r="BP5465" s="81"/>
      <c r="BQ5465" s="81"/>
      <c r="BR5465" s="81"/>
      <c r="BS5465" s="81"/>
      <c r="BT5465" s="81"/>
    </row>
    <row r="5466" spans="65:72" x14ac:dyDescent="0.25">
      <c r="BM5466" s="81"/>
      <c r="BN5466" s="81"/>
      <c r="BO5466" s="81"/>
      <c r="BP5466" s="81"/>
      <c r="BQ5466" s="81"/>
      <c r="BR5466" s="81"/>
      <c r="BS5466" s="81"/>
      <c r="BT5466" s="81"/>
    </row>
    <row r="5467" spans="65:72" x14ac:dyDescent="0.25">
      <c r="BM5467" s="81"/>
      <c r="BN5467" s="81"/>
      <c r="BO5467" s="81"/>
      <c r="BP5467" s="81"/>
      <c r="BQ5467" s="81"/>
      <c r="BR5467" s="81"/>
      <c r="BS5467" s="81"/>
      <c r="BT5467" s="81"/>
    </row>
    <row r="5468" spans="65:72" x14ac:dyDescent="0.25">
      <c r="BM5468" s="81"/>
      <c r="BN5468" s="81"/>
      <c r="BO5468" s="81"/>
      <c r="BP5468" s="81"/>
      <c r="BQ5468" s="81"/>
      <c r="BR5468" s="81"/>
      <c r="BS5468" s="81"/>
      <c r="BT5468" s="81"/>
    </row>
    <row r="5469" spans="65:72" x14ac:dyDescent="0.25">
      <c r="BM5469" s="81"/>
      <c r="BN5469" s="81"/>
      <c r="BO5469" s="81"/>
      <c r="BP5469" s="81"/>
      <c r="BQ5469" s="81"/>
      <c r="BR5469" s="81"/>
      <c r="BS5469" s="81"/>
      <c r="BT5469" s="81"/>
    </row>
    <row r="5470" spans="65:72" x14ac:dyDescent="0.25">
      <c r="BM5470" s="81"/>
      <c r="BN5470" s="81"/>
      <c r="BO5470" s="81"/>
      <c r="BP5470" s="81"/>
      <c r="BQ5470" s="81"/>
      <c r="BR5470" s="81"/>
      <c r="BS5470" s="81"/>
      <c r="BT5470" s="81"/>
    </row>
    <row r="5471" spans="65:72" x14ac:dyDescent="0.25">
      <c r="BM5471" s="81"/>
      <c r="BN5471" s="81"/>
      <c r="BO5471" s="81"/>
      <c r="BP5471" s="81"/>
      <c r="BQ5471" s="81"/>
      <c r="BR5471" s="81"/>
      <c r="BS5471" s="81"/>
      <c r="BT5471" s="81"/>
    </row>
    <row r="5472" spans="65:72" x14ac:dyDescent="0.25">
      <c r="BM5472" s="81"/>
      <c r="BN5472" s="81"/>
      <c r="BO5472" s="81"/>
      <c r="BP5472" s="81"/>
      <c r="BQ5472" s="81"/>
      <c r="BR5472" s="81"/>
      <c r="BS5472" s="81"/>
      <c r="BT5472" s="81"/>
    </row>
    <row r="5473" spans="65:72" x14ac:dyDescent="0.25">
      <c r="BM5473" s="81"/>
      <c r="BN5473" s="81"/>
      <c r="BO5473" s="81"/>
      <c r="BP5473" s="81"/>
      <c r="BQ5473" s="81"/>
      <c r="BR5473" s="81"/>
      <c r="BS5473" s="81"/>
      <c r="BT5473" s="81"/>
    </row>
    <row r="5474" spans="65:72" x14ac:dyDescent="0.25">
      <c r="BM5474" s="81"/>
      <c r="BN5474" s="81"/>
      <c r="BO5474" s="81"/>
      <c r="BP5474" s="81"/>
      <c r="BQ5474" s="81"/>
      <c r="BR5474" s="81"/>
      <c r="BS5474" s="81"/>
      <c r="BT5474" s="81"/>
    </row>
    <row r="5475" spans="65:72" x14ac:dyDescent="0.25">
      <c r="BM5475" s="81"/>
      <c r="BN5475" s="81"/>
      <c r="BO5475" s="81"/>
      <c r="BP5475" s="81"/>
      <c r="BQ5475" s="81"/>
      <c r="BR5475" s="81"/>
      <c r="BS5475" s="81"/>
      <c r="BT5475" s="81"/>
    </row>
    <row r="5476" spans="65:72" x14ac:dyDescent="0.25">
      <c r="BM5476" s="81"/>
      <c r="BN5476" s="81"/>
      <c r="BO5476" s="81"/>
      <c r="BP5476" s="81"/>
      <c r="BQ5476" s="81"/>
      <c r="BR5476" s="81"/>
      <c r="BS5476" s="81"/>
      <c r="BT5476" s="81"/>
    </row>
    <row r="5477" spans="65:72" x14ac:dyDescent="0.25">
      <c r="BM5477" s="81"/>
      <c r="BN5477" s="81"/>
      <c r="BO5477" s="81"/>
      <c r="BP5477" s="81"/>
      <c r="BQ5477" s="81"/>
      <c r="BR5477" s="81"/>
      <c r="BS5477" s="81"/>
      <c r="BT5477" s="81"/>
    </row>
    <row r="5478" spans="65:72" x14ac:dyDescent="0.25">
      <c r="BM5478" s="81"/>
      <c r="BN5478" s="81"/>
      <c r="BO5478" s="81"/>
      <c r="BP5478" s="81"/>
      <c r="BQ5478" s="81"/>
      <c r="BR5478" s="81"/>
      <c r="BS5478" s="81"/>
      <c r="BT5478" s="81"/>
    </row>
    <row r="5479" spans="65:72" x14ac:dyDescent="0.25">
      <c r="BM5479" s="81"/>
      <c r="BN5479" s="81"/>
      <c r="BO5479" s="81"/>
      <c r="BP5479" s="81"/>
      <c r="BQ5479" s="81"/>
      <c r="BR5479" s="81"/>
      <c r="BS5479" s="81"/>
      <c r="BT5479" s="81"/>
    </row>
    <row r="5480" spans="65:72" x14ac:dyDescent="0.25">
      <c r="BM5480" s="81"/>
      <c r="BN5480" s="81"/>
      <c r="BO5480" s="81"/>
      <c r="BP5480" s="81"/>
      <c r="BQ5480" s="81"/>
      <c r="BR5480" s="81"/>
      <c r="BS5480" s="81"/>
      <c r="BT5480" s="81"/>
    </row>
    <row r="5481" spans="65:72" x14ac:dyDescent="0.25">
      <c r="BM5481" s="81"/>
      <c r="BN5481" s="81"/>
      <c r="BO5481" s="81"/>
      <c r="BP5481" s="81"/>
      <c r="BQ5481" s="81"/>
      <c r="BR5481" s="81"/>
      <c r="BS5481" s="81"/>
      <c r="BT5481" s="81"/>
    </row>
    <row r="5482" spans="65:72" x14ac:dyDescent="0.25">
      <c r="BM5482" s="81"/>
      <c r="BN5482" s="81"/>
      <c r="BO5482" s="81"/>
      <c r="BP5482" s="81"/>
      <c r="BQ5482" s="81"/>
      <c r="BR5482" s="81"/>
      <c r="BS5482" s="81"/>
      <c r="BT5482" s="81"/>
    </row>
    <row r="5483" spans="65:72" x14ac:dyDescent="0.25">
      <c r="BM5483" s="81"/>
      <c r="BN5483" s="81"/>
      <c r="BO5483" s="81"/>
      <c r="BP5483" s="81"/>
      <c r="BQ5483" s="81"/>
      <c r="BR5483" s="81"/>
      <c r="BS5483" s="81"/>
      <c r="BT5483" s="81"/>
    </row>
    <row r="5484" spans="65:72" x14ac:dyDescent="0.25">
      <c r="BM5484" s="81"/>
      <c r="BN5484" s="81"/>
      <c r="BO5484" s="81"/>
      <c r="BP5484" s="81"/>
      <c r="BQ5484" s="81"/>
      <c r="BR5484" s="81"/>
      <c r="BS5484" s="81"/>
      <c r="BT5484" s="81"/>
    </row>
    <row r="5485" spans="65:72" x14ac:dyDescent="0.25">
      <c r="BM5485" s="81"/>
      <c r="BN5485" s="81"/>
      <c r="BO5485" s="81"/>
      <c r="BP5485" s="81"/>
      <c r="BQ5485" s="81"/>
      <c r="BR5485" s="81"/>
      <c r="BS5485" s="81"/>
      <c r="BT5485" s="81"/>
    </row>
    <row r="5486" spans="65:72" x14ac:dyDescent="0.25">
      <c r="BM5486" s="81"/>
      <c r="BN5486" s="81"/>
      <c r="BO5486" s="81"/>
      <c r="BP5486" s="81"/>
      <c r="BQ5486" s="81"/>
      <c r="BR5486" s="81"/>
      <c r="BS5486" s="81"/>
      <c r="BT5486" s="81"/>
    </row>
    <row r="5487" spans="65:72" x14ac:dyDescent="0.25">
      <c r="BM5487" s="81"/>
      <c r="BN5487" s="81"/>
      <c r="BO5487" s="81"/>
      <c r="BP5487" s="81"/>
      <c r="BQ5487" s="81"/>
      <c r="BR5487" s="81"/>
      <c r="BS5487" s="81"/>
      <c r="BT5487" s="81"/>
    </row>
    <row r="5488" spans="65:72" x14ac:dyDescent="0.25">
      <c r="BM5488" s="81"/>
      <c r="BN5488" s="81"/>
      <c r="BO5488" s="81"/>
      <c r="BP5488" s="81"/>
      <c r="BQ5488" s="81"/>
      <c r="BR5488" s="81"/>
      <c r="BS5488" s="81"/>
      <c r="BT5488" s="81"/>
    </row>
    <row r="5489" spans="65:72" x14ac:dyDescent="0.25">
      <c r="BM5489" s="81"/>
      <c r="BN5489" s="81"/>
      <c r="BO5489" s="81"/>
      <c r="BP5489" s="81"/>
      <c r="BQ5489" s="81"/>
      <c r="BR5489" s="81"/>
      <c r="BS5489" s="81"/>
      <c r="BT5489" s="81"/>
    </row>
    <row r="5490" spans="65:72" x14ac:dyDescent="0.25">
      <c r="BM5490" s="81"/>
      <c r="BN5490" s="81"/>
      <c r="BO5490" s="81"/>
      <c r="BP5490" s="81"/>
      <c r="BQ5490" s="81"/>
      <c r="BR5490" s="81"/>
      <c r="BS5490" s="81"/>
      <c r="BT5490" s="81"/>
    </row>
    <row r="5491" spans="65:72" x14ac:dyDescent="0.25">
      <c r="BM5491" s="81"/>
      <c r="BN5491" s="81"/>
      <c r="BO5491" s="81"/>
      <c r="BP5491" s="81"/>
      <c r="BQ5491" s="81"/>
      <c r="BR5491" s="81"/>
      <c r="BS5491" s="81"/>
      <c r="BT5491" s="81"/>
    </row>
    <row r="5492" spans="65:72" x14ac:dyDescent="0.25">
      <c r="BM5492" s="81"/>
      <c r="BN5492" s="81"/>
      <c r="BO5492" s="81"/>
      <c r="BP5492" s="81"/>
      <c r="BQ5492" s="81"/>
      <c r="BR5492" s="81"/>
      <c r="BS5492" s="81"/>
      <c r="BT5492" s="81"/>
    </row>
    <row r="5493" spans="65:72" x14ac:dyDescent="0.25">
      <c r="BM5493" s="81"/>
      <c r="BN5493" s="81"/>
      <c r="BO5493" s="81"/>
      <c r="BP5493" s="81"/>
      <c r="BQ5493" s="81"/>
      <c r="BR5493" s="81"/>
      <c r="BS5493" s="81"/>
      <c r="BT5493" s="81"/>
    </row>
    <row r="5494" spans="65:72" x14ac:dyDescent="0.25">
      <c r="BM5494" s="81"/>
      <c r="BN5494" s="81"/>
      <c r="BO5494" s="81"/>
      <c r="BP5494" s="81"/>
      <c r="BQ5494" s="81"/>
      <c r="BR5494" s="81"/>
      <c r="BS5494" s="81"/>
      <c r="BT5494" s="81"/>
    </row>
    <row r="5495" spans="65:72" x14ac:dyDescent="0.25">
      <c r="BM5495" s="81"/>
      <c r="BN5495" s="81"/>
      <c r="BO5495" s="81"/>
      <c r="BP5495" s="81"/>
      <c r="BQ5495" s="81"/>
      <c r="BR5495" s="81"/>
      <c r="BS5495" s="81"/>
      <c r="BT5495" s="81"/>
    </row>
    <row r="5496" spans="65:72" x14ac:dyDescent="0.25">
      <c r="BM5496" s="81"/>
      <c r="BN5496" s="81"/>
      <c r="BO5496" s="81"/>
      <c r="BP5496" s="81"/>
      <c r="BQ5496" s="81"/>
      <c r="BR5496" s="81"/>
      <c r="BS5496" s="81"/>
      <c r="BT5496" s="81"/>
    </row>
    <row r="5497" spans="65:72" x14ac:dyDescent="0.25">
      <c r="BM5497" s="81"/>
      <c r="BN5497" s="81"/>
      <c r="BO5497" s="81"/>
      <c r="BP5497" s="81"/>
      <c r="BQ5497" s="81"/>
      <c r="BR5497" s="81"/>
      <c r="BS5497" s="81"/>
      <c r="BT5497" s="81"/>
    </row>
    <row r="5498" spans="65:72" x14ac:dyDescent="0.25">
      <c r="BM5498" s="81"/>
      <c r="BN5498" s="81"/>
      <c r="BO5498" s="81"/>
      <c r="BP5498" s="81"/>
      <c r="BQ5498" s="81"/>
      <c r="BR5498" s="81"/>
      <c r="BS5498" s="81"/>
      <c r="BT5498" s="81"/>
    </row>
    <row r="5499" spans="65:72" x14ac:dyDescent="0.25">
      <c r="BM5499" s="81"/>
      <c r="BN5499" s="81"/>
      <c r="BO5499" s="81"/>
      <c r="BP5499" s="81"/>
      <c r="BQ5499" s="81"/>
      <c r="BR5499" s="81"/>
      <c r="BS5499" s="81"/>
      <c r="BT5499" s="81"/>
    </row>
    <row r="5500" spans="65:72" x14ac:dyDescent="0.25">
      <c r="BM5500" s="81"/>
      <c r="BN5500" s="81"/>
      <c r="BO5500" s="81"/>
      <c r="BP5500" s="81"/>
      <c r="BQ5500" s="81"/>
      <c r="BR5500" s="81"/>
      <c r="BS5500" s="81"/>
      <c r="BT5500" s="81"/>
    </row>
    <row r="5501" spans="65:72" x14ac:dyDescent="0.25">
      <c r="BM5501" s="81"/>
      <c r="BN5501" s="81"/>
      <c r="BO5501" s="81"/>
      <c r="BP5501" s="81"/>
      <c r="BQ5501" s="81"/>
      <c r="BR5501" s="81"/>
      <c r="BS5501" s="81"/>
      <c r="BT5501" s="81"/>
    </row>
    <row r="5502" spans="65:72" x14ac:dyDescent="0.25">
      <c r="BM5502" s="81"/>
      <c r="BN5502" s="81"/>
      <c r="BO5502" s="81"/>
      <c r="BP5502" s="81"/>
      <c r="BQ5502" s="81"/>
      <c r="BR5502" s="81"/>
      <c r="BS5502" s="81"/>
      <c r="BT5502" s="81"/>
    </row>
    <row r="5503" spans="65:72" x14ac:dyDescent="0.25">
      <c r="BM5503" s="81"/>
      <c r="BN5503" s="81"/>
      <c r="BO5503" s="81"/>
      <c r="BP5503" s="81"/>
      <c r="BQ5503" s="81"/>
      <c r="BR5503" s="81"/>
      <c r="BS5503" s="81"/>
      <c r="BT5503" s="81"/>
    </row>
    <row r="5504" spans="65:72" x14ac:dyDescent="0.25">
      <c r="BM5504" s="81"/>
      <c r="BN5504" s="81"/>
      <c r="BO5504" s="81"/>
      <c r="BP5504" s="81"/>
      <c r="BQ5504" s="81"/>
      <c r="BR5504" s="81"/>
      <c r="BS5504" s="81"/>
      <c r="BT5504" s="81"/>
    </row>
    <row r="5505" spans="65:72" x14ac:dyDescent="0.25">
      <c r="BM5505" s="81"/>
      <c r="BN5505" s="81"/>
      <c r="BO5505" s="81"/>
      <c r="BP5505" s="81"/>
      <c r="BQ5505" s="81"/>
      <c r="BR5505" s="81"/>
      <c r="BS5505" s="81"/>
      <c r="BT5505" s="81"/>
    </row>
    <row r="5506" spans="65:72" x14ac:dyDescent="0.25">
      <c r="BM5506" s="81"/>
      <c r="BN5506" s="81"/>
      <c r="BO5506" s="81"/>
      <c r="BP5506" s="81"/>
      <c r="BQ5506" s="81"/>
      <c r="BR5506" s="81"/>
      <c r="BS5506" s="81"/>
      <c r="BT5506" s="81"/>
    </row>
    <row r="5507" spans="65:72" x14ac:dyDescent="0.25">
      <c r="BM5507" s="81"/>
      <c r="BN5507" s="81"/>
      <c r="BO5507" s="81"/>
      <c r="BP5507" s="81"/>
      <c r="BQ5507" s="81"/>
      <c r="BR5507" s="81"/>
      <c r="BS5507" s="81"/>
      <c r="BT5507" s="81"/>
    </row>
    <row r="5508" spans="65:72" x14ac:dyDescent="0.25">
      <c r="BM5508" s="81"/>
      <c r="BN5508" s="81"/>
      <c r="BO5508" s="81"/>
      <c r="BP5508" s="81"/>
      <c r="BQ5508" s="81"/>
      <c r="BR5508" s="81"/>
      <c r="BS5508" s="81"/>
      <c r="BT5508" s="81"/>
    </row>
    <row r="5509" spans="65:72" x14ac:dyDescent="0.25">
      <c r="BM5509" s="81"/>
      <c r="BN5509" s="81"/>
      <c r="BO5509" s="81"/>
      <c r="BP5509" s="81"/>
      <c r="BQ5509" s="81"/>
      <c r="BR5509" s="81"/>
      <c r="BS5509" s="81"/>
      <c r="BT5509" s="81"/>
    </row>
    <row r="5510" spans="65:72" x14ac:dyDescent="0.25">
      <c r="BM5510" s="81"/>
      <c r="BN5510" s="81"/>
      <c r="BO5510" s="81"/>
      <c r="BP5510" s="81"/>
      <c r="BQ5510" s="81"/>
      <c r="BR5510" s="81"/>
      <c r="BS5510" s="81"/>
      <c r="BT5510" s="81"/>
    </row>
    <row r="5511" spans="65:72" x14ac:dyDescent="0.25">
      <c r="BM5511" s="81"/>
      <c r="BN5511" s="81"/>
      <c r="BO5511" s="81"/>
      <c r="BP5511" s="81"/>
      <c r="BQ5511" s="81"/>
      <c r="BR5511" s="81"/>
      <c r="BS5511" s="81"/>
      <c r="BT5511" s="81"/>
    </row>
    <row r="5512" spans="65:72" x14ac:dyDescent="0.25">
      <c r="BM5512" s="81"/>
      <c r="BN5512" s="81"/>
      <c r="BO5512" s="81"/>
      <c r="BP5512" s="81"/>
      <c r="BQ5512" s="81"/>
      <c r="BR5512" s="81"/>
      <c r="BS5512" s="81"/>
      <c r="BT5512" s="81"/>
    </row>
    <row r="5513" spans="65:72" x14ac:dyDescent="0.25">
      <c r="BM5513" s="81"/>
      <c r="BN5513" s="81"/>
      <c r="BO5513" s="81"/>
      <c r="BP5513" s="81"/>
      <c r="BQ5513" s="81"/>
      <c r="BR5513" s="81"/>
      <c r="BS5513" s="81"/>
      <c r="BT5513" s="81"/>
    </row>
    <row r="5514" spans="65:72" x14ac:dyDescent="0.25">
      <c r="BM5514" s="81"/>
      <c r="BN5514" s="81"/>
      <c r="BO5514" s="81"/>
      <c r="BP5514" s="81"/>
      <c r="BQ5514" s="81"/>
      <c r="BR5514" s="81"/>
      <c r="BS5514" s="81"/>
      <c r="BT5514" s="81"/>
    </row>
    <row r="5515" spans="65:72" x14ac:dyDescent="0.25">
      <c r="BM5515" s="81"/>
      <c r="BN5515" s="81"/>
      <c r="BO5515" s="81"/>
      <c r="BP5515" s="81"/>
      <c r="BQ5515" s="81"/>
      <c r="BR5515" s="81"/>
      <c r="BS5515" s="81"/>
      <c r="BT5515" s="81"/>
    </row>
    <row r="5516" spans="65:72" x14ac:dyDescent="0.25">
      <c r="BM5516" s="81"/>
      <c r="BN5516" s="81"/>
      <c r="BO5516" s="81"/>
      <c r="BP5516" s="81"/>
      <c r="BQ5516" s="81"/>
      <c r="BR5516" s="81"/>
      <c r="BS5516" s="81"/>
      <c r="BT5516" s="81"/>
    </row>
    <row r="5517" spans="65:72" x14ac:dyDescent="0.25">
      <c r="BM5517" s="81"/>
      <c r="BN5517" s="81"/>
      <c r="BO5517" s="81"/>
      <c r="BP5517" s="81"/>
      <c r="BQ5517" s="81"/>
      <c r="BR5517" s="81"/>
      <c r="BS5517" s="81"/>
      <c r="BT5517" s="81"/>
    </row>
    <row r="5518" spans="65:72" x14ac:dyDescent="0.25">
      <c r="BM5518" s="81"/>
      <c r="BN5518" s="81"/>
      <c r="BO5518" s="81"/>
      <c r="BP5518" s="81"/>
      <c r="BQ5518" s="81"/>
      <c r="BR5518" s="81"/>
      <c r="BS5518" s="81"/>
      <c r="BT5518" s="81"/>
    </row>
    <row r="5519" spans="65:72" x14ac:dyDescent="0.25">
      <c r="BM5519" s="81"/>
      <c r="BN5519" s="81"/>
      <c r="BO5519" s="81"/>
      <c r="BP5519" s="81"/>
      <c r="BQ5519" s="81"/>
      <c r="BR5519" s="81"/>
      <c r="BS5519" s="81"/>
      <c r="BT5519" s="81"/>
    </row>
    <row r="5520" spans="65:72" x14ac:dyDescent="0.25">
      <c r="BM5520" s="81"/>
      <c r="BN5520" s="81"/>
      <c r="BO5520" s="81"/>
      <c r="BP5520" s="81"/>
      <c r="BQ5520" s="81"/>
      <c r="BR5520" s="81"/>
      <c r="BS5520" s="81"/>
      <c r="BT5520" s="81"/>
    </row>
    <row r="5521" spans="65:72" x14ac:dyDescent="0.25">
      <c r="BM5521" s="81"/>
      <c r="BN5521" s="81"/>
      <c r="BO5521" s="81"/>
      <c r="BP5521" s="81"/>
      <c r="BQ5521" s="81"/>
      <c r="BR5521" s="81"/>
      <c r="BS5521" s="81"/>
      <c r="BT5521" s="81"/>
    </row>
    <row r="5522" spans="65:72" x14ac:dyDescent="0.25">
      <c r="BM5522" s="81"/>
      <c r="BN5522" s="81"/>
      <c r="BO5522" s="81"/>
      <c r="BP5522" s="81"/>
      <c r="BQ5522" s="81"/>
      <c r="BR5522" s="81"/>
      <c r="BS5522" s="81"/>
      <c r="BT5522" s="81"/>
    </row>
    <row r="5523" spans="65:72" x14ac:dyDescent="0.25">
      <c r="BM5523" s="81"/>
      <c r="BN5523" s="81"/>
      <c r="BO5523" s="81"/>
      <c r="BP5523" s="81"/>
      <c r="BQ5523" s="81"/>
      <c r="BR5523" s="81"/>
      <c r="BS5523" s="81"/>
      <c r="BT5523" s="81"/>
    </row>
    <row r="5524" spans="65:72" x14ac:dyDescent="0.25">
      <c r="BM5524" s="81"/>
      <c r="BN5524" s="81"/>
      <c r="BO5524" s="81"/>
      <c r="BP5524" s="81"/>
      <c r="BQ5524" s="81"/>
      <c r="BR5524" s="81"/>
      <c r="BS5524" s="81"/>
      <c r="BT5524" s="81"/>
    </row>
    <row r="5525" spans="65:72" x14ac:dyDescent="0.25">
      <c r="BM5525" s="81"/>
      <c r="BN5525" s="81"/>
      <c r="BO5525" s="81"/>
      <c r="BP5525" s="81"/>
      <c r="BQ5525" s="81"/>
      <c r="BR5525" s="81"/>
      <c r="BS5525" s="81"/>
      <c r="BT5525" s="81"/>
    </row>
    <row r="5526" spans="65:72" x14ac:dyDescent="0.25">
      <c r="BM5526" s="81"/>
      <c r="BN5526" s="81"/>
      <c r="BO5526" s="81"/>
      <c r="BP5526" s="81"/>
      <c r="BQ5526" s="81"/>
      <c r="BR5526" s="81"/>
      <c r="BS5526" s="81"/>
      <c r="BT5526" s="81"/>
    </row>
    <row r="5527" spans="65:72" x14ac:dyDescent="0.25">
      <c r="BM5527" s="81"/>
      <c r="BN5527" s="81"/>
      <c r="BO5527" s="81"/>
      <c r="BP5527" s="81"/>
      <c r="BQ5527" s="81"/>
      <c r="BR5527" s="81"/>
      <c r="BS5527" s="81"/>
      <c r="BT5527" s="81"/>
    </row>
    <row r="5528" spans="65:72" x14ac:dyDescent="0.25">
      <c r="BM5528" s="81"/>
      <c r="BN5528" s="81"/>
      <c r="BO5528" s="81"/>
      <c r="BP5528" s="81"/>
      <c r="BQ5528" s="81"/>
      <c r="BR5528" s="81"/>
      <c r="BS5528" s="81"/>
      <c r="BT5528" s="81"/>
    </row>
    <row r="5529" spans="65:72" x14ac:dyDescent="0.25">
      <c r="BM5529" s="81"/>
      <c r="BN5529" s="81"/>
      <c r="BO5529" s="81"/>
      <c r="BP5529" s="81"/>
      <c r="BQ5529" s="81"/>
      <c r="BR5529" s="81"/>
      <c r="BS5529" s="81"/>
      <c r="BT5529" s="81"/>
    </row>
    <row r="5530" spans="65:72" x14ac:dyDescent="0.25">
      <c r="BM5530" s="81"/>
      <c r="BN5530" s="81"/>
      <c r="BO5530" s="81"/>
      <c r="BP5530" s="81"/>
      <c r="BQ5530" s="81"/>
      <c r="BR5530" s="81"/>
      <c r="BS5530" s="81"/>
      <c r="BT5530" s="81"/>
    </row>
    <row r="5531" spans="65:72" x14ac:dyDescent="0.25">
      <c r="BM5531" s="81"/>
      <c r="BN5531" s="81"/>
      <c r="BO5531" s="81"/>
      <c r="BP5531" s="81"/>
      <c r="BQ5531" s="81"/>
      <c r="BR5531" s="81"/>
      <c r="BS5531" s="81"/>
      <c r="BT5531" s="81"/>
    </row>
    <row r="5532" spans="65:72" x14ac:dyDescent="0.25">
      <c r="BM5532" s="81"/>
      <c r="BN5532" s="81"/>
      <c r="BO5532" s="81"/>
      <c r="BP5532" s="81"/>
      <c r="BQ5532" s="81"/>
      <c r="BR5532" s="81"/>
      <c r="BS5532" s="81"/>
      <c r="BT5532" s="81"/>
    </row>
    <row r="5533" spans="65:72" x14ac:dyDescent="0.25">
      <c r="BM5533" s="81"/>
      <c r="BN5533" s="81"/>
      <c r="BO5533" s="81"/>
      <c r="BP5533" s="81"/>
      <c r="BQ5533" s="81"/>
      <c r="BR5533" s="81"/>
      <c r="BS5533" s="81"/>
      <c r="BT5533" s="81"/>
    </row>
    <row r="5534" spans="65:72" x14ac:dyDescent="0.25">
      <c r="BM5534" s="81"/>
      <c r="BN5534" s="81"/>
      <c r="BO5534" s="81"/>
      <c r="BP5534" s="81"/>
      <c r="BQ5534" s="81"/>
      <c r="BR5534" s="81"/>
      <c r="BS5534" s="81"/>
      <c r="BT5534" s="81"/>
    </row>
    <row r="5535" spans="65:72" x14ac:dyDescent="0.25">
      <c r="BM5535" s="81"/>
      <c r="BN5535" s="81"/>
      <c r="BO5535" s="81"/>
      <c r="BP5535" s="81"/>
      <c r="BQ5535" s="81"/>
      <c r="BR5535" s="81"/>
      <c r="BS5535" s="81"/>
      <c r="BT5535" s="81"/>
    </row>
    <row r="5536" spans="65:72" x14ac:dyDescent="0.25">
      <c r="BM5536" s="81"/>
      <c r="BN5536" s="81"/>
      <c r="BO5536" s="81"/>
      <c r="BP5536" s="81"/>
      <c r="BQ5536" s="81"/>
      <c r="BR5536" s="81"/>
      <c r="BS5536" s="81"/>
      <c r="BT5536" s="81"/>
    </row>
    <row r="5537" spans="65:72" x14ac:dyDescent="0.25">
      <c r="BM5537" s="81"/>
      <c r="BN5537" s="81"/>
      <c r="BO5537" s="81"/>
      <c r="BP5537" s="81"/>
      <c r="BQ5537" s="81"/>
      <c r="BR5537" s="81"/>
      <c r="BS5537" s="81"/>
      <c r="BT5537" s="81"/>
    </row>
    <row r="5538" spans="65:72" x14ac:dyDescent="0.25">
      <c r="BM5538" s="81"/>
      <c r="BN5538" s="81"/>
      <c r="BO5538" s="81"/>
      <c r="BP5538" s="81"/>
      <c r="BQ5538" s="81"/>
      <c r="BR5538" s="81"/>
      <c r="BS5538" s="81"/>
      <c r="BT5538" s="81"/>
    </row>
    <row r="5539" spans="65:72" x14ac:dyDescent="0.25">
      <c r="BM5539" s="81"/>
      <c r="BN5539" s="81"/>
      <c r="BO5539" s="81"/>
      <c r="BP5539" s="81"/>
      <c r="BQ5539" s="81"/>
      <c r="BR5539" s="81"/>
      <c r="BS5539" s="81"/>
      <c r="BT5539" s="81"/>
    </row>
    <row r="5540" spans="65:72" x14ac:dyDescent="0.25">
      <c r="BM5540" s="81"/>
      <c r="BN5540" s="81"/>
      <c r="BO5540" s="81"/>
      <c r="BP5540" s="81"/>
      <c r="BQ5540" s="81"/>
      <c r="BR5540" s="81"/>
      <c r="BS5540" s="81"/>
      <c r="BT5540" s="81"/>
    </row>
    <row r="5541" spans="65:72" x14ac:dyDescent="0.25">
      <c r="BM5541" s="81"/>
      <c r="BN5541" s="81"/>
      <c r="BO5541" s="81"/>
      <c r="BP5541" s="81"/>
      <c r="BQ5541" s="81"/>
      <c r="BR5541" s="81"/>
      <c r="BS5541" s="81"/>
      <c r="BT5541" s="81"/>
    </row>
    <row r="5542" spans="65:72" x14ac:dyDescent="0.25">
      <c r="BM5542" s="81"/>
      <c r="BN5542" s="81"/>
      <c r="BO5542" s="81"/>
      <c r="BP5542" s="81"/>
      <c r="BQ5542" s="81"/>
      <c r="BR5542" s="81"/>
      <c r="BS5542" s="81"/>
      <c r="BT5542" s="81"/>
    </row>
    <row r="5543" spans="65:72" x14ac:dyDescent="0.25">
      <c r="BM5543" s="81"/>
      <c r="BN5543" s="81"/>
      <c r="BO5543" s="81"/>
      <c r="BP5543" s="81"/>
      <c r="BQ5543" s="81"/>
      <c r="BR5543" s="81"/>
      <c r="BS5543" s="81"/>
      <c r="BT5543" s="81"/>
    </row>
    <row r="5544" spans="65:72" x14ac:dyDescent="0.25">
      <c r="BM5544" s="81"/>
      <c r="BN5544" s="81"/>
      <c r="BO5544" s="81"/>
      <c r="BP5544" s="81"/>
      <c r="BQ5544" s="81"/>
      <c r="BR5544" s="81"/>
      <c r="BS5544" s="81"/>
      <c r="BT5544" s="81"/>
    </row>
    <row r="5545" spans="65:72" x14ac:dyDescent="0.25">
      <c r="BM5545" s="81"/>
      <c r="BN5545" s="81"/>
      <c r="BO5545" s="81"/>
      <c r="BP5545" s="81"/>
      <c r="BQ5545" s="81"/>
      <c r="BR5545" s="81"/>
      <c r="BS5545" s="81"/>
      <c r="BT5545" s="81"/>
    </row>
    <row r="5546" spans="65:72" x14ac:dyDescent="0.25">
      <c r="BM5546" s="81"/>
      <c r="BN5546" s="81"/>
      <c r="BO5546" s="81"/>
      <c r="BP5546" s="81"/>
      <c r="BQ5546" s="81"/>
      <c r="BR5546" s="81"/>
      <c r="BS5546" s="81"/>
      <c r="BT5546" s="81"/>
    </row>
    <row r="5547" spans="65:72" x14ac:dyDescent="0.25">
      <c r="BM5547" s="81"/>
      <c r="BN5547" s="81"/>
      <c r="BO5547" s="81"/>
      <c r="BP5547" s="81"/>
      <c r="BQ5547" s="81"/>
      <c r="BR5547" s="81"/>
      <c r="BS5547" s="81"/>
      <c r="BT5547" s="81"/>
    </row>
    <row r="5548" spans="65:72" x14ac:dyDescent="0.25">
      <c r="BM5548" s="81"/>
      <c r="BN5548" s="81"/>
      <c r="BO5548" s="81"/>
      <c r="BP5548" s="81"/>
      <c r="BQ5548" s="81"/>
      <c r="BR5548" s="81"/>
      <c r="BS5548" s="81"/>
      <c r="BT5548" s="81"/>
    </row>
    <row r="5549" spans="65:72" x14ac:dyDescent="0.25">
      <c r="BM5549" s="81"/>
      <c r="BN5549" s="81"/>
      <c r="BO5549" s="81"/>
      <c r="BP5549" s="81"/>
      <c r="BQ5549" s="81"/>
      <c r="BR5549" s="81"/>
      <c r="BS5549" s="81"/>
      <c r="BT5549" s="81"/>
    </row>
    <row r="5550" spans="65:72" x14ac:dyDescent="0.25">
      <c r="BM5550" s="81"/>
      <c r="BN5550" s="81"/>
      <c r="BO5550" s="81"/>
      <c r="BP5550" s="81"/>
      <c r="BQ5550" s="81"/>
      <c r="BR5550" s="81"/>
      <c r="BS5550" s="81"/>
      <c r="BT5550" s="81"/>
    </row>
    <row r="5551" spans="65:72" x14ac:dyDescent="0.25">
      <c r="BM5551" s="81"/>
      <c r="BN5551" s="81"/>
      <c r="BO5551" s="81"/>
      <c r="BP5551" s="81"/>
      <c r="BQ5551" s="81"/>
      <c r="BR5551" s="81"/>
      <c r="BS5551" s="81"/>
      <c r="BT5551" s="81"/>
    </row>
    <row r="5552" spans="65:72" x14ac:dyDescent="0.25">
      <c r="BM5552" s="81"/>
      <c r="BN5552" s="81"/>
      <c r="BO5552" s="81"/>
      <c r="BP5552" s="81"/>
      <c r="BQ5552" s="81"/>
      <c r="BR5552" s="81"/>
      <c r="BS5552" s="81"/>
      <c r="BT5552" s="81"/>
    </row>
    <row r="5553" spans="65:72" x14ac:dyDescent="0.25">
      <c r="BM5553" s="81"/>
      <c r="BN5553" s="81"/>
      <c r="BO5553" s="81"/>
      <c r="BP5553" s="81"/>
      <c r="BQ5553" s="81"/>
      <c r="BR5553" s="81"/>
      <c r="BS5553" s="81"/>
      <c r="BT5553" s="81"/>
    </row>
    <row r="5554" spans="65:72" x14ac:dyDescent="0.25">
      <c r="BM5554" s="81"/>
      <c r="BN5554" s="81"/>
      <c r="BO5554" s="81"/>
      <c r="BP5554" s="81"/>
      <c r="BQ5554" s="81"/>
      <c r="BR5554" s="81"/>
      <c r="BS5554" s="81"/>
      <c r="BT5554" s="81"/>
    </row>
    <row r="5555" spans="65:72" x14ac:dyDescent="0.25">
      <c r="BM5555" s="81"/>
      <c r="BN5555" s="81"/>
      <c r="BO5555" s="81"/>
      <c r="BP5555" s="81"/>
      <c r="BQ5555" s="81"/>
      <c r="BR5555" s="81"/>
      <c r="BS5555" s="81"/>
      <c r="BT5555" s="81"/>
    </row>
    <row r="5556" spans="65:72" x14ac:dyDescent="0.25">
      <c r="BM5556" s="81"/>
      <c r="BN5556" s="81"/>
      <c r="BO5556" s="81"/>
      <c r="BP5556" s="81"/>
      <c r="BQ5556" s="81"/>
      <c r="BR5556" s="81"/>
      <c r="BS5556" s="81"/>
      <c r="BT5556" s="81"/>
    </row>
    <row r="5557" spans="65:72" x14ac:dyDescent="0.25">
      <c r="BM5557" s="81"/>
      <c r="BN5557" s="81"/>
      <c r="BO5557" s="81"/>
      <c r="BP5557" s="81"/>
      <c r="BQ5557" s="81"/>
      <c r="BR5557" s="81"/>
      <c r="BS5557" s="81"/>
      <c r="BT5557" s="81"/>
    </row>
    <row r="5558" spans="65:72" x14ac:dyDescent="0.25">
      <c r="BM5558" s="81"/>
      <c r="BN5558" s="81"/>
      <c r="BO5558" s="81"/>
      <c r="BP5558" s="81"/>
      <c r="BQ5558" s="81"/>
      <c r="BR5558" s="81"/>
      <c r="BS5558" s="81"/>
      <c r="BT5558" s="81"/>
    </row>
    <row r="5559" spans="65:72" x14ac:dyDescent="0.25">
      <c r="BM5559" s="81"/>
      <c r="BN5559" s="81"/>
      <c r="BO5559" s="81"/>
      <c r="BP5559" s="81"/>
      <c r="BQ5559" s="81"/>
      <c r="BR5559" s="81"/>
      <c r="BS5559" s="81"/>
      <c r="BT5559" s="81"/>
    </row>
    <row r="5560" spans="65:72" x14ac:dyDescent="0.25">
      <c r="BM5560" s="81"/>
      <c r="BN5560" s="81"/>
      <c r="BO5560" s="81"/>
      <c r="BP5560" s="81"/>
      <c r="BQ5560" s="81"/>
      <c r="BR5560" s="81"/>
      <c r="BS5560" s="81"/>
      <c r="BT5560" s="81"/>
    </row>
    <row r="5561" spans="65:72" x14ac:dyDescent="0.25">
      <c r="BM5561" s="81"/>
      <c r="BN5561" s="81"/>
      <c r="BO5561" s="81"/>
      <c r="BP5561" s="81"/>
      <c r="BQ5561" s="81"/>
      <c r="BR5561" s="81"/>
      <c r="BS5561" s="81"/>
      <c r="BT5561" s="81"/>
    </row>
    <row r="5562" spans="65:72" x14ac:dyDescent="0.25">
      <c r="BM5562" s="81"/>
      <c r="BN5562" s="81"/>
      <c r="BO5562" s="81"/>
      <c r="BP5562" s="81"/>
      <c r="BQ5562" s="81"/>
      <c r="BR5562" s="81"/>
      <c r="BS5562" s="81"/>
      <c r="BT5562" s="81"/>
    </row>
    <row r="5563" spans="65:72" x14ac:dyDescent="0.25">
      <c r="BM5563" s="81"/>
      <c r="BN5563" s="81"/>
      <c r="BO5563" s="81"/>
      <c r="BP5563" s="81"/>
      <c r="BQ5563" s="81"/>
      <c r="BR5563" s="81"/>
      <c r="BS5563" s="81"/>
      <c r="BT5563" s="81"/>
    </row>
    <row r="5564" spans="65:72" x14ac:dyDescent="0.25">
      <c r="BM5564" s="81"/>
      <c r="BN5564" s="81"/>
      <c r="BO5564" s="81"/>
      <c r="BP5564" s="81"/>
      <c r="BQ5564" s="81"/>
      <c r="BR5564" s="81"/>
      <c r="BS5564" s="81"/>
      <c r="BT5564" s="81"/>
    </row>
    <row r="5565" spans="65:72" x14ac:dyDescent="0.25">
      <c r="BM5565" s="81"/>
      <c r="BN5565" s="81"/>
      <c r="BO5565" s="81"/>
      <c r="BP5565" s="81"/>
      <c r="BQ5565" s="81"/>
      <c r="BR5565" s="81"/>
      <c r="BS5565" s="81"/>
      <c r="BT5565" s="81"/>
    </row>
    <row r="5566" spans="65:72" x14ac:dyDescent="0.25">
      <c r="BM5566" s="81"/>
      <c r="BN5566" s="81"/>
      <c r="BO5566" s="81"/>
      <c r="BP5566" s="81"/>
      <c r="BQ5566" s="81"/>
      <c r="BR5566" s="81"/>
      <c r="BS5566" s="81"/>
      <c r="BT5566" s="81"/>
    </row>
    <row r="5567" spans="65:72" x14ac:dyDescent="0.25">
      <c r="BM5567" s="81"/>
      <c r="BN5567" s="81"/>
      <c r="BO5567" s="81"/>
      <c r="BP5567" s="81"/>
      <c r="BQ5567" s="81"/>
      <c r="BR5567" s="81"/>
      <c r="BS5567" s="81"/>
      <c r="BT5567" s="81"/>
    </row>
    <row r="5568" spans="65:72" x14ac:dyDescent="0.25">
      <c r="BM5568" s="81"/>
      <c r="BN5568" s="81"/>
      <c r="BO5568" s="81"/>
      <c r="BP5568" s="81"/>
      <c r="BQ5568" s="81"/>
      <c r="BR5568" s="81"/>
      <c r="BS5568" s="81"/>
      <c r="BT5568" s="81"/>
    </row>
    <row r="5569" spans="65:72" x14ac:dyDescent="0.25">
      <c r="BM5569" s="81"/>
      <c r="BN5569" s="81"/>
      <c r="BO5569" s="81"/>
      <c r="BP5569" s="81"/>
      <c r="BQ5569" s="81"/>
      <c r="BR5569" s="81"/>
      <c r="BS5569" s="81"/>
      <c r="BT5569" s="81"/>
    </row>
    <row r="5570" spans="65:72" x14ac:dyDescent="0.25">
      <c r="BM5570" s="81"/>
      <c r="BN5570" s="81"/>
      <c r="BO5570" s="81"/>
      <c r="BP5570" s="81"/>
      <c r="BQ5570" s="81"/>
      <c r="BR5570" s="81"/>
      <c r="BS5570" s="81"/>
      <c r="BT5570" s="81"/>
    </row>
    <row r="5571" spans="65:72" x14ac:dyDescent="0.25">
      <c r="BM5571" s="81"/>
      <c r="BN5571" s="81"/>
      <c r="BO5571" s="81"/>
      <c r="BP5571" s="81"/>
      <c r="BQ5571" s="81"/>
      <c r="BR5571" s="81"/>
      <c r="BS5571" s="81"/>
      <c r="BT5571" s="81"/>
    </row>
    <row r="5572" spans="65:72" x14ac:dyDescent="0.25">
      <c r="BM5572" s="81"/>
      <c r="BN5572" s="81"/>
      <c r="BO5572" s="81"/>
      <c r="BP5572" s="81"/>
      <c r="BQ5572" s="81"/>
      <c r="BR5572" s="81"/>
      <c r="BS5572" s="81"/>
      <c r="BT5572" s="81"/>
    </row>
    <row r="5573" spans="65:72" x14ac:dyDescent="0.25">
      <c r="BM5573" s="81"/>
      <c r="BN5573" s="81"/>
      <c r="BO5573" s="81"/>
      <c r="BP5573" s="81"/>
      <c r="BQ5573" s="81"/>
      <c r="BR5573" s="81"/>
      <c r="BS5573" s="81"/>
      <c r="BT5573" s="81"/>
    </row>
    <row r="5574" spans="65:72" x14ac:dyDescent="0.25">
      <c r="BM5574" s="81"/>
      <c r="BN5574" s="81"/>
      <c r="BO5574" s="81"/>
      <c r="BP5574" s="81"/>
      <c r="BQ5574" s="81"/>
      <c r="BR5574" s="81"/>
      <c r="BS5574" s="81"/>
      <c r="BT5574" s="81"/>
    </row>
    <row r="5575" spans="65:72" x14ac:dyDescent="0.25">
      <c r="BM5575" s="81"/>
      <c r="BN5575" s="81"/>
      <c r="BO5575" s="81"/>
      <c r="BP5575" s="81"/>
      <c r="BQ5575" s="81"/>
      <c r="BR5575" s="81"/>
      <c r="BS5575" s="81"/>
      <c r="BT5575" s="81"/>
    </row>
    <row r="5576" spans="65:72" x14ac:dyDescent="0.25">
      <c r="BM5576" s="81"/>
      <c r="BN5576" s="81"/>
      <c r="BO5576" s="81"/>
      <c r="BP5576" s="81"/>
      <c r="BQ5576" s="81"/>
      <c r="BR5576" s="81"/>
      <c r="BS5576" s="81"/>
      <c r="BT5576" s="81"/>
    </row>
    <row r="5577" spans="65:72" x14ac:dyDescent="0.25">
      <c r="BM5577" s="81"/>
      <c r="BN5577" s="81"/>
      <c r="BO5577" s="81"/>
      <c r="BP5577" s="81"/>
      <c r="BQ5577" s="81"/>
      <c r="BR5577" s="81"/>
      <c r="BS5577" s="81"/>
      <c r="BT5577" s="81"/>
    </row>
    <row r="5578" spans="65:72" x14ac:dyDescent="0.25">
      <c r="BM5578" s="81"/>
      <c r="BN5578" s="81"/>
      <c r="BO5578" s="81"/>
      <c r="BP5578" s="81"/>
      <c r="BQ5578" s="81"/>
      <c r="BR5578" s="81"/>
      <c r="BS5578" s="81"/>
      <c r="BT5578" s="81"/>
    </row>
    <row r="5579" spans="65:72" x14ac:dyDescent="0.25">
      <c r="BM5579" s="81"/>
      <c r="BN5579" s="81"/>
      <c r="BO5579" s="81"/>
      <c r="BP5579" s="81"/>
      <c r="BQ5579" s="81"/>
      <c r="BR5579" s="81"/>
      <c r="BS5579" s="81"/>
      <c r="BT5579" s="81"/>
    </row>
    <row r="5580" spans="65:72" x14ac:dyDescent="0.25">
      <c r="BM5580" s="81"/>
      <c r="BN5580" s="81"/>
      <c r="BO5580" s="81"/>
      <c r="BP5580" s="81"/>
      <c r="BQ5580" s="81"/>
      <c r="BR5580" s="81"/>
      <c r="BS5580" s="81"/>
      <c r="BT5580" s="81"/>
    </row>
    <row r="5581" spans="65:72" x14ac:dyDescent="0.25">
      <c r="BM5581" s="81"/>
      <c r="BN5581" s="81"/>
      <c r="BO5581" s="81"/>
      <c r="BP5581" s="81"/>
      <c r="BQ5581" s="81"/>
      <c r="BR5581" s="81"/>
      <c r="BS5581" s="81"/>
      <c r="BT5581" s="81"/>
    </row>
    <row r="5582" spans="65:72" x14ac:dyDescent="0.25">
      <c r="BM5582" s="81"/>
      <c r="BN5582" s="81"/>
      <c r="BO5582" s="81"/>
      <c r="BP5582" s="81"/>
      <c r="BQ5582" s="81"/>
      <c r="BR5582" s="81"/>
      <c r="BS5582" s="81"/>
      <c r="BT5582" s="81"/>
    </row>
    <row r="5583" spans="65:72" x14ac:dyDescent="0.25">
      <c r="BM5583" s="81"/>
      <c r="BN5583" s="81"/>
      <c r="BO5583" s="81"/>
      <c r="BP5583" s="81"/>
      <c r="BQ5583" s="81"/>
      <c r="BR5583" s="81"/>
      <c r="BS5583" s="81"/>
      <c r="BT5583" s="81"/>
    </row>
    <row r="5584" spans="65:72" x14ac:dyDescent="0.25">
      <c r="BM5584" s="81"/>
      <c r="BN5584" s="81"/>
      <c r="BO5584" s="81"/>
      <c r="BP5584" s="81"/>
      <c r="BQ5584" s="81"/>
      <c r="BR5584" s="81"/>
      <c r="BS5584" s="81"/>
      <c r="BT5584" s="81"/>
    </row>
    <row r="5585" spans="65:72" x14ac:dyDescent="0.25">
      <c r="BM5585" s="81"/>
      <c r="BN5585" s="81"/>
      <c r="BO5585" s="81"/>
      <c r="BP5585" s="81"/>
      <c r="BQ5585" s="81"/>
      <c r="BR5585" s="81"/>
      <c r="BS5585" s="81"/>
      <c r="BT5585" s="81"/>
    </row>
    <row r="5586" spans="65:72" x14ac:dyDescent="0.25">
      <c r="BM5586" s="81"/>
      <c r="BN5586" s="81"/>
      <c r="BO5586" s="81"/>
      <c r="BP5586" s="81"/>
      <c r="BQ5586" s="81"/>
      <c r="BR5586" s="81"/>
      <c r="BS5586" s="81"/>
      <c r="BT5586" s="81"/>
    </row>
    <row r="5587" spans="65:72" x14ac:dyDescent="0.25">
      <c r="BM5587" s="81"/>
      <c r="BN5587" s="81"/>
      <c r="BO5587" s="81"/>
      <c r="BP5587" s="81"/>
      <c r="BQ5587" s="81"/>
      <c r="BR5587" s="81"/>
      <c r="BS5587" s="81"/>
      <c r="BT5587" s="81"/>
    </row>
    <row r="5588" spans="65:72" x14ac:dyDescent="0.25">
      <c r="BM5588" s="81"/>
      <c r="BN5588" s="81"/>
      <c r="BO5588" s="81"/>
      <c r="BP5588" s="81"/>
      <c r="BQ5588" s="81"/>
      <c r="BR5588" s="81"/>
      <c r="BS5588" s="81"/>
      <c r="BT5588" s="81"/>
    </row>
    <row r="5589" spans="65:72" x14ac:dyDescent="0.25">
      <c r="BM5589" s="81"/>
      <c r="BN5589" s="81"/>
      <c r="BO5589" s="81"/>
      <c r="BP5589" s="81"/>
      <c r="BQ5589" s="81"/>
      <c r="BR5589" s="81"/>
      <c r="BS5589" s="81"/>
      <c r="BT5589" s="81"/>
    </row>
    <row r="5590" spans="65:72" x14ac:dyDescent="0.25">
      <c r="BM5590" s="81"/>
      <c r="BN5590" s="81"/>
      <c r="BO5590" s="81"/>
      <c r="BP5590" s="81"/>
      <c r="BQ5590" s="81"/>
      <c r="BR5590" s="81"/>
      <c r="BS5590" s="81"/>
      <c r="BT5590" s="81"/>
    </row>
    <row r="5591" spans="65:72" x14ac:dyDescent="0.25">
      <c r="BM5591" s="81"/>
      <c r="BN5591" s="81"/>
      <c r="BO5591" s="81"/>
      <c r="BP5591" s="81"/>
      <c r="BQ5591" s="81"/>
      <c r="BR5591" s="81"/>
      <c r="BS5591" s="81"/>
      <c r="BT5591" s="81"/>
    </row>
    <row r="5592" spans="65:72" x14ac:dyDescent="0.25">
      <c r="BM5592" s="81"/>
      <c r="BN5592" s="81"/>
      <c r="BO5592" s="81"/>
      <c r="BP5592" s="81"/>
      <c r="BQ5592" s="81"/>
      <c r="BR5592" s="81"/>
      <c r="BS5592" s="81"/>
      <c r="BT5592" s="81"/>
    </row>
    <row r="5593" spans="65:72" x14ac:dyDescent="0.25">
      <c r="BM5593" s="81"/>
      <c r="BN5593" s="81"/>
      <c r="BO5593" s="81"/>
      <c r="BP5593" s="81"/>
      <c r="BQ5593" s="81"/>
      <c r="BR5593" s="81"/>
      <c r="BS5593" s="81"/>
      <c r="BT5593" s="81"/>
    </row>
    <row r="5594" spans="65:72" x14ac:dyDescent="0.25">
      <c r="BM5594" s="81"/>
      <c r="BN5594" s="81"/>
      <c r="BO5594" s="81"/>
      <c r="BP5594" s="81"/>
      <c r="BQ5594" s="81"/>
      <c r="BR5594" s="81"/>
      <c r="BS5594" s="81"/>
      <c r="BT5594" s="81"/>
    </row>
    <row r="5595" spans="65:72" x14ac:dyDescent="0.25">
      <c r="BM5595" s="81"/>
      <c r="BN5595" s="81"/>
      <c r="BO5595" s="81"/>
      <c r="BP5595" s="81"/>
      <c r="BQ5595" s="81"/>
      <c r="BR5595" s="81"/>
      <c r="BS5595" s="81"/>
      <c r="BT5595" s="81"/>
    </row>
    <row r="5596" spans="65:72" x14ac:dyDescent="0.25">
      <c r="BM5596" s="81"/>
      <c r="BN5596" s="81"/>
      <c r="BO5596" s="81"/>
      <c r="BP5596" s="81"/>
      <c r="BQ5596" s="81"/>
      <c r="BR5596" s="81"/>
      <c r="BS5596" s="81"/>
      <c r="BT5596" s="81"/>
    </row>
    <row r="5597" spans="65:72" x14ac:dyDescent="0.25">
      <c r="BM5597" s="81"/>
      <c r="BN5597" s="81"/>
      <c r="BO5597" s="81"/>
      <c r="BP5597" s="81"/>
      <c r="BQ5597" s="81"/>
      <c r="BR5597" s="81"/>
      <c r="BS5597" s="81"/>
      <c r="BT5597" s="81"/>
    </row>
    <row r="5598" spans="65:72" x14ac:dyDescent="0.25">
      <c r="BM5598" s="81"/>
      <c r="BN5598" s="81"/>
      <c r="BO5598" s="81"/>
      <c r="BP5598" s="81"/>
      <c r="BQ5598" s="81"/>
      <c r="BR5598" s="81"/>
      <c r="BS5598" s="81"/>
      <c r="BT5598" s="81"/>
    </row>
    <row r="5599" spans="65:72" x14ac:dyDescent="0.25">
      <c r="BM5599" s="81"/>
      <c r="BN5599" s="81"/>
      <c r="BO5599" s="81"/>
      <c r="BP5599" s="81"/>
      <c r="BQ5599" s="81"/>
      <c r="BR5599" s="81"/>
      <c r="BS5599" s="81"/>
      <c r="BT5599" s="81"/>
    </row>
    <row r="5600" spans="65:72" x14ac:dyDescent="0.25">
      <c r="BM5600" s="81"/>
      <c r="BN5600" s="81"/>
      <c r="BO5600" s="81"/>
      <c r="BP5600" s="81"/>
      <c r="BQ5600" s="81"/>
      <c r="BR5600" s="81"/>
      <c r="BS5600" s="81"/>
      <c r="BT5600" s="81"/>
    </row>
    <row r="5601" spans="65:72" x14ac:dyDescent="0.25">
      <c r="BM5601" s="81"/>
      <c r="BN5601" s="81"/>
      <c r="BO5601" s="81"/>
      <c r="BP5601" s="81"/>
      <c r="BQ5601" s="81"/>
      <c r="BR5601" s="81"/>
      <c r="BS5601" s="81"/>
      <c r="BT5601" s="81"/>
    </row>
    <row r="5602" spans="65:72" x14ac:dyDescent="0.25">
      <c r="BM5602" s="81"/>
      <c r="BN5602" s="81"/>
      <c r="BO5602" s="81"/>
      <c r="BP5602" s="81"/>
      <c r="BQ5602" s="81"/>
      <c r="BR5602" s="81"/>
      <c r="BS5602" s="81"/>
      <c r="BT5602" s="81"/>
    </row>
    <row r="5603" spans="65:72" x14ac:dyDescent="0.25">
      <c r="BM5603" s="81"/>
      <c r="BN5603" s="81"/>
      <c r="BO5603" s="81"/>
      <c r="BP5603" s="81"/>
      <c r="BQ5603" s="81"/>
      <c r="BR5603" s="81"/>
      <c r="BS5603" s="81"/>
      <c r="BT5603" s="81"/>
    </row>
    <row r="5604" spans="65:72" x14ac:dyDescent="0.25">
      <c r="BM5604" s="81"/>
      <c r="BN5604" s="81"/>
      <c r="BO5604" s="81"/>
      <c r="BP5604" s="81"/>
      <c r="BQ5604" s="81"/>
      <c r="BR5604" s="81"/>
      <c r="BS5604" s="81"/>
      <c r="BT5604" s="81"/>
    </row>
    <row r="5605" spans="65:72" x14ac:dyDescent="0.25">
      <c r="BM5605" s="81"/>
      <c r="BN5605" s="81"/>
      <c r="BO5605" s="81"/>
      <c r="BP5605" s="81"/>
      <c r="BQ5605" s="81"/>
      <c r="BR5605" s="81"/>
      <c r="BS5605" s="81"/>
      <c r="BT5605" s="81"/>
    </row>
    <row r="5606" spans="65:72" x14ac:dyDescent="0.25">
      <c r="BM5606" s="81"/>
      <c r="BN5606" s="81"/>
      <c r="BO5606" s="81"/>
      <c r="BP5606" s="81"/>
      <c r="BQ5606" s="81"/>
      <c r="BR5606" s="81"/>
      <c r="BS5606" s="81"/>
      <c r="BT5606" s="81"/>
    </row>
    <row r="5607" spans="65:72" x14ac:dyDescent="0.25">
      <c r="BM5607" s="81"/>
      <c r="BN5607" s="81"/>
      <c r="BO5607" s="81"/>
      <c r="BP5607" s="81"/>
      <c r="BQ5607" s="81"/>
      <c r="BR5607" s="81"/>
      <c r="BS5607" s="81"/>
      <c r="BT5607" s="81"/>
    </row>
    <row r="5608" spans="65:72" x14ac:dyDescent="0.25">
      <c r="BM5608" s="81"/>
      <c r="BN5608" s="81"/>
      <c r="BO5608" s="81"/>
      <c r="BP5608" s="81"/>
      <c r="BQ5608" s="81"/>
      <c r="BR5608" s="81"/>
      <c r="BS5608" s="81"/>
      <c r="BT5608" s="81"/>
    </row>
    <row r="5609" spans="65:72" x14ac:dyDescent="0.25">
      <c r="BM5609" s="81"/>
      <c r="BN5609" s="81"/>
      <c r="BO5609" s="81"/>
      <c r="BP5609" s="81"/>
      <c r="BQ5609" s="81"/>
      <c r="BR5609" s="81"/>
      <c r="BS5609" s="81"/>
      <c r="BT5609" s="81"/>
    </row>
    <row r="5610" spans="65:72" x14ac:dyDescent="0.25">
      <c r="BM5610" s="81"/>
      <c r="BN5610" s="81"/>
      <c r="BO5610" s="81"/>
      <c r="BP5610" s="81"/>
      <c r="BQ5610" s="81"/>
      <c r="BR5610" s="81"/>
      <c r="BS5610" s="81"/>
      <c r="BT5610" s="81"/>
    </row>
    <row r="5611" spans="65:72" x14ac:dyDescent="0.25">
      <c r="BM5611" s="81"/>
      <c r="BN5611" s="81"/>
      <c r="BO5611" s="81"/>
      <c r="BP5611" s="81"/>
      <c r="BQ5611" s="81"/>
      <c r="BR5611" s="81"/>
      <c r="BS5611" s="81"/>
      <c r="BT5611" s="81"/>
    </row>
    <row r="5612" spans="65:72" x14ac:dyDescent="0.25">
      <c r="BM5612" s="81"/>
      <c r="BN5612" s="81"/>
      <c r="BO5612" s="81"/>
      <c r="BP5612" s="81"/>
      <c r="BQ5612" s="81"/>
      <c r="BR5612" s="81"/>
      <c r="BS5612" s="81"/>
      <c r="BT5612" s="81"/>
    </row>
    <row r="5613" spans="65:72" x14ac:dyDescent="0.25">
      <c r="BM5613" s="81"/>
      <c r="BN5613" s="81"/>
      <c r="BO5613" s="81"/>
      <c r="BP5613" s="81"/>
      <c r="BQ5613" s="81"/>
      <c r="BR5613" s="81"/>
      <c r="BS5613" s="81"/>
      <c r="BT5613" s="81"/>
    </row>
    <row r="5614" spans="65:72" x14ac:dyDescent="0.25">
      <c r="BM5614" s="81"/>
      <c r="BN5614" s="81"/>
      <c r="BO5614" s="81"/>
      <c r="BP5614" s="81"/>
      <c r="BQ5614" s="81"/>
      <c r="BR5614" s="81"/>
      <c r="BS5614" s="81"/>
      <c r="BT5614" s="81"/>
    </row>
    <row r="5615" spans="65:72" x14ac:dyDescent="0.25">
      <c r="BM5615" s="81"/>
      <c r="BN5615" s="81"/>
      <c r="BO5615" s="81"/>
      <c r="BP5615" s="81"/>
      <c r="BQ5615" s="81"/>
      <c r="BR5615" s="81"/>
      <c r="BS5615" s="81"/>
      <c r="BT5615" s="81"/>
    </row>
    <row r="5616" spans="65:72" x14ac:dyDescent="0.25">
      <c r="BM5616" s="81"/>
      <c r="BN5616" s="81"/>
      <c r="BO5616" s="81"/>
      <c r="BP5616" s="81"/>
      <c r="BQ5616" s="81"/>
      <c r="BR5616" s="81"/>
      <c r="BS5616" s="81"/>
      <c r="BT5616" s="81"/>
    </row>
    <row r="5617" spans="65:72" x14ac:dyDescent="0.25">
      <c r="BM5617" s="81"/>
      <c r="BN5617" s="81"/>
      <c r="BO5617" s="81"/>
      <c r="BP5617" s="81"/>
      <c r="BQ5617" s="81"/>
      <c r="BR5617" s="81"/>
      <c r="BS5617" s="81"/>
      <c r="BT5617" s="81"/>
    </row>
    <row r="5618" spans="65:72" x14ac:dyDescent="0.25">
      <c r="BM5618" s="81"/>
      <c r="BN5618" s="81"/>
      <c r="BO5618" s="81"/>
      <c r="BP5618" s="81"/>
      <c r="BQ5618" s="81"/>
      <c r="BR5618" s="81"/>
      <c r="BS5618" s="81"/>
      <c r="BT5618" s="81"/>
    </row>
    <row r="5619" spans="65:72" x14ac:dyDescent="0.25">
      <c r="BM5619" s="81"/>
      <c r="BN5619" s="81"/>
      <c r="BO5619" s="81"/>
      <c r="BP5619" s="81"/>
      <c r="BQ5619" s="81"/>
      <c r="BR5619" s="81"/>
      <c r="BS5619" s="81"/>
      <c r="BT5619" s="81"/>
    </row>
    <row r="5620" spans="65:72" x14ac:dyDescent="0.25">
      <c r="BM5620" s="81"/>
      <c r="BN5620" s="81"/>
      <c r="BO5620" s="81"/>
      <c r="BP5620" s="81"/>
      <c r="BQ5620" s="81"/>
      <c r="BR5620" s="81"/>
      <c r="BS5620" s="81"/>
      <c r="BT5620" s="81"/>
    </row>
    <row r="5621" spans="65:72" x14ac:dyDescent="0.25">
      <c r="BM5621" s="81"/>
      <c r="BN5621" s="81"/>
      <c r="BO5621" s="81"/>
      <c r="BP5621" s="81"/>
      <c r="BQ5621" s="81"/>
      <c r="BR5621" s="81"/>
      <c r="BS5621" s="81"/>
      <c r="BT5621" s="81"/>
    </row>
    <row r="5622" spans="65:72" x14ac:dyDescent="0.25">
      <c r="BM5622" s="81"/>
      <c r="BN5622" s="81"/>
      <c r="BO5622" s="81"/>
      <c r="BP5622" s="81"/>
      <c r="BQ5622" s="81"/>
      <c r="BR5622" s="81"/>
      <c r="BS5622" s="81"/>
      <c r="BT5622" s="81"/>
    </row>
    <row r="5623" spans="65:72" x14ac:dyDescent="0.25">
      <c r="BM5623" s="81"/>
      <c r="BN5623" s="81"/>
      <c r="BO5623" s="81"/>
      <c r="BP5623" s="81"/>
      <c r="BQ5623" s="81"/>
      <c r="BR5623" s="81"/>
      <c r="BS5623" s="81"/>
      <c r="BT5623" s="81"/>
    </row>
    <row r="5624" spans="65:72" x14ac:dyDescent="0.25">
      <c r="BM5624" s="81"/>
      <c r="BN5624" s="81"/>
      <c r="BO5624" s="81"/>
      <c r="BP5624" s="81"/>
      <c r="BQ5624" s="81"/>
      <c r="BR5624" s="81"/>
      <c r="BS5624" s="81"/>
      <c r="BT5624" s="81"/>
    </row>
    <row r="5625" spans="65:72" x14ac:dyDescent="0.25">
      <c r="BM5625" s="81"/>
      <c r="BN5625" s="81"/>
      <c r="BO5625" s="81"/>
      <c r="BP5625" s="81"/>
      <c r="BQ5625" s="81"/>
      <c r="BR5625" s="81"/>
      <c r="BS5625" s="81"/>
      <c r="BT5625" s="81"/>
    </row>
    <row r="5626" spans="65:72" x14ac:dyDescent="0.25">
      <c r="BM5626" s="81"/>
      <c r="BN5626" s="81"/>
      <c r="BO5626" s="81"/>
      <c r="BP5626" s="81"/>
      <c r="BQ5626" s="81"/>
      <c r="BR5626" s="81"/>
      <c r="BS5626" s="81"/>
      <c r="BT5626" s="81"/>
    </row>
    <row r="5627" spans="65:72" x14ac:dyDescent="0.25">
      <c r="BM5627" s="81"/>
      <c r="BN5627" s="81"/>
      <c r="BO5627" s="81"/>
      <c r="BP5627" s="81"/>
      <c r="BQ5627" s="81"/>
      <c r="BR5627" s="81"/>
      <c r="BS5627" s="81"/>
      <c r="BT5627" s="81"/>
    </row>
    <row r="5628" spans="65:72" x14ac:dyDescent="0.25">
      <c r="BM5628" s="81"/>
      <c r="BN5628" s="81"/>
      <c r="BO5628" s="81"/>
      <c r="BP5628" s="81"/>
      <c r="BQ5628" s="81"/>
      <c r="BR5628" s="81"/>
      <c r="BS5628" s="81"/>
      <c r="BT5628" s="81"/>
    </row>
    <row r="5629" spans="65:72" x14ac:dyDescent="0.25">
      <c r="BM5629" s="81"/>
      <c r="BN5629" s="81"/>
      <c r="BO5629" s="81"/>
      <c r="BP5629" s="81"/>
      <c r="BQ5629" s="81"/>
      <c r="BR5629" s="81"/>
      <c r="BS5629" s="81"/>
      <c r="BT5629" s="81"/>
    </row>
    <row r="5630" spans="65:72" x14ac:dyDescent="0.25">
      <c r="BM5630" s="81"/>
      <c r="BN5630" s="81"/>
      <c r="BO5630" s="81"/>
      <c r="BP5630" s="81"/>
      <c r="BQ5630" s="81"/>
      <c r="BR5630" s="81"/>
      <c r="BS5630" s="81"/>
      <c r="BT5630" s="81"/>
    </row>
    <row r="5631" spans="65:72" x14ac:dyDescent="0.25">
      <c r="BM5631" s="81"/>
      <c r="BN5631" s="81"/>
      <c r="BO5631" s="81"/>
      <c r="BP5631" s="81"/>
      <c r="BQ5631" s="81"/>
      <c r="BR5631" s="81"/>
      <c r="BS5631" s="81"/>
      <c r="BT5631" s="81"/>
    </row>
    <row r="5632" spans="65:72" x14ac:dyDescent="0.25">
      <c r="BM5632" s="81"/>
      <c r="BN5632" s="81"/>
      <c r="BO5632" s="81"/>
      <c r="BP5632" s="81"/>
      <c r="BQ5632" s="81"/>
      <c r="BR5632" s="81"/>
      <c r="BS5632" s="81"/>
      <c r="BT5632" s="81"/>
    </row>
    <row r="5633" spans="65:72" x14ac:dyDescent="0.25">
      <c r="BM5633" s="81"/>
      <c r="BN5633" s="81"/>
      <c r="BO5633" s="81"/>
      <c r="BP5633" s="81"/>
      <c r="BQ5633" s="81"/>
      <c r="BR5633" s="81"/>
      <c r="BS5633" s="81"/>
      <c r="BT5633" s="81"/>
    </row>
    <row r="5634" spans="65:72" x14ac:dyDescent="0.25">
      <c r="BM5634" s="81"/>
      <c r="BN5634" s="81"/>
      <c r="BO5634" s="81"/>
      <c r="BP5634" s="81"/>
      <c r="BQ5634" s="81"/>
      <c r="BR5634" s="81"/>
      <c r="BS5634" s="81"/>
      <c r="BT5634" s="81"/>
    </row>
    <row r="5635" spans="65:72" x14ac:dyDescent="0.25">
      <c r="BM5635" s="81"/>
      <c r="BN5635" s="81"/>
      <c r="BO5635" s="81"/>
      <c r="BP5635" s="81"/>
      <c r="BQ5635" s="81"/>
      <c r="BR5635" s="81"/>
      <c r="BS5635" s="81"/>
      <c r="BT5635" s="81"/>
    </row>
    <row r="5636" spans="65:72" x14ac:dyDescent="0.25">
      <c r="BM5636" s="81"/>
      <c r="BN5636" s="81"/>
      <c r="BO5636" s="81"/>
      <c r="BP5636" s="81"/>
      <c r="BQ5636" s="81"/>
      <c r="BR5636" s="81"/>
      <c r="BS5636" s="81"/>
      <c r="BT5636" s="81"/>
    </row>
    <row r="5637" spans="65:72" x14ac:dyDescent="0.25">
      <c r="BM5637" s="81"/>
      <c r="BN5637" s="81"/>
      <c r="BO5637" s="81"/>
      <c r="BP5637" s="81"/>
      <c r="BQ5637" s="81"/>
      <c r="BR5637" s="81"/>
      <c r="BS5637" s="81"/>
      <c r="BT5637" s="81"/>
    </row>
    <row r="5638" spans="65:72" x14ac:dyDescent="0.25">
      <c r="BM5638" s="81"/>
      <c r="BN5638" s="81"/>
      <c r="BO5638" s="81"/>
      <c r="BP5638" s="81"/>
      <c r="BQ5638" s="81"/>
      <c r="BR5638" s="81"/>
      <c r="BS5638" s="81"/>
      <c r="BT5638" s="81"/>
    </row>
    <row r="5639" spans="65:72" x14ac:dyDescent="0.25">
      <c r="BM5639" s="81"/>
      <c r="BN5639" s="81"/>
      <c r="BO5639" s="81"/>
      <c r="BP5639" s="81"/>
      <c r="BQ5639" s="81"/>
      <c r="BR5639" s="81"/>
      <c r="BS5639" s="81"/>
      <c r="BT5639" s="81"/>
    </row>
    <row r="5640" spans="65:72" x14ac:dyDescent="0.25">
      <c r="BM5640" s="81"/>
      <c r="BN5640" s="81"/>
      <c r="BO5640" s="81"/>
      <c r="BP5640" s="81"/>
      <c r="BQ5640" s="81"/>
      <c r="BR5640" s="81"/>
      <c r="BS5640" s="81"/>
      <c r="BT5640" s="81"/>
    </row>
    <row r="5641" spans="65:72" x14ac:dyDescent="0.25">
      <c r="BM5641" s="81"/>
      <c r="BN5641" s="81"/>
      <c r="BO5641" s="81"/>
      <c r="BP5641" s="81"/>
      <c r="BQ5641" s="81"/>
      <c r="BR5641" s="81"/>
      <c r="BS5641" s="81"/>
      <c r="BT5641" s="81"/>
    </row>
    <row r="5642" spans="65:72" x14ac:dyDescent="0.25">
      <c r="BM5642" s="81"/>
      <c r="BN5642" s="81"/>
      <c r="BO5642" s="81"/>
      <c r="BP5642" s="81"/>
      <c r="BQ5642" s="81"/>
      <c r="BR5642" s="81"/>
      <c r="BS5642" s="81"/>
      <c r="BT5642" s="81"/>
    </row>
    <row r="5643" spans="65:72" x14ac:dyDescent="0.25">
      <c r="BM5643" s="81"/>
      <c r="BN5643" s="81"/>
      <c r="BO5643" s="81"/>
      <c r="BP5643" s="81"/>
      <c r="BQ5643" s="81"/>
      <c r="BR5643" s="81"/>
      <c r="BS5643" s="81"/>
      <c r="BT5643" s="81"/>
    </row>
    <row r="5644" spans="65:72" x14ac:dyDescent="0.25">
      <c r="BM5644" s="81"/>
      <c r="BN5644" s="81"/>
      <c r="BO5644" s="81"/>
      <c r="BP5644" s="81"/>
      <c r="BQ5644" s="81"/>
      <c r="BR5644" s="81"/>
      <c r="BS5644" s="81"/>
      <c r="BT5644" s="81"/>
    </row>
    <row r="5645" spans="65:72" x14ac:dyDescent="0.25">
      <c r="BM5645" s="81"/>
      <c r="BN5645" s="81"/>
      <c r="BO5645" s="81"/>
      <c r="BP5645" s="81"/>
      <c r="BQ5645" s="81"/>
      <c r="BR5645" s="81"/>
      <c r="BS5645" s="81"/>
      <c r="BT5645" s="81"/>
    </row>
    <row r="5646" spans="65:72" x14ac:dyDescent="0.25">
      <c r="BM5646" s="81"/>
      <c r="BN5646" s="81"/>
      <c r="BO5646" s="81"/>
      <c r="BP5646" s="81"/>
      <c r="BQ5646" s="81"/>
      <c r="BR5646" s="81"/>
      <c r="BS5646" s="81"/>
      <c r="BT5646" s="81"/>
    </row>
    <row r="5647" spans="65:72" x14ac:dyDescent="0.25">
      <c r="BM5647" s="81"/>
      <c r="BN5647" s="81"/>
      <c r="BO5647" s="81"/>
      <c r="BP5647" s="81"/>
      <c r="BQ5647" s="81"/>
      <c r="BR5647" s="81"/>
      <c r="BS5647" s="81"/>
      <c r="BT5647" s="81"/>
    </row>
    <row r="5648" spans="65:72" x14ac:dyDescent="0.25">
      <c r="BM5648" s="81"/>
      <c r="BN5648" s="81"/>
      <c r="BO5648" s="81"/>
      <c r="BP5648" s="81"/>
      <c r="BQ5648" s="81"/>
      <c r="BR5648" s="81"/>
      <c r="BS5648" s="81"/>
      <c r="BT5648" s="81"/>
    </row>
    <row r="5649" spans="65:72" x14ac:dyDescent="0.25">
      <c r="BM5649" s="81"/>
      <c r="BN5649" s="81"/>
      <c r="BO5649" s="81"/>
      <c r="BP5649" s="81"/>
      <c r="BQ5649" s="81"/>
      <c r="BR5649" s="81"/>
      <c r="BS5649" s="81"/>
      <c r="BT5649" s="81"/>
    </row>
    <row r="5650" spans="65:72" x14ac:dyDescent="0.25">
      <c r="BM5650" s="81"/>
      <c r="BN5650" s="81"/>
      <c r="BO5650" s="81"/>
      <c r="BP5650" s="81"/>
      <c r="BQ5650" s="81"/>
      <c r="BR5650" s="81"/>
      <c r="BS5650" s="81"/>
      <c r="BT5650" s="81"/>
    </row>
    <row r="5651" spans="65:72" x14ac:dyDescent="0.25">
      <c r="BM5651" s="81"/>
      <c r="BN5651" s="81"/>
      <c r="BO5651" s="81"/>
      <c r="BP5651" s="81"/>
      <c r="BQ5651" s="81"/>
      <c r="BR5651" s="81"/>
      <c r="BS5651" s="81"/>
      <c r="BT5651" s="81"/>
    </row>
    <row r="5652" spans="65:72" x14ac:dyDescent="0.25">
      <c r="BM5652" s="81"/>
      <c r="BN5652" s="81"/>
      <c r="BO5652" s="81"/>
      <c r="BP5652" s="81"/>
      <c r="BQ5652" s="81"/>
      <c r="BR5652" s="81"/>
      <c r="BS5652" s="81"/>
      <c r="BT5652" s="81"/>
    </row>
    <row r="5653" spans="65:72" x14ac:dyDescent="0.25">
      <c r="BM5653" s="81"/>
      <c r="BN5653" s="81"/>
      <c r="BO5653" s="81"/>
      <c r="BP5653" s="81"/>
      <c r="BQ5653" s="81"/>
      <c r="BR5653" s="81"/>
      <c r="BS5653" s="81"/>
      <c r="BT5653" s="81"/>
    </row>
    <row r="5654" spans="65:72" x14ac:dyDescent="0.25">
      <c r="BM5654" s="81"/>
      <c r="BN5654" s="81"/>
      <c r="BO5654" s="81"/>
      <c r="BP5654" s="81"/>
      <c r="BQ5654" s="81"/>
      <c r="BR5654" s="81"/>
      <c r="BS5654" s="81"/>
      <c r="BT5654" s="81"/>
    </row>
    <row r="5655" spans="65:72" x14ac:dyDescent="0.25">
      <c r="BM5655" s="81"/>
      <c r="BN5655" s="81"/>
      <c r="BO5655" s="81"/>
      <c r="BP5655" s="81"/>
      <c r="BQ5655" s="81"/>
      <c r="BR5655" s="81"/>
      <c r="BS5655" s="81"/>
      <c r="BT5655" s="81"/>
    </row>
    <row r="5656" spans="65:72" x14ac:dyDescent="0.25">
      <c r="BM5656" s="81"/>
      <c r="BN5656" s="81"/>
      <c r="BO5656" s="81"/>
      <c r="BP5656" s="81"/>
      <c r="BQ5656" s="81"/>
      <c r="BR5656" s="81"/>
      <c r="BS5656" s="81"/>
      <c r="BT5656" s="81"/>
    </row>
    <row r="5657" spans="65:72" x14ac:dyDescent="0.25">
      <c r="BM5657" s="81"/>
      <c r="BN5657" s="81"/>
      <c r="BO5657" s="81"/>
      <c r="BP5657" s="81"/>
      <c r="BQ5657" s="81"/>
      <c r="BR5657" s="81"/>
      <c r="BS5657" s="81"/>
      <c r="BT5657" s="81"/>
    </row>
    <row r="5658" spans="65:72" x14ac:dyDescent="0.25">
      <c r="BM5658" s="81"/>
      <c r="BN5658" s="81"/>
      <c r="BO5658" s="81"/>
      <c r="BP5658" s="81"/>
      <c r="BQ5658" s="81"/>
      <c r="BR5658" s="81"/>
      <c r="BS5658" s="81"/>
      <c r="BT5658" s="81"/>
    </row>
    <row r="5659" spans="65:72" x14ac:dyDescent="0.25">
      <c r="BM5659" s="81"/>
      <c r="BN5659" s="81"/>
      <c r="BO5659" s="81"/>
      <c r="BP5659" s="81"/>
      <c r="BQ5659" s="81"/>
      <c r="BR5659" s="81"/>
      <c r="BS5659" s="81"/>
      <c r="BT5659" s="81"/>
    </row>
    <row r="5660" spans="65:72" x14ac:dyDescent="0.25">
      <c r="BM5660" s="81"/>
      <c r="BN5660" s="81"/>
      <c r="BO5660" s="81"/>
      <c r="BP5660" s="81"/>
      <c r="BQ5660" s="81"/>
      <c r="BR5660" s="81"/>
      <c r="BS5660" s="81"/>
      <c r="BT5660" s="81"/>
    </row>
    <row r="5661" spans="65:72" x14ac:dyDescent="0.25">
      <c r="BM5661" s="81"/>
      <c r="BN5661" s="81"/>
      <c r="BO5661" s="81"/>
      <c r="BP5661" s="81"/>
      <c r="BQ5661" s="81"/>
      <c r="BR5661" s="81"/>
      <c r="BS5661" s="81"/>
      <c r="BT5661" s="81"/>
    </row>
    <row r="5662" spans="65:72" x14ac:dyDescent="0.25">
      <c r="BM5662" s="81"/>
      <c r="BN5662" s="81"/>
      <c r="BO5662" s="81"/>
      <c r="BP5662" s="81"/>
      <c r="BQ5662" s="81"/>
      <c r="BR5662" s="81"/>
      <c r="BS5662" s="81"/>
      <c r="BT5662" s="81"/>
    </row>
    <row r="5663" spans="65:72" x14ac:dyDescent="0.25">
      <c r="BM5663" s="81"/>
      <c r="BN5663" s="81"/>
      <c r="BO5663" s="81"/>
      <c r="BP5663" s="81"/>
      <c r="BQ5663" s="81"/>
      <c r="BR5663" s="81"/>
      <c r="BS5663" s="81"/>
      <c r="BT5663" s="81"/>
    </row>
    <row r="5664" spans="65:72" x14ac:dyDescent="0.25">
      <c r="BM5664" s="81"/>
      <c r="BN5664" s="81"/>
      <c r="BO5664" s="81"/>
      <c r="BP5664" s="81"/>
      <c r="BQ5664" s="81"/>
      <c r="BR5664" s="81"/>
      <c r="BS5664" s="81"/>
      <c r="BT5664" s="81"/>
    </row>
    <row r="5665" spans="65:72" x14ac:dyDescent="0.25">
      <c r="BM5665" s="81"/>
      <c r="BN5665" s="81"/>
      <c r="BO5665" s="81"/>
      <c r="BP5665" s="81"/>
      <c r="BQ5665" s="81"/>
      <c r="BR5665" s="81"/>
      <c r="BS5665" s="81"/>
      <c r="BT5665" s="81"/>
    </row>
    <row r="5666" spans="65:72" x14ac:dyDescent="0.25">
      <c r="BM5666" s="81"/>
      <c r="BN5666" s="81"/>
      <c r="BO5666" s="81"/>
      <c r="BP5666" s="81"/>
      <c r="BQ5666" s="81"/>
      <c r="BR5666" s="81"/>
      <c r="BS5666" s="81"/>
      <c r="BT5666" s="81"/>
    </row>
    <row r="5667" spans="65:72" x14ac:dyDescent="0.25">
      <c r="BM5667" s="81"/>
      <c r="BN5667" s="81"/>
      <c r="BO5667" s="81"/>
      <c r="BP5667" s="81"/>
      <c r="BQ5667" s="81"/>
      <c r="BR5667" s="81"/>
      <c r="BS5667" s="81"/>
      <c r="BT5667" s="81"/>
    </row>
    <row r="5668" spans="65:72" x14ac:dyDescent="0.25">
      <c r="BM5668" s="81"/>
      <c r="BN5668" s="81"/>
      <c r="BO5668" s="81"/>
      <c r="BP5668" s="81"/>
      <c r="BQ5668" s="81"/>
      <c r="BR5668" s="81"/>
      <c r="BS5668" s="81"/>
      <c r="BT5668" s="81"/>
    </row>
    <row r="5669" spans="65:72" x14ac:dyDescent="0.25">
      <c r="BM5669" s="81"/>
      <c r="BN5669" s="81"/>
      <c r="BO5669" s="81"/>
      <c r="BP5669" s="81"/>
      <c r="BQ5669" s="81"/>
      <c r="BR5669" s="81"/>
      <c r="BS5669" s="81"/>
      <c r="BT5669" s="81"/>
    </row>
    <row r="5670" spans="65:72" x14ac:dyDescent="0.25">
      <c r="BM5670" s="81"/>
      <c r="BN5670" s="81"/>
      <c r="BO5670" s="81"/>
      <c r="BP5670" s="81"/>
      <c r="BQ5670" s="81"/>
      <c r="BR5670" s="81"/>
      <c r="BS5670" s="81"/>
      <c r="BT5670" s="81"/>
    </row>
    <row r="5671" spans="65:72" x14ac:dyDescent="0.25">
      <c r="BM5671" s="81"/>
      <c r="BN5671" s="81"/>
      <c r="BO5671" s="81"/>
      <c r="BP5671" s="81"/>
      <c r="BQ5671" s="81"/>
      <c r="BR5671" s="81"/>
      <c r="BS5671" s="81"/>
      <c r="BT5671" s="81"/>
    </row>
    <row r="5672" spans="65:72" x14ac:dyDescent="0.25">
      <c r="BM5672" s="81"/>
      <c r="BN5672" s="81"/>
      <c r="BO5672" s="81"/>
      <c r="BP5672" s="81"/>
      <c r="BQ5672" s="81"/>
      <c r="BR5672" s="81"/>
      <c r="BS5672" s="81"/>
      <c r="BT5672" s="81"/>
    </row>
    <row r="5673" spans="65:72" x14ac:dyDescent="0.25">
      <c r="BM5673" s="81"/>
      <c r="BN5673" s="81"/>
      <c r="BO5673" s="81"/>
      <c r="BP5673" s="81"/>
      <c r="BQ5673" s="81"/>
      <c r="BR5673" s="81"/>
      <c r="BS5673" s="81"/>
      <c r="BT5673" s="81"/>
    </row>
    <row r="5674" spans="65:72" x14ac:dyDescent="0.25">
      <c r="BM5674" s="81"/>
      <c r="BN5674" s="81"/>
      <c r="BO5674" s="81"/>
      <c r="BP5674" s="81"/>
      <c r="BQ5674" s="81"/>
      <c r="BR5674" s="81"/>
      <c r="BS5674" s="81"/>
      <c r="BT5674" s="81"/>
    </row>
    <row r="5675" spans="65:72" x14ac:dyDescent="0.25">
      <c r="BM5675" s="81"/>
      <c r="BN5675" s="81"/>
      <c r="BO5675" s="81"/>
      <c r="BP5675" s="81"/>
      <c r="BQ5675" s="81"/>
      <c r="BR5675" s="81"/>
      <c r="BS5675" s="81"/>
      <c r="BT5675" s="81"/>
    </row>
    <row r="5676" spans="65:72" x14ac:dyDescent="0.25">
      <c r="BM5676" s="81"/>
      <c r="BN5676" s="81"/>
      <c r="BO5676" s="81"/>
      <c r="BP5676" s="81"/>
      <c r="BQ5676" s="81"/>
      <c r="BR5676" s="81"/>
      <c r="BS5676" s="81"/>
      <c r="BT5676" s="81"/>
    </row>
    <row r="5677" spans="65:72" x14ac:dyDescent="0.25">
      <c r="BM5677" s="81"/>
      <c r="BN5677" s="81"/>
      <c r="BO5677" s="81"/>
      <c r="BP5677" s="81"/>
      <c r="BQ5677" s="81"/>
      <c r="BR5677" s="81"/>
      <c r="BS5677" s="81"/>
      <c r="BT5677" s="81"/>
    </row>
    <row r="5678" spans="65:72" x14ac:dyDescent="0.25">
      <c r="BM5678" s="81"/>
      <c r="BN5678" s="81"/>
      <c r="BO5678" s="81"/>
      <c r="BP5678" s="81"/>
      <c r="BQ5678" s="81"/>
      <c r="BR5678" s="81"/>
      <c r="BS5678" s="81"/>
      <c r="BT5678" s="81"/>
    </row>
    <row r="5679" spans="65:72" x14ac:dyDescent="0.25">
      <c r="BM5679" s="81"/>
      <c r="BN5679" s="81"/>
      <c r="BO5679" s="81"/>
      <c r="BP5679" s="81"/>
      <c r="BQ5679" s="81"/>
      <c r="BR5679" s="81"/>
      <c r="BS5679" s="81"/>
      <c r="BT5679" s="81"/>
    </row>
    <row r="5680" spans="65:72" x14ac:dyDescent="0.25">
      <c r="BM5680" s="81"/>
      <c r="BN5680" s="81"/>
      <c r="BO5680" s="81"/>
      <c r="BP5680" s="81"/>
      <c r="BQ5680" s="81"/>
      <c r="BR5680" s="81"/>
      <c r="BS5680" s="81"/>
      <c r="BT5680" s="81"/>
    </row>
    <row r="5681" spans="65:72" x14ac:dyDescent="0.25">
      <c r="BM5681" s="81"/>
      <c r="BN5681" s="81"/>
      <c r="BO5681" s="81"/>
      <c r="BP5681" s="81"/>
      <c r="BQ5681" s="81"/>
      <c r="BR5681" s="81"/>
      <c r="BS5681" s="81"/>
      <c r="BT5681" s="81"/>
    </row>
    <row r="5682" spans="65:72" x14ac:dyDescent="0.25">
      <c r="BM5682" s="81"/>
      <c r="BN5682" s="81"/>
      <c r="BO5682" s="81"/>
      <c r="BP5682" s="81"/>
      <c r="BQ5682" s="81"/>
      <c r="BR5682" s="81"/>
      <c r="BS5682" s="81"/>
      <c r="BT5682" s="81"/>
    </row>
    <row r="5683" spans="65:72" x14ac:dyDescent="0.25">
      <c r="BM5683" s="81"/>
      <c r="BN5683" s="81"/>
      <c r="BO5683" s="81"/>
      <c r="BP5683" s="81"/>
      <c r="BQ5683" s="81"/>
      <c r="BR5683" s="81"/>
      <c r="BS5683" s="81"/>
      <c r="BT5683" s="81"/>
    </row>
    <row r="5684" spans="65:72" x14ac:dyDescent="0.25">
      <c r="BM5684" s="81"/>
      <c r="BN5684" s="81"/>
      <c r="BO5684" s="81"/>
      <c r="BP5684" s="81"/>
      <c r="BQ5684" s="81"/>
      <c r="BR5684" s="81"/>
      <c r="BS5684" s="81"/>
      <c r="BT5684" s="81"/>
    </row>
    <row r="5685" spans="65:72" x14ac:dyDescent="0.25">
      <c r="BM5685" s="81"/>
      <c r="BN5685" s="81"/>
      <c r="BO5685" s="81"/>
      <c r="BP5685" s="81"/>
      <c r="BQ5685" s="81"/>
      <c r="BR5685" s="81"/>
      <c r="BS5685" s="81"/>
      <c r="BT5685" s="81"/>
    </row>
    <row r="5686" spans="65:72" x14ac:dyDescent="0.25">
      <c r="BM5686" s="81"/>
      <c r="BN5686" s="81"/>
      <c r="BO5686" s="81"/>
      <c r="BP5686" s="81"/>
      <c r="BQ5686" s="81"/>
      <c r="BR5686" s="81"/>
      <c r="BS5686" s="81"/>
      <c r="BT5686" s="81"/>
    </row>
    <row r="5687" spans="65:72" x14ac:dyDescent="0.25">
      <c r="BM5687" s="81"/>
      <c r="BN5687" s="81"/>
      <c r="BO5687" s="81"/>
      <c r="BP5687" s="81"/>
      <c r="BQ5687" s="81"/>
      <c r="BR5687" s="81"/>
      <c r="BS5687" s="81"/>
      <c r="BT5687" s="81"/>
    </row>
    <row r="5688" spans="65:72" x14ac:dyDescent="0.25">
      <c r="BM5688" s="81"/>
      <c r="BN5688" s="81"/>
      <c r="BO5688" s="81"/>
      <c r="BP5688" s="81"/>
      <c r="BQ5688" s="81"/>
      <c r="BR5688" s="81"/>
      <c r="BS5688" s="81"/>
      <c r="BT5688" s="81"/>
    </row>
    <row r="5689" spans="65:72" x14ac:dyDescent="0.25">
      <c r="BM5689" s="81"/>
      <c r="BN5689" s="81"/>
      <c r="BO5689" s="81"/>
      <c r="BP5689" s="81"/>
      <c r="BQ5689" s="81"/>
      <c r="BR5689" s="81"/>
      <c r="BS5689" s="81"/>
      <c r="BT5689" s="81"/>
    </row>
    <row r="5690" spans="65:72" x14ac:dyDescent="0.25">
      <c r="BM5690" s="81"/>
      <c r="BN5690" s="81"/>
      <c r="BO5690" s="81"/>
      <c r="BP5690" s="81"/>
      <c r="BQ5690" s="81"/>
      <c r="BR5690" s="81"/>
      <c r="BS5690" s="81"/>
      <c r="BT5690" s="81"/>
    </row>
    <row r="5691" spans="65:72" x14ac:dyDescent="0.25">
      <c r="BM5691" s="81"/>
      <c r="BN5691" s="81"/>
      <c r="BO5691" s="81"/>
      <c r="BP5691" s="81"/>
      <c r="BQ5691" s="81"/>
      <c r="BR5691" s="81"/>
      <c r="BS5691" s="81"/>
      <c r="BT5691" s="81"/>
    </row>
    <row r="5692" spans="65:72" x14ac:dyDescent="0.25">
      <c r="BM5692" s="81"/>
      <c r="BN5692" s="81"/>
      <c r="BO5692" s="81"/>
      <c r="BP5692" s="81"/>
      <c r="BQ5692" s="81"/>
      <c r="BR5692" s="81"/>
      <c r="BS5692" s="81"/>
      <c r="BT5692" s="81"/>
    </row>
    <row r="5693" spans="65:72" x14ac:dyDescent="0.25">
      <c r="BM5693" s="81"/>
      <c r="BN5693" s="81"/>
      <c r="BO5693" s="81"/>
      <c r="BP5693" s="81"/>
      <c r="BQ5693" s="81"/>
      <c r="BR5693" s="81"/>
      <c r="BS5693" s="81"/>
      <c r="BT5693" s="81"/>
    </row>
    <row r="5694" spans="65:72" x14ac:dyDescent="0.25">
      <c r="BM5694" s="81"/>
      <c r="BN5694" s="81"/>
      <c r="BO5694" s="81"/>
      <c r="BP5694" s="81"/>
      <c r="BQ5694" s="81"/>
      <c r="BR5694" s="81"/>
      <c r="BS5694" s="81"/>
      <c r="BT5694" s="81"/>
    </row>
    <row r="5695" spans="65:72" x14ac:dyDescent="0.25">
      <c r="BM5695" s="81"/>
      <c r="BN5695" s="81"/>
      <c r="BO5695" s="81"/>
      <c r="BP5695" s="81"/>
      <c r="BQ5695" s="81"/>
      <c r="BR5695" s="81"/>
      <c r="BS5695" s="81"/>
      <c r="BT5695" s="81"/>
    </row>
    <row r="5696" spans="65:72" x14ac:dyDescent="0.25">
      <c r="BM5696" s="81"/>
      <c r="BN5696" s="81"/>
      <c r="BO5696" s="81"/>
      <c r="BP5696" s="81"/>
      <c r="BQ5696" s="81"/>
      <c r="BR5696" s="81"/>
      <c r="BS5696" s="81"/>
      <c r="BT5696" s="81"/>
    </row>
    <row r="5697" spans="65:72" x14ac:dyDescent="0.25">
      <c r="BM5697" s="81"/>
      <c r="BN5697" s="81"/>
      <c r="BO5697" s="81"/>
      <c r="BP5697" s="81"/>
      <c r="BQ5697" s="81"/>
      <c r="BR5697" s="81"/>
      <c r="BS5697" s="81"/>
      <c r="BT5697" s="81"/>
    </row>
    <row r="5698" spans="65:72" x14ac:dyDescent="0.25">
      <c r="BM5698" s="81"/>
      <c r="BN5698" s="81"/>
      <c r="BO5698" s="81"/>
      <c r="BP5698" s="81"/>
      <c r="BQ5698" s="81"/>
      <c r="BR5698" s="81"/>
      <c r="BS5698" s="81"/>
      <c r="BT5698" s="81"/>
    </row>
    <row r="5699" spans="65:72" x14ac:dyDescent="0.25">
      <c r="BM5699" s="81"/>
      <c r="BN5699" s="81"/>
      <c r="BO5699" s="81"/>
      <c r="BP5699" s="81"/>
      <c r="BQ5699" s="81"/>
      <c r="BR5699" s="81"/>
      <c r="BS5699" s="81"/>
      <c r="BT5699" s="81"/>
    </row>
    <row r="5700" spans="65:72" x14ac:dyDescent="0.25">
      <c r="BM5700" s="81"/>
      <c r="BN5700" s="81"/>
      <c r="BO5700" s="81"/>
      <c r="BP5700" s="81"/>
      <c r="BQ5700" s="81"/>
      <c r="BR5700" s="81"/>
      <c r="BS5700" s="81"/>
      <c r="BT5700" s="81"/>
    </row>
    <row r="5701" spans="65:72" x14ac:dyDescent="0.25">
      <c r="BM5701" s="81"/>
      <c r="BN5701" s="81"/>
      <c r="BO5701" s="81"/>
      <c r="BP5701" s="81"/>
      <c r="BQ5701" s="81"/>
      <c r="BR5701" s="81"/>
      <c r="BS5701" s="81"/>
      <c r="BT5701" s="81"/>
    </row>
    <row r="5702" spans="65:72" x14ac:dyDescent="0.25">
      <c r="BM5702" s="81"/>
      <c r="BN5702" s="81"/>
      <c r="BO5702" s="81"/>
      <c r="BP5702" s="81"/>
      <c r="BQ5702" s="81"/>
      <c r="BR5702" s="81"/>
      <c r="BS5702" s="81"/>
      <c r="BT5702" s="81"/>
    </row>
    <row r="5703" spans="65:72" x14ac:dyDescent="0.25">
      <c r="BM5703" s="81"/>
      <c r="BN5703" s="81"/>
      <c r="BO5703" s="81"/>
      <c r="BP5703" s="81"/>
      <c r="BQ5703" s="81"/>
      <c r="BR5703" s="81"/>
      <c r="BS5703" s="81"/>
      <c r="BT5703" s="81"/>
    </row>
    <row r="5704" spans="65:72" x14ac:dyDescent="0.25">
      <c r="BM5704" s="81"/>
      <c r="BN5704" s="81"/>
      <c r="BO5704" s="81"/>
      <c r="BP5704" s="81"/>
      <c r="BQ5704" s="81"/>
      <c r="BR5704" s="81"/>
      <c r="BS5704" s="81"/>
      <c r="BT5704" s="81"/>
    </row>
    <row r="5705" spans="65:72" x14ac:dyDescent="0.25">
      <c r="BM5705" s="81"/>
      <c r="BN5705" s="81"/>
      <c r="BO5705" s="81"/>
      <c r="BP5705" s="81"/>
      <c r="BQ5705" s="81"/>
      <c r="BR5705" s="81"/>
      <c r="BS5705" s="81"/>
      <c r="BT5705" s="81"/>
    </row>
    <row r="5706" spans="65:72" x14ac:dyDescent="0.25">
      <c r="BM5706" s="81"/>
      <c r="BN5706" s="81"/>
      <c r="BO5706" s="81"/>
      <c r="BP5706" s="81"/>
      <c r="BQ5706" s="81"/>
      <c r="BR5706" s="81"/>
      <c r="BS5706" s="81"/>
      <c r="BT5706" s="81"/>
    </row>
    <row r="5707" spans="65:72" x14ac:dyDescent="0.25">
      <c r="BM5707" s="81"/>
      <c r="BN5707" s="81"/>
      <c r="BO5707" s="81"/>
      <c r="BP5707" s="81"/>
      <c r="BQ5707" s="81"/>
      <c r="BR5707" s="81"/>
      <c r="BS5707" s="81"/>
      <c r="BT5707" s="81"/>
    </row>
    <row r="5708" spans="65:72" x14ac:dyDescent="0.25">
      <c r="BM5708" s="81"/>
      <c r="BN5708" s="81"/>
      <c r="BO5708" s="81"/>
      <c r="BP5708" s="81"/>
      <c r="BQ5708" s="81"/>
      <c r="BR5708" s="81"/>
      <c r="BS5708" s="81"/>
      <c r="BT5708" s="81"/>
    </row>
    <row r="5709" spans="65:72" x14ac:dyDescent="0.25">
      <c r="BM5709" s="81"/>
      <c r="BN5709" s="81"/>
      <c r="BO5709" s="81"/>
      <c r="BP5709" s="81"/>
      <c r="BQ5709" s="81"/>
      <c r="BR5709" s="81"/>
      <c r="BS5709" s="81"/>
      <c r="BT5709" s="81"/>
    </row>
    <row r="5710" spans="65:72" x14ac:dyDescent="0.25">
      <c r="BM5710" s="81"/>
      <c r="BN5710" s="81"/>
      <c r="BO5710" s="81"/>
      <c r="BP5710" s="81"/>
      <c r="BQ5710" s="81"/>
      <c r="BR5710" s="81"/>
      <c r="BS5710" s="81"/>
      <c r="BT5710" s="81"/>
    </row>
    <row r="5711" spans="65:72" x14ac:dyDescent="0.25">
      <c r="BM5711" s="81"/>
      <c r="BN5711" s="81"/>
      <c r="BO5711" s="81"/>
      <c r="BP5711" s="81"/>
      <c r="BQ5711" s="81"/>
      <c r="BR5711" s="81"/>
      <c r="BS5711" s="81"/>
      <c r="BT5711" s="81"/>
    </row>
    <row r="5712" spans="65:72" x14ac:dyDescent="0.25">
      <c r="BM5712" s="81"/>
      <c r="BN5712" s="81"/>
      <c r="BO5712" s="81"/>
      <c r="BP5712" s="81"/>
      <c r="BQ5712" s="81"/>
      <c r="BR5712" s="81"/>
      <c r="BS5712" s="81"/>
      <c r="BT5712" s="81"/>
    </row>
    <row r="5713" spans="65:72" x14ac:dyDescent="0.25">
      <c r="BM5713" s="81"/>
      <c r="BN5713" s="81"/>
      <c r="BO5713" s="81"/>
      <c r="BP5713" s="81"/>
      <c r="BQ5713" s="81"/>
      <c r="BR5713" s="81"/>
      <c r="BS5713" s="81"/>
      <c r="BT5713" s="81"/>
    </row>
    <row r="5714" spans="65:72" x14ac:dyDescent="0.25">
      <c r="BM5714" s="81"/>
      <c r="BN5714" s="81"/>
      <c r="BO5714" s="81"/>
      <c r="BP5714" s="81"/>
      <c r="BQ5714" s="81"/>
      <c r="BR5714" s="81"/>
      <c r="BS5714" s="81"/>
      <c r="BT5714" s="81"/>
    </row>
    <row r="5715" spans="65:72" x14ac:dyDescent="0.25">
      <c r="BM5715" s="81"/>
      <c r="BN5715" s="81"/>
      <c r="BO5715" s="81"/>
      <c r="BP5715" s="81"/>
      <c r="BQ5715" s="81"/>
      <c r="BR5715" s="81"/>
      <c r="BS5715" s="81"/>
      <c r="BT5715" s="81"/>
    </row>
    <row r="5716" spans="65:72" x14ac:dyDescent="0.25">
      <c r="BM5716" s="81"/>
      <c r="BN5716" s="81"/>
      <c r="BO5716" s="81"/>
      <c r="BP5716" s="81"/>
      <c r="BQ5716" s="81"/>
      <c r="BR5716" s="81"/>
      <c r="BS5716" s="81"/>
      <c r="BT5716" s="81"/>
    </row>
    <row r="5717" spans="65:72" x14ac:dyDescent="0.25">
      <c r="BM5717" s="81"/>
      <c r="BN5717" s="81"/>
      <c r="BO5717" s="81"/>
      <c r="BP5717" s="81"/>
      <c r="BQ5717" s="81"/>
      <c r="BR5717" s="81"/>
      <c r="BS5717" s="81"/>
      <c r="BT5717" s="81"/>
    </row>
    <row r="5718" spans="65:72" x14ac:dyDescent="0.25">
      <c r="BM5718" s="81"/>
      <c r="BN5718" s="81"/>
      <c r="BO5718" s="81"/>
      <c r="BP5718" s="81"/>
      <c r="BQ5718" s="81"/>
      <c r="BR5718" s="81"/>
      <c r="BS5718" s="81"/>
      <c r="BT5718" s="81"/>
    </row>
    <row r="5719" spans="65:72" x14ac:dyDescent="0.25">
      <c r="BM5719" s="81"/>
      <c r="BN5719" s="81"/>
      <c r="BO5719" s="81"/>
      <c r="BP5719" s="81"/>
      <c r="BQ5719" s="81"/>
      <c r="BR5719" s="81"/>
      <c r="BS5719" s="81"/>
      <c r="BT5719" s="81"/>
    </row>
    <row r="5720" spans="65:72" x14ac:dyDescent="0.25">
      <c r="BM5720" s="81"/>
      <c r="BN5720" s="81"/>
      <c r="BO5720" s="81"/>
      <c r="BP5720" s="81"/>
      <c r="BQ5720" s="81"/>
      <c r="BR5720" s="81"/>
      <c r="BS5720" s="81"/>
      <c r="BT5720" s="81"/>
    </row>
    <row r="5721" spans="65:72" x14ac:dyDescent="0.25">
      <c r="BM5721" s="81"/>
      <c r="BN5721" s="81"/>
      <c r="BO5721" s="81"/>
      <c r="BP5721" s="81"/>
      <c r="BQ5721" s="81"/>
      <c r="BR5721" s="81"/>
      <c r="BS5721" s="81"/>
      <c r="BT5721" s="81"/>
    </row>
    <row r="5722" spans="65:72" x14ac:dyDescent="0.25">
      <c r="BM5722" s="81"/>
      <c r="BN5722" s="81"/>
      <c r="BO5722" s="81"/>
      <c r="BP5722" s="81"/>
      <c r="BQ5722" s="81"/>
      <c r="BR5722" s="81"/>
      <c r="BS5722" s="81"/>
      <c r="BT5722" s="81"/>
    </row>
    <row r="5723" spans="65:72" x14ac:dyDescent="0.25">
      <c r="BM5723" s="81"/>
      <c r="BN5723" s="81"/>
      <c r="BO5723" s="81"/>
      <c r="BP5723" s="81"/>
      <c r="BQ5723" s="81"/>
      <c r="BR5723" s="81"/>
      <c r="BS5723" s="81"/>
      <c r="BT5723" s="81"/>
    </row>
    <row r="5724" spans="65:72" x14ac:dyDescent="0.25">
      <c r="BM5724" s="81"/>
      <c r="BN5724" s="81"/>
      <c r="BO5724" s="81"/>
      <c r="BP5724" s="81"/>
      <c r="BQ5724" s="81"/>
      <c r="BR5724" s="81"/>
      <c r="BS5724" s="81"/>
      <c r="BT5724" s="81"/>
    </row>
    <row r="5725" spans="65:72" x14ac:dyDescent="0.25">
      <c r="BM5725" s="81"/>
      <c r="BN5725" s="81"/>
      <c r="BO5725" s="81"/>
      <c r="BP5725" s="81"/>
      <c r="BQ5725" s="81"/>
      <c r="BR5725" s="81"/>
      <c r="BS5725" s="81"/>
      <c r="BT5725" s="81"/>
    </row>
    <row r="5726" spans="65:72" x14ac:dyDescent="0.25">
      <c r="BM5726" s="81"/>
      <c r="BN5726" s="81"/>
      <c r="BO5726" s="81"/>
      <c r="BP5726" s="81"/>
      <c r="BQ5726" s="81"/>
      <c r="BR5726" s="81"/>
      <c r="BS5726" s="81"/>
      <c r="BT5726" s="81"/>
    </row>
    <row r="5727" spans="65:72" x14ac:dyDescent="0.25">
      <c r="BM5727" s="81"/>
      <c r="BN5727" s="81"/>
      <c r="BO5727" s="81"/>
      <c r="BP5727" s="81"/>
      <c r="BQ5727" s="81"/>
      <c r="BR5727" s="81"/>
      <c r="BS5727" s="81"/>
      <c r="BT5727" s="81"/>
    </row>
    <row r="5728" spans="65:72" x14ac:dyDescent="0.25">
      <c r="BM5728" s="81"/>
      <c r="BN5728" s="81"/>
      <c r="BO5728" s="81"/>
      <c r="BP5728" s="81"/>
      <c r="BQ5728" s="81"/>
      <c r="BR5728" s="81"/>
      <c r="BS5728" s="81"/>
      <c r="BT5728" s="81"/>
    </row>
    <row r="5729" spans="65:72" x14ac:dyDescent="0.25">
      <c r="BM5729" s="81"/>
      <c r="BN5729" s="81"/>
      <c r="BO5729" s="81"/>
      <c r="BP5729" s="81"/>
      <c r="BQ5729" s="81"/>
      <c r="BR5729" s="81"/>
      <c r="BS5729" s="81"/>
      <c r="BT5729" s="81"/>
    </row>
    <row r="5730" spans="65:72" x14ac:dyDescent="0.25">
      <c r="BM5730" s="81"/>
      <c r="BN5730" s="81"/>
      <c r="BO5730" s="81"/>
      <c r="BP5730" s="81"/>
      <c r="BQ5730" s="81"/>
      <c r="BR5730" s="81"/>
      <c r="BS5730" s="81"/>
      <c r="BT5730" s="81"/>
    </row>
    <row r="5731" spans="65:72" x14ac:dyDescent="0.25">
      <c r="BM5731" s="81"/>
      <c r="BN5731" s="81"/>
      <c r="BO5731" s="81"/>
      <c r="BP5731" s="81"/>
      <c r="BQ5731" s="81"/>
      <c r="BR5731" s="81"/>
      <c r="BS5731" s="81"/>
      <c r="BT5731" s="81"/>
    </row>
    <row r="5732" spans="65:72" x14ac:dyDescent="0.25">
      <c r="BM5732" s="81"/>
      <c r="BN5732" s="81"/>
      <c r="BO5732" s="81"/>
      <c r="BP5732" s="81"/>
      <c r="BQ5732" s="81"/>
      <c r="BR5732" s="81"/>
      <c r="BS5732" s="81"/>
      <c r="BT5732" s="81"/>
    </row>
    <row r="5733" spans="65:72" x14ac:dyDescent="0.25">
      <c r="BM5733" s="81"/>
      <c r="BN5733" s="81"/>
      <c r="BO5733" s="81"/>
      <c r="BP5733" s="81"/>
      <c r="BQ5733" s="81"/>
      <c r="BR5733" s="81"/>
      <c r="BS5733" s="81"/>
      <c r="BT5733" s="81"/>
    </row>
    <row r="5734" spans="65:72" x14ac:dyDescent="0.25">
      <c r="BM5734" s="81"/>
      <c r="BN5734" s="81"/>
      <c r="BO5734" s="81"/>
      <c r="BP5734" s="81"/>
      <c r="BQ5734" s="81"/>
      <c r="BR5734" s="81"/>
      <c r="BS5734" s="81"/>
      <c r="BT5734" s="81"/>
    </row>
    <row r="5735" spans="65:72" x14ac:dyDescent="0.25">
      <c r="BM5735" s="81"/>
      <c r="BN5735" s="81"/>
      <c r="BO5735" s="81"/>
      <c r="BP5735" s="81"/>
      <c r="BQ5735" s="81"/>
      <c r="BR5735" s="81"/>
      <c r="BS5735" s="81"/>
      <c r="BT5735" s="81"/>
    </row>
    <row r="5736" spans="65:72" x14ac:dyDescent="0.25">
      <c r="BM5736" s="81"/>
      <c r="BN5736" s="81"/>
      <c r="BO5736" s="81"/>
      <c r="BP5736" s="81"/>
      <c r="BQ5736" s="81"/>
      <c r="BR5736" s="81"/>
      <c r="BS5736" s="81"/>
      <c r="BT5736" s="81"/>
    </row>
    <row r="5737" spans="65:72" x14ac:dyDescent="0.25">
      <c r="BM5737" s="81"/>
      <c r="BN5737" s="81"/>
      <c r="BO5737" s="81"/>
      <c r="BP5737" s="81"/>
      <c r="BQ5737" s="81"/>
      <c r="BR5737" s="81"/>
      <c r="BS5737" s="81"/>
      <c r="BT5737" s="81"/>
    </row>
    <row r="5738" spans="65:72" x14ac:dyDescent="0.25">
      <c r="BM5738" s="81"/>
      <c r="BN5738" s="81"/>
      <c r="BO5738" s="81"/>
      <c r="BP5738" s="81"/>
      <c r="BQ5738" s="81"/>
      <c r="BR5738" s="81"/>
      <c r="BS5738" s="81"/>
      <c r="BT5738" s="81"/>
    </row>
    <row r="5739" spans="65:72" x14ac:dyDescent="0.25">
      <c r="BM5739" s="81"/>
      <c r="BN5739" s="81"/>
      <c r="BO5739" s="81"/>
      <c r="BP5739" s="81"/>
      <c r="BQ5739" s="81"/>
      <c r="BR5739" s="81"/>
      <c r="BS5739" s="81"/>
      <c r="BT5739" s="81"/>
    </row>
    <row r="5740" spans="65:72" x14ac:dyDescent="0.25">
      <c r="BM5740" s="81"/>
      <c r="BN5740" s="81"/>
      <c r="BO5740" s="81"/>
      <c r="BP5740" s="81"/>
      <c r="BQ5740" s="81"/>
      <c r="BR5740" s="81"/>
      <c r="BS5740" s="81"/>
      <c r="BT5740" s="81"/>
    </row>
    <row r="5741" spans="65:72" x14ac:dyDescent="0.25">
      <c r="BM5741" s="81"/>
      <c r="BN5741" s="81"/>
      <c r="BO5741" s="81"/>
      <c r="BP5741" s="81"/>
      <c r="BQ5741" s="81"/>
      <c r="BR5741" s="81"/>
      <c r="BS5741" s="81"/>
      <c r="BT5741" s="81"/>
    </row>
    <row r="5742" spans="65:72" x14ac:dyDescent="0.25">
      <c r="BM5742" s="81"/>
      <c r="BN5742" s="81"/>
      <c r="BO5742" s="81"/>
      <c r="BP5742" s="81"/>
      <c r="BQ5742" s="81"/>
      <c r="BR5742" s="81"/>
      <c r="BS5742" s="81"/>
      <c r="BT5742" s="81"/>
    </row>
    <row r="5743" spans="65:72" x14ac:dyDescent="0.25">
      <c r="BM5743" s="81"/>
      <c r="BN5743" s="81"/>
      <c r="BO5743" s="81"/>
      <c r="BP5743" s="81"/>
      <c r="BQ5743" s="81"/>
      <c r="BR5743" s="81"/>
      <c r="BS5743" s="81"/>
      <c r="BT5743" s="81"/>
    </row>
    <row r="5744" spans="65:72" x14ac:dyDescent="0.25">
      <c r="BM5744" s="81"/>
      <c r="BN5744" s="81"/>
      <c r="BO5744" s="81"/>
      <c r="BP5744" s="81"/>
      <c r="BQ5744" s="81"/>
      <c r="BR5744" s="81"/>
      <c r="BS5744" s="81"/>
      <c r="BT5744" s="81"/>
    </row>
    <row r="5745" spans="65:72" x14ac:dyDescent="0.25">
      <c r="BM5745" s="81"/>
      <c r="BN5745" s="81"/>
      <c r="BO5745" s="81"/>
      <c r="BP5745" s="81"/>
      <c r="BQ5745" s="81"/>
      <c r="BR5745" s="81"/>
      <c r="BS5745" s="81"/>
      <c r="BT5745" s="81"/>
    </row>
    <row r="5746" spans="65:72" x14ac:dyDescent="0.25">
      <c r="BM5746" s="81"/>
      <c r="BN5746" s="81"/>
      <c r="BO5746" s="81"/>
      <c r="BP5746" s="81"/>
      <c r="BQ5746" s="81"/>
      <c r="BR5746" s="81"/>
      <c r="BS5746" s="81"/>
      <c r="BT5746" s="81"/>
    </row>
    <row r="5747" spans="65:72" x14ac:dyDescent="0.25">
      <c r="BM5747" s="81"/>
      <c r="BN5747" s="81"/>
      <c r="BO5747" s="81"/>
      <c r="BP5747" s="81"/>
      <c r="BQ5747" s="81"/>
      <c r="BR5747" s="81"/>
      <c r="BS5747" s="81"/>
      <c r="BT5747" s="81"/>
    </row>
    <row r="5748" spans="65:72" x14ac:dyDescent="0.25">
      <c r="BM5748" s="81"/>
      <c r="BN5748" s="81"/>
      <c r="BO5748" s="81"/>
      <c r="BP5748" s="81"/>
      <c r="BQ5748" s="81"/>
      <c r="BR5748" s="81"/>
      <c r="BS5748" s="81"/>
      <c r="BT5748" s="81"/>
    </row>
    <row r="5749" spans="65:72" x14ac:dyDescent="0.25">
      <c r="BM5749" s="81"/>
      <c r="BN5749" s="81"/>
      <c r="BO5749" s="81"/>
      <c r="BP5749" s="81"/>
      <c r="BQ5749" s="81"/>
      <c r="BR5749" s="81"/>
      <c r="BS5749" s="81"/>
      <c r="BT5749" s="81"/>
    </row>
    <row r="5750" spans="65:72" x14ac:dyDescent="0.25">
      <c r="BM5750" s="81"/>
      <c r="BN5750" s="81"/>
      <c r="BO5750" s="81"/>
      <c r="BP5750" s="81"/>
      <c r="BQ5750" s="81"/>
      <c r="BR5750" s="81"/>
      <c r="BS5750" s="81"/>
      <c r="BT5750" s="81"/>
    </row>
    <row r="5751" spans="65:72" x14ac:dyDescent="0.25">
      <c r="BM5751" s="81"/>
      <c r="BN5751" s="81"/>
      <c r="BO5751" s="81"/>
      <c r="BP5751" s="81"/>
      <c r="BQ5751" s="81"/>
      <c r="BR5751" s="81"/>
      <c r="BS5751" s="81"/>
      <c r="BT5751" s="81"/>
    </row>
    <row r="5752" spans="65:72" x14ac:dyDescent="0.25">
      <c r="BM5752" s="81"/>
      <c r="BN5752" s="81"/>
      <c r="BO5752" s="81"/>
      <c r="BP5752" s="81"/>
      <c r="BQ5752" s="81"/>
      <c r="BR5752" s="81"/>
      <c r="BS5752" s="81"/>
      <c r="BT5752" s="81"/>
    </row>
    <row r="5753" spans="65:72" x14ac:dyDescent="0.25">
      <c r="BM5753" s="81"/>
      <c r="BN5753" s="81"/>
      <c r="BO5753" s="81"/>
      <c r="BP5753" s="81"/>
      <c r="BQ5753" s="81"/>
      <c r="BR5753" s="81"/>
      <c r="BS5753" s="81"/>
      <c r="BT5753" s="81"/>
    </row>
    <row r="5754" spans="65:72" x14ac:dyDescent="0.25">
      <c r="BM5754" s="81"/>
      <c r="BN5754" s="81"/>
      <c r="BO5754" s="81"/>
      <c r="BP5754" s="81"/>
      <c r="BQ5754" s="81"/>
      <c r="BR5754" s="81"/>
      <c r="BS5754" s="81"/>
      <c r="BT5754" s="81"/>
    </row>
    <row r="5755" spans="65:72" x14ac:dyDescent="0.25">
      <c r="BM5755" s="81"/>
      <c r="BN5755" s="81"/>
      <c r="BO5755" s="81"/>
      <c r="BP5755" s="81"/>
      <c r="BQ5755" s="81"/>
      <c r="BR5755" s="81"/>
      <c r="BS5755" s="81"/>
      <c r="BT5755" s="81"/>
    </row>
    <row r="5756" spans="65:72" x14ac:dyDescent="0.25">
      <c r="BM5756" s="81"/>
      <c r="BN5756" s="81"/>
      <c r="BO5756" s="81"/>
      <c r="BP5756" s="81"/>
      <c r="BQ5756" s="81"/>
      <c r="BR5756" s="81"/>
      <c r="BS5756" s="81"/>
      <c r="BT5756" s="81"/>
    </row>
    <row r="5757" spans="65:72" x14ac:dyDescent="0.25">
      <c r="BM5757" s="81"/>
      <c r="BN5757" s="81"/>
      <c r="BO5757" s="81"/>
      <c r="BP5757" s="81"/>
      <c r="BQ5757" s="81"/>
      <c r="BR5757" s="81"/>
      <c r="BS5757" s="81"/>
      <c r="BT5757" s="81"/>
    </row>
    <row r="5758" spans="65:72" x14ac:dyDescent="0.25">
      <c r="BM5758" s="81"/>
      <c r="BN5758" s="81"/>
      <c r="BO5758" s="81"/>
      <c r="BP5758" s="81"/>
      <c r="BQ5758" s="81"/>
      <c r="BR5758" s="81"/>
      <c r="BS5758" s="81"/>
      <c r="BT5758" s="81"/>
    </row>
    <row r="5759" spans="65:72" x14ac:dyDescent="0.25">
      <c r="BM5759" s="81"/>
      <c r="BN5759" s="81"/>
      <c r="BO5759" s="81"/>
      <c r="BP5759" s="81"/>
      <c r="BQ5759" s="81"/>
      <c r="BR5759" s="81"/>
      <c r="BS5759" s="81"/>
      <c r="BT5759" s="81"/>
    </row>
    <row r="5760" spans="65:72" x14ac:dyDescent="0.25">
      <c r="BM5760" s="81"/>
      <c r="BN5760" s="81"/>
      <c r="BO5760" s="81"/>
      <c r="BP5760" s="81"/>
      <c r="BQ5760" s="81"/>
      <c r="BR5760" s="81"/>
      <c r="BS5760" s="81"/>
      <c r="BT5760" s="81"/>
    </row>
    <row r="5761" spans="65:72" x14ac:dyDescent="0.25">
      <c r="BM5761" s="81"/>
      <c r="BN5761" s="81"/>
      <c r="BO5761" s="81"/>
      <c r="BP5761" s="81"/>
      <c r="BQ5761" s="81"/>
      <c r="BR5761" s="81"/>
      <c r="BS5761" s="81"/>
      <c r="BT5761" s="81"/>
    </row>
    <row r="5762" spans="65:72" x14ac:dyDescent="0.25">
      <c r="BM5762" s="81"/>
      <c r="BN5762" s="81"/>
      <c r="BO5762" s="81"/>
      <c r="BP5762" s="81"/>
      <c r="BQ5762" s="81"/>
      <c r="BR5762" s="81"/>
      <c r="BS5762" s="81"/>
      <c r="BT5762" s="81"/>
    </row>
    <row r="5763" spans="65:72" x14ac:dyDescent="0.25">
      <c r="BM5763" s="81"/>
      <c r="BN5763" s="81"/>
      <c r="BO5763" s="81"/>
      <c r="BP5763" s="81"/>
      <c r="BQ5763" s="81"/>
      <c r="BR5763" s="81"/>
      <c r="BS5763" s="81"/>
      <c r="BT5763" s="81"/>
    </row>
    <row r="5764" spans="65:72" x14ac:dyDescent="0.25">
      <c r="BM5764" s="81"/>
      <c r="BN5764" s="81"/>
      <c r="BO5764" s="81"/>
      <c r="BP5764" s="81"/>
      <c r="BQ5764" s="81"/>
      <c r="BR5764" s="81"/>
      <c r="BS5764" s="81"/>
      <c r="BT5764" s="81"/>
    </row>
    <row r="5765" spans="65:72" x14ac:dyDescent="0.25">
      <c r="BM5765" s="81"/>
      <c r="BN5765" s="81"/>
      <c r="BO5765" s="81"/>
      <c r="BP5765" s="81"/>
      <c r="BQ5765" s="81"/>
      <c r="BR5765" s="81"/>
      <c r="BS5765" s="81"/>
      <c r="BT5765" s="81"/>
    </row>
    <row r="5766" spans="65:72" x14ac:dyDescent="0.25">
      <c r="BM5766" s="81"/>
      <c r="BN5766" s="81"/>
      <c r="BO5766" s="81"/>
      <c r="BP5766" s="81"/>
      <c r="BQ5766" s="81"/>
      <c r="BR5766" s="81"/>
      <c r="BS5766" s="81"/>
      <c r="BT5766" s="81"/>
    </row>
    <row r="5767" spans="65:72" x14ac:dyDescent="0.25">
      <c r="BM5767" s="81"/>
      <c r="BN5767" s="81"/>
      <c r="BO5767" s="81"/>
      <c r="BP5767" s="81"/>
      <c r="BQ5767" s="81"/>
      <c r="BR5767" s="81"/>
      <c r="BS5767" s="81"/>
      <c r="BT5767" s="81"/>
    </row>
    <row r="5768" spans="65:72" x14ac:dyDescent="0.25">
      <c r="BM5768" s="81"/>
      <c r="BN5768" s="81"/>
      <c r="BO5768" s="81"/>
      <c r="BP5768" s="81"/>
      <c r="BQ5768" s="81"/>
      <c r="BR5768" s="81"/>
      <c r="BS5768" s="81"/>
      <c r="BT5768" s="81"/>
    </row>
    <row r="5769" spans="65:72" x14ac:dyDescent="0.25">
      <c r="BM5769" s="81"/>
      <c r="BN5769" s="81"/>
      <c r="BO5769" s="81"/>
      <c r="BP5769" s="81"/>
      <c r="BQ5769" s="81"/>
      <c r="BR5769" s="81"/>
      <c r="BS5769" s="81"/>
      <c r="BT5769" s="81"/>
    </row>
    <row r="5770" spans="65:72" x14ac:dyDescent="0.25">
      <c r="BM5770" s="81"/>
      <c r="BN5770" s="81"/>
      <c r="BO5770" s="81"/>
      <c r="BP5770" s="81"/>
      <c r="BQ5770" s="81"/>
      <c r="BR5770" s="81"/>
      <c r="BS5770" s="81"/>
      <c r="BT5770" s="81"/>
    </row>
    <row r="5771" spans="65:72" x14ac:dyDescent="0.25">
      <c r="BM5771" s="81"/>
      <c r="BN5771" s="81"/>
      <c r="BO5771" s="81"/>
      <c r="BP5771" s="81"/>
      <c r="BQ5771" s="81"/>
      <c r="BR5771" s="81"/>
      <c r="BS5771" s="81"/>
      <c r="BT5771" s="81"/>
    </row>
    <row r="5772" spans="65:72" x14ac:dyDescent="0.25">
      <c r="BM5772" s="81"/>
      <c r="BN5772" s="81"/>
      <c r="BO5772" s="81"/>
      <c r="BP5772" s="81"/>
      <c r="BQ5772" s="81"/>
      <c r="BR5772" s="81"/>
      <c r="BS5772" s="81"/>
      <c r="BT5772" s="81"/>
    </row>
    <row r="5773" spans="65:72" x14ac:dyDescent="0.25">
      <c r="BM5773" s="81"/>
      <c r="BN5773" s="81"/>
      <c r="BO5773" s="81"/>
      <c r="BP5773" s="81"/>
      <c r="BQ5773" s="81"/>
      <c r="BR5773" s="81"/>
      <c r="BS5773" s="81"/>
      <c r="BT5773" s="81"/>
    </row>
    <row r="5774" spans="65:72" x14ac:dyDescent="0.25">
      <c r="BM5774" s="81"/>
      <c r="BN5774" s="81"/>
      <c r="BO5774" s="81"/>
      <c r="BP5774" s="81"/>
      <c r="BQ5774" s="81"/>
      <c r="BR5774" s="81"/>
      <c r="BS5774" s="81"/>
      <c r="BT5774" s="81"/>
    </row>
    <row r="5775" spans="65:72" x14ac:dyDescent="0.25">
      <c r="BM5775" s="81"/>
      <c r="BN5775" s="81"/>
      <c r="BO5775" s="81"/>
      <c r="BP5775" s="81"/>
      <c r="BQ5775" s="81"/>
      <c r="BR5775" s="81"/>
      <c r="BS5775" s="81"/>
      <c r="BT5775" s="81"/>
    </row>
    <row r="5776" spans="65:72" x14ac:dyDescent="0.25">
      <c r="BM5776" s="81"/>
      <c r="BN5776" s="81"/>
      <c r="BO5776" s="81"/>
      <c r="BP5776" s="81"/>
      <c r="BQ5776" s="81"/>
      <c r="BR5776" s="81"/>
      <c r="BS5776" s="81"/>
      <c r="BT5776" s="81"/>
    </row>
    <row r="5777" spans="65:72" x14ac:dyDescent="0.25">
      <c r="BM5777" s="81"/>
      <c r="BN5777" s="81"/>
      <c r="BO5777" s="81"/>
      <c r="BP5777" s="81"/>
      <c r="BQ5777" s="81"/>
      <c r="BR5777" s="81"/>
      <c r="BS5777" s="81"/>
      <c r="BT5777" s="81"/>
    </row>
    <row r="5778" spans="65:72" x14ac:dyDescent="0.25">
      <c r="BM5778" s="81"/>
      <c r="BN5778" s="81"/>
      <c r="BO5778" s="81"/>
      <c r="BP5778" s="81"/>
      <c r="BQ5778" s="81"/>
      <c r="BR5778" s="81"/>
      <c r="BS5778" s="81"/>
      <c r="BT5778" s="81"/>
    </row>
    <row r="5779" spans="65:72" x14ac:dyDescent="0.25">
      <c r="BM5779" s="81"/>
      <c r="BN5779" s="81"/>
      <c r="BO5779" s="81"/>
      <c r="BP5779" s="81"/>
      <c r="BQ5779" s="81"/>
      <c r="BR5779" s="81"/>
      <c r="BS5779" s="81"/>
      <c r="BT5779" s="81"/>
    </row>
    <row r="5780" spans="65:72" x14ac:dyDescent="0.25">
      <c r="BM5780" s="81"/>
      <c r="BN5780" s="81"/>
      <c r="BO5780" s="81"/>
      <c r="BP5780" s="81"/>
      <c r="BQ5780" s="81"/>
      <c r="BR5780" s="81"/>
      <c r="BS5780" s="81"/>
      <c r="BT5780" s="81"/>
    </row>
    <row r="5781" spans="65:72" x14ac:dyDescent="0.25">
      <c r="BM5781" s="81"/>
      <c r="BN5781" s="81"/>
      <c r="BO5781" s="81"/>
      <c r="BP5781" s="81"/>
      <c r="BQ5781" s="81"/>
      <c r="BR5781" s="81"/>
      <c r="BS5781" s="81"/>
      <c r="BT5781" s="81"/>
    </row>
    <row r="5782" spans="65:72" x14ac:dyDescent="0.25">
      <c r="BM5782" s="81"/>
      <c r="BN5782" s="81"/>
      <c r="BO5782" s="81"/>
      <c r="BP5782" s="81"/>
      <c r="BQ5782" s="81"/>
      <c r="BR5782" s="81"/>
      <c r="BS5782" s="81"/>
      <c r="BT5782" s="81"/>
    </row>
    <row r="5783" spans="65:72" x14ac:dyDescent="0.25">
      <c r="BM5783" s="81"/>
      <c r="BN5783" s="81"/>
      <c r="BO5783" s="81"/>
      <c r="BP5783" s="81"/>
      <c r="BQ5783" s="81"/>
      <c r="BR5783" s="81"/>
      <c r="BS5783" s="81"/>
      <c r="BT5783" s="81"/>
    </row>
    <row r="5784" spans="65:72" x14ac:dyDescent="0.25">
      <c r="BM5784" s="81"/>
      <c r="BN5784" s="81"/>
      <c r="BO5784" s="81"/>
      <c r="BP5784" s="81"/>
      <c r="BQ5784" s="81"/>
      <c r="BR5784" s="81"/>
      <c r="BS5784" s="81"/>
      <c r="BT5784" s="81"/>
    </row>
    <row r="5785" spans="65:72" x14ac:dyDescent="0.25">
      <c r="BM5785" s="81"/>
      <c r="BN5785" s="81"/>
      <c r="BO5785" s="81"/>
      <c r="BP5785" s="81"/>
      <c r="BQ5785" s="81"/>
      <c r="BR5785" s="81"/>
      <c r="BS5785" s="81"/>
      <c r="BT5785" s="81"/>
    </row>
    <row r="5786" spans="65:72" x14ac:dyDescent="0.25">
      <c r="BM5786" s="81"/>
      <c r="BN5786" s="81"/>
      <c r="BO5786" s="81"/>
      <c r="BP5786" s="81"/>
      <c r="BQ5786" s="81"/>
      <c r="BR5786" s="81"/>
      <c r="BS5786" s="81"/>
      <c r="BT5786" s="81"/>
    </row>
    <row r="5787" spans="65:72" x14ac:dyDescent="0.25">
      <c r="BM5787" s="81"/>
      <c r="BN5787" s="81"/>
      <c r="BO5787" s="81"/>
      <c r="BP5787" s="81"/>
      <c r="BQ5787" s="81"/>
      <c r="BR5787" s="81"/>
      <c r="BS5787" s="81"/>
      <c r="BT5787" s="81"/>
    </row>
    <row r="5788" spans="65:72" x14ac:dyDescent="0.25">
      <c r="BM5788" s="81"/>
      <c r="BN5788" s="81"/>
      <c r="BO5788" s="81"/>
      <c r="BP5788" s="81"/>
      <c r="BQ5788" s="81"/>
      <c r="BR5788" s="81"/>
      <c r="BS5788" s="81"/>
      <c r="BT5788" s="81"/>
    </row>
    <row r="5789" spans="65:72" x14ac:dyDescent="0.25">
      <c r="BM5789" s="81"/>
      <c r="BN5789" s="81"/>
      <c r="BO5789" s="81"/>
      <c r="BP5789" s="81"/>
      <c r="BQ5789" s="81"/>
      <c r="BR5789" s="81"/>
      <c r="BS5789" s="81"/>
      <c r="BT5789" s="81"/>
    </row>
    <row r="5790" spans="65:72" x14ac:dyDescent="0.25">
      <c r="BM5790" s="81"/>
      <c r="BN5790" s="81"/>
      <c r="BO5790" s="81"/>
      <c r="BP5790" s="81"/>
      <c r="BQ5790" s="81"/>
      <c r="BR5790" s="81"/>
      <c r="BS5790" s="81"/>
      <c r="BT5790" s="81"/>
    </row>
    <row r="5791" spans="65:72" x14ac:dyDescent="0.25">
      <c r="BM5791" s="81"/>
      <c r="BN5791" s="81"/>
      <c r="BO5791" s="81"/>
      <c r="BP5791" s="81"/>
      <c r="BQ5791" s="81"/>
      <c r="BR5791" s="81"/>
      <c r="BS5791" s="81"/>
      <c r="BT5791" s="81"/>
    </row>
    <row r="5792" spans="65:72" x14ac:dyDescent="0.25">
      <c r="BM5792" s="81"/>
      <c r="BN5792" s="81"/>
      <c r="BO5792" s="81"/>
      <c r="BP5792" s="81"/>
      <c r="BQ5792" s="81"/>
      <c r="BR5792" s="81"/>
      <c r="BS5792" s="81"/>
      <c r="BT5792" s="81"/>
    </row>
    <row r="5793" spans="65:72" x14ac:dyDescent="0.25">
      <c r="BM5793" s="81"/>
      <c r="BN5793" s="81"/>
      <c r="BO5793" s="81"/>
      <c r="BP5793" s="81"/>
      <c r="BQ5793" s="81"/>
      <c r="BR5793" s="81"/>
      <c r="BS5793" s="81"/>
      <c r="BT5793" s="81"/>
    </row>
    <row r="5794" spans="65:72" x14ac:dyDescent="0.25">
      <c r="BM5794" s="81"/>
      <c r="BN5794" s="81"/>
      <c r="BO5794" s="81"/>
      <c r="BP5794" s="81"/>
      <c r="BQ5794" s="81"/>
      <c r="BR5794" s="81"/>
      <c r="BS5794" s="81"/>
      <c r="BT5794" s="81"/>
    </row>
    <row r="5795" spans="65:72" x14ac:dyDescent="0.25">
      <c r="BM5795" s="81"/>
      <c r="BN5795" s="81"/>
      <c r="BO5795" s="81"/>
      <c r="BP5795" s="81"/>
      <c r="BQ5795" s="81"/>
      <c r="BR5795" s="81"/>
      <c r="BS5795" s="81"/>
      <c r="BT5795" s="81"/>
    </row>
    <row r="5796" spans="65:72" x14ac:dyDescent="0.25">
      <c r="BM5796" s="81"/>
      <c r="BN5796" s="81"/>
      <c r="BO5796" s="81"/>
      <c r="BP5796" s="81"/>
      <c r="BQ5796" s="81"/>
      <c r="BR5796" s="81"/>
      <c r="BS5796" s="81"/>
      <c r="BT5796" s="81"/>
    </row>
    <row r="5797" spans="65:72" x14ac:dyDescent="0.25">
      <c r="BM5797" s="81"/>
      <c r="BN5797" s="81"/>
      <c r="BO5797" s="81"/>
      <c r="BP5797" s="81"/>
      <c r="BQ5797" s="81"/>
      <c r="BR5797" s="81"/>
      <c r="BS5797" s="81"/>
      <c r="BT5797" s="81"/>
    </row>
    <row r="5798" spans="65:72" x14ac:dyDescent="0.25">
      <c r="BM5798" s="81"/>
      <c r="BN5798" s="81"/>
      <c r="BO5798" s="81"/>
      <c r="BP5798" s="81"/>
      <c r="BQ5798" s="81"/>
      <c r="BR5798" s="81"/>
      <c r="BS5798" s="81"/>
      <c r="BT5798" s="81"/>
    </row>
    <row r="5799" spans="65:72" x14ac:dyDescent="0.25">
      <c r="BM5799" s="81"/>
      <c r="BN5799" s="81"/>
      <c r="BO5799" s="81"/>
      <c r="BP5799" s="81"/>
      <c r="BQ5799" s="81"/>
      <c r="BR5799" s="81"/>
      <c r="BS5799" s="81"/>
      <c r="BT5799" s="81"/>
    </row>
    <row r="5800" spans="65:72" x14ac:dyDescent="0.25">
      <c r="BM5800" s="81"/>
      <c r="BN5800" s="81"/>
      <c r="BO5800" s="81"/>
      <c r="BP5800" s="81"/>
      <c r="BQ5800" s="81"/>
      <c r="BR5800" s="81"/>
      <c r="BS5800" s="81"/>
      <c r="BT5800" s="81"/>
    </row>
    <row r="5801" spans="65:72" x14ac:dyDescent="0.25">
      <c r="BM5801" s="81"/>
      <c r="BN5801" s="81"/>
      <c r="BO5801" s="81"/>
      <c r="BP5801" s="81"/>
      <c r="BQ5801" s="81"/>
      <c r="BR5801" s="81"/>
      <c r="BS5801" s="81"/>
      <c r="BT5801" s="81"/>
    </row>
    <row r="5802" spans="65:72" x14ac:dyDescent="0.25">
      <c r="BM5802" s="81"/>
      <c r="BN5802" s="81"/>
      <c r="BO5802" s="81"/>
      <c r="BP5802" s="81"/>
      <c r="BQ5802" s="81"/>
      <c r="BR5802" s="81"/>
      <c r="BS5802" s="81"/>
      <c r="BT5802" s="81"/>
    </row>
    <row r="5803" spans="65:72" x14ac:dyDescent="0.25">
      <c r="BM5803" s="81"/>
      <c r="BN5803" s="81"/>
      <c r="BO5803" s="81"/>
      <c r="BP5803" s="81"/>
      <c r="BQ5803" s="81"/>
      <c r="BR5803" s="81"/>
      <c r="BS5803" s="81"/>
      <c r="BT5803" s="81"/>
    </row>
    <row r="5804" spans="65:72" x14ac:dyDescent="0.25">
      <c r="BM5804" s="81"/>
      <c r="BN5804" s="81"/>
      <c r="BO5804" s="81"/>
      <c r="BP5804" s="81"/>
      <c r="BQ5804" s="81"/>
      <c r="BR5804" s="81"/>
      <c r="BS5804" s="81"/>
      <c r="BT5804" s="81"/>
    </row>
    <row r="5805" spans="65:72" x14ac:dyDescent="0.25">
      <c r="BM5805" s="81"/>
      <c r="BN5805" s="81"/>
      <c r="BO5805" s="81"/>
      <c r="BP5805" s="81"/>
      <c r="BQ5805" s="81"/>
      <c r="BR5805" s="81"/>
      <c r="BS5805" s="81"/>
      <c r="BT5805" s="81"/>
    </row>
    <row r="5806" spans="65:72" x14ac:dyDescent="0.25">
      <c r="BM5806" s="81"/>
      <c r="BN5806" s="81"/>
      <c r="BO5806" s="81"/>
      <c r="BP5806" s="81"/>
      <c r="BQ5806" s="81"/>
      <c r="BR5806" s="81"/>
      <c r="BS5806" s="81"/>
      <c r="BT5806" s="81"/>
    </row>
    <row r="5807" spans="65:72" x14ac:dyDescent="0.25">
      <c r="BM5807" s="81"/>
      <c r="BN5807" s="81"/>
      <c r="BO5807" s="81"/>
      <c r="BP5807" s="81"/>
      <c r="BQ5807" s="81"/>
      <c r="BR5807" s="81"/>
      <c r="BS5807" s="81"/>
      <c r="BT5807" s="81"/>
    </row>
    <row r="5808" spans="65:72" x14ac:dyDescent="0.25">
      <c r="BM5808" s="81"/>
      <c r="BN5808" s="81"/>
      <c r="BO5808" s="81"/>
      <c r="BP5808" s="81"/>
      <c r="BQ5808" s="81"/>
      <c r="BR5808" s="81"/>
      <c r="BS5808" s="81"/>
      <c r="BT5808" s="81"/>
    </row>
    <row r="5809" spans="65:72" x14ac:dyDescent="0.25">
      <c r="BM5809" s="81"/>
      <c r="BN5809" s="81"/>
      <c r="BO5809" s="81"/>
      <c r="BP5809" s="81"/>
      <c r="BQ5809" s="81"/>
      <c r="BR5809" s="81"/>
      <c r="BS5809" s="81"/>
      <c r="BT5809" s="81"/>
    </row>
    <row r="5810" spans="65:72" x14ac:dyDescent="0.25">
      <c r="BM5810" s="81"/>
      <c r="BN5810" s="81"/>
      <c r="BO5810" s="81"/>
      <c r="BP5810" s="81"/>
      <c r="BQ5810" s="81"/>
      <c r="BR5810" s="81"/>
      <c r="BS5810" s="81"/>
      <c r="BT5810" s="81"/>
    </row>
    <row r="5811" spans="65:72" x14ac:dyDescent="0.25">
      <c r="BM5811" s="81"/>
      <c r="BN5811" s="81"/>
      <c r="BO5811" s="81"/>
      <c r="BP5811" s="81"/>
      <c r="BQ5811" s="81"/>
      <c r="BR5811" s="81"/>
      <c r="BS5811" s="81"/>
      <c r="BT5811" s="81"/>
    </row>
    <row r="5812" spans="65:72" x14ac:dyDescent="0.25">
      <c r="BM5812" s="81"/>
      <c r="BN5812" s="81"/>
      <c r="BO5812" s="81"/>
      <c r="BP5812" s="81"/>
      <c r="BQ5812" s="81"/>
      <c r="BR5812" s="81"/>
      <c r="BS5812" s="81"/>
      <c r="BT5812" s="81"/>
    </row>
    <row r="5813" spans="65:72" x14ac:dyDescent="0.25">
      <c r="BM5813" s="81"/>
      <c r="BN5813" s="81"/>
      <c r="BO5813" s="81"/>
      <c r="BP5813" s="81"/>
      <c r="BQ5813" s="81"/>
      <c r="BR5813" s="81"/>
      <c r="BS5813" s="81"/>
      <c r="BT5813" s="81"/>
    </row>
    <row r="5814" spans="65:72" x14ac:dyDescent="0.25">
      <c r="BM5814" s="81"/>
      <c r="BN5814" s="81"/>
      <c r="BO5814" s="81"/>
      <c r="BP5814" s="81"/>
      <c r="BQ5814" s="81"/>
      <c r="BR5814" s="81"/>
      <c r="BS5814" s="81"/>
      <c r="BT5814" s="81"/>
    </row>
    <row r="5815" spans="65:72" x14ac:dyDescent="0.25">
      <c r="BM5815" s="81"/>
      <c r="BN5815" s="81"/>
      <c r="BO5815" s="81"/>
      <c r="BP5815" s="81"/>
      <c r="BQ5815" s="81"/>
      <c r="BR5815" s="81"/>
      <c r="BS5815" s="81"/>
      <c r="BT5815" s="81"/>
    </row>
    <row r="5816" spans="65:72" x14ac:dyDescent="0.25">
      <c r="BM5816" s="81"/>
      <c r="BN5816" s="81"/>
      <c r="BO5816" s="81"/>
      <c r="BP5816" s="81"/>
      <c r="BQ5816" s="81"/>
      <c r="BR5816" s="81"/>
      <c r="BS5816" s="81"/>
      <c r="BT5816" s="81"/>
    </row>
    <row r="5817" spans="65:72" x14ac:dyDescent="0.25">
      <c r="BM5817" s="81"/>
      <c r="BN5817" s="81"/>
      <c r="BO5817" s="81"/>
      <c r="BP5817" s="81"/>
      <c r="BQ5817" s="81"/>
      <c r="BR5817" s="81"/>
      <c r="BS5817" s="81"/>
      <c r="BT5817" s="81"/>
    </row>
    <row r="5818" spans="65:72" x14ac:dyDescent="0.25">
      <c r="BM5818" s="81"/>
      <c r="BN5818" s="81"/>
      <c r="BO5818" s="81"/>
      <c r="BP5818" s="81"/>
      <c r="BQ5818" s="81"/>
      <c r="BR5818" s="81"/>
      <c r="BS5818" s="81"/>
      <c r="BT5818" s="81"/>
    </row>
    <row r="5819" spans="65:72" x14ac:dyDescent="0.25">
      <c r="BM5819" s="81"/>
      <c r="BN5819" s="81"/>
      <c r="BO5819" s="81"/>
      <c r="BP5819" s="81"/>
      <c r="BQ5819" s="81"/>
      <c r="BR5819" s="81"/>
      <c r="BS5819" s="81"/>
      <c r="BT5819" s="81"/>
    </row>
    <row r="5820" spans="65:72" x14ac:dyDescent="0.25">
      <c r="BM5820" s="81"/>
      <c r="BN5820" s="81"/>
      <c r="BO5820" s="81"/>
      <c r="BP5820" s="81"/>
      <c r="BQ5820" s="81"/>
      <c r="BR5820" s="81"/>
      <c r="BS5820" s="81"/>
      <c r="BT5820" s="81"/>
    </row>
    <row r="5821" spans="65:72" x14ac:dyDescent="0.25">
      <c r="BM5821" s="81"/>
      <c r="BN5821" s="81"/>
      <c r="BO5821" s="81"/>
      <c r="BP5821" s="81"/>
      <c r="BQ5821" s="81"/>
      <c r="BR5821" s="81"/>
      <c r="BS5821" s="81"/>
      <c r="BT5821" s="81"/>
    </row>
    <row r="5822" spans="65:72" x14ac:dyDescent="0.25">
      <c r="BM5822" s="81"/>
      <c r="BN5822" s="81"/>
      <c r="BO5822" s="81"/>
      <c r="BP5822" s="81"/>
      <c r="BQ5822" s="81"/>
      <c r="BR5822" s="81"/>
      <c r="BS5822" s="81"/>
      <c r="BT5822" s="81"/>
    </row>
    <row r="5823" spans="65:72" x14ac:dyDescent="0.25">
      <c r="BM5823" s="81"/>
      <c r="BN5823" s="81"/>
      <c r="BO5823" s="81"/>
      <c r="BP5823" s="81"/>
      <c r="BQ5823" s="81"/>
      <c r="BR5823" s="81"/>
      <c r="BS5823" s="81"/>
      <c r="BT5823" s="81"/>
    </row>
    <row r="5824" spans="65:72" x14ac:dyDescent="0.25">
      <c r="BM5824" s="81"/>
      <c r="BN5824" s="81"/>
      <c r="BO5824" s="81"/>
      <c r="BP5824" s="81"/>
      <c r="BQ5824" s="81"/>
      <c r="BR5824" s="81"/>
      <c r="BS5824" s="81"/>
      <c r="BT5824" s="81"/>
    </row>
    <row r="5825" spans="65:72" x14ac:dyDescent="0.25">
      <c r="BM5825" s="81"/>
      <c r="BN5825" s="81"/>
      <c r="BO5825" s="81"/>
      <c r="BP5825" s="81"/>
      <c r="BQ5825" s="81"/>
      <c r="BR5825" s="81"/>
      <c r="BS5825" s="81"/>
      <c r="BT5825" s="81"/>
    </row>
    <row r="5826" spans="65:72" x14ac:dyDescent="0.25">
      <c r="BM5826" s="81"/>
      <c r="BN5826" s="81"/>
      <c r="BO5826" s="81"/>
      <c r="BP5826" s="81"/>
      <c r="BQ5826" s="81"/>
      <c r="BR5826" s="81"/>
      <c r="BS5826" s="81"/>
      <c r="BT5826" s="81"/>
    </row>
    <row r="5827" spans="65:72" x14ac:dyDescent="0.25">
      <c r="BM5827" s="81"/>
      <c r="BN5827" s="81"/>
      <c r="BO5827" s="81"/>
      <c r="BP5827" s="81"/>
      <c r="BQ5827" s="81"/>
      <c r="BR5827" s="81"/>
      <c r="BS5827" s="81"/>
      <c r="BT5827" s="81"/>
    </row>
    <row r="5828" spans="65:72" x14ac:dyDescent="0.25">
      <c r="BM5828" s="81"/>
      <c r="BN5828" s="81"/>
      <c r="BO5828" s="81"/>
      <c r="BP5828" s="81"/>
      <c r="BQ5828" s="81"/>
      <c r="BR5828" s="81"/>
      <c r="BS5828" s="81"/>
      <c r="BT5828" s="81"/>
    </row>
    <row r="5829" spans="65:72" x14ac:dyDescent="0.25">
      <c r="BM5829" s="81"/>
      <c r="BN5829" s="81"/>
      <c r="BO5829" s="81"/>
      <c r="BP5829" s="81"/>
      <c r="BQ5829" s="81"/>
      <c r="BR5829" s="81"/>
      <c r="BS5829" s="81"/>
      <c r="BT5829" s="81"/>
    </row>
    <row r="5830" spans="65:72" x14ac:dyDescent="0.25">
      <c r="BM5830" s="81"/>
      <c r="BN5830" s="81"/>
      <c r="BO5830" s="81"/>
      <c r="BP5830" s="81"/>
      <c r="BQ5830" s="81"/>
      <c r="BR5830" s="81"/>
      <c r="BS5830" s="81"/>
      <c r="BT5830" s="81"/>
    </row>
    <row r="5831" spans="65:72" x14ac:dyDescent="0.25">
      <c r="BM5831" s="81"/>
      <c r="BN5831" s="81"/>
      <c r="BO5831" s="81"/>
      <c r="BP5831" s="81"/>
      <c r="BQ5831" s="81"/>
      <c r="BR5831" s="81"/>
      <c r="BS5831" s="81"/>
      <c r="BT5831" s="81"/>
    </row>
    <row r="5832" spans="65:72" x14ac:dyDescent="0.25">
      <c r="BM5832" s="81"/>
      <c r="BN5832" s="81"/>
      <c r="BO5832" s="81"/>
      <c r="BP5832" s="81"/>
      <c r="BQ5832" s="81"/>
      <c r="BR5832" s="81"/>
      <c r="BS5832" s="81"/>
      <c r="BT5832" s="81"/>
    </row>
    <row r="5833" spans="65:72" x14ac:dyDescent="0.25">
      <c r="BM5833" s="81"/>
      <c r="BN5833" s="81"/>
      <c r="BO5833" s="81"/>
      <c r="BP5833" s="81"/>
      <c r="BQ5833" s="81"/>
      <c r="BR5833" s="81"/>
      <c r="BS5833" s="81"/>
      <c r="BT5833" s="81"/>
    </row>
    <row r="5834" spans="65:72" x14ac:dyDescent="0.25">
      <c r="BM5834" s="81"/>
      <c r="BN5834" s="81"/>
      <c r="BO5834" s="81"/>
      <c r="BP5834" s="81"/>
      <c r="BQ5834" s="81"/>
      <c r="BR5834" s="81"/>
      <c r="BS5834" s="81"/>
      <c r="BT5834" s="81"/>
    </row>
    <row r="5835" spans="65:72" x14ac:dyDescent="0.25">
      <c r="BM5835" s="81"/>
      <c r="BN5835" s="81"/>
      <c r="BO5835" s="81"/>
      <c r="BP5835" s="81"/>
      <c r="BQ5835" s="81"/>
      <c r="BR5835" s="81"/>
      <c r="BS5835" s="81"/>
      <c r="BT5835" s="81"/>
    </row>
    <row r="5836" spans="65:72" x14ac:dyDescent="0.25">
      <c r="BM5836" s="81"/>
      <c r="BN5836" s="81"/>
      <c r="BO5836" s="81"/>
      <c r="BP5836" s="81"/>
      <c r="BQ5836" s="81"/>
      <c r="BR5836" s="81"/>
      <c r="BS5836" s="81"/>
      <c r="BT5836" s="81"/>
    </row>
    <row r="5837" spans="65:72" x14ac:dyDescent="0.25">
      <c r="BM5837" s="81"/>
      <c r="BN5837" s="81"/>
      <c r="BO5837" s="81"/>
      <c r="BP5837" s="81"/>
      <c r="BQ5837" s="81"/>
      <c r="BR5837" s="81"/>
      <c r="BS5837" s="81"/>
      <c r="BT5837" s="81"/>
    </row>
    <row r="5838" spans="65:72" x14ac:dyDescent="0.25">
      <c r="BM5838" s="81"/>
      <c r="BN5838" s="81"/>
      <c r="BO5838" s="81"/>
      <c r="BP5838" s="81"/>
      <c r="BQ5838" s="81"/>
      <c r="BR5838" s="81"/>
      <c r="BS5838" s="81"/>
      <c r="BT5838" s="81"/>
    </row>
    <row r="5839" spans="65:72" x14ac:dyDescent="0.25">
      <c r="BM5839" s="81"/>
      <c r="BN5839" s="81"/>
      <c r="BO5839" s="81"/>
      <c r="BP5839" s="81"/>
      <c r="BQ5839" s="81"/>
      <c r="BR5839" s="81"/>
      <c r="BS5839" s="81"/>
      <c r="BT5839" s="81"/>
    </row>
    <row r="5840" spans="65:72" x14ac:dyDescent="0.25">
      <c r="BM5840" s="81"/>
      <c r="BN5840" s="81"/>
      <c r="BO5840" s="81"/>
      <c r="BP5840" s="81"/>
      <c r="BQ5840" s="81"/>
      <c r="BR5840" s="81"/>
      <c r="BS5840" s="81"/>
      <c r="BT5840" s="81"/>
    </row>
    <row r="5841" spans="65:72" x14ac:dyDescent="0.25">
      <c r="BM5841" s="81"/>
      <c r="BN5841" s="81"/>
      <c r="BO5841" s="81"/>
      <c r="BP5841" s="81"/>
      <c r="BQ5841" s="81"/>
      <c r="BR5841" s="81"/>
      <c r="BS5841" s="81"/>
      <c r="BT5841" s="81"/>
    </row>
    <row r="5842" spans="65:72" x14ac:dyDescent="0.25">
      <c r="BM5842" s="81"/>
      <c r="BN5842" s="81"/>
      <c r="BO5842" s="81"/>
      <c r="BP5842" s="81"/>
      <c r="BQ5842" s="81"/>
      <c r="BR5842" s="81"/>
      <c r="BS5842" s="81"/>
      <c r="BT5842" s="81"/>
    </row>
    <row r="5843" spans="65:72" x14ac:dyDescent="0.25">
      <c r="BM5843" s="81"/>
      <c r="BN5843" s="81"/>
      <c r="BO5843" s="81"/>
      <c r="BP5843" s="81"/>
      <c r="BQ5843" s="81"/>
      <c r="BR5843" s="81"/>
      <c r="BS5843" s="81"/>
      <c r="BT5843" s="81"/>
    </row>
    <row r="5844" spans="65:72" x14ac:dyDescent="0.25">
      <c r="BM5844" s="81"/>
      <c r="BN5844" s="81"/>
      <c r="BO5844" s="81"/>
      <c r="BP5844" s="81"/>
      <c r="BQ5844" s="81"/>
      <c r="BR5844" s="81"/>
      <c r="BS5844" s="81"/>
      <c r="BT5844" s="81"/>
    </row>
    <row r="5845" spans="65:72" x14ac:dyDescent="0.25">
      <c r="BM5845" s="81"/>
      <c r="BN5845" s="81"/>
      <c r="BO5845" s="81"/>
      <c r="BP5845" s="81"/>
      <c r="BQ5845" s="81"/>
      <c r="BR5845" s="81"/>
      <c r="BS5845" s="81"/>
      <c r="BT5845" s="81"/>
    </row>
    <row r="5846" spans="65:72" x14ac:dyDescent="0.25">
      <c r="BM5846" s="81"/>
      <c r="BN5846" s="81"/>
      <c r="BO5846" s="81"/>
      <c r="BP5846" s="81"/>
      <c r="BQ5846" s="81"/>
      <c r="BR5846" s="81"/>
      <c r="BS5846" s="81"/>
      <c r="BT5846" s="81"/>
    </row>
    <row r="5847" spans="65:72" x14ac:dyDescent="0.25">
      <c r="BM5847" s="81"/>
      <c r="BN5847" s="81"/>
      <c r="BO5847" s="81"/>
      <c r="BP5847" s="81"/>
      <c r="BQ5847" s="81"/>
      <c r="BR5847" s="81"/>
      <c r="BS5847" s="81"/>
      <c r="BT5847" s="81"/>
    </row>
    <row r="5848" spans="65:72" x14ac:dyDescent="0.25">
      <c r="BM5848" s="81"/>
      <c r="BN5848" s="81"/>
      <c r="BO5848" s="81"/>
      <c r="BP5848" s="81"/>
      <c r="BQ5848" s="81"/>
      <c r="BR5848" s="81"/>
      <c r="BS5848" s="81"/>
      <c r="BT5848" s="81"/>
    </row>
    <row r="5849" spans="65:72" x14ac:dyDescent="0.25">
      <c r="BM5849" s="81"/>
      <c r="BN5849" s="81"/>
      <c r="BO5849" s="81"/>
      <c r="BP5849" s="81"/>
      <c r="BQ5849" s="81"/>
      <c r="BR5849" s="81"/>
      <c r="BS5849" s="81"/>
      <c r="BT5849" s="81"/>
    </row>
    <row r="5850" spans="65:72" x14ac:dyDescent="0.25">
      <c r="BM5850" s="81"/>
      <c r="BN5850" s="81"/>
      <c r="BO5850" s="81"/>
      <c r="BP5850" s="81"/>
      <c r="BQ5850" s="81"/>
      <c r="BR5850" s="81"/>
      <c r="BS5850" s="81"/>
      <c r="BT5850" s="81"/>
    </row>
    <row r="5851" spans="65:72" x14ac:dyDescent="0.25">
      <c r="BM5851" s="81"/>
      <c r="BN5851" s="81"/>
      <c r="BO5851" s="81"/>
      <c r="BP5851" s="81"/>
      <c r="BQ5851" s="81"/>
      <c r="BR5851" s="81"/>
      <c r="BS5851" s="81"/>
      <c r="BT5851" s="81"/>
    </row>
    <row r="5852" spans="65:72" x14ac:dyDescent="0.25">
      <c r="BM5852" s="81"/>
      <c r="BN5852" s="81"/>
      <c r="BO5852" s="81"/>
      <c r="BP5852" s="81"/>
      <c r="BQ5852" s="81"/>
      <c r="BR5852" s="81"/>
      <c r="BS5852" s="81"/>
      <c r="BT5852" s="81"/>
    </row>
    <row r="5853" spans="65:72" x14ac:dyDescent="0.25">
      <c r="BM5853" s="81"/>
      <c r="BN5853" s="81"/>
      <c r="BO5853" s="81"/>
      <c r="BP5853" s="81"/>
      <c r="BQ5853" s="81"/>
      <c r="BR5853" s="81"/>
      <c r="BS5853" s="81"/>
      <c r="BT5853" s="81"/>
    </row>
    <row r="5854" spans="65:72" x14ac:dyDescent="0.25">
      <c r="BM5854" s="81"/>
      <c r="BN5854" s="81"/>
      <c r="BO5854" s="81"/>
      <c r="BP5854" s="81"/>
      <c r="BQ5854" s="81"/>
      <c r="BR5854" s="81"/>
      <c r="BS5854" s="81"/>
      <c r="BT5854" s="81"/>
    </row>
    <row r="5855" spans="65:72" x14ac:dyDescent="0.25">
      <c r="BM5855" s="81"/>
      <c r="BN5855" s="81"/>
      <c r="BO5855" s="81"/>
      <c r="BP5855" s="81"/>
      <c r="BQ5855" s="81"/>
      <c r="BR5855" s="81"/>
      <c r="BS5855" s="81"/>
      <c r="BT5855" s="81"/>
    </row>
    <row r="5856" spans="65:72" x14ac:dyDescent="0.25">
      <c r="BM5856" s="81"/>
      <c r="BN5856" s="81"/>
      <c r="BO5856" s="81"/>
      <c r="BP5856" s="81"/>
      <c r="BQ5856" s="81"/>
      <c r="BR5856" s="81"/>
      <c r="BS5856" s="81"/>
      <c r="BT5856" s="81"/>
    </row>
    <row r="5857" spans="65:72" x14ac:dyDescent="0.25">
      <c r="BM5857" s="81"/>
      <c r="BN5857" s="81"/>
      <c r="BO5857" s="81"/>
      <c r="BP5857" s="81"/>
      <c r="BQ5857" s="81"/>
      <c r="BR5857" s="81"/>
      <c r="BS5857" s="81"/>
      <c r="BT5857" s="81"/>
    </row>
    <row r="5858" spans="65:72" x14ac:dyDescent="0.25">
      <c r="BM5858" s="81"/>
      <c r="BN5858" s="81"/>
      <c r="BO5858" s="81"/>
      <c r="BP5858" s="81"/>
      <c r="BQ5858" s="81"/>
      <c r="BR5858" s="81"/>
      <c r="BS5858" s="81"/>
      <c r="BT5858" s="81"/>
    </row>
    <row r="5859" spans="65:72" x14ac:dyDescent="0.25">
      <c r="BM5859" s="81"/>
      <c r="BN5859" s="81"/>
      <c r="BO5859" s="81"/>
      <c r="BP5859" s="81"/>
      <c r="BQ5859" s="81"/>
      <c r="BR5859" s="81"/>
      <c r="BS5859" s="81"/>
      <c r="BT5859" s="81"/>
    </row>
    <row r="5860" spans="65:72" x14ac:dyDescent="0.25">
      <c r="BM5860" s="81"/>
      <c r="BN5860" s="81"/>
      <c r="BO5860" s="81"/>
      <c r="BP5860" s="81"/>
      <c r="BQ5860" s="81"/>
      <c r="BR5860" s="81"/>
      <c r="BS5860" s="81"/>
      <c r="BT5860" s="81"/>
    </row>
    <row r="5861" spans="65:72" x14ac:dyDescent="0.25">
      <c r="BM5861" s="81"/>
      <c r="BN5861" s="81"/>
      <c r="BO5861" s="81"/>
      <c r="BP5861" s="81"/>
      <c r="BQ5861" s="81"/>
      <c r="BR5861" s="81"/>
      <c r="BS5861" s="81"/>
      <c r="BT5861" s="81"/>
    </row>
    <row r="5862" spans="65:72" x14ac:dyDescent="0.25">
      <c r="BM5862" s="81"/>
      <c r="BN5862" s="81"/>
      <c r="BO5862" s="81"/>
      <c r="BP5862" s="81"/>
      <c r="BQ5862" s="81"/>
      <c r="BR5862" s="81"/>
      <c r="BS5862" s="81"/>
      <c r="BT5862" s="81"/>
    </row>
    <row r="5863" spans="65:72" x14ac:dyDescent="0.25">
      <c r="BM5863" s="81"/>
      <c r="BN5863" s="81"/>
      <c r="BO5863" s="81"/>
      <c r="BP5863" s="81"/>
      <c r="BQ5863" s="81"/>
      <c r="BR5863" s="81"/>
      <c r="BS5863" s="81"/>
      <c r="BT5863" s="81"/>
    </row>
    <row r="5864" spans="65:72" x14ac:dyDescent="0.25">
      <c r="BM5864" s="81"/>
      <c r="BN5864" s="81"/>
      <c r="BO5864" s="81"/>
      <c r="BP5864" s="81"/>
      <c r="BQ5864" s="81"/>
      <c r="BR5864" s="81"/>
      <c r="BS5864" s="81"/>
      <c r="BT5864" s="81"/>
    </row>
    <row r="5865" spans="65:72" x14ac:dyDescent="0.25">
      <c r="BM5865" s="81"/>
      <c r="BN5865" s="81"/>
      <c r="BO5865" s="81"/>
      <c r="BP5865" s="81"/>
      <c r="BQ5865" s="81"/>
      <c r="BR5865" s="81"/>
      <c r="BS5865" s="81"/>
      <c r="BT5865" s="81"/>
    </row>
    <row r="5866" spans="65:72" x14ac:dyDescent="0.25">
      <c r="BM5866" s="81"/>
      <c r="BN5866" s="81"/>
      <c r="BO5866" s="81"/>
      <c r="BP5866" s="81"/>
      <c r="BQ5866" s="81"/>
      <c r="BR5866" s="81"/>
      <c r="BS5866" s="81"/>
      <c r="BT5866" s="81"/>
    </row>
    <row r="5867" spans="65:72" x14ac:dyDescent="0.25">
      <c r="BM5867" s="81"/>
      <c r="BN5867" s="81"/>
      <c r="BO5867" s="81"/>
      <c r="BP5867" s="81"/>
      <c r="BQ5867" s="81"/>
      <c r="BR5867" s="81"/>
      <c r="BS5867" s="81"/>
      <c r="BT5867" s="81"/>
    </row>
    <row r="5868" spans="65:72" x14ac:dyDescent="0.25">
      <c r="BM5868" s="81"/>
      <c r="BN5868" s="81"/>
      <c r="BO5868" s="81"/>
      <c r="BP5868" s="81"/>
      <c r="BQ5868" s="81"/>
      <c r="BR5868" s="81"/>
      <c r="BS5868" s="81"/>
      <c r="BT5868" s="81"/>
    </row>
    <row r="5869" spans="65:72" x14ac:dyDescent="0.25">
      <c r="BM5869" s="81"/>
      <c r="BN5869" s="81"/>
      <c r="BO5869" s="81"/>
      <c r="BP5869" s="81"/>
      <c r="BQ5869" s="81"/>
      <c r="BR5869" s="81"/>
      <c r="BS5869" s="81"/>
      <c r="BT5869" s="81"/>
    </row>
    <row r="5870" spans="65:72" x14ac:dyDescent="0.25">
      <c r="BM5870" s="81"/>
      <c r="BN5870" s="81"/>
      <c r="BO5870" s="81"/>
      <c r="BP5870" s="81"/>
      <c r="BQ5870" s="81"/>
      <c r="BR5870" s="81"/>
      <c r="BS5870" s="81"/>
      <c r="BT5870" s="81"/>
    </row>
    <row r="5871" spans="65:72" x14ac:dyDescent="0.25">
      <c r="BM5871" s="81"/>
      <c r="BN5871" s="81"/>
      <c r="BO5871" s="81"/>
      <c r="BP5871" s="81"/>
      <c r="BQ5871" s="81"/>
      <c r="BR5871" s="81"/>
      <c r="BS5871" s="81"/>
      <c r="BT5871" s="81"/>
    </row>
    <row r="5872" spans="65:72" x14ac:dyDescent="0.25">
      <c r="BM5872" s="81"/>
      <c r="BN5872" s="81"/>
      <c r="BO5872" s="81"/>
      <c r="BP5872" s="81"/>
      <c r="BQ5872" s="81"/>
      <c r="BR5872" s="81"/>
      <c r="BS5872" s="81"/>
      <c r="BT5872" s="81"/>
    </row>
    <row r="5873" spans="65:72" x14ac:dyDescent="0.25">
      <c r="BM5873" s="81"/>
      <c r="BN5873" s="81"/>
      <c r="BO5873" s="81"/>
      <c r="BP5873" s="81"/>
      <c r="BQ5873" s="81"/>
      <c r="BR5873" s="81"/>
      <c r="BS5873" s="81"/>
      <c r="BT5873" s="81"/>
    </row>
    <row r="5874" spans="65:72" x14ac:dyDescent="0.25">
      <c r="BM5874" s="81"/>
      <c r="BN5874" s="81"/>
      <c r="BO5874" s="81"/>
      <c r="BP5874" s="81"/>
      <c r="BQ5874" s="81"/>
      <c r="BR5874" s="81"/>
      <c r="BS5874" s="81"/>
      <c r="BT5874" s="81"/>
    </row>
    <row r="5875" spans="65:72" x14ac:dyDescent="0.25">
      <c r="BM5875" s="81"/>
      <c r="BN5875" s="81"/>
      <c r="BO5875" s="81"/>
      <c r="BP5875" s="81"/>
      <c r="BQ5875" s="81"/>
      <c r="BR5875" s="81"/>
      <c r="BS5875" s="81"/>
      <c r="BT5875" s="81"/>
    </row>
    <row r="5876" spans="65:72" x14ac:dyDescent="0.25">
      <c r="BM5876" s="81"/>
      <c r="BN5876" s="81"/>
      <c r="BO5876" s="81"/>
      <c r="BP5876" s="81"/>
      <c r="BQ5876" s="81"/>
      <c r="BR5876" s="81"/>
      <c r="BS5876" s="81"/>
      <c r="BT5876" s="81"/>
    </row>
    <row r="5877" spans="65:72" x14ac:dyDescent="0.25">
      <c r="BM5877" s="81"/>
      <c r="BN5877" s="81"/>
      <c r="BO5877" s="81"/>
      <c r="BP5877" s="81"/>
      <c r="BQ5877" s="81"/>
      <c r="BR5877" s="81"/>
      <c r="BS5877" s="81"/>
      <c r="BT5877" s="81"/>
    </row>
    <row r="5878" spans="65:72" x14ac:dyDescent="0.25">
      <c r="BM5878" s="81"/>
      <c r="BN5878" s="81"/>
      <c r="BO5878" s="81"/>
      <c r="BP5878" s="81"/>
      <c r="BQ5878" s="81"/>
      <c r="BR5878" s="81"/>
      <c r="BS5878" s="81"/>
      <c r="BT5878" s="81"/>
    </row>
    <row r="5879" spans="65:72" x14ac:dyDescent="0.25">
      <c r="BM5879" s="81"/>
      <c r="BN5879" s="81"/>
      <c r="BO5879" s="81"/>
      <c r="BP5879" s="81"/>
      <c r="BQ5879" s="81"/>
      <c r="BR5879" s="81"/>
      <c r="BS5879" s="81"/>
      <c r="BT5879" s="81"/>
    </row>
    <row r="5880" spans="65:72" x14ac:dyDescent="0.25">
      <c r="BM5880" s="81"/>
      <c r="BN5880" s="81"/>
      <c r="BO5880" s="81"/>
      <c r="BP5880" s="81"/>
      <c r="BQ5880" s="81"/>
      <c r="BR5880" s="81"/>
      <c r="BS5880" s="81"/>
      <c r="BT5880" s="81"/>
    </row>
    <row r="5881" spans="65:72" x14ac:dyDescent="0.25">
      <c r="BM5881" s="81"/>
      <c r="BN5881" s="81"/>
      <c r="BO5881" s="81"/>
      <c r="BP5881" s="81"/>
      <c r="BQ5881" s="81"/>
      <c r="BR5881" s="81"/>
      <c r="BS5881" s="81"/>
      <c r="BT5881" s="81"/>
    </row>
    <row r="5882" spans="65:72" x14ac:dyDescent="0.25">
      <c r="BM5882" s="81"/>
      <c r="BN5882" s="81"/>
      <c r="BO5882" s="81"/>
      <c r="BP5882" s="81"/>
      <c r="BQ5882" s="81"/>
      <c r="BR5882" s="81"/>
      <c r="BS5882" s="81"/>
      <c r="BT5882" s="81"/>
    </row>
    <row r="5883" spans="65:72" x14ac:dyDescent="0.25">
      <c r="BM5883" s="81"/>
      <c r="BN5883" s="81"/>
      <c r="BO5883" s="81"/>
      <c r="BP5883" s="81"/>
      <c r="BQ5883" s="81"/>
      <c r="BR5883" s="81"/>
      <c r="BS5883" s="81"/>
      <c r="BT5883" s="81"/>
    </row>
    <row r="5884" spans="65:72" x14ac:dyDescent="0.25">
      <c r="BM5884" s="81"/>
      <c r="BN5884" s="81"/>
      <c r="BO5884" s="81"/>
      <c r="BP5884" s="81"/>
      <c r="BQ5884" s="81"/>
      <c r="BR5884" s="81"/>
      <c r="BS5884" s="81"/>
      <c r="BT5884" s="81"/>
    </row>
    <row r="5885" spans="65:72" x14ac:dyDescent="0.25">
      <c r="BM5885" s="81"/>
      <c r="BN5885" s="81"/>
      <c r="BO5885" s="81"/>
      <c r="BP5885" s="81"/>
      <c r="BQ5885" s="81"/>
      <c r="BR5885" s="81"/>
      <c r="BS5885" s="81"/>
      <c r="BT5885" s="81"/>
    </row>
    <row r="5886" spans="65:72" x14ac:dyDescent="0.25">
      <c r="BM5886" s="81"/>
      <c r="BN5886" s="81"/>
      <c r="BO5886" s="81"/>
      <c r="BP5886" s="81"/>
      <c r="BQ5886" s="81"/>
      <c r="BR5886" s="81"/>
      <c r="BS5886" s="81"/>
      <c r="BT5886" s="81"/>
    </row>
    <row r="5887" spans="65:72" x14ac:dyDescent="0.25">
      <c r="BM5887" s="81"/>
      <c r="BN5887" s="81"/>
      <c r="BO5887" s="81"/>
      <c r="BP5887" s="81"/>
      <c r="BQ5887" s="81"/>
      <c r="BR5887" s="81"/>
      <c r="BS5887" s="81"/>
      <c r="BT5887" s="81"/>
    </row>
    <row r="5888" spans="65:72" x14ac:dyDescent="0.25">
      <c r="BM5888" s="81"/>
      <c r="BN5888" s="81"/>
      <c r="BO5888" s="81"/>
      <c r="BP5888" s="81"/>
      <c r="BQ5888" s="81"/>
      <c r="BR5888" s="81"/>
      <c r="BS5888" s="81"/>
      <c r="BT5888" s="81"/>
    </row>
    <row r="5889" spans="65:72" x14ac:dyDescent="0.25">
      <c r="BM5889" s="81"/>
      <c r="BN5889" s="81"/>
      <c r="BO5889" s="81"/>
      <c r="BP5889" s="81"/>
      <c r="BQ5889" s="81"/>
      <c r="BR5889" s="81"/>
      <c r="BS5889" s="81"/>
      <c r="BT5889" s="81"/>
    </row>
    <row r="5890" spans="65:72" x14ac:dyDescent="0.25">
      <c r="BM5890" s="81"/>
      <c r="BN5890" s="81"/>
      <c r="BO5890" s="81"/>
      <c r="BP5890" s="81"/>
      <c r="BQ5890" s="81"/>
      <c r="BR5890" s="81"/>
      <c r="BS5890" s="81"/>
      <c r="BT5890" s="81"/>
    </row>
    <row r="5891" spans="65:72" x14ac:dyDescent="0.25">
      <c r="BM5891" s="81"/>
      <c r="BN5891" s="81"/>
      <c r="BO5891" s="81"/>
      <c r="BP5891" s="81"/>
      <c r="BQ5891" s="81"/>
      <c r="BR5891" s="81"/>
      <c r="BS5891" s="81"/>
      <c r="BT5891" s="81"/>
    </row>
    <row r="5892" spans="65:72" x14ac:dyDescent="0.25">
      <c r="BM5892" s="81"/>
      <c r="BN5892" s="81"/>
      <c r="BO5892" s="81"/>
      <c r="BP5892" s="81"/>
      <c r="BQ5892" s="81"/>
      <c r="BR5892" s="81"/>
      <c r="BS5892" s="81"/>
      <c r="BT5892" s="81"/>
    </row>
    <row r="5893" spans="65:72" x14ac:dyDescent="0.25">
      <c r="BM5893" s="81"/>
      <c r="BN5893" s="81"/>
      <c r="BO5893" s="81"/>
      <c r="BP5893" s="81"/>
      <c r="BQ5893" s="81"/>
      <c r="BR5893" s="81"/>
      <c r="BS5893" s="81"/>
      <c r="BT5893" s="81"/>
    </row>
    <row r="5894" spans="65:72" x14ac:dyDescent="0.25">
      <c r="BM5894" s="81"/>
      <c r="BN5894" s="81"/>
      <c r="BO5894" s="81"/>
      <c r="BP5894" s="81"/>
      <c r="BQ5894" s="81"/>
      <c r="BR5894" s="81"/>
      <c r="BS5894" s="81"/>
      <c r="BT5894" s="81"/>
    </row>
    <row r="5895" spans="65:72" x14ac:dyDescent="0.25">
      <c r="BM5895" s="81"/>
      <c r="BN5895" s="81"/>
      <c r="BO5895" s="81"/>
      <c r="BP5895" s="81"/>
      <c r="BQ5895" s="81"/>
      <c r="BR5895" s="81"/>
      <c r="BS5895" s="81"/>
      <c r="BT5895" s="81"/>
    </row>
    <row r="5896" spans="65:72" x14ac:dyDescent="0.25">
      <c r="BM5896" s="81"/>
      <c r="BN5896" s="81"/>
      <c r="BO5896" s="81"/>
      <c r="BP5896" s="81"/>
      <c r="BQ5896" s="81"/>
      <c r="BR5896" s="81"/>
      <c r="BS5896" s="81"/>
      <c r="BT5896" s="81"/>
    </row>
    <row r="5897" spans="65:72" x14ac:dyDescent="0.25">
      <c r="BM5897" s="81"/>
      <c r="BN5897" s="81"/>
      <c r="BO5897" s="81"/>
      <c r="BP5897" s="81"/>
      <c r="BQ5897" s="81"/>
      <c r="BR5897" s="81"/>
      <c r="BS5897" s="81"/>
      <c r="BT5897" s="81"/>
    </row>
    <row r="5898" spans="65:72" x14ac:dyDescent="0.25">
      <c r="BM5898" s="81"/>
      <c r="BN5898" s="81"/>
      <c r="BO5898" s="81"/>
      <c r="BP5898" s="81"/>
      <c r="BQ5898" s="81"/>
      <c r="BR5898" s="81"/>
      <c r="BS5898" s="81"/>
      <c r="BT5898" s="81"/>
    </row>
    <row r="5899" spans="65:72" x14ac:dyDescent="0.25">
      <c r="BM5899" s="81"/>
      <c r="BN5899" s="81"/>
      <c r="BO5899" s="81"/>
      <c r="BP5899" s="81"/>
      <c r="BQ5899" s="81"/>
      <c r="BR5899" s="81"/>
      <c r="BS5899" s="81"/>
      <c r="BT5899" s="81"/>
    </row>
    <row r="5900" spans="65:72" x14ac:dyDescent="0.25">
      <c r="BM5900" s="81"/>
      <c r="BN5900" s="81"/>
      <c r="BO5900" s="81"/>
      <c r="BP5900" s="81"/>
      <c r="BQ5900" s="81"/>
      <c r="BR5900" s="81"/>
      <c r="BS5900" s="81"/>
      <c r="BT5900" s="81"/>
    </row>
    <row r="5901" spans="65:72" x14ac:dyDescent="0.25">
      <c r="BM5901" s="81"/>
      <c r="BN5901" s="81"/>
      <c r="BO5901" s="81"/>
      <c r="BP5901" s="81"/>
      <c r="BQ5901" s="81"/>
      <c r="BR5901" s="81"/>
      <c r="BS5901" s="81"/>
      <c r="BT5901" s="81"/>
    </row>
    <row r="5902" spans="65:72" x14ac:dyDescent="0.25">
      <c r="BM5902" s="81"/>
      <c r="BN5902" s="81"/>
      <c r="BO5902" s="81"/>
      <c r="BP5902" s="81"/>
      <c r="BQ5902" s="81"/>
      <c r="BR5902" s="81"/>
      <c r="BS5902" s="81"/>
      <c r="BT5902" s="81"/>
    </row>
    <row r="5903" spans="65:72" x14ac:dyDescent="0.25">
      <c r="BM5903" s="81"/>
      <c r="BN5903" s="81"/>
      <c r="BO5903" s="81"/>
      <c r="BP5903" s="81"/>
      <c r="BQ5903" s="81"/>
      <c r="BR5903" s="81"/>
      <c r="BS5903" s="81"/>
      <c r="BT5903" s="81"/>
    </row>
    <row r="5904" spans="65:72" x14ac:dyDescent="0.25">
      <c r="BM5904" s="81"/>
      <c r="BN5904" s="81"/>
      <c r="BO5904" s="81"/>
      <c r="BP5904" s="81"/>
      <c r="BQ5904" s="81"/>
      <c r="BR5904" s="81"/>
      <c r="BS5904" s="81"/>
      <c r="BT5904" s="81"/>
    </row>
    <row r="5905" spans="65:72" x14ac:dyDescent="0.25">
      <c r="BM5905" s="81"/>
      <c r="BN5905" s="81"/>
      <c r="BO5905" s="81"/>
      <c r="BP5905" s="81"/>
      <c r="BQ5905" s="81"/>
      <c r="BR5905" s="81"/>
      <c r="BS5905" s="81"/>
      <c r="BT5905" s="81"/>
    </row>
    <row r="5906" spans="65:72" x14ac:dyDescent="0.25">
      <c r="BM5906" s="81"/>
      <c r="BN5906" s="81"/>
      <c r="BO5906" s="81"/>
      <c r="BP5906" s="81"/>
      <c r="BQ5906" s="81"/>
      <c r="BR5906" s="81"/>
      <c r="BS5906" s="81"/>
      <c r="BT5906" s="81"/>
    </row>
    <row r="5907" spans="65:72" x14ac:dyDescent="0.25">
      <c r="BM5907" s="81"/>
      <c r="BN5907" s="81"/>
      <c r="BO5907" s="81"/>
      <c r="BP5907" s="81"/>
      <c r="BQ5907" s="81"/>
      <c r="BR5907" s="81"/>
      <c r="BS5907" s="81"/>
      <c r="BT5907" s="81"/>
    </row>
    <row r="5908" spans="65:72" x14ac:dyDescent="0.25">
      <c r="BM5908" s="81"/>
      <c r="BN5908" s="81"/>
      <c r="BO5908" s="81"/>
      <c r="BP5908" s="81"/>
      <c r="BQ5908" s="81"/>
      <c r="BR5908" s="81"/>
      <c r="BS5908" s="81"/>
      <c r="BT5908" s="81"/>
    </row>
    <row r="5909" spans="65:72" x14ac:dyDescent="0.25">
      <c r="BM5909" s="81"/>
      <c r="BN5909" s="81"/>
      <c r="BO5909" s="81"/>
      <c r="BP5909" s="81"/>
      <c r="BQ5909" s="81"/>
      <c r="BR5909" s="81"/>
      <c r="BS5909" s="81"/>
      <c r="BT5909" s="81"/>
    </row>
    <row r="5910" spans="65:72" x14ac:dyDescent="0.25">
      <c r="BM5910" s="81"/>
      <c r="BN5910" s="81"/>
      <c r="BO5910" s="81"/>
      <c r="BP5910" s="81"/>
      <c r="BQ5910" s="81"/>
      <c r="BR5910" s="81"/>
      <c r="BS5910" s="81"/>
      <c r="BT5910" s="81"/>
    </row>
    <row r="5911" spans="65:72" x14ac:dyDescent="0.25">
      <c r="BM5911" s="81"/>
      <c r="BN5911" s="81"/>
      <c r="BO5911" s="81"/>
      <c r="BP5911" s="81"/>
      <c r="BQ5911" s="81"/>
      <c r="BR5911" s="81"/>
      <c r="BS5911" s="81"/>
      <c r="BT5911" s="81"/>
    </row>
    <row r="5912" spans="65:72" x14ac:dyDescent="0.25">
      <c r="BM5912" s="81"/>
      <c r="BN5912" s="81"/>
      <c r="BO5912" s="81"/>
      <c r="BP5912" s="81"/>
      <c r="BQ5912" s="81"/>
      <c r="BR5912" s="81"/>
      <c r="BS5912" s="81"/>
      <c r="BT5912" s="81"/>
    </row>
    <row r="5913" spans="65:72" x14ac:dyDescent="0.25">
      <c r="BM5913" s="81"/>
      <c r="BN5913" s="81"/>
      <c r="BO5913" s="81"/>
      <c r="BP5913" s="81"/>
      <c r="BQ5913" s="81"/>
      <c r="BR5913" s="81"/>
      <c r="BS5913" s="81"/>
      <c r="BT5913" s="81"/>
    </row>
    <row r="5914" spans="65:72" x14ac:dyDescent="0.25">
      <c r="BM5914" s="81"/>
      <c r="BN5914" s="81"/>
      <c r="BO5914" s="81"/>
      <c r="BP5914" s="81"/>
      <c r="BQ5914" s="81"/>
      <c r="BR5914" s="81"/>
      <c r="BS5914" s="81"/>
      <c r="BT5914" s="81"/>
    </row>
    <row r="5915" spans="65:72" x14ac:dyDescent="0.25">
      <c r="BM5915" s="81"/>
      <c r="BN5915" s="81"/>
      <c r="BO5915" s="81"/>
      <c r="BP5915" s="81"/>
      <c r="BQ5915" s="81"/>
      <c r="BR5915" s="81"/>
      <c r="BS5915" s="81"/>
      <c r="BT5915" s="81"/>
    </row>
    <row r="5916" spans="65:72" x14ac:dyDescent="0.25">
      <c r="BM5916" s="81"/>
      <c r="BN5916" s="81"/>
      <c r="BO5916" s="81"/>
      <c r="BP5916" s="81"/>
      <c r="BQ5916" s="81"/>
      <c r="BR5916" s="81"/>
      <c r="BS5916" s="81"/>
      <c r="BT5916" s="81"/>
    </row>
    <row r="5917" spans="65:72" x14ac:dyDescent="0.25">
      <c r="BM5917" s="81"/>
      <c r="BN5917" s="81"/>
      <c r="BO5917" s="81"/>
      <c r="BP5917" s="81"/>
      <c r="BQ5917" s="81"/>
      <c r="BR5917" s="81"/>
      <c r="BS5917" s="81"/>
      <c r="BT5917" s="81"/>
    </row>
    <row r="5918" spans="65:72" x14ac:dyDescent="0.25">
      <c r="BM5918" s="81"/>
      <c r="BN5918" s="81"/>
      <c r="BO5918" s="81"/>
      <c r="BP5918" s="81"/>
      <c r="BQ5918" s="81"/>
      <c r="BR5918" s="81"/>
      <c r="BS5918" s="81"/>
      <c r="BT5918" s="81"/>
    </row>
    <row r="5919" spans="65:72" x14ac:dyDescent="0.25">
      <c r="BM5919" s="81"/>
      <c r="BN5919" s="81"/>
      <c r="BO5919" s="81"/>
      <c r="BP5919" s="81"/>
      <c r="BQ5919" s="81"/>
      <c r="BR5919" s="81"/>
      <c r="BS5919" s="81"/>
      <c r="BT5919" s="81"/>
    </row>
    <row r="5920" spans="65:72" x14ac:dyDescent="0.25">
      <c r="BM5920" s="81"/>
      <c r="BN5920" s="81"/>
      <c r="BO5920" s="81"/>
      <c r="BP5920" s="81"/>
      <c r="BQ5920" s="81"/>
      <c r="BR5920" s="81"/>
      <c r="BS5920" s="81"/>
      <c r="BT5920" s="81"/>
    </row>
    <row r="5921" spans="65:72" x14ac:dyDescent="0.25">
      <c r="BM5921" s="81"/>
      <c r="BN5921" s="81"/>
      <c r="BO5921" s="81"/>
      <c r="BP5921" s="81"/>
      <c r="BQ5921" s="81"/>
      <c r="BR5921" s="81"/>
      <c r="BS5921" s="81"/>
      <c r="BT5921" s="81"/>
    </row>
    <row r="5922" spans="65:72" x14ac:dyDescent="0.25">
      <c r="BM5922" s="81"/>
      <c r="BN5922" s="81"/>
      <c r="BO5922" s="81"/>
      <c r="BP5922" s="81"/>
      <c r="BQ5922" s="81"/>
      <c r="BR5922" s="81"/>
      <c r="BS5922" s="81"/>
      <c r="BT5922" s="81"/>
    </row>
    <row r="5923" spans="65:72" x14ac:dyDescent="0.25">
      <c r="BM5923" s="81"/>
      <c r="BN5923" s="81"/>
      <c r="BO5923" s="81"/>
      <c r="BP5923" s="81"/>
      <c r="BQ5923" s="81"/>
      <c r="BR5923" s="81"/>
      <c r="BS5923" s="81"/>
      <c r="BT5923" s="81"/>
    </row>
    <row r="5924" spans="65:72" x14ac:dyDescent="0.25">
      <c r="BM5924" s="81"/>
      <c r="BN5924" s="81"/>
      <c r="BO5924" s="81"/>
      <c r="BP5924" s="81"/>
      <c r="BQ5924" s="81"/>
      <c r="BR5924" s="81"/>
      <c r="BS5924" s="81"/>
      <c r="BT5924" s="81"/>
    </row>
    <row r="5925" spans="65:72" x14ac:dyDescent="0.25">
      <c r="BM5925" s="81"/>
      <c r="BN5925" s="81"/>
      <c r="BO5925" s="81"/>
      <c r="BP5925" s="81"/>
      <c r="BQ5925" s="81"/>
      <c r="BR5925" s="81"/>
      <c r="BS5925" s="81"/>
      <c r="BT5925" s="81"/>
    </row>
    <row r="5926" spans="65:72" x14ac:dyDescent="0.25">
      <c r="BM5926" s="81"/>
      <c r="BN5926" s="81"/>
      <c r="BO5926" s="81"/>
      <c r="BP5926" s="81"/>
      <c r="BQ5926" s="81"/>
      <c r="BR5926" s="81"/>
      <c r="BS5926" s="81"/>
      <c r="BT5926" s="81"/>
    </row>
    <row r="5927" spans="65:72" x14ac:dyDescent="0.25">
      <c r="BM5927" s="81"/>
      <c r="BN5927" s="81"/>
      <c r="BO5927" s="81"/>
      <c r="BP5927" s="81"/>
      <c r="BQ5927" s="81"/>
      <c r="BR5927" s="81"/>
      <c r="BS5927" s="81"/>
      <c r="BT5927" s="81"/>
    </row>
    <row r="5928" spans="65:72" x14ac:dyDescent="0.25">
      <c r="BM5928" s="81"/>
      <c r="BN5928" s="81"/>
      <c r="BO5928" s="81"/>
      <c r="BP5928" s="81"/>
      <c r="BQ5928" s="81"/>
      <c r="BR5928" s="81"/>
      <c r="BS5928" s="81"/>
      <c r="BT5928" s="81"/>
    </row>
    <row r="5929" spans="65:72" x14ac:dyDescent="0.25">
      <c r="BM5929" s="81"/>
      <c r="BN5929" s="81"/>
      <c r="BO5929" s="81"/>
      <c r="BP5929" s="81"/>
      <c r="BQ5929" s="81"/>
      <c r="BR5929" s="81"/>
      <c r="BS5929" s="81"/>
      <c r="BT5929" s="81"/>
    </row>
    <row r="5930" spans="65:72" x14ac:dyDescent="0.25">
      <c r="BM5930" s="81"/>
      <c r="BN5930" s="81"/>
      <c r="BO5930" s="81"/>
      <c r="BP5930" s="81"/>
      <c r="BQ5930" s="81"/>
      <c r="BR5930" s="81"/>
      <c r="BS5930" s="81"/>
      <c r="BT5930" s="81"/>
    </row>
    <row r="5931" spans="65:72" x14ac:dyDescent="0.25">
      <c r="BM5931" s="81"/>
      <c r="BN5931" s="81"/>
      <c r="BO5931" s="81"/>
      <c r="BP5931" s="81"/>
      <c r="BQ5931" s="81"/>
      <c r="BR5931" s="81"/>
      <c r="BS5931" s="81"/>
      <c r="BT5931" s="81"/>
    </row>
    <row r="5932" spans="65:72" x14ac:dyDescent="0.25">
      <c r="BM5932" s="81"/>
      <c r="BN5932" s="81"/>
      <c r="BO5932" s="81"/>
      <c r="BP5932" s="81"/>
      <c r="BQ5932" s="81"/>
      <c r="BR5932" s="81"/>
      <c r="BS5932" s="81"/>
      <c r="BT5932" s="81"/>
    </row>
    <row r="5933" spans="65:72" x14ac:dyDescent="0.25">
      <c r="BM5933" s="81"/>
      <c r="BN5933" s="81"/>
      <c r="BO5933" s="81"/>
      <c r="BP5933" s="81"/>
      <c r="BQ5933" s="81"/>
      <c r="BR5933" s="81"/>
      <c r="BS5933" s="81"/>
      <c r="BT5933" s="81"/>
    </row>
    <row r="5934" spans="65:72" x14ac:dyDescent="0.25">
      <c r="BM5934" s="81"/>
      <c r="BN5934" s="81"/>
      <c r="BO5934" s="81"/>
      <c r="BP5934" s="81"/>
      <c r="BQ5934" s="81"/>
      <c r="BR5934" s="81"/>
      <c r="BS5934" s="81"/>
      <c r="BT5934" s="81"/>
    </row>
    <row r="5935" spans="65:72" x14ac:dyDescent="0.25">
      <c r="BM5935" s="81"/>
      <c r="BN5935" s="81"/>
      <c r="BO5935" s="81"/>
      <c r="BP5935" s="81"/>
      <c r="BQ5935" s="81"/>
      <c r="BR5935" s="81"/>
      <c r="BS5935" s="81"/>
      <c r="BT5935" s="81"/>
    </row>
    <row r="5936" spans="65:72" x14ac:dyDescent="0.25">
      <c r="BM5936" s="81"/>
      <c r="BN5936" s="81"/>
      <c r="BO5936" s="81"/>
      <c r="BP5936" s="81"/>
      <c r="BQ5936" s="81"/>
      <c r="BR5936" s="81"/>
      <c r="BS5936" s="81"/>
      <c r="BT5936" s="81"/>
    </row>
    <row r="5937" spans="65:72" x14ac:dyDescent="0.25">
      <c r="BM5937" s="81"/>
      <c r="BN5937" s="81"/>
      <c r="BO5937" s="81"/>
      <c r="BP5937" s="81"/>
      <c r="BQ5937" s="81"/>
      <c r="BR5937" s="81"/>
      <c r="BS5937" s="81"/>
      <c r="BT5937" s="81"/>
    </row>
    <row r="5938" spans="65:72" x14ac:dyDescent="0.25">
      <c r="BM5938" s="81"/>
      <c r="BN5938" s="81"/>
      <c r="BO5938" s="81"/>
      <c r="BP5938" s="81"/>
      <c r="BQ5938" s="81"/>
      <c r="BR5938" s="81"/>
      <c r="BS5938" s="81"/>
      <c r="BT5938" s="81"/>
    </row>
    <row r="5939" spans="65:72" x14ac:dyDescent="0.25">
      <c r="BM5939" s="81"/>
      <c r="BN5939" s="81"/>
      <c r="BO5939" s="81"/>
      <c r="BP5939" s="81"/>
      <c r="BQ5939" s="81"/>
      <c r="BR5939" s="81"/>
      <c r="BS5939" s="81"/>
      <c r="BT5939" s="81"/>
    </row>
    <row r="5940" spans="65:72" x14ac:dyDescent="0.25">
      <c r="BM5940" s="81"/>
      <c r="BN5940" s="81"/>
      <c r="BO5940" s="81"/>
      <c r="BP5940" s="81"/>
      <c r="BQ5940" s="81"/>
      <c r="BR5940" s="81"/>
      <c r="BS5940" s="81"/>
      <c r="BT5940" s="81"/>
    </row>
    <row r="5941" spans="65:72" x14ac:dyDescent="0.25">
      <c r="BM5941" s="81"/>
      <c r="BN5941" s="81"/>
      <c r="BO5941" s="81"/>
      <c r="BP5941" s="81"/>
      <c r="BQ5941" s="81"/>
      <c r="BR5941" s="81"/>
      <c r="BS5941" s="81"/>
      <c r="BT5941" s="81"/>
    </row>
    <row r="5942" spans="65:72" x14ac:dyDescent="0.25">
      <c r="BM5942" s="81"/>
      <c r="BN5942" s="81"/>
      <c r="BO5942" s="81"/>
      <c r="BP5942" s="81"/>
      <c r="BQ5942" s="81"/>
      <c r="BR5942" s="81"/>
      <c r="BS5942" s="81"/>
      <c r="BT5942" s="81"/>
    </row>
    <row r="5943" spans="65:72" x14ac:dyDescent="0.25">
      <c r="BM5943" s="81"/>
      <c r="BN5943" s="81"/>
      <c r="BO5943" s="81"/>
      <c r="BP5943" s="81"/>
      <c r="BQ5943" s="81"/>
      <c r="BR5943" s="81"/>
      <c r="BS5943" s="81"/>
      <c r="BT5943" s="81"/>
    </row>
    <row r="5944" spans="65:72" x14ac:dyDescent="0.25">
      <c r="BM5944" s="81"/>
      <c r="BN5944" s="81"/>
      <c r="BO5944" s="81"/>
      <c r="BP5944" s="81"/>
      <c r="BQ5944" s="81"/>
      <c r="BR5944" s="81"/>
      <c r="BS5944" s="81"/>
      <c r="BT5944" s="81"/>
    </row>
    <row r="5945" spans="65:72" x14ac:dyDescent="0.25">
      <c r="BM5945" s="81"/>
      <c r="BN5945" s="81"/>
      <c r="BO5945" s="81"/>
      <c r="BP5945" s="81"/>
      <c r="BQ5945" s="81"/>
      <c r="BR5945" s="81"/>
      <c r="BS5945" s="81"/>
      <c r="BT5945" s="81"/>
    </row>
    <row r="5946" spans="65:72" x14ac:dyDescent="0.25">
      <c r="BM5946" s="81"/>
      <c r="BN5946" s="81"/>
      <c r="BO5946" s="81"/>
      <c r="BP5946" s="81"/>
      <c r="BQ5946" s="81"/>
      <c r="BR5946" s="81"/>
      <c r="BS5946" s="81"/>
      <c r="BT5946" s="81"/>
    </row>
    <row r="5947" spans="65:72" x14ac:dyDescent="0.25">
      <c r="BM5947" s="81"/>
      <c r="BN5947" s="81"/>
      <c r="BO5947" s="81"/>
      <c r="BP5947" s="81"/>
      <c r="BQ5947" s="81"/>
      <c r="BR5947" s="81"/>
      <c r="BS5947" s="81"/>
      <c r="BT5947" s="81"/>
    </row>
    <row r="5948" spans="65:72" x14ac:dyDescent="0.25">
      <c r="BM5948" s="81"/>
      <c r="BN5948" s="81"/>
      <c r="BO5948" s="81"/>
      <c r="BP5948" s="81"/>
      <c r="BQ5948" s="81"/>
      <c r="BR5948" s="81"/>
      <c r="BS5948" s="81"/>
      <c r="BT5948" s="81"/>
    </row>
    <row r="5949" spans="65:72" x14ac:dyDescent="0.25">
      <c r="BM5949" s="81"/>
      <c r="BN5949" s="81"/>
      <c r="BO5949" s="81"/>
      <c r="BP5949" s="81"/>
      <c r="BQ5949" s="81"/>
      <c r="BR5949" s="81"/>
      <c r="BS5949" s="81"/>
      <c r="BT5949" s="81"/>
    </row>
    <row r="5950" spans="65:72" x14ac:dyDescent="0.25">
      <c r="BM5950" s="81"/>
      <c r="BN5950" s="81"/>
      <c r="BO5950" s="81"/>
      <c r="BP5950" s="81"/>
      <c r="BQ5950" s="81"/>
      <c r="BR5950" s="81"/>
      <c r="BS5950" s="81"/>
      <c r="BT5950" s="81"/>
    </row>
    <row r="5951" spans="65:72" x14ac:dyDescent="0.25">
      <c r="BM5951" s="81"/>
      <c r="BN5951" s="81"/>
      <c r="BO5951" s="81"/>
      <c r="BP5951" s="81"/>
      <c r="BQ5951" s="81"/>
      <c r="BR5951" s="81"/>
      <c r="BS5951" s="81"/>
      <c r="BT5951" s="81"/>
    </row>
    <row r="5952" spans="65:72" x14ac:dyDescent="0.25">
      <c r="BM5952" s="81"/>
      <c r="BN5952" s="81"/>
      <c r="BO5952" s="81"/>
      <c r="BP5952" s="81"/>
      <c r="BQ5952" s="81"/>
      <c r="BR5952" s="81"/>
      <c r="BS5952" s="81"/>
      <c r="BT5952" s="81"/>
    </row>
    <row r="5953" spans="65:72" x14ac:dyDescent="0.25">
      <c r="BM5953" s="81"/>
      <c r="BN5953" s="81"/>
      <c r="BO5953" s="81"/>
      <c r="BP5953" s="81"/>
      <c r="BQ5953" s="81"/>
      <c r="BR5953" s="81"/>
      <c r="BS5953" s="81"/>
      <c r="BT5953" s="81"/>
    </row>
    <row r="5954" spans="65:72" x14ac:dyDescent="0.25">
      <c r="BM5954" s="81"/>
      <c r="BN5954" s="81"/>
      <c r="BO5954" s="81"/>
      <c r="BP5954" s="81"/>
      <c r="BQ5954" s="81"/>
      <c r="BR5954" s="81"/>
      <c r="BS5954" s="81"/>
      <c r="BT5954" s="81"/>
    </row>
    <row r="5955" spans="65:72" x14ac:dyDescent="0.25">
      <c r="BM5955" s="81"/>
      <c r="BN5955" s="81"/>
      <c r="BO5955" s="81"/>
      <c r="BP5955" s="81"/>
      <c r="BQ5955" s="81"/>
      <c r="BR5955" s="81"/>
      <c r="BS5955" s="81"/>
      <c r="BT5955" s="81"/>
    </row>
    <row r="5956" spans="65:72" x14ac:dyDescent="0.25">
      <c r="BM5956" s="81"/>
      <c r="BN5956" s="81"/>
      <c r="BO5956" s="81"/>
      <c r="BP5956" s="81"/>
      <c r="BQ5956" s="81"/>
      <c r="BR5956" s="81"/>
      <c r="BS5956" s="81"/>
      <c r="BT5956" s="81"/>
    </row>
    <row r="5957" spans="65:72" x14ac:dyDescent="0.25">
      <c r="BM5957" s="81"/>
      <c r="BN5957" s="81"/>
      <c r="BO5957" s="81"/>
      <c r="BP5957" s="81"/>
      <c r="BQ5957" s="81"/>
      <c r="BR5957" s="81"/>
      <c r="BS5957" s="81"/>
      <c r="BT5957" s="81"/>
    </row>
    <row r="5958" spans="65:72" x14ac:dyDescent="0.25">
      <c r="BM5958" s="81"/>
      <c r="BN5958" s="81"/>
      <c r="BO5958" s="81"/>
      <c r="BP5958" s="81"/>
      <c r="BQ5958" s="81"/>
      <c r="BR5958" s="81"/>
      <c r="BS5958" s="81"/>
      <c r="BT5958" s="81"/>
    </row>
    <row r="5959" spans="65:72" x14ac:dyDescent="0.25">
      <c r="BM5959" s="81"/>
      <c r="BN5959" s="81"/>
      <c r="BO5959" s="81"/>
      <c r="BP5959" s="81"/>
      <c r="BQ5959" s="81"/>
      <c r="BR5959" s="81"/>
      <c r="BS5959" s="81"/>
      <c r="BT5959" s="81"/>
    </row>
    <row r="5960" spans="65:72" x14ac:dyDescent="0.25">
      <c r="BM5960" s="81"/>
      <c r="BN5960" s="81"/>
      <c r="BO5960" s="81"/>
      <c r="BP5960" s="81"/>
      <c r="BQ5960" s="81"/>
      <c r="BR5960" s="81"/>
      <c r="BS5960" s="81"/>
      <c r="BT5960" s="81"/>
    </row>
    <row r="5961" spans="65:72" x14ac:dyDescent="0.25">
      <c r="BM5961" s="81"/>
      <c r="BN5961" s="81"/>
      <c r="BO5961" s="81"/>
      <c r="BP5961" s="81"/>
      <c r="BQ5961" s="81"/>
      <c r="BR5961" s="81"/>
      <c r="BS5961" s="81"/>
      <c r="BT5961" s="81"/>
    </row>
    <row r="5962" spans="65:72" x14ac:dyDescent="0.25">
      <c r="BM5962" s="81"/>
      <c r="BN5962" s="81"/>
      <c r="BO5962" s="81"/>
      <c r="BP5962" s="81"/>
      <c r="BQ5962" s="81"/>
      <c r="BR5962" s="81"/>
      <c r="BS5962" s="81"/>
      <c r="BT5962" s="81"/>
    </row>
    <row r="5963" spans="65:72" x14ac:dyDescent="0.25">
      <c r="BM5963" s="81"/>
      <c r="BN5963" s="81"/>
      <c r="BO5963" s="81"/>
      <c r="BP5963" s="81"/>
      <c r="BQ5963" s="81"/>
      <c r="BR5963" s="81"/>
      <c r="BS5963" s="81"/>
      <c r="BT5963" s="81"/>
    </row>
    <row r="5964" spans="65:72" x14ac:dyDescent="0.25">
      <c r="BM5964" s="81"/>
      <c r="BN5964" s="81"/>
      <c r="BO5964" s="81"/>
      <c r="BP5964" s="81"/>
      <c r="BQ5964" s="81"/>
      <c r="BR5964" s="81"/>
      <c r="BS5964" s="81"/>
      <c r="BT5964" s="81"/>
    </row>
    <row r="5965" spans="65:72" x14ac:dyDescent="0.25">
      <c r="BM5965" s="81"/>
      <c r="BN5965" s="81"/>
      <c r="BO5965" s="81"/>
      <c r="BP5965" s="81"/>
      <c r="BQ5965" s="81"/>
      <c r="BR5965" s="81"/>
      <c r="BS5965" s="81"/>
      <c r="BT5965" s="81"/>
    </row>
    <row r="5966" spans="65:72" x14ac:dyDescent="0.25">
      <c r="BM5966" s="81"/>
      <c r="BN5966" s="81"/>
      <c r="BO5966" s="81"/>
      <c r="BP5966" s="81"/>
      <c r="BQ5966" s="81"/>
      <c r="BR5966" s="81"/>
      <c r="BS5966" s="81"/>
      <c r="BT5966" s="81"/>
    </row>
    <row r="5967" spans="65:72" x14ac:dyDescent="0.25">
      <c r="BM5967" s="81"/>
      <c r="BN5967" s="81"/>
      <c r="BO5967" s="81"/>
      <c r="BP5967" s="81"/>
      <c r="BQ5967" s="81"/>
      <c r="BR5967" s="81"/>
      <c r="BS5967" s="81"/>
      <c r="BT5967" s="81"/>
    </row>
    <row r="5968" spans="65:72" x14ac:dyDescent="0.25">
      <c r="BM5968" s="81"/>
      <c r="BN5968" s="81"/>
      <c r="BO5968" s="81"/>
      <c r="BP5968" s="81"/>
      <c r="BQ5968" s="81"/>
      <c r="BR5968" s="81"/>
      <c r="BS5968" s="81"/>
      <c r="BT5968" s="81"/>
    </row>
    <row r="5969" spans="65:72" x14ac:dyDescent="0.25">
      <c r="BM5969" s="81"/>
      <c r="BN5969" s="81"/>
      <c r="BO5969" s="81"/>
      <c r="BP5969" s="81"/>
      <c r="BQ5969" s="81"/>
      <c r="BR5969" s="81"/>
      <c r="BS5969" s="81"/>
      <c r="BT5969" s="81"/>
    </row>
    <row r="5970" spans="65:72" x14ac:dyDescent="0.25">
      <c r="BM5970" s="81"/>
      <c r="BN5970" s="81"/>
      <c r="BO5970" s="81"/>
      <c r="BP5970" s="81"/>
      <c r="BQ5970" s="81"/>
      <c r="BR5970" s="81"/>
      <c r="BS5970" s="81"/>
      <c r="BT5970" s="81"/>
    </row>
    <row r="5971" spans="65:72" x14ac:dyDescent="0.25">
      <c r="BM5971" s="81"/>
      <c r="BN5971" s="81"/>
      <c r="BO5971" s="81"/>
      <c r="BP5971" s="81"/>
      <c r="BQ5971" s="81"/>
      <c r="BR5971" s="81"/>
      <c r="BS5971" s="81"/>
      <c r="BT5971" s="81"/>
    </row>
    <row r="5972" spans="65:72" x14ac:dyDescent="0.25">
      <c r="BM5972" s="81"/>
      <c r="BN5972" s="81"/>
      <c r="BO5972" s="81"/>
      <c r="BP5972" s="81"/>
      <c r="BQ5972" s="81"/>
      <c r="BR5972" s="81"/>
      <c r="BS5972" s="81"/>
      <c r="BT5972" s="81"/>
    </row>
    <row r="5973" spans="65:72" x14ac:dyDescent="0.25">
      <c r="BM5973" s="81"/>
      <c r="BN5973" s="81"/>
      <c r="BO5973" s="81"/>
      <c r="BP5973" s="81"/>
      <c r="BQ5973" s="81"/>
      <c r="BR5973" s="81"/>
      <c r="BS5973" s="81"/>
      <c r="BT5973" s="81"/>
    </row>
    <row r="5974" spans="65:72" x14ac:dyDescent="0.25">
      <c r="BM5974" s="81"/>
      <c r="BN5974" s="81"/>
      <c r="BO5974" s="81"/>
      <c r="BP5974" s="81"/>
      <c r="BQ5974" s="81"/>
      <c r="BR5974" s="81"/>
      <c r="BS5974" s="81"/>
      <c r="BT5974" s="81"/>
    </row>
    <row r="5975" spans="65:72" x14ac:dyDescent="0.25">
      <c r="BM5975" s="81"/>
      <c r="BN5975" s="81"/>
      <c r="BO5975" s="81"/>
      <c r="BP5975" s="81"/>
      <c r="BQ5975" s="81"/>
      <c r="BR5975" s="81"/>
      <c r="BS5975" s="81"/>
      <c r="BT5975" s="81"/>
    </row>
    <row r="5976" spans="65:72" x14ac:dyDescent="0.25">
      <c r="BM5976" s="81"/>
      <c r="BN5976" s="81"/>
      <c r="BO5976" s="81"/>
      <c r="BP5976" s="81"/>
      <c r="BQ5976" s="81"/>
      <c r="BR5976" s="81"/>
      <c r="BS5976" s="81"/>
      <c r="BT5976" s="81"/>
    </row>
    <row r="5977" spans="65:72" x14ac:dyDescent="0.25">
      <c r="BM5977" s="81"/>
      <c r="BN5977" s="81"/>
      <c r="BO5977" s="81"/>
      <c r="BP5977" s="81"/>
      <c r="BQ5977" s="81"/>
      <c r="BR5977" s="81"/>
      <c r="BS5977" s="81"/>
      <c r="BT5977" s="81"/>
    </row>
    <row r="5978" spans="65:72" x14ac:dyDescent="0.25">
      <c r="BM5978" s="81"/>
      <c r="BN5978" s="81"/>
      <c r="BO5978" s="81"/>
      <c r="BP5978" s="81"/>
      <c r="BQ5978" s="81"/>
      <c r="BR5978" s="81"/>
      <c r="BS5978" s="81"/>
      <c r="BT5978" s="81"/>
    </row>
    <row r="5979" spans="65:72" x14ac:dyDescent="0.25">
      <c r="BM5979" s="81"/>
      <c r="BN5979" s="81"/>
      <c r="BO5979" s="81"/>
      <c r="BP5979" s="81"/>
      <c r="BQ5979" s="81"/>
      <c r="BR5979" s="81"/>
      <c r="BS5979" s="81"/>
      <c r="BT5979" s="81"/>
    </row>
    <row r="5980" spans="65:72" x14ac:dyDescent="0.25">
      <c r="BM5980" s="81"/>
      <c r="BN5980" s="81"/>
      <c r="BO5980" s="81"/>
      <c r="BP5980" s="81"/>
      <c r="BQ5980" s="81"/>
      <c r="BR5980" s="81"/>
      <c r="BS5980" s="81"/>
      <c r="BT5980" s="81"/>
    </row>
    <row r="5981" spans="65:72" x14ac:dyDescent="0.25">
      <c r="BM5981" s="81"/>
      <c r="BN5981" s="81"/>
      <c r="BO5981" s="81"/>
      <c r="BP5981" s="81"/>
      <c r="BQ5981" s="81"/>
      <c r="BR5981" s="81"/>
      <c r="BS5981" s="81"/>
      <c r="BT5981" s="81"/>
    </row>
    <row r="5982" spans="65:72" x14ac:dyDescent="0.25">
      <c r="BM5982" s="81"/>
      <c r="BN5982" s="81"/>
      <c r="BO5982" s="81"/>
      <c r="BP5982" s="81"/>
      <c r="BQ5982" s="81"/>
      <c r="BR5982" s="81"/>
      <c r="BS5982" s="81"/>
      <c r="BT5982" s="81"/>
    </row>
    <row r="5983" spans="65:72" x14ac:dyDescent="0.25">
      <c r="BM5983" s="81"/>
      <c r="BN5983" s="81"/>
      <c r="BO5983" s="81"/>
      <c r="BP5983" s="81"/>
      <c r="BQ5983" s="81"/>
      <c r="BR5983" s="81"/>
      <c r="BS5983" s="81"/>
      <c r="BT5983" s="81"/>
    </row>
    <row r="5984" spans="65:72" x14ac:dyDescent="0.25">
      <c r="BM5984" s="81"/>
      <c r="BN5984" s="81"/>
      <c r="BO5984" s="81"/>
      <c r="BP5984" s="81"/>
      <c r="BQ5984" s="81"/>
      <c r="BR5984" s="81"/>
      <c r="BS5984" s="81"/>
      <c r="BT5984" s="81"/>
    </row>
    <row r="5985" spans="65:72" x14ac:dyDescent="0.25">
      <c r="BM5985" s="81"/>
      <c r="BN5985" s="81"/>
      <c r="BO5985" s="81"/>
      <c r="BP5985" s="81"/>
      <c r="BQ5985" s="81"/>
      <c r="BR5985" s="81"/>
      <c r="BS5985" s="81"/>
      <c r="BT5985" s="81"/>
    </row>
    <row r="5986" spans="65:72" x14ac:dyDescent="0.25">
      <c r="BM5986" s="81"/>
      <c r="BN5986" s="81"/>
      <c r="BO5986" s="81"/>
      <c r="BP5986" s="81"/>
      <c r="BQ5986" s="81"/>
      <c r="BR5986" s="81"/>
      <c r="BS5986" s="81"/>
      <c r="BT5986" s="81"/>
    </row>
    <row r="5987" spans="65:72" x14ac:dyDescent="0.25">
      <c r="BM5987" s="81"/>
      <c r="BN5987" s="81"/>
      <c r="BO5987" s="81"/>
      <c r="BP5987" s="81"/>
      <c r="BQ5987" s="81"/>
      <c r="BR5987" s="81"/>
      <c r="BS5987" s="81"/>
      <c r="BT5987" s="81"/>
    </row>
    <row r="5988" spans="65:72" x14ac:dyDescent="0.25">
      <c r="BM5988" s="81"/>
      <c r="BN5988" s="81"/>
      <c r="BO5988" s="81"/>
      <c r="BP5988" s="81"/>
      <c r="BQ5988" s="81"/>
      <c r="BR5988" s="81"/>
      <c r="BS5988" s="81"/>
      <c r="BT5988" s="81"/>
    </row>
    <row r="5989" spans="65:72" x14ac:dyDescent="0.25">
      <c r="BM5989" s="81"/>
      <c r="BN5989" s="81"/>
      <c r="BO5989" s="81"/>
      <c r="BP5989" s="81"/>
      <c r="BQ5989" s="81"/>
      <c r="BR5989" s="81"/>
      <c r="BS5989" s="81"/>
      <c r="BT5989" s="81"/>
    </row>
    <row r="5990" spans="65:72" x14ac:dyDescent="0.25">
      <c r="BM5990" s="81"/>
      <c r="BN5990" s="81"/>
      <c r="BO5990" s="81"/>
      <c r="BP5990" s="81"/>
      <c r="BQ5990" s="81"/>
      <c r="BR5990" s="81"/>
      <c r="BS5990" s="81"/>
      <c r="BT5990" s="81"/>
    </row>
    <row r="5991" spans="65:72" x14ac:dyDescent="0.25">
      <c r="BM5991" s="81"/>
      <c r="BN5991" s="81"/>
      <c r="BO5991" s="81"/>
      <c r="BP5991" s="81"/>
      <c r="BQ5991" s="81"/>
      <c r="BR5991" s="81"/>
      <c r="BS5991" s="81"/>
      <c r="BT5991" s="81"/>
    </row>
    <row r="5992" spans="65:72" x14ac:dyDescent="0.25">
      <c r="BM5992" s="81"/>
      <c r="BN5992" s="81"/>
      <c r="BO5992" s="81"/>
      <c r="BP5992" s="81"/>
      <c r="BQ5992" s="81"/>
      <c r="BR5992" s="81"/>
      <c r="BS5992" s="81"/>
      <c r="BT5992" s="81"/>
    </row>
    <row r="5993" spans="65:72" x14ac:dyDescent="0.25">
      <c r="BM5993" s="81"/>
      <c r="BN5993" s="81"/>
      <c r="BO5993" s="81"/>
      <c r="BP5993" s="81"/>
      <c r="BQ5993" s="81"/>
      <c r="BR5993" s="81"/>
      <c r="BS5993" s="81"/>
      <c r="BT5993" s="81"/>
    </row>
    <row r="5994" spans="65:72" x14ac:dyDescent="0.25">
      <c r="BM5994" s="81"/>
      <c r="BN5994" s="81"/>
      <c r="BO5994" s="81"/>
      <c r="BP5994" s="81"/>
      <c r="BQ5994" s="81"/>
      <c r="BR5994" s="81"/>
      <c r="BS5994" s="81"/>
      <c r="BT5994" s="81"/>
    </row>
    <row r="5995" spans="65:72" x14ac:dyDescent="0.25">
      <c r="BM5995" s="81"/>
      <c r="BN5995" s="81"/>
      <c r="BO5995" s="81"/>
      <c r="BP5995" s="81"/>
      <c r="BQ5995" s="81"/>
      <c r="BR5995" s="81"/>
      <c r="BS5995" s="81"/>
      <c r="BT5995" s="81"/>
    </row>
    <row r="5996" spans="65:72" x14ac:dyDescent="0.25">
      <c r="BM5996" s="81"/>
      <c r="BN5996" s="81"/>
      <c r="BO5996" s="81"/>
      <c r="BP5996" s="81"/>
      <c r="BQ5996" s="81"/>
      <c r="BR5996" s="81"/>
      <c r="BS5996" s="81"/>
      <c r="BT5996" s="81"/>
    </row>
    <row r="5997" spans="65:72" x14ac:dyDescent="0.25">
      <c r="BM5997" s="81"/>
      <c r="BN5997" s="81"/>
      <c r="BO5997" s="81"/>
      <c r="BP5997" s="81"/>
      <c r="BQ5997" s="81"/>
      <c r="BR5997" s="81"/>
      <c r="BS5997" s="81"/>
      <c r="BT5997" s="81"/>
    </row>
    <row r="5998" spans="65:72" x14ac:dyDescent="0.25">
      <c r="BM5998" s="81"/>
      <c r="BN5998" s="81"/>
      <c r="BO5998" s="81"/>
      <c r="BP5998" s="81"/>
      <c r="BQ5998" s="81"/>
      <c r="BR5998" s="81"/>
      <c r="BS5998" s="81"/>
      <c r="BT5998" s="81"/>
    </row>
    <row r="5999" spans="65:72" x14ac:dyDescent="0.25">
      <c r="BM5999" s="81"/>
      <c r="BN5999" s="81"/>
      <c r="BO5999" s="81"/>
      <c r="BP5999" s="81"/>
      <c r="BQ5999" s="81"/>
      <c r="BR5999" s="81"/>
      <c r="BS5999" s="81"/>
      <c r="BT5999" s="81"/>
    </row>
    <row r="6000" spans="65:72" x14ac:dyDescent="0.25">
      <c r="BM6000" s="81"/>
      <c r="BN6000" s="81"/>
      <c r="BO6000" s="81"/>
      <c r="BP6000" s="81"/>
      <c r="BQ6000" s="81"/>
      <c r="BR6000" s="81"/>
      <c r="BS6000" s="81"/>
      <c r="BT6000" s="81"/>
    </row>
    <row r="6001" spans="65:72" x14ac:dyDescent="0.25">
      <c r="BM6001" s="81"/>
      <c r="BN6001" s="81"/>
      <c r="BO6001" s="81"/>
      <c r="BP6001" s="81"/>
      <c r="BQ6001" s="81"/>
      <c r="BR6001" s="81"/>
      <c r="BS6001" s="81"/>
      <c r="BT6001" s="81"/>
    </row>
    <row r="6002" spans="65:72" x14ac:dyDescent="0.25">
      <c r="BM6002" s="81"/>
      <c r="BN6002" s="81"/>
      <c r="BO6002" s="81"/>
      <c r="BP6002" s="81"/>
      <c r="BQ6002" s="81"/>
      <c r="BR6002" s="81"/>
      <c r="BS6002" s="81"/>
      <c r="BT6002" s="81"/>
    </row>
    <row r="6003" spans="65:72" x14ac:dyDescent="0.25">
      <c r="BM6003" s="81"/>
      <c r="BN6003" s="81"/>
      <c r="BO6003" s="81"/>
      <c r="BP6003" s="81"/>
      <c r="BQ6003" s="81"/>
      <c r="BR6003" s="81"/>
      <c r="BS6003" s="81"/>
      <c r="BT6003" s="81"/>
    </row>
    <row r="6004" spans="65:72" x14ac:dyDescent="0.25">
      <c r="BM6004" s="81"/>
      <c r="BN6004" s="81"/>
      <c r="BO6004" s="81"/>
      <c r="BP6004" s="81"/>
      <c r="BQ6004" s="81"/>
      <c r="BR6004" s="81"/>
      <c r="BS6004" s="81"/>
      <c r="BT6004" s="81"/>
    </row>
    <row r="6005" spans="65:72" x14ac:dyDescent="0.25">
      <c r="BM6005" s="81"/>
      <c r="BN6005" s="81"/>
      <c r="BO6005" s="81"/>
      <c r="BP6005" s="81"/>
      <c r="BQ6005" s="81"/>
      <c r="BR6005" s="81"/>
      <c r="BS6005" s="81"/>
      <c r="BT6005" s="81"/>
    </row>
    <row r="6006" spans="65:72" x14ac:dyDescent="0.25">
      <c r="BM6006" s="81"/>
      <c r="BN6006" s="81"/>
      <c r="BO6006" s="81"/>
      <c r="BP6006" s="81"/>
      <c r="BQ6006" s="81"/>
      <c r="BR6006" s="81"/>
      <c r="BS6006" s="81"/>
      <c r="BT6006" s="81"/>
    </row>
    <row r="6007" spans="65:72" x14ac:dyDescent="0.25">
      <c r="BM6007" s="81"/>
      <c r="BN6007" s="81"/>
      <c r="BO6007" s="81"/>
      <c r="BP6007" s="81"/>
      <c r="BQ6007" s="81"/>
      <c r="BR6007" s="81"/>
      <c r="BS6007" s="81"/>
      <c r="BT6007" s="81"/>
    </row>
    <row r="6008" spans="65:72" x14ac:dyDescent="0.25">
      <c r="BM6008" s="81"/>
      <c r="BN6008" s="81"/>
      <c r="BO6008" s="81"/>
      <c r="BP6008" s="81"/>
      <c r="BQ6008" s="81"/>
      <c r="BR6008" s="81"/>
      <c r="BS6008" s="81"/>
      <c r="BT6008" s="81"/>
    </row>
    <row r="6009" spans="65:72" x14ac:dyDescent="0.25">
      <c r="BM6009" s="81"/>
      <c r="BN6009" s="81"/>
      <c r="BO6009" s="81"/>
      <c r="BP6009" s="81"/>
      <c r="BQ6009" s="81"/>
      <c r="BR6009" s="81"/>
      <c r="BS6009" s="81"/>
      <c r="BT6009" s="81"/>
    </row>
    <row r="6010" spans="65:72" x14ac:dyDescent="0.25">
      <c r="BM6010" s="81"/>
      <c r="BN6010" s="81"/>
      <c r="BO6010" s="81"/>
      <c r="BP6010" s="81"/>
      <c r="BQ6010" s="81"/>
      <c r="BR6010" s="81"/>
      <c r="BS6010" s="81"/>
      <c r="BT6010" s="81"/>
    </row>
    <row r="6011" spans="65:72" x14ac:dyDescent="0.25">
      <c r="BM6011" s="81"/>
      <c r="BN6011" s="81"/>
      <c r="BO6011" s="81"/>
      <c r="BP6011" s="81"/>
      <c r="BQ6011" s="81"/>
      <c r="BR6011" s="81"/>
      <c r="BS6011" s="81"/>
      <c r="BT6011" s="81"/>
    </row>
    <row r="6012" spans="65:72" x14ac:dyDescent="0.25">
      <c r="BM6012" s="81"/>
      <c r="BN6012" s="81"/>
      <c r="BO6012" s="81"/>
      <c r="BP6012" s="81"/>
      <c r="BQ6012" s="81"/>
      <c r="BR6012" s="81"/>
      <c r="BS6012" s="81"/>
      <c r="BT6012" s="81"/>
    </row>
    <row r="6013" spans="65:72" x14ac:dyDescent="0.25">
      <c r="BM6013" s="81"/>
      <c r="BN6013" s="81"/>
      <c r="BO6013" s="81"/>
      <c r="BP6013" s="81"/>
      <c r="BQ6013" s="81"/>
      <c r="BR6013" s="81"/>
      <c r="BS6013" s="81"/>
      <c r="BT6013" s="81"/>
    </row>
    <row r="6014" spans="65:72" x14ac:dyDescent="0.25">
      <c r="BM6014" s="81"/>
      <c r="BN6014" s="81"/>
      <c r="BO6014" s="81"/>
      <c r="BP6014" s="81"/>
      <c r="BQ6014" s="81"/>
      <c r="BR6014" s="81"/>
      <c r="BS6014" s="81"/>
      <c r="BT6014" s="81"/>
    </row>
    <row r="6015" spans="65:72" x14ac:dyDescent="0.25">
      <c r="BM6015" s="81"/>
      <c r="BN6015" s="81"/>
      <c r="BO6015" s="81"/>
      <c r="BP6015" s="81"/>
      <c r="BQ6015" s="81"/>
      <c r="BR6015" s="81"/>
      <c r="BS6015" s="81"/>
      <c r="BT6015" s="81"/>
    </row>
    <row r="6016" spans="65:72" x14ac:dyDescent="0.25">
      <c r="BM6016" s="81"/>
      <c r="BN6016" s="81"/>
      <c r="BO6016" s="81"/>
      <c r="BP6016" s="81"/>
      <c r="BQ6016" s="81"/>
      <c r="BR6016" s="81"/>
      <c r="BS6016" s="81"/>
      <c r="BT6016" s="81"/>
    </row>
    <row r="6017" spans="65:72" x14ac:dyDescent="0.25">
      <c r="BM6017" s="81"/>
      <c r="BN6017" s="81"/>
      <c r="BO6017" s="81"/>
      <c r="BP6017" s="81"/>
      <c r="BQ6017" s="81"/>
      <c r="BR6017" s="81"/>
      <c r="BS6017" s="81"/>
      <c r="BT6017" s="81"/>
    </row>
    <row r="6018" spans="65:72" x14ac:dyDescent="0.25">
      <c r="BM6018" s="81"/>
      <c r="BN6018" s="81"/>
      <c r="BO6018" s="81"/>
      <c r="BP6018" s="81"/>
      <c r="BQ6018" s="81"/>
      <c r="BR6018" s="81"/>
      <c r="BS6018" s="81"/>
      <c r="BT6018" s="81"/>
    </row>
    <row r="6019" spans="65:72" x14ac:dyDescent="0.25">
      <c r="BM6019" s="81"/>
      <c r="BN6019" s="81"/>
      <c r="BO6019" s="81"/>
      <c r="BP6019" s="81"/>
      <c r="BQ6019" s="81"/>
      <c r="BR6019" s="81"/>
      <c r="BS6019" s="81"/>
      <c r="BT6019" s="81"/>
    </row>
    <row r="6020" spans="65:72" x14ac:dyDescent="0.25">
      <c r="BM6020" s="81"/>
      <c r="BN6020" s="81"/>
      <c r="BO6020" s="81"/>
      <c r="BP6020" s="81"/>
      <c r="BQ6020" s="81"/>
      <c r="BR6020" s="81"/>
      <c r="BS6020" s="81"/>
      <c r="BT6020" s="81"/>
    </row>
    <row r="6021" spans="65:72" x14ac:dyDescent="0.25">
      <c r="BM6021" s="81"/>
      <c r="BN6021" s="81"/>
      <c r="BO6021" s="81"/>
      <c r="BP6021" s="81"/>
      <c r="BQ6021" s="81"/>
      <c r="BR6021" s="81"/>
      <c r="BS6021" s="81"/>
      <c r="BT6021" s="81"/>
    </row>
    <row r="6022" spans="65:72" x14ac:dyDescent="0.25">
      <c r="BM6022" s="81"/>
      <c r="BN6022" s="81"/>
      <c r="BO6022" s="81"/>
      <c r="BP6022" s="81"/>
      <c r="BQ6022" s="81"/>
      <c r="BR6022" s="81"/>
      <c r="BS6022" s="81"/>
      <c r="BT6022" s="81"/>
    </row>
    <row r="6023" spans="65:72" x14ac:dyDescent="0.25">
      <c r="BM6023" s="81"/>
      <c r="BN6023" s="81"/>
      <c r="BO6023" s="81"/>
      <c r="BP6023" s="81"/>
      <c r="BQ6023" s="81"/>
      <c r="BR6023" s="81"/>
      <c r="BS6023" s="81"/>
      <c r="BT6023" s="81"/>
    </row>
    <row r="6024" spans="65:72" x14ac:dyDescent="0.25">
      <c r="BM6024" s="81"/>
      <c r="BN6024" s="81"/>
      <c r="BO6024" s="81"/>
      <c r="BP6024" s="81"/>
      <c r="BQ6024" s="81"/>
      <c r="BR6024" s="81"/>
      <c r="BS6024" s="81"/>
      <c r="BT6024" s="81"/>
    </row>
    <row r="6025" spans="65:72" x14ac:dyDescent="0.25">
      <c r="BM6025" s="81"/>
      <c r="BN6025" s="81"/>
      <c r="BO6025" s="81"/>
      <c r="BP6025" s="81"/>
      <c r="BQ6025" s="81"/>
      <c r="BR6025" s="81"/>
      <c r="BS6025" s="81"/>
      <c r="BT6025" s="81"/>
    </row>
    <row r="6026" spans="65:72" x14ac:dyDescent="0.25">
      <c r="BM6026" s="81"/>
      <c r="BN6026" s="81"/>
      <c r="BO6026" s="81"/>
      <c r="BP6026" s="81"/>
      <c r="BQ6026" s="81"/>
      <c r="BR6026" s="81"/>
      <c r="BS6026" s="81"/>
      <c r="BT6026" s="81"/>
    </row>
    <row r="6027" spans="65:72" x14ac:dyDescent="0.25">
      <c r="BM6027" s="81"/>
      <c r="BN6027" s="81"/>
      <c r="BO6027" s="81"/>
      <c r="BP6027" s="81"/>
      <c r="BQ6027" s="81"/>
      <c r="BR6027" s="81"/>
      <c r="BS6027" s="81"/>
      <c r="BT6027" s="81"/>
    </row>
    <row r="6028" spans="65:72" x14ac:dyDescent="0.25">
      <c r="BM6028" s="81"/>
      <c r="BN6028" s="81"/>
      <c r="BO6028" s="81"/>
      <c r="BP6028" s="81"/>
      <c r="BQ6028" s="81"/>
      <c r="BR6028" s="81"/>
      <c r="BS6028" s="81"/>
      <c r="BT6028" s="81"/>
    </row>
    <row r="6029" spans="65:72" x14ac:dyDescent="0.25">
      <c r="BM6029" s="81"/>
      <c r="BN6029" s="81"/>
      <c r="BO6029" s="81"/>
      <c r="BP6029" s="81"/>
      <c r="BQ6029" s="81"/>
      <c r="BR6029" s="81"/>
      <c r="BS6029" s="81"/>
      <c r="BT6029" s="81"/>
    </row>
    <row r="6030" spans="65:72" x14ac:dyDescent="0.25">
      <c r="BM6030" s="81"/>
      <c r="BN6030" s="81"/>
      <c r="BO6030" s="81"/>
      <c r="BP6030" s="81"/>
      <c r="BQ6030" s="81"/>
      <c r="BR6030" s="81"/>
      <c r="BS6030" s="81"/>
      <c r="BT6030" s="81"/>
    </row>
    <row r="6031" spans="65:72" x14ac:dyDescent="0.25">
      <c r="BM6031" s="81"/>
      <c r="BN6031" s="81"/>
      <c r="BO6031" s="81"/>
      <c r="BP6031" s="81"/>
      <c r="BQ6031" s="81"/>
      <c r="BR6031" s="81"/>
      <c r="BS6031" s="81"/>
      <c r="BT6031" s="81"/>
    </row>
    <row r="6032" spans="65:72" x14ac:dyDescent="0.25">
      <c r="BM6032" s="81"/>
      <c r="BN6032" s="81"/>
      <c r="BO6032" s="81"/>
      <c r="BP6032" s="81"/>
      <c r="BQ6032" s="81"/>
      <c r="BR6032" s="81"/>
      <c r="BS6032" s="81"/>
      <c r="BT6032" s="81"/>
    </row>
    <row r="6033" spans="65:72" x14ac:dyDescent="0.25">
      <c r="BM6033" s="81"/>
      <c r="BN6033" s="81"/>
      <c r="BO6033" s="81"/>
      <c r="BP6033" s="81"/>
      <c r="BQ6033" s="81"/>
      <c r="BR6033" s="81"/>
      <c r="BS6033" s="81"/>
      <c r="BT6033" s="81"/>
    </row>
    <row r="6034" spans="65:72" x14ac:dyDescent="0.25">
      <c r="BM6034" s="81"/>
      <c r="BN6034" s="81"/>
      <c r="BO6034" s="81"/>
      <c r="BP6034" s="81"/>
      <c r="BQ6034" s="81"/>
      <c r="BR6034" s="81"/>
      <c r="BS6034" s="81"/>
      <c r="BT6034" s="81"/>
    </row>
    <row r="6035" spans="65:72" x14ac:dyDescent="0.25">
      <c r="BM6035" s="81"/>
      <c r="BN6035" s="81"/>
      <c r="BO6035" s="81"/>
      <c r="BP6035" s="81"/>
      <c r="BQ6035" s="81"/>
      <c r="BR6035" s="81"/>
      <c r="BS6035" s="81"/>
      <c r="BT6035" s="81"/>
    </row>
    <row r="6036" spans="65:72" x14ac:dyDescent="0.25">
      <c r="BM6036" s="81"/>
      <c r="BN6036" s="81"/>
      <c r="BO6036" s="81"/>
      <c r="BP6036" s="81"/>
      <c r="BQ6036" s="81"/>
      <c r="BR6036" s="81"/>
      <c r="BS6036" s="81"/>
      <c r="BT6036" s="81"/>
    </row>
    <row r="6037" spans="65:72" x14ac:dyDescent="0.25">
      <c r="BM6037" s="81"/>
      <c r="BN6037" s="81"/>
      <c r="BO6037" s="81"/>
      <c r="BP6037" s="81"/>
      <c r="BQ6037" s="81"/>
      <c r="BR6037" s="81"/>
      <c r="BS6037" s="81"/>
      <c r="BT6037" s="81"/>
    </row>
    <row r="6038" spans="65:72" x14ac:dyDescent="0.25">
      <c r="BM6038" s="81"/>
      <c r="BN6038" s="81"/>
      <c r="BO6038" s="81"/>
      <c r="BP6038" s="81"/>
      <c r="BQ6038" s="81"/>
      <c r="BR6038" s="81"/>
      <c r="BS6038" s="81"/>
      <c r="BT6038" s="81"/>
    </row>
    <row r="6039" spans="65:72" x14ac:dyDescent="0.25">
      <c r="BM6039" s="81"/>
      <c r="BN6039" s="81"/>
      <c r="BO6039" s="81"/>
      <c r="BP6039" s="81"/>
      <c r="BQ6039" s="81"/>
      <c r="BR6039" s="81"/>
      <c r="BS6039" s="81"/>
      <c r="BT6039" s="81"/>
    </row>
    <row r="6040" spans="65:72" x14ac:dyDescent="0.25">
      <c r="BM6040" s="81"/>
      <c r="BN6040" s="81"/>
      <c r="BO6040" s="81"/>
      <c r="BP6040" s="81"/>
      <c r="BQ6040" s="81"/>
      <c r="BR6040" s="81"/>
      <c r="BS6040" s="81"/>
      <c r="BT6040" s="81"/>
    </row>
    <row r="6041" spans="65:72" x14ac:dyDescent="0.25">
      <c r="BM6041" s="81"/>
      <c r="BN6041" s="81"/>
      <c r="BO6041" s="81"/>
      <c r="BP6041" s="81"/>
      <c r="BQ6041" s="81"/>
      <c r="BR6041" s="81"/>
      <c r="BS6041" s="81"/>
      <c r="BT6041" s="81"/>
    </row>
    <row r="6042" spans="65:72" x14ac:dyDescent="0.25">
      <c r="BM6042" s="81"/>
      <c r="BN6042" s="81"/>
      <c r="BO6042" s="81"/>
      <c r="BP6042" s="81"/>
      <c r="BQ6042" s="81"/>
      <c r="BR6042" s="81"/>
      <c r="BS6042" s="81"/>
      <c r="BT6042" s="81"/>
    </row>
    <row r="6043" spans="65:72" x14ac:dyDescent="0.25">
      <c r="BM6043" s="81"/>
      <c r="BN6043" s="81"/>
      <c r="BO6043" s="81"/>
      <c r="BP6043" s="81"/>
      <c r="BQ6043" s="81"/>
      <c r="BR6043" s="81"/>
      <c r="BS6043" s="81"/>
      <c r="BT6043" s="81"/>
    </row>
    <row r="6044" spans="65:72" x14ac:dyDescent="0.25">
      <c r="BM6044" s="81"/>
      <c r="BN6044" s="81"/>
      <c r="BO6044" s="81"/>
      <c r="BP6044" s="81"/>
      <c r="BQ6044" s="81"/>
      <c r="BR6044" s="81"/>
      <c r="BS6044" s="81"/>
      <c r="BT6044" s="81"/>
    </row>
    <row r="6045" spans="65:72" x14ac:dyDescent="0.25">
      <c r="BM6045" s="81"/>
      <c r="BN6045" s="81"/>
      <c r="BO6045" s="81"/>
      <c r="BP6045" s="81"/>
      <c r="BQ6045" s="81"/>
      <c r="BR6045" s="81"/>
      <c r="BS6045" s="81"/>
      <c r="BT6045" s="81"/>
    </row>
    <row r="6046" spans="65:72" x14ac:dyDescent="0.25">
      <c r="BM6046" s="81"/>
      <c r="BN6046" s="81"/>
      <c r="BO6046" s="81"/>
      <c r="BP6046" s="81"/>
      <c r="BQ6046" s="81"/>
      <c r="BR6046" s="81"/>
      <c r="BS6046" s="81"/>
      <c r="BT6046" s="81"/>
    </row>
    <row r="6047" spans="65:72" x14ac:dyDescent="0.25">
      <c r="BM6047" s="81"/>
      <c r="BN6047" s="81"/>
      <c r="BO6047" s="81"/>
      <c r="BP6047" s="81"/>
      <c r="BQ6047" s="81"/>
      <c r="BR6047" s="81"/>
      <c r="BS6047" s="81"/>
      <c r="BT6047" s="81"/>
    </row>
    <row r="6048" spans="65:72" x14ac:dyDescent="0.25">
      <c r="BM6048" s="81"/>
      <c r="BN6048" s="81"/>
      <c r="BO6048" s="81"/>
      <c r="BP6048" s="81"/>
      <c r="BQ6048" s="81"/>
      <c r="BR6048" s="81"/>
      <c r="BS6048" s="81"/>
      <c r="BT6048" s="81"/>
    </row>
    <row r="6049" spans="65:72" x14ac:dyDescent="0.25">
      <c r="BM6049" s="81"/>
      <c r="BN6049" s="81"/>
      <c r="BO6049" s="81"/>
      <c r="BP6049" s="81"/>
      <c r="BQ6049" s="81"/>
      <c r="BR6049" s="81"/>
      <c r="BS6049" s="81"/>
      <c r="BT6049" s="81"/>
    </row>
    <row r="6050" spans="65:72" x14ac:dyDescent="0.25">
      <c r="BM6050" s="81"/>
      <c r="BN6050" s="81"/>
      <c r="BO6050" s="81"/>
      <c r="BP6050" s="81"/>
      <c r="BQ6050" s="81"/>
      <c r="BR6050" s="81"/>
      <c r="BS6050" s="81"/>
      <c r="BT6050" s="81"/>
    </row>
    <row r="6051" spans="65:72" x14ac:dyDescent="0.25">
      <c r="BM6051" s="81"/>
      <c r="BN6051" s="81"/>
      <c r="BO6051" s="81"/>
      <c r="BP6051" s="81"/>
      <c r="BQ6051" s="81"/>
      <c r="BR6051" s="81"/>
      <c r="BS6051" s="81"/>
      <c r="BT6051" s="81"/>
    </row>
    <row r="6052" spans="65:72" x14ac:dyDescent="0.25">
      <c r="BM6052" s="81"/>
      <c r="BN6052" s="81"/>
      <c r="BO6052" s="81"/>
      <c r="BP6052" s="81"/>
      <c r="BQ6052" s="81"/>
      <c r="BR6052" s="81"/>
      <c r="BS6052" s="81"/>
      <c r="BT6052" s="81"/>
    </row>
    <row r="6053" spans="65:72" x14ac:dyDescent="0.25">
      <c r="BM6053" s="81"/>
      <c r="BN6053" s="81"/>
      <c r="BO6053" s="81"/>
      <c r="BP6053" s="81"/>
      <c r="BQ6053" s="81"/>
      <c r="BR6053" s="81"/>
      <c r="BS6053" s="81"/>
      <c r="BT6053" s="81"/>
    </row>
    <row r="6054" spans="65:72" x14ac:dyDescent="0.25">
      <c r="BM6054" s="81"/>
      <c r="BN6054" s="81"/>
      <c r="BO6054" s="81"/>
      <c r="BP6054" s="81"/>
      <c r="BQ6054" s="81"/>
      <c r="BR6054" s="81"/>
      <c r="BS6054" s="81"/>
      <c r="BT6054" s="81"/>
    </row>
    <row r="6055" spans="65:72" x14ac:dyDescent="0.25">
      <c r="BM6055" s="81"/>
      <c r="BN6055" s="81"/>
      <c r="BO6055" s="81"/>
      <c r="BP6055" s="81"/>
      <c r="BQ6055" s="81"/>
      <c r="BR6055" s="81"/>
      <c r="BS6055" s="81"/>
      <c r="BT6055" s="81"/>
    </row>
    <row r="6056" spans="65:72" x14ac:dyDescent="0.25">
      <c r="BM6056" s="81"/>
      <c r="BN6056" s="81"/>
      <c r="BO6056" s="81"/>
      <c r="BP6056" s="81"/>
      <c r="BQ6056" s="81"/>
      <c r="BR6056" s="81"/>
      <c r="BS6056" s="81"/>
      <c r="BT6056" s="81"/>
    </row>
    <row r="6057" spans="65:72" x14ac:dyDescent="0.25">
      <c r="BM6057" s="81"/>
      <c r="BN6057" s="81"/>
      <c r="BO6057" s="81"/>
      <c r="BP6057" s="81"/>
      <c r="BQ6057" s="81"/>
      <c r="BR6057" s="81"/>
      <c r="BS6057" s="81"/>
      <c r="BT6057" s="81"/>
    </row>
    <row r="6058" spans="65:72" x14ac:dyDescent="0.25">
      <c r="BM6058" s="81"/>
      <c r="BN6058" s="81"/>
      <c r="BO6058" s="81"/>
      <c r="BP6058" s="81"/>
      <c r="BQ6058" s="81"/>
      <c r="BR6058" s="81"/>
      <c r="BS6058" s="81"/>
      <c r="BT6058" s="81"/>
    </row>
    <row r="6059" spans="65:72" x14ac:dyDescent="0.25">
      <c r="BM6059" s="81"/>
      <c r="BN6059" s="81"/>
      <c r="BO6059" s="81"/>
      <c r="BP6059" s="81"/>
      <c r="BQ6059" s="81"/>
      <c r="BR6059" s="81"/>
      <c r="BS6059" s="81"/>
      <c r="BT6059" s="81"/>
    </row>
    <row r="6060" spans="65:72" x14ac:dyDescent="0.25">
      <c r="BM6060" s="81"/>
      <c r="BN6060" s="81"/>
      <c r="BO6060" s="81"/>
      <c r="BP6060" s="81"/>
      <c r="BQ6060" s="81"/>
      <c r="BR6060" s="81"/>
      <c r="BS6060" s="81"/>
      <c r="BT6060" s="81"/>
    </row>
    <row r="6061" spans="65:72" x14ac:dyDescent="0.25">
      <c r="BM6061" s="81"/>
      <c r="BN6061" s="81"/>
      <c r="BO6061" s="81"/>
      <c r="BP6061" s="81"/>
      <c r="BQ6061" s="81"/>
      <c r="BR6061" s="81"/>
      <c r="BS6061" s="81"/>
      <c r="BT6061" s="81"/>
    </row>
    <row r="6062" spans="65:72" x14ac:dyDescent="0.25">
      <c r="BM6062" s="81"/>
      <c r="BN6062" s="81"/>
      <c r="BO6062" s="81"/>
      <c r="BP6062" s="81"/>
      <c r="BQ6062" s="81"/>
      <c r="BR6062" s="81"/>
      <c r="BS6062" s="81"/>
      <c r="BT6062" s="81"/>
    </row>
    <row r="6063" spans="65:72" x14ac:dyDescent="0.25">
      <c r="BM6063" s="81"/>
      <c r="BN6063" s="81"/>
      <c r="BO6063" s="81"/>
      <c r="BP6063" s="81"/>
      <c r="BQ6063" s="81"/>
      <c r="BR6063" s="81"/>
      <c r="BS6063" s="81"/>
      <c r="BT6063" s="81"/>
    </row>
    <row r="6064" spans="65:72" x14ac:dyDescent="0.25">
      <c r="BM6064" s="81"/>
      <c r="BN6064" s="81"/>
      <c r="BO6064" s="81"/>
      <c r="BP6064" s="81"/>
      <c r="BQ6064" s="81"/>
      <c r="BR6064" s="81"/>
      <c r="BS6064" s="81"/>
      <c r="BT6064" s="81"/>
    </row>
    <row r="6065" spans="65:72" x14ac:dyDescent="0.25">
      <c r="BM6065" s="81"/>
      <c r="BN6065" s="81"/>
      <c r="BO6065" s="81"/>
      <c r="BP6065" s="81"/>
      <c r="BQ6065" s="81"/>
      <c r="BR6065" s="81"/>
      <c r="BS6065" s="81"/>
      <c r="BT6065" s="81"/>
    </row>
    <row r="6066" spans="65:72" x14ac:dyDescent="0.25">
      <c r="BM6066" s="81"/>
      <c r="BN6066" s="81"/>
      <c r="BO6066" s="81"/>
      <c r="BP6066" s="81"/>
      <c r="BQ6066" s="81"/>
      <c r="BR6066" s="81"/>
      <c r="BS6066" s="81"/>
      <c r="BT6066" s="81"/>
    </row>
    <row r="6067" spans="65:72" x14ac:dyDescent="0.25">
      <c r="BM6067" s="81"/>
      <c r="BN6067" s="81"/>
      <c r="BO6067" s="81"/>
      <c r="BP6067" s="81"/>
      <c r="BQ6067" s="81"/>
      <c r="BR6067" s="81"/>
      <c r="BS6067" s="81"/>
      <c r="BT6067" s="81"/>
    </row>
    <row r="6068" spans="65:72" x14ac:dyDescent="0.25">
      <c r="BM6068" s="81"/>
      <c r="BN6068" s="81"/>
      <c r="BO6068" s="81"/>
      <c r="BP6068" s="81"/>
      <c r="BQ6068" s="81"/>
      <c r="BR6068" s="81"/>
      <c r="BS6068" s="81"/>
      <c r="BT6068" s="81"/>
    </row>
    <row r="6069" spans="65:72" x14ac:dyDescent="0.25">
      <c r="BM6069" s="81"/>
      <c r="BN6069" s="81"/>
      <c r="BO6069" s="81"/>
      <c r="BP6069" s="81"/>
      <c r="BQ6069" s="81"/>
      <c r="BR6069" s="81"/>
      <c r="BS6069" s="81"/>
      <c r="BT6069" s="81"/>
    </row>
    <row r="6070" spans="65:72" x14ac:dyDescent="0.25">
      <c r="BM6070" s="81"/>
      <c r="BN6070" s="81"/>
      <c r="BO6070" s="81"/>
      <c r="BP6070" s="81"/>
      <c r="BQ6070" s="81"/>
      <c r="BR6070" s="81"/>
      <c r="BS6070" s="81"/>
      <c r="BT6070" s="81"/>
    </row>
    <row r="6071" spans="65:72" x14ac:dyDescent="0.25">
      <c r="BM6071" s="81"/>
      <c r="BN6071" s="81"/>
      <c r="BO6071" s="81"/>
      <c r="BP6071" s="81"/>
      <c r="BQ6071" s="81"/>
      <c r="BR6071" s="81"/>
      <c r="BS6071" s="81"/>
      <c r="BT6071" s="81"/>
    </row>
    <row r="6072" spans="65:72" x14ac:dyDescent="0.25">
      <c r="BM6072" s="81"/>
      <c r="BN6072" s="81"/>
      <c r="BO6072" s="81"/>
      <c r="BP6072" s="81"/>
      <c r="BQ6072" s="81"/>
      <c r="BR6072" s="81"/>
      <c r="BS6072" s="81"/>
      <c r="BT6072" s="81"/>
    </row>
    <row r="6073" spans="65:72" x14ac:dyDescent="0.25">
      <c r="BM6073" s="81"/>
      <c r="BN6073" s="81"/>
      <c r="BO6073" s="81"/>
      <c r="BP6073" s="81"/>
      <c r="BQ6073" s="81"/>
      <c r="BR6073" s="81"/>
      <c r="BS6073" s="81"/>
      <c r="BT6073" s="81"/>
    </row>
    <row r="6074" spans="65:72" x14ac:dyDescent="0.25">
      <c r="BM6074" s="81"/>
      <c r="BN6074" s="81"/>
      <c r="BO6074" s="81"/>
      <c r="BP6074" s="81"/>
      <c r="BQ6074" s="81"/>
      <c r="BR6074" s="81"/>
      <c r="BS6074" s="81"/>
      <c r="BT6074" s="81"/>
    </row>
    <row r="6075" spans="65:72" x14ac:dyDescent="0.25">
      <c r="BM6075" s="81"/>
      <c r="BN6075" s="81"/>
      <c r="BO6075" s="81"/>
      <c r="BP6075" s="81"/>
      <c r="BQ6075" s="81"/>
      <c r="BR6075" s="81"/>
      <c r="BS6075" s="81"/>
      <c r="BT6075" s="81"/>
    </row>
    <row r="6076" spans="65:72" x14ac:dyDescent="0.25">
      <c r="BM6076" s="81"/>
      <c r="BN6076" s="81"/>
      <c r="BO6076" s="81"/>
      <c r="BP6076" s="81"/>
      <c r="BQ6076" s="81"/>
      <c r="BR6076" s="81"/>
      <c r="BS6076" s="81"/>
      <c r="BT6076" s="81"/>
    </row>
    <row r="6077" spans="65:72" x14ac:dyDescent="0.25">
      <c r="BM6077" s="81"/>
      <c r="BN6077" s="81"/>
      <c r="BO6077" s="81"/>
      <c r="BP6077" s="81"/>
      <c r="BQ6077" s="81"/>
      <c r="BR6077" s="81"/>
      <c r="BS6077" s="81"/>
      <c r="BT6077" s="81"/>
    </row>
    <row r="6078" spans="65:72" x14ac:dyDescent="0.25">
      <c r="BM6078" s="81"/>
      <c r="BN6078" s="81"/>
      <c r="BO6078" s="81"/>
      <c r="BP6078" s="81"/>
      <c r="BQ6078" s="81"/>
      <c r="BR6078" s="81"/>
      <c r="BS6078" s="81"/>
      <c r="BT6078" s="81"/>
    </row>
    <row r="6079" spans="65:72" x14ac:dyDescent="0.25">
      <c r="BM6079" s="81"/>
      <c r="BN6079" s="81"/>
      <c r="BO6079" s="81"/>
      <c r="BP6079" s="81"/>
      <c r="BQ6079" s="81"/>
      <c r="BR6079" s="81"/>
      <c r="BS6079" s="81"/>
      <c r="BT6079" s="81"/>
    </row>
    <row r="6080" spans="65:72" x14ac:dyDescent="0.25">
      <c r="BM6080" s="81"/>
      <c r="BN6080" s="81"/>
      <c r="BO6080" s="81"/>
      <c r="BP6080" s="81"/>
      <c r="BQ6080" s="81"/>
      <c r="BR6080" s="81"/>
      <c r="BS6080" s="81"/>
      <c r="BT6080" s="81"/>
    </row>
    <row r="6081" spans="65:72" x14ac:dyDescent="0.25">
      <c r="BM6081" s="81"/>
      <c r="BN6081" s="81"/>
      <c r="BO6081" s="81"/>
      <c r="BP6081" s="81"/>
      <c r="BQ6081" s="81"/>
      <c r="BR6081" s="81"/>
      <c r="BS6081" s="81"/>
      <c r="BT6081" s="81"/>
    </row>
    <row r="6082" spans="65:72" x14ac:dyDescent="0.25">
      <c r="BM6082" s="81"/>
      <c r="BN6082" s="81"/>
      <c r="BO6082" s="81"/>
      <c r="BP6082" s="81"/>
      <c r="BQ6082" s="81"/>
      <c r="BR6082" s="81"/>
      <c r="BS6082" s="81"/>
      <c r="BT6082" s="81"/>
    </row>
    <row r="6083" spans="65:72" x14ac:dyDescent="0.25">
      <c r="BM6083" s="81"/>
      <c r="BN6083" s="81"/>
      <c r="BO6083" s="81"/>
      <c r="BP6083" s="81"/>
      <c r="BQ6083" s="81"/>
      <c r="BR6083" s="81"/>
      <c r="BS6083" s="81"/>
      <c r="BT6083" s="81"/>
    </row>
    <row r="6084" spans="65:72" x14ac:dyDescent="0.25">
      <c r="BM6084" s="81"/>
      <c r="BN6084" s="81"/>
      <c r="BO6084" s="81"/>
      <c r="BP6084" s="81"/>
      <c r="BQ6084" s="81"/>
      <c r="BR6084" s="81"/>
      <c r="BS6084" s="81"/>
      <c r="BT6084" s="81"/>
    </row>
    <row r="6085" spans="65:72" x14ac:dyDescent="0.25">
      <c r="BM6085" s="81"/>
      <c r="BN6085" s="81"/>
      <c r="BO6085" s="81"/>
      <c r="BP6085" s="81"/>
      <c r="BQ6085" s="81"/>
      <c r="BR6085" s="81"/>
      <c r="BS6085" s="81"/>
      <c r="BT6085" s="81"/>
    </row>
    <row r="6086" spans="65:72" x14ac:dyDescent="0.25">
      <c r="BM6086" s="81"/>
      <c r="BN6086" s="81"/>
      <c r="BO6086" s="81"/>
      <c r="BP6086" s="81"/>
      <c r="BQ6086" s="81"/>
      <c r="BR6086" s="81"/>
      <c r="BS6086" s="81"/>
      <c r="BT6086" s="81"/>
    </row>
    <row r="6087" spans="65:72" x14ac:dyDescent="0.25">
      <c r="BM6087" s="81"/>
      <c r="BN6087" s="81"/>
      <c r="BO6087" s="81"/>
      <c r="BP6087" s="81"/>
      <c r="BQ6087" s="81"/>
      <c r="BR6087" s="81"/>
      <c r="BS6087" s="81"/>
      <c r="BT6087" s="81"/>
    </row>
    <row r="6088" spans="65:72" x14ac:dyDescent="0.25">
      <c r="BM6088" s="81"/>
      <c r="BN6088" s="81"/>
      <c r="BO6088" s="81"/>
      <c r="BP6088" s="81"/>
      <c r="BQ6088" s="81"/>
      <c r="BR6088" s="81"/>
      <c r="BS6088" s="81"/>
      <c r="BT6088" s="81"/>
    </row>
    <row r="6089" spans="65:72" x14ac:dyDescent="0.25">
      <c r="BM6089" s="81"/>
      <c r="BN6089" s="81"/>
      <c r="BO6089" s="81"/>
      <c r="BP6089" s="81"/>
      <c r="BQ6089" s="81"/>
      <c r="BR6089" s="81"/>
      <c r="BS6089" s="81"/>
      <c r="BT6089" s="81"/>
    </row>
    <row r="6090" spans="65:72" x14ac:dyDescent="0.25">
      <c r="BM6090" s="81"/>
      <c r="BN6090" s="81"/>
      <c r="BO6090" s="81"/>
      <c r="BP6090" s="81"/>
      <c r="BQ6090" s="81"/>
      <c r="BR6090" s="81"/>
      <c r="BS6090" s="81"/>
      <c r="BT6090" s="81"/>
    </row>
    <row r="6091" spans="65:72" x14ac:dyDescent="0.25">
      <c r="BM6091" s="81"/>
      <c r="BN6091" s="81"/>
      <c r="BO6091" s="81"/>
      <c r="BP6091" s="81"/>
      <c r="BQ6091" s="81"/>
      <c r="BR6091" s="81"/>
      <c r="BS6091" s="81"/>
      <c r="BT6091" s="81"/>
    </row>
    <row r="6092" spans="65:72" x14ac:dyDescent="0.25">
      <c r="BM6092" s="81"/>
      <c r="BN6092" s="81"/>
      <c r="BO6092" s="81"/>
      <c r="BP6092" s="81"/>
      <c r="BQ6092" s="81"/>
      <c r="BR6092" s="81"/>
      <c r="BS6092" s="81"/>
      <c r="BT6092" s="81"/>
    </row>
    <row r="6093" spans="65:72" x14ac:dyDescent="0.25">
      <c r="BM6093" s="81"/>
      <c r="BN6093" s="81"/>
      <c r="BO6093" s="81"/>
      <c r="BP6093" s="81"/>
      <c r="BQ6093" s="81"/>
      <c r="BR6093" s="81"/>
      <c r="BS6093" s="81"/>
      <c r="BT6093" s="81"/>
    </row>
    <row r="6094" spans="65:72" x14ac:dyDescent="0.25">
      <c r="BM6094" s="81"/>
      <c r="BN6094" s="81"/>
      <c r="BO6094" s="81"/>
      <c r="BP6094" s="81"/>
      <c r="BQ6094" s="81"/>
      <c r="BR6094" s="81"/>
      <c r="BS6094" s="81"/>
      <c r="BT6094" s="81"/>
    </row>
    <row r="6095" spans="65:72" x14ac:dyDescent="0.25">
      <c r="BM6095" s="81"/>
      <c r="BN6095" s="81"/>
      <c r="BO6095" s="81"/>
      <c r="BP6095" s="81"/>
      <c r="BQ6095" s="81"/>
      <c r="BR6095" s="81"/>
      <c r="BS6095" s="81"/>
      <c r="BT6095" s="81"/>
    </row>
    <row r="6096" spans="65:72" x14ac:dyDescent="0.25">
      <c r="BM6096" s="81"/>
      <c r="BN6096" s="81"/>
      <c r="BO6096" s="81"/>
      <c r="BP6096" s="81"/>
      <c r="BQ6096" s="81"/>
      <c r="BR6096" s="81"/>
      <c r="BS6096" s="81"/>
      <c r="BT6096" s="81"/>
    </row>
    <row r="6097" spans="65:72" x14ac:dyDescent="0.25">
      <c r="BM6097" s="81"/>
      <c r="BN6097" s="81"/>
      <c r="BO6097" s="81"/>
      <c r="BP6097" s="81"/>
      <c r="BQ6097" s="81"/>
      <c r="BR6097" s="81"/>
      <c r="BS6097" s="81"/>
      <c r="BT6097" s="81"/>
    </row>
    <row r="6098" spans="65:72" x14ac:dyDescent="0.25">
      <c r="BM6098" s="81"/>
      <c r="BN6098" s="81"/>
      <c r="BO6098" s="81"/>
      <c r="BP6098" s="81"/>
      <c r="BQ6098" s="81"/>
      <c r="BR6098" s="81"/>
      <c r="BS6098" s="81"/>
      <c r="BT6098" s="81"/>
    </row>
    <row r="6099" spans="65:72" x14ac:dyDescent="0.25">
      <c r="BM6099" s="81"/>
      <c r="BN6099" s="81"/>
      <c r="BO6099" s="81"/>
      <c r="BP6099" s="81"/>
      <c r="BQ6099" s="81"/>
      <c r="BR6099" s="81"/>
      <c r="BS6099" s="81"/>
      <c r="BT6099" s="81"/>
    </row>
    <row r="6100" spans="65:72" x14ac:dyDescent="0.25">
      <c r="BM6100" s="81"/>
      <c r="BN6100" s="81"/>
      <c r="BO6100" s="81"/>
      <c r="BP6100" s="81"/>
      <c r="BQ6100" s="81"/>
      <c r="BR6100" s="81"/>
      <c r="BS6100" s="81"/>
      <c r="BT6100" s="81"/>
    </row>
    <row r="6101" spans="65:72" x14ac:dyDescent="0.25">
      <c r="BM6101" s="81"/>
      <c r="BN6101" s="81"/>
      <c r="BO6101" s="81"/>
      <c r="BP6101" s="81"/>
      <c r="BQ6101" s="81"/>
      <c r="BR6101" s="81"/>
      <c r="BS6101" s="81"/>
      <c r="BT6101" s="81"/>
    </row>
    <row r="6102" spans="65:72" x14ac:dyDescent="0.25">
      <c r="BM6102" s="81"/>
      <c r="BN6102" s="81"/>
      <c r="BO6102" s="81"/>
      <c r="BP6102" s="81"/>
      <c r="BQ6102" s="81"/>
      <c r="BR6102" s="81"/>
      <c r="BS6102" s="81"/>
      <c r="BT6102" s="81"/>
    </row>
    <row r="6103" spans="65:72" x14ac:dyDescent="0.25">
      <c r="BM6103" s="81"/>
      <c r="BN6103" s="81"/>
      <c r="BO6103" s="81"/>
      <c r="BP6103" s="81"/>
      <c r="BQ6103" s="81"/>
      <c r="BR6103" s="81"/>
      <c r="BS6103" s="81"/>
      <c r="BT6103" s="81"/>
    </row>
    <row r="6104" spans="65:72" x14ac:dyDescent="0.25">
      <c r="BM6104" s="81"/>
      <c r="BN6104" s="81"/>
      <c r="BO6104" s="81"/>
      <c r="BP6104" s="81"/>
      <c r="BQ6104" s="81"/>
      <c r="BR6104" s="81"/>
      <c r="BS6104" s="81"/>
      <c r="BT6104" s="81"/>
    </row>
    <row r="6105" spans="65:72" x14ac:dyDescent="0.25">
      <c r="BM6105" s="81"/>
      <c r="BN6105" s="81"/>
      <c r="BO6105" s="81"/>
      <c r="BP6105" s="81"/>
      <c r="BQ6105" s="81"/>
      <c r="BR6105" s="81"/>
      <c r="BS6105" s="81"/>
      <c r="BT6105" s="81"/>
    </row>
    <row r="6106" spans="65:72" x14ac:dyDescent="0.25">
      <c r="BM6106" s="81"/>
      <c r="BN6106" s="81"/>
      <c r="BO6106" s="81"/>
      <c r="BP6106" s="81"/>
      <c r="BQ6106" s="81"/>
      <c r="BR6106" s="81"/>
      <c r="BS6106" s="81"/>
      <c r="BT6106" s="81"/>
    </row>
    <row r="6107" spans="65:72" x14ac:dyDescent="0.25">
      <c r="BM6107" s="81"/>
      <c r="BN6107" s="81"/>
      <c r="BO6107" s="81"/>
      <c r="BP6107" s="81"/>
      <c r="BQ6107" s="81"/>
      <c r="BR6107" s="81"/>
      <c r="BS6107" s="81"/>
      <c r="BT6107" s="81"/>
    </row>
    <row r="6108" spans="65:72" x14ac:dyDescent="0.25">
      <c r="BM6108" s="81"/>
      <c r="BN6108" s="81"/>
      <c r="BO6108" s="81"/>
      <c r="BP6108" s="81"/>
      <c r="BQ6108" s="81"/>
      <c r="BR6108" s="81"/>
      <c r="BS6108" s="81"/>
      <c r="BT6108" s="81"/>
    </row>
    <row r="6109" spans="65:72" x14ac:dyDescent="0.25">
      <c r="BM6109" s="81"/>
      <c r="BN6109" s="81"/>
      <c r="BO6109" s="81"/>
      <c r="BP6109" s="81"/>
      <c r="BQ6109" s="81"/>
      <c r="BR6109" s="81"/>
      <c r="BS6109" s="81"/>
      <c r="BT6109" s="81"/>
    </row>
    <row r="6110" spans="65:72" x14ac:dyDescent="0.25">
      <c r="BM6110" s="81"/>
      <c r="BN6110" s="81"/>
      <c r="BO6110" s="81"/>
      <c r="BP6110" s="81"/>
      <c r="BQ6110" s="81"/>
      <c r="BR6110" s="81"/>
      <c r="BS6110" s="81"/>
      <c r="BT6110" s="81"/>
    </row>
    <row r="6111" spans="65:72" x14ac:dyDescent="0.25">
      <c r="BM6111" s="81"/>
      <c r="BN6111" s="81"/>
      <c r="BO6111" s="81"/>
      <c r="BP6111" s="81"/>
      <c r="BQ6111" s="81"/>
      <c r="BR6111" s="81"/>
      <c r="BS6111" s="81"/>
      <c r="BT6111" s="81"/>
    </row>
    <row r="6112" spans="65:72" x14ac:dyDescent="0.25">
      <c r="BM6112" s="81"/>
      <c r="BN6112" s="81"/>
      <c r="BO6112" s="81"/>
      <c r="BP6112" s="81"/>
      <c r="BQ6112" s="81"/>
      <c r="BR6112" s="81"/>
      <c r="BS6112" s="81"/>
      <c r="BT6112" s="81"/>
    </row>
    <row r="6113" spans="65:72" x14ac:dyDescent="0.25">
      <c r="BM6113" s="81"/>
      <c r="BN6113" s="81"/>
      <c r="BO6113" s="81"/>
      <c r="BP6113" s="81"/>
      <c r="BQ6113" s="81"/>
      <c r="BR6113" s="81"/>
      <c r="BS6113" s="81"/>
      <c r="BT6113" s="81"/>
    </row>
    <row r="6114" spans="65:72" x14ac:dyDescent="0.25">
      <c r="BM6114" s="81"/>
      <c r="BN6114" s="81"/>
      <c r="BO6114" s="81"/>
      <c r="BP6114" s="81"/>
      <c r="BQ6114" s="81"/>
      <c r="BR6114" s="81"/>
      <c r="BS6114" s="81"/>
      <c r="BT6114" s="81"/>
    </row>
    <row r="6115" spans="65:72" x14ac:dyDescent="0.25">
      <c r="BM6115" s="81"/>
      <c r="BN6115" s="81"/>
      <c r="BO6115" s="81"/>
      <c r="BP6115" s="81"/>
      <c r="BQ6115" s="81"/>
      <c r="BR6115" s="81"/>
      <c r="BS6115" s="81"/>
      <c r="BT6115" s="81"/>
    </row>
    <row r="6116" spans="65:72" x14ac:dyDescent="0.25">
      <c r="BM6116" s="81"/>
      <c r="BN6116" s="81"/>
      <c r="BO6116" s="81"/>
      <c r="BP6116" s="81"/>
      <c r="BQ6116" s="81"/>
      <c r="BR6116" s="81"/>
      <c r="BS6116" s="81"/>
      <c r="BT6116" s="81"/>
    </row>
    <row r="6117" spans="65:72" x14ac:dyDescent="0.25">
      <c r="BM6117" s="81"/>
      <c r="BN6117" s="81"/>
      <c r="BO6117" s="81"/>
      <c r="BP6117" s="81"/>
      <c r="BQ6117" s="81"/>
      <c r="BR6117" s="81"/>
      <c r="BS6117" s="81"/>
      <c r="BT6117" s="81"/>
    </row>
    <row r="6118" spans="65:72" x14ac:dyDescent="0.25">
      <c r="BM6118" s="81"/>
      <c r="BN6118" s="81"/>
      <c r="BO6118" s="81"/>
      <c r="BP6118" s="81"/>
      <c r="BQ6118" s="81"/>
      <c r="BR6118" s="81"/>
      <c r="BS6118" s="81"/>
      <c r="BT6118" s="81"/>
    </row>
    <row r="6119" spans="65:72" x14ac:dyDescent="0.25">
      <c r="BM6119" s="81"/>
      <c r="BN6119" s="81"/>
      <c r="BO6119" s="81"/>
      <c r="BP6119" s="81"/>
      <c r="BQ6119" s="81"/>
      <c r="BR6119" s="81"/>
      <c r="BS6119" s="81"/>
      <c r="BT6119" s="81"/>
    </row>
    <row r="6120" spans="65:72" x14ac:dyDescent="0.25">
      <c r="BM6120" s="81"/>
      <c r="BN6120" s="81"/>
      <c r="BO6120" s="81"/>
      <c r="BP6120" s="81"/>
      <c r="BQ6120" s="81"/>
      <c r="BR6120" s="81"/>
      <c r="BS6120" s="81"/>
      <c r="BT6120" s="81"/>
    </row>
    <row r="6121" spans="65:72" x14ac:dyDescent="0.25">
      <c r="BM6121" s="81"/>
      <c r="BN6121" s="81"/>
      <c r="BO6121" s="81"/>
      <c r="BP6121" s="81"/>
      <c r="BQ6121" s="81"/>
      <c r="BR6121" s="81"/>
      <c r="BS6121" s="81"/>
      <c r="BT6121" s="81"/>
    </row>
    <row r="6122" spans="65:72" x14ac:dyDescent="0.25">
      <c r="BM6122" s="81"/>
      <c r="BN6122" s="81"/>
      <c r="BO6122" s="81"/>
      <c r="BP6122" s="81"/>
      <c r="BQ6122" s="81"/>
      <c r="BR6122" s="81"/>
      <c r="BS6122" s="81"/>
      <c r="BT6122" s="81"/>
    </row>
    <row r="6123" spans="65:72" x14ac:dyDescent="0.25">
      <c r="BM6123" s="81"/>
      <c r="BN6123" s="81"/>
      <c r="BO6123" s="81"/>
      <c r="BP6123" s="81"/>
      <c r="BQ6123" s="81"/>
      <c r="BR6123" s="81"/>
      <c r="BS6123" s="81"/>
      <c r="BT6123" s="81"/>
    </row>
    <row r="6124" spans="65:72" x14ac:dyDescent="0.25">
      <c r="BM6124" s="81"/>
      <c r="BN6124" s="81"/>
      <c r="BO6124" s="81"/>
      <c r="BP6124" s="81"/>
      <c r="BQ6124" s="81"/>
      <c r="BR6124" s="81"/>
      <c r="BS6124" s="81"/>
      <c r="BT6124" s="81"/>
    </row>
    <row r="6125" spans="65:72" x14ac:dyDescent="0.25">
      <c r="BM6125" s="81"/>
      <c r="BN6125" s="81"/>
      <c r="BO6125" s="81"/>
      <c r="BP6125" s="81"/>
      <c r="BQ6125" s="81"/>
      <c r="BR6125" s="81"/>
      <c r="BS6125" s="81"/>
      <c r="BT6125" s="81"/>
    </row>
    <row r="6126" spans="65:72" x14ac:dyDescent="0.25">
      <c r="BM6126" s="81"/>
      <c r="BN6126" s="81"/>
      <c r="BO6126" s="81"/>
      <c r="BP6126" s="81"/>
      <c r="BQ6126" s="81"/>
      <c r="BR6126" s="81"/>
      <c r="BS6126" s="81"/>
      <c r="BT6126" s="81"/>
    </row>
    <row r="6127" spans="65:72" x14ac:dyDescent="0.25">
      <c r="BM6127" s="81"/>
      <c r="BN6127" s="81"/>
      <c r="BO6127" s="81"/>
      <c r="BP6127" s="81"/>
      <c r="BQ6127" s="81"/>
      <c r="BR6127" s="81"/>
      <c r="BS6127" s="81"/>
      <c r="BT6127" s="81"/>
    </row>
    <row r="6128" spans="65:72" x14ac:dyDescent="0.25">
      <c r="BM6128" s="81"/>
      <c r="BN6128" s="81"/>
      <c r="BO6128" s="81"/>
      <c r="BP6128" s="81"/>
      <c r="BQ6128" s="81"/>
      <c r="BR6128" s="81"/>
      <c r="BS6128" s="81"/>
      <c r="BT6128" s="81"/>
    </row>
    <row r="6129" spans="65:72" x14ac:dyDescent="0.25">
      <c r="BM6129" s="81"/>
      <c r="BN6129" s="81"/>
      <c r="BO6129" s="81"/>
      <c r="BP6129" s="81"/>
      <c r="BQ6129" s="81"/>
      <c r="BR6129" s="81"/>
      <c r="BS6129" s="81"/>
      <c r="BT6129" s="81"/>
    </row>
    <row r="6130" spans="65:72" x14ac:dyDescent="0.25">
      <c r="BM6130" s="81"/>
      <c r="BN6130" s="81"/>
      <c r="BO6130" s="81"/>
      <c r="BP6130" s="81"/>
      <c r="BQ6130" s="81"/>
      <c r="BR6130" s="81"/>
      <c r="BS6130" s="81"/>
      <c r="BT6130" s="81"/>
    </row>
    <row r="6131" spans="65:72" x14ac:dyDescent="0.25">
      <c r="BM6131" s="81"/>
      <c r="BN6131" s="81"/>
      <c r="BO6131" s="81"/>
      <c r="BP6131" s="81"/>
      <c r="BQ6131" s="81"/>
      <c r="BR6131" s="81"/>
      <c r="BS6131" s="81"/>
      <c r="BT6131" s="81"/>
    </row>
    <row r="6132" spans="65:72" x14ac:dyDescent="0.25">
      <c r="BM6132" s="81"/>
      <c r="BN6132" s="81"/>
      <c r="BO6132" s="81"/>
      <c r="BP6132" s="81"/>
      <c r="BQ6132" s="81"/>
      <c r="BR6132" s="81"/>
      <c r="BS6132" s="81"/>
      <c r="BT6132" s="81"/>
    </row>
    <row r="6133" spans="65:72" x14ac:dyDescent="0.25">
      <c r="BM6133" s="81"/>
      <c r="BN6133" s="81"/>
      <c r="BO6133" s="81"/>
      <c r="BP6133" s="81"/>
      <c r="BQ6133" s="81"/>
      <c r="BR6133" s="81"/>
      <c r="BS6133" s="81"/>
      <c r="BT6133" s="81"/>
    </row>
    <row r="6134" spans="65:72" x14ac:dyDescent="0.25">
      <c r="BM6134" s="81"/>
      <c r="BN6134" s="81"/>
      <c r="BO6134" s="81"/>
      <c r="BP6134" s="81"/>
      <c r="BQ6134" s="81"/>
      <c r="BR6134" s="81"/>
      <c r="BS6134" s="81"/>
      <c r="BT6134" s="81"/>
    </row>
    <row r="6135" spans="65:72" x14ac:dyDescent="0.25">
      <c r="BM6135" s="81"/>
      <c r="BN6135" s="81"/>
      <c r="BO6135" s="81"/>
      <c r="BP6135" s="81"/>
      <c r="BQ6135" s="81"/>
      <c r="BR6135" s="81"/>
      <c r="BS6135" s="81"/>
      <c r="BT6135" s="81"/>
    </row>
    <row r="6136" spans="65:72" x14ac:dyDescent="0.25">
      <c r="BM6136" s="81"/>
      <c r="BN6136" s="81"/>
      <c r="BO6136" s="81"/>
      <c r="BP6136" s="81"/>
      <c r="BQ6136" s="81"/>
      <c r="BR6136" s="81"/>
      <c r="BS6136" s="81"/>
      <c r="BT6136" s="81"/>
    </row>
    <row r="6137" spans="65:72" x14ac:dyDescent="0.25">
      <c r="BM6137" s="81"/>
      <c r="BN6137" s="81"/>
      <c r="BO6137" s="81"/>
      <c r="BP6137" s="81"/>
      <c r="BQ6137" s="81"/>
      <c r="BR6137" s="81"/>
      <c r="BS6137" s="81"/>
      <c r="BT6137" s="81"/>
    </row>
    <row r="6138" spans="65:72" x14ac:dyDescent="0.25">
      <c r="BM6138" s="81"/>
      <c r="BN6138" s="81"/>
      <c r="BO6138" s="81"/>
      <c r="BP6138" s="81"/>
      <c r="BQ6138" s="81"/>
      <c r="BR6138" s="81"/>
      <c r="BS6138" s="81"/>
      <c r="BT6138" s="81"/>
    </row>
    <row r="6139" spans="65:72" x14ac:dyDescent="0.25">
      <c r="BM6139" s="81"/>
      <c r="BN6139" s="81"/>
      <c r="BO6139" s="81"/>
      <c r="BP6139" s="81"/>
      <c r="BQ6139" s="81"/>
      <c r="BR6139" s="81"/>
      <c r="BS6139" s="81"/>
      <c r="BT6139" s="81"/>
    </row>
    <row r="6140" spans="65:72" x14ac:dyDescent="0.25">
      <c r="BM6140" s="81"/>
      <c r="BN6140" s="81"/>
      <c r="BO6140" s="81"/>
      <c r="BP6140" s="81"/>
      <c r="BQ6140" s="81"/>
      <c r="BR6140" s="81"/>
      <c r="BS6140" s="81"/>
      <c r="BT6140" s="81"/>
    </row>
    <row r="6141" spans="65:72" x14ac:dyDescent="0.25">
      <c r="BM6141" s="81"/>
      <c r="BN6141" s="81"/>
      <c r="BO6141" s="81"/>
      <c r="BP6141" s="81"/>
      <c r="BQ6141" s="81"/>
      <c r="BR6141" s="81"/>
      <c r="BS6141" s="81"/>
      <c r="BT6141" s="81"/>
    </row>
    <row r="6142" spans="65:72" x14ac:dyDescent="0.25">
      <c r="BM6142" s="81"/>
      <c r="BN6142" s="81"/>
      <c r="BO6142" s="81"/>
      <c r="BP6142" s="81"/>
      <c r="BQ6142" s="81"/>
      <c r="BR6142" s="81"/>
      <c r="BS6142" s="81"/>
      <c r="BT6142" s="81"/>
    </row>
    <row r="6143" spans="65:72" x14ac:dyDescent="0.25">
      <c r="BM6143" s="81"/>
      <c r="BN6143" s="81"/>
      <c r="BO6143" s="81"/>
      <c r="BP6143" s="81"/>
      <c r="BQ6143" s="81"/>
      <c r="BR6143" s="81"/>
      <c r="BS6143" s="81"/>
      <c r="BT6143" s="81"/>
    </row>
    <row r="6144" spans="65:72" x14ac:dyDescent="0.25">
      <c r="BM6144" s="81"/>
      <c r="BN6144" s="81"/>
      <c r="BO6144" s="81"/>
      <c r="BP6144" s="81"/>
      <c r="BQ6144" s="81"/>
      <c r="BR6144" s="81"/>
      <c r="BS6144" s="81"/>
      <c r="BT6144" s="81"/>
    </row>
    <row r="6145" spans="65:72" x14ac:dyDescent="0.25">
      <c r="BM6145" s="81"/>
      <c r="BN6145" s="81"/>
      <c r="BO6145" s="81"/>
      <c r="BP6145" s="81"/>
      <c r="BQ6145" s="81"/>
      <c r="BR6145" s="81"/>
      <c r="BS6145" s="81"/>
      <c r="BT6145" s="81"/>
    </row>
    <row r="6146" spans="65:72" x14ac:dyDescent="0.25">
      <c r="BM6146" s="81"/>
      <c r="BN6146" s="81"/>
      <c r="BO6146" s="81"/>
      <c r="BP6146" s="81"/>
      <c r="BQ6146" s="81"/>
      <c r="BR6146" s="81"/>
      <c r="BS6146" s="81"/>
      <c r="BT6146" s="81"/>
    </row>
    <row r="6147" spans="65:72" x14ac:dyDescent="0.25">
      <c r="BM6147" s="81"/>
      <c r="BN6147" s="81"/>
      <c r="BO6147" s="81"/>
      <c r="BP6147" s="81"/>
      <c r="BQ6147" s="81"/>
      <c r="BR6147" s="81"/>
      <c r="BS6147" s="81"/>
      <c r="BT6147" s="81"/>
    </row>
    <row r="6148" spans="65:72" x14ac:dyDescent="0.25">
      <c r="BM6148" s="81"/>
      <c r="BN6148" s="81"/>
      <c r="BO6148" s="81"/>
      <c r="BP6148" s="81"/>
      <c r="BQ6148" s="81"/>
      <c r="BR6148" s="81"/>
      <c r="BS6148" s="81"/>
      <c r="BT6148" s="81"/>
    </row>
    <row r="6149" spans="65:72" x14ac:dyDescent="0.25">
      <c r="BM6149" s="81"/>
      <c r="BN6149" s="81"/>
      <c r="BO6149" s="81"/>
      <c r="BP6149" s="81"/>
      <c r="BQ6149" s="81"/>
      <c r="BR6149" s="81"/>
      <c r="BS6149" s="81"/>
      <c r="BT6149" s="81"/>
    </row>
    <row r="6150" spans="65:72" x14ac:dyDescent="0.25">
      <c r="BM6150" s="81"/>
      <c r="BN6150" s="81"/>
      <c r="BO6150" s="81"/>
      <c r="BP6150" s="81"/>
      <c r="BQ6150" s="81"/>
      <c r="BR6150" s="81"/>
      <c r="BS6150" s="81"/>
      <c r="BT6150" s="81"/>
    </row>
    <row r="6151" spans="65:72" x14ac:dyDescent="0.25">
      <c r="BM6151" s="81"/>
      <c r="BN6151" s="81"/>
      <c r="BO6151" s="81"/>
      <c r="BP6151" s="81"/>
      <c r="BQ6151" s="81"/>
      <c r="BR6151" s="81"/>
      <c r="BS6151" s="81"/>
      <c r="BT6151" s="81"/>
    </row>
    <row r="6152" spans="65:72" x14ac:dyDescent="0.25">
      <c r="BM6152" s="81"/>
      <c r="BN6152" s="81"/>
      <c r="BO6152" s="81"/>
      <c r="BP6152" s="81"/>
      <c r="BQ6152" s="81"/>
      <c r="BR6152" s="81"/>
      <c r="BS6152" s="81"/>
      <c r="BT6152" s="81"/>
    </row>
    <row r="6153" spans="65:72" x14ac:dyDescent="0.25">
      <c r="BM6153" s="81"/>
      <c r="BN6153" s="81"/>
      <c r="BO6153" s="81"/>
      <c r="BP6153" s="81"/>
      <c r="BQ6153" s="81"/>
      <c r="BR6153" s="81"/>
      <c r="BS6153" s="81"/>
      <c r="BT6153" s="81"/>
    </row>
    <row r="6154" spans="65:72" x14ac:dyDescent="0.25">
      <c r="BM6154" s="81"/>
      <c r="BN6154" s="81"/>
      <c r="BO6154" s="81"/>
      <c r="BP6154" s="81"/>
      <c r="BQ6154" s="81"/>
      <c r="BR6154" s="81"/>
      <c r="BS6154" s="81"/>
      <c r="BT6154" s="81"/>
    </row>
    <row r="6155" spans="65:72" x14ac:dyDescent="0.25">
      <c r="BM6155" s="81"/>
      <c r="BN6155" s="81"/>
      <c r="BO6155" s="81"/>
      <c r="BP6155" s="81"/>
      <c r="BQ6155" s="81"/>
      <c r="BR6155" s="81"/>
      <c r="BS6155" s="81"/>
      <c r="BT6155" s="81"/>
    </row>
    <row r="6156" spans="65:72" x14ac:dyDescent="0.25">
      <c r="BM6156" s="81"/>
      <c r="BN6156" s="81"/>
      <c r="BO6156" s="81"/>
      <c r="BP6156" s="81"/>
      <c r="BQ6156" s="81"/>
      <c r="BR6156" s="81"/>
      <c r="BS6156" s="81"/>
      <c r="BT6156" s="81"/>
    </row>
    <row r="6157" spans="65:72" x14ac:dyDescent="0.25">
      <c r="BM6157" s="81"/>
      <c r="BN6157" s="81"/>
      <c r="BO6157" s="81"/>
      <c r="BP6157" s="81"/>
      <c r="BQ6157" s="81"/>
      <c r="BR6157" s="81"/>
      <c r="BS6157" s="81"/>
      <c r="BT6157" s="81"/>
    </row>
    <row r="6158" spans="65:72" x14ac:dyDescent="0.25">
      <c r="BM6158" s="81"/>
      <c r="BN6158" s="81"/>
      <c r="BO6158" s="81"/>
      <c r="BP6158" s="81"/>
      <c r="BQ6158" s="81"/>
      <c r="BR6158" s="81"/>
      <c r="BS6158" s="81"/>
      <c r="BT6158" s="81"/>
    </row>
    <row r="6159" spans="65:72" x14ac:dyDescent="0.25">
      <c r="BM6159" s="81"/>
      <c r="BN6159" s="81"/>
      <c r="BO6159" s="81"/>
      <c r="BP6159" s="81"/>
      <c r="BQ6159" s="81"/>
      <c r="BR6159" s="81"/>
      <c r="BS6159" s="81"/>
      <c r="BT6159" s="81"/>
    </row>
    <row r="6160" spans="65:72" x14ac:dyDescent="0.25">
      <c r="BM6160" s="81"/>
      <c r="BN6160" s="81"/>
      <c r="BO6160" s="81"/>
      <c r="BP6160" s="81"/>
      <c r="BQ6160" s="81"/>
      <c r="BR6160" s="81"/>
      <c r="BS6160" s="81"/>
      <c r="BT6160" s="81"/>
    </row>
    <row r="6161" spans="65:72" x14ac:dyDescent="0.25">
      <c r="BM6161" s="81"/>
      <c r="BN6161" s="81"/>
      <c r="BO6161" s="81"/>
      <c r="BP6161" s="81"/>
      <c r="BQ6161" s="81"/>
      <c r="BR6161" s="81"/>
      <c r="BS6161" s="81"/>
      <c r="BT6161" s="81"/>
    </row>
    <row r="6162" spans="65:72" x14ac:dyDescent="0.25">
      <c r="BM6162" s="81"/>
      <c r="BN6162" s="81"/>
      <c r="BO6162" s="81"/>
      <c r="BP6162" s="81"/>
      <c r="BQ6162" s="81"/>
      <c r="BR6162" s="81"/>
      <c r="BS6162" s="81"/>
      <c r="BT6162" s="81"/>
    </row>
    <row r="6163" spans="65:72" x14ac:dyDescent="0.25">
      <c r="BM6163" s="81"/>
      <c r="BN6163" s="81"/>
      <c r="BO6163" s="81"/>
      <c r="BP6163" s="81"/>
      <c r="BQ6163" s="81"/>
      <c r="BR6163" s="81"/>
      <c r="BS6163" s="81"/>
      <c r="BT6163" s="81"/>
    </row>
    <row r="6164" spans="65:72" x14ac:dyDescent="0.25">
      <c r="BM6164" s="81"/>
      <c r="BN6164" s="81"/>
      <c r="BO6164" s="81"/>
      <c r="BP6164" s="81"/>
      <c r="BQ6164" s="81"/>
      <c r="BR6164" s="81"/>
      <c r="BS6164" s="81"/>
      <c r="BT6164" s="81"/>
    </row>
    <row r="6165" spans="65:72" x14ac:dyDescent="0.25">
      <c r="BM6165" s="81"/>
      <c r="BN6165" s="81"/>
      <c r="BO6165" s="81"/>
      <c r="BP6165" s="81"/>
      <c r="BQ6165" s="81"/>
      <c r="BR6165" s="81"/>
      <c r="BS6165" s="81"/>
      <c r="BT6165" s="81"/>
    </row>
    <row r="6166" spans="65:72" x14ac:dyDescent="0.25">
      <c r="BM6166" s="81"/>
      <c r="BN6166" s="81"/>
      <c r="BO6166" s="81"/>
      <c r="BP6166" s="81"/>
      <c r="BQ6166" s="81"/>
      <c r="BR6166" s="81"/>
      <c r="BS6166" s="81"/>
      <c r="BT6166" s="81"/>
    </row>
    <row r="6167" spans="65:72" x14ac:dyDescent="0.25">
      <c r="BM6167" s="81"/>
      <c r="BN6167" s="81"/>
      <c r="BO6167" s="81"/>
      <c r="BP6167" s="81"/>
      <c r="BQ6167" s="81"/>
      <c r="BR6167" s="81"/>
      <c r="BS6167" s="81"/>
      <c r="BT6167" s="81"/>
    </row>
    <row r="6168" spans="65:72" x14ac:dyDescent="0.25">
      <c r="BM6168" s="81"/>
      <c r="BN6168" s="81"/>
      <c r="BO6168" s="81"/>
      <c r="BP6168" s="81"/>
      <c r="BQ6168" s="81"/>
      <c r="BR6168" s="81"/>
      <c r="BS6168" s="81"/>
      <c r="BT6168" s="81"/>
    </row>
    <row r="6169" spans="65:72" x14ac:dyDescent="0.25">
      <c r="BM6169" s="81"/>
      <c r="BN6169" s="81"/>
      <c r="BO6169" s="81"/>
      <c r="BP6169" s="81"/>
      <c r="BQ6169" s="81"/>
      <c r="BR6169" s="81"/>
      <c r="BS6169" s="81"/>
      <c r="BT6169" s="81"/>
    </row>
    <row r="6170" spans="65:72" x14ac:dyDescent="0.25">
      <c r="BM6170" s="81"/>
      <c r="BN6170" s="81"/>
      <c r="BO6170" s="81"/>
      <c r="BP6170" s="81"/>
      <c r="BQ6170" s="81"/>
      <c r="BR6170" s="81"/>
      <c r="BS6170" s="81"/>
      <c r="BT6170" s="81"/>
    </row>
    <row r="6171" spans="65:72" x14ac:dyDescent="0.25">
      <c r="BM6171" s="81"/>
      <c r="BN6171" s="81"/>
      <c r="BO6171" s="81"/>
      <c r="BP6171" s="81"/>
      <c r="BQ6171" s="81"/>
      <c r="BR6171" s="81"/>
      <c r="BS6171" s="81"/>
      <c r="BT6171" s="81"/>
    </row>
    <row r="6172" spans="65:72" x14ac:dyDescent="0.25">
      <c r="BM6172" s="81"/>
      <c r="BN6172" s="81"/>
      <c r="BO6172" s="81"/>
      <c r="BP6172" s="81"/>
      <c r="BQ6172" s="81"/>
      <c r="BR6172" s="81"/>
      <c r="BS6172" s="81"/>
      <c r="BT6172" s="81"/>
    </row>
    <row r="6173" spans="65:72" x14ac:dyDescent="0.25">
      <c r="BM6173" s="81"/>
      <c r="BN6173" s="81"/>
      <c r="BO6173" s="81"/>
      <c r="BP6173" s="81"/>
      <c r="BQ6173" s="81"/>
      <c r="BR6173" s="81"/>
      <c r="BS6173" s="81"/>
      <c r="BT6173" s="81"/>
    </row>
    <row r="6174" spans="65:72" x14ac:dyDescent="0.25">
      <c r="BM6174" s="81"/>
      <c r="BN6174" s="81"/>
      <c r="BO6174" s="81"/>
      <c r="BP6174" s="81"/>
      <c r="BQ6174" s="81"/>
      <c r="BR6174" s="81"/>
      <c r="BS6174" s="81"/>
      <c r="BT6174" s="81"/>
    </row>
    <row r="6175" spans="65:72" x14ac:dyDescent="0.25">
      <c r="BM6175" s="81"/>
      <c r="BN6175" s="81"/>
      <c r="BO6175" s="81"/>
      <c r="BP6175" s="81"/>
      <c r="BQ6175" s="81"/>
      <c r="BR6175" s="81"/>
      <c r="BS6175" s="81"/>
      <c r="BT6175" s="81"/>
    </row>
    <row r="6176" spans="65:72" x14ac:dyDescent="0.25">
      <c r="BM6176" s="81"/>
      <c r="BN6176" s="81"/>
      <c r="BO6176" s="81"/>
      <c r="BP6176" s="81"/>
      <c r="BQ6176" s="81"/>
      <c r="BR6176" s="81"/>
      <c r="BS6176" s="81"/>
      <c r="BT6176" s="81"/>
    </row>
    <row r="6177" spans="65:72" x14ac:dyDescent="0.25">
      <c r="BM6177" s="81"/>
      <c r="BN6177" s="81"/>
      <c r="BO6177" s="81"/>
      <c r="BP6177" s="81"/>
      <c r="BQ6177" s="81"/>
      <c r="BR6177" s="81"/>
      <c r="BS6177" s="81"/>
      <c r="BT6177" s="81"/>
    </row>
    <row r="6178" spans="65:72" x14ac:dyDescent="0.25">
      <c r="BM6178" s="81"/>
      <c r="BN6178" s="81"/>
      <c r="BO6178" s="81"/>
      <c r="BP6178" s="81"/>
      <c r="BQ6178" s="81"/>
      <c r="BR6178" s="81"/>
      <c r="BS6178" s="81"/>
      <c r="BT6178" s="81"/>
    </row>
    <row r="6179" spans="65:72" x14ac:dyDescent="0.25">
      <c r="BM6179" s="81"/>
      <c r="BN6179" s="81"/>
      <c r="BO6179" s="81"/>
      <c r="BP6179" s="81"/>
      <c r="BQ6179" s="81"/>
      <c r="BR6179" s="81"/>
      <c r="BS6179" s="81"/>
      <c r="BT6179" s="81"/>
    </row>
    <row r="6180" spans="65:72" x14ac:dyDescent="0.25">
      <c r="BM6180" s="81"/>
      <c r="BN6180" s="81"/>
      <c r="BO6180" s="81"/>
      <c r="BP6180" s="81"/>
      <c r="BQ6180" s="81"/>
      <c r="BR6180" s="81"/>
      <c r="BS6180" s="81"/>
      <c r="BT6180" s="81"/>
    </row>
    <row r="6181" spans="65:72" x14ac:dyDescent="0.25">
      <c r="BM6181" s="81"/>
      <c r="BN6181" s="81"/>
      <c r="BO6181" s="81"/>
      <c r="BP6181" s="81"/>
      <c r="BQ6181" s="81"/>
      <c r="BR6181" s="81"/>
      <c r="BS6181" s="81"/>
      <c r="BT6181" s="81"/>
    </row>
    <row r="6182" spans="65:72" x14ac:dyDescent="0.25">
      <c r="BM6182" s="81"/>
      <c r="BN6182" s="81"/>
      <c r="BO6182" s="81"/>
      <c r="BP6182" s="81"/>
      <c r="BQ6182" s="81"/>
      <c r="BR6182" s="81"/>
      <c r="BS6182" s="81"/>
      <c r="BT6182" s="81"/>
    </row>
    <row r="6183" spans="65:72" x14ac:dyDescent="0.25">
      <c r="BM6183" s="81"/>
      <c r="BN6183" s="81"/>
      <c r="BO6183" s="81"/>
      <c r="BP6183" s="81"/>
      <c r="BQ6183" s="81"/>
      <c r="BR6183" s="81"/>
      <c r="BS6183" s="81"/>
      <c r="BT6183" s="81"/>
    </row>
    <row r="6184" spans="65:72" x14ac:dyDescent="0.25">
      <c r="BM6184" s="81"/>
      <c r="BN6184" s="81"/>
      <c r="BO6184" s="81"/>
      <c r="BP6184" s="81"/>
      <c r="BQ6184" s="81"/>
      <c r="BR6184" s="81"/>
      <c r="BS6184" s="81"/>
      <c r="BT6184" s="81"/>
    </row>
    <row r="6185" spans="65:72" x14ac:dyDescent="0.25">
      <c r="BM6185" s="81"/>
      <c r="BN6185" s="81"/>
      <c r="BO6185" s="81"/>
      <c r="BP6185" s="81"/>
      <c r="BQ6185" s="81"/>
      <c r="BR6185" s="81"/>
      <c r="BS6185" s="81"/>
      <c r="BT6185" s="81"/>
    </row>
    <row r="6186" spans="65:72" x14ac:dyDescent="0.25">
      <c r="BM6186" s="81"/>
      <c r="BN6186" s="81"/>
      <c r="BO6186" s="81"/>
      <c r="BP6186" s="81"/>
      <c r="BQ6186" s="81"/>
      <c r="BR6186" s="81"/>
      <c r="BS6186" s="81"/>
      <c r="BT6186" s="81"/>
    </row>
    <row r="6187" spans="65:72" x14ac:dyDescent="0.25">
      <c r="BM6187" s="81"/>
      <c r="BN6187" s="81"/>
      <c r="BO6187" s="81"/>
      <c r="BP6187" s="81"/>
      <c r="BQ6187" s="81"/>
      <c r="BR6187" s="81"/>
      <c r="BS6187" s="81"/>
      <c r="BT6187" s="81"/>
    </row>
    <row r="6188" spans="65:72" x14ac:dyDescent="0.25">
      <c r="BM6188" s="81"/>
      <c r="BN6188" s="81"/>
      <c r="BO6188" s="81"/>
      <c r="BP6188" s="81"/>
      <c r="BQ6188" s="81"/>
      <c r="BR6188" s="81"/>
      <c r="BS6188" s="81"/>
      <c r="BT6188" s="81"/>
    </row>
    <row r="6189" spans="65:72" x14ac:dyDescent="0.25">
      <c r="BM6189" s="81"/>
      <c r="BN6189" s="81"/>
      <c r="BO6189" s="81"/>
      <c r="BP6189" s="81"/>
      <c r="BQ6189" s="81"/>
      <c r="BR6189" s="81"/>
      <c r="BS6189" s="81"/>
      <c r="BT6189" s="81"/>
    </row>
    <row r="6190" spans="65:72" x14ac:dyDescent="0.25">
      <c r="BM6190" s="81"/>
      <c r="BN6190" s="81"/>
      <c r="BO6190" s="81"/>
      <c r="BP6190" s="81"/>
      <c r="BQ6190" s="81"/>
      <c r="BR6190" s="81"/>
      <c r="BS6190" s="81"/>
      <c r="BT6190" s="81"/>
    </row>
    <row r="6191" spans="65:72" x14ac:dyDescent="0.25">
      <c r="BM6191" s="81"/>
      <c r="BN6191" s="81"/>
      <c r="BO6191" s="81"/>
      <c r="BP6191" s="81"/>
      <c r="BQ6191" s="81"/>
      <c r="BR6191" s="81"/>
      <c r="BS6191" s="81"/>
      <c r="BT6191" s="81"/>
    </row>
    <row r="6192" spans="65:72" x14ac:dyDescent="0.25">
      <c r="BM6192" s="81"/>
      <c r="BN6192" s="81"/>
      <c r="BO6192" s="81"/>
      <c r="BP6192" s="81"/>
      <c r="BQ6192" s="81"/>
      <c r="BR6192" s="81"/>
      <c r="BS6192" s="81"/>
      <c r="BT6192" s="81"/>
    </row>
    <row r="6193" spans="65:72" x14ac:dyDescent="0.25">
      <c r="BM6193" s="81"/>
      <c r="BN6193" s="81"/>
      <c r="BO6193" s="81"/>
      <c r="BP6193" s="81"/>
      <c r="BQ6193" s="81"/>
      <c r="BR6193" s="81"/>
      <c r="BS6193" s="81"/>
      <c r="BT6193" s="81"/>
    </row>
    <row r="6194" spans="65:72" x14ac:dyDescent="0.25">
      <c r="BM6194" s="81"/>
      <c r="BN6194" s="81"/>
      <c r="BO6194" s="81"/>
      <c r="BP6194" s="81"/>
      <c r="BQ6194" s="81"/>
      <c r="BR6194" s="81"/>
      <c r="BS6194" s="81"/>
      <c r="BT6194" s="81"/>
    </row>
    <row r="6195" spans="65:72" x14ac:dyDescent="0.25">
      <c r="BM6195" s="81"/>
      <c r="BN6195" s="81"/>
      <c r="BO6195" s="81"/>
      <c r="BP6195" s="81"/>
      <c r="BQ6195" s="81"/>
      <c r="BR6195" s="81"/>
      <c r="BS6195" s="81"/>
      <c r="BT6195" s="81"/>
    </row>
    <row r="6196" spans="65:72" x14ac:dyDescent="0.25">
      <c r="BM6196" s="81"/>
      <c r="BN6196" s="81"/>
      <c r="BO6196" s="81"/>
      <c r="BP6196" s="81"/>
      <c r="BQ6196" s="81"/>
      <c r="BR6196" s="81"/>
      <c r="BS6196" s="81"/>
      <c r="BT6196" s="81"/>
    </row>
    <row r="6197" spans="65:72" x14ac:dyDescent="0.25">
      <c r="BM6197" s="81"/>
      <c r="BN6197" s="81"/>
      <c r="BO6197" s="81"/>
      <c r="BP6197" s="81"/>
      <c r="BQ6197" s="81"/>
      <c r="BR6197" s="81"/>
      <c r="BS6197" s="81"/>
      <c r="BT6197" s="81"/>
    </row>
    <row r="6198" spans="65:72" x14ac:dyDescent="0.25">
      <c r="BM6198" s="81"/>
      <c r="BN6198" s="81"/>
      <c r="BO6198" s="81"/>
      <c r="BP6198" s="81"/>
      <c r="BQ6198" s="81"/>
      <c r="BR6198" s="81"/>
      <c r="BS6198" s="81"/>
      <c r="BT6198" s="81"/>
    </row>
    <row r="6199" spans="65:72" x14ac:dyDescent="0.25">
      <c r="BM6199" s="81"/>
      <c r="BN6199" s="81"/>
      <c r="BO6199" s="81"/>
      <c r="BP6199" s="81"/>
      <c r="BQ6199" s="81"/>
      <c r="BR6199" s="81"/>
      <c r="BS6199" s="81"/>
      <c r="BT6199" s="81"/>
    </row>
    <row r="6200" spans="65:72" x14ac:dyDescent="0.25">
      <c r="BM6200" s="81"/>
      <c r="BN6200" s="81"/>
      <c r="BO6200" s="81"/>
      <c r="BP6200" s="81"/>
      <c r="BQ6200" s="81"/>
      <c r="BR6200" s="81"/>
      <c r="BS6200" s="81"/>
      <c r="BT6200" s="81"/>
    </row>
    <row r="6201" spans="65:72" x14ac:dyDescent="0.25">
      <c r="BM6201" s="81"/>
      <c r="BN6201" s="81"/>
      <c r="BO6201" s="81"/>
      <c r="BP6201" s="81"/>
      <c r="BQ6201" s="81"/>
      <c r="BR6201" s="81"/>
      <c r="BS6201" s="81"/>
      <c r="BT6201" s="81"/>
    </row>
    <row r="6202" spans="65:72" x14ac:dyDescent="0.25">
      <c r="BM6202" s="81"/>
      <c r="BN6202" s="81"/>
      <c r="BO6202" s="81"/>
      <c r="BP6202" s="81"/>
      <c r="BQ6202" s="81"/>
      <c r="BR6202" s="81"/>
      <c r="BS6202" s="81"/>
      <c r="BT6202" s="81"/>
    </row>
    <row r="6203" spans="65:72" x14ac:dyDescent="0.25">
      <c r="BM6203" s="81"/>
      <c r="BN6203" s="81"/>
      <c r="BO6203" s="81"/>
      <c r="BP6203" s="81"/>
      <c r="BQ6203" s="81"/>
      <c r="BR6203" s="81"/>
      <c r="BS6203" s="81"/>
      <c r="BT6203" s="81"/>
    </row>
    <row r="6204" spans="65:72" x14ac:dyDescent="0.25">
      <c r="BM6204" s="81"/>
      <c r="BN6204" s="81"/>
      <c r="BO6204" s="81"/>
      <c r="BP6204" s="81"/>
      <c r="BQ6204" s="81"/>
      <c r="BR6204" s="81"/>
      <c r="BS6204" s="81"/>
      <c r="BT6204" s="81"/>
    </row>
    <row r="6205" spans="65:72" x14ac:dyDescent="0.25">
      <c r="BM6205" s="81"/>
      <c r="BN6205" s="81"/>
      <c r="BO6205" s="81"/>
      <c r="BP6205" s="81"/>
      <c r="BQ6205" s="81"/>
      <c r="BR6205" s="81"/>
      <c r="BS6205" s="81"/>
      <c r="BT6205" s="81"/>
    </row>
    <row r="6206" spans="65:72" x14ac:dyDescent="0.25">
      <c r="BM6206" s="81"/>
      <c r="BN6206" s="81"/>
      <c r="BO6206" s="81"/>
      <c r="BP6206" s="81"/>
      <c r="BQ6206" s="81"/>
      <c r="BR6206" s="81"/>
      <c r="BS6206" s="81"/>
      <c r="BT6206" s="81"/>
    </row>
    <row r="6207" spans="65:72" x14ac:dyDescent="0.25">
      <c r="BM6207" s="81"/>
      <c r="BN6207" s="81"/>
      <c r="BO6207" s="81"/>
      <c r="BP6207" s="81"/>
      <c r="BQ6207" s="81"/>
      <c r="BR6207" s="81"/>
      <c r="BS6207" s="81"/>
      <c r="BT6207" s="81"/>
    </row>
    <row r="6208" spans="65:72" x14ac:dyDescent="0.25">
      <c r="BM6208" s="81"/>
      <c r="BN6208" s="81"/>
      <c r="BO6208" s="81"/>
      <c r="BP6208" s="81"/>
      <c r="BQ6208" s="81"/>
      <c r="BR6208" s="81"/>
      <c r="BS6208" s="81"/>
      <c r="BT6208" s="81"/>
    </row>
    <row r="6209" spans="65:72" x14ac:dyDescent="0.25">
      <c r="BM6209" s="81"/>
      <c r="BN6209" s="81"/>
      <c r="BO6209" s="81"/>
      <c r="BP6209" s="81"/>
      <c r="BQ6209" s="81"/>
      <c r="BR6209" s="81"/>
      <c r="BS6209" s="81"/>
      <c r="BT6209" s="81"/>
    </row>
    <row r="6210" spans="65:72" x14ac:dyDescent="0.25">
      <c r="BM6210" s="81"/>
      <c r="BN6210" s="81"/>
      <c r="BO6210" s="81"/>
      <c r="BP6210" s="81"/>
      <c r="BQ6210" s="81"/>
      <c r="BR6210" s="81"/>
      <c r="BS6210" s="81"/>
      <c r="BT6210" s="81"/>
    </row>
    <row r="6211" spans="65:72" x14ac:dyDescent="0.25">
      <c r="BM6211" s="81"/>
      <c r="BN6211" s="81"/>
      <c r="BO6211" s="81"/>
      <c r="BP6211" s="81"/>
      <c r="BQ6211" s="81"/>
      <c r="BR6211" s="81"/>
      <c r="BS6211" s="81"/>
      <c r="BT6211" s="81"/>
    </row>
    <row r="6212" spans="65:72" x14ac:dyDescent="0.25">
      <c r="BM6212" s="81"/>
      <c r="BN6212" s="81"/>
      <c r="BO6212" s="81"/>
      <c r="BP6212" s="81"/>
      <c r="BQ6212" s="81"/>
      <c r="BR6212" s="81"/>
      <c r="BS6212" s="81"/>
      <c r="BT6212" s="81"/>
    </row>
    <row r="6213" spans="65:72" x14ac:dyDescent="0.25">
      <c r="BM6213" s="81"/>
      <c r="BN6213" s="81"/>
      <c r="BO6213" s="81"/>
      <c r="BP6213" s="81"/>
      <c r="BQ6213" s="81"/>
      <c r="BR6213" s="81"/>
      <c r="BS6213" s="81"/>
      <c r="BT6213" s="81"/>
    </row>
    <row r="6214" spans="65:72" x14ac:dyDescent="0.25">
      <c r="BM6214" s="81"/>
      <c r="BN6214" s="81"/>
      <c r="BO6214" s="81"/>
      <c r="BP6214" s="81"/>
      <c r="BQ6214" s="81"/>
      <c r="BR6214" s="81"/>
      <c r="BS6214" s="81"/>
      <c r="BT6214" s="81"/>
    </row>
    <row r="6215" spans="65:72" x14ac:dyDescent="0.25">
      <c r="BM6215" s="81"/>
      <c r="BN6215" s="81"/>
      <c r="BO6215" s="81"/>
      <c r="BP6215" s="81"/>
      <c r="BQ6215" s="81"/>
      <c r="BR6215" s="81"/>
      <c r="BS6215" s="81"/>
      <c r="BT6215" s="81"/>
    </row>
    <row r="6216" spans="65:72" x14ac:dyDescent="0.25">
      <c r="BM6216" s="81"/>
      <c r="BN6216" s="81"/>
      <c r="BO6216" s="81"/>
      <c r="BP6216" s="81"/>
      <c r="BQ6216" s="81"/>
      <c r="BR6216" s="81"/>
      <c r="BS6216" s="81"/>
      <c r="BT6216" s="81"/>
    </row>
    <row r="6217" spans="65:72" x14ac:dyDescent="0.25">
      <c r="BM6217" s="81"/>
      <c r="BN6217" s="81"/>
      <c r="BO6217" s="81"/>
      <c r="BP6217" s="81"/>
      <c r="BQ6217" s="81"/>
      <c r="BR6217" s="81"/>
      <c r="BS6217" s="81"/>
      <c r="BT6217" s="81"/>
    </row>
    <row r="6218" spans="65:72" x14ac:dyDescent="0.25">
      <c r="BM6218" s="81"/>
      <c r="BN6218" s="81"/>
      <c r="BO6218" s="81"/>
      <c r="BP6218" s="81"/>
      <c r="BQ6218" s="81"/>
      <c r="BR6218" s="81"/>
      <c r="BS6218" s="81"/>
      <c r="BT6218" s="81"/>
    </row>
    <row r="6219" spans="65:72" x14ac:dyDescent="0.25">
      <c r="BM6219" s="81"/>
      <c r="BN6219" s="81"/>
      <c r="BO6219" s="81"/>
      <c r="BP6219" s="81"/>
      <c r="BQ6219" s="81"/>
      <c r="BR6219" s="81"/>
      <c r="BS6219" s="81"/>
      <c r="BT6219" s="81"/>
    </row>
    <row r="6220" spans="65:72" x14ac:dyDescent="0.25">
      <c r="BM6220" s="81"/>
      <c r="BN6220" s="81"/>
      <c r="BO6220" s="81"/>
      <c r="BP6220" s="81"/>
      <c r="BQ6220" s="81"/>
      <c r="BR6220" s="81"/>
      <c r="BS6220" s="81"/>
      <c r="BT6220" s="81"/>
    </row>
    <row r="6221" spans="65:72" x14ac:dyDescent="0.25">
      <c r="BM6221" s="81"/>
      <c r="BN6221" s="81"/>
      <c r="BO6221" s="81"/>
      <c r="BP6221" s="81"/>
      <c r="BQ6221" s="81"/>
      <c r="BR6221" s="81"/>
      <c r="BS6221" s="81"/>
      <c r="BT6221" s="81"/>
    </row>
    <row r="6222" spans="65:72" x14ac:dyDescent="0.25">
      <c r="BM6222" s="81"/>
      <c r="BN6222" s="81"/>
      <c r="BO6222" s="81"/>
      <c r="BP6222" s="81"/>
      <c r="BQ6222" s="81"/>
      <c r="BR6222" s="81"/>
      <c r="BS6222" s="81"/>
      <c r="BT6222" s="81"/>
    </row>
    <row r="6223" spans="65:72" x14ac:dyDescent="0.25">
      <c r="BM6223" s="81"/>
      <c r="BN6223" s="81"/>
      <c r="BO6223" s="81"/>
      <c r="BP6223" s="81"/>
      <c r="BQ6223" s="81"/>
      <c r="BR6223" s="81"/>
      <c r="BS6223" s="81"/>
      <c r="BT6223" s="81"/>
    </row>
    <row r="6224" spans="65:72" x14ac:dyDescent="0.25">
      <c r="BM6224" s="81"/>
      <c r="BN6224" s="81"/>
      <c r="BO6224" s="81"/>
      <c r="BP6224" s="81"/>
      <c r="BQ6224" s="81"/>
      <c r="BR6224" s="81"/>
      <c r="BS6224" s="81"/>
      <c r="BT6224" s="81"/>
    </row>
    <row r="6225" spans="65:72" x14ac:dyDescent="0.25">
      <c r="BM6225" s="81"/>
      <c r="BN6225" s="81"/>
      <c r="BO6225" s="81"/>
      <c r="BP6225" s="81"/>
      <c r="BQ6225" s="81"/>
      <c r="BR6225" s="81"/>
      <c r="BS6225" s="81"/>
      <c r="BT6225" s="81"/>
    </row>
    <row r="6226" spans="65:72" x14ac:dyDescent="0.25">
      <c r="BM6226" s="81"/>
      <c r="BN6226" s="81"/>
      <c r="BO6226" s="81"/>
      <c r="BP6226" s="81"/>
      <c r="BQ6226" s="81"/>
      <c r="BR6226" s="81"/>
      <c r="BS6226" s="81"/>
      <c r="BT6226" s="81"/>
    </row>
    <row r="6227" spans="65:72" x14ac:dyDescent="0.25">
      <c r="BM6227" s="81"/>
      <c r="BN6227" s="81"/>
      <c r="BO6227" s="81"/>
      <c r="BP6227" s="81"/>
      <c r="BQ6227" s="81"/>
      <c r="BR6227" s="81"/>
      <c r="BS6227" s="81"/>
      <c r="BT6227" s="81"/>
    </row>
    <row r="6228" spans="65:72" x14ac:dyDescent="0.25">
      <c r="BM6228" s="81"/>
      <c r="BN6228" s="81"/>
      <c r="BO6228" s="81"/>
      <c r="BP6228" s="81"/>
      <c r="BQ6228" s="81"/>
      <c r="BR6228" s="81"/>
      <c r="BS6228" s="81"/>
      <c r="BT6228" s="81"/>
    </row>
    <row r="6229" spans="65:72" x14ac:dyDescent="0.25">
      <c r="BM6229" s="81"/>
      <c r="BN6229" s="81"/>
      <c r="BO6229" s="81"/>
      <c r="BP6229" s="81"/>
      <c r="BQ6229" s="81"/>
      <c r="BR6229" s="81"/>
      <c r="BS6229" s="81"/>
      <c r="BT6229" s="81"/>
    </row>
    <row r="6230" spans="65:72" x14ac:dyDescent="0.25">
      <c r="BM6230" s="81"/>
      <c r="BN6230" s="81"/>
      <c r="BO6230" s="81"/>
      <c r="BP6230" s="81"/>
      <c r="BQ6230" s="81"/>
      <c r="BR6230" s="81"/>
      <c r="BS6230" s="81"/>
      <c r="BT6230" s="81"/>
    </row>
    <row r="6231" spans="65:72" x14ac:dyDescent="0.25">
      <c r="BM6231" s="81"/>
      <c r="BN6231" s="81"/>
      <c r="BO6231" s="81"/>
      <c r="BP6231" s="81"/>
      <c r="BQ6231" s="81"/>
      <c r="BR6231" s="81"/>
      <c r="BS6231" s="81"/>
      <c r="BT6231" s="81"/>
    </row>
    <row r="6232" spans="65:72" x14ac:dyDescent="0.25">
      <c r="BM6232" s="81"/>
      <c r="BN6232" s="81"/>
      <c r="BO6232" s="81"/>
      <c r="BP6232" s="81"/>
      <c r="BQ6232" s="81"/>
      <c r="BR6232" s="81"/>
      <c r="BS6232" s="81"/>
      <c r="BT6232" s="81"/>
    </row>
    <row r="6233" spans="65:72" x14ac:dyDescent="0.25">
      <c r="BM6233" s="81"/>
      <c r="BN6233" s="81"/>
      <c r="BO6233" s="81"/>
      <c r="BP6233" s="81"/>
      <c r="BQ6233" s="81"/>
      <c r="BR6233" s="81"/>
      <c r="BS6233" s="81"/>
      <c r="BT6233" s="81"/>
    </row>
    <row r="6234" spans="65:72" x14ac:dyDescent="0.25">
      <c r="BM6234" s="81"/>
      <c r="BN6234" s="81"/>
      <c r="BO6234" s="81"/>
      <c r="BP6234" s="81"/>
      <c r="BQ6234" s="81"/>
      <c r="BR6234" s="81"/>
      <c r="BS6234" s="81"/>
      <c r="BT6234" s="81"/>
    </row>
    <row r="6235" spans="65:72" x14ac:dyDescent="0.25">
      <c r="BM6235" s="81"/>
      <c r="BN6235" s="81"/>
      <c r="BO6235" s="81"/>
      <c r="BP6235" s="81"/>
      <c r="BQ6235" s="81"/>
      <c r="BR6235" s="81"/>
      <c r="BS6235" s="81"/>
      <c r="BT6235" s="81"/>
    </row>
    <row r="6236" spans="65:72" x14ac:dyDescent="0.25">
      <c r="BM6236" s="81"/>
      <c r="BN6236" s="81"/>
      <c r="BO6236" s="81"/>
      <c r="BP6236" s="81"/>
      <c r="BQ6236" s="81"/>
      <c r="BR6236" s="81"/>
      <c r="BS6236" s="81"/>
      <c r="BT6236" s="81"/>
    </row>
    <row r="6237" spans="65:72" x14ac:dyDescent="0.25">
      <c r="BM6237" s="81"/>
      <c r="BN6237" s="81"/>
      <c r="BO6237" s="81"/>
      <c r="BP6237" s="81"/>
      <c r="BQ6237" s="81"/>
      <c r="BR6237" s="81"/>
      <c r="BS6237" s="81"/>
      <c r="BT6237" s="81"/>
    </row>
    <row r="6238" spans="65:72" x14ac:dyDescent="0.25">
      <c r="BM6238" s="81"/>
      <c r="BN6238" s="81"/>
      <c r="BO6238" s="81"/>
      <c r="BP6238" s="81"/>
      <c r="BQ6238" s="81"/>
      <c r="BR6238" s="81"/>
      <c r="BS6238" s="81"/>
      <c r="BT6238" s="81"/>
    </row>
    <row r="6239" spans="65:72" x14ac:dyDescent="0.25">
      <c r="BM6239" s="81"/>
      <c r="BN6239" s="81"/>
      <c r="BO6239" s="81"/>
      <c r="BP6239" s="81"/>
      <c r="BQ6239" s="81"/>
      <c r="BR6239" s="81"/>
      <c r="BS6239" s="81"/>
      <c r="BT6239" s="81"/>
    </row>
    <row r="6240" spans="65:72" x14ac:dyDescent="0.25">
      <c r="BM6240" s="81"/>
      <c r="BN6240" s="81"/>
      <c r="BO6240" s="81"/>
      <c r="BP6240" s="81"/>
      <c r="BQ6240" s="81"/>
      <c r="BR6240" s="81"/>
      <c r="BS6240" s="81"/>
      <c r="BT6240" s="81"/>
    </row>
    <row r="6241" spans="65:72" x14ac:dyDescent="0.25">
      <c r="BM6241" s="81"/>
      <c r="BN6241" s="81"/>
      <c r="BO6241" s="81"/>
      <c r="BP6241" s="81"/>
      <c r="BQ6241" s="81"/>
      <c r="BR6241" s="81"/>
      <c r="BS6241" s="81"/>
      <c r="BT6241" s="81"/>
    </row>
    <row r="6242" spans="65:72" x14ac:dyDescent="0.25">
      <c r="BM6242" s="81"/>
      <c r="BN6242" s="81"/>
      <c r="BO6242" s="81"/>
      <c r="BP6242" s="81"/>
      <c r="BQ6242" s="81"/>
      <c r="BR6242" s="81"/>
      <c r="BS6242" s="81"/>
      <c r="BT6242" s="81"/>
    </row>
    <row r="6243" spans="65:72" x14ac:dyDescent="0.25">
      <c r="BM6243" s="81"/>
      <c r="BN6243" s="81"/>
      <c r="BO6243" s="81"/>
      <c r="BP6243" s="81"/>
      <c r="BQ6243" s="81"/>
      <c r="BR6243" s="81"/>
      <c r="BS6243" s="81"/>
      <c r="BT6243" s="81"/>
    </row>
    <row r="6244" spans="65:72" x14ac:dyDescent="0.25">
      <c r="BM6244" s="81"/>
      <c r="BN6244" s="81"/>
      <c r="BO6244" s="81"/>
      <c r="BP6244" s="81"/>
      <c r="BQ6244" s="81"/>
      <c r="BR6244" s="81"/>
      <c r="BS6244" s="81"/>
      <c r="BT6244" s="81"/>
    </row>
    <row r="6245" spans="65:72" x14ac:dyDescent="0.25">
      <c r="BM6245" s="81"/>
      <c r="BN6245" s="81"/>
      <c r="BO6245" s="81"/>
      <c r="BP6245" s="81"/>
      <c r="BQ6245" s="81"/>
      <c r="BR6245" s="81"/>
      <c r="BS6245" s="81"/>
      <c r="BT6245" s="81"/>
    </row>
    <row r="6246" spans="65:72" x14ac:dyDescent="0.25">
      <c r="BM6246" s="81"/>
      <c r="BN6246" s="81"/>
      <c r="BO6246" s="81"/>
      <c r="BP6246" s="81"/>
      <c r="BQ6246" s="81"/>
      <c r="BR6246" s="81"/>
      <c r="BS6246" s="81"/>
      <c r="BT6246" s="81"/>
    </row>
    <row r="6247" spans="65:72" x14ac:dyDescent="0.25">
      <c r="BM6247" s="81"/>
      <c r="BN6247" s="81"/>
      <c r="BO6247" s="81"/>
      <c r="BP6247" s="81"/>
      <c r="BQ6247" s="81"/>
      <c r="BR6247" s="81"/>
      <c r="BS6247" s="81"/>
      <c r="BT6247" s="81"/>
    </row>
    <row r="6248" spans="65:72" x14ac:dyDescent="0.25">
      <c r="BM6248" s="81"/>
      <c r="BN6248" s="81"/>
      <c r="BO6248" s="81"/>
      <c r="BP6248" s="81"/>
      <c r="BQ6248" s="81"/>
      <c r="BR6248" s="81"/>
      <c r="BS6248" s="81"/>
      <c r="BT6248" s="81"/>
    </row>
    <row r="6249" spans="65:72" x14ac:dyDescent="0.25">
      <c r="BM6249" s="81"/>
      <c r="BN6249" s="81"/>
      <c r="BO6249" s="81"/>
      <c r="BP6249" s="81"/>
      <c r="BQ6249" s="81"/>
      <c r="BR6249" s="81"/>
      <c r="BS6249" s="81"/>
      <c r="BT6249" s="81"/>
    </row>
    <row r="6250" spans="65:72" x14ac:dyDescent="0.25">
      <c r="BM6250" s="81"/>
      <c r="BN6250" s="81"/>
      <c r="BO6250" s="81"/>
      <c r="BP6250" s="81"/>
      <c r="BQ6250" s="81"/>
      <c r="BR6250" s="81"/>
      <c r="BS6250" s="81"/>
      <c r="BT6250" s="81"/>
    </row>
    <row r="6251" spans="65:72" x14ac:dyDescent="0.25">
      <c r="BM6251" s="81"/>
      <c r="BN6251" s="81"/>
      <c r="BO6251" s="81"/>
      <c r="BP6251" s="81"/>
      <c r="BQ6251" s="81"/>
      <c r="BR6251" s="81"/>
      <c r="BS6251" s="81"/>
      <c r="BT6251" s="81"/>
    </row>
    <row r="6252" spans="65:72" x14ac:dyDescent="0.25">
      <c r="BM6252" s="81"/>
      <c r="BN6252" s="81"/>
      <c r="BO6252" s="81"/>
      <c r="BP6252" s="81"/>
      <c r="BQ6252" s="81"/>
      <c r="BR6252" s="81"/>
      <c r="BS6252" s="81"/>
      <c r="BT6252" s="81"/>
    </row>
    <row r="6253" spans="65:72" x14ac:dyDescent="0.25">
      <c r="BM6253" s="81"/>
      <c r="BN6253" s="81"/>
      <c r="BO6253" s="81"/>
      <c r="BP6253" s="81"/>
      <c r="BQ6253" s="81"/>
      <c r="BR6253" s="81"/>
      <c r="BS6253" s="81"/>
      <c r="BT6253" s="81"/>
    </row>
    <row r="6254" spans="65:72" x14ac:dyDescent="0.25">
      <c r="BM6254" s="81"/>
      <c r="BN6254" s="81"/>
      <c r="BO6254" s="81"/>
      <c r="BP6254" s="81"/>
      <c r="BQ6254" s="81"/>
      <c r="BR6254" s="81"/>
      <c r="BS6254" s="81"/>
      <c r="BT6254" s="81"/>
    </row>
    <row r="6255" spans="65:72" x14ac:dyDescent="0.25">
      <c r="BM6255" s="81"/>
      <c r="BN6255" s="81"/>
      <c r="BO6255" s="81"/>
      <c r="BP6255" s="81"/>
      <c r="BQ6255" s="81"/>
      <c r="BR6255" s="81"/>
      <c r="BS6255" s="81"/>
      <c r="BT6255" s="81"/>
    </row>
    <row r="6256" spans="65:72" x14ac:dyDescent="0.25">
      <c r="BM6256" s="81"/>
      <c r="BN6256" s="81"/>
      <c r="BO6256" s="81"/>
      <c r="BP6256" s="81"/>
      <c r="BQ6256" s="81"/>
      <c r="BR6256" s="81"/>
      <c r="BS6256" s="81"/>
      <c r="BT6256" s="81"/>
    </row>
    <row r="6257" spans="65:72" x14ac:dyDescent="0.25">
      <c r="BM6257" s="81"/>
      <c r="BN6257" s="81"/>
      <c r="BO6257" s="81"/>
      <c r="BP6257" s="81"/>
      <c r="BQ6257" s="81"/>
      <c r="BR6257" s="81"/>
      <c r="BS6257" s="81"/>
      <c r="BT6257" s="81"/>
    </row>
    <row r="6258" spans="65:72" x14ac:dyDescent="0.25">
      <c r="BM6258" s="81"/>
      <c r="BN6258" s="81"/>
      <c r="BO6258" s="81"/>
      <c r="BP6258" s="81"/>
      <c r="BQ6258" s="81"/>
      <c r="BR6258" s="81"/>
      <c r="BS6258" s="81"/>
      <c r="BT6258" s="81"/>
    </row>
    <row r="6259" spans="65:72" x14ac:dyDescent="0.25">
      <c r="BM6259" s="81"/>
      <c r="BN6259" s="81"/>
      <c r="BO6259" s="81"/>
      <c r="BP6259" s="81"/>
      <c r="BQ6259" s="81"/>
      <c r="BR6259" s="81"/>
      <c r="BS6259" s="81"/>
      <c r="BT6259" s="81"/>
    </row>
    <row r="6260" spans="65:72" x14ac:dyDescent="0.25">
      <c r="BM6260" s="81"/>
      <c r="BN6260" s="81"/>
      <c r="BO6260" s="81"/>
      <c r="BP6260" s="81"/>
      <c r="BQ6260" s="81"/>
      <c r="BR6260" s="81"/>
      <c r="BS6260" s="81"/>
      <c r="BT6260" s="81"/>
    </row>
    <row r="6261" spans="65:72" x14ac:dyDescent="0.25">
      <c r="BM6261" s="81"/>
      <c r="BN6261" s="81"/>
      <c r="BO6261" s="81"/>
      <c r="BP6261" s="81"/>
      <c r="BQ6261" s="81"/>
      <c r="BR6261" s="81"/>
      <c r="BS6261" s="81"/>
      <c r="BT6261" s="81"/>
    </row>
    <row r="6262" spans="65:72" x14ac:dyDescent="0.25">
      <c r="BM6262" s="81"/>
      <c r="BN6262" s="81"/>
      <c r="BO6262" s="81"/>
      <c r="BP6262" s="81"/>
      <c r="BQ6262" s="81"/>
      <c r="BR6262" s="81"/>
      <c r="BS6262" s="81"/>
      <c r="BT6262" s="81"/>
    </row>
    <row r="6263" spans="65:72" x14ac:dyDescent="0.25">
      <c r="BM6263" s="81"/>
      <c r="BN6263" s="81"/>
      <c r="BO6263" s="81"/>
      <c r="BP6263" s="81"/>
      <c r="BQ6263" s="81"/>
      <c r="BR6263" s="81"/>
      <c r="BS6263" s="81"/>
      <c r="BT6263" s="81"/>
    </row>
    <row r="6264" spans="65:72" x14ac:dyDescent="0.25">
      <c r="BM6264" s="81"/>
      <c r="BN6264" s="81"/>
      <c r="BO6264" s="81"/>
      <c r="BP6264" s="81"/>
      <c r="BQ6264" s="81"/>
      <c r="BR6264" s="81"/>
      <c r="BS6264" s="81"/>
      <c r="BT6264" s="81"/>
    </row>
    <row r="6265" spans="65:72" x14ac:dyDescent="0.25">
      <c r="BM6265" s="81"/>
      <c r="BN6265" s="81"/>
      <c r="BO6265" s="81"/>
      <c r="BP6265" s="81"/>
      <c r="BQ6265" s="81"/>
      <c r="BR6265" s="81"/>
      <c r="BS6265" s="81"/>
      <c r="BT6265" s="81"/>
    </row>
    <row r="6266" spans="65:72" x14ac:dyDescent="0.25">
      <c r="BM6266" s="81"/>
      <c r="BN6266" s="81"/>
      <c r="BO6266" s="81"/>
      <c r="BP6266" s="81"/>
      <c r="BQ6266" s="81"/>
      <c r="BR6266" s="81"/>
      <c r="BS6266" s="81"/>
      <c r="BT6266" s="81"/>
    </row>
    <row r="6267" spans="65:72" x14ac:dyDescent="0.25">
      <c r="BM6267" s="81"/>
      <c r="BN6267" s="81"/>
      <c r="BO6267" s="81"/>
      <c r="BP6267" s="81"/>
      <c r="BQ6267" s="81"/>
      <c r="BR6267" s="81"/>
      <c r="BS6267" s="81"/>
      <c r="BT6267" s="81"/>
    </row>
    <row r="6268" spans="65:72" x14ac:dyDescent="0.25">
      <c r="BM6268" s="81"/>
      <c r="BN6268" s="81"/>
      <c r="BO6268" s="81"/>
      <c r="BP6268" s="81"/>
      <c r="BQ6268" s="81"/>
      <c r="BR6268" s="81"/>
      <c r="BS6268" s="81"/>
      <c r="BT6268" s="81"/>
    </row>
    <row r="6269" spans="65:72" x14ac:dyDescent="0.25">
      <c r="BM6269" s="81"/>
      <c r="BN6269" s="81"/>
      <c r="BO6269" s="81"/>
      <c r="BP6269" s="81"/>
      <c r="BQ6269" s="81"/>
      <c r="BR6269" s="81"/>
      <c r="BS6269" s="81"/>
      <c r="BT6269" s="81"/>
    </row>
    <row r="6270" spans="65:72" x14ac:dyDescent="0.25">
      <c r="BM6270" s="81"/>
      <c r="BN6270" s="81"/>
      <c r="BO6270" s="81"/>
      <c r="BP6270" s="81"/>
      <c r="BQ6270" s="81"/>
      <c r="BR6270" s="81"/>
      <c r="BS6270" s="81"/>
      <c r="BT6270" s="81"/>
    </row>
    <row r="6271" spans="65:72" x14ac:dyDescent="0.25">
      <c r="BM6271" s="81"/>
      <c r="BN6271" s="81"/>
      <c r="BO6271" s="81"/>
      <c r="BP6271" s="81"/>
      <c r="BQ6271" s="81"/>
      <c r="BR6271" s="81"/>
      <c r="BS6271" s="81"/>
      <c r="BT6271" s="81"/>
    </row>
    <row r="6272" spans="65:72" x14ac:dyDescent="0.25">
      <c r="BM6272" s="81"/>
      <c r="BN6272" s="81"/>
      <c r="BO6272" s="81"/>
      <c r="BP6272" s="81"/>
      <c r="BQ6272" s="81"/>
      <c r="BR6272" s="81"/>
      <c r="BS6272" s="81"/>
      <c r="BT6272" s="81"/>
    </row>
    <row r="6273" spans="65:72" x14ac:dyDescent="0.25">
      <c r="BM6273" s="81"/>
      <c r="BN6273" s="81"/>
      <c r="BO6273" s="81"/>
      <c r="BP6273" s="81"/>
      <c r="BQ6273" s="81"/>
      <c r="BR6273" s="81"/>
      <c r="BS6273" s="81"/>
      <c r="BT6273" s="81"/>
    </row>
    <row r="6274" spans="65:72" x14ac:dyDescent="0.25">
      <c r="BM6274" s="81"/>
      <c r="BN6274" s="81"/>
      <c r="BO6274" s="81"/>
      <c r="BP6274" s="81"/>
      <c r="BQ6274" s="81"/>
      <c r="BR6274" s="81"/>
      <c r="BS6274" s="81"/>
      <c r="BT6274" s="81"/>
    </row>
    <row r="6275" spans="65:72" x14ac:dyDescent="0.25">
      <c r="BM6275" s="81"/>
      <c r="BN6275" s="81"/>
      <c r="BO6275" s="81"/>
      <c r="BP6275" s="81"/>
      <c r="BQ6275" s="81"/>
      <c r="BR6275" s="81"/>
      <c r="BS6275" s="81"/>
      <c r="BT6275" s="81"/>
    </row>
    <row r="6276" spans="65:72" x14ac:dyDescent="0.25">
      <c r="BM6276" s="81"/>
      <c r="BN6276" s="81"/>
      <c r="BO6276" s="81"/>
      <c r="BP6276" s="81"/>
      <c r="BQ6276" s="81"/>
      <c r="BR6276" s="81"/>
      <c r="BS6276" s="81"/>
      <c r="BT6276" s="81"/>
    </row>
    <row r="6277" spans="65:72" x14ac:dyDescent="0.25">
      <c r="BM6277" s="81"/>
      <c r="BN6277" s="81"/>
      <c r="BO6277" s="81"/>
      <c r="BP6277" s="81"/>
      <c r="BQ6277" s="81"/>
      <c r="BR6277" s="81"/>
      <c r="BS6277" s="81"/>
      <c r="BT6277" s="81"/>
    </row>
    <row r="6278" spans="65:72" x14ac:dyDescent="0.25">
      <c r="BM6278" s="81"/>
      <c r="BN6278" s="81"/>
      <c r="BO6278" s="81"/>
      <c r="BP6278" s="81"/>
      <c r="BQ6278" s="81"/>
      <c r="BR6278" s="81"/>
      <c r="BS6278" s="81"/>
      <c r="BT6278" s="81"/>
    </row>
    <row r="6279" spans="65:72" x14ac:dyDescent="0.25">
      <c r="BM6279" s="81"/>
      <c r="BN6279" s="81"/>
      <c r="BO6279" s="81"/>
      <c r="BP6279" s="81"/>
      <c r="BQ6279" s="81"/>
      <c r="BR6279" s="81"/>
      <c r="BS6279" s="81"/>
      <c r="BT6279" s="81"/>
    </row>
    <row r="6280" spans="65:72" x14ac:dyDescent="0.25">
      <c r="BM6280" s="81"/>
      <c r="BN6280" s="81"/>
      <c r="BO6280" s="81"/>
      <c r="BP6280" s="81"/>
      <c r="BQ6280" s="81"/>
      <c r="BR6280" s="81"/>
      <c r="BS6280" s="81"/>
      <c r="BT6280" s="81"/>
    </row>
    <row r="6281" spans="65:72" x14ac:dyDescent="0.25">
      <c r="BM6281" s="81"/>
      <c r="BN6281" s="81"/>
      <c r="BO6281" s="81"/>
      <c r="BP6281" s="81"/>
      <c r="BQ6281" s="81"/>
      <c r="BR6281" s="81"/>
      <c r="BS6281" s="81"/>
      <c r="BT6281" s="81"/>
    </row>
    <row r="6282" spans="65:72" x14ac:dyDescent="0.25">
      <c r="BM6282" s="81"/>
      <c r="BN6282" s="81"/>
      <c r="BO6282" s="81"/>
      <c r="BP6282" s="81"/>
      <c r="BQ6282" s="81"/>
      <c r="BR6282" s="81"/>
      <c r="BS6282" s="81"/>
      <c r="BT6282" s="81"/>
    </row>
    <row r="6283" spans="65:72" x14ac:dyDescent="0.25">
      <c r="BM6283" s="81"/>
      <c r="BN6283" s="81"/>
      <c r="BO6283" s="81"/>
      <c r="BP6283" s="81"/>
      <c r="BQ6283" s="81"/>
      <c r="BR6283" s="81"/>
      <c r="BS6283" s="81"/>
      <c r="BT6283" s="81"/>
    </row>
    <row r="6284" spans="65:72" x14ac:dyDescent="0.25">
      <c r="BM6284" s="81"/>
      <c r="BN6284" s="81"/>
      <c r="BO6284" s="81"/>
      <c r="BP6284" s="81"/>
      <c r="BQ6284" s="81"/>
      <c r="BR6284" s="81"/>
      <c r="BS6284" s="81"/>
      <c r="BT6284" s="81"/>
    </row>
    <row r="6285" spans="65:72" x14ac:dyDescent="0.25">
      <c r="BM6285" s="81"/>
      <c r="BN6285" s="81"/>
      <c r="BO6285" s="81"/>
      <c r="BP6285" s="81"/>
      <c r="BQ6285" s="81"/>
      <c r="BR6285" s="81"/>
      <c r="BS6285" s="81"/>
      <c r="BT6285" s="81"/>
    </row>
    <row r="6286" spans="65:72" x14ac:dyDescent="0.25">
      <c r="BM6286" s="81"/>
      <c r="BN6286" s="81"/>
      <c r="BO6286" s="81"/>
      <c r="BP6286" s="81"/>
      <c r="BQ6286" s="81"/>
      <c r="BR6286" s="81"/>
      <c r="BS6286" s="81"/>
      <c r="BT6286" s="81"/>
    </row>
    <row r="6287" spans="65:72" x14ac:dyDescent="0.25">
      <c r="BM6287" s="81"/>
      <c r="BN6287" s="81"/>
      <c r="BO6287" s="81"/>
      <c r="BP6287" s="81"/>
      <c r="BQ6287" s="81"/>
      <c r="BR6287" s="81"/>
      <c r="BS6287" s="81"/>
      <c r="BT6287" s="81"/>
    </row>
    <row r="6288" spans="65:72" x14ac:dyDescent="0.25">
      <c r="BM6288" s="81"/>
      <c r="BN6288" s="81"/>
      <c r="BO6288" s="81"/>
      <c r="BP6288" s="81"/>
      <c r="BQ6288" s="81"/>
      <c r="BR6288" s="81"/>
      <c r="BS6288" s="81"/>
      <c r="BT6288" s="81"/>
    </row>
    <row r="6289" spans="65:72" x14ac:dyDescent="0.25">
      <c r="BM6289" s="81"/>
      <c r="BN6289" s="81"/>
      <c r="BO6289" s="81"/>
      <c r="BP6289" s="81"/>
      <c r="BQ6289" s="81"/>
      <c r="BR6289" s="81"/>
      <c r="BS6289" s="81"/>
      <c r="BT6289" s="81"/>
    </row>
    <row r="6290" spans="65:72" x14ac:dyDescent="0.25">
      <c r="BM6290" s="81"/>
      <c r="BN6290" s="81"/>
      <c r="BO6290" s="81"/>
      <c r="BP6290" s="81"/>
      <c r="BQ6290" s="81"/>
      <c r="BR6290" s="81"/>
      <c r="BS6290" s="81"/>
      <c r="BT6290" s="81"/>
    </row>
    <row r="6291" spans="65:72" x14ac:dyDescent="0.25">
      <c r="BM6291" s="81"/>
      <c r="BN6291" s="81"/>
      <c r="BO6291" s="81"/>
      <c r="BP6291" s="81"/>
      <c r="BQ6291" s="81"/>
      <c r="BR6291" s="81"/>
      <c r="BS6291" s="81"/>
      <c r="BT6291" s="81"/>
    </row>
    <row r="6292" spans="65:72" x14ac:dyDescent="0.25">
      <c r="BM6292" s="81"/>
      <c r="BN6292" s="81"/>
      <c r="BO6292" s="81"/>
      <c r="BP6292" s="81"/>
      <c r="BQ6292" s="81"/>
      <c r="BR6292" s="81"/>
      <c r="BS6292" s="81"/>
      <c r="BT6292" s="81"/>
    </row>
    <row r="6293" spans="65:72" x14ac:dyDescent="0.25">
      <c r="BM6293" s="81"/>
      <c r="BN6293" s="81"/>
      <c r="BO6293" s="81"/>
      <c r="BP6293" s="81"/>
      <c r="BQ6293" s="81"/>
      <c r="BR6293" s="81"/>
      <c r="BS6293" s="81"/>
      <c r="BT6293" s="81"/>
    </row>
    <row r="6294" spans="65:72" x14ac:dyDescent="0.25">
      <c r="BM6294" s="81"/>
      <c r="BN6294" s="81"/>
      <c r="BO6294" s="81"/>
      <c r="BP6294" s="81"/>
      <c r="BQ6294" s="81"/>
      <c r="BR6294" s="81"/>
      <c r="BS6294" s="81"/>
      <c r="BT6294" s="81"/>
    </row>
    <row r="6295" spans="65:72" x14ac:dyDescent="0.25">
      <c r="BM6295" s="81"/>
      <c r="BN6295" s="81"/>
      <c r="BO6295" s="81"/>
      <c r="BP6295" s="81"/>
      <c r="BQ6295" s="81"/>
      <c r="BR6295" s="81"/>
      <c r="BS6295" s="81"/>
      <c r="BT6295" s="81"/>
    </row>
    <row r="6296" spans="65:72" x14ac:dyDescent="0.25">
      <c r="BM6296" s="81"/>
      <c r="BN6296" s="81"/>
      <c r="BO6296" s="81"/>
      <c r="BP6296" s="81"/>
      <c r="BQ6296" s="81"/>
      <c r="BR6296" s="81"/>
      <c r="BS6296" s="81"/>
      <c r="BT6296" s="81"/>
    </row>
    <row r="6297" spans="65:72" x14ac:dyDescent="0.25">
      <c r="BM6297" s="81"/>
      <c r="BN6297" s="81"/>
      <c r="BO6297" s="81"/>
      <c r="BP6297" s="81"/>
      <c r="BQ6297" s="81"/>
      <c r="BR6297" s="81"/>
      <c r="BS6297" s="81"/>
      <c r="BT6297" s="81"/>
    </row>
    <row r="6298" spans="65:72" x14ac:dyDescent="0.25">
      <c r="BM6298" s="81"/>
      <c r="BN6298" s="81"/>
      <c r="BO6298" s="81"/>
      <c r="BP6298" s="81"/>
      <c r="BQ6298" s="81"/>
      <c r="BR6298" s="81"/>
      <c r="BS6298" s="81"/>
      <c r="BT6298" s="81"/>
    </row>
    <row r="6299" spans="65:72" x14ac:dyDescent="0.25">
      <c r="BM6299" s="81"/>
      <c r="BN6299" s="81"/>
      <c r="BO6299" s="81"/>
      <c r="BP6299" s="81"/>
      <c r="BQ6299" s="81"/>
      <c r="BR6299" s="81"/>
      <c r="BS6299" s="81"/>
      <c r="BT6299" s="81"/>
    </row>
    <row r="6300" spans="65:72" x14ac:dyDescent="0.25">
      <c r="BM6300" s="81"/>
      <c r="BN6300" s="81"/>
      <c r="BO6300" s="81"/>
      <c r="BP6300" s="81"/>
      <c r="BQ6300" s="81"/>
      <c r="BR6300" s="81"/>
      <c r="BS6300" s="81"/>
      <c r="BT6300" s="81"/>
    </row>
    <row r="6301" spans="65:72" x14ac:dyDescent="0.25">
      <c r="BM6301" s="81"/>
      <c r="BN6301" s="81"/>
      <c r="BO6301" s="81"/>
      <c r="BP6301" s="81"/>
      <c r="BQ6301" s="81"/>
      <c r="BR6301" s="81"/>
      <c r="BS6301" s="81"/>
      <c r="BT6301" s="81"/>
    </row>
    <row r="6302" spans="65:72" x14ac:dyDescent="0.25">
      <c r="BM6302" s="81"/>
      <c r="BN6302" s="81"/>
      <c r="BO6302" s="81"/>
      <c r="BP6302" s="81"/>
      <c r="BQ6302" s="81"/>
      <c r="BR6302" s="81"/>
      <c r="BS6302" s="81"/>
      <c r="BT6302" s="81"/>
    </row>
    <row r="6303" spans="65:72" x14ac:dyDescent="0.25">
      <c r="BM6303" s="81"/>
      <c r="BN6303" s="81"/>
      <c r="BO6303" s="81"/>
      <c r="BP6303" s="81"/>
      <c r="BQ6303" s="81"/>
      <c r="BR6303" s="81"/>
      <c r="BS6303" s="81"/>
      <c r="BT6303" s="81"/>
    </row>
    <row r="6304" spans="65:72" x14ac:dyDescent="0.25">
      <c r="BM6304" s="81"/>
      <c r="BN6304" s="81"/>
      <c r="BO6304" s="81"/>
      <c r="BP6304" s="81"/>
      <c r="BQ6304" s="81"/>
      <c r="BR6304" s="81"/>
      <c r="BS6304" s="81"/>
      <c r="BT6304" s="81"/>
    </row>
    <row r="6305" spans="65:72" x14ac:dyDescent="0.25">
      <c r="BM6305" s="81"/>
      <c r="BN6305" s="81"/>
      <c r="BO6305" s="81"/>
      <c r="BP6305" s="81"/>
      <c r="BQ6305" s="81"/>
      <c r="BR6305" s="81"/>
      <c r="BS6305" s="81"/>
      <c r="BT6305" s="81"/>
    </row>
    <row r="6306" spans="65:72" x14ac:dyDescent="0.25">
      <c r="BM6306" s="81"/>
      <c r="BN6306" s="81"/>
      <c r="BO6306" s="81"/>
      <c r="BP6306" s="81"/>
      <c r="BQ6306" s="81"/>
      <c r="BR6306" s="81"/>
      <c r="BS6306" s="81"/>
      <c r="BT6306" s="81"/>
    </row>
    <row r="6307" spans="65:72" x14ac:dyDescent="0.25">
      <c r="BM6307" s="81"/>
      <c r="BN6307" s="81"/>
      <c r="BO6307" s="81"/>
      <c r="BP6307" s="81"/>
      <c r="BQ6307" s="81"/>
      <c r="BR6307" s="81"/>
      <c r="BS6307" s="81"/>
      <c r="BT6307" s="81"/>
    </row>
    <row r="6308" spans="65:72" x14ac:dyDescent="0.25">
      <c r="BM6308" s="81"/>
      <c r="BN6308" s="81"/>
      <c r="BO6308" s="81"/>
      <c r="BP6308" s="81"/>
      <c r="BQ6308" s="81"/>
      <c r="BR6308" s="81"/>
      <c r="BS6308" s="81"/>
      <c r="BT6308" s="81"/>
    </row>
    <row r="6309" spans="65:72" x14ac:dyDescent="0.25">
      <c r="BM6309" s="81"/>
      <c r="BN6309" s="81"/>
      <c r="BO6309" s="81"/>
      <c r="BP6309" s="81"/>
      <c r="BQ6309" s="81"/>
      <c r="BR6309" s="81"/>
      <c r="BS6309" s="81"/>
      <c r="BT6309" s="81"/>
    </row>
    <row r="6310" spans="65:72" x14ac:dyDescent="0.25">
      <c r="BM6310" s="81"/>
      <c r="BN6310" s="81"/>
      <c r="BO6310" s="81"/>
      <c r="BP6310" s="81"/>
      <c r="BQ6310" s="81"/>
      <c r="BR6310" s="81"/>
      <c r="BS6310" s="81"/>
      <c r="BT6310" s="81"/>
    </row>
    <row r="6311" spans="65:72" x14ac:dyDescent="0.25">
      <c r="BM6311" s="81"/>
      <c r="BN6311" s="81"/>
      <c r="BO6311" s="81"/>
      <c r="BP6311" s="81"/>
      <c r="BQ6311" s="81"/>
      <c r="BR6311" s="81"/>
      <c r="BS6311" s="81"/>
      <c r="BT6311" s="81"/>
    </row>
    <row r="6312" spans="65:72" x14ac:dyDescent="0.25">
      <c r="BM6312" s="81"/>
      <c r="BN6312" s="81"/>
      <c r="BO6312" s="81"/>
      <c r="BP6312" s="81"/>
      <c r="BQ6312" s="81"/>
      <c r="BR6312" s="81"/>
      <c r="BS6312" s="81"/>
      <c r="BT6312" s="81"/>
    </row>
    <row r="6313" spans="65:72" x14ac:dyDescent="0.25">
      <c r="BM6313" s="81"/>
      <c r="BN6313" s="81"/>
      <c r="BO6313" s="81"/>
      <c r="BP6313" s="81"/>
      <c r="BQ6313" s="81"/>
      <c r="BR6313" s="81"/>
      <c r="BS6313" s="81"/>
      <c r="BT6313" s="81"/>
    </row>
    <row r="6314" spans="65:72" x14ac:dyDescent="0.25">
      <c r="BM6314" s="81"/>
      <c r="BN6314" s="81"/>
      <c r="BO6314" s="81"/>
      <c r="BP6314" s="81"/>
      <c r="BQ6314" s="81"/>
      <c r="BR6314" s="81"/>
      <c r="BS6314" s="81"/>
      <c r="BT6314" s="81"/>
    </row>
    <row r="6315" spans="65:72" x14ac:dyDescent="0.25">
      <c r="BM6315" s="81"/>
      <c r="BN6315" s="81"/>
      <c r="BO6315" s="81"/>
      <c r="BP6315" s="81"/>
      <c r="BQ6315" s="81"/>
      <c r="BR6315" s="81"/>
      <c r="BS6315" s="81"/>
      <c r="BT6315" s="81"/>
    </row>
    <row r="6316" spans="65:72" x14ac:dyDescent="0.25">
      <c r="BM6316" s="81"/>
      <c r="BN6316" s="81"/>
      <c r="BO6316" s="81"/>
      <c r="BP6316" s="81"/>
      <c r="BQ6316" s="81"/>
      <c r="BR6316" s="81"/>
      <c r="BS6316" s="81"/>
      <c r="BT6316" s="81"/>
    </row>
    <row r="6317" spans="65:72" x14ac:dyDescent="0.25">
      <c r="BM6317" s="81"/>
      <c r="BN6317" s="81"/>
      <c r="BO6317" s="81"/>
      <c r="BP6317" s="81"/>
      <c r="BQ6317" s="81"/>
      <c r="BR6317" s="81"/>
      <c r="BS6317" s="81"/>
      <c r="BT6317" s="81"/>
    </row>
    <row r="6318" spans="65:72" x14ac:dyDescent="0.25">
      <c r="BM6318" s="81"/>
      <c r="BN6318" s="81"/>
      <c r="BO6318" s="81"/>
      <c r="BP6318" s="81"/>
      <c r="BQ6318" s="81"/>
      <c r="BR6318" s="81"/>
      <c r="BS6318" s="81"/>
      <c r="BT6318" s="81"/>
    </row>
    <row r="6319" spans="65:72" x14ac:dyDescent="0.25">
      <c r="BM6319" s="81"/>
      <c r="BN6319" s="81"/>
      <c r="BO6319" s="81"/>
      <c r="BP6319" s="81"/>
      <c r="BQ6319" s="81"/>
      <c r="BR6319" s="81"/>
      <c r="BS6319" s="81"/>
      <c r="BT6319" s="81"/>
    </row>
    <row r="6320" spans="65:72" x14ac:dyDescent="0.25">
      <c r="BM6320" s="81"/>
      <c r="BN6320" s="81"/>
      <c r="BO6320" s="81"/>
      <c r="BP6320" s="81"/>
      <c r="BQ6320" s="81"/>
      <c r="BR6320" s="81"/>
      <c r="BS6320" s="81"/>
      <c r="BT6320" s="81"/>
    </row>
    <row r="6321" spans="65:72" x14ac:dyDescent="0.25">
      <c r="BM6321" s="81"/>
      <c r="BN6321" s="81"/>
      <c r="BO6321" s="81"/>
      <c r="BP6321" s="81"/>
      <c r="BQ6321" s="81"/>
      <c r="BR6321" s="81"/>
      <c r="BS6321" s="81"/>
      <c r="BT6321" s="81"/>
    </row>
    <row r="6322" spans="65:72" x14ac:dyDescent="0.25">
      <c r="BM6322" s="81"/>
      <c r="BN6322" s="81"/>
      <c r="BO6322" s="81"/>
      <c r="BP6322" s="81"/>
      <c r="BQ6322" s="81"/>
      <c r="BR6322" s="81"/>
      <c r="BS6322" s="81"/>
      <c r="BT6322" s="81"/>
    </row>
    <row r="6323" spans="65:72" x14ac:dyDescent="0.25">
      <c r="BM6323" s="81"/>
      <c r="BN6323" s="81"/>
      <c r="BO6323" s="81"/>
      <c r="BP6323" s="81"/>
      <c r="BQ6323" s="81"/>
      <c r="BR6323" s="81"/>
      <c r="BS6323" s="81"/>
      <c r="BT6323" s="81"/>
    </row>
    <row r="6324" spans="65:72" x14ac:dyDescent="0.25">
      <c r="BM6324" s="81"/>
      <c r="BN6324" s="81"/>
      <c r="BO6324" s="81"/>
      <c r="BP6324" s="81"/>
      <c r="BQ6324" s="81"/>
      <c r="BR6324" s="81"/>
      <c r="BS6324" s="81"/>
      <c r="BT6324" s="81"/>
    </row>
    <row r="6325" spans="65:72" x14ac:dyDescent="0.25">
      <c r="BM6325" s="81"/>
      <c r="BN6325" s="81"/>
      <c r="BO6325" s="81"/>
      <c r="BP6325" s="81"/>
      <c r="BQ6325" s="81"/>
      <c r="BR6325" s="81"/>
      <c r="BS6325" s="81"/>
      <c r="BT6325" s="81"/>
    </row>
    <row r="6326" spans="65:72" x14ac:dyDescent="0.25">
      <c r="BM6326" s="81"/>
      <c r="BN6326" s="81"/>
      <c r="BO6326" s="81"/>
      <c r="BP6326" s="81"/>
      <c r="BQ6326" s="81"/>
      <c r="BR6326" s="81"/>
      <c r="BS6326" s="81"/>
      <c r="BT6326" s="81"/>
    </row>
    <row r="6327" spans="65:72" x14ac:dyDescent="0.25">
      <c r="BM6327" s="81"/>
      <c r="BN6327" s="81"/>
      <c r="BO6327" s="81"/>
      <c r="BP6327" s="81"/>
      <c r="BQ6327" s="81"/>
      <c r="BR6327" s="81"/>
      <c r="BS6327" s="81"/>
      <c r="BT6327" s="81"/>
    </row>
    <row r="6328" spans="65:72" x14ac:dyDescent="0.25">
      <c r="BM6328" s="81"/>
      <c r="BN6328" s="81"/>
      <c r="BO6328" s="81"/>
      <c r="BP6328" s="81"/>
      <c r="BQ6328" s="81"/>
      <c r="BR6328" s="81"/>
      <c r="BS6328" s="81"/>
      <c r="BT6328" s="81"/>
    </row>
    <row r="6329" spans="65:72" x14ac:dyDescent="0.25">
      <c r="BM6329" s="81"/>
      <c r="BN6329" s="81"/>
      <c r="BO6329" s="81"/>
      <c r="BP6329" s="81"/>
      <c r="BQ6329" s="81"/>
      <c r="BR6329" s="81"/>
      <c r="BS6329" s="81"/>
      <c r="BT6329" s="81"/>
    </row>
    <row r="6330" spans="65:72" x14ac:dyDescent="0.25">
      <c r="BM6330" s="81"/>
      <c r="BN6330" s="81"/>
      <c r="BO6330" s="81"/>
      <c r="BP6330" s="81"/>
      <c r="BQ6330" s="81"/>
      <c r="BR6330" s="81"/>
      <c r="BS6330" s="81"/>
      <c r="BT6330" s="81"/>
    </row>
    <row r="6331" spans="65:72" x14ac:dyDescent="0.25">
      <c r="BM6331" s="81"/>
      <c r="BN6331" s="81"/>
      <c r="BO6331" s="81"/>
      <c r="BP6331" s="81"/>
      <c r="BQ6331" s="81"/>
      <c r="BR6331" s="81"/>
      <c r="BS6331" s="81"/>
      <c r="BT6331" s="81"/>
    </row>
    <row r="6332" spans="65:72" x14ac:dyDescent="0.25">
      <c r="BM6332" s="81"/>
      <c r="BN6332" s="81"/>
      <c r="BO6332" s="81"/>
      <c r="BP6332" s="81"/>
      <c r="BQ6332" s="81"/>
      <c r="BR6332" s="81"/>
      <c r="BS6332" s="81"/>
      <c r="BT6332" s="81"/>
    </row>
    <row r="6333" spans="65:72" x14ac:dyDescent="0.25">
      <c r="BM6333" s="81"/>
      <c r="BN6333" s="81"/>
      <c r="BO6333" s="81"/>
      <c r="BP6333" s="81"/>
      <c r="BQ6333" s="81"/>
      <c r="BR6333" s="81"/>
      <c r="BS6333" s="81"/>
      <c r="BT6333" s="81"/>
    </row>
    <row r="6334" spans="65:72" x14ac:dyDescent="0.25">
      <c r="BM6334" s="81"/>
      <c r="BN6334" s="81"/>
      <c r="BO6334" s="81"/>
      <c r="BP6334" s="81"/>
      <c r="BQ6334" s="81"/>
      <c r="BR6334" s="81"/>
      <c r="BS6334" s="81"/>
      <c r="BT6334" s="81"/>
    </row>
    <row r="6335" spans="65:72" x14ac:dyDescent="0.25">
      <c r="BM6335" s="81"/>
      <c r="BN6335" s="81"/>
      <c r="BO6335" s="81"/>
      <c r="BP6335" s="81"/>
      <c r="BQ6335" s="81"/>
      <c r="BR6335" s="81"/>
      <c r="BS6335" s="81"/>
      <c r="BT6335" s="81"/>
    </row>
    <row r="6336" spans="65:72" x14ac:dyDescent="0.25">
      <c r="BM6336" s="81"/>
      <c r="BN6336" s="81"/>
      <c r="BO6336" s="81"/>
      <c r="BP6336" s="81"/>
      <c r="BQ6336" s="81"/>
      <c r="BR6336" s="81"/>
      <c r="BS6336" s="81"/>
      <c r="BT6336" s="81"/>
    </row>
    <row r="6337" spans="65:72" x14ac:dyDescent="0.25">
      <c r="BM6337" s="81"/>
      <c r="BN6337" s="81"/>
      <c r="BO6337" s="81"/>
      <c r="BP6337" s="81"/>
      <c r="BQ6337" s="81"/>
      <c r="BR6337" s="81"/>
      <c r="BS6337" s="81"/>
      <c r="BT6337" s="81"/>
    </row>
    <row r="6338" spans="65:72" x14ac:dyDescent="0.25">
      <c r="BM6338" s="81"/>
      <c r="BN6338" s="81"/>
      <c r="BO6338" s="81"/>
      <c r="BP6338" s="81"/>
      <c r="BQ6338" s="81"/>
      <c r="BR6338" s="81"/>
      <c r="BS6338" s="81"/>
      <c r="BT6338" s="81"/>
    </row>
    <row r="6339" spans="65:72" x14ac:dyDescent="0.25">
      <c r="BM6339" s="81"/>
      <c r="BN6339" s="81"/>
      <c r="BO6339" s="81"/>
      <c r="BP6339" s="81"/>
      <c r="BQ6339" s="81"/>
      <c r="BR6339" s="81"/>
      <c r="BS6339" s="81"/>
      <c r="BT6339" s="81"/>
    </row>
    <row r="6340" spans="65:72" x14ac:dyDescent="0.25">
      <c r="BM6340" s="81"/>
      <c r="BN6340" s="81"/>
      <c r="BO6340" s="81"/>
      <c r="BP6340" s="81"/>
      <c r="BQ6340" s="81"/>
      <c r="BR6340" s="81"/>
      <c r="BS6340" s="81"/>
      <c r="BT6340" s="81"/>
    </row>
    <row r="6341" spans="65:72" x14ac:dyDescent="0.25">
      <c r="BM6341" s="81"/>
      <c r="BN6341" s="81"/>
      <c r="BO6341" s="81"/>
      <c r="BP6341" s="81"/>
      <c r="BQ6341" s="81"/>
      <c r="BR6341" s="81"/>
      <c r="BS6341" s="81"/>
      <c r="BT6341" s="81"/>
    </row>
    <row r="6342" spans="65:72" x14ac:dyDescent="0.25">
      <c r="BM6342" s="81"/>
      <c r="BN6342" s="81"/>
      <c r="BO6342" s="81"/>
      <c r="BP6342" s="81"/>
      <c r="BQ6342" s="81"/>
      <c r="BR6342" s="81"/>
      <c r="BS6342" s="81"/>
      <c r="BT6342" s="81"/>
    </row>
    <row r="6343" spans="65:72" x14ac:dyDescent="0.25">
      <c r="BM6343" s="81"/>
      <c r="BN6343" s="81"/>
      <c r="BO6343" s="81"/>
      <c r="BP6343" s="81"/>
      <c r="BQ6343" s="81"/>
      <c r="BR6343" s="81"/>
      <c r="BS6343" s="81"/>
      <c r="BT6343" s="81"/>
    </row>
    <row r="6344" spans="65:72" x14ac:dyDescent="0.25">
      <c r="BM6344" s="81"/>
      <c r="BN6344" s="81"/>
      <c r="BO6344" s="81"/>
      <c r="BP6344" s="81"/>
      <c r="BQ6344" s="81"/>
      <c r="BR6344" s="81"/>
      <c r="BS6344" s="81"/>
      <c r="BT6344" s="81"/>
    </row>
    <row r="6345" spans="65:72" x14ac:dyDescent="0.25">
      <c r="BM6345" s="81"/>
      <c r="BN6345" s="81"/>
      <c r="BO6345" s="81"/>
      <c r="BP6345" s="81"/>
      <c r="BQ6345" s="81"/>
      <c r="BR6345" s="81"/>
      <c r="BS6345" s="81"/>
      <c r="BT6345" s="81"/>
    </row>
    <row r="6346" spans="65:72" x14ac:dyDescent="0.25">
      <c r="BM6346" s="81"/>
      <c r="BN6346" s="81"/>
      <c r="BO6346" s="81"/>
      <c r="BP6346" s="81"/>
      <c r="BQ6346" s="81"/>
      <c r="BR6346" s="81"/>
      <c r="BS6346" s="81"/>
      <c r="BT6346" s="81"/>
    </row>
    <row r="6347" spans="65:72" x14ac:dyDescent="0.25">
      <c r="BM6347" s="81"/>
      <c r="BN6347" s="81"/>
      <c r="BO6347" s="81"/>
      <c r="BP6347" s="81"/>
      <c r="BQ6347" s="81"/>
      <c r="BR6347" s="81"/>
      <c r="BS6347" s="81"/>
      <c r="BT6347" s="81"/>
    </row>
    <row r="6348" spans="65:72" x14ac:dyDescent="0.25">
      <c r="BM6348" s="81"/>
      <c r="BN6348" s="81"/>
      <c r="BO6348" s="81"/>
      <c r="BP6348" s="81"/>
      <c r="BQ6348" s="81"/>
      <c r="BR6348" s="81"/>
      <c r="BS6348" s="81"/>
      <c r="BT6348" s="81"/>
    </row>
    <row r="6349" spans="65:72" x14ac:dyDescent="0.25">
      <c r="BM6349" s="81"/>
      <c r="BN6349" s="81"/>
      <c r="BO6349" s="81"/>
      <c r="BP6349" s="81"/>
      <c r="BQ6349" s="81"/>
      <c r="BR6349" s="81"/>
      <c r="BS6349" s="81"/>
      <c r="BT6349" s="81"/>
    </row>
    <row r="6350" spans="65:72" x14ac:dyDescent="0.25">
      <c r="BM6350" s="81"/>
      <c r="BN6350" s="81"/>
      <c r="BO6350" s="81"/>
      <c r="BP6350" s="81"/>
      <c r="BQ6350" s="81"/>
      <c r="BR6350" s="81"/>
      <c r="BS6350" s="81"/>
      <c r="BT6350" s="81"/>
    </row>
    <row r="6351" spans="65:72" x14ac:dyDescent="0.25">
      <c r="BM6351" s="81"/>
      <c r="BN6351" s="81"/>
      <c r="BO6351" s="81"/>
      <c r="BP6351" s="81"/>
      <c r="BQ6351" s="81"/>
      <c r="BR6351" s="81"/>
      <c r="BS6351" s="81"/>
      <c r="BT6351" s="81"/>
    </row>
    <row r="6352" spans="65:72" x14ac:dyDescent="0.25">
      <c r="BM6352" s="81"/>
      <c r="BN6352" s="81"/>
      <c r="BO6352" s="81"/>
      <c r="BP6352" s="81"/>
      <c r="BQ6352" s="81"/>
      <c r="BR6352" s="81"/>
      <c r="BS6352" s="81"/>
      <c r="BT6352" s="81"/>
    </row>
    <row r="6353" spans="65:72" x14ac:dyDescent="0.25">
      <c r="BM6353" s="81"/>
      <c r="BN6353" s="81"/>
      <c r="BO6353" s="81"/>
      <c r="BP6353" s="81"/>
      <c r="BQ6353" s="81"/>
      <c r="BR6353" s="81"/>
      <c r="BS6353" s="81"/>
      <c r="BT6353" s="81"/>
    </row>
    <row r="6354" spans="65:72" x14ac:dyDescent="0.25">
      <c r="BM6354" s="81"/>
      <c r="BN6354" s="81"/>
      <c r="BO6354" s="81"/>
      <c r="BP6354" s="81"/>
      <c r="BQ6354" s="81"/>
      <c r="BR6354" s="81"/>
      <c r="BS6354" s="81"/>
      <c r="BT6354" s="81"/>
    </row>
    <row r="6355" spans="65:72" x14ac:dyDescent="0.25">
      <c r="BM6355" s="81"/>
      <c r="BN6355" s="81"/>
      <c r="BO6355" s="81"/>
      <c r="BP6355" s="81"/>
      <c r="BQ6355" s="81"/>
      <c r="BR6355" s="81"/>
      <c r="BS6355" s="81"/>
      <c r="BT6355" s="81"/>
    </row>
    <row r="6356" spans="65:72" x14ac:dyDescent="0.25">
      <c r="BM6356" s="81"/>
      <c r="BN6356" s="81"/>
      <c r="BO6356" s="81"/>
      <c r="BP6356" s="81"/>
      <c r="BQ6356" s="81"/>
      <c r="BR6356" s="81"/>
      <c r="BS6356" s="81"/>
      <c r="BT6356" s="81"/>
    </row>
    <row r="6357" spans="65:72" x14ac:dyDescent="0.25">
      <c r="BM6357" s="81"/>
      <c r="BN6357" s="81"/>
      <c r="BO6357" s="81"/>
      <c r="BP6357" s="81"/>
      <c r="BQ6357" s="81"/>
      <c r="BR6357" s="81"/>
      <c r="BS6357" s="81"/>
      <c r="BT6357" s="81"/>
    </row>
    <row r="6358" spans="65:72" x14ac:dyDescent="0.25">
      <c r="BM6358" s="81"/>
      <c r="BN6358" s="81"/>
      <c r="BO6358" s="81"/>
      <c r="BP6358" s="81"/>
      <c r="BQ6358" s="81"/>
      <c r="BR6358" s="81"/>
      <c r="BS6358" s="81"/>
      <c r="BT6358" s="81"/>
    </row>
    <row r="6359" spans="65:72" x14ac:dyDescent="0.25">
      <c r="BM6359" s="81"/>
      <c r="BN6359" s="81"/>
      <c r="BO6359" s="81"/>
      <c r="BP6359" s="81"/>
      <c r="BQ6359" s="81"/>
      <c r="BR6359" s="81"/>
      <c r="BS6359" s="81"/>
      <c r="BT6359" s="81"/>
    </row>
    <row r="6360" spans="65:72" x14ac:dyDescent="0.25">
      <c r="BM6360" s="81"/>
      <c r="BN6360" s="81"/>
      <c r="BO6360" s="81"/>
      <c r="BP6360" s="81"/>
      <c r="BQ6360" s="81"/>
      <c r="BR6360" s="81"/>
      <c r="BS6360" s="81"/>
      <c r="BT6360" s="81"/>
    </row>
    <row r="6361" spans="65:72" x14ac:dyDescent="0.25">
      <c r="BM6361" s="81"/>
      <c r="BN6361" s="81"/>
      <c r="BO6361" s="81"/>
      <c r="BP6361" s="81"/>
      <c r="BQ6361" s="81"/>
      <c r="BR6361" s="81"/>
      <c r="BS6361" s="81"/>
      <c r="BT6361" s="81"/>
    </row>
    <row r="6362" spans="65:72" x14ac:dyDescent="0.25">
      <c r="BM6362" s="81"/>
      <c r="BN6362" s="81"/>
      <c r="BO6362" s="81"/>
      <c r="BP6362" s="81"/>
      <c r="BQ6362" s="81"/>
      <c r="BR6362" s="81"/>
      <c r="BS6362" s="81"/>
      <c r="BT6362" s="81"/>
    </row>
    <row r="6363" spans="65:72" x14ac:dyDescent="0.25">
      <c r="BM6363" s="81"/>
      <c r="BN6363" s="81"/>
      <c r="BO6363" s="81"/>
      <c r="BP6363" s="81"/>
      <c r="BQ6363" s="81"/>
      <c r="BR6363" s="81"/>
      <c r="BS6363" s="81"/>
      <c r="BT6363" s="81"/>
    </row>
    <row r="6364" spans="65:72" x14ac:dyDescent="0.25">
      <c r="BM6364" s="81"/>
      <c r="BN6364" s="81"/>
      <c r="BO6364" s="81"/>
      <c r="BP6364" s="81"/>
      <c r="BQ6364" s="81"/>
      <c r="BR6364" s="81"/>
      <c r="BS6364" s="81"/>
      <c r="BT6364" s="81"/>
    </row>
    <row r="6365" spans="65:72" x14ac:dyDescent="0.25">
      <c r="BM6365" s="81"/>
      <c r="BN6365" s="81"/>
      <c r="BO6365" s="81"/>
      <c r="BP6365" s="81"/>
      <c r="BQ6365" s="81"/>
      <c r="BR6365" s="81"/>
      <c r="BS6365" s="81"/>
      <c r="BT6365" s="81"/>
    </row>
    <row r="6366" spans="65:72" x14ac:dyDescent="0.25">
      <c r="BM6366" s="81"/>
      <c r="BN6366" s="81"/>
      <c r="BO6366" s="81"/>
      <c r="BP6366" s="81"/>
      <c r="BQ6366" s="81"/>
      <c r="BR6366" s="81"/>
      <c r="BS6366" s="81"/>
      <c r="BT6366" s="81"/>
    </row>
    <row r="6367" spans="65:72" x14ac:dyDescent="0.25">
      <c r="BM6367" s="81"/>
      <c r="BN6367" s="81"/>
      <c r="BO6367" s="81"/>
      <c r="BP6367" s="81"/>
      <c r="BQ6367" s="81"/>
      <c r="BR6367" s="81"/>
      <c r="BS6367" s="81"/>
      <c r="BT6367" s="81"/>
    </row>
    <row r="6368" spans="65:72" x14ac:dyDescent="0.25">
      <c r="BM6368" s="81"/>
      <c r="BN6368" s="81"/>
      <c r="BO6368" s="81"/>
      <c r="BP6368" s="81"/>
      <c r="BQ6368" s="81"/>
      <c r="BR6368" s="81"/>
      <c r="BS6368" s="81"/>
      <c r="BT6368" s="81"/>
    </row>
    <row r="6369" spans="65:72" x14ac:dyDescent="0.25">
      <c r="BM6369" s="81"/>
      <c r="BN6369" s="81"/>
      <c r="BO6369" s="81"/>
      <c r="BP6369" s="81"/>
      <c r="BQ6369" s="81"/>
      <c r="BR6369" s="81"/>
      <c r="BS6369" s="81"/>
      <c r="BT6369" s="81"/>
    </row>
    <row r="6370" spans="65:72" x14ac:dyDescent="0.25">
      <c r="BM6370" s="81"/>
      <c r="BN6370" s="81"/>
      <c r="BO6370" s="81"/>
      <c r="BP6370" s="81"/>
      <c r="BQ6370" s="81"/>
      <c r="BR6370" s="81"/>
      <c r="BS6370" s="81"/>
      <c r="BT6370" s="81"/>
    </row>
    <row r="6371" spans="65:72" x14ac:dyDescent="0.25">
      <c r="BM6371" s="81"/>
      <c r="BN6371" s="81"/>
      <c r="BO6371" s="81"/>
      <c r="BP6371" s="81"/>
      <c r="BQ6371" s="81"/>
      <c r="BR6371" s="81"/>
      <c r="BS6371" s="81"/>
      <c r="BT6371" s="81"/>
    </row>
    <row r="6372" spans="65:72" x14ac:dyDescent="0.25">
      <c r="BM6372" s="81"/>
      <c r="BN6372" s="81"/>
      <c r="BO6372" s="81"/>
      <c r="BP6372" s="81"/>
      <c r="BQ6372" s="81"/>
      <c r="BR6372" s="81"/>
      <c r="BS6372" s="81"/>
      <c r="BT6372" s="81"/>
    </row>
    <row r="6373" spans="65:72" x14ac:dyDescent="0.25">
      <c r="BM6373" s="81"/>
      <c r="BN6373" s="81"/>
      <c r="BO6373" s="81"/>
      <c r="BP6373" s="81"/>
      <c r="BQ6373" s="81"/>
      <c r="BR6373" s="81"/>
      <c r="BS6373" s="81"/>
      <c r="BT6373" s="81"/>
    </row>
    <row r="6374" spans="65:72" x14ac:dyDescent="0.25">
      <c r="BM6374" s="81"/>
      <c r="BN6374" s="81"/>
      <c r="BO6374" s="81"/>
      <c r="BP6374" s="81"/>
      <c r="BQ6374" s="81"/>
      <c r="BR6374" s="81"/>
      <c r="BS6374" s="81"/>
      <c r="BT6374" s="81"/>
    </row>
    <row r="6375" spans="65:72" x14ac:dyDescent="0.25">
      <c r="BM6375" s="81"/>
      <c r="BN6375" s="81"/>
      <c r="BO6375" s="81"/>
      <c r="BP6375" s="81"/>
      <c r="BQ6375" s="81"/>
      <c r="BR6375" s="81"/>
      <c r="BS6375" s="81"/>
      <c r="BT6375" s="81"/>
    </row>
    <row r="6376" spans="65:72" x14ac:dyDescent="0.25">
      <c r="BM6376" s="81"/>
      <c r="BN6376" s="81"/>
      <c r="BO6376" s="81"/>
      <c r="BP6376" s="81"/>
      <c r="BQ6376" s="81"/>
      <c r="BR6376" s="81"/>
      <c r="BS6376" s="81"/>
      <c r="BT6376" s="81"/>
    </row>
    <row r="6377" spans="65:72" x14ac:dyDescent="0.25">
      <c r="BM6377" s="81"/>
      <c r="BN6377" s="81"/>
      <c r="BO6377" s="81"/>
      <c r="BP6377" s="81"/>
      <c r="BQ6377" s="81"/>
      <c r="BR6377" s="81"/>
      <c r="BS6377" s="81"/>
      <c r="BT6377" s="81"/>
    </row>
    <row r="6378" spans="65:72" x14ac:dyDescent="0.25">
      <c r="BM6378" s="81"/>
      <c r="BN6378" s="81"/>
      <c r="BO6378" s="81"/>
      <c r="BP6378" s="81"/>
      <c r="BQ6378" s="81"/>
      <c r="BR6378" s="81"/>
      <c r="BS6378" s="81"/>
      <c r="BT6378" s="81"/>
    </row>
    <row r="6379" spans="65:72" x14ac:dyDescent="0.25">
      <c r="BM6379" s="81"/>
      <c r="BN6379" s="81"/>
      <c r="BO6379" s="81"/>
      <c r="BP6379" s="81"/>
      <c r="BQ6379" s="81"/>
      <c r="BR6379" s="81"/>
      <c r="BS6379" s="81"/>
      <c r="BT6379" s="81"/>
    </row>
    <row r="6380" spans="65:72" x14ac:dyDescent="0.25">
      <c r="BM6380" s="81"/>
      <c r="BN6380" s="81"/>
      <c r="BO6380" s="81"/>
      <c r="BP6380" s="81"/>
      <c r="BQ6380" s="81"/>
      <c r="BR6380" s="81"/>
      <c r="BS6380" s="81"/>
      <c r="BT6380" s="81"/>
    </row>
    <row r="6381" spans="65:72" x14ac:dyDescent="0.25">
      <c r="BM6381" s="81"/>
      <c r="BN6381" s="81"/>
      <c r="BO6381" s="81"/>
      <c r="BP6381" s="81"/>
      <c r="BQ6381" s="81"/>
      <c r="BR6381" s="81"/>
      <c r="BS6381" s="81"/>
      <c r="BT6381" s="81"/>
    </row>
    <row r="6382" spans="65:72" x14ac:dyDescent="0.25">
      <c r="BM6382" s="81"/>
      <c r="BN6382" s="81"/>
      <c r="BO6382" s="81"/>
      <c r="BP6382" s="81"/>
      <c r="BQ6382" s="81"/>
      <c r="BR6382" s="81"/>
      <c r="BS6382" s="81"/>
      <c r="BT6382" s="81"/>
    </row>
    <row r="6383" spans="65:72" x14ac:dyDescent="0.25">
      <c r="BM6383" s="81"/>
      <c r="BN6383" s="81"/>
      <c r="BO6383" s="81"/>
      <c r="BP6383" s="81"/>
      <c r="BQ6383" s="81"/>
      <c r="BR6383" s="81"/>
      <c r="BS6383" s="81"/>
      <c r="BT6383" s="81"/>
    </row>
    <row r="6384" spans="65:72" x14ac:dyDescent="0.25">
      <c r="BM6384" s="81"/>
      <c r="BN6384" s="81"/>
      <c r="BO6384" s="81"/>
      <c r="BP6384" s="81"/>
      <c r="BQ6384" s="81"/>
      <c r="BR6384" s="81"/>
      <c r="BS6384" s="81"/>
      <c r="BT6384" s="81"/>
    </row>
    <row r="6385" spans="65:72" x14ac:dyDescent="0.25">
      <c r="BM6385" s="81"/>
      <c r="BN6385" s="81"/>
      <c r="BO6385" s="81"/>
      <c r="BP6385" s="81"/>
      <c r="BQ6385" s="81"/>
      <c r="BR6385" s="81"/>
      <c r="BS6385" s="81"/>
      <c r="BT6385" s="81"/>
    </row>
    <row r="6386" spans="65:72" x14ac:dyDescent="0.25">
      <c r="BM6386" s="81"/>
      <c r="BN6386" s="81"/>
      <c r="BO6386" s="81"/>
      <c r="BP6386" s="81"/>
      <c r="BQ6386" s="81"/>
      <c r="BR6386" s="81"/>
      <c r="BS6386" s="81"/>
      <c r="BT6386" s="81"/>
    </row>
    <row r="6387" spans="65:72" x14ac:dyDescent="0.25">
      <c r="BM6387" s="81"/>
      <c r="BN6387" s="81"/>
      <c r="BO6387" s="81"/>
      <c r="BP6387" s="81"/>
      <c r="BQ6387" s="81"/>
      <c r="BR6387" s="81"/>
      <c r="BS6387" s="81"/>
      <c r="BT6387" s="81"/>
    </row>
    <row r="6388" spans="65:72" x14ac:dyDescent="0.25">
      <c r="BM6388" s="81"/>
      <c r="BN6388" s="81"/>
      <c r="BO6388" s="81"/>
      <c r="BP6388" s="81"/>
      <c r="BQ6388" s="81"/>
      <c r="BR6388" s="81"/>
      <c r="BS6388" s="81"/>
      <c r="BT6388" s="81"/>
    </row>
    <row r="6389" spans="65:72" x14ac:dyDescent="0.25">
      <c r="BM6389" s="81"/>
      <c r="BN6389" s="81"/>
      <c r="BO6389" s="81"/>
      <c r="BP6389" s="81"/>
      <c r="BQ6389" s="81"/>
      <c r="BR6389" s="81"/>
      <c r="BS6389" s="81"/>
      <c r="BT6389" s="81"/>
    </row>
    <row r="6390" spans="65:72" x14ac:dyDescent="0.25">
      <c r="BM6390" s="81"/>
      <c r="BN6390" s="81"/>
      <c r="BO6390" s="81"/>
      <c r="BP6390" s="81"/>
      <c r="BQ6390" s="81"/>
      <c r="BR6390" s="81"/>
      <c r="BS6390" s="81"/>
      <c r="BT6390" s="81"/>
    </row>
    <row r="6391" spans="65:72" x14ac:dyDescent="0.25">
      <c r="BM6391" s="81"/>
      <c r="BN6391" s="81"/>
      <c r="BO6391" s="81"/>
      <c r="BP6391" s="81"/>
      <c r="BQ6391" s="81"/>
      <c r="BR6391" s="81"/>
      <c r="BS6391" s="81"/>
      <c r="BT6391" s="81"/>
    </row>
    <row r="6392" spans="65:72" x14ac:dyDescent="0.25">
      <c r="BM6392" s="81"/>
      <c r="BN6392" s="81"/>
      <c r="BO6392" s="81"/>
      <c r="BP6392" s="81"/>
      <c r="BQ6392" s="81"/>
      <c r="BR6392" s="81"/>
      <c r="BS6392" s="81"/>
      <c r="BT6392" s="81"/>
    </row>
    <row r="6393" spans="65:72" x14ac:dyDescent="0.25">
      <c r="BM6393" s="81"/>
      <c r="BN6393" s="81"/>
      <c r="BO6393" s="81"/>
      <c r="BP6393" s="81"/>
      <c r="BQ6393" s="81"/>
      <c r="BR6393" s="81"/>
      <c r="BS6393" s="81"/>
      <c r="BT6393" s="81"/>
    </row>
    <row r="6394" spans="65:72" x14ac:dyDescent="0.25">
      <c r="BM6394" s="81"/>
      <c r="BN6394" s="81"/>
      <c r="BO6394" s="81"/>
      <c r="BP6394" s="81"/>
      <c r="BQ6394" s="81"/>
      <c r="BR6394" s="81"/>
      <c r="BS6394" s="81"/>
      <c r="BT6394" s="81"/>
    </row>
    <row r="6395" spans="65:72" x14ac:dyDescent="0.25">
      <c r="BM6395" s="81"/>
      <c r="BN6395" s="81"/>
      <c r="BO6395" s="81"/>
      <c r="BP6395" s="81"/>
      <c r="BQ6395" s="81"/>
      <c r="BR6395" s="81"/>
      <c r="BS6395" s="81"/>
      <c r="BT6395" s="81"/>
    </row>
    <row r="6396" spans="65:72" x14ac:dyDescent="0.25">
      <c r="BM6396" s="81"/>
      <c r="BN6396" s="81"/>
      <c r="BO6396" s="81"/>
      <c r="BP6396" s="81"/>
      <c r="BQ6396" s="81"/>
      <c r="BR6396" s="81"/>
      <c r="BS6396" s="81"/>
      <c r="BT6396" s="81"/>
    </row>
    <row r="6397" spans="65:72" x14ac:dyDescent="0.25">
      <c r="BM6397" s="81"/>
      <c r="BN6397" s="81"/>
      <c r="BO6397" s="81"/>
      <c r="BP6397" s="81"/>
      <c r="BQ6397" s="81"/>
      <c r="BR6397" s="81"/>
      <c r="BS6397" s="81"/>
      <c r="BT6397" s="81"/>
    </row>
    <row r="6398" spans="65:72" x14ac:dyDescent="0.25">
      <c r="BM6398" s="81"/>
      <c r="BN6398" s="81"/>
      <c r="BO6398" s="81"/>
      <c r="BP6398" s="81"/>
      <c r="BQ6398" s="81"/>
      <c r="BR6398" s="81"/>
      <c r="BS6398" s="81"/>
      <c r="BT6398" s="81"/>
    </row>
    <row r="6399" spans="65:72" x14ac:dyDescent="0.25">
      <c r="BM6399" s="81"/>
      <c r="BN6399" s="81"/>
      <c r="BO6399" s="81"/>
      <c r="BP6399" s="81"/>
      <c r="BQ6399" s="81"/>
      <c r="BR6399" s="81"/>
      <c r="BS6399" s="81"/>
      <c r="BT6399" s="81"/>
    </row>
    <row r="6400" spans="65:72" x14ac:dyDescent="0.25">
      <c r="BM6400" s="81"/>
      <c r="BN6400" s="81"/>
      <c r="BO6400" s="81"/>
      <c r="BP6400" s="81"/>
      <c r="BQ6400" s="81"/>
      <c r="BR6400" s="81"/>
      <c r="BS6400" s="81"/>
      <c r="BT6400" s="81"/>
    </row>
    <row r="6401" spans="65:72" x14ac:dyDescent="0.25">
      <c r="BM6401" s="81"/>
      <c r="BN6401" s="81"/>
      <c r="BO6401" s="81"/>
      <c r="BP6401" s="81"/>
      <c r="BQ6401" s="81"/>
      <c r="BR6401" s="81"/>
      <c r="BS6401" s="81"/>
      <c r="BT6401" s="81"/>
    </row>
    <row r="6402" spans="65:72" x14ac:dyDescent="0.25">
      <c r="BM6402" s="81"/>
      <c r="BN6402" s="81"/>
      <c r="BO6402" s="81"/>
      <c r="BP6402" s="81"/>
      <c r="BQ6402" s="81"/>
      <c r="BR6402" s="81"/>
      <c r="BS6402" s="81"/>
      <c r="BT6402" s="81"/>
    </row>
    <row r="6403" spans="65:72" x14ac:dyDescent="0.25">
      <c r="BM6403" s="81"/>
      <c r="BN6403" s="81"/>
      <c r="BO6403" s="81"/>
      <c r="BP6403" s="81"/>
      <c r="BQ6403" s="81"/>
      <c r="BR6403" s="81"/>
      <c r="BS6403" s="81"/>
      <c r="BT6403" s="81"/>
    </row>
    <row r="6404" spans="65:72" x14ac:dyDescent="0.25">
      <c r="BM6404" s="81"/>
      <c r="BN6404" s="81"/>
      <c r="BO6404" s="81"/>
      <c r="BP6404" s="81"/>
      <c r="BQ6404" s="81"/>
      <c r="BR6404" s="81"/>
      <c r="BS6404" s="81"/>
      <c r="BT6404" s="81"/>
    </row>
    <row r="6405" spans="65:72" x14ac:dyDescent="0.25">
      <c r="BM6405" s="81"/>
      <c r="BN6405" s="81"/>
      <c r="BO6405" s="81"/>
      <c r="BP6405" s="81"/>
      <c r="BQ6405" s="81"/>
      <c r="BR6405" s="81"/>
      <c r="BS6405" s="81"/>
      <c r="BT6405" s="81"/>
    </row>
    <row r="6406" spans="65:72" x14ac:dyDescent="0.25">
      <c r="BM6406" s="81"/>
      <c r="BN6406" s="81"/>
      <c r="BO6406" s="81"/>
      <c r="BP6406" s="81"/>
      <c r="BQ6406" s="81"/>
      <c r="BR6406" s="81"/>
      <c r="BS6406" s="81"/>
      <c r="BT6406" s="81"/>
    </row>
    <row r="6407" spans="65:72" x14ac:dyDescent="0.25">
      <c r="BM6407" s="81"/>
      <c r="BN6407" s="81"/>
      <c r="BO6407" s="81"/>
      <c r="BP6407" s="81"/>
      <c r="BQ6407" s="81"/>
      <c r="BR6407" s="81"/>
      <c r="BS6407" s="81"/>
      <c r="BT6407" s="81"/>
    </row>
    <row r="6408" spans="65:72" x14ac:dyDescent="0.25">
      <c r="BM6408" s="81"/>
      <c r="BN6408" s="81"/>
      <c r="BO6408" s="81"/>
      <c r="BP6408" s="81"/>
      <c r="BQ6408" s="81"/>
      <c r="BR6408" s="81"/>
      <c r="BS6408" s="81"/>
      <c r="BT6408" s="81"/>
    </row>
    <row r="6409" spans="65:72" x14ac:dyDescent="0.25">
      <c r="BM6409" s="81"/>
      <c r="BN6409" s="81"/>
      <c r="BO6409" s="81"/>
      <c r="BP6409" s="81"/>
      <c r="BQ6409" s="81"/>
      <c r="BR6409" s="81"/>
      <c r="BS6409" s="81"/>
      <c r="BT6409" s="81"/>
    </row>
    <row r="6410" spans="65:72" x14ac:dyDescent="0.25">
      <c r="BM6410" s="81"/>
      <c r="BN6410" s="81"/>
      <c r="BO6410" s="81"/>
      <c r="BP6410" s="81"/>
      <c r="BQ6410" s="81"/>
      <c r="BR6410" s="81"/>
      <c r="BS6410" s="81"/>
      <c r="BT6410" s="81"/>
    </row>
    <row r="6411" spans="65:72" x14ac:dyDescent="0.25">
      <c r="BM6411" s="81"/>
      <c r="BN6411" s="81"/>
      <c r="BO6411" s="81"/>
      <c r="BP6411" s="81"/>
      <c r="BQ6411" s="81"/>
      <c r="BR6411" s="81"/>
      <c r="BS6411" s="81"/>
      <c r="BT6411" s="81"/>
    </row>
    <row r="6412" spans="65:72" x14ac:dyDescent="0.25">
      <c r="BM6412" s="81"/>
      <c r="BN6412" s="81"/>
      <c r="BO6412" s="81"/>
      <c r="BP6412" s="81"/>
      <c r="BQ6412" s="81"/>
      <c r="BR6412" s="81"/>
      <c r="BS6412" s="81"/>
      <c r="BT6412" s="81"/>
    </row>
    <row r="6413" spans="65:72" x14ac:dyDescent="0.25">
      <c r="BM6413" s="81"/>
      <c r="BN6413" s="81"/>
      <c r="BO6413" s="81"/>
      <c r="BP6413" s="81"/>
      <c r="BQ6413" s="81"/>
      <c r="BR6413" s="81"/>
      <c r="BS6413" s="81"/>
      <c r="BT6413" s="81"/>
    </row>
    <row r="6414" spans="65:72" x14ac:dyDescent="0.25">
      <c r="BM6414" s="81"/>
      <c r="BN6414" s="81"/>
      <c r="BO6414" s="81"/>
      <c r="BP6414" s="81"/>
      <c r="BQ6414" s="81"/>
      <c r="BR6414" s="81"/>
      <c r="BS6414" s="81"/>
      <c r="BT6414" s="81"/>
    </row>
    <row r="6415" spans="65:72" x14ac:dyDescent="0.25">
      <c r="BM6415" s="81"/>
      <c r="BN6415" s="81"/>
      <c r="BO6415" s="81"/>
      <c r="BP6415" s="81"/>
      <c r="BQ6415" s="81"/>
      <c r="BR6415" s="81"/>
      <c r="BS6415" s="81"/>
      <c r="BT6415" s="81"/>
    </row>
    <row r="6416" spans="65:72" x14ac:dyDescent="0.25">
      <c r="BM6416" s="81"/>
      <c r="BN6416" s="81"/>
      <c r="BO6416" s="81"/>
      <c r="BP6416" s="81"/>
      <c r="BQ6416" s="81"/>
      <c r="BR6416" s="81"/>
      <c r="BS6416" s="81"/>
      <c r="BT6416" s="81"/>
    </row>
    <row r="6417" spans="65:72" x14ac:dyDescent="0.25">
      <c r="BM6417" s="81"/>
      <c r="BN6417" s="81"/>
      <c r="BO6417" s="81"/>
      <c r="BP6417" s="81"/>
      <c r="BQ6417" s="81"/>
      <c r="BR6417" s="81"/>
      <c r="BS6417" s="81"/>
      <c r="BT6417" s="81"/>
    </row>
    <row r="6418" spans="65:72" x14ac:dyDescent="0.25">
      <c r="BM6418" s="81"/>
      <c r="BN6418" s="81"/>
      <c r="BO6418" s="81"/>
      <c r="BP6418" s="81"/>
      <c r="BQ6418" s="81"/>
      <c r="BR6418" s="81"/>
      <c r="BS6418" s="81"/>
      <c r="BT6418" s="81"/>
    </row>
    <row r="6419" spans="65:72" x14ac:dyDescent="0.25">
      <c r="BM6419" s="81"/>
      <c r="BN6419" s="81"/>
      <c r="BO6419" s="81"/>
      <c r="BP6419" s="81"/>
      <c r="BQ6419" s="81"/>
      <c r="BR6419" s="81"/>
      <c r="BS6419" s="81"/>
      <c r="BT6419" s="81"/>
    </row>
    <row r="6420" spans="65:72" x14ac:dyDescent="0.25">
      <c r="BM6420" s="81"/>
      <c r="BN6420" s="81"/>
      <c r="BO6420" s="81"/>
      <c r="BP6420" s="81"/>
      <c r="BQ6420" s="81"/>
      <c r="BR6420" s="81"/>
      <c r="BS6420" s="81"/>
      <c r="BT6420" s="81"/>
    </row>
    <row r="6421" spans="65:72" x14ac:dyDescent="0.25">
      <c r="BM6421" s="81"/>
      <c r="BN6421" s="81"/>
      <c r="BO6421" s="81"/>
      <c r="BP6421" s="81"/>
      <c r="BQ6421" s="81"/>
      <c r="BR6421" s="81"/>
      <c r="BS6421" s="81"/>
      <c r="BT6421" s="81"/>
    </row>
    <row r="6422" spans="65:72" x14ac:dyDescent="0.25">
      <c r="BM6422" s="81"/>
      <c r="BN6422" s="81"/>
      <c r="BO6422" s="81"/>
      <c r="BP6422" s="81"/>
      <c r="BQ6422" s="81"/>
      <c r="BR6422" s="81"/>
      <c r="BS6422" s="81"/>
      <c r="BT6422" s="81"/>
    </row>
    <row r="6423" spans="65:72" x14ac:dyDescent="0.25">
      <c r="BM6423" s="81"/>
      <c r="BN6423" s="81"/>
      <c r="BO6423" s="81"/>
      <c r="BP6423" s="81"/>
      <c r="BQ6423" s="81"/>
      <c r="BR6423" s="81"/>
      <c r="BS6423" s="81"/>
      <c r="BT6423" s="81"/>
    </row>
    <row r="6424" spans="65:72" x14ac:dyDescent="0.25">
      <c r="BM6424" s="81"/>
      <c r="BN6424" s="81"/>
      <c r="BO6424" s="81"/>
      <c r="BP6424" s="81"/>
      <c r="BQ6424" s="81"/>
      <c r="BR6424" s="81"/>
      <c r="BS6424" s="81"/>
      <c r="BT6424" s="81"/>
    </row>
    <row r="6425" spans="65:72" x14ac:dyDescent="0.25">
      <c r="BM6425" s="81"/>
      <c r="BN6425" s="81"/>
      <c r="BO6425" s="81"/>
      <c r="BP6425" s="81"/>
      <c r="BQ6425" s="81"/>
      <c r="BR6425" s="81"/>
      <c r="BS6425" s="81"/>
      <c r="BT6425" s="81"/>
    </row>
    <row r="6426" spans="65:72" x14ac:dyDescent="0.25">
      <c r="BM6426" s="81"/>
      <c r="BN6426" s="81"/>
      <c r="BO6426" s="81"/>
      <c r="BP6426" s="81"/>
      <c r="BQ6426" s="81"/>
      <c r="BR6426" s="81"/>
      <c r="BS6426" s="81"/>
      <c r="BT6426" s="81"/>
    </row>
    <row r="6427" spans="65:72" x14ac:dyDescent="0.25">
      <c r="BM6427" s="81"/>
      <c r="BN6427" s="81"/>
      <c r="BO6427" s="81"/>
      <c r="BP6427" s="81"/>
      <c r="BQ6427" s="81"/>
      <c r="BR6427" s="81"/>
      <c r="BS6427" s="81"/>
      <c r="BT6427" s="81"/>
    </row>
    <row r="6428" spans="65:72" x14ac:dyDescent="0.25">
      <c r="BM6428" s="81"/>
      <c r="BN6428" s="81"/>
      <c r="BO6428" s="81"/>
      <c r="BP6428" s="81"/>
      <c r="BQ6428" s="81"/>
      <c r="BR6428" s="81"/>
      <c r="BS6428" s="81"/>
      <c r="BT6428" s="81"/>
    </row>
    <row r="6429" spans="65:72" x14ac:dyDescent="0.25">
      <c r="BM6429" s="81"/>
      <c r="BN6429" s="81"/>
      <c r="BO6429" s="81"/>
      <c r="BP6429" s="81"/>
      <c r="BQ6429" s="81"/>
      <c r="BR6429" s="81"/>
      <c r="BS6429" s="81"/>
      <c r="BT6429" s="81"/>
    </row>
    <row r="6430" spans="65:72" x14ac:dyDescent="0.25">
      <c r="BM6430" s="81"/>
      <c r="BN6430" s="81"/>
      <c r="BO6430" s="81"/>
      <c r="BP6430" s="81"/>
      <c r="BQ6430" s="81"/>
      <c r="BR6430" s="81"/>
      <c r="BS6430" s="81"/>
      <c r="BT6430" s="81"/>
    </row>
    <row r="6431" spans="65:72" x14ac:dyDescent="0.25">
      <c r="BM6431" s="81"/>
      <c r="BN6431" s="81"/>
      <c r="BO6431" s="81"/>
      <c r="BP6431" s="81"/>
      <c r="BQ6431" s="81"/>
      <c r="BR6431" s="81"/>
      <c r="BS6431" s="81"/>
      <c r="BT6431" s="81"/>
    </row>
    <row r="6432" spans="65:72" x14ac:dyDescent="0.25">
      <c r="BM6432" s="81"/>
      <c r="BN6432" s="81"/>
      <c r="BO6432" s="81"/>
      <c r="BP6432" s="81"/>
      <c r="BQ6432" s="81"/>
      <c r="BR6432" s="81"/>
      <c r="BS6432" s="81"/>
      <c r="BT6432" s="81"/>
    </row>
    <row r="6433" spans="65:72" x14ac:dyDescent="0.25">
      <c r="BM6433" s="81"/>
      <c r="BN6433" s="81"/>
      <c r="BO6433" s="81"/>
      <c r="BP6433" s="81"/>
      <c r="BQ6433" s="81"/>
      <c r="BR6433" s="81"/>
      <c r="BS6433" s="81"/>
      <c r="BT6433" s="81"/>
    </row>
    <row r="6434" spans="65:72" x14ac:dyDescent="0.25">
      <c r="BM6434" s="81"/>
      <c r="BN6434" s="81"/>
      <c r="BO6434" s="81"/>
      <c r="BP6434" s="81"/>
      <c r="BQ6434" s="81"/>
      <c r="BR6434" s="81"/>
      <c r="BS6434" s="81"/>
      <c r="BT6434" s="81"/>
    </row>
    <row r="6435" spans="65:72" x14ac:dyDescent="0.25">
      <c r="BM6435" s="81"/>
      <c r="BN6435" s="81"/>
      <c r="BO6435" s="81"/>
      <c r="BP6435" s="81"/>
      <c r="BQ6435" s="81"/>
      <c r="BR6435" s="81"/>
      <c r="BS6435" s="81"/>
      <c r="BT6435" s="81"/>
    </row>
    <row r="6436" spans="65:72" x14ac:dyDescent="0.25">
      <c r="BM6436" s="81"/>
      <c r="BN6436" s="81"/>
      <c r="BO6436" s="81"/>
      <c r="BP6436" s="81"/>
      <c r="BQ6436" s="81"/>
      <c r="BR6436" s="81"/>
      <c r="BS6436" s="81"/>
      <c r="BT6436" s="81"/>
    </row>
    <row r="6437" spans="65:72" x14ac:dyDescent="0.25">
      <c r="BM6437" s="81"/>
      <c r="BN6437" s="81"/>
      <c r="BO6437" s="81"/>
      <c r="BP6437" s="81"/>
      <c r="BQ6437" s="81"/>
      <c r="BR6437" s="81"/>
      <c r="BS6437" s="81"/>
      <c r="BT6437" s="81"/>
    </row>
    <row r="6438" spans="65:72" x14ac:dyDescent="0.25">
      <c r="BM6438" s="81"/>
      <c r="BN6438" s="81"/>
      <c r="BO6438" s="81"/>
      <c r="BP6438" s="81"/>
      <c r="BQ6438" s="81"/>
      <c r="BR6438" s="81"/>
      <c r="BS6438" s="81"/>
      <c r="BT6438" s="81"/>
    </row>
    <row r="6439" spans="65:72" x14ac:dyDescent="0.25">
      <c r="BM6439" s="81"/>
      <c r="BN6439" s="81"/>
      <c r="BO6439" s="81"/>
      <c r="BP6439" s="81"/>
      <c r="BQ6439" s="81"/>
      <c r="BR6439" s="81"/>
      <c r="BS6439" s="81"/>
      <c r="BT6439" s="81"/>
    </row>
    <row r="6440" spans="65:72" x14ac:dyDescent="0.25">
      <c r="BM6440" s="81"/>
      <c r="BN6440" s="81"/>
      <c r="BO6440" s="81"/>
      <c r="BP6440" s="81"/>
      <c r="BQ6440" s="81"/>
      <c r="BR6440" s="81"/>
      <c r="BS6440" s="81"/>
      <c r="BT6440" s="81"/>
    </row>
    <row r="6441" spans="65:72" x14ac:dyDescent="0.25">
      <c r="BM6441" s="81"/>
      <c r="BN6441" s="81"/>
      <c r="BO6441" s="81"/>
      <c r="BP6441" s="81"/>
      <c r="BQ6441" s="81"/>
      <c r="BR6441" s="81"/>
      <c r="BS6441" s="81"/>
      <c r="BT6441" s="81"/>
    </row>
    <row r="6442" spans="65:72" x14ac:dyDescent="0.25">
      <c r="BM6442" s="81"/>
      <c r="BN6442" s="81"/>
      <c r="BO6442" s="81"/>
      <c r="BP6442" s="81"/>
      <c r="BQ6442" s="81"/>
      <c r="BR6442" s="81"/>
      <c r="BS6442" s="81"/>
      <c r="BT6442" s="81"/>
    </row>
    <row r="6443" spans="65:72" x14ac:dyDescent="0.25">
      <c r="BM6443" s="81"/>
      <c r="BN6443" s="81"/>
      <c r="BO6443" s="81"/>
      <c r="BP6443" s="81"/>
      <c r="BQ6443" s="81"/>
      <c r="BR6443" s="81"/>
      <c r="BS6443" s="81"/>
      <c r="BT6443" s="81"/>
    </row>
    <row r="6444" spans="65:72" x14ac:dyDescent="0.25">
      <c r="BM6444" s="81"/>
      <c r="BN6444" s="81"/>
      <c r="BO6444" s="81"/>
      <c r="BP6444" s="81"/>
      <c r="BQ6444" s="81"/>
      <c r="BR6444" s="81"/>
      <c r="BS6444" s="81"/>
      <c r="BT6444" s="81"/>
    </row>
    <row r="6445" spans="65:72" x14ac:dyDescent="0.25">
      <c r="BM6445" s="81"/>
      <c r="BN6445" s="81"/>
      <c r="BO6445" s="81"/>
      <c r="BP6445" s="81"/>
      <c r="BQ6445" s="81"/>
      <c r="BR6445" s="81"/>
      <c r="BS6445" s="81"/>
      <c r="BT6445" s="81"/>
    </row>
    <row r="6446" spans="65:72" x14ac:dyDescent="0.25">
      <c r="BM6446" s="81"/>
      <c r="BN6446" s="81"/>
      <c r="BO6446" s="81"/>
      <c r="BP6446" s="81"/>
      <c r="BQ6446" s="81"/>
      <c r="BR6446" s="81"/>
      <c r="BS6446" s="81"/>
      <c r="BT6446" s="81"/>
    </row>
    <row r="6447" spans="65:72" x14ac:dyDescent="0.25">
      <c r="BM6447" s="81"/>
      <c r="BN6447" s="81"/>
      <c r="BO6447" s="81"/>
      <c r="BP6447" s="81"/>
      <c r="BQ6447" s="81"/>
      <c r="BR6447" s="81"/>
      <c r="BS6447" s="81"/>
      <c r="BT6447" s="81"/>
    </row>
    <row r="6448" spans="65:72" x14ac:dyDescent="0.25">
      <c r="BM6448" s="81"/>
      <c r="BN6448" s="81"/>
      <c r="BO6448" s="81"/>
      <c r="BP6448" s="81"/>
      <c r="BQ6448" s="81"/>
      <c r="BR6448" s="81"/>
      <c r="BS6448" s="81"/>
      <c r="BT6448" s="81"/>
    </row>
    <row r="6449" spans="65:72" x14ac:dyDescent="0.25">
      <c r="BM6449" s="81"/>
      <c r="BN6449" s="81"/>
      <c r="BO6449" s="81"/>
      <c r="BP6449" s="81"/>
      <c r="BQ6449" s="81"/>
      <c r="BR6449" s="81"/>
      <c r="BS6449" s="81"/>
      <c r="BT6449" s="81"/>
    </row>
    <row r="6450" spans="65:72" x14ac:dyDescent="0.25">
      <c r="BM6450" s="81"/>
      <c r="BN6450" s="81"/>
      <c r="BO6450" s="81"/>
      <c r="BP6450" s="81"/>
      <c r="BQ6450" s="81"/>
      <c r="BR6450" s="81"/>
      <c r="BS6450" s="81"/>
      <c r="BT6450" s="81"/>
    </row>
    <row r="6451" spans="65:72" x14ac:dyDescent="0.25">
      <c r="BM6451" s="81"/>
      <c r="BN6451" s="81"/>
      <c r="BO6451" s="81"/>
      <c r="BP6451" s="81"/>
      <c r="BQ6451" s="81"/>
      <c r="BR6451" s="81"/>
      <c r="BS6451" s="81"/>
      <c r="BT6451" s="81"/>
    </row>
    <row r="6452" spans="65:72" x14ac:dyDescent="0.25">
      <c r="BM6452" s="81"/>
      <c r="BN6452" s="81"/>
      <c r="BO6452" s="81"/>
      <c r="BP6452" s="81"/>
      <c r="BQ6452" s="81"/>
      <c r="BR6452" s="81"/>
      <c r="BS6452" s="81"/>
      <c r="BT6452" s="81"/>
    </row>
    <row r="6453" spans="65:72" x14ac:dyDescent="0.25">
      <c r="BM6453" s="81"/>
      <c r="BN6453" s="81"/>
      <c r="BO6453" s="81"/>
      <c r="BP6453" s="81"/>
      <c r="BQ6453" s="81"/>
      <c r="BR6453" s="81"/>
      <c r="BS6453" s="81"/>
      <c r="BT6453" s="81"/>
    </row>
    <row r="6454" spans="65:72" x14ac:dyDescent="0.25">
      <c r="BM6454" s="81"/>
      <c r="BN6454" s="81"/>
      <c r="BO6454" s="81"/>
      <c r="BP6454" s="81"/>
      <c r="BQ6454" s="81"/>
      <c r="BR6454" s="81"/>
      <c r="BS6454" s="81"/>
      <c r="BT6454" s="81"/>
    </row>
    <row r="6455" spans="65:72" x14ac:dyDescent="0.25">
      <c r="BM6455" s="81"/>
      <c r="BN6455" s="81"/>
      <c r="BO6455" s="81"/>
      <c r="BP6455" s="81"/>
      <c r="BQ6455" s="81"/>
      <c r="BR6455" s="81"/>
      <c r="BS6455" s="81"/>
      <c r="BT6455" s="81"/>
    </row>
    <row r="6456" spans="65:72" x14ac:dyDescent="0.25">
      <c r="BM6456" s="81"/>
      <c r="BN6456" s="81"/>
      <c r="BO6456" s="81"/>
      <c r="BP6456" s="81"/>
      <c r="BQ6456" s="81"/>
      <c r="BR6456" s="81"/>
      <c r="BS6456" s="81"/>
      <c r="BT6456" s="81"/>
    </row>
    <row r="6457" spans="65:72" x14ac:dyDescent="0.25">
      <c r="BM6457" s="81"/>
      <c r="BN6457" s="81"/>
      <c r="BO6457" s="81"/>
      <c r="BP6457" s="81"/>
      <c r="BQ6457" s="81"/>
      <c r="BR6457" s="81"/>
      <c r="BS6457" s="81"/>
      <c r="BT6457" s="81"/>
    </row>
    <row r="6458" spans="65:72" x14ac:dyDescent="0.25">
      <c r="BM6458" s="81"/>
      <c r="BN6458" s="81"/>
      <c r="BO6458" s="81"/>
      <c r="BP6458" s="81"/>
      <c r="BQ6458" s="81"/>
      <c r="BR6458" s="81"/>
      <c r="BS6458" s="81"/>
      <c r="BT6458" s="81"/>
    </row>
    <row r="6459" spans="65:72" x14ac:dyDescent="0.25">
      <c r="BM6459" s="81"/>
      <c r="BN6459" s="81"/>
      <c r="BO6459" s="81"/>
      <c r="BP6459" s="81"/>
      <c r="BQ6459" s="81"/>
      <c r="BR6459" s="81"/>
      <c r="BS6459" s="81"/>
      <c r="BT6459" s="81"/>
    </row>
    <row r="6460" spans="65:72" x14ac:dyDescent="0.25">
      <c r="BM6460" s="81"/>
      <c r="BN6460" s="81"/>
      <c r="BO6460" s="81"/>
      <c r="BP6460" s="81"/>
      <c r="BQ6460" s="81"/>
      <c r="BR6460" s="81"/>
      <c r="BS6460" s="81"/>
      <c r="BT6460" s="81"/>
    </row>
    <row r="6461" spans="65:72" x14ac:dyDescent="0.25">
      <c r="BM6461" s="81"/>
      <c r="BN6461" s="81"/>
      <c r="BO6461" s="81"/>
      <c r="BP6461" s="81"/>
      <c r="BQ6461" s="81"/>
      <c r="BR6461" s="81"/>
      <c r="BS6461" s="81"/>
      <c r="BT6461" s="81"/>
    </row>
    <row r="6462" spans="65:72" x14ac:dyDescent="0.25">
      <c r="BM6462" s="81"/>
      <c r="BN6462" s="81"/>
      <c r="BO6462" s="81"/>
      <c r="BP6462" s="81"/>
      <c r="BQ6462" s="81"/>
      <c r="BR6462" s="81"/>
      <c r="BS6462" s="81"/>
      <c r="BT6462" s="81"/>
    </row>
    <row r="6463" spans="65:72" x14ac:dyDescent="0.25">
      <c r="BM6463" s="81"/>
      <c r="BN6463" s="81"/>
      <c r="BO6463" s="81"/>
      <c r="BP6463" s="81"/>
      <c r="BQ6463" s="81"/>
      <c r="BR6463" s="81"/>
      <c r="BS6463" s="81"/>
      <c r="BT6463" s="81"/>
    </row>
    <row r="6464" spans="65:72" x14ac:dyDescent="0.25">
      <c r="BM6464" s="81"/>
      <c r="BN6464" s="81"/>
      <c r="BO6464" s="81"/>
      <c r="BP6464" s="81"/>
      <c r="BQ6464" s="81"/>
      <c r="BR6464" s="81"/>
      <c r="BS6464" s="81"/>
      <c r="BT6464" s="81"/>
    </row>
    <row r="6465" spans="65:72" x14ac:dyDescent="0.25">
      <c r="BM6465" s="81"/>
      <c r="BN6465" s="81"/>
      <c r="BO6465" s="81"/>
      <c r="BP6465" s="81"/>
      <c r="BQ6465" s="81"/>
      <c r="BR6465" s="81"/>
      <c r="BS6465" s="81"/>
      <c r="BT6465" s="81"/>
    </row>
    <row r="6466" spans="65:72" x14ac:dyDescent="0.25">
      <c r="BM6466" s="81"/>
      <c r="BN6466" s="81"/>
      <c r="BO6466" s="81"/>
      <c r="BP6466" s="81"/>
      <c r="BQ6466" s="81"/>
      <c r="BR6466" s="81"/>
      <c r="BS6466" s="81"/>
      <c r="BT6466" s="81"/>
    </row>
    <row r="6467" spans="65:72" x14ac:dyDescent="0.25">
      <c r="BM6467" s="81"/>
      <c r="BN6467" s="81"/>
      <c r="BO6467" s="81"/>
      <c r="BP6467" s="81"/>
      <c r="BQ6467" s="81"/>
      <c r="BR6467" s="81"/>
      <c r="BS6467" s="81"/>
      <c r="BT6467" s="81"/>
    </row>
    <row r="6468" spans="65:72" x14ac:dyDescent="0.25">
      <c r="BM6468" s="81"/>
      <c r="BN6468" s="81"/>
      <c r="BO6468" s="81"/>
      <c r="BP6468" s="81"/>
      <c r="BQ6468" s="81"/>
      <c r="BR6468" s="81"/>
      <c r="BS6468" s="81"/>
      <c r="BT6468" s="81"/>
    </row>
    <row r="6469" spans="65:72" x14ac:dyDescent="0.25">
      <c r="BM6469" s="81"/>
      <c r="BN6469" s="81"/>
      <c r="BO6469" s="81"/>
      <c r="BP6469" s="81"/>
      <c r="BQ6469" s="81"/>
      <c r="BR6469" s="81"/>
      <c r="BS6469" s="81"/>
      <c r="BT6469" s="81"/>
    </row>
    <row r="6470" spans="65:72" x14ac:dyDescent="0.25">
      <c r="BM6470" s="81"/>
      <c r="BN6470" s="81"/>
      <c r="BO6470" s="81"/>
      <c r="BP6470" s="81"/>
      <c r="BQ6470" s="81"/>
      <c r="BR6470" s="81"/>
      <c r="BS6470" s="81"/>
      <c r="BT6470" s="81"/>
    </row>
    <row r="6471" spans="65:72" x14ac:dyDescent="0.25">
      <c r="BM6471" s="81"/>
      <c r="BN6471" s="81"/>
      <c r="BO6471" s="81"/>
      <c r="BP6471" s="81"/>
      <c r="BQ6471" s="81"/>
      <c r="BR6471" s="81"/>
      <c r="BS6471" s="81"/>
      <c r="BT6471" s="81"/>
    </row>
    <row r="6472" spans="65:72" x14ac:dyDescent="0.25">
      <c r="BM6472" s="81"/>
      <c r="BN6472" s="81"/>
      <c r="BO6472" s="81"/>
      <c r="BP6472" s="81"/>
      <c r="BQ6472" s="81"/>
      <c r="BR6472" s="81"/>
      <c r="BS6472" s="81"/>
      <c r="BT6472" s="81"/>
    </row>
    <row r="6473" spans="65:72" x14ac:dyDescent="0.25">
      <c r="BM6473" s="81"/>
      <c r="BN6473" s="81"/>
      <c r="BO6473" s="81"/>
      <c r="BP6473" s="81"/>
      <c r="BQ6473" s="81"/>
      <c r="BR6473" s="81"/>
      <c r="BS6473" s="81"/>
      <c r="BT6473" s="81"/>
    </row>
    <row r="6474" spans="65:72" x14ac:dyDescent="0.25">
      <c r="BM6474" s="81"/>
      <c r="BN6474" s="81"/>
      <c r="BO6474" s="81"/>
      <c r="BP6474" s="81"/>
      <c r="BQ6474" s="81"/>
      <c r="BR6474" s="81"/>
      <c r="BS6474" s="81"/>
      <c r="BT6474" s="81"/>
    </row>
    <row r="6475" spans="65:72" x14ac:dyDescent="0.25">
      <c r="BM6475" s="81"/>
      <c r="BN6475" s="81"/>
      <c r="BO6475" s="81"/>
      <c r="BP6475" s="81"/>
      <c r="BQ6475" s="81"/>
      <c r="BR6475" s="81"/>
      <c r="BS6475" s="81"/>
      <c r="BT6475" s="81"/>
    </row>
    <row r="6476" spans="65:72" x14ac:dyDescent="0.25">
      <c r="BM6476" s="81"/>
      <c r="BN6476" s="81"/>
      <c r="BO6476" s="81"/>
      <c r="BP6476" s="81"/>
      <c r="BQ6476" s="81"/>
      <c r="BR6476" s="81"/>
      <c r="BS6476" s="81"/>
      <c r="BT6476" s="81"/>
    </row>
    <row r="6477" spans="65:72" x14ac:dyDescent="0.25">
      <c r="BM6477" s="81"/>
      <c r="BN6477" s="81"/>
      <c r="BO6477" s="81"/>
      <c r="BP6477" s="81"/>
      <c r="BQ6477" s="81"/>
      <c r="BR6477" s="81"/>
      <c r="BS6477" s="81"/>
      <c r="BT6477" s="81"/>
    </row>
    <row r="6478" spans="65:72" x14ac:dyDescent="0.25">
      <c r="BM6478" s="81"/>
      <c r="BN6478" s="81"/>
      <c r="BO6478" s="81"/>
      <c r="BP6478" s="81"/>
      <c r="BQ6478" s="81"/>
      <c r="BR6478" s="81"/>
      <c r="BS6478" s="81"/>
      <c r="BT6478" s="81"/>
    </row>
    <row r="6479" spans="65:72" x14ac:dyDescent="0.25">
      <c r="BM6479" s="81"/>
      <c r="BN6479" s="81"/>
      <c r="BO6479" s="81"/>
      <c r="BP6479" s="81"/>
      <c r="BQ6479" s="81"/>
      <c r="BR6479" s="81"/>
      <c r="BS6479" s="81"/>
      <c r="BT6479" s="81"/>
    </row>
    <row r="6480" spans="65:72" x14ac:dyDescent="0.25">
      <c r="BM6480" s="81"/>
      <c r="BN6480" s="81"/>
      <c r="BO6480" s="81"/>
      <c r="BP6480" s="81"/>
      <c r="BQ6480" s="81"/>
      <c r="BR6480" s="81"/>
      <c r="BS6480" s="81"/>
      <c r="BT6480" s="81"/>
    </row>
    <row r="6481" spans="65:72" x14ac:dyDescent="0.25">
      <c r="BM6481" s="81"/>
      <c r="BN6481" s="81"/>
      <c r="BO6481" s="81"/>
      <c r="BP6481" s="81"/>
      <c r="BQ6481" s="81"/>
      <c r="BR6481" s="81"/>
      <c r="BS6481" s="81"/>
      <c r="BT6481" s="81"/>
    </row>
    <row r="6482" spans="65:72" x14ac:dyDescent="0.25">
      <c r="BM6482" s="81"/>
      <c r="BN6482" s="81"/>
      <c r="BO6482" s="81"/>
      <c r="BP6482" s="81"/>
      <c r="BQ6482" s="81"/>
      <c r="BR6482" s="81"/>
      <c r="BS6482" s="81"/>
      <c r="BT6482" s="81"/>
    </row>
    <row r="6483" spans="65:72" x14ac:dyDescent="0.25">
      <c r="BM6483" s="81"/>
      <c r="BN6483" s="81"/>
      <c r="BO6483" s="81"/>
      <c r="BP6483" s="81"/>
      <c r="BQ6483" s="81"/>
      <c r="BR6483" s="81"/>
      <c r="BS6483" s="81"/>
      <c r="BT6483" s="81"/>
    </row>
    <row r="6484" spans="65:72" x14ac:dyDescent="0.25">
      <c r="BM6484" s="81"/>
      <c r="BN6484" s="81"/>
      <c r="BO6484" s="81"/>
      <c r="BP6484" s="81"/>
      <c r="BQ6484" s="81"/>
      <c r="BR6484" s="81"/>
      <c r="BS6484" s="81"/>
      <c r="BT6484" s="81"/>
    </row>
    <row r="6485" spans="65:72" x14ac:dyDescent="0.25">
      <c r="BM6485" s="81"/>
      <c r="BN6485" s="81"/>
      <c r="BO6485" s="81"/>
      <c r="BP6485" s="81"/>
      <c r="BQ6485" s="81"/>
      <c r="BR6485" s="81"/>
      <c r="BS6485" s="81"/>
      <c r="BT6485" s="81"/>
    </row>
    <row r="6486" spans="65:72" x14ac:dyDescent="0.25">
      <c r="BM6486" s="81"/>
      <c r="BN6486" s="81"/>
      <c r="BO6486" s="81"/>
      <c r="BP6486" s="81"/>
      <c r="BQ6486" s="81"/>
      <c r="BR6486" s="81"/>
      <c r="BS6486" s="81"/>
      <c r="BT6486" s="81"/>
    </row>
    <row r="6487" spans="65:72" x14ac:dyDescent="0.25">
      <c r="BM6487" s="81"/>
      <c r="BN6487" s="81"/>
      <c r="BO6487" s="81"/>
      <c r="BP6487" s="81"/>
      <c r="BQ6487" s="81"/>
      <c r="BR6487" s="81"/>
      <c r="BS6487" s="81"/>
      <c r="BT6487" s="81"/>
    </row>
    <row r="6488" spans="65:72" x14ac:dyDescent="0.25">
      <c r="BM6488" s="81"/>
      <c r="BN6488" s="81"/>
      <c r="BO6488" s="81"/>
      <c r="BP6488" s="81"/>
      <c r="BQ6488" s="81"/>
      <c r="BR6488" s="81"/>
      <c r="BS6488" s="81"/>
      <c r="BT6488" s="81"/>
    </row>
    <row r="6489" spans="65:72" x14ac:dyDescent="0.25">
      <c r="BM6489" s="81"/>
      <c r="BN6489" s="81"/>
      <c r="BO6489" s="81"/>
      <c r="BP6489" s="81"/>
      <c r="BQ6489" s="81"/>
      <c r="BR6489" s="81"/>
      <c r="BS6489" s="81"/>
      <c r="BT6489" s="81"/>
    </row>
    <row r="6490" spans="65:72" x14ac:dyDescent="0.25">
      <c r="BM6490" s="81"/>
      <c r="BN6490" s="81"/>
      <c r="BO6490" s="81"/>
      <c r="BP6490" s="81"/>
      <c r="BQ6490" s="81"/>
      <c r="BR6490" s="81"/>
      <c r="BS6490" s="81"/>
      <c r="BT6490" s="81"/>
    </row>
    <row r="6491" spans="65:72" x14ac:dyDescent="0.25">
      <c r="BM6491" s="81"/>
      <c r="BN6491" s="81"/>
      <c r="BO6491" s="81"/>
      <c r="BP6491" s="81"/>
      <c r="BQ6491" s="81"/>
      <c r="BR6491" s="81"/>
      <c r="BS6491" s="81"/>
      <c r="BT6491" s="81"/>
    </row>
    <row r="6492" spans="65:72" x14ac:dyDescent="0.25">
      <c r="BM6492" s="81"/>
      <c r="BN6492" s="81"/>
      <c r="BO6492" s="81"/>
      <c r="BP6492" s="81"/>
      <c r="BQ6492" s="81"/>
      <c r="BR6492" s="81"/>
      <c r="BS6492" s="81"/>
      <c r="BT6492" s="81"/>
    </row>
    <row r="6493" spans="65:72" x14ac:dyDescent="0.25">
      <c r="BM6493" s="81"/>
      <c r="BN6493" s="81"/>
      <c r="BO6493" s="81"/>
      <c r="BP6493" s="81"/>
      <c r="BQ6493" s="81"/>
      <c r="BR6493" s="81"/>
      <c r="BS6493" s="81"/>
      <c r="BT6493" s="81"/>
    </row>
    <row r="6494" spans="65:72" x14ac:dyDescent="0.25">
      <c r="BM6494" s="81"/>
      <c r="BN6494" s="81"/>
      <c r="BO6494" s="81"/>
      <c r="BP6494" s="81"/>
      <c r="BQ6494" s="81"/>
      <c r="BR6494" s="81"/>
      <c r="BS6494" s="81"/>
      <c r="BT6494" s="81"/>
    </row>
    <row r="6495" spans="65:72" x14ac:dyDescent="0.25">
      <c r="BM6495" s="81"/>
      <c r="BN6495" s="81"/>
      <c r="BO6495" s="81"/>
      <c r="BP6495" s="81"/>
      <c r="BQ6495" s="81"/>
      <c r="BR6495" s="81"/>
      <c r="BS6495" s="81"/>
      <c r="BT6495" s="81"/>
    </row>
    <row r="6496" spans="65:72" x14ac:dyDescent="0.25">
      <c r="BM6496" s="81"/>
      <c r="BN6496" s="81"/>
      <c r="BO6496" s="81"/>
      <c r="BP6496" s="81"/>
      <c r="BQ6496" s="81"/>
      <c r="BR6496" s="81"/>
      <c r="BS6496" s="81"/>
      <c r="BT6496" s="81"/>
    </row>
    <row r="6497" spans="65:72" x14ac:dyDescent="0.25">
      <c r="BM6497" s="81"/>
      <c r="BN6497" s="81"/>
      <c r="BO6497" s="81"/>
      <c r="BP6497" s="81"/>
      <c r="BQ6497" s="81"/>
      <c r="BR6497" s="81"/>
      <c r="BS6497" s="81"/>
      <c r="BT6497" s="81"/>
    </row>
    <row r="6498" spans="65:72" x14ac:dyDescent="0.25">
      <c r="BM6498" s="81"/>
      <c r="BN6498" s="81"/>
      <c r="BO6498" s="81"/>
      <c r="BP6498" s="81"/>
      <c r="BQ6498" s="81"/>
      <c r="BR6498" s="81"/>
      <c r="BS6498" s="81"/>
      <c r="BT6498" s="81"/>
    </row>
    <row r="6499" spans="65:72" x14ac:dyDescent="0.25">
      <c r="BM6499" s="81"/>
      <c r="BN6499" s="81"/>
      <c r="BO6499" s="81"/>
      <c r="BP6499" s="81"/>
      <c r="BQ6499" s="81"/>
      <c r="BR6499" s="81"/>
      <c r="BS6499" s="81"/>
      <c r="BT6499" s="81"/>
    </row>
    <row r="6500" spans="65:72" x14ac:dyDescent="0.25">
      <c r="BM6500" s="81"/>
      <c r="BN6500" s="81"/>
      <c r="BO6500" s="81"/>
      <c r="BP6500" s="81"/>
      <c r="BQ6500" s="81"/>
      <c r="BR6500" s="81"/>
      <c r="BS6500" s="81"/>
      <c r="BT6500" s="81"/>
    </row>
    <row r="6501" spans="65:72" x14ac:dyDescent="0.25">
      <c r="BM6501" s="81"/>
      <c r="BN6501" s="81"/>
      <c r="BO6501" s="81"/>
      <c r="BP6501" s="81"/>
      <c r="BQ6501" s="81"/>
      <c r="BR6501" s="81"/>
      <c r="BS6501" s="81"/>
      <c r="BT6501" s="81"/>
    </row>
    <row r="6502" spans="65:72" x14ac:dyDescent="0.25">
      <c r="BM6502" s="81"/>
      <c r="BN6502" s="81"/>
      <c r="BO6502" s="81"/>
      <c r="BP6502" s="81"/>
      <c r="BQ6502" s="81"/>
      <c r="BR6502" s="81"/>
      <c r="BS6502" s="81"/>
      <c r="BT6502" s="81"/>
    </row>
    <row r="6503" spans="65:72" x14ac:dyDescent="0.25">
      <c r="BM6503" s="81"/>
      <c r="BN6503" s="81"/>
      <c r="BO6503" s="81"/>
      <c r="BP6503" s="81"/>
      <c r="BQ6503" s="81"/>
      <c r="BR6503" s="81"/>
      <c r="BS6503" s="81"/>
      <c r="BT6503" s="81"/>
    </row>
    <row r="6504" spans="65:72" x14ac:dyDescent="0.25">
      <c r="BM6504" s="81"/>
      <c r="BN6504" s="81"/>
      <c r="BO6504" s="81"/>
      <c r="BP6504" s="81"/>
      <c r="BQ6504" s="81"/>
      <c r="BR6504" s="81"/>
      <c r="BS6504" s="81"/>
      <c r="BT6504" s="81"/>
    </row>
    <row r="6505" spans="65:72" x14ac:dyDescent="0.25">
      <c r="BM6505" s="81"/>
      <c r="BN6505" s="81"/>
      <c r="BO6505" s="81"/>
      <c r="BP6505" s="81"/>
      <c r="BQ6505" s="81"/>
      <c r="BR6505" s="81"/>
      <c r="BS6505" s="81"/>
      <c r="BT6505" s="81"/>
    </row>
    <row r="6506" spans="65:72" x14ac:dyDescent="0.25">
      <c r="BM6506" s="81"/>
      <c r="BN6506" s="81"/>
      <c r="BO6506" s="81"/>
      <c r="BP6506" s="81"/>
      <c r="BQ6506" s="81"/>
      <c r="BR6506" s="81"/>
      <c r="BS6506" s="81"/>
      <c r="BT6506" s="81"/>
    </row>
    <row r="6507" spans="65:72" x14ac:dyDescent="0.25">
      <c r="BM6507" s="81"/>
      <c r="BN6507" s="81"/>
      <c r="BO6507" s="81"/>
      <c r="BP6507" s="81"/>
      <c r="BQ6507" s="81"/>
      <c r="BR6507" s="81"/>
      <c r="BS6507" s="81"/>
      <c r="BT6507" s="81"/>
    </row>
    <row r="6508" spans="65:72" x14ac:dyDescent="0.25">
      <c r="BM6508" s="81"/>
      <c r="BN6508" s="81"/>
      <c r="BO6508" s="81"/>
      <c r="BP6508" s="81"/>
      <c r="BQ6508" s="81"/>
      <c r="BR6508" s="81"/>
      <c r="BS6508" s="81"/>
      <c r="BT6508" s="81"/>
    </row>
    <row r="6509" spans="65:72" x14ac:dyDescent="0.25">
      <c r="BM6509" s="81"/>
      <c r="BN6509" s="81"/>
      <c r="BO6509" s="81"/>
      <c r="BP6509" s="81"/>
      <c r="BQ6509" s="81"/>
      <c r="BR6509" s="81"/>
      <c r="BS6509" s="81"/>
      <c r="BT6509" s="81"/>
    </row>
    <row r="6510" spans="65:72" x14ac:dyDescent="0.25">
      <c r="BM6510" s="81"/>
      <c r="BN6510" s="81"/>
      <c r="BO6510" s="81"/>
      <c r="BP6510" s="81"/>
      <c r="BQ6510" s="81"/>
      <c r="BR6510" s="81"/>
      <c r="BS6510" s="81"/>
      <c r="BT6510" s="81"/>
    </row>
    <row r="6511" spans="65:72" x14ac:dyDescent="0.25">
      <c r="BM6511" s="81"/>
      <c r="BN6511" s="81"/>
      <c r="BO6511" s="81"/>
      <c r="BP6511" s="81"/>
      <c r="BQ6511" s="81"/>
      <c r="BR6511" s="81"/>
      <c r="BS6511" s="81"/>
      <c r="BT6511" s="81"/>
    </row>
    <row r="6512" spans="65:72" x14ac:dyDescent="0.25">
      <c r="BM6512" s="81"/>
      <c r="BN6512" s="81"/>
      <c r="BO6512" s="81"/>
      <c r="BP6512" s="81"/>
      <c r="BQ6512" s="81"/>
      <c r="BR6512" s="81"/>
      <c r="BS6512" s="81"/>
      <c r="BT6512" s="81"/>
    </row>
    <row r="6513" spans="65:72" x14ac:dyDescent="0.25">
      <c r="BM6513" s="81"/>
      <c r="BN6513" s="81"/>
      <c r="BO6513" s="81"/>
      <c r="BP6513" s="81"/>
      <c r="BQ6513" s="81"/>
      <c r="BR6513" s="81"/>
      <c r="BS6513" s="81"/>
      <c r="BT6513" s="81"/>
    </row>
    <row r="6514" spans="65:72" x14ac:dyDescent="0.25">
      <c r="BM6514" s="81"/>
      <c r="BN6514" s="81"/>
      <c r="BO6514" s="81"/>
      <c r="BP6514" s="81"/>
      <c r="BQ6514" s="81"/>
      <c r="BR6514" s="81"/>
      <c r="BS6514" s="81"/>
      <c r="BT6514" s="81"/>
    </row>
    <row r="6515" spans="65:72" x14ac:dyDescent="0.25">
      <c r="BM6515" s="81"/>
      <c r="BN6515" s="81"/>
      <c r="BO6515" s="81"/>
      <c r="BP6515" s="81"/>
      <c r="BQ6515" s="81"/>
      <c r="BR6515" s="81"/>
      <c r="BS6515" s="81"/>
      <c r="BT6515" s="81"/>
    </row>
    <row r="6516" spans="65:72" x14ac:dyDescent="0.25">
      <c r="BM6516" s="81"/>
      <c r="BN6516" s="81"/>
      <c r="BO6516" s="81"/>
      <c r="BP6516" s="81"/>
      <c r="BQ6516" s="81"/>
      <c r="BR6516" s="81"/>
      <c r="BS6516" s="81"/>
      <c r="BT6516" s="81"/>
    </row>
    <row r="6517" spans="65:72" x14ac:dyDescent="0.25">
      <c r="BM6517" s="81"/>
      <c r="BN6517" s="81"/>
      <c r="BO6517" s="81"/>
      <c r="BP6517" s="81"/>
      <c r="BQ6517" s="81"/>
      <c r="BR6517" s="81"/>
      <c r="BS6517" s="81"/>
      <c r="BT6517" s="81"/>
    </row>
    <row r="6518" spans="65:72" x14ac:dyDescent="0.25">
      <c r="BM6518" s="81"/>
      <c r="BN6518" s="81"/>
      <c r="BO6518" s="81"/>
      <c r="BP6518" s="81"/>
      <c r="BQ6518" s="81"/>
      <c r="BR6518" s="81"/>
      <c r="BS6518" s="81"/>
      <c r="BT6518" s="81"/>
    </row>
    <row r="6519" spans="65:72" x14ac:dyDescent="0.25">
      <c r="BM6519" s="81"/>
      <c r="BN6519" s="81"/>
      <c r="BO6519" s="81"/>
      <c r="BP6519" s="81"/>
      <c r="BQ6519" s="81"/>
      <c r="BR6519" s="81"/>
      <c r="BS6519" s="81"/>
      <c r="BT6519" s="81"/>
    </row>
    <row r="6520" spans="65:72" x14ac:dyDescent="0.25">
      <c r="BM6520" s="81"/>
      <c r="BN6520" s="81"/>
      <c r="BO6520" s="81"/>
      <c r="BP6520" s="81"/>
      <c r="BQ6520" s="81"/>
      <c r="BR6520" s="81"/>
      <c r="BS6520" s="81"/>
      <c r="BT6520" s="81"/>
    </row>
    <row r="6521" spans="65:72" x14ac:dyDescent="0.25">
      <c r="BM6521" s="81"/>
      <c r="BN6521" s="81"/>
      <c r="BO6521" s="81"/>
      <c r="BP6521" s="81"/>
      <c r="BQ6521" s="81"/>
      <c r="BR6521" s="81"/>
      <c r="BS6521" s="81"/>
      <c r="BT6521" s="81"/>
    </row>
    <row r="6522" spans="65:72" x14ac:dyDescent="0.25">
      <c r="BM6522" s="81"/>
      <c r="BN6522" s="81"/>
      <c r="BO6522" s="81"/>
      <c r="BP6522" s="81"/>
      <c r="BQ6522" s="81"/>
      <c r="BR6522" s="81"/>
      <c r="BS6522" s="81"/>
      <c r="BT6522" s="81"/>
    </row>
    <row r="6523" spans="65:72" x14ac:dyDescent="0.25">
      <c r="BM6523" s="81"/>
      <c r="BN6523" s="81"/>
      <c r="BO6523" s="81"/>
      <c r="BP6523" s="81"/>
      <c r="BQ6523" s="81"/>
      <c r="BR6523" s="81"/>
      <c r="BS6523" s="81"/>
      <c r="BT6523" s="81"/>
    </row>
    <row r="6524" spans="65:72" x14ac:dyDescent="0.25">
      <c r="BM6524" s="81"/>
      <c r="BN6524" s="81"/>
      <c r="BO6524" s="81"/>
      <c r="BP6524" s="81"/>
      <c r="BQ6524" s="81"/>
      <c r="BR6524" s="81"/>
      <c r="BS6524" s="81"/>
      <c r="BT6524" s="81"/>
    </row>
    <row r="6525" spans="65:72" x14ac:dyDescent="0.25">
      <c r="BM6525" s="81"/>
      <c r="BN6525" s="81"/>
      <c r="BO6525" s="81"/>
      <c r="BP6525" s="81"/>
      <c r="BQ6525" s="81"/>
      <c r="BR6525" s="81"/>
      <c r="BS6525" s="81"/>
      <c r="BT6525" s="81"/>
    </row>
    <row r="6526" spans="65:72" x14ac:dyDescent="0.25">
      <c r="BM6526" s="81"/>
      <c r="BN6526" s="81"/>
      <c r="BO6526" s="81"/>
      <c r="BP6526" s="81"/>
      <c r="BQ6526" s="81"/>
      <c r="BR6526" s="81"/>
      <c r="BS6526" s="81"/>
      <c r="BT6526" s="81"/>
    </row>
    <row r="6527" spans="65:72" x14ac:dyDescent="0.25">
      <c r="BM6527" s="81"/>
      <c r="BN6527" s="81"/>
      <c r="BO6527" s="81"/>
      <c r="BP6527" s="81"/>
      <c r="BQ6527" s="81"/>
      <c r="BR6527" s="81"/>
      <c r="BS6527" s="81"/>
      <c r="BT6527" s="81"/>
    </row>
    <row r="6528" spans="65:72" x14ac:dyDescent="0.25">
      <c r="BM6528" s="81"/>
      <c r="BN6528" s="81"/>
      <c r="BO6528" s="81"/>
      <c r="BP6528" s="81"/>
      <c r="BQ6528" s="81"/>
      <c r="BR6528" s="81"/>
      <c r="BS6528" s="81"/>
      <c r="BT6528" s="81"/>
    </row>
    <row r="6529" spans="65:72" x14ac:dyDescent="0.25">
      <c r="BM6529" s="81"/>
      <c r="BN6529" s="81"/>
      <c r="BO6529" s="81"/>
      <c r="BP6529" s="81"/>
      <c r="BQ6529" s="81"/>
      <c r="BR6529" s="81"/>
      <c r="BS6529" s="81"/>
      <c r="BT6529" s="81"/>
    </row>
    <row r="6530" spans="65:72" x14ac:dyDescent="0.25">
      <c r="BM6530" s="81"/>
      <c r="BN6530" s="81"/>
      <c r="BO6530" s="81"/>
      <c r="BP6530" s="81"/>
      <c r="BQ6530" s="81"/>
      <c r="BR6530" s="81"/>
      <c r="BS6530" s="81"/>
      <c r="BT6530" s="81"/>
    </row>
    <row r="6531" spans="65:72" x14ac:dyDescent="0.25">
      <c r="BM6531" s="81"/>
      <c r="BN6531" s="81"/>
      <c r="BO6531" s="81"/>
      <c r="BP6531" s="81"/>
      <c r="BQ6531" s="81"/>
      <c r="BR6531" s="81"/>
      <c r="BS6531" s="81"/>
      <c r="BT6531" s="81"/>
    </row>
    <row r="6532" spans="65:72" x14ac:dyDescent="0.25">
      <c r="BM6532" s="81"/>
      <c r="BN6532" s="81"/>
      <c r="BO6532" s="81"/>
      <c r="BP6532" s="81"/>
      <c r="BQ6532" s="81"/>
      <c r="BR6532" s="81"/>
      <c r="BS6532" s="81"/>
      <c r="BT6532" s="81"/>
    </row>
    <row r="6533" spans="65:72" x14ac:dyDescent="0.25">
      <c r="BM6533" s="81"/>
      <c r="BN6533" s="81"/>
      <c r="BO6533" s="81"/>
      <c r="BP6533" s="81"/>
      <c r="BQ6533" s="81"/>
      <c r="BR6533" s="81"/>
      <c r="BS6533" s="81"/>
      <c r="BT6533" s="81"/>
    </row>
    <row r="6534" spans="65:72" x14ac:dyDescent="0.25">
      <c r="BM6534" s="81"/>
      <c r="BN6534" s="81"/>
      <c r="BO6534" s="81"/>
      <c r="BP6534" s="81"/>
      <c r="BQ6534" s="81"/>
      <c r="BR6534" s="81"/>
      <c r="BS6534" s="81"/>
      <c r="BT6534" s="81"/>
    </row>
    <row r="6535" spans="65:72" x14ac:dyDescent="0.25">
      <c r="BM6535" s="81"/>
      <c r="BN6535" s="81"/>
      <c r="BO6535" s="81"/>
      <c r="BP6535" s="81"/>
      <c r="BQ6535" s="81"/>
      <c r="BR6535" s="81"/>
      <c r="BS6535" s="81"/>
      <c r="BT6535" s="81"/>
    </row>
    <row r="6536" spans="65:72" x14ac:dyDescent="0.25">
      <c r="BM6536" s="81"/>
      <c r="BN6536" s="81"/>
      <c r="BO6536" s="81"/>
      <c r="BP6536" s="81"/>
      <c r="BQ6536" s="81"/>
      <c r="BR6536" s="81"/>
      <c r="BS6536" s="81"/>
      <c r="BT6536" s="81"/>
    </row>
    <row r="6537" spans="65:72" x14ac:dyDescent="0.25">
      <c r="BM6537" s="81"/>
      <c r="BN6537" s="81"/>
      <c r="BO6537" s="81"/>
      <c r="BP6537" s="81"/>
      <c r="BQ6537" s="81"/>
      <c r="BR6537" s="81"/>
      <c r="BS6537" s="81"/>
      <c r="BT6537" s="81"/>
    </row>
    <row r="6538" spans="65:72" x14ac:dyDescent="0.25">
      <c r="BM6538" s="81"/>
      <c r="BN6538" s="81"/>
      <c r="BO6538" s="81"/>
      <c r="BP6538" s="81"/>
      <c r="BQ6538" s="81"/>
      <c r="BR6538" s="81"/>
      <c r="BS6538" s="81"/>
      <c r="BT6538" s="81"/>
    </row>
    <row r="6539" spans="65:72" x14ac:dyDescent="0.25">
      <c r="BM6539" s="81"/>
      <c r="BN6539" s="81"/>
      <c r="BO6539" s="81"/>
      <c r="BP6539" s="81"/>
      <c r="BQ6539" s="81"/>
      <c r="BR6539" s="81"/>
      <c r="BS6539" s="81"/>
      <c r="BT6539" s="81"/>
    </row>
    <row r="6540" spans="65:72" x14ac:dyDescent="0.25">
      <c r="BM6540" s="81"/>
      <c r="BN6540" s="81"/>
      <c r="BO6540" s="81"/>
      <c r="BP6540" s="81"/>
      <c r="BQ6540" s="81"/>
      <c r="BR6540" s="81"/>
      <c r="BS6540" s="81"/>
      <c r="BT6540" s="81"/>
    </row>
    <row r="6541" spans="65:72" x14ac:dyDescent="0.25">
      <c r="BM6541" s="81"/>
      <c r="BN6541" s="81"/>
      <c r="BO6541" s="81"/>
      <c r="BP6541" s="81"/>
      <c r="BQ6541" s="81"/>
      <c r="BR6541" s="81"/>
      <c r="BS6541" s="81"/>
      <c r="BT6541" s="81"/>
    </row>
    <row r="6542" spans="65:72" x14ac:dyDescent="0.25">
      <c r="BM6542" s="81"/>
      <c r="BN6542" s="81"/>
      <c r="BO6542" s="81"/>
      <c r="BP6542" s="81"/>
      <c r="BQ6542" s="81"/>
      <c r="BR6542" s="81"/>
      <c r="BS6542" s="81"/>
      <c r="BT6542" s="81"/>
    </row>
    <row r="6543" spans="65:72" x14ac:dyDescent="0.25">
      <c r="BM6543" s="81"/>
      <c r="BN6543" s="81"/>
      <c r="BO6543" s="81"/>
      <c r="BP6543" s="81"/>
      <c r="BQ6543" s="81"/>
      <c r="BR6543" s="81"/>
      <c r="BS6543" s="81"/>
      <c r="BT6543" s="81"/>
    </row>
    <row r="6544" spans="65:72" x14ac:dyDescent="0.25">
      <c r="BM6544" s="81"/>
      <c r="BN6544" s="81"/>
      <c r="BO6544" s="81"/>
      <c r="BP6544" s="81"/>
      <c r="BQ6544" s="81"/>
      <c r="BR6544" s="81"/>
      <c r="BS6544" s="81"/>
      <c r="BT6544" s="81"/>
    </row>
    <row r="6545" spans="65:72" x14ac:dyDescent="0.25">
      <c r="BM6545" s="81"/>
      <c r="BN6545" s="81"/>
      <c r="BO6545" s="81"/>
      <c r="BP6545" s="81"/>
      <c r="BQ6545" s="81"/>
      <c r="BR6545" s="81"/>
      <c r="BS6545" s="81"/>
      <c r="BT6545" s="81"/>
    </row>
    <row r="6546" spans="65:72" x14ac:dyDescent="0.25">
      <c r="BM6546" s="81"/>
      <c r="BN6546" s="81"/>
      <c r="BO6546" s="81"/>
      <c r="BP6546" s="81"/>
      <c r="BQ6546" s="81"/>
      <c r="BR6546" s="81"/>
      <c r="BS6546" s="81"/>
      <c r="BT6546" s="81"/>
    </row>
    <row r="6547" spans="65:72" x14ac:dyDescent="0.25">
      <c r="BM6547" s="81"/>
      <c r="BN6547" s="81"/>
      <c r="BO6547" s="81"/>
      <c r="BP6547" s="81"/>
      <c r="BQ6547" s="81"/>
      <c r="BR6547" s="81"/>
      <c r="BS6547" s="81"/>
      <c r="BT6547" s="81"/>
    </row>
    <row r="6548" spans="65:72" x14ac:dyDescent="0.25">
      <c r="BM6548" s="81"/>
      <c r="BN6548" s="81"/>
      <c r="BO6548" s="81"/>
      <c r="BP6548" s="81"/>
      <c r="BQ6548" s="81"/>
      <c r="BR6548" s="81"/>
      <c r="BS6548" s="81"/>
      <c r="BT6548" s="81"/>
    </row>
    <row r="6549" spans="65:72" x14ac:dyDescent="0.25">
      <c r="BM6549" s="81"/>
      <c r="BN6549" s="81"/>
      <c r="BO6549" s="81"/>
      <c r="BP6549" s="81"/>
      <c r="BQ6549" s="81"/>
      <c r="BR6549" s="81"/>
      <c r="BS6549" s="81"/>
      <c r="BT6549" s="81"/>
    </row>
    <row r="6550" spans="65:72" x14ac:dyDescent="0.25">
      <c r="BM6550" s="81"/>
      <c r="BN6550" s="81"/>
      <c r="BO6550" s="81"/>
      <c r="BP6550" s="81"/>
      <c r="BQ6550" s="81"/>
      <c r="BR6550" s="81"/>
      <c r="BS6550" s="81"/>
      <c r="BT6550" s="81"/>
    </row>
    <row r="6551" spans="65:72" x14ac:dyDescent="0.25">
      <c r="BM6551" s="81"/>
      <c r="BN6551" s="81"/>
      <c r="BO6551" s="81"/>
      <c r="BP6551" s="81"/>
      <c r="BQ6551" s="81"/>
      <c r="BR6551" s="81"/>
      <c r="BS6551" s="81"/>
      <c r="BT6551" s="81"/>
    </row>
    <row r="6552" spans="65:72" x14ac:dyDescent="0.25">
      <c r="BM6552" s="81"/>
      <c r="BN6552" s="81"/>
      <c r="BO6552" s="81"/>
      <c r="BP6552" s="81"/>
      <c r="BQ6552" s="81"/>
      <c r="BR6552" s="81"/>
      <c r="BS6552" s="81"/>
      <c r="BT6552" s="81"/>
    </row>
    <row r="6553" spans="65:72" x14ac:dyDescent="0.25">
      <c r="BM6553" s="81"/>
      <c r="BN6553" s="81"/>
      <c r="BO6553" s="81"/>
      <c r="BP6553" s="81"/>
      <c r="BQ6553" s="81"/>
      <c r="BR6553" s="81"/>
      <c r="BS6553" s="81"/>
      <c r="BT6553" s="81"/>
    </row>
    <row r="6554" spans="65:72" x14ac:dyDescent="0.25">
      <c r="BM6554" s="81"/>
      <c r="BN6554" s="81"/>
      <c r="BO6554" s="81"/>
      <c r="BP6554" s="81"/>
      <c r="BQ6554" s="81"/>
      <c r="BR6554" s="81"/>
      <c r="BS6554" s="81"/>
      <c r="BT6554" s="81"/>
    </row>
    <row r="6555" spans="65:72" x14ac:dyDescent="0.25">
      <c r="BM6555" s="81"/>
      <c r="BN6555" s="81"/>
      <c r="BO6555" s="81"/>
      <c r="BP6555" s="81"/>
      <c r="BQ6555" s="81"/>
      <c r="BR6555" s="81"/>
      <c r="BS6555" s="81"/>
      <c r="BT6555" s="81"/>
    </row>
    <row r="6556" spans="65:72" x14ac:dyDescent="0.25">
      <c r="BM6556" s="81"/>
      <c r="BN6556" s="81"/>
      <c r="BO6556" s="81"/>
      <c r="BP6556" s="81"/>
      <c r="BQ6556" s="81"/>
      <c r="BR6556" s="81"/>
      <c r="BS6556" s="81"/>
      <c r="BT6556" s="81"/>
    </row>
    <row r="6557" spans="65:72" x14ac:dyDescent="0.25">
      <c r="BM6557" s="81"/>
      <c r="BN6557" s="81"/>
      <c r="BO6557" s="81"/>
      <c r="BP6557" s="81"/>
      <c r="BQ6557" s="81"/>
      <c r="BR6557" s="81"/>
      <c r="BS6557" s="81"/>
      <c r="BT6557" s="81"/>
    </row>
    <row r="6558" spans="65:72" x14ac:dyDescent="0.25">
      <c r="BM6558" s="81"/>
      <c r="BN6558" s="81"/>
      <c r="BO6558" s="81"/>
      <c r="BP6558" s="81"/>
      <c r="BQ6558" s="81"/>
      <c r="BR6558" s="81"/>
      <c r="BS6558" s="81"/>
      <c r="BT6558" s="81"/>
    </row>
    <row r="6559" spans="65:72" x14ac:dyDescent="0.25">
      <c r="BM6559" s="81"/>
      <c r="BN6559" s="81"/>
      <c r="BO6559" s="81"/>
      <c r="BP6559" s="81"/>
      <c r="BQ6559" s="81"/>
      <c r="BR6559" s="81"/>
      <c r="BS6559" s="81"/>
      <c r="BT6559" s="81"/>
    </row>
    <row r="6560" spans="65:72" x14ac:dyDescent="0.25">
      <c r="BM6560" s="81"/>
      <c r="BN6560" s="81"/>
      <c r="BO6560" s="81"/>
      <c r="BP6560" s="81"/>
      <c r="BQ6560" s="81"/>
      <c r="BR6560" s="81"/>
      <c r="BS6560" s="81"/>
      <c r="BT6560" s="81"/>
    </row>
    <row r="6561" spans="65:72" x14ac:dyDescent="0.25">
      <c r="BM6561" s="81"/>
      <c r="BN6561" s="81"/>
      <c r="BO6561" s="81"/>
      <c r="BP6561" s="81"/>
      <c r="BQ6561" s="81"/>
      <c r="BR6561" s="81"/>
      <c r="BS6561" s="81"/>
      <c r="BT6561" s="81"/>
    </row>
    <row r="6562" spans="65:72" x14ac:dyDescent="0.25">
      <c r="BM6562" s="81"/>
      <c r="BN6562" s="81"/>
      <c r="BO6562" s="81"/>
      <c r="BP6562" s="81"/>
      <c r="BQ6562" s="81"/>
      <c r="BR6562" s="81"/>
      <c r="BS6562" s="81"/>
      <c r="BT6562" s="81"/>
    </row>
    <row r="6563" spans="65:72" x14ac:dyDescent="0.25">
      <c r="BM6563" s="81"/>
      <c r="BN6563" s="81"/>
      <c r="BO6563" s="81"/>
      <c r="BP6563" s="81"/>
      <c r="BQ6563" s="81"/>
      <c r="BR6563" s="81"/>
      <c r="BS6563" s="81"/>
      <c r="BT6563" s="81"/>
    </row>
    <row r="6564" spans="65:72" x14ac:dyDescent="0.25">
      <c r="BM6564" s="81"/>
      <c r="BN6564" s="81"/>
      <c r="BO6564" s="81"/>
      <c r="BP6564" s="81"/>
      <c r="BQ6564" s="81"/>
      <c r="BR6564" s="81"/>
      <c r="BS6564" s="81"/>
      <c r="BT6564" s="81"/>
    </row>
    <row r="6565" spans="65:72" x14ac:dyDescent="0.25">
      <c r="BM6565" s="81"/>
      <c r="BN6565" s="81"/>
      <c r="BO6565" s="81"/>
      <c r="BP6565" s="81"/>
      <c r="BQ6565" s="81"/>
      <c r="BR6565" s="81"/>
      <c r="BS6565" s="81"/>
      <c r="BT6565" s="81"/>
    </row>
    <row r="6566" spans="65:72" x14ac:dyDescent="0.25">
      <c r="BM6566" s="81"/>
      <c r="BN6566" s="81"/>
      <c r="BO6566" s="81"/>
      <c r="BP6566" s="81"/>
      <c r="BQ6566" s="81"/>
      <c r="BR6566" s="81"/>
      <c r="BS6566" s="81"/>
      <c r="BT6566" s="81"/>
    </row>
    <row r="6567" spans="65:72" x14ac:dyDescent="0.25">
      <c r="BM6567" s="81"/>
      <c r="BN6567" s="81"/>
      <c r="BO6567" s="81"/>
      <c r="BP6567" s="81"/>
      <c r="BQ6567" s="81"/>
      <c r="BR6567" s="81"/>
      <c r="BS6567" s="81"/>
      <c r="BT6567" s="81"/>
    </row>
    <row r="6568" spans="65:72" x14ac:dyDescent="0.25">
      <c r="BM6568" s="81"/>
      <c r="BN6568" s="81"/>
      <c r="BO6568" s="81"/>
      <c r="BP6568" s="81"/>
      <c r="BQ6568" s="81"/>
      <c r="BR6568" s="81"/>
      <c r="BS6568" s="81"/>
      <c r="BT6568" s="81"/>
    </row>
    <row r="6569" spans="65:72" x14ac:dyDescent="0.25">
      <c r="BM6569" s="81"/>
      <c r="BN6569" s="81"/>
      <c r="BO6569" s="81"/>
      <c r="BP6569" s="81"/>
      <c r="BQ6569" s="81"/>
      <c r="BR6569" s="81"/>
      <c r="BS6569" s="81"/>
      <c r="BT6569" s="81"/>
    </row>
    <row r="6570" spans="65:72" x14ac:dyDescent="0.25">
      <c r="BM6570" s="81"/>
      <c r="BN6570" s="81"/>
      <c r="BO6570" s="81"/>
      <c r="BP6570" s="81"/>
      <c r="BQ6570" s="81"/>
      <c r="BR6570" s="81"/>
      <c r="BS6570" s="81"/>
      <c r="BT6570" s="81"/>
    </row>
    <row r="6571" spans="65:72" x14ac:dyDescent="0.25">
      <c r="BM6571" s="81"/>
      <c r="BN6571" s="81"/>
      <c r="BO6571" s="81"/>
      <c r="BP6571" s="81"/>
      <c r="BQ6571" s="81"/>
      <c r="BR6571" s="81"/>
      <c r="BS6571" s="81"/>
      <c r="BT6571" s="81"/>
    </row>
    <row r="6572" spans="65:72" x14ac:dyDescent="0.25">
      <c r="BM6572" s="81"/>
      <c r="BN6572" s="81"/>
      <c r="BO6572" s="81"/>
      <c r="BP6572" s="81"/>
      <c r="BQ6572" s="81"/>
      <c r="BR6572" s="81"/>
      <c r="BS6572" s="81"/>
      <c r="BT6572" s="81"/>
    </row>
    <row r="6573" spans="65:72" x14ac:dyDescent="0.25">
      <c r="BM6573" s="81"/>
      <c r="BN6573" s="81"/>
      <c r="BO6573" s="81"/>
      <c r="BP6573" s="81"/>
      <c r="BQ6573" s="81"/>
      <c r="BR6573" s="81"/>
      <c r="BS6573" s="81"/>
      <c r="BT6573" s="81"/>
    </row>
    <row r="6574" spans="65:72" x14ac:dyDescent="0.25">
      <c r="BM6574" s="81"/>
      <c r="BN6574" s="81"/>
      <c r="BO6574" s="81"/>
      <c r="BP6574" s="81"/>
      <c r="BQ6574" s="81"/>
      <c r="BR6574" s="81"/>
      <c r="BS6574" s="81"/>
      <c r="BT6574" s="81"/>
    </row>
    <row r="6575" spans="65:72" x14ac:dyDescent="0.25">
      <c r="BM6575" s="81"/>
      <c r="BN6575" s="81"/>
      <c r="BO6575" s="81"/>
      <c r="BP6575" s="81"/>
      <c r="BQ6575" s="81"/>
      <c r="BR6575" s="81"/>
      <c r="BS6575" s="81"/>
      <c r="BT6575" s="81"/>
    </row>
    <row r="6576" spans="65:72" x14ac:dyDescent="0.25">
      <c r="BM6576" s="81"/>
      <c r="BN6576" s="81"/>
      <c r="BO6576" s="81"/>
      <c r="BP6576" s="81"/>
      <c r="BQ6576" s="81"/>
      <c r="BR6576" s="81"/>
      <c r="BS6576" s="81"/>
      <c r="BT6576" s="81"/>
    </row>
    <row r="6577" spans="65:72" x14ac:dyDescent="0.25">
      <c r="BM6577" s="81"/>
      <c r="BN6577" s="81"/>
      <c r="BO6577" s="81"/>
      <c r="BP6577" s="81"/>
      <c r="BQ6577" s="81"/>
      <c r="BR6577" s="81"/>
      <c r="BS6577" s="81"/>
      <c r="BT6577" s="81"/>
    </row>
    <row r="6578" spans="65:72" x14ac:dyDescent="0.25">
      <c r="BM6578" s="81"/>
      <c r="BN6578" s="81"/>
      <c r="BO6578" s="81"/>
      <c r="BP6578" s="81"/>
      <c r="BQ6578" s="81"/>
      <c r="BR6578" s="81"/>
      <c r="BS6578" s="81"/>
      <c r="BT6578" s="81"/>
    </row>
    <row r="6579" spans="65:72" x14ac:dyDescent="0.25">
      <c r="BM6579" s="81"/>
      <c r="BN6579" s="81"/>
      <c r="BO6579" s="81"/>
      <c r="BP6579" s="81"/>
      <c r="BQ6579" s="81"/>
      <c r="BR6579" s="81"/>
      <c r="BS6579" s="81"/>
      <c r="BT6579" s="81"/>
    </row>
    <row r="6580" spans="65:72" x14ac:dyDescent="0.25">
      <c r="BM6580" s="81"/>
      <c r="BN6580" s="81"/>
      <c r="BO6580" s="81"/>
      <c r="BP6580" s="81"/>
      <c r="BQ6580" s="81"/>
      <c r="BR6580" s="81"/>
      <c r="BS6580" s="81"/>
      <c r="BT6580" s="81"/>
    </row>
    <row r="6581" spans="65:72" x14ac:dyDescent="0.25">
      <c r="BM6581" s="81"/>
      <c r="BN6581" s="81"/>
      <c r="BO6581" s="81"/>
      <c r="BP6581" s="81"/>
      <c r="BQ6581" s="81"/>
      <c r="BR6581" s="81"/>
      <c r="BS6581" s="81"/>
      <c r="BT6581" s="81"/>
    </row>
    <row r="6582" spans="65:72" x14ac:dyDescent="0.25">
      <c r="BM6582" s="81"/>
      <c r="BN6582" s="81"/>
      <c r="BO6582" s="81"/>
      <c r="BP6582" s="81"/>
      <c r="BQ6582" s="81"/>
      <c r="BR6582" s="81"/>
      <c r="BS6582" s="81"/>
      <c r="BT6582" s="81"/>
    </row>
    <row r="6583" spans="65:72" x14ac:dyDescent="0.25">
      <c r="BM6583" s="81"/>
      <c r="BN6583" s="81"/>
      <c r="BO6583" s="81"/>
      <c r="BP6583" s="81"/>
      <c r="BQ6583" s="81"/>
      <c r="BR6583" s="81"/>
      <c r="BS6583" s="81"/>
      <c r="BT6583" s="81"/>
    </row>
    <row r="6584" spans="65:72" x14ac:dyDescent="0.25">
      <c r="BM6584" s="81"/>
      <c r="BN6584" s="81"/>
      <c r="BO6584" s="81"/>
      <c r="BP6584" s="81"/>
      <c r="BQ6584" s="81"/>
      <c r="BR6584" s="81"/>
      <c r="BS6584" s="81"/>
      <c r="BT6584" s="81"/>
    </row>
    <row r="6585" spans="65:72" x14ac:dyDescent="0.25">
      <c r="BM6585" s="81"/>
      <c r="BN6585" s="81"/>
      <c r="BO6585" s="81"/>
      <c r="BP6585" s="81"/>
      <c r="BQ6585" s="81"/>
      <c r="BR6585" s="81"/>
      <c r="BS6585" s="81"/>
      <c r="BT6585" s="81"/>
    </row>
    <row r="6586" spans="65:72" x14ac:dyDescent="0.25">
      <c r="BM6586" s="81"/>
      <c r="BN6586" s="81"/>
      <c r="BO6586" s="81"/>
      <c r="BP6586" s="81"/>
      <c r="BQ6586" s="81"/>
      <c r="BR6586" s="81"/>
      <c r="BS6586" s="81"/>
      <c r="BT6586" s="81"/>
    </row>
    <row r="6587" spans="65:72" x14ac:dyDescent="0.25">
      <c r="BM6587" s="81"/>
      <c r="BN6587" s="81"/>
      <c r="BO6587" s="81"/>
      <c r="BP6587" s="81"/>
      <c r="BQ6587" s="81"/>
      <c r="BR6587" s="81"/>
      <c r="BS6587" s="81"/>
      <c r="BT6587" s="81"/>
    </row>
    <row r="6588" spans="65:72" x14ac:dyDescent="0.25">
      <c r="BM6588" s="81"/>
      <c r="BN6588" s="81"/>
      <c r="BO6588" s="81"/>
      <c r="BP6588" s="81"/>
      <c r="BQ6588" s="81"/>
      <c r="BR6588" s="81"/>
      <c r="BS6588" s="81"/>
      <c r="BT6588" s="81"/>
    </row>
    <row r="6589" spans="65:72" x14ac:dyDescent="0.25">
      <c r="BM6589" s="81"/>
      <c r="BN6589" s="81"/>
      <c r="BO6589" s="81"/>
      <c r="BP6589" s="81"/>
      <c r="BQ6589" s="81"/>
      <c r="BR6589" s="81"/>
      <c r="BS6589" s="81"/>
      <c r="BT6589" s="81"/>
    </row>
    <row r="6590" spans="65:72" x14ac:dyDescent="0.25">
      <c r="BM6590" s="81"/>
      <c r="BN6590" s="81"/>
      <c r="BO6590" s="81"/>
      <c r="BP6590" s="81"/>
      <c r="BQ6590" s="81"/>
      <c r="BR6590" s="81"/>
      <c r="BS6590" s="81"/>
      <c r="BT6590" s="81"/>
    </row>
    <row r="6591" spans="65:72" x14ac:dyDescent="0.25">
      <c r="BM6591" s="81"/>
      <c r="BN6591" s="81"/>
      <c r="BO6591" s="81"/>
      <c r="BP6591" s="81"/>
      <c r="BQ6591" s="81"/>
      <c r="BR6591" s="81"/>
      <c r="BS6591" s="81"/>
      <c r="BT6591" s="81"/>
    </row>
    <row r="6592" spans="65:72" x14ac:dyDescent="0.25">
      <c r="BM6592" s="81"/>
      <c r="BN6592" s="81"/>
      <c r="BO6592" s="81"/>
      <c r="BP6592" s="81"/>
      <c r="BQ6592" s="81"/>
      <c r="BR6592" s="81"/>
      <c r="BS6592" s="81"/>
      <c r="BT6592" s="81"/>
    </row>
    <row r="6593" spans="65:72" x14ac:dyDescent="0.25">
      <c r="BM6593" s="81"/>
      <c r="BN6593" s="81"/>
      <c r="BO6593" s="81"/>
      <c r="BP6593" s="81"/>
      <c r="BQ6593" s="81"/>
      <c r="BR6593" s="81"/>
      <c r="BS6593" s="81"/>
      <c r="BT6593" s="81"/>
    </row>
    <row r="6594" spans="65:72" x14ac:dyDescent="0.25">
      <c r="BM6594" s="81"/>
      <c r="BN6594" s="81"/>
      <c r="BO6594" s="81"/>
      <c r="BP6594" s="81"/>
      <c r="BQ6594" s="81"/>
      <c r="BR6594" s="81"/>
      <c r="BS6594" s="81"/>
      <c r="BT6594" s="81"/>
    </row>
    <row r="6595" spans="65:72" x14ac:dyDescent="0.25">
      <c r="BM6595" s="81"/>
      <c r="BN6595" s="81"/>
      <c r="BO6595" s="81"/>
      <c r="BP6595" s="81"/>
      <c r="BQ6595" s="81"/>
      <c r="BR6595" s="81"/>
      <c r="BS6595" s="81"/>
      <c r="BT6595" s="81"/>
    </row>
    <row r="6596" spans="65:72" x14ac:dyDescent="0.25">
      <c r="BM6596" s="81"/>
      <c r="BN6596" s="81"/>
      <c r="BO6596" s="81"/>
      <c r="BP6596" s="81"/>
      <c r="BQ6596" s="81"/>
      <c r="BR6596" s="81"/>
      <c r="BS6596" s="81"/>
      <c r="BT6596" s="81"/>
    </row>
    <row r="6597" spans="65:72" x14ac:dyDescent="0.25">
      <c r="BM6597" s="81"/>
      <c r="BN6597" s="81"/>
      <c r="BO6597" s="81"/>
      <c r="BP6597" s="81"/>
      <c r="BQ6597" s="81"/>
      <c r="BR6597" s="81"/>
      <c r="BS6597" s="81"/>
      <c r="BT6597" s="81"/>
    </row>
    <row r="6598" spans="65:72" x14ac:dyDescent="0.25">
      <c r="BM6598" s="81"/>
      <c r="BN6598" s="81"/>
      <c r="BO6598" s="81"/>
      <c r="BP6598" s="81"/>
      <c r="BQ6598" s="81"/>
      <c r="BR6598" s="81"/>
      <c r="BS6598" s="81"/>
      <c r="BT6598" s="81"/>
    </row>
    <row r="6599" spans="65:72" x14ac:dyDescent="0.25">
      <c r="BM6599" s="81"/>
      <c r="BN6599" s="81"/>
      <c r="BO6599" s="81"/>
      <c r="BP6599" s="81"/>
      <c r="BQ6599" s="81"/>
      <c r="BR6599" s="81"/>
      <c r="BS6599" s="81"/>
      <c r="BT6599" s="81"/>
    </row>
    <row r="6600" spans="65:72" x14ac:dyDescent="0.25">
      <c r="BM6600" s="81"/>
      <c r="BN6600" s="81"/>
      <c r="BO6600" s="81"/>
      <c r="BP6600" s="81"/>
      <c r="BQ6600" s="81"/>
      <c r="BR6600" s="81"/>
      <c r="BS6600" s="81"/>
      <c r="BT6600" s="81"/>
    </row>
    <row r="6601" spans="65:72" x14ac:dyDescent="0.25">
      <c r="BM6601" s="81"/>
      <c r="BN6601" s="81"/>
      <c r="BO6601" s="81"/>
      <c r="BP6601" s="81"/>
      <c r="BQ6601" s="81"/>
      <c r="BR6601" s="81"/>
      <c r="BS6601" s="81"/>
      <c r="BT6601" s="81"/>
    </row>
    <row r="6602" spans="65:72" x14ac:dyDescent="0.25">
      <c r="BM6602" s="81"/>
      <c r="BN6602" s="81"/>
      <c r="BO6602" s="81"/>
      <c r="BP6602" s="81"/>
      <c r="BQ6602" s="81"/>
      <c r="BR6602" s="81"/>
      <c r="BS6602" s="81"/>
      <c r="BT6602" s="81"/>
    </row>
    <row r="6603" spans="65:72" x14ac:dyDescent="0.25">
      <c r="BM6603" s="81"/>
      <c r="BN6603" s="81"/>
      <c r="BO6603" s="81"/>
      <c r="BP6603" s="81"/>
      <c r="BQ6603" s="81"/>
      <c r="BR6603" s="81"/>
      <c r="BS6603" s="81"/>
      <c r="BT6603" s="81"/>
    </row>
    <row r="6604" spans="65:72" x14ac:dyDescent="0.25">
      <c r="BM6604" s="81"/>
      <c r="BN6604" s="81"/>
      <c r="BO6604" s="81"/>
      <c r="BP6604" s="81"/>
      <c r="BQ6604" s="81"/>
      <c r="BR6604" s="81"/>
      <c r="BS6604" s="81"/>
      <c r="BT6604" s="81"/>
    </row>
    <row r="6605" spans="65:72" x14ac:dyDescent="0.25">
      <c r="BM6605" s="81"/>
      <c r="BN6605" s="81"/>
      <c r="BO6605" s="81"/>
      <c r="BP6605" s="81"/>
      <c r="BQ6605" s="81"/>
      <c r="BR6605" s="81"/>
      <c r="BS6605" s="81"/>
      <c r="BT6605" s="81"/>
    </row>
    <row r="6606" spans="65:72" x14ac:dyDescent="0.25">
      <c r="BM6606" s="81"/>
      <c r="BN6606" s="81"/>
      <c r="BO6606" s="81"/>
      <c r="BP6606" s="81"/>
      <c r="BQ6606" s="81"/>
      <c r="BR6606" s="81"/>
      <c r="BS6606" s="81"/>
      <c r="BT6606" s="81"/>
    </row>
    <row r="6607" spans="65:72" x14ac:dyDescent="0.25">
      <c r="BM6607" s="81"/>
      <c r="BN6607" s="81"/>
      <c r="BO6607" s="81"/>
      <c r="BP6607" s="81"/>
      <c r="BQ6607" s="81"/>
      <c r="BR6607" s="81"/>
      <c r="BS6607" s="81"/>
      <c r="BT6607" s="81"/>
    </row>
    <row r="6608" spans="65:72" x14ac:dyDescent="0.25">
      <c r="BM6608" s="81"/>
      <c r="BN6608" s="81"/>
      <c r="BO6608" s="81"/>
      <c r="BP6608" s="81"/>
      <c r="BQ6608" s="81"/>
      <c r="BR6608" s="81"/>
      <c r="BS6608" s="81"/>
      <c r="BT6608" s="81"/>
    </row>
    <row r="6609" spans="65:72" x14ac:dyDescent="0.25">
      <c r="BM6609" s="81"/>
      <c r="BN6609" s="81"/>
      <c r="BO6609" s="81"/>
      <c r="BP6609" s="81"/>
      <c r="BQ6609" s="81"/>
      <c r="BR6609" s="81"/>
      <c r="BS6609" s="81"/>
      <c r="BT6609" s="81"/>
    </row>
    <row r="6610" spans="65:72" x14ac:dyDescent="0.25">
      <c r="BM6610" s="81"/>
      <c r="BN6610" s="81"/>
      <c r="BO6610" s="81"/>
      <c r="BP6610" s="81"/>
      <c r="BQ6610" s="81"/>
      <c r="BR6610" s="81"/>
      <c r="BS6610" s="81"/>
      <c r="BT6610" s="81"/>
    </row>
    <row r="6611" spans="65:72" x14ac:dyDescent="0.25">
      <c r="BM6611" s="81"/>
      <c r="BN6611" s="81"/>
      <c r="BO6611" s="81"/>
      <c r="BP6611" s="81"/>
      <c r="BQ6611" s="81"/>
      <c r="BR6611" s="81"/>
      <c r="BS6611" s="81"/>
      <c r="BT6611" s="81"/>
    </row>
    <row r="6612" spans="65:72" x14ac:dyDescent="0.25">
      <c r="BM6612" s="81"/>
      <c r="BN6612" s="81"/>
      <c r="BO6612" s="81"/>
      <c r="BP6612" s="81"/>
      <c r="BQ6612" s="81"/>
      <c r="BR6612" s="81"/>
      <c r="BS6612" s="81"/>
      <c r="BT6612" s="81"/>
    </row>
    <row r="6613" spans="65:72" x14ac:dyDescent="0.25">
      <c r="BM6613" s="81"/>
      <c r="BN6613" s="81"/>
      <c r="BO6613" s="81"/>
      <c r="BP6613" s="81"/>
      <c r="BQ6613" s="81"/>
      <c r="BR6613" s="81"/>
      <c r="BS6613" s="81"/>
      <c r="BT6613" s="81"/>
    </row>
    <row r="6614" spans="65:72" x14ac:dyDescent="0.25">
      <c r="BM6614" s="81"/>
      <c r="BN6614" s="81"/>
      <c r="BO6614" s="81"/>
      <c r="BP6614" s="81"/>
      <c r="BQ6614" s="81"/>
      <c r="BR6614" s="81"/>
      <c r="BS6614" s="81"/>
      <c r="BT6614" s="81"/>
    </row>
    <row r="6615" spans="65:72" x14ac:dyDescent="0.25">
      <c r="BM6615" s="81"/>
      <c r="BN6615" s="81"/>
      <c r="BO6615" s="81"/>
      <c r="BP6615" s="81"/>
      <c r="BQ6615" s="81"/>
      <c r="BR6615" s="81"/>
      <c r="BS6615" s="81"/>
      <c r="BT6615" s="81"/>
    </row>
    <row r="6616" spans="65:72" x14ac:dyDescent="0.25">
      <c r="BM6616" s="81"/>
      <c r="BN6616" s="81"/>
      <c r="BO6616" s="81"/>
      <c r="BP6616" s="81"/>
      <c r="BQ6616" s="81"/>
      <c r="BR6616" s="81"/>
      <c r="BS6616" s="81"/>
      <c r="BT6616" s="81"/>
    </row>
    <row r="6617" spans="65:72" x14ac:dyDescent="0.25">
      <c r="BM6617" s="81"/>
      <c r="BN6617" s="81"/>
      <c r="BO6617" s="81"/>
      <c r="BP6617" s="81"/>
      <c r="BQ6617" s="81"/>
      <c r="BR6617" s="81"/>
      <c r="BS6617" s="81"/>
      <c r="BT6617" s="81"/>
    </row>
    <row r="6618" spans="65:72" x14ac:dyDescent="0.25">
      <c r="BM6618" s="81"/>
      <c r="BN6618" s="81"/>
      <c r="BO6618" s="81"/>
      <c r="BP6618" s="81"/>
      <c r="BQ6618" s="81"/>
      <c r="BR6618" s="81"/>
      <c r="BS6618" s="81"/>
      <c r="BT6618" s="81"/>
    </row>
    <row r="6619" spans="65:72" x14ac:dyDescent="0.25">
      <c r="BM6619" s="81"/>
      <c r="BN6619" s="81"/>
      <c r="BO6619" s="81"/>
      <c r="BP6619" s="81"/>
      <c r="BQ6619" s="81"/>
      <c r="BR6619" s="81"/>
      <c r="BS6619" s="81"/>
      <c r="BT6619" s="81"/>
    </row>
    <row r="6620" spans="65:72" x14ac:dyDescent="0.25">
      <c r="BM6620" s="81"/>
      <c r="BN6620" s="81"/>
      <c r="BO6620" s="81"/>
      <c r="BP6620" s="81"/>
      <c r="BQ6620" s="81"/>
      <c r="BR6620" s="81"/>
      <c r="BS6620" s="81"/>
      <c r="BT6620" s="81"/>
    </row>
    <row r="6621" spans="65:72" x14ac:dyDescent="0.25">
      <c r="BM6621" s="81"/>
      <c r="BN6621" s="81"/>
      <c r="BO6621" s="81"/>
      <c r="BP6621" s="81"/>
      <c r="BQ6621" s="81"/>
      <c r="BR6621" s="81"/>
      <c r="BS6621" s="81"/>
      <c r="BT6621" s="81"/>
    </row>
    <row r="6622" spans="65:72" x14ac:dyDescent="0.25">
      <c r="BM6622" s="81"/>
      <c r="BN6622" s="81"/>
      <c r="BO6622" s="81"/>
      <c r="BP6622" s="81"/>
      <c r="BQ6622" s="81"/>
      <c r="BR6622" s="81"/>
      <c r="BS6622" s="81"/>
      <c r="BT6622" s="81"/>
    </row>
    <row r="6623" spans="65:72" x14ac:dyDescent="0.25">
      <c r="BM6623" s="81"/>
      <c r="BN6623" s="81"/>
      <c r="BO6623" s="81"/>
      <c r="BP6623" s="81"/>
      <c r="BQ6623" s="81"/>
      <c r="BR6623" s="81"/>
      <c r="BS6623" s="81"/>
      <c r="BT6623" s="81"/>
    </row>
    <row r="6624" spans="65:72" x14ac:dyDescent="0.25">
      <c r="BM6624" s="81"/>
      <c r="BN6624" s="81"/>
      <c r="BO6624" s="81"/>
      <c r="BP6624" s="81"/>
      <c r="BQ6624" s="81"/>
      <c r="BR6624" s="81"/>
      <c r="BS6624" s="81"/>
      <c r="BT6624" s="81"/>
    </row>
    <row r="6625" spans="65:72" x14ac:dyDescent="0.25">
      <c r="BM6625" s="81"/>
      <c r="BN6625" s="81"/>
      <c r="BO6625" s="81"/>
      <c r="BP6625" s="81"/>
      <c r="BQ6625" s="81"/>
      <c r="BR6625" s="81"/>
      <c r="BS6625" s="81"/>
      <c r="BT6625" s="81"/>
    </row>
    <row r="6626" spans="65:72" x14ac:dyDescent="0.25">
      <c r="BM6626" s="81"/>
      <c r="BN6626" s="81"/>
      <c r="BO6626" s="81"/>
      <c r="BP6626" s="81"/>
      <c r="BQ6626" s="81"/>
      <c r="BR6626" s="81"/>
      <c r="BS6626" s="81"/>
      <c r="BT6626" s="81"/>
    </row>
    <row r="6627" spans="65:72" x14ac:dyDescent="0.25">
      <c r="BM6627" s="81"/>
      <c r="BN6627" s="81"/>
      <c r="BO6627" s="81"/>
      <c r="BP6627" s="81"/>
      <c r="BQ6627" s="81"/>
      <c r="BR6627" s="81"/>
      <c r="BS6627" s="81"/>
      <c r="BT6627" s="81"/>
    </row>
    <row r="6628" spans="65:72" x14ac:dyDescent="0.25">
      <c r="BM6628" s="81"/>
      <c r="BN6628" s="81"/>
      <c r="BO6628" s="81"/>
      <c r="BP6628" s="81"/>
      <c r="BQ6628" s="81"/>
      <c r="BR6628" s="81"/>
      <c r="BS6628" s="81"/>
      <c r="BT6628" s="81"/>
    </row>
    <row r="6629" spans="65:72" x14ac:dyDescent="0.25">
      <c r="BM6629" s="81"/>
      <c r="BN6629" s="81"/>
      <c r="BO6629" s="81"/>
      <c r="BP6629" s="81"/>
      <c r="BQ6629" s="81"/>
      <c r="BR6629" s="81"/>
      <c r="BS6629" s="81"/>
      <c r="BT6629" s="81"/>
    </row>
    <row r="6630" spans="65:72" x14ac:dyDescent="0.25">
      <c r="BM6630" s="81"/>
      <c r="BN6630" s="81"/>
      <c r="BO6630" s="81"/>
      <c r="BP6630" s="81"/>
      <c r="BQ6630" s="81"/>
      <c r="BR6630" s="81"/>
      <c r="BS6630" s="81"/>
      <c r="BT6630" s="81"/>
    </row>
    <row r="6631" spans="65:72" x14ac:dyDescent="0.25">
      <c r="BM6631" s="81"/>
      <c r="BN6631" s="81"/>
      <c r="BO6631" s="81"/>
      <c r="BP6631" s="81"/>
      <c r="BQ6631" s="81"/>
      <c r="BR6631" s="81"/>
      <c r="BS6631" s="81"/>
      <c r="BT6631" s="81"/>
    </row>
    <row r="6632" spans="65:72" x14ac:dyDescent="0.25">
      <c r="BM6632" s="81"/>
      <c r="BN6632" s="81"/>
      <c r="BO6632" s="81"/>
      <c r="BP6632" s="81"/>
      <c r="BQ6632" s="81"/>
      <c r="BR6632" s="81"/>
      <c r="BS6632" s="81"/>
      <c r="BT6632" s="81"/>
    </row>
    <row r="6633" spans="65:72" x14ac:dyDescent="0.25">
      <c r="BM6633" s="81"/>
      <c r="BN6633" s="81"/>
      <c r="BO6633" s="81"/>
      <c r="BP6633" s="81"/>
      <c r="BQ6633" s="81"/>
      <c r="BR6633" s="81"/>
      <c r="BS6633" s="81"/>
      <c r="BT6633" s="81"/>
    </row>
    <row r="6634" spans="65:72" x14ac:dyDescent="0.25">
      <c r="BM6634" s="81"/>
      <c r="BN6634" s="81"/>
      <c r="BO6634" s="81"/>
      <c r="BP6634" s="81"/>
      <c r="BQ6634" s="81"/>
      <c r="BR6634" s="81"/>
      <c r="BS6634" s="81"/>
      <c r="BT6634" s="81"/>
    </row>
    <row r="6635" spans="65:72" x14ac:dyDescent="0.25">
      <c r="BM6635" s="81"/>
      <c r="BN6635" s="81"/>
      <c r="BO6635" s="81"/>
      <c r="BP6635" s="81"/>
      <c r="BQ6635" s="81"/>
      <c r="BR6635" s="81"/>
      <c r="BS6635" s="81"/>
      <c r="BT6635" s="81"/>
    </row>
    <row r="6636" spans="65:72" x14ac:dyDescent="0.25">
      <c r="BM6636" s="81"/>
      <c r="BN6636" s="81"/>
      <c r="BO6636" s="81"/>
      <c r="BP6636" s="81"/>
      <c r="BQ6636" s="81"/>
      <c r="BR6636" s="81"/>
      <c r="BS6636" s="81"/>
      <c r="BT6636" s="81"/>
    </row>
    <row r="6637" spans="65:72" x14ac:dyDescent="0.25">
      <c r="BM6637" s="81"/>
      <c r="BN6637" s="81"/>
      <c r="BO6637" s="81"/>
      <c r="BP6637" s="81"/>
      <c r="BQ6637" s="81"/>
      <c r="BR6637" s="81"/>
      <c r="BS6637" s="81"/>
      <c r="BT6637" s="81"/>
    </row>
    <row r="6638" spans="65:72" x14ac:dyDescent="0.25">
      <c r="BM6638" s="81"/>
      <c r="BN6638" s="81"/>
      <c r="BO6638" s="81"/>
      <c r="BP6638" s="81"/>
      <c r="BQ6638" s="81"/>
      <c r="BR6638" s="81"/>
      <c r="BS6638" s="81"/>
      <c r="BT6638" s="81"/>
    </row>
    <row r="6639" spans="65:72" x14ac:dyDescent="0.25">
      <c r="BM6639" s="81"/>
      <c r="BN6639" s="81"/>
      <c r="BO6639" s="81"/>
      <c r="BP6639" s="81"/>
      <c r="BQ6639" s="81"/>
      <c r="BR6639" s="81"/>
      <c r="BS6639" s="81"/>
      <c r="BT6639" s="81"/>
    </row>
    <row r="6640" spans="65:72" x14ac:dyDescent="0.25">
      <c r="BM6640" s="81"/>
      <c r="BN6640" s="81"/>
      <c r="BO6640" s="81"/>
      <c r="BP6640" s="81"/>
      <c r="BQ6640" s="81"/>
      <c r="BR6640" s="81"/>
      <c r="BS6640" s="81"/>
      <c r="BT6640" s="81"/>
    </row>
    <row r="6641" spans="65:72" x14ac:dyDescent="0.25">
      <c r="BM6641" s="81"/>
      <c r="BN6641" s="81"/>
      <c r="BO6641" s="81"/>
      <c r="BP6641" s="81"/>
      <c r="BQ6641" s="81"/>
      <c r="BR6641" s="81"/>
      <c r="BS6641" s="81"/>
      <c r="BT6641" s="81"/>
    </row>
    <row r="6642" spans="65:72" x14ac:dyDescent="0.25">
      <c r="BM6642" s="81"/>
      <c r="BN6642" s="81"/>
      <c r="BO6642" s="81"/>
      <c r="BP6642" s="81"/>
      <c r="BQ6642" s="81"/>
      <c r="BR6642" s="81"/>
      <c r="BS6642" s="81"/>
      <c r="BT6642" s="81"/>
    </row>
    <row r="6643" spans="65:72" x14ac:dyDescent="0.25">
      <c r="BM6643" s="81"/>
      <c r="BN6643" s="81"/>
      <c r="BO6643" s="81"/>
      <c r="BP6643" s="81"/>
      <c r="BQ6643" s="81"/>
      <c r="BR6643" s="81"/>
      <c r="BS6643" s="81"/>
      <c r="BT6643" s="81"/>
    </row>
    <row r="6644" spans="65:72" x14ac:dyDescent="0.25">
      <c r="BM6644" s="81"/>
      <c r="BN6644" s="81"/>
      <c r="BO6644" s="81"/>
      <c r="BP6644" s="81"/>
      <c r="BQ6644" s="81"/>
      <c r="BR6644" s="81"/>
      <c r="BS6644" s="81"/>
      <c r="BT6644" s="81"/>
    </row>
    <row r="6645" spans="65:72" x14ac:dyDescent="0.25">
      <c r="BM6645" s="81"/>
      <c r="BN6645" s="81"/>
      <c r="BO6645" s="81"/>
      <c r="BP6645" s="81"/>
      <c r="BQ6645" s="81"/>
      <c r="BR6645" s="81"/>
      <c r="BS6645" s="81"/>
      <c r="BT6645" s="81"/>
    </row>
    <row r="6646" spans="65:72" x14ac:dyDescent="0.25">
      <c r="BM6646" s="81"/>
      <c r="BN6646" s="81"/>
      <c r="BO6646" s="81"/>
      <c r="BP6646" s="81"/>
      <c r="BQ6646" s="81"/>
      <c r="BR6646" s="81"/>
      <c r="BS6646" s="81"/>
      <c r="BT6646" s="81"/>
    </row>
    <row r="6647" spans="65:72" x14ac:dyDescent="0.25">
      <c r="BM6647" s="81"/>
      <c r="BN6647" s="81"/>
      <c r="BO6647" s="81"/>
      <c r="BP6647" s="81"/>
      <c r="BQ6647" s="81"/>
      <c r="BR6647" s="81"/>
      <c r="BS6647" s="81"/>
      <c r="BT6647" s="81"/>
    </row>
    <row r="6648" spans="65:72" x14ac:dyDescent="0.25">
      <c r="BM6648" s="81"/>
      <c r="BN6648" s="81"/>
      <c r="BO6648" s="81"/>
      <c r="BP6648" s="81"/>
      <c r="BQ6648" s="81"/>
      <c r="BR6648" s="81"/>
      <c r="BS6648" s="81"/>
      <c r="BT6648" s="81"/>
    </row>
    <row r="6649" spans="65:72" x14ac:dyDescent="0.25">
      <c r="BM6649" s="81"/>
      <c r="BN6649" s="81"/>
      <c r="BO6649" s="81"/>
      <c r="BP6649" s="81"/>
      <c r="BQ6649" s="81"/>
      <c r="BR6649" s="81"/>
      <c r="BS6649" s="81"/>
      <c r="BT6649" s="81"/>
    </row>
    <row r="6650" spans="65:72" x14ac:dyDescent="0.25">
      <c r="BM6650" s="81"/>
      <c r="BN6650" s="81"/>
      <c r="BO6650" s="81"/>
      <c r="BP6650" s="81"/>
      <c r="BQ6650" s="81"/>
      <c r="BR6650" s="81"/>
      <c r="BS6650" s="81"/>
      <c r="BT6650" s="81"/>
    </row>
    <row r="6651" spans="65:72" x14ac:dyDescent="0.25">
      <c r="BM6651" s="81"/>
      <c r="BN6651" s="81"/>
      <c r="BO6651" s="81"/>
      <c r="BP6651" s="81"/>
      <c r="BQ6651" s="81"/>
      <c r="BR6651" s="81"/>
      <c r="BS6651" s="81"/>
      <c r="BT6651" s="81"/>
    </row>
    <row r="6652" spans="65:72" x14ac:dyDescent="0.25">
      <c r="BM6652" s="81"/>
      <c r="BN6652" s="81"/>
      <c r="BO6652" s="81"/>
      <c r="BP6652" s="81"/>
      <c r="BQ6652" s="81"/>
      <c r="BR6652" s="81"/>
      <c r="BS6652" s="81"/>
      <c r="BT6652" s="81"/>
    </row>
    <row r="6653" spans="65:72" x14ac:dyDescent="0.25">
      <c r="BM6653" s="81"/>
      <c r="BN6653" s="81"/>
      <c r="BO6653" s="81"/>
      <c r="BP6653" s="81"/>
      <c r="BQ6653" s="81"/>
      <c r="BR6653" s="81"/>
      <c r="BS6653" s="81"/>
      <c r="BT6653" s="81"/>
    </row>
    <row r="6654" spans="65:72" x14ac:dyDescent="0.25">
      <c r="BM6654" s="81"/>
      <c r="BN6654" s="81"/>
      <c r="BO6654" s="81"/>
      <c r="BP6654" s="81"/>
      <c r="BQ6654" s="81"/>
      <c r="BR6654" s="81"/>
      <c r="BS6654" s="81"/>
      <c r="BT6654" s="81"/>
    </row>
    <row r="6655" spans="65:72" x14ac:dyDescent="0.25">
      <c r="BM6655" s="81"/>
      <c r="BN6655" s="81"/>
      <c r="BO6655" s="81"/>
      <c r="BP6655" s="81"/>
      <c r="BQ6655" s="81"/>
      <c r="BR6655" s="81"/>
      <c r="BS6655" s="81"/>
      <c r="BT6655" s="81"/>
    </row>
    <row r="6656" spans="65:72" x14ac:dyDescent="0.25">
      <c r="BM6656" s="81"/>
      <c r="BN6656" s="81"/>
      <c r="BO6656" s="81"/>
      <c r="BP6656" s="81"/>
      <c r="BQ6656" s="81"/>
      <c r="BR6656" s="81"/>
      <c r="BS6656" s="81"/>
      <c r="BT6656" s="81"/>
    </row>
    <row r="6657" spans="65:72" x14ac:dyDescent="0.25">
      <c r="BM6657" s="81"/>
      <c r="BN6657" s="81"/>
      <c r="BO6657" s="81"/>
      <c r="BP6657" s="81"/>
      <c r="BQ6657" s="81"/>
      <c r="BR6657" s="81"/>
      <c r="BS6657" s="81"/>
      <c r="BT6657" s="81"/>
    </row>
    <row r="6658" spans="65:72" x14ac:dyDescent="0.25">
      <c r="BM6658" s="81"/>
      <c r="BN6658" s="81"/>
      <c r="BO6658" s="81"/>
      <c r="BP6658" s="81"/>
      <c r="BQ6658" s="81"/>
      <c r="BR6658" s="81"/>
      <c r="BS6658" s="81"/>
      <c r="BT6658" s="81"/>
    </row>
    <row r="6659" spans="65:72" x14ac:dyDescent="0.25">
      <c r="BM6659" s="81"/>
      <c r="BN6659" s="81"/>
      <c r="BO6659" s="81"/>
      <c r="BP6659" s="81"/>
      <c r="BQ6659" s="81"/>
      <c r="BR6659" s="81"/>
      <c r="BS6659" s="81"/>
      <c r="BT6659" s="81"/>
    </row>
    <row r="6660" spans="65:72" x14ac:dyDescent="0.25">
      <c r="BM6660" s="81"/>
      <c r="BN6660" s="81"/>
      <c r="BO6660" s="81"/>
      <c r="BP6660" s="81"/>
      <c r="BQ6660" s="81"/>
      <c r="BR6660" s="81"/>
      <c r="BS6660" s="81"/>
      <c r="BT6660" s="81"/>
    </row>
    <row r="6661" spans="65:72" x14ac:dyDescent="0.25">
      <c r="BM6661" s="81"/>
      <c r="BN6661" s="81"/>
      <c r="BO6661" s="81"/>
      <c r="BP6661" s="81"/>
      <c r="BQ6661" s="81"/>
      <c r="BR6661" s="81"/>
      <c r="BS6661" s="81"/>
      <c r="BT6661" s="81"/>
    </row>
    <row r="6662" spans="65:72" x14ac:dyDescent="0.25">
      <c r="BM6662" s="81"/>
      <c r="BN6662" s="81"/>
      <c r="BO6662" s="81"/>
      <c r="BP6662" s="81"/>
      <c r="BQ6662" s="81"/>
      <c r="BR6662" s="81"/>
      <c r="BS6662" s="81"/>
      <c r="BT6662" s="81"/>
    </row>
    <row r="6663" spans="65:72" x14ac:dyDescent="0.25">
      <c r="BM6663" s="81"/>
      <c r="BN6663" s="81"/>
      <c r="BO6663" s="81"/>
      <c r="BP6663" s="81"/>
      <c r="BQ6663" s="81"/>
      <c r="BR6663" s="81"/>
      <c r="BS6663" s="81"/>
      <c r="BT6663" s="81"/>
    </row>
    <row r="6664" spans="65:72" x14ac:dyDescent="0.25">
      <c r="BM6664" s="81"/>
      <c r="BN6664" s="81"/>
      <c r="BO6664" s="81"/>
      <c r="BP6664" s="81"/>
      <c r="BQ6664" s="81"/>
      <c r="BR6664" s="81"/>
      <c r="BS6664" s="81"/>
      <c r="BT6664" s="81"/>
    </row>
    <row r="6665" spans="65:72" x14ac:dyDescent="0.25">
      <c r="BM6665" s="81"/>
      <c r="BN6665" s="81"/>
      <c r="BO6665" s="81"/>
      <c r="BP6665" s="81"/>
      <c r="BQ6665" s="81"/>
      <c r="BR6665" s="81"/>
      <c r="BS6665" s="81"/>
      <c r="BT6665" s="81"/>
    </row>
    <row r="6666" spans="65:72" x14ac:dyDescent="0.25">
      <c r="BM6666" s="81"/>
      <c r="BN6666" s="81"/>
      <c r="BO6666" s="81"/>
      <c r="BP6666" s="81"/>
      <c r="BQ6666" s="81"/>
      <c r="BR6666" s="81"/>
      <c r="BS6666" s="81"/>
      <c r="BT6666" s="81"/>
    </row>
    <row r="6667" spans="65:72" x14ac:dyDescent="0.25">
      <c r="BM6667" s="81"/>
      <c r="BN6667" s="81"/>
      <c r="BO6667" s="81"/>
      <c r="BP6667" s="81"/>
      <c r="BQ6667" s="81"/>
      <c r="BR6667" s="81"/>
      <c r="BS6667" s="81"/>
      <c r="BT6667" s="81"/>
    </row>
    <row r="6668" spans="65:72" x14ac:dyDescent="0.25">
      <c r="BM6668" s="81"/>
      <c r="BN6668" s="81"/>
      <c r="BO6668" s="81"/>
      <c r="BP6668" s="81"/>
      <c r="BQ6668" s="81"/>
      <c r="BR6668" s="81"/>
      <c r="BS6668" s="81"/>
      <c r="BT6668" s="81"/>
    </row>
    <row r="6669" spans="65:72" x14ac:dyDescent="0.25">
      <c r="BM6669" s="81"/>
      <c r="BN6669" s="81"/>
      <c r="BO6669" s="81"/>
      <c r="BP6669" s="81"/>
      <c r="BQ6669" s="81"/>
      <c r="BR6669" s="81"/>
      <c r="BS6669" s="81"/>
      <c r="BT6669" s="81"/>
    </row>
    <row r="6670" spans="65:72" x14ac:dyDescent="0.25">
      <c r="BM6670" s="81"/>
      <c r="BN6670" s="81"/>
      <c r="BO6670" s="81"/>
      <c r="BP6670" s="81"/>
      <c r="BQ6670" s="81"/>
      <c r="BR6670" s="81"/>
      <c r="BS6670" s="81"/>
      <c r="BT6670" s="81"/>
    </row>
    <row r="6671" spans="65:72" x14ac:dyDescent="0.25">
      <c r="BM6671" s="81"/>
      <c r="BN6671" s="81"/>
      <c r="BO6671" s="81"/>
      <c r="BP6671" s="81"/>
      <c r="BQ6671" s="81"/>
      <c r="BR6671" s="81"/>
      <c r="BS6671" s="81"/>
      <c r="BT6671" s="81"/>
    </row>
    <row r="6672" spans="65:72" x14ac:dyDescent="0.25">
      <c r="BM6672" s="81"/>
      <c r="BN6672" s="81"/>
      <c r="BO6672" s="81"/>
      <c r="BP6672" s="81"/>
      <c r="BQ6672" s="81"/>
      <c r="BR6672" s="81"/>
      <c r="BS6672" s="81"/>
      <c r="BT6672" s="81"/>
    </row>
    <row r="6673" spans="65:72" x14ac:dyDescent="0.25">
      <c r="BM6673" s="81"/>
      <c r="BN6673" s="81"/>
      <c r="BO6673" s="81"/>
      <c r="BP6673" s="81"/>
      <c r="BQ6673" s="81"/>
      <c r="BR6673" s="81"/>
      <c r="BS6673" s="81"/>
      <c r="BT6673" s="81"/>
    </row>
    <row r="6674" spans="65:72" x14ac:dyDescent="0.25">
      <c r="BM6674" s="81"/>
      <c r="BN6674" s="81"/>
      <c r="BO6674" s="81"/>
      <c r="BP6674" s="81"/>
      <c r="BQ6674" s="81"/>
      <c r="BR6674" s="81"/>
      <c r="BS6674" s="81"/>
      <c r="BT6674" s="81"/>
    </row>
    <row r="6675" spans="65:72" x14ac:dyDescent="0.25">
      <c r="BM6675" s="81"/>
      <c r="BN6675" s="81"/>
      <c r="BO6675" s="81"/>
      <c r="BP6675" s="81"/>
      <c r="BQ6675" s="81"/>
      <c r="BR6675" s="81"/>
      <c r="BS6675" s="81"/>
      <c r="BT6675" s="81"/>
    </row>
    <row r="6676" spans="65:72" x14ac:dyDescent="0.25">
      <c r="BM6676" s="81"/>
      <c r="BN6676" s="81"/>
      <c r="BO6676" s="81"/>
      <c r="BP6676" s="81"/>
      <c r="BQ6676" s="81"/>
      <c r="BR6676" s="81"/>
      <c r="BS6676" s="81"/>
      <c r="BT6676" s="81"/>
    </row>
    <row r="6677" spans="65:72" x14ac:dyDescent="0.25">
      <c r="BM6677" s="81"/>
      <c r="BN6677" s="81"/>
      <c r="BO6677" s="81"/>
      <c r="BP6677" s="81"/>
      <c r="BQ6677" s="81"/>
      <c r="BR6677" s="81"/>
      <c r="BS6677" s="81"/>
      <c r="BT6677" s="81"/>
    </row>
    <row r="6678" spans="65:72" x14ac:dyDescent="0.25">
      <c r="BM6678" s="81"/>
      <c r="BN6678" s="81"/>
      <c r="BO6678" s="81"/>
      <c r="BP6678" s="81"/>
      <c r="BQ6678" s="81"/>
      <c r="BR6678" s="81"/>
      <c r="BS6678" s="81"/>
      <c r="BT6678" s="81"/>
    </row>
    <row r="6679" spans="65:72" x14ac:dyDescent="0.25">
      <c r="BM6679" s="81"/>
      <c r="BN6679" s="81"/>
      <c r="BO6679" s="81"/>
      <c r="BP6679" s="81"/>
      <c r="BQ6679" s="81"/>
      <c r="BR6679" s="81"/>
      <c r="BS6679" s="81"/>
      <c r="BT6679" s="81"/>
    </row>
    <row r="6680" spans="65:72" x14ac:dyDescent="0.25">
      <c r="BM6680" s="81"/>
      <c r="BN6680" s="81"/>
      <c r="BO6680" s="81"/>
      <c r="BP6680" s="81"/>
      <c r="BQ6680" s="81"/>
      <c r="BR6680" s="81"/>
      <c r="BS6680" s="81"/>
      <c r="BT6680" s="81"/>
    </row>
    <row r="6681" spans="65:72" x14ac:dyDescent="0.25">
      <c r="BM6681" s="81"/>
      <c r="BN6681" s="81"/>
      <c r="BO6681" s="81"/>
      <c r="BP6681" s="81"/>
      <c r="BQ6681" s="81"/>
      <c r="BR6681" s="81"/>
      <c r="BS6681" s="81"/>
      <c r="BT6681" s="81"/>
    </row>
    <row r="6682" spans="65:72" x14ac:dyDescent="0.25">
      <c r="BM6682" s="81"/>
      <c r="BN6682" s="81"/>
      <c r="BO6682" s="81"/>
      <c r="BP6682" s="81"/>
      <c r="BQ6682" s="81"/>
      <c r="BR6682" s="81"/>
      <c r="BS6682" s="81"/>
      <c r="BT6682" s="81"/>
    </row>
    <row r="6683" spans="65:72" x14ac:dyDescent="0.25">
      <c r="BM6683" s="81"/>
      <c r="BN6683" s="81"/>
      <c r="BO6683" s="81"/>
      <c r="BP6683" s="81"/>
      <c r="BQ6683" s="81"/>
      <c r="BR6683" s="81"/>
      <c r="BS6683" s="81"/>
      <c r="BT6683" s="81"/>
    </row>
    <row r="6684" spans="65:72" x14ac:dyDescent="0.25">
      <c r="BM6684" s="81"/>
      <c r="BN6684" s="81"/>
      <c r="BO6684" s="81"/>
      <c r="BP6684" s="81"/>
      <c r="BQ6684" s="81"/>
      <c r="BR6684" s="81"/>
      <c r="BS6684" s="81"/>
      <c r="BT6684" s="81"/>
    </row>
    <row r="6685" spans="65:72" x14ac:dyDescent="0.25">
      <c r="BM6685" s="81"/>
      <c r="BN6685" s="81"/>
      <c r="BO6685" s="81"/>
      <c r="BP6685" s="81"/>
      <c r="BQ6685" s="81"/>
      <c r="BR6685" s="81"/>
      <c r="BS6685" s="81"/>
      <c r="BT6685" s="81"/>
    </row>
    <row r="6686" spans="65:72" x14ac:dyDescent="0.25">
      <c r="BM6686" s="81"/>
      <c r="BN6686" s="81"/>
      <c r="BO6686" s="81"/>
      <c r="BP6686" s="81"/>
      <c r="BQ6686" s="81"/>
      <c r="BR6686" s="81"/>
      <c r="BS6686" s="81"/>
      <c r="BT6686" s="81"/>
    </row>
    <row r="6687" spans="65:72" x14ac:dyDescent="0.25">
      <c r="BM6687" s="81"/>
      <c r="BN6687" s="81"/>
      <c r="BO6687" s="81"/>
      <c r="BP6687" s="81"/>
      <c r="BQ6687" s="81"/>
      <c r="BR6687" s="81"/>
      <c r="BS6687" s="81"/>
      <c r="BT6687" s="81"/>
    </row>
    <row r="6688" spans="65:72" x14ac:dyDescent="0.25">
      <c r="BM6688" s="81"/>
      <c r="BN6688" s="81"/>
      <c r="BO6688" s="81"/>
      <c r="BP6688" s="81"/>
      <c r="BQ6688" s="81"/>
      <c r="BR6688" s="81"/>
      <c r="BS6688" s="81"/>
      <c r="BT6688" s="81"/>
    </row>
    <row r="6689" spans="65:72" x14ac:dyDescent="0.25">
      <c r="BM6689" s="81"/>
      <c r="BN6689" s="81"/>
      <c r="BO6689" s="81"/>
      <c r="BP6689" s="81"/>
      <c r="BQ6689" s="81"/>
      <c r="BR6689" s="81"/>
      <c r="BS6689" s="81"/>
      <c r="BT6689" s="81"/>
    </row>
    <row r="6690" spans="65:72" x14ac:dyDescent="0.25">
      <c r="BM6690" s="81"/>
      <c r="BN6690" s="81"/>
      <c r="BO6690" s="81"/>
      <c r="BP6690" s="81"/>
      <c r="BQ6690" s="81"/>
      <c r="BR6690" s="81"/>
      <c r="BS6690" s="81"/>
      <c r="BT6690" s="81"/>
    </row>
    <row r="6691" spans="65:72" x14ac:dyDescent="0.25">
      <c r="BM6691" s="81"/>
      <c r="BN6691" s="81"/>
      <c r="BO6691" s="81"/>
      <c r="BP6691" s="81"/>
      <c r="BQ6691" s="81"/>
      <c r="BR6691" s="81"/>
      <c r="BS6691" s="81"/>
      <c r="BT6691" s="81"/>
    </row>
    <row r="6692" spans="65:72" x14ac:dyDescent="0.25">
      <c r="BM6692" s="81"/>
      <c r="BN6692" s="81"/>
      <c r="BO6692" s="81"/>
      <c r="BP6692" s="81"/>
      <c r="BQ6692" s="81"/>
      <c r="BR6692" s="81"/>
      <c r="BS6692" s="81"/>
      <c r="BT6692" s="81"/>
    </row>
    <row r="6693" spans="65:72" x14ac:dyDescent="0.25">
      <c r="BM6693" s="81"/>
      <c r="BN6693" s="81"/>
      <c r="BO6693" s="81"/>
      <c r="BP6693" s="81"/>
      <c r="BQ6693" s="81"/>
      <c r="BR6693" s="81"/>
      <c r="BS6693" s="81"/>
      <c r="BT6693" s="81"/>
    </row>
    <row r="6694" spans="65:72" x14ac:dyDescent="0.25">
      <c r="BM6694" s="81"/>
      <c r="BN6694" s="81"/>
      <c r="BO6694" s="81"/>
      <c r="BP6694" s="81"/>
      <c r="BQ6694" s="81"/>
      <c r="BR6694" s="81"/>
      <c r="BS6694" s="81"/>
      <c r="BT6694" s="81"/>
    </row>
    <row r="6695" spans="65:72" x14ac:dyDescent="0.25">
      <c r="BM6695" s="81"/>
      <c r="BN6695" s="81"/>
      <c r="BO6695" s="81"/>
      <c r="BP6695" s="81"/>
      <c r="BQ6695" s="81"/>
      <c r="BR6695" s="81"/>
      <c r="BS6695" s="81"/>
      <c r="BT6695" s="81"/>
    </row>
    <row r="6696" spans="65:72" x14ac:dyDescent="0.25">
      <c r="BM6696" s="81"/>
      <c r="BN6696" s="81"/>
      <c r="BO6696" s="81"/>
      <c r="BP6696" s="81"/>
      <c r="BQ6696" s="81"/>
      <c r="BR6696" s="81"/>
      <c r="BS6696" s="81"/>
      <c r="BT6696" s="81"/>
    </row>
    <row r="6697" spans="65:72" x14ac:dyDescent="0.25">
      <c r="BM6697" s="81"/>
      <c r="BN6697" s="81"/>
      <c r="BO6697" s="81"/>
      <c r="BP6697" s="81"/>
      <c r="BQ6697" s="81"/>
      <c r="BR6697" s="81"/>
      <c r="BS6697" s="81"/>
      <c r="BT6697" s="81"/>
    </row>
    <row r="6698" spans="65:72" x14ac:dyDescent="0.25">
      <c r="BM6698" s="81"/>
      <c r="BN6698" s="81"/>
      <c r="BO6698" s="81"/>
      <c r="BP6698" s="81"/>
      <c r="BQ6698" s="81"/>
      <c r="BR6698" s="81"/>
      <c r="BS6698" s="81"/>
      <c r="BT6698" s="81"/>
    </row>
    <row r="6699" spans="65:72" x14ac:dyDescent="0.25">
      <c r="BM6699" s="81"/>
      <c r="BN6699" s="81"/>
      <c r="BO6699" s="81"/>
      <c r="BP6699" s="81"/>
      <c r="BQ6699" s="81"/>
      <c r="BR6699" s="81"/>
      <c r="BS6699" s="81"/>
      <c r="BT6699" s="81"/>
    </row>
    <row r="6700" spans="65:72" x14ac:dyDescent="0.25">
      <c r="BM6700" s="81"/>
      <c r="BN6700" s="81"/>
      <c r="BO6700" s="81"/>
      <c r="BP6700" s="81"/>
      <c r="BQ6700" s="81"/>
      <c r="BR6700" s="81"/>
      <c r="BS6700" s="81"/>
      <c r="BT6700" s="81"/>
    </row>
    <row r="6701" spans="65:72" x14ac:dyDescent="0.25">
      <c r="BM6701" s="81"/>
      <c r="BN6701" s="81"/>
      <c r="BO6701" s="81"/>
      <c r="BP6701" s="81"/>
      <c r="BQ6701" s="81"/>
      <c r="BR6701" s="81"/>
      <c r="BS6701" s="81"/>
      <c r="BT6701" s="81"/>
    </row>
    <row r="6702" spans="65:72" x14ac:dyDescent="0.25">
      <c r="BM6702" s="81"/>
      <c r="BN6702" s="81"/>
      <c r="BO6702" s="81"/>
      <c r="BP6702" s="81"/>
      <c r="BQ6702" s="81"/>
      <c r="BR6702" s="81"/>
      <c r="BS6702" s="81"/>
      <c r="BT6702" s="81"/>
    </row>
    <row r="6703" spans="65:72" x14ac:dyDescent="0.25">
      <c r="BM6703" s="81"/>
      <c r="BN6703" s="81"/>
      <c r="BO6703" s="81"/>
      <c r="BP6703" s="81"/>
      <c r="BQ6703" s="81"/>
      <c r="BR6703" s="81"/>
      <c r="BS6703" s="81"/>
      <c r="BT6703" s="81"/>
    </row>
    <row r="6704" spans="65:72" x14ac:dyDescent="0.25">
      <c r="BM6704" s="81"/>
      <c r="BN6704" s="81"/>
      <c r="BO6704" s="81"/>
      <c r="BP6704" s="81"/>
      <c r="BQ6704" s="81"/>
      <c r="BR6704" s="81"/>
      <c r="BS6704" s="81"/>
      <c r="BT6704" s="81"/>
    </row>
    <row r="6705" spans="65:72" x14ac:dyDescent="0.25">
      <c r="BM6705" s="81"/>
      <c r="BN6705" s="81"/>
      <c r="BO6705" s="81"/>
      <c r="BP6705" s="81"/>
      <c r="BQ6705" s="81"/>
      <c r="BR6705" s="81"/>
      <c r="BS6705" s="81"/>
      <c r="BT6705" s="81"/>
    </row>
    <row r="6706" spans="65:72" x14ac:dyDescent="0.25">
      <c r="BM6706" s="81"/>
      <c r="BN6706" s="81"/>
      <c r="BO6706" s="81"/>
      <c r="BP6706" s="81"/>
      <c r="BQ6706" s="81"/>
      <c r="BR6706" s="81"/>
      <c r="BS6706" s="81"/>
      <c r="BT6706" s="81"/>
    </row>
    <row r="6707" spans="65:72" x14ac:dyDescent="0.25">
      <c r="BM6707" s="81"/>
      <c r="BN6707" s="81"/>
      <c r="BO6707" s="81"/>
      <c r="BP6707" s="81"/>
      <c r="BQ6707" s="81"/>
      <c r="BR6707" s="81"/>
      <c r="BS6707" s="81"/>
      <c r="BT6707" s="81"/>
    </row>
    <row r="6708" spans="65:72" x14ac:dyDescent="0.25">
      <c r="BM6708" s="81"/>
      <c r="BN6708" s="81"/>
      <c r="BO6708" s="81"/>
      <c r="BP6708" s="81"/>
      <c r="BQ6708" s="81"/>
      <c r="BR6708" s="81"/>
      <c r="BS6708" s="81"/>
      <c r="BT6708" s="81"/>
    </row>
    <row r="6709" spans="65:72" x14ac:dyDescent="0.25">
      <c r="BM6709" s="81"/>
      <c r="BN6709" s="81"/>
      <c r="BO6709" s="81"/>
      <c r="BP6709" s="81"/>
      <c r="BQ6709" s="81"/>
      <c r="BR6709" s="81"/>
      <c r="BS6709" s="81"/>
      <c r="BT6709" s="81"/>
    </row>
    <row r="6710" spans="65:72" x14ac:dyDescent="0.25">
      <c r="BM6710" s="81"/>
      <c r="BN6710" s="81"/>
      <c r="BO6710" s="81"/>
      <c r="BP6710" s="81"/>
      <c r="BQ6710" s="81"/>
      <c r="BR6710" s="81"/>
      <c r="BS6710" s="81"/>
      <c r="BT6710" s="81"/>
    </row>
    <row r="6711" spans="65:72" x14ac:dyDescent="0.25">
      <c r="BM6711" s="81"/>
      <c r="BN6711" s="81"/>
      <c r="BO6711" s="81"/>
      <c r="BP6711" s="81"/>
      <c r="BQ6711" s="81"/>
      <c r="BR6711" s="81"/>
      <c r="BS6711" s="81"/>
      <c r="BT6711" s="81"/>
    </row>
    <row r="6712" spans="65:72" x14ac:dyDescent="0.25">
      <c r="BM6712" s="81"/>
      <c r="BN6712" s="81"/>
      <c r="BO6712" s="81"/>
      <c r="BP6712" s="81"/>
      <c r="BQ6712" s="81"/>
      <c r="BR6712" s="81"/>
      <c r="BS6712" s="81"/>
      <c r="BT6712" s="81"/>
    </row>
    <row r="6713" spans="65:72" x14ac:dyDescent="0.25">
      <c r="BM6713" s="81"/>
      <c r="BN6713" s="81"/>
      <c r="BO6713" s="81"/>
      <c r="BP6713" s="81"/>
      <c r="BQ6713" s="81"/>
      <c r="BR6713" s="81"/>
      <c r="BS6713" s="81"/>
      <c r="BT6713" s="81"/>
    </row>
    <row r="6714" spans="65:72" x14ac:dyDescent="0.25">
      <c r="BM6714" s="81"/>
      <c r="BN6714" s="81"/>
      <c r="BO6714" s="81"/>
      <c r="BP6714" s="81"/>
      <c r="BQ6714" s="81"/>
      <c r="BR6714" s="81"/>
      <c r="BS6714" s="81"/>
      <c r="BT6714" s="81"/>
    </row>
    <row r="6715" spans="65:72" x14ac:dyDescent="0.25">
      <c r="BM6715" s="81"/>
      <c r="BN6715" s="81"/>
      <c r="BO6715" s="81"/>
      <c r="BP6715" s="81"/>
      <c r="BQ6715" s="81"/>
      <c r="BR6715" s="81"/>
      <c r="BS6715" s="81"/>
      <c r="BT6715" s="81"/>
    </row>
    <row r="6716" spans="65:72" x14ac:dyDescent="0.25">
      <c r="BM6716" s="81"/>
      <c r="BN6716" s="81"/>
      <c r="BO6716" s="81"/>
      <c r="BP6716" s="81"/>
      <c r="BQ6716" s="81"/>
      <c r="BR6716" s="81"/>
      <c r="BS6716" s="81"/>
      <c r="BT6716" s="81"/>
    </row>
    <row r="6717" spans="65:72" x14ac:dyDescent="0.25">
      <c r="BM6717" s="81"/>
      <c r="BN6717" s="81"/>
      <c r="BO6717" s="81"/>
      <c r="BP6717" s="81"/>
      <c r="BQ6717" s="81"/>
      <c r="BR6717" s="81"/>
      <c r="BS6717" s="81"/>
      <c r="BT6717" s="81"/>
    </row>
    <row r="6718" spans="65:72" x14ac:dyDescent="0.25">
      <c r="BM6718" s="81"/>
      <c r="BN6718" s="81"/>
      <c r="BO6718" s="81"/>
      <c r="BP6718" s="81"/>
      <c r="BQ6718" s="81"/>
      <c r="BR6718" s="81"/>
      <c r="BS6718" s="81"/>
      <c r="BT6718" s="81"/>
    </row>
    <row r="6719" spans="65:72" x14ac:dyDescent="0.25">
      <c r="BM6719" s="81"/>
      <c r="BN6719" s="81"/>
      <c r="BO6719" s="81"/>
      <c r="BP6719" s="81"/>
      <c r="BQ6719" s="81"/>
      <c r="BR6719" s="81"/>
      <c r="BS6719" s="81"/>
      <c r="BT6719" s="81"/>
    </row>
    <row r="6720" spans="65:72" x14ac:dyDescent="0.25">
      <c r="BM6720" s="81"/>
      <c r="BN6720" s="81"/>
      <c r="BO6720" s="81"/>
      <c r="BP6720" s="81"/>
      <c r="BQ6720" s="81"/>
      <c r="BR6720" s="81"/>
      <c r="BS6720" s="81"/>
      <c r="BT6720" s="81"/>
    </row>
    <row r="6721" spans="65:72" x14ac:dyDescent="0.25">
      <c r="BM6721" s="81"/>
      <c r="BN6721" s="81"/>
      <c r="BO6721" s="81"/>
      <c r="BP6721" s="81"/>
      <c r="BQ6721" s="81"/>
      <c r="BR6721" s="81"/>
      <c r="BS6721" s="81"/>
      <c r="BT6721" s="81"/>
    </row>
    <row r="6722" spans="65:72" x14ac:dyDescent="0.25">
      <c r="BM6722" s="81"/>
      <c r="BN6722" s="81"/>
      <c r="BO6722" s="81"/>
      <c r="BP6722" s="81"/>
      <c r="BQ6722" s="81"/>
      <c r="BR6722" s="81"/>
      <c r="BS6722" s="81"/>
      <c r="BT6722" s="81"/>
    </row>
    <row r="6723" spans="65:72" x14ac:dyDescent="0.25">
      <c r="BM6723" s="81"/>
      <c r="BN6723" s="81"/>
      <c r="BO6723" s="81"/>
      <c r="BP6723" s="81"/>
      <c r="BQ6723" s="81"/>
      <c r="BR6723" s="81"/>
      <c r="BS6723" s="81"/>
      <c r="BT6723" s="81"/>
    </row>
    <row r="6724" spans="65:72" x14ac:dyDescent="0.25">
      <c r="BM6724" s="81"/>
      <c r="BN6724" s="81"/>
      <c r="BO6724" s="81"/>
      <c r="BP6724" s="81"/>
      <c r="BQ6724" s="81"/>
      <c r="BR6724" s="81"/>
      <c r="BS6724" s="81"/>
      <c r="BT6724" s="81"/>
    </row>
    <row r="6725" spans="65:72" x14ac:dyDescent="0.25">
      <c r="BM6725" s="81"/>
      <c r="BN6725" s="81"/>
      <c r="BO6725" s="81"/>
      <c r="BP6725" s="81"/>
      <c r="BQ6725" s="81"/>
      <c r="BR6725" s="81"/>
      <c r="BS6725" s="81"/>
      <c r="BT6725" s="81"/>
    </row>
    <row r="6726" spans="65:72" x14ac:dyDescent="0.25">
      <c r="BM6726" s="81"/>
      <c r="BN6726" s="81"/>
      <c r="BO6726" s="81"/>
      <c r="BP6726" s="81"/>
      <c r="BQ6726" s="81"/>
      <c r="BR6726" s="81"/>
      <c r="BS6726" s="81"/>
      <c r="BT6726" s="81"/>
    </row>
    <row r="6727" spans="65:72" x14ac:dyDescent="0.25">
      <c r="BM6727" s="81"/>
      <c r="BN6727" s="81"/>
      <c r="BO6727" s="81"/>
      <c r="BP6727" s="81"/>
      <c r="BQ6727" s="81"/>
      <c r="BR6727" s="81"/>
      <c r="BS6727" s="81"/>
      <c r="BT6727" s="81"/>
    </row>
    <row r="6728" spans="65:72" x14ac:dyDescent="0.25">
      <c r="BM6728" s="81"/>
      <c r="BN6728" s="81"/>
      <c r="BO6728" s="81"/>
      <c r="BP6728" s="81"/>
      <c r="BQ6728" s="81"/>
      <c r="BR6728" s="81"/>
      <c r="BS6728" s="81"/>
      <c r="BT6728" s="81"/>
    </row>
    <row r="6729" spans="65:72" x14ac:dyDescent="0.25">
      <c r="BM6729" s="81"/>
      <c r="BN6729" s="81"/>
      <c r="BO6729" s="81"/>
      <c r="BP6729" s="81"/>
      <c r="BQ6729" s="81"/>
      <c r="BR6729" s="81"/>
      <c r="BS6729" s="81"/>
      <c r="BT6729" s="81"/>
    </row>
    <row r="6730" spans="65:72" x14ac:dyDescent="0.25">
      <c r="BM6730" s="81"/>
      <c r="BN6730" s="81"/>
      <c r="BO6730" s="81"/>
      <c r="BP6730" s="81"/>
      <c r="BQ6730" s="81"/>
      <c r="BR6730" s="81"/>
      <c r="BS6730" s="81"/>
      <c r="BT6730" s="81"/>
    </row>
    <row r="6731" spans="65:72" x14ac:dyDescent="0.25">
      <c r="BM6731" s="81"/>
      <c r="BN6731" s="81"/>
      <c r="BO6731" s="81"/>
      <c r="BP6731" s="81"/>
      <c r="BQ6731" s="81"/>
      <c r="BR6731" s="81"/>
      <c r="BS6731" s="81"/>
      <c r="BT6731" s="81"/>
    </row>
    <row r="6732" spans="65:72" x14ac:dyDescent="0.25">
      <c r="BM6732" s="81"/>
      <c r="BN6732" s="81"/>
      <c r="BO6732" s="81"/>
      <c r="BP6732" s="81"/>
      <c r="BQ6732" s="81"/>
      <c r="BR6732" s="81"/>
      <c r="BS6732" s="81"/>
      <c r="BT6732" s="81"/>
    </row>
    <row r="6733" spans="65:72" x14ac:dyDescent="0.25">
      <c r="BM6733" s="81"/>
      <c r="BN6733" s="81"/>
      <c r="BO6733" s="81"/>
      <c r="BP6733" s="81"/>
      <c r="BQ6733" s="81"/>
      <c r="BR6733" s="81"/>
      <c r="BS6733" s="81"/>
      <c r="BT6733" s="81"/>
    </row>
    <row r="6734" spans="65:72" x14ac:dyDescent="0.25">
      <c r="BM6734" s="81"/>
      <c r="BN6734" s="81"/>
      <c r="BO6734" s="81"/>
      <c r="BP6734" s="81"/>
      <c r="BQ6734" s="81"/>
      <c r="BR6734" s="81"/>
      <c r="BS6734" s="81"/>
      <c r="BT6734" s="81"/>
    </row>
    <row r="6735" spans="65:72" x14ac:dyDescent="0.25">
      <c r="BM6735" s="81"/>
      <c r="BN6735" s="81"/>
      <c r="BO6735" s="81"/>
      <c r="BP6735" s="81"/>
      <c r="BQ6735" s="81"/>
      <c r="BR6735" s="81"/>
      <c r="BS6735" s="81"/>
      <c r="BT6735" s="81"/>
    </row>
    <row r="6736" spans="65:72" x14ac:dyDescent="0.25">
      <c r="BM6736" s="81"/>
      <c r="BN6736" s="81"/>
      <c r="BO6736" s="81"/>
      <c r="BP6736" s="81"/>
      <c r="BQ6736" s="81"/>
      <c r="BR6736" s="81"/>
      <c r="BS6736" s="81"/>
      <c r="BT6736" s="81"/>
    </row>
    <row r="6737" spans="65:72" x14ac:dyDescent="0.25">
      <c r="BM6737" s="81"/>
      <c r="BN6737" s="81"/>
      <c r="BO6737" s="81"/>
      <c r="BP6737" s="81"/>
      <c r="BQ6737" s="81"/>
      <c r="BR6737" s="81"/>
      <c r="BS6737" s="81"/>
      <c r="BT6737" s="81"/>
    </row>
    <row r="6738" spans="65:72" x14ac:dyDescent="0.25">
      <c r="BM6738" s="81"/>
      <c r="BN6738" s="81"/>
      <c r="BO6738" s="81"/>
      <c r="BP6738" s="81"/>
      <c r="BQ6738" s="81"/>
      <c r="BR6738" s="81"/>
      <c r="BS6738" s="81"/>
      <c r="BT6738" s="81"/>
    </row>
    <row r="6739" spans="65:72" x14ac:dyDescent="0.25">
      <c r="BM6739" s="81"/>
      <c r="BN6739" s="81"/>
      <c r="BO6739" s="81"/>
      <c r="BP6739" s="81"/>
      <c r="BQ6739" s="81"/>
      <c r="BR6739" s="81"/>
      <c r="BS6739" s="81"/>
      <c r="BT6739" s="81"/>
    </row>
    <row r="6740" spans="65:72" x14ac:dyDescent="0.25">
      <c r="BM6740" s="81"/>
      <c r="BN6740" s="81"/>
      <c r="BO6740" s="81"/>
      <c r="BP6740" s="81"/>
      <c r="BQ6740" s="81"/>
      <c r="BR6740" s="81"/>
      <c r="BS6740" s="81"/>
      <c r="BT6740" s="81"/>
    </row>
    <row r="6741" spans="65:72" x14ac:dyDescent="0.25">
      <c r="BM6741" s="81"/>
      <c r="BN6741" s="81"/>
      <c r="BO6741" s="81"/>
      <c r="BP6741" s="81"/>
      <c r="BQ6741" s="81"/>
      <c r="BR6741" s="81"/>
      <c r="BS6741" s="81"/>
      <c r="BT6741" s="81"/>
    </row>
    <row r="6742" spans="65:72" x14ac:dyDescent="0.25">
      <c r="BM6742" s="81"/>
      <c r="BN6742" s="81"/>
      <c r="BO6742" s="81"/>
      <c r="BP6742" s="81"/>
      <c r="BQ6742" s="81"/>
      <c r="BR6742" s="81"/>
      <c r="BS6742" s="81"/>
      <c r="BT6742" s="81"/>
    </row>
    <row r="6743" spans="65:72" x14ac:dyDescent="0.25">
      <c r="BM6743" s="81"/>
      <c r="BN6743" s="81"/>
      <c r="BO6743" s="81"/>
      <c r="BP6743" s="81"/>
      <c r="BQ6743" s="81"/>
      <c r="BR6743" s="81"/>
      <c r="BS6743" s="81"/>
      <c r="BT6743" s="81"/>
    </row>
    <row r="6744" spans="65:72" x14ac:dyDescent="0.25">
      <c r="BM6744" s="81"/>
      <c r="BN6744" s="81"/>
      <c r="BO6744" s="81"/>
      <c r="BP6744" s="81"/>
      <c r="BQ6744" s="81"/>
      <c r="BR6744" s="81"/>
      <c r="BS6744" s="81"/>
      <c r="BT6744" s="81"/>
    </row>
    <row r="6745" spans="65:72" x14ac:dyDescent="0.25">
      <c r="BM6745" s="81"/>
      <c r="BN6745" s="81"/>
      <c r="BO6745" s="81"/>
      <c r="BP6745" s="81"/>
      <c r="BQ6745" s="81"/>
      <c r="BR6745" s="81"/>
      <c r="BS6745" s="81"/>
      <c r="BT6745" s="81"/>
    </row>
    <row r="6746" spans="65:72" x14ac:dyDescent="0.25">
      <c r="BM6746" s="81"/>
      <c r="BN6746" s="81"/>
      <c r="BO6746" s="81"/>
      <c r="BP6746" s="81"/>
      <c r="BQ6746" s="81"/>
      <c r="BR6746" s="81"/>
      <c r="BS6746" s="81"/>
      <c r="BT6746" s="81"/>
    </row>
    <row r="6747" spans="65:72" x14ac:dyDescent="0.25">
      <c r="BM6747" s="81"/>
      <c r="BN6747" s="81"/>
      <c r="BO6747" s="81"/>
      <c r="BP6747" s="81"/>
      <c r="BQ6747" s="81"/>
      <c r="BR6747" s="81"/>
      <c r="BS6747" s="81"/>
      <c r="BT6747" s="81"/>
    </row>
    <row r="6748" spans="65:72" x14ac:dyDescent="0.25">
      <c r="BM6748" s="81"/>
      <c r="BN6748" s="81"/>
      <c r="BO6748" s="81"/>
      <c r="BP6748" s="81"/>
      <c r="BQ6748" s="81"/>
      <c r="BR6748" s="81"/>
      <c r="BS6748" s="81"/>
      <c r="BT6748" s="81"/>
    </row>
    <row r="6749" spans="65:72" x14ac:dyDescent="0.25">
      <c r="BM6749" s="81"/>
      <c r="BN6749" s="81"/>
      <c r="BO6749" s="81"/>
      <c r="BP6749" s="81"/>
      <c r="BQ6749" s="81"/>
      <c r="BR6749" s="81"/>
      <c r="BS6749" s="81"/>
      <c r="BT6749" s="81"/>
    </row>
    <row r="6750" spans="65:72" x14ac:dyDescent="0.25">
      <c r="BM6750" s="81"/>
      <c r="BN6750" s="81"/>
      <c r="BO6750" s="81"/>
      <c r="BP6750" s="81"/>
      <c r="BQ6750" s="81"/>
      <c r="BR6750" s="81"/>
      <c r="BS6750" s="81"/>
      <c r="BT6750" s="81"/>
    </row>
    <row r="6751" spans="65:72" x14ac:dyDescent="0.25">
      <c r="BM6751" s="81"/>
      <c r="BN6751" s="81"/>
      <c r="BO6751" s="81"/>
      <c r="BP6751" s="81"/>
      <c r="BQ6751" s="81"/>
      <c r="BR6751" s="81"/>
      <c r="BS6751" s="81"/>
      <c r="BT6751" s="81"/>
    </row>
    <row r="6752" spans="65:72" x14ac:dyDescent="0.25">
      <c r="BM6752" s="81"/>
      <c r="BN6752" s="81"/>
      <c r="BO6752" s="81"/>
      <c r="BP6752" s="81"/>
      <c r="BQ6752" s="81"/>
      <c r="BR6752" s="81"/>
      <c r="BS6752" s="81"/>
      <c r="BT6752" s="81"/>
    </row>
    <row r="6753" spans="65:72" x14ac:dyDescent="0.25">
      <c r="BM6753" s="81"/>
      <c r="BN6753" s="81"/>
      <c r="BO6753" s="81"/>
      <c r="BP6753" s="81"/>
      <c r="BQ6753" s="81"/>
      <c r="BR6753" s="81"/>
      <c r="BS6753" s="81"/>
      <c r="BT6753" s="81"/>
    </row>
    <row r="6754" spans="65:72" x14ac:dyDescent="0.25">
      <c r="BM6754" s="81"/>
      <c r="BN6754" s="81"/>
      <c r="BO6754" s="81"/>
      <c r="BP6754" s="81"/>
      <c r="BQ6754" s="81"/>
      <c r="BR6754" s="81"/>
      <c r="BS6754" s="81"/>
      <c r="BT6754" s="81"/>
    </row>
    <row r="6755" spans="65:72" x14ac:dyDescent="0.25">
      <c r="BM6755" s="81"/>
      <c r="BN6755" s="81"/>
      <c r="BO6755" s="81"/>
      <c r="BP6755" s="81"/>
      <c r="BQ6755" s="81"/>
      <c r="BR6755" s="81"/>
      <c r="BS6755" s="81"/>
      <c r="BT6755" s="81"/>
    </row>
    <row r="6756" spans="65:72" x14ac:dyDescent="0.25">
      <c r="BM6756" s="81"/>
      <c r="BN6756" s="81"/>
      <c r="BO6756" s="81"/>
      <c r="BP6756" s="81"/>
      <c r="BQ6756" s="81"/>
      <c r="BR6756" s="81"/>
      <c r="BS6756" s="81"/>
      <c r="BT6756" s="81"/>
    </row>
    <row r="6757" spans="65:72" x14ac:dyDescent="0.25">
      <c r="BM6757" s="81"/>
      <c r="BN6757" s="81"/>
      <c r="BO6757" s="81"/>
      <c r="BP6757" s="81"/>
      <c r="BQ6757" s="81"/>
      <c r="BR6757" s="81"/>
      <c r="BS6757" s="81"/>
      <c r="BT6757" s="81"/>
    </row>
    <row r="6758" spans="65:72" x14ac:dyDescent="0.25">
      <c r="BM6758" s="81"/>
      <c r="BN6758" s="81"/>
      <c r="BO6758" s="81"/>
      <c r="BP6758" s="81"/>
      <c r="BQ6758" s="81"/>
      <c r="BR6758" s="81"/>
      <c r="BS6758" s="81"/>
      <c r="BT6758" s="81"/>
    </row>
    <row r="6759" spans="65:72" x14ac:dyDescent="0.25">
      <c r="BM6759" s="81"/>
      <c r="BN6759" s="81"/>
      <c r="BO6759" s="81"/>
      <c r="BP6759" s="81"/>
      <c r="BQ6759" s="81"/>
      <c r="BR6759" s="81"/>
      <c r="BS6759" s="81"/>
      <c r="BT6759" s="81"/>
    </row>
    <row r="6760" spans="65:72" x14ac:dyDescent="0.25">
      <c r="BM6760" s="81"/>
      <c r="BN6760" s="81"/>
      <c r="BO6760" s="81"/>
      <c r="BP6760" s="81"/>
      <c r="BQ6760" s="81"/>
      <c r="BR6760" s="81"/>
      <c r="BS6760" s="81"/>
      <c r="BT6760" s="81"/>
    </row>
    <row r="6761" spans="65:72" x14ac:dyDescent="0.25">
      <c r="BM6761" s="81"/>
      <c r="BN6761" s="81"/>
      <c r="BO6761" s="81"/>
      <c r="BP6761" s="81"/>
      <c r="BQ6761" s="81"/>
      <c r="BR6761" s="81"/>
      <c r="BS6761" s="81"/>
      <c r="BT6761" s="81"/>
    </row>
    <row r="6762" spans="65:72" x14ac:dyDescent="0.25">
      <c r="BM6762" s="81"/>
      <c r="BN6762" s="81"/>
      <c r="BO6762" s="81"/>
      <c r="BP6762" s="81"/>
      <c r="BQ6762" s="81"/>
      <c r="BR6762" s="81"/>
      <c r="BS6762" s="81"/>
      <c r="BT6762" s="81"/>
    </row>
    <row r="6763" spans="65:72" x14ac:dyDescent="0.25">
      <c r="BM6763" s="81"/>
      <c r="BN6763" s="81"/>
      <c r="BO6763" s="81"/>
      <c r="BP6763" s="81"/>
      <c r="BQ6763" s="81"/>
      <c r="BR6763" s="81"/>
      <c r="BS6763" s="81"/>
      <c r="BT6763" s="81"/>
    </row>
    <row r="6764" spans="65:72" x14ac:dyDescent="0.25">
      <c r="BM6764" s="81"/>
      <c r="BN6764" s="81"/>
      <c r="BO6764" s="81"/>
      <c r="BP6764" s="81"/>
      <c r="BQ6764" s="81"/>
      <c r="BR6764" s="81"/>
      <c r="BS6764" s="81"/>
      <c r="BT6764" s="81"/>
    </row>
    <row r="6765" spans="65:72" x14ac:dyDescent="0.25">
      <c r="BM6765" s="81"/>
      <c r="BN6765" s="81"/>
      <c r="BO6765" s="81"/>
      <c r="BP6765" s="81"/>
      <c r="BQ6765" s="81"/>
      <c r="BR6765" s="81"/>
      <c r="BS6765" s="81"/>
      <c r="BT6765" s="81"/>
    </row>
    <row r="6766" spans="65:72" x14ac:dyDescent="0.25">
      <c r="BM6766" s="81"/>
      <c r="BN6766" s="81"/>
      <c r="BO6766" s="81"/>
      <c r="BP6766" s="81"/>
      <c r="BQ6766" s="81"/>
      <c r="BR6766" s="81"/>
      <c r="BS6766" s="81"/>
      <c r="BT6766" s="81"/>
    </row>
    <row r="6767" spans="65:72" x14ac:dyDescent="0.25">
      <c r="BM6767" s="81"/>
      <c r="BN6767" s="81"/>
      <c r="BO6767" s="81"/>
      <c r="BP6767" s="81"/>
      <c r="BQ6767" s="81"/>
      <c r="BR6767" s="81"/>
      <c r="BS6767" s="81"/>
      <c r="BT6767" s="81"/>
    </row>
    <row r="6768" spans="65:72" x14ac:dyDescent="0.25">
      <c r="BM6768" s="81"/>
      <c r="BN6768" s="81"/>
      <c r="BO6768" s="81"/>
      <c r="BP6768" s="81"/>
      <c r="BQ6768" s="81"/>
      <c r="BR6768" s="81"/>
      <c r="BS6768" s="81"/>
      <c r="BT6768" s="81"/>
    </row>
    <row r="6769" spans="65:72" x14ac:dyDescent="0.25">
      <c r="BM6769" s="81"/>
      <c r="BN6769" s="81"/>
      <c r="BO6769" s="81"/>
      <c r="BP6769" s="81"/>
      <c r="BQ6769" s="81"/>
      <c r="BR6769" s="81"/>
      <c r="BS6769" s="81"/>
      <c r="BT6769" s="81"/>
    </row>
    <row r="6770" spans="65:72" x14ac:dyDescent="0.25">
      <c r="BM6770" s="81"/>
      <c r="BN6770" s="81"/>
      <c r="BO6770" s="81"/>
      <c r="BP6770" s="81"/>
      <c r="BQ6770" s="81"/>
      <c r="BR6770" s="81"/>
      <c r="BS6770" s="81"/>
      <c r="BT6770" s="81"/>
    </row>
    <row r="6771" spans="65:72" x14ac:dyDescent="0.25">
      <c r="BM6771" s="81"/>
      <c r="BN6771" s="81"/>
      <c r="BO6771" s="81"/>
      <c r="BP6771" s="81"/>
      <c r="BQ6771" s="81"/>
      <c r="BR6771" s="81"/>
      <c r="BS6771" s="81"/>
      <c r="BT6771" s="81"/>
    </row>
    <row r="6772" spans="65:72" x14ac:dyDescent="0.25">
      <c r="BM6772" s="81"/>
      <c r="BN6772" s="81"/>
      <c r="BO6772" s="81"/>
      <c r="BP6772" s="81"/>
      <c r="BQ6772" s="81"/>
      <c r="BR6772" s="81"/>
      <c r="BS6772" s="81"/>
      <c r="BT6772" s="81"/>
    </row>
    <row r="6773" spans="65:72" x14ac:dyDescent="0.25">
      <c r="BM6773" s="81"/>
      <c r="BN6773" s="81"/>
      <c r="BO6773" s="81"/>
      <c r="BP6773" s="81"/>
      <c r="BQ6773" s="81"/>
      <c r="BR6773" s="81"/>
      <c r="BS6773" s="81"/>
      <c r="BT6773" s="81"/>
    </row>
    <row r="6774" spans="65:72" x14ac:dyDescent="0.25">
      <c r="BM6774" s="81"/>
      <c r="BN6774" s="81"/>
      <c r="BO6774" s="81"/>
      <c r="BP6774" s="81"/>
      <c r="BQ6774" s="81"/>
      <c r="BR6774" s="81"/>
      <c r="BS6774" s="81"/>
      <c r="BT6774" s="81"/>
    </row>
    <row r="6775" spans="65:72" x14ac:dyDescent="0.25">
      <c r="BM6775" s="81"/>
      <c r="BN6775" s="81"/>
      <c r="BO6775" s="81"/>
      <c r="BP6775" s="81"/>
      <c r="BQ6775" s="81"/>
      <c r="BR6775" s="81"/>
      <c r="BS6775" s="81"/>
      <c r="BT6775" s="81"/>
    </row>
    <row r="6776" spans="65:72" x14ac:dyDescent="0.25">
      <c r="BM6776" s="81"/>
      <c r="BN6776" s="81"/>
      <c r="BO6776" s="81"/>
      <c r="BP6776" s="81"/>
      <c r="BQ6776" s="81"/>
      <c r="BR6776" s="81"/>
      <c r="BS6776" s="81"/>
      <c r="BT6776" s="81"/>
    </row>
    <row r="6777" spans="65:72" x14ac:dyDescent="0.25">
      <c r="BM6777" s="81"/>
      <c r="BN6777" s="81"/>
      <c r="BO6777" s="81"/>
      <c r="BP6777" s="81"/>
      <c r="BQ6777" s="81"/>
      <c r="BR6777" s="81"/>
      <c r="BS6777" s="81"/>
      <c r="BT6777" s="81"/>
    </row>
    <row r="6778" spans="65:72" x14ac:dyDescent="0.25">
      <c r="BM6778" s="81"/>
      <c r="BN6778" s="81"/>
      <c r="BO6778" s="81"/>
      <c r="BP6778" s="81"/>
      <c r="BQ6778" s="81"/>
      <c r="BR6778" s="81"/>
      <c r="BS6778" s="81"/>
      <c r="BT6778" s="81"/>
    </row>
    <row r="6779" spans="65:72" x14ac:dyDescent="0.25">
      <c r="BM6779" s="81"/>
      <c r="BN6779" s="81"/>
      <c r="BO6779" s="81"/>
      <c r="BP6779" s="81"/>
      <c r="BQ6779" s="81"/>
      <c r="BR6779" s="81"/>
      <c r="BS6779" s="81"/>
      <c r="BT6779" s="81"/>
    </row>
    <row r="6780" spans="65:72" x14ac:dyDescent="0.25">
      <c r="BM6780" s="81"/>
      <c r="BN6780" s="81"/>
      <c r="BO6780" s="81"/>
      <c r="BP6780" s="81"/>
      <c r="BQ6780" s="81"/>
      <c r="BR6780" s="81"/>
      <c r="BS6780" s="81"/>
      <c r="BT6780" s="81"/>
    </row>
    <row r="6781" spans="65:72" x14ac:dyDescent="0.25">
      <c r="BM6781" s="81"/>
      <c r="BN6781" s="81"/>
      <c r="BO6781" s="81"/>
      <c r="BP6781" s="81"/>
      <c r="BQ6781" s="81"/>
      <c r="BR6781" s="81"/>
      <c r="BS6781" s="81"/>
      <c r="BT6781" s="81"/>
    </row>
    <row r="6782" spans="65:72" x14ac:dyDescent="0.25">
      <c r="BM6782" s="81"/>
      <c r="BN6782" s="81"/>
      <c r="BO6782" s="81"/>
      <c r="BP6782" s="81"/>
      <c r="BQ6782" s="81"/>
      <c r="BR6782" s="81"/>
      <c r="BS6782" s="81"/>
      <c r="BT6782" s="81"/>
    </row>
    <row r="6783" spans="65:72" x14ac:dyDescent="0.25">
      <c r="BM6783" s="81"/>
      <c r="BN6783" s="81"/>
      <c r="BO6783" s="81"/>
      <c r="BP6783" s="81"/>
      <c r="BQ6783" s="81"/>
      <c r="BR6783" s="81"/>
      <c r="BS6783" s="81"/>
      <c r="BT6783" s="81"/>
    </row>
    <row r="6784" spans="65:72" x14ac:dyDescent="0.25">
      <c r="BM6784" s="81"/>
      <c r="BN6784" s="81"/>
      <c r="BO6784" s="81"/>
      <c r="BP6784" s="81"/>
      <c r="BQ6784" s="81"/>
      <c r="BR6784" s="81"/>
      <c r="BS6784" s="81"/>
      <c r="BT6784" s="81"/>
    </row>
    <row r="6785" spans="65:72" x14ac:dyDescent="0.25">
      <c r="BM6785" s="81"/>
      <c r="BN6785" s="81"/>
      <c r="BO6785" s="81"/>
      <c r="BP6785" s="81"/>
      <c r="BQ6785" s="81"/>
      <c r="BR6785" s="81"/>
      <c r="BS6785" s="81"/>
      <c r="BT6785" s="81"/>
    </row>
    <row r="6786" spans="65:72" x14ac:dyDescent="0.25">
      <c r="BM6786" s="81"/>
      <c r="BN6786" s="81"/>
      <c r="BO6786" s="81"/>
      <c r="BP6786" s="81"/>
      <c r="BQ6786" s="81"/>
      <c r="BR6786" s="81"/>
      <c r="BS6786" s="81"/>
      <c r="BT6786" s="81"/>
    </row>
    <row r="6787" spans="65:72" x14ac:dyDescent="0.25">
      <c r="BM6787" s="81"/>
      <c r="BN6787" s="81"/>
      <c r="BO6787" s="81"/>
      <c r="BP6787" s="81"/>
      <c r="BQ6787" s="81"/>
      <c r="BR6787" s="81"/>
      <c r="BS6787" s="81"/>
      <c r="BT6787" s="81"/>
    </row>
    <row r="6788" spans="65:72" x14ac:dyDescent="0.25">
      <c r="BM6788" s="81"/>
      <c r="BN6788" s="81"/>
      <c r="BO6788" s="81"/>
      <c r="BP6788" s="81"/>
      <c r="BQ6788" s="81"/>
      <c r="BR6788" s="81"/>
      <c r="BS6788" s="81"/>
      <c r="BT6788" s="81"/>
    </row>
    <row r="6789" spans="65:72" x14ac:dyDescent="0.25">
      <c r="BM6789" s="81"/>
      <c r="BN6789" s="81"/>
      <c r="BO6789" s="81"/>
      <c r="BP6789" s="81"/>
      <c r="BQ6789" s="81"/>
      <c r="BR6789" s="81"/>
      <c r="BS6789" s="81"/>
      <c r="BT6789" s="81"/>
    </row>
    <row r="6790" spans="65:72" x14ac:dyDescent="0.25">
      <c r="BM6790" s="81"/>
      <c r="BN6790" s="81"/>
      <c r="BO6790" s="81"/>
      <c r="BP6790" s="81"/>
      <c r="BQ6790" s="81"/>
      <c r="BR6790" s="81"/>
      <c r="BS6790" s="81"/>
      <c r="BT6790" s="81"/>
    </row>
    <row r="6791" spans="65:72" x14ac:dyDescent="0.25">
      <c r="BM6791" s="81"/>
      <c r="BN6791" s="81"/>
      <c r="BO6791" s="81"/>
      <c r="BP6791" s="81"/>
      <c r="BQ6791" s="81"/>
      <c r="BR6791" s="81"/>
      <c r="BS6791" s="81"/>
      <c r="BT6791" s="81"/>
    </row>
    <row r="6792" spans="65:72" x14ac:dyDescent="0.25">
      <c r="BM6792" s="81"/>
      <c r="BN6792" s="81"/>
      <c r="BO6792" s="81"/>
      <c r="BP6792" s="81"/>
      <c r="BQ6792" s="81"/>
      <c r="BR6792" s="81"/>
      <c r="BS6792" s="81"/>
      <c r="BT6792" s="81"/>
    </row>
    <row r="6793" spans="65:72" x14ac:dyDescent="0.25">
      <c r="BM6793" s="81"/>
      <c r="BN6793" s="81"/>
      <c r="BO6793" s="81"/>
      <c r="BP6793" s="81"/>
      <c r="BQ6793" s="81"/>
      <c r="BR6793" s="81"/>
      <c r="BS6793" s="81"/>
      <c r="BT6793" s="81"/>
    </row>
    <row r="6794" spans="65:72" x14ac:dyDescent="0.25">
      <c r="BM6794" s="81"/>
      <c r="BN6794" s="81"/>
      <c r="BO6794" s="81"/>
      <c r="BP6794" s="81"/>
      <c r="BQ6794" s="81"/>
      <c r="BR6794" s="81"/>
      <c r="BS6794" s="81"/>
      <c r="BT6794" s="81"/>
    </row>
    <row r="6795" spans="65:72" x14ac:dyDescent="0.25">
      <c r="BM6795" s="81"/>
      <c r="BN6795" s="81"/>
      <c r="BO6795" s="81"/>
      <c r="BP6795" s="81"/>
      <c r="BQ6795" s="81"/>
      <c r="BR6795" s="81"/>
      <c r="BS6795" s="81"/>
      <c r="BT6795" s="81"/>
    </row>
    <row r="6796" spans="65:72" x14ac:dyDescent="0.25">
      <c r="BM6796" s="81"/>
      <c r="BN6796" s="81"/>
      <c r="BO6796" s="81"/>
      <c r="BP6796" s="81"/>
      <c r="BQ6796" s="81"/>
      <c r="BR6796" s="81"/>
      <c r="BS6796" s="81"/>
      <c r="BT6796" s="81"/>
    </row>
    <row r="6797" spans="65:72" x14ac:dyDescent="0.25">
      <c r="BM6797" s="81"/>
      <c r="BN6797" s="81"/>
      <c r="BO6797" s="81"/>
      <c r="BP6797" s="81"/>
      <c r="BQ6797" s="81"/>
      <c r="BR6797" s="81"/>
      <c r="BS6797" s="81"/>
      <c r="BT6797" s="81"/>
    </row>
    <row r="6798" spans="65:72" x14ac:dyDescent="0.25">
      <c r="BM6798" s="81"/>
      <c r="BN6798" s="81"/>
      <c r="BO6798" s="81"/>
      <c r="BP6798" s="81"/>
      <c r="BQ6798" s="81"/>
      <c r="BR6798" s="81"/>
      <c r="BS6798" s="81"/>
      <c r="BT6798" s="81"/>
    </row>
    <row r="6799" spans="65:72" x14ac:dyDescent="0.25">
      <c r="BM6799" s="81"/>
      <c r="BN6799" s="81"/>
      <c r="BO6799" s="81"/>
      <c r="BP6799" s="81"/>
      <c r="BQ6799" s="81"/>
      <c r="BR6799" s="81"/>
      <c r="BS6799" s="81"/>
      <c r="BT6799" s="81"/>
    </row>
    <row r="6800" spans="65:72" x14ac:dyDescent="0.25">
      <c r="BM6800" s="81"/>
      <c r="BN6800" s="81"/>
      <c r="BO6800" s="81"/>
      <c r="BP6800" s="81"/>
      <c r="BQ6800" s="81"/>
      <c r="BR6800" s="81"/>
      <c r="BS6800" s="81"/>
      <c r="BT6800" s="81"/>
    </row>
    <row r="6801" spans="65:72" x14ac:dyDescent="0.25">
      <c r="BM6801" s="81"/>
      <c r="BN6801" s="81"/>
      <c r="BO6801" s="81"/>
      <c r="BP6801" s="81"/>
      <c r="BQ6801" s="81"/>
      <c r="BR6801" s="81"/>
      <c r="BS6801" s="81"/>
      <c r="BT6801" s="81"/>
    </row>
    <row r="6802" spans="65:72" x14ac:dyDescent="0.25">
      <c r="BM6802" s="81"/>
      <c r="BN6802" s="81"/>
      <c r="BO6802" s="81"/>
      <c r="BP6802" s="81"/>
      <c r="BQ6802" s="81"/>
      <c r="BR6802" s="81"/>
      <c r="BS6802" s="81"/>
      <c r="BT6802" s="81"/>
    </row>
    <row r="6803" spans="65:72" x14ac:dyDescent="0.25">
      <c r="BM6803" s="81"/>
      <c r="BN6803" s="81"/>
      <c r="BO6803" s="81"/>
      <c r="BP6803" s="81"/>
      <c r="BQ6803" s="81"/>
      <c r="BR6803" s="81"/>
      <c r="BS6803" s="81"/>
      <c r="BT6803" s="81"/>
    </row>
    <row r="6804" spans="65:72" x14ac:dyDescent="0.25">
      <c r="BM6804" s="81"/>
      <c r="BN6804" s="81"/>
      <c r="BO6804" s="81"/>
      <c r="BP6804" s="81"/>
      <c r="BQ6804" s="81"/>
      <c r="BR6804" s="81"/>
      <c r="BS6804" s="81"/>
      <c r="BT6804" s="81"/>
    </row>
    <row r="6805" spans="65:72" x14ac:dyDescent="0.25">
      <c r="BM6805" s="81"/>
      <c r="BN6805" s="81"/>
      <c r="BO6805" s="81"/>
      <c r="BP6805" s="81"/>
      <c r="BQ6805" s="81"/>
      <c r="BR6805" s="81"/>
      <c r="BS6805" s="81"/>
      <c r="BT6805" s="81"/>
    </row>
    <row r="6806" spans="65:72" x14ac:dyDescent="0.25">
      <c r="BM6806" s="81"/>
      <c r="BN6806" s="81"/>
      <c r="BO6806" s="81"/>
      <c r="BP6806" s="81"/>
      <c r="BQ6806" s="81"/>
      <c r="BR6806" s="81"/>
      <c r="BS6806" s="81"/>
      <c r="BT6806" s="81"/>
    </row>
    <row r="6807" spans="65:72" x14ac:dyDescent="0.25">
      <c r="BM6807" s="81"/>
      <c r="BN6807" s="81"/>
      <c r="BO6807" s="81"/>
      <c r="BP6807" s="81"/>
      <c r="BQ6807" s="81"/>
      <c r="BR6807" s="81"/>
      <c r="BS6807" s="81"/>
      <c r="BT6807" s="81"/>
    </row>
    <row r="6808" spans="65:72" x14ac:dyDescent="0.25">
      <c r="BM6808" s="81"/>
      <c r="BN6808" s="81"/>
      <c r="BO6808" s="81"/>
      <c r="BP6808" s="81"/>
      <c r="BQ6808" s="81"/>
      <c r="BR6808" s="81"/>
      <c r="BS6808" s="81"/>
      <c r="BT6808" s="81"/>
    </row>
    <row r="6809" spans="65:72" x14ac:dyDescent="0.25">
      <c r="BM6809" s="81"/>
      <c r="BN6809" s="81"/>
      <c r="BO6809" s="81"/>
      <c r="BP6809" s="81"/>
      <c r="BQ6809" s="81"/>
      <c r="BR6809" s="81"/>
      <c r="BS6809" s="81"/>
      <c r="BT6809" s="81"/>
    </row>
    <row r="6810" spans="65:72" x14ac:dyDescent="0.25">
      <c r="BM6810" s="81"/>
      <c r="BN6810" s="81"/>
      <c r="BO6810" s="81"/>
      <c r="BP6810" s="81"/>
      <c r="BQ6810" s="81"/>
      <c r="BR6810" s="81"/>
      <c r="BS6810" s="81"/>
      <c r="BT6810" s="81"/>
    </row>
    <row r="6811" spans="65:72" x14ac:dyDescent="0.25">
      <c r="BM6811" s="81"/>
      <c r="BN6811" s="81"/>
      <c r="BO6811" s="81"/>
      <c r="BP6811" s="81"/>
      <c r="BQ6811" s="81"/>
      <c r="BR6811" s="81"/>
      <c r="BS6811" s="81"/>
      <c r="BT6811" s="81"/>
    </row>
    <row r="6812" spans="65:72" x14ac:dyDescent="0.25">
      <c r="BM6812" s="81"/>
      <c r="BN6812" s="81"/>
      <c r="BO6812" s="81"/>
      <c r="BP6812" s="81"/>
      <c r="BQ6812" s="81"/>
      <c r="BR6812" s="81"/>
      <c r="BS6812" s="81"/>
      <c r="BT6812" s="81"/>
    </row>
    <row r="6813" spans="65:72" x14ac:dyDescent="0.25">
      <c r="BM6813" s="81"/>
      <c r="BN6813" s="81"/>
      <c r="BO6813" s="81"/>
      <c r="BP6813" s="81"/>
      <c r="BQ6813" s="81"/>
      <c r="BR6813" s="81"/>
      <c r="BS6813" s="81"/>
      <c r="BT6813" s="81"/>
    </row>
    <row r="6814" spans="65:72" x14ac:dyDescent="0.25">
      <c r="BM6814" s="81"/>
      <c r="BN6814" s="81"/>
      <c r="BO6814" s="81"/>
      <c r="BP6814" s="81"/>
      <c r="BQ6814" s="81"/>
      <c r="BR6814" s="81"/>
      <c r="BS6814" s="81"/>
      <c r="BT6814" s="81"/>
    </row>
    <row r="6815" spans="65:72" x14ac:dyDescent="0.25">
      <c r="BM6815" s="81"/>
      <c r="BN6815" s="81"/>
      <c r="BO6815" s="81"/>
      <c r="BP6815" s="81"/>
      <c r="BQ6815" s="81"/>
      <c r="BR6815" s="81"/>
      <c r="BS6815" s="81"/>
      <c r="BT6815" s="81"/>
    </row>
    <row r="6816" spans="65:72" x14ac:dyDescent="0.25">
      <c r="BM6816" s="81"/>
      <c r="BN6816" s="81"/>
      <c r="BO6816" s="81"/>
      <c r="BP6816" s="81"/>
      <c r="BQ6816" s="81"/>
      <c r="BR6816" s="81"/>
      <c r="BS6816" s="81"/>
      <c r="BT6816" s="81"/>
    </row>
    <row r="6817" spans="65:72" x14ac:dyDescent="0.25">
      <c r="BM6817" s="81"/>
      <c r="BN6817" s="81"/>
      <c r="BO6817" s="81"/>
      <c r="BP6817" s="81"/>
      <c r="BQ6817" s="81"/>
      <c r="BR6817" s="81"/>
      <c r="BS6817" s="81"/>
      <c r="BT6817" s="81"/>
    </row>
    <row r="6818" spans="65:72" x14ac:dyDescent="0.25">
      <c r="BM6818" s="81"/>
      <c r="BN6818" s="81"/>
      <c r="BO6818" s="81"/>
      <c r="BP6818" s="81"/>
      <c r="BQ6818" s="81"/>
      <c r="BR6818" s="81"/>
      <c r="BS6818" s="81"/>
      <c r="BT6818" s="81"/>
    </row>
    <row r="6819" spans="65:72" x14ac:dyDescent="0.25">
      <c r="BM6819" s="81"/>
      <c r="BN6819" s="81"/>
      <c r="BO6819" s="81"/>
      <c r="BP6819" s="81"/>
      <c r="BQ6819" s="81"/>
      <c r="BR6819" s="81"/>
      <c r="BS6819" s="81"/>
      <c r="BT6819" s="81"/>
    </row>
    <row r="6820" spans="65:72" x14ac:dyDescent="0.25">
      <c r="BM6820" s="81"/>
      <c r="BN6820" s="81"/>
      <c r="BO6820" s="81"/>
      <c r="BP6820" s="81"/>
      <c r="BQ6820" s="81"/>
      <c r="BR6820" s="81"/>
      <c r="BS6820" s="81"/>
      <c r="BT6820" s="81"/>
    </row>
    <row r="6821" spans="65:72" x14ac:dyDescent="0.25">
      <c r="BM6821" s="81"/>
      <c r="BN6821" s="81"/>
      <c r="BO6821" s="81"/>
      <c r="BP6821" s="81"/>
      <c r="BQ6821" s="81"/>
      <c r="BR6821" s="81"/>
      <c r="BS6821" s="81"/>
      <c r="BT6821" s="81"/>
    </row>
    <row r="6822" spans="65:72" x14ac:dyDescent="0.25">
      <c r="BM6822" s="81"/>
      <c r="BN6822" s="81"/>
      <c r="BO6822" s="81"/>
      <c r="BP6822" s="81"/>
      <c r="BQ6822" s="81"/>
      <c r="BR6822" s="81"/>
      <c r="BS6822" s="81"/>
      <c r="BT6822" s="81"/>
    </row>
    <row r="6823" spans="65:72" x14ac:dyDescent="0.25">
      <c r="BM6823" s="81"/>
      <c r="BN6823" s="81"/>
      <c r="BO6823" s="81"/>
      <c r="BP6823" s="81"/>
      <c r="BQ6823" s="81"/>
      <c r="BR6823" s="81"/>
      <c r="BS6823" s="81"/>
      <c r="BT6823" s="81"/>
    </row>
    <row r="6824" spans="65:72" x14ac:dyDescent="0.25">
      <c r="BM6824" s="81"/>
      <c r="BN6824" s="81"/>
      <c r="BO6824" s="81"/>
      <c r="BP6824" s="81"/>
      <c r="BQ6824" s="81"/>
      <c r="BR6824" s="81"/>
      <c r="BS6824" s="81"/>
      <c r="BT6824" s="81"/>
    </row>
    <row r="6825" spans="65:72" x14ac:dyDescent="0.25">
      <c r="BM6825" s="81"/>
      <c r="BN6825" s="81"/>
      <c r="BO6825" s="81"/>
      <c r="BP6825" s="81"/>
      <c r="BQ6825" s="81"/>
      <c r="BR6825" s="81"/>
      <c r="BS6825" s="81"/>
      <c r="BT6825" s="81"/>
    </row>
    <row r="6826" spans="65:72" x14ac:dyDescent="0.25">
      <c r="BM6826" s="81"/>
      <c r="BN6826" s="81"/>
      <c r="BO6826" s="81"/>
      <c r="BP6826" s="81"/>
      <c r="BQ6826" s="81"/>
      <c r="BR6826" s="81"/>
      <c r="BS6826" s="81"/>
      <c r="BT6826" s="81"/>
    </row>
    <row r="6827" spans="65:72" x14ac:dyDescent="0.25">
      <c r="BM6827" s="81"/>
      <c r="BN6827" s="81"/>
      <c r="BO6827" s="81"/>
      <c r="BP6827" s="81"/>
      <c r="BQ6827" s="81"/>
      <c r="BR6827" s="81"/>
      <c r="BS6827" s="81"/>
      <c r="BT6827" s="81"/>
    </row>
    <row r="6828" spans="65:72" x14ac:dyDescent="0.25">
      <c r="BM6828" s="81"/>
      <c r="BN6828" s="81"/>
      <c r="BO6828" s="81"/>
      <c r="BP6828" s="81"/>
      <c r="BQ6828" s="81"/>
      <c r="BR6828" s="81"/>
      <c r="BS6828" s="81"/>
      <c r="BT6828" s="81"/>
    </row>
    <row r="6829" spans="65:72" x14ac:dyDescent="0.25">
      <c r="BM6829" s="81"/>
      <c r="BN6829" s="81"/>
      <c r="BO6829" s="81"/>
      <c r="BP6829" s="81"/>
      <c r="BQ6829" s="81"/>
      <c r="BR6829" s="81"/>
      <c r="BS6829" s="81"/>
      <c r="BT6829" s="81"/>
    </row>
    <row r="6830" spans="65:72" x14ac:dyDescent="0.25">
      <c r="BM6830" s="81"/>
      <c r="BN6830" s="81"/>
      <c r="BO6830" s="81"/>
      <c r="BP6830" s="81"/>
      <c r="BQ6830" s="81"/>
      <c r="BR6830" s="81"/>
      <c r="BS6830" s="81"/>
      <c r="BT6830" s="81"/>
    </row>
    <row r="6831" spans="65:72" x14ac:dyDescent="0.25">
      <c r="BM6831" s="81"/>
      <c r="BN6831" s="81"/>
      <c r="BO6831" s="81"/>
      <c r="BP6831" s="81"/>
      <c r="BQ6831" s="81"/>
      <c r="BR6831" s="81"/>
      <c r="BS6831" s="81"/>
      <c r="BT6831" s="81"/>
    </row>
    <row r="6832" spans="65:72" x14ac:dyDescent="0.25">
      <c r="BM6832" s="81"/>
      <c r="BN6832" s="81"/>
      <c r="BO6832" s="81"/>
      <c r="BP6832" s="81"/>
      <c r="BQ6832" s="81"/>
      <c r="BR6832" s="81"/>
      <c r="BS6832" s="81"/>
      <c r="BT6832" s="81"/>
    </row>
    <row r="6833" spans="65:72" x14ac:dyDescent="0.25">
      <c r="BM6833" s="81"/>
      <c r="BN6833" s="81"/>
      <c r="BO6833" s="81"/>
      <c r="BP6833" s="81"/>
      <c r="BQ6833" s="81"/>
      <c r="BR6833" s="81"/>
      <c r="BS6833" s="81"/>
      <c r="BT6833" s="81"/>
    </row>
    <row r="6834" spans="65:72" x14ac:dyDescent="0.25">
      <c r="BM6834" s="81"/>
      <c r="BN6834" s="81"/>
      <c r="BO6834" s="81"/>
      <c r="BP6834" s="81"/>
      <c r="BQ6834" s="81"/>
      <c r="BR6834" s="81"/>
      <c r="BS6834" s="81"/>
      <c r="BT6834" s="81"/>
    </row>
    <row r="6835" spans="65:72" x14ac:dyDescent="0.25">
      <c r="BM6835" s="81"/>
      <c r="BN6835" s="81"/>
      <c r="BO6835" s="81"/>
      <c r="BP6835" s="81"/>
      <c r="BQ6835" s="81"/>
      <c r="BR6835" s="81"/>
      <c r="BS6835" s="81"/>
      <c r="BT6835" s="81"/>
    </row>
    <row r="6836" spans="65:72" x14ac:dyDescent="0.25">
      <c r="BM6836" s="81"/>
      <c r="BN6836" s="81"/>
      <c r="BO6836" s="81"/>
      <c r="BP6836" s="81"/>
      <c r="BQ6836" s="81"/>
      <c r="BR6836" s="81"/>
      <c r="BS6836" s="81"/>
      <c r="BT6836" s="81"/>
    </row>
    <row r="6837" spans="65:72" x14ac:dyDescent="0.25">
      <c r="BM6837" s="81"/>
      <c r="BN6837" s="81"/>
      <c r="BO6837" s="81"/>
      <c r="BP6837" s="81"/>
      <c r="BQ6837" s="81"/>
      <c r="BR6837" s="81"/>
      <c r="BS6837" s="81"/>
      <c r="BT6837" s="81"/>
    </row>
    <row r="6838" spans="65:72" x14ac:dyDescent="0.25">
      <c r="BM6838" s="81"/>
      <c r="BN6838" s="81"/>
      <c r="BO6838" s="81"/>
      <c r="BP6838" s="81"/>
      <c r="BQ6838" s="81"/>
      <c r="BR6838" s="81"/>
      <c r="BS6838" s="81"/>
      <c r="BT6838" s="81"/>
    </row>
    <row r="6839" spans="65:72" x14ac:dyDescent="0.25">
      <c r="BM6839" s="81"/>
      <c r="BN6839" s="81"/>
      <c r="BO6839" s="81"/>
      <c r="BP6839" s="81"/>
      <c r="BQ6839" s="81"/>
      <c r="BR6839" s="81"/>
      <c r="BS6839" s="81"/>
      <c r="BT6839" s="81"/>
    </row>
    <row r="6840" spans="65:72" x14ac:dyDescent="0.25">
      <c r="BM6840" s="81"/>
      <c r="BN6840" s="81"/>
      <c r="BO6840" s="81"/>
      <c r="BP6840" s="81"/>
      <c r="BQ6840" s="81"/>
      <c r="BR6840" s="81"/>
      <c r="BS6840" s="81"/>
      <c r="BT6840" s="81"/>
    </row>
    <row r="6841" spans="65:72" x14ac:dyDescent="0.25">
      <c r="BM6841" s="81"/>
      <c r="BN6841" s="81"/>
      <c r="BO6841" s="81"/>
      <c r="BP6841" s="81"/>
      <c r="BQ6841" s="81"/>
      <c r="BR6841" s="81"/>
      <c r="BS6841" s="81"/>
      <c r="BT6841" s="81"/>
    </row>
    <row r="6842" spans="65:72" x14ac:dyDescent="0.25">
      <c r="BM6842" s="81"/>
      <c r="BN6842" s="81"/>
      <c r="BO6842" s="81"/>
      <c r="BP6842" s="81"/>
      <c r="BQ6842" s="81"/>
      <c r="BR6842" s="81"/>
      <c r="BS6842" s="81"/>
      <c r="BT6842" s="81"/>
    </row>
    <row r="6843" spans="65:72" x14ac:dyDescent="0.25">
      <c r="BM6843" s="81"/>
      <c r="BN6843" s="81"/>
      <c r="BO6843" s="81"/>
      <c r="BP6843" s="81"/>
      <c r="BQ6843" s="81"/>
      <c r="BR6843" s="81"/>
      <c r="BS6843" s="81"/>
      <c r="BT6843" s="81"/>
    </row>
    <row r="6844" spans="65:72" x14ac:dyDescent="0.25">
      <c r="BM6844" s="81"/>
      <c r="BN6844" s="81"/>
      <c r="BO6844" s="81"/>
      <c r="BP6844" s="81"/>
      <c r="BQ6844" s="81"/>
      <c r="BR6844" s="81"/>
      <c r="BS6844" s="81"/>
      <c r="BT6844" s="81"/>
    </row>
    <row r="6845" spans="65:72" x14ac:dyDescent="0.25">
      <c r="BM6845" s="81"/>
      <c r="BN6845" s="81"/>
      <c r="BO6845" s="81"/>
      <c r="BP6845" s="81"/>
      <c r="BQ6845" s="81"/>
      <c r="BR6845" s="81"/>
      <c r="BS6845" s="81"/>
      <c r="BT6845" s="81"/>
    </row>
    <row r="6846" spans="65:72" x14ac:dyDescent="0.25">
      <c r="BM6846" s="81"/>
      <c r="BN6846" s="81"/>
      <c r="BO6846" s="81"/>
      <c r="BP6846" s="81"/>
      <c r="BQ6846" s="81"/>
      <c r="BR6846" s="81"/>
      <c r="BS6846" s="81"/>
      <c r="BT6846" s="81"/>
    </row>
    <row r="6847" spans="65:72" x14ac:dyDescent="0.25">
      <c r="BM6847" s="81"/>
      <c r="BN6847" s="81"/>
      <c r="BO6847" s="81"/>
      <c r="BP6847" s="81"/>
      <c r="BQ6847" s="81"/>
      <c r="BR6847" s="81"/>
      <c r="BS6847" s="81"/>
      <c r="BT6847" s="81"/>
    </row>
    <row r="6848" spans="65:72" x14ac:dyDescent="0.25">
      <c r="BM6848" s="81"/>
      <c r="BN6848" s="81"/>
      <c r="BO6848" s="81"/>
      <c r="BP6848" s="81"/>
      <c r="BQ6848" s="81"/>
      <c r="BR6848" s="81"/>
      <c r="BS6848" s="81"/>
      <c r="BT6848" s="81"/>
    </row>
    <row r="6849" spans="65:72" x14ac:dyDescent="0.25">
      <c r="BM6849" s="81"/>
      <c r="BN6849" s="81"/>
      <c r="BO6849" s="81"/>
      <c r="BP6849" s="81"/>
      <c r="BQ6849" s="81"/>
      <c r="BR6849" s="81"/>
      <c r="BS6849" s="81"/>
      <c r="BT6849" s="81"/>
    </row>
    <row r="6850" spans="65:72" x14ac:dyDescent="0.25">
      <c r="BM6850" s="81"/>
      <c r="BN6850" s="81"/>
      <c r="BO6850" s="81"/>
      <c r="BP6850" s="81"/>
      <c r="BQ6850" s="81"/>
      <c r="BR6850" s="81"/>
      <c r="BS6850" s="81"/>
      <c r="BT6850" s="81"/>
    </row>
    <row r="6851" spans="65:72" x14ac:dyDescent="0.25">
      <c r="BM6851" s="81"/>
      <c r="BN6851" s="81"/>
      <c r="BO6851" s="81"/>
      <c r="BP6851" s="81"/>
      <c r="BQ6851" s="81"/>
      <c r="BR6851" s="81"/>
      <c r="BS6851" s="81"/>
      <c r="BT6851" s="81"/>
    </row>
    <row r="6852" spans="65:72" x14ac:dyDescent="0.25">
      <c r="BM6852" s="81"/>
      <c r="BN6852" s="81"/>
      <c r="BO6852" s="81"/>
      <c r="BP6852" s="81"/>
      <c r="BQ6852" s="81"/>
      <c r="BR6852" s="81"/>
      <c r="BS6852" s="81"/>
      <c r="BT6852" s="81"/>
    </row>
    <row r="6853" spans="65:72" x14ac:dyDescent="0.25">
      <c r="BM6853" s="81"/>
      <c r="BN6853" s="81"/>
      <c r="BO6853" s="81"/>
      <c r="BP6853" s="81"/>
      <c r="BQ6853" s="81"/>
      <c r="BR6853" s="81"/>
      <c r="BS6853" s="81"/>
      <c r="BT6853" s="81"/>
    </row>
    <row r="6854" spans="65:72" x14ac:dyDescent="0.25">
      <c r="BM6854" s="81"/>
      <c r="BN6854" s="81"/>
      <c r="BO6854" s="81"/>
      <c r="BP6854" s="81"/>
      <c r="BQ6854" s="81"/>
      <c r="BR6854" s="81"/>
      <c r="BS6854" s="81"/>
      <c r="BT6854" s="81"/>
    </row>
    <row r="6855" spans="65:72" x14ac:dyDescent="0.25">
      <c r="BM6855" s="81"/>
      <c r="BN6855" s="81"/>
      <c r="BO6855" s="81"/>
      <c r="BP6855" s="81"/>
      <c r="BQ6855" s="81"/>
      <c r="BR6855" s="81"/>
      <c r="BS6855" s="81"/>
      <c r="BT6855" s="81"/>
    </row>
    <row r="6856" spans="65:72" x14ac:dyDescent="0.25">
      <c r="BM6856" s="81"/>
      <c r="BN6856" s="81"/>
      <c r="BO6856" s="81"/>
      <c r="BP6856" s="81"/>
      <c r="BQ6856" s="81"/>
      <c r="BR6856" s="81"/>
      <c r="BS6856" s="81"/>
      <c r="BT6856" s="81"/>
    </row>
    <row r="6857" spans="65:72" x14ac:dyDescent="0.25">
      <c r="BM6857" s="81"/>
      <c r="BN6857" s="81"/>
      <c r="BO6857" s="81"/>
      <c r="BP6857" s="81"/>
      <c r="BQ6857" s="81"/>
      <c r="BR6857" s="81"/>
      <c r="BS6857" s="81"/>
      <c r="BT6857" s="81"/>
    </row>
    <row r="6858" spans="65:72" x14ac:dyDescent="0.25">
      <c r="BM6858" s="81"/>
      <c r="BN6858" s="81"/>
      <c r="BO6858" s="81"/>
      <c r="BP6858" s="81"/>
      <c r="BQ6858" s="81"/>
      <c r="BR6858" s="81"/>
      <c r="BS6858" s="81"/>
      <c r="BT6858" s="81"/>
    </row>
    <row r="6859" spans="65:72" x14ac:dyDescent="0.25">
      <c r="BM6859" s="81"/>
      <c r="BN6859" s="81"/>
      <c r="BO6859" s="81"/>
      <c r="BP6859" s="81"/>
      <c r="BQ6859" s="81"/>
      <c r="BR6859" s="81"/>
      <c r="BS6859" s="81"/>
      <c r="BT6859" s="81"/>
    </row>
    <row r="6860" spans="65:72" x14ac:dyDescent="0.25">
      <c r="BM6860" s="81"/>
      <c r="BN6860" s="81"/>
      <c r="BO6860" s="81"/>
      <c r="BP6860" s="81"/>
      <c r="BQ6860" s="81"/>
      <c r="BR6860" s="81"/>
      <c r="BS6860" s="81"/>
      <c r="BT6860" s="81"/>
    </row>
    <row r="6861" spans="65:72" x14ac:dyDescent="0.25">
      <c r="BM6861" s="81"/>
      <c r="BN6861" s="81"/>
      <c r="BO6861" s="81"/>
      <c r="BP6861" s="81"/>
      <c r="BQ6861" s="81"/>
      <c r="BR6861" s="81"/>
      <c r="BS6861" s="81"/>
      <c r="BT6861" s="81"/>
    </row>
    <row r="6862" spans="65:72" x14ac:dyDescent="0.25">
      <c r="BM6862" s="81"/>
      <c r="BN6862" s="81"/>
      <c r="BO6862" s="81"/>
      <c r="BP6862" s="81"/>
      <c r="BQ6862" s="81"/>
      <c r="BR6862" s="81"/>
      <c r="BS6862" s="81"/>
      <c r="BT6862" s="81"/>
    </row>
    <row r="6863" spans="65:72" x14ac:dyDescent="0.25">
      <c r="BM6863" s="81"/>
      <c r="BN6863" s="81"/>
      <c r="BO6863" s="81"/>
      <c r="BP6863" s="81"/>
      <c r="BQ6863" s="81"/>
      <c r="BR6863" s="81"/>
      <c r="BS6863" s="81"/>
      <c r="BT6863" s="81"/>
    </row>
    <row r="6864" spans="65:72" x14ac:dyDescent="0.25">
      <c r="BM6864" s="81"/>
      <c r="BN6864" s="81"/>
      <c r="BO6864" s="81"/>
      <c r="BP6864" s="81"/>
      <c r="BQ6864" s="81"/>
      <c r="BR6864" s="81"/>
      <c r="BS6864" s="81"/>
      <c r="BT6864" s="81"/>
    </row>
    <row r="6865" spans="65:72" x14ac:dyDescent="0.25">
      <c r="BM6865" s="81"/>
      <c r="BN6865" s="81"/>
      <c r="BO6865" s="81"/>
      <c r="BP6865" s="81"/>
      <c r="BQ6865" s="81"/>
      <c r="BR6865" s="81"/>
      <c r="BS6865" s="81"/>
      <c r="BT6865" s="81"/>
    </row>
    <row r="6866" spans="65:72" x14ac:dyDescent="0.25">
      <c r="BM6866" s="81"/>
      <c r="BN6866" s="81"/>
      <c r="BO6866" s="81"/>
      <c r="BP6866" s="81"/>
      <c r="BQ6866" s="81"/>
      <c r="BR6866" s="81"/>
      <c r="BS6866" s="81"/>
      <c r="BT6866" s="81"/>
    </row>
    <row r="6867" spans="65:72" x14ac:dyDescent="0.25">
      <c r="BM6867" s="81"/>
      <c r="BN6867" s="81"/>
      <c r="BO6867" s="81"/>
      <c r="BP6867" s="81"/>
      <c r="BQ6867" s="81"/>
      <c r="BR6867" s="81"/>
      <c r="BS6867" s="81"/>
      <c r="BT6867" s="81"/>
    </row>
    <row r="6868" spans="65:72" x14ac:dyDescent="0.25">
      <c r="BM6868" s="81"/>
      <c r="BN6868" s="81"/>
      <c r="BO6868" s="81"/>
      <c r="BP6868" s="81"/>
      <c r="BQ6868" s="81"/>
      <c r="BR6868" s="81"/>
      <c r="BS6868" s="81"/>
      <c r="BT6868" s="81"/>
    </row>
    <row r="6869" spans="65:72" x14ac:dyDescent="0.25">
      <c r="BM6869" s="81"/>
      <c r="BN6869" s="81"/>
      <c r="BO6869" s="81"/>
      <c r="BP6869" s="81"/>
      <c r="BQ6869" s="81"/>
      <c r="BR6869" s="81"/>
      <c r="BS6869" s="81"/>
      <c r="BT6869" s="81"/>
    </row>
    <row r="6870" spans="65:72" x14ac:dyDescent="0.25">
      <c r="BM6870" s="81"/>
      <c r="BN6870" s="81"/>
      <c r="BO6870" s="81"/>
      <c r="BP6870" s="81"/>
      <c r="BQ6870" s="81"/>
      <c r="BR6870" s="81"/>
      <c r="BS6870" s="81"/>
      <c r="BT6870" s="81"/>
    </row>
    <row r="6871" spans="65:72" x14ac:dyDescent="0.25">
      <c r="BM6871" s="81"/>
      <c r="BN6871" s="81"/>
      <c r="BO6871" s="81"/>
      <c r="BP6871" s="81"/>
      <c r="BQ6871" s="81"/>
      <c r="BR6871" s="81"/>
      <c r="BS6871" s="81"/>
      <c r="BT6871" s="81"/>
    </row>
    <row r="6872" spans="65:72" x14ac:dyDescent="0.25">
      <c r="BM6872" s="81"/>
      <c r="BN6872" s="81"/>
      <c r="BO6872" s="81"/>
      <c r="BP6872" s="81"/>
      <c r="BQ6872" s="81"/>
      <c r="BR6872" s="81"/>
      <c r="BS6872" s="81"/>
      <c r="BT6872" s="81"/>
    </row>
    <row r="6873" spans="65:72" x14ac:dyDescent="0.25">
      <c r="BM6873" s="81"/>
      <c r="BN6873" s="81"/>
      <c r="BO6873" s="81"/>
      <c r="BP6873" s="81"/>
      <c r="BQ6873" s="81"/>
      <c r="BR6873" s="81"/>
      <c r="BS6873" s="81"/>
      <c r="BT6873" s="81"/>
    </row>
    <row r="6874" spans="65:72" x14ac:dyDescent="0.25">
      <c r="BM6874" s="81"/>
      <c r="BN6874" s="81"/>
      <c r="BO6874" s="81"/>
      <c r="BP6874" s="81"/>
      <c r="BQ6874" s="81"/>
      <c r="BR6874" s="81"/>
      <c r="BS6874" s="81"/>
      <c r="BT6874" s="81"/>
    </row>
    <row r="6875" spans="65:72" x14ac:dyDescent="0.25">
      <c r="BM6875" s="81"/>
      <c r="BN6875" s="81"/>
      <c r="BO6875" s="81"/>
      <c r="BP6875" s="81"/>
      <c r="BQ6875" s="81"/>
      <c r="BR6875" s="81"/>
      <c r="BS6875" s="81"/>
      <c r="BT6875" s="81"/>
    </row>
    <row r="6876" spans="65:72" x14ac:dyDescent="0.25">
      <c r="BM6876" s="81"/>
      <c r="BN6876" s="81"/>
      <c r="BO6876" s="81"/>
      <c r="BP6876" s="81"/>
      <c r="BQ6876" s="81"/>
      <c r="BR6876" s="81"/>
      <c r="BS6876" s="81"/>
      <c r="BT6876" s="81"/>
    </row>
    <row r="6877" spans="65:72" x14ac:dyDescent="0.25">
      <c r="BM6877" s="81"/>
      <c r="BN6877" s="81"/>
      <c r="BO6877" s="81"/>
      <c r="BP6877" s="81"/>
      <c r="BQ6877" s="81"/>
      <c r="BR6877" s="81"/>
      <c r="BS6877" s="81"/>
      <c r="BT6877" s="81"/>
    </row>
    <row r="6878" spans="65:72" x14ac:dyDescent="0.25">
      <c r="BM6878" s="81"/>
      <c r="BN6878" s="81"/>
      <c r="BO6878" s="81"/>
      <c r="BP6878" s="81"/>
      <c r="BQ6878" s="81"/>
      <c r="BR6878" s="81"/>
      <c r="BS6878" s="81"/>
      <c r="BT6878" s="81"/>
    </row>
    <row r="6879" spans="65:72" x14ac:dyDescent="0.25">
      <c r="BM6879" s="81"/>
      <c r="BN6879" s="81"/>
      <c r="BO6879" s="81"/>
      <c r="BP6879" s="81"/>
      <c r="BQ6879" s="81"/>
      <c r="BR6879" s="81"/>
      <c r="BS6879" s="81"/>
      <c r="BT6879" s="81"/>
    </row>
    <row r="6880" spans="65:72" x14ac:dyDescent="0.25">
      <c r="BM6880" s="81"/>
      <c r="BN6880" s="81"/>
      <c r="BO6880" s="81"/>
      <c r="BP6880" s="81"/>
      <c r="BQ6880" s="81"/>
      <c r="BR6880" s="81"/>
      <c r="BS6880" s="81"/>
      <c r="BT6880" s="81"/>
    </row>
    <row r="6881" spans="65:72" x14ac:dyDescent="0.25">
      <c r="BM6881" s="81"/>
      <c r="BN6881" s="81"/>
      <c r="BO6881" s="81"/>
      <c r="BP6881" s="81"/>
      <c r="BQ6881" s="81"/>
      <c r="BR6881" s="81"/>
      <c r="BS6881" s="81"/>
      <c r="BT6881" s="81"/>
    </row>
    <row r="6882" spans="65:72" x14ac:dyDescent="0.25">
      <c r="BM6882" s="81"/>
      <c r="BN6882" s="81"/>
      <c r="BO6882" s="81"/>
      <c r="BP6882" s="81"/>
      <c r="BQ6882" s="81"/>
      <c r="BR6882" s="81"/>
      <c r="BS6882" s="81"/>
      <c r="BT6882" s="81"/>
    </row>
    <row r="6883" spans="65:72" x14ac:dyDescent="0.25">
      <c r="BM6883" s="81"/>
      <c r="BN6883" s="81"/>
      <c r="BO6883" s="81"/>
      <c r="BP6883" s="81"/>
      <c r="BQ6883" s="81"/>
      <c r="BR6883" s="81"/>
      <c r="BS6883" s="81"/>
      <c r="BT6883" s="81"/>
    </row>
    <row r="6884" spans="65:72" x14ac:dyDescent="0.25">
      <c r="BM6884" s="81"/>
      <c r="BN6884" s="81"/>
      <c r="BO6884" s="81"/>
      <c r="BP6884" s="81"/>
      <c r="BQ6884" s="81"/>
      <c r="BR6884" s="81"/>
      <c r="BS6884" s="81"/>
      <c r="BT6884" s="81"/>
    </row>
    <row r="6885" spans="65:72" x14ac:dyDescent="0.25">
      <c r="BM6885" s="81"/>
      <c r="BN6885" s="81"/>
      <c r="BO6885" s="81"/>
      <c r="BP6885" s="81"/>
      <c r="BQ6885" s="81"/>
      <c r="BR6885" s="81"/>
      <c r="BS6885" s="81"/>
      <c r="BT6885" s="81"/>
    </row>
    <row r="6886" spans="65:72" x14ac:dyDescent="0.25">
      <c r="BM6886" s="81"/>
      <c r="BN6886" s="81"/>
      <c r="BO6886" s="81"/>
      <c r="BP6886" s="81"/>
      <c r="BQ6886" s="81"/>
      <c r="BR6886" s="81"/>
      <c r="BS6886" s="81"/>
      <c r="BT6886" s="81"/>
    </row>
    <row r="6887" spans="65:72" x14ac:dyDescent="0.25">
      <c r="BM6887" s="81"/>
      <c r="BN6887" s="81"/>
      <c r="BO6887" s="81"/>
      <c r="BP6887" s="81"/>
      <c r="BQ6887" s="81"/>
      <c r="BR6887" s="81"/>
      <c r="BS6887" s="81"/>
      <c r="BT6887" s="81"/>
    </row>
    <row r="6888" spans="65:72" x14ac:dyDescent="0.25">
      <c r="BM6888" s="81"/>
      <c r="BN6888" s="81"/>
      <c r="BO6888" s="81"/>
      <c r="BP6888" s="81"/>
      <c r="BQ6888" s="81"/>
      <c r="BR6888" s="81"/>
      <c r="BS6888" s="81"/>
      <c r="BT6888" s="81"/>
    </row>
    <row r="6889" spans="65:72" x14ac:dyDescent="0.25">
      <c r="BM6889" s="81"/>
      <c r="BN6889" s="81"/>
      <c r="BO6889" s="81"/>
      <c r="BP6889" s="81"/>
      <c r="BQ6889" s="81"/>
      <c r="BR6889" s="81"/>
      <c r="BS6889" s="81"/>
      <c r="BT6889" s="81"/>
    </row>
    <row r="6890" spans="65:72" x14ac:dyDescent="0.25">
      <c r="BM6890" s="81"/>
      <c r="BN6890" s="81"/>
      <c r="BO6890" s="81"/>
      <c r="BP6890" s="81"/>
      <c r="BQ6890" s="81"/>
      <c r="BR6890" s="81"/>
      <c r="BS6890" s="81"/>
      <c r="BT6890" s="81"/>
    </row>
    <row r="6891" spans="65:72" x14ac:dyDescent="0.25">
      <c r="BM6891" s="81"/>
      <c r="BN6891" s="81"/>
      <c r="BO6891" s="81"/>
      <c r="BP6891" s="81"/>
      <c r="BQ6891" s="81"/>
      <c r="BR6891" s="81"/>
      <c r="BS6891" s="81"/>
      <c r="BT6891" s="81"/>
    </row>
    <row r="6892" spans="65:72" x14ac:dyDescent="0.25">
      <c r="BM6892" s="81"/>
      <c r="BN6892" s="81"/>
      <c r="BO6892" s="81"/>
      <c r="BP6892" s="81"/>
      <c r="BQ6892" s="81"/>
      <c r="BR6892" s="81"/>
      <c r="BS6892" s="81"/>
      <c r="BT6892" s="81"/>
    </row>
    <row r="6893" spans="65:72" x14ac:dyDescent="0.25">
      <c r="BM6893" s="81"/>
      <c r="BN6893" s="81"/>
      <c r="BO6893" s="81"/>
      <c r="BP6893" s="81"/>
      <c r="BQ6893" s="81"/>
      <c r="BR6893" s="81"/>
      <c r="BS6893" s="81"/>
      <c r="BT6893" s="81"/>
    </row>
    <row r="6894" spans="65:72" x14ac:dyDescent="0.25">
      <c r="BM6894" s="81"/>
      <c r="BN6894" s="81"/>
      <c r="BO6894" s="81"/>
      <c r="BP6894" s="81"/>
      <c r="BQ6894" s="81"/>
      <c r="BR6894" s="81"/>
      <c r="BS6894" s="81"/>
      <c r="BT6894" s="81"/>
    </row>
    <row r="6895" spans="65:72" x14ac:dyDescent="0.25">
      <c r="BM6895" s="81"/>
      <c r="BN6895" s="81"/>
      <c r="BO6895" s="81"/>
      <c r="BP6895" s="81"/>
      <c r="BQ6895" s="81"/>
      <c r="BR6895" s="81"/>
      <c r="BS6895" s="81"/>
      <c r="BT6895" s="81"/>
    </row>
    <row r="6896" spans="65:72" x14ac:dyDescent="0.25">
      <c r="BM6896" s="81"/>
      <c r="BN6896" s="81"/>
      <c r="BO6896" s="81"/>
      <c r="BP6896" s="81"/>
      <c r="BQ6896" s="81"/>
      <c r="BR6896" s="81"/>
      <c r="BS6896" s="81"/>
      <c r="BT6896" s="81"/>
    </row>
    <row r="6897" spans="65:72" x14ac:dyDescent="0.25">
      <c r="BM6897" s="81"/>
      <c r="BN6897" s="81"/>
      <c r="BO6897" s="81"/>
      <c r="BP6897" s="81"/>
      <c r="BQ6897" s="81"/>
      <c r="BR6897" s="81"/>
      <c r="BS6897" s="81"/>
      <c r="BT6897" s="81"/>
    </row>
    <row r="6898" spans="65:72" x14ac:dyDescent="0.25">
      <c r="BM6898" s="81"/>
      <c r="BN6898" s="81"/>
      <c r="BO6898" s="81"/>
      <c r="BP6898" s="81"/>
      <c r="BQ6898" s="81"/>
      <c r="BR6898" s="81"/>
      <c r="BS6898" s="81"/>
      <c r="BT6898" s="81"/>
    </row>
    <row r="6899" spans="65:72" x14ac:dyDescent="0.25">
      <c r="BM6899" s="81"/>
      <c r="BN6899" s="81"/>
      <c r="BO6899" s="81"/>
      <c r="BP6899" s="81"/>
      <c r="BQ6899" s="81"/>
      <c r="BR6899" s="81"/>
      <c r="BS6899" s="81"/>
      <c r="BT6899" s="81"/>
    </row>
    <row r="6900" spans="65:72" x14ac:dyDescent="0.25">
      <c r="BM6900" s="81"/>
      <c r="BN6900" s="81"/>
      <c r="BO6900" s="81"/>
      <c r="BP6900" s="81"/>
      <c r="BQ6900" s="81"/>
      <c r="BR6900" s="81"/>
      <c r="BS6900" s="81"/>
      <c r="BT6900" s="81"/>
    </row>
    <row r="6901" spans="65:72" x14ac:dyDescent="0.25">
      <c r="BM6901" s="81"/>
      <c r="BN6901" s="81"/>
      <c r="BO6901" s="81"/>
      <c r="BP6901" s="81"/>
      <c r="BQ6901" s="81"/>
      <c r="BR6901" s="81"/>
      <c r="BS6901" s="81"/>
      <c r="BT6901" s="81"/>
    </row>
    <row r="6902" spans="65:72" x14ac:dyDescent="0.25">
      <c r="BM6902" s="81"/>
      <c r="BN6902" s="81"/>
      <c r="BO6902" s="81"/>
      <c r="BP6902" s="81"/>
      <c r="BQ6902" s="81"/>
      <c r="BR6902" s="81"/>
      <c r="BS6902" s="81"/>
      <c r="BT6902" s="81"/>
    </row>
    <row r="6903" spans="65:72" x14ac:dyDescent="0.25">
      <c r="BM6903" s="81"/>
      <c r="BN6903" s="81"/>
      <c r="BO6903" s="81"/>
      <c r="BP6903" s="81"/>
      <c r="BQ6903" s="81"/>
      <c r="BR6903" s="81"/>
      <c r="BS6903" s="81"/>
      <c r="BT6903" s="81"/>
    </row>
    <row r="6904" spans="65:72" x14ac:dyDescent="0.25">
      <c r="BM6904" s="81"/>
      <c r="BN6904" s="81"/>
      <c r="BO6904" s="81"/>
      <c r="BP6904" s="81"/>
      <c r="BQ6904" s="81"/>
      <c r="BR6904" s="81"/>
      <c r="BS6904" s="81"/>
      <c r="BT6904" s="81"/>
    </row>
    <row r="6905" spans="65:72" x14ac:dyDescent="0.25">
      <c r="BM6905" s="81"/>
      <c r="BN6905" s="81"/>
      <c r="BO6905" s="81"/>
      <c r="BP6905" s="81"/>
      <c r="BQ6905" s="81"/>
      <c r="BR6905" s="81"/>
      <c r="BS6905" s="81"/>
      <c r="BT6905" s="81"/>
    </row>
    <row r="6906" spans="65:72" x14ac:dyDescent="0.25">
      <c r="BM6906" s="81"/>
      <c r="BN6906" s="81"/>
      <c r="BO6906" s="81"/>
      <c r="BP6906" s="81"/>
      <c r="BQ6906" s="81"/>
      <c r="BR6906" s="81"/>
      <c r="BS6906" s="81"/>
      <c r="BT6906" s="81"/>
    </row>
    <row r="6907" spans="65:72" x14ac:dyDescent="0.25">
      <c r="BM6907" s="81"/>
      <c r="BN6907" s="81"/>
      <c r="BO6907" s="81"/>
      <c r="BP6907" s="81"/>
      <c r="BQ6907" s="81"/>
      <c r="BR6907" s="81"/>
      <c r="BS6907" s="81"/>
      <c r="BT6907" s="81"/>
    </row>
    <row r="6908" spans="65:72" x14ac:dyDescent="0.25">
      <c r="BM6908" s="81"/>
      <c r="BN6908" s="81"/>
      <c r="BO6908" s="81"/>
      <c r="BP6908" s="81"/>
      <c r="BQ6908" s="81"/>
      <c r="BR6908" s="81"/>
      <c r="BS6908" s="81"/>
      <c r="BT6908" s="81"/>
    </row>
    <row r="6909" spans="65:72" x14ac:dyDescent="0.25">
      <c r="BM6909" s="81"/>
      <c r="BN6909" s="81"/>
      <c r="BO6909" s="81"/>
      <c r="BP6909" s="81"/>
      <c r="BQ6909" s="81"/>
      <c r="BR6909" s="81"/>
      <c r="BS6909" s="81"/>
      <c r="BT6909" s="81"/>
    </row>
    <row r="6910" spans="65:72" x14ac:dyDescent="0.25">
      <c r="BM6910" s="81"/>
      <c r="BN6910" s="81"/>
      <c r="BO6910" s="81"/>
      <c r="BP6910" s="81"/>
      <c r="BQ6910" s="81"/>
      <c r="BR6910" s="81"/>
      <c r="BS6910" s="81"/>
      <c r="BT6910" s="81"/>
    </row>
    <row r="6911" spans="65:72" x14ac:dyDescent="0.25">
      <c r="BM6911" s="81"/>
      <c r="BN6911" s="81"/>
      <c r="BO6911" s="81"/>
      <c r="BP6911" s="81"/>
      <c r="BQ6911" s="81"/>
      <c r="BR6911" s="81"/>
      <c r="BS6911" s="81"/>
      <c r="BT6911" s="81"/>
    </row>
    <row r="6912" spans="65:72" x14ac:dyDescent="0.25">
      <c r="BM6912" s="81"/>
      <c r="BN6912" s="81"/>
      <c r="BO6912" s="81"/>
      <c r="BP6912" s="81"/>
      <c r="BQ6912" s="81"/>
      <c r="BR6912" s="81"/>
      <c r="BS6912" s="81"/>
      <c r="BT6912" s="81"/>
    </row>
    <row r="6913" spans="65:72" x14ac:dyDescent="0.25">
      <c r="BM6913" s="81"/>
      <c r="BN6913" s="81"/>
      <c r="BO6913" s="81"/>
      <c r="BP6913" s="81"/>
      <c r="BQ6913" s="81"/>
      <c r="BR6913" s="81"/>
      <c r="BS6913" s="81"/>
      <c r="BT6913" s="81"/>
    </row>
    <row r="6914" spans="65:72" x14ac:dyDescent="0.25">
      <c r="BM6914" s="81"/>
      <c r="BN6914" s="81"/>
      <c r="BO6914" s="81"/>
      <c r="BP6914" s="81"/>
      <c r="BQ6914" s="81"/>
      <c r="BR6914" s="81"/>
      <c r="BS6914" s="81"/>
      <c r="BT6914" s="81"/>
    </row>
    <row r="6915" spans="65:72" x14ac:dyDescent="0.25">
      <c r="BM6915" s="81"/>
      <c r="BN6915" s="81"/>
      <c r="BO6915" s="81"/>
      <c r="BP6915" s="81"/>
      <c r="BQ6915" s="81"/>
      <c r="BR6915" s="81"/>
      <c r="BS6915" s="81"/>
      <c r="BT6915" s="81"/>
    </row>
    <row r="6916" spans="65:72" x14ac:dyDescent="0.25">
      <c r="BM6916" s="81"/>
      <c r="BN6916" s="81"/>
      <c r="BO6916" s="81"/>
      <c r="BP6916" s="81"/>
      <c r="BQ6916" s="81"/>
      <c r="BR6916" s="81"/>
      <c r="BS6916" s="81"/>
      <c r="BT6916" s="81"/>
    </row>
    <row r="6917" spans="65:72" x14ac:dyDescent="0.25">
      <c r="BM6917" s="81"/>
      <c r="BN6917" s="81"/>
      <c r="BO6917" s="81"/>
      <c r="BP6917" s="81"/>
      <c r="BQ6917" s="81"/>
      <c r="BR6917" s="81"/>
      <c r="BS6917" s="81"/>
      <c r="BT6917" s="81"/>
    </row>
    <row r="6918" spans="65:72" x14ac:dyDescent="0.25">
      <c r="BM6918" s="81"/>
      <c r="BN6918" s="81"/>
      <c r="BO6918" s="81"/>
      <c r="BP6918" s="81"/>
      <c r="BQ6918" s="81"/>
      <c r="BR6918" s="81"/>
      <c r="BS6918" s="81"/>
      <c r="BT6918" s="81"/>
    </row>
    <row r="6919" spans="65:72" x14ac:dyDescent="0.25">
      <c r="BM6919" s="81"/>
      <c r="BN6919" s="81"/>
      <c r="BO6919" s="81"/>
      <c r="BP6919" s="81"/>
      <c r="BQ6919" s="81"/>
      <c r="BR6919" s="81"/>
      <c r="BS6919" s="81"/>
      <c r="BT6919" s="81"/>
    </row>
    <row r="6920" spans="65:72" x14ac:dyDescent="0.25">
      <c r="BM6920" s="81"/>
      <c r="BN6920" s="81"/>
      <c r="BO6920" s="81"/>
      <c r="BP6920" s="81"/>
      <c r="BQ6920" s="81"/>
      <c r="BR6920" s="81"/>
      <c r="BS6920" s="81"/>
      <c r="BT6920" s="81"/>
    </row>
    <row r="6921" spans="65:72" x14ac:dyDescent="0.25">
      <c r="BM6921" s="81"/>
      <c r="BN6921" s="81"/>
      <c r="BO6921" s="81"/>
      <c r="BP6921" s="81"/>
      <c r="BQ6921" s="81"/>
      <c r="BR6921" s="81"/>
      <c r="BS6921" s="81"/>
      <c r="BT6921" s="81"/>
    </row>
    <row r="6922" spans="65:72" x14ac:dyDescent="0.25">
      <c r="BM6922" s="81"/>
      <c r="BN6922" s="81"/>
      <c r="BO6922" s="81"/>
      <c r="BP6922" s="81"/>
      <c r="BQ6922" s="81"/>
      <c r="BR6922" s="81"/>
      <c r="BS6922" s="81"/>
      <c r="BT6922" s="81"/>
    </row>
    <row r="6923" spans="65:72" x14ac:dyDescent="0.25">
      <c r="BM6923" s="81"/>
      <c r="BN6923" s="81"/>
      <c r="BO6923" s="81"/>
      <c r="BP6923" s="81"/>
      <c r="BQ6923" s="81"/>
      <c r="BR6923" s="81"/>
      <c r="BS6923" s="81"/>
      <c r="BT6923" s="81"/>
    </row>
    <row r="6924" spans="65:72" x14ac:dyDescent="0.25">
      <c r="BM6924" s="81"/>
      <c r="BN6924" s="81"/>
      <c r="BO6924" s="81"/>
      <c r="BP6924" s="81"/>
      <c r="BQ6924" s="81"/>
      <c r="BR6924" s="81"/>
      <c r="BS6924" s="81"/>
      <c r="BT6924" s="81"/>
    </row>
    <row r="6925" spans="65:72" x14ac:dyDescent="0.25">
      <c r="BM6925" s="81"/>
      <c r="BN6925" s="81"/>
      <c r="BO6925" s="81"/>
      <c r="BP6925" s="81"/>
      <c r="BQ6925" s="81"/>
      <c r="BR6925" s="81"/>
      <c r="BS6925" s="81"/>
      <c r="BT6925" s="81"/>
    </row>
    <row r="6926" spans="65:72" x14ac:dyDescent="0.25">
      <c r="BM6926" s="81"/>
      <c r="BN6926" s="81"/>
      <c r="BO6926" s="81"/>
      <c r="BP6926" s="81"/>
      <c r="BQ6926" s="81"/>
      <c r="BR6926" s="81"/>
      <c r="BS6926" s="81"/>
      <c r="BT6926" s="81"/>
    </row>
    <row r="6927" spans="65:72" x14ac:dyDescent="0.25">
      <c r="BM6927" s="81"/>
      <c r="BN6927" s="81"/>
      <c r="BO6927" s="81"/>
      <c r="BP6927" s="81"/>
      <c r="BQ6927" s="81"/>
      <c r="BR6927" s="81"/>
      <c r="BS6927" s="81"/>
      <c r="BT6927" s="81"/>
    </row>
    <row r="6928" spans="65:72" x14ac:dyDescent="0.25">
      <c r="BM6928" s="81"/>
      <c r="BN6928" s="81"/>
      <c r="BO6928" s="81"/>
      <c r="BP6928" s="81"/>
      <c r="BQ6928" s="81"/>
      <c r="BR6928" s="81"/>
      <c r="BS6928" s="81"/>
      <c r="BT6928" s="81"/>
    </row>
    <row r="6929" spans="65:72" x14ac:dyDescent="0.25">
      <c r="BM6929" s="81"/>
      <c r="BN6929" s="81"/>
      <c r="BO6929" s="81"/>
      <c r="BP6929" s="81"/>
      <c r="BQ6929" s="81"/>
      <c r="BR6929" s="81"/>
      <c r="BS6929" s="81"/>
      <c r="BT6929" s="81"/>
    </row>
    <row r="6930" spans="65:72" x14ac:dyDescent="0.25">
      <c r="BM6930" s="81"/>
      <c r="BN6930" s="81"/>
      <c r="BO6930" s="81"/>
      <c r="BP6930" s="81"/>
      <c r="BQ6930" s="81"/>
      <c r="BR6930" s="81"/>
      <c r="BS6930" s="81"/>
      <c r="BT6930" s="81"/>
    </row>
    <row r="6931" spans="65:72" x14ac:dyDescent="0.25">
      <c r="BM6931" s="81"/>
      <c r="BN6931" s="81"/>
      <c r="BO6931" s="81"/>
      <c r="BP6931" s="81"/>
      <c r="BQ6931" s="81"/>
      <c r="BR6931" s="81"/>
      <c r="BS6931" s="81"/>
      <c r="BT6931" s="81"/>
    </row>
    <row r="6932" spans="65:72" x14ac:dyDescent="0.25">
      <c r="BM6932" s="81"/>
      <c r="BN6932" s="81"/>
      <c r="BO6932" s="81"/>
      <c r="BP6932" s="81"/>
      <c r="BQ6932" s="81"/>
      <c r="BR6932" s="81"/>
      <c r="BS6932" s="81"/>
      <c r="BT6932" s="81"/>
    </row>
    <row r="6933" spans="65:72" x14ac:dyDescent="0.25">
      <c r="BM6933" s="81"/>
      <c r="BN6933" s="81"/>
      <c r="BO6933" s="81"/>
      <c r="BP6933" s="81"/>
      <c r="BQ6933" s="81"/>
      <c r="BR6933" s="81"/>
      <c r="BS6933" s="81"/>
      <c r="BT6933" s="81"/>
    </row>
    <row r="6934" spans="65:72" x14ac:dyDescent="0.25">
      <c r="BM6934" s="81"/>
      <c r="BN6934" s="81"/>
      <c r="BO6934" s="81"/>
      <c r="BP6934" s="81"/>
      <c r="BQ6934" s="81"/>
      <c r="BR6934" s="81"/>
      <c r="BS6934" s="81"/>
      <c r="BT6934" s="81"/>
    </row>
    <row r="6935" spans="65:72" x14ac:dyDescent="0.25">
      <c r="BM6935" s="81"/>
      <c r="BN6935" s="81"/>
      <c r="BO6935" s="81"/>
      <c r="BP6935" s="81"/>
      <c r="BQ6935" s="81"/>
      <c r="BR6935" s="81"/>
      <c r="BS6935" s="81"/>
      <c r="BT6935" s="81"/>
    </row>
    <row r="6936" spans="65:72" x14ac:dyDescent="0.25">
      <c r="BM6936" s="81"/>
      <c r="BN6936" s="81"/>
      <c r="BO6936" s="81"/>
      <c r="BP6936" s="81"/>
      <c r="BQ6936" s="81"/>
      <c r="BR6936" s="81"/>
      <c r="BS6936" s="81"/>
      <c r="BT6936" s="81"/>
    </row>
    <row r="6937" spans="65:72" x14ac:dyDescent="0.25">
      <c r="BM6937" s="81"/>
      <c r="BN6937" s="81"/>
      <c r="BO6937" s="81"/>
      <c r="BP6937" s="81"/>
      <c r="BQ6937" s="81"/>
      <c r="BR6937" s="81"/>
      <c r="BS6937" s="81"/>
      <c r="BT6937" s="81"/>
    </row>
    <row r="6938" spans="65:72" x14ac:dyDescent="0.25">
      <c r="BM6938" s="81"/>
      <c r="BN6938" s="81"/>
      <c r="BO6938" s="81"/>
      <c r="BP6938" s="81"/>
      <c r="BQ6938" s="81"/>
      <c r="BR6938" s="81"/>
      <c r="BS6938" s="81"/>
      <c r="BT6938" s="81"/>
    </row>
    <row r="6939" spans="65:72" x14ac:dyDescent="0.25">
      <c r="BM6939" s="81"/>
      <c r="BN6939" s="81"/>
      <c r="BO6939" s="81"/>
      <c r="BP6939" s="81"/>
      <c r="BQ6939" s="81"/>
      <c r="BR6939" s="81"/>
      <c r="BS6939" s="81"/>
      <c r="BT6939" s="81"/>
    </row>
    <row r="6940" spans="65:72" x14ac:dyDescent="0.25">
      <c r="BM6940" s="81"/>
      <c r="BN6940" s="81"/>
      <c r="BO6940" s="81"/>
      <c r="BP6940" s="81"/>
      <c r="BQ6940" s="81"/>
      <c r="BR6940" s="81"/>
      <c r="BS6940" s="81"/>
      <c r="BT6940" s="81"/>
    </row>
    <row r="6941" spans="65:72" x14ac:dyDescent="0.25">
      <c r="BM6941" s="81"/>
      <c r="BN6941" s="81"/>
      <c r="BO6941" s="81"/>
      <c r="BP6941" s="81"/>
      <c r="BQ6941" s="81"/>
      <c r="BR6941" s="81"/>
      <c r="BS6941" s="81"/>
      <c r="BT6941" s="81"/>
    </row>
    <row r="6942" spans="65:72" x14ac:dyDescent="0.25">
      <c r="BM6942" s="81"/>
      <c r="BN6942" s="81"/>
      <c r="BO6942" s="81"/>
      <c r="BP6942" s="81"/>
      <c r="BQ6942" s="81"/>
      <c r="BR6942" s="81"/>
      <c r="BS6942" s="81"/>
      <c r="BT6942" s="81"/>
    </row>
    <row r="6943" spans="65:72" x14ac:dyDescent="0.25">
      <c r="BM6943" s="81"/>
      <c r="BN6943" s="81"/>
      <c r="BO6943" s="81"/>
      <c r="BP6943" s="81"/>
      <c r="BQ6943" s="81"/>
      <c r="BR6943" s="81"/>
      <c r="BS6943" s="81"/>
      <c r="BT6943" s="81"/>
    </row>
    <row r="6944" spans="65:72" x14ac:dyDescent="0.25">
      <c r="BM6944" s="81"/>
      <c r="BN6944" s="81"/>
      <c r="BO6944" s="81"/>
      <c r="BP6944" s="81"/>
      <c r="BQ6944" s="81"/>
      <c r="BR6944" s="81"/>
      <c r="BS6944" s="81"/>
      <c r="BT6944" s="81"/>
    </row>
    <row r="6945" spans="65:72" x14ac:dyDescent="0.25">
      <c r="BM6945" s="81"/>
      <c r="BN6945" s="81"/>
      <c r="BO6945" s="81"/>
      <c r="BP6945" s="81"/>
      <c r="BQ6945" s="81"/>
      <c r="BR6945" s="81"/>
      <c r="BS6945" s="81"/>
      <c r="BT6945" s="81"/>
    </row>
    <row r="6946" spans="65:72" x14ac:dyDescent="0.25">
      <c r="BM6946" s="81"/>
      <c r="BN6946" s="81"/>
      <c r="BO6946" s="81"/>
      <c r="BP6946" s="81"/>
      <c r="BQ6946" s="81"/>
      <c r="BR6946" s="81"/>
      <c r="BS6946" s="81"/>
      <c r="BT6946" s="81"/>
    </row>
    <row r="6947" spans="65:72" x14ac:dyDescent="0.25">
      <c r="BM6947" s="81"/>
      <c r="BN6947" s="81"/>
      <c r="BO6947" s="81"/>
      <c r="BP6947" s="81"/>
      <c r="BQ6947" s="81"/>
      <c r="BR6947" s="81"/>
      <c r="BS6947" s="81"/>
      <c r="BT6947" s="81"/>
    </row>
    <row r="6948" spans="65:72" x14ac:dyDescent="0.25">
      <c r="BM6948" s="81"/>
      <c r="BN6948" s="81"/>
      <c r="BO6948" s="81"/>
      <c r="BP6948" s="81"/>
      <c r="BQ6948" s="81"/>
      <c r="BR6948" s="81"/>
      <c r="BS6948" s="81"/>
      <c r="BT6948" s="81"/>
    </row>
    <row r="6949" spans="65:72" x14ac:dyDescent="0.25">
      <c r="BM6949" s="81"/>
      <c r="BN6949" s="81"/>
      <c r="BO6949" s="81"/>
      <c r="BP6949" s="81"/>
      <c r="BQ6949" s="81"/>
      <c r="BR6949" s="81"/>
      <c r="BS6949" s="81"/>
      <c r="BT6949" s="81"/>
    </row>
    <row r="6950" spans="65:72" x14ac:dyDescent="0.25">
      <c r="BM6950" s="81"/>
      <c r="BN6950" s="81"/>
      <c r="BO6950" s="81"/>
      <c r="BP6950" s="81"/>
      <c r="BQ6950" s="81"/>
      <c r="BR6950" s="81"/>
      <c r="BS6950" s="81"/>
      <c r="BT6950" s="81"/>
    </row>
    <row r="6951" spans="65:72" x14ac:dyDescent="0.25">
      <c r="BM6951" s="81"/>
      <c r="BN6951" s="81"/>
      <c r="BO6951" s="81"/>
      <c r="BP6951" s="81"/>
      <c r="BQ6951" s="81"/>
      <c r="BR6951" s="81"/>
      <c r="BS6951" s="81"/>
      <c r="BT6951" s="81"/>
    </row>
    <row r="6952" spans="65:72" x14ac:dyDescent="0.25">
      <c r="BM6952" s="81"/>
      <c r="BN6952" s="81"/>
      <c r="BO6952" s="81"/>
      <c r="BP6952" s="81"/>
      <c r="BQ6952" s="81"/>
      <c r="BR6952" s="81"/>
      <c r="BS6952" s="81"/>
      <c r="BT6952" s="81"/>
    </row>
    <row r="6953" spans="65:72" x14ac:dyDescent="0.25">
      <c r="BM6953" s="81"/>
      <c r="BN6953" s="81"/>
      <c r="BO6953" s="81"/>
      <c r="BP6953" s="81"/>
      <c r="BQ6953" s="81"/>
      <c r="BR6953" s="81"/>
      <c r="BS6953" s="81"/>
      <c r="BT6953" s="81"/>
    </row>
    <row r="6954" spans="65:72" x14ac:dyDescent="0.25">
      <c r="BM6954" s="81"/>
      <c r="BN6954" s="81"/>
      <c r="BO6954" s="81"/>
      <c r="BP6954" s="81"/>
      <c r="BQ6954" s="81"/>
      <c r="BR6954" s="81"/>
      <c r="BS6954" s="81"/>
      <c r="BT6954" s="81"/>
    </row>
    <row r="6955" spans="65:72" x14ac:dyDescent="0.25">
      <c r="BM6955" s="81"/>
      <c r="BN6955" s="81"/>
      <c r="BO6955" s="81"/>
      <c r="BP6955" s="81"/>
      <c r="BQ6955" s="81"/>
      <c r="BR6955" s="81"/>
      <c r="BS6955" s="81"/>
      <c r="BT6955" s="81"/>
    </row>
    <row r="6956" spans="65:72" x14ac:dyDescent="0.25">
      <c r="BM6956" s="81"/>
      <c r="BN6956" s="81"/>
      <c r="BO6956" s="81"/>
      <c r="BP6956" s="81"/>
      <c r="BQ6956" s="81"/>
      <c r="BR6956" s="81"/>
      <c r="BS6956" s="81"/>
      <c r="BT6956" s="81"/>
    </row>
    <row r="6957" spans="65:72" x14ac:dyDescent="0.25">
      <c r="BM6957" s="81"/>
      <c r="BN6957" s="81"/>
      <c r="BO6957" s="81"/>
      <c r="BP6957" s="81"/>
      <c r="BQ6957" s="81"/>
      <c r="BR6957" s="81"/>
      <c r="BS6957" s="81"/>
      <c r="BT6957" s="81"/>
    </row>
    <row r="6958" spans="65:72" x14ac:dyDescent="0.25">
      <c r="BM6958" s="81"/>
      <c r="BN6958" s="81"/>
      <c r="BO6958" s="81"/>
      <c r="BP6958" s="81"/>
      <c r="BQ6958" s="81"/>
      <c r="BR6958" s="81"/>
      <c r="BS6958" s="81"/>
      <c r="BT6958" s="81"/>
    </row>
    <row r="6959" spans="65:72" x14ac:dyDescent="0.25">
      <c r="BM6959" s="81"/>
      <c r="BN6959" s="81"/>
      <c r="BO6959" s="81"/>
      <c r="BP6959" s="81"/>
      <c r="BQ6959" s="81"/>
      <c r="BR6959" s="81"/>
      <c r="BS6959" s="81"/>
      <c r="BT6959" s="81"/>
    </row>
    <row r="6960" spans="65:72" x14ac:dyDescent="0.25">
      <c r="BM6960" s="81"/>
      <c r="BN6960" s="81"/>
      <c r="BO6960" s="81"/>
      <c r="BP6960" s="81"/>
      <c r="BQ6960" s="81"/>
      <c r="BR6960" s="81"/>
      <c r="BS6960" s="81"/>
      <c r="BT6960" s="81"/>
    </row>
    <row r="6961" spans="65:72" x14ac:dyDescent="0.25">
      <c r="BM6961" s="81"/>
      <c r="BN6961" s="81"/>
      <c r="BO6961" s="81"/>
      <c r="BP6961" s="81"/>
      <c r="BQ6961" s="81"/>
      <c r="BR6961" s="81"/>
      <c r="BS6961" s="81"/>
      <c r="BT6961" s="81"/>
    </row>
    <row r="6962" spans="65:72" x14ac:dyDescent="0.25">
      <c r="BM6962" s="81"/>
      <c r="BN6962" s="81"/>
      <c r="BO6962" s="81"/>
      <c r="BP6962" s="81"/>
      <c r="BQ6962" s="81"/>
      <c r="BR6962" s="81"/>
      <c r="BS6962" s="81"/>
      <c r="BT6962" s="81"/>
    </row>
    <row r="6963" spans="65:72" x14ac:dyDescent="0.25">
      <c r="BM6963" s="81"/>
      <c r="BN6963" s="81"/>
      <c r="BO6963" s="81"/>
      <c r="BP6963" s="81"/>
      <c r="BQ6963" s="81"/>
      <c r="BR6963" s="81"/>
      <c r="BS6963" s="81"/>
      <c r="BT6963" s="81"/>
    </row>
    <row r="6964" spans="65:72" x14ac:dyDescent="0.25">
      <c r="BM6964" s="81"/>
      <c r="BN6964" s="81"/>
      <c r="BO6964" s="81"/>
      <c r="BP6964" s="81"/>
      <c r="BQ6964" s="81"/>
      <c r="BR6964" s="81"/>
      <c r="BS6964" s="81"/>
      <c r="BT6964" s="81"/>
    </row>
    <row r="6965" spans="65:72" x14ac:dyDescent="0.25">
      <c r="BM6965" s="81"/>
      <c r="BN6965" s="81"/>
      <c r="BO6965" s="81"/>
      <c r="BP6965" s="81"/>
      <c r="BQ6965" s="81"/>
      <c r="BR6965" s="81"/>
      <c r="BS6965" s="81"/>
      <c r="BT6965" s="81"/>
    </row>
    <row r="6966" spans="65:72" x14ac:dyDescent="0.25">
      <c r="BM6966" s="81"/>
      <c r="BN6966" s="81"/>
      <c r="BO6966" s="81"/>
      <c r="BP6966" s="81"/>
      <c r="BQ6966" s="81"/>
      <c r="BR6966" s="81"/>
      <c r="BS6966" s="81"/>
      <c r="BT6966" s="81"/>
    </row>
    <row r="6967" spans="65:72" x14ac:dyDescent="0.25">
      <c r="BM6967" s="81"/>
      <c r="BN6967" s="81"/>
      <c r="BO6967" s="81"/>
      <c r="BP6967" s="81"/>
      <c r="BQ6967" s="81"/>
      <c r="BR6967" s="81"/>
      <c r="BS6967" s="81"/>
      <c r="BT6967" s="81"/>
    </row>
    <row r="6968" spans="65:72" x14ac:dyDescent="0.25">
      <c r="BM6968" s="81"/>
      <c r="BN6968" s="81"/>
      <c r="BO6968" s="81"/>
      <c r="BP6968" s="81"/>
      <c r="BQ6968" s="81"/>
      <c r="BR6968" s="81"/>
      <c r="BS6968" s="81"/>
      <c r="BT6968" s="81"/>
    </row>
    <row r="6969" spans="65:72" x14ac:dyDescent="0.25">
      <c r="BM6969" s="81"/>
      <c r="BN6969" s="81"/>
      <c r="BO6969" s="81"/>
      <c r="BP6969" s="81"/>
      <c r="BQ6969" s="81"/>
      <c r="BR6969" s="81"/>
      <c r="BS6969" s="81"/>
      <c r="BT6969" s="81"/>
    </row>
    <row r="6970" spans="65:72" x14ac:dyDescent="0.25">
      <c r="BM6970" s="81"/>
      <c r="BN6970" s="81"/>
      <c r="BO6970" s="81"/>
      <c r="BP6970" s="81"/>
      <c r="BQ6970" s="81"/>
      <c r="BR6970" s="81"/>
      <c r="BS6970" s="81"/>
      <c r="BT6970" s="81"/>
    </row>
    <row r="6971" spans="65:72" x14ac:dyDescent="0.25">
      <c r="BM6971" s="81"/>
      <c r="BN6971" s="81"/>
      <c r="BO6971" s="81"/>
      <c r="BP6971" s="81"/>
      <c r="BQ6971" s="81"/>
      <c r="BR6971" s="81"/>
      <c r="BS6971" s="81"/>
      <c r="BT6971" s="81"/>
    </row>
    <row r="6972" spans="65:72" x14ac:dyDescent="0.25">
      <c r="BM6972" s="81"/>
      <c r="BN6972" s="81"/>
      <c r="BO6972" s="81"/>
      <c r="BP6972" s="81"/>
      <c r="BQ6972" s="81"/>
      <c r="BR6972" s="81"/>
      <c r="BS6972" s="81"/>
      <c r="BT6972" s="81"/>
    </row>
    <row r="6973" spans="65:72" x14ac:dyDescent="0.25">
      <c r="BM6973" s="81"/>
      <c r="BN6973" s="81"/>
      <c r="BO6973" s="81"/>
      <c r="BP6973" s="81"/>
      <c r="BQ6973" s="81"/>
      <c r="BR6973" s="81"/>
      <c r="BS6973" s="81"/>
      <c r="BT6973" s="81"/>
    </row>
    <row r="6974" spans="65:72" x14ac:dyDescent="0.25">
      <c r="BM6974" s="81"/>
      <c r="BN6974" s="81"/>
      <c r="BO6974" s="81"/>
      <c r="BP6974" s="81"/>
      <c r="BQ6974" s="81"/>
      <c r="BR6974" s="81"/>
      <c r="BS6974" s="81"/>
      <c r="BT6974" s="81"/>
    </row>
    <row r="6975" spans="65:72" x14ac:dyDescent="0.25">
      <c r="BM6975" s="81"/>
      <c r="BN6975" s="81"/>
      <c r="BO6975" s="81"/>
      <c r="BP6975" s="81"/>
      <c r="BQ6975" s="81"/>
      <c r="BR6975" s="81"/>
      <c r="BS6975" s="81"/>
      <c r="BT6975" s="81"/>
    </row>
    <row r="6976" spans="65:72" x14ac:dyDescent="0.25">
      <c r="BM6976" s="81"/>
      <c r="BN6976" s="81"/>
      <c r="BO6976" s="81"/>
      <c r="BP6976" s="81"/>
      <c r="BQ6976" s="81"/>
      <c r="BR6976" s="81"/>
      <c r="BS6976" s="81"/>
      <c r="BT6976" s="81"/>
    </row>
    <row r="6977" spans="65:72" x14ac:dyDescent="0.25">
      <c r="BM6977" s="81"/>
      <c r="BN6977" s="81"/>
      <c r="BO6977" s="81"/>
      <c r="BP6977" s="81"/>
      <c r="BQ6977" s="81"/>
      <c r="BR6977" s="81"/>
      <c r="BS6977" s="81"/>
      <c r="BT6977" s="81"/>
    </row>
    <row r="6978" spans="65:72" x14ac:dyDescent="0.25">
      <c r="BM6978" s="81"/>
      <c r="BN6978" s="81"/>
      <c r="BO6978" s="81"/>
      <c r="BP6978" s="81"/>
      <c r="BQ6978" s="81"/>
      <c r="BR6978" s="81"/>
      <c r="BS6978" s="81"/>
      <c r="BT6978" s="81"/>
    </row>
    <row r="6979" spans="65:72" x14ac:dyDescent="0.25">
      <c r="BM6979" s="81"/>
      <c r="BN6979" s="81"/>
      <c r="BO6979" s="81"/>
      <c r="BP6979" s="81"/>
      <c r="BQ6979" s="81"/>
      <c r="BR6979" s="81"/>
      <c r="BS6979" s="81"/>
      <c r="BT6979" s="81"/>
    </row>
    <row r="6980" spans="65:72" x14ac:dyDescent="0.25">
      <c r="BM6980" s="81"/>
      <c r="BN6980" s="81"/>
      <c r="BO6980" s="81"/>
      <c r="BP6980" s="81"/>
      <c r="BQ6980" s="81"/>
      <c r="BR6980" s="81"/>
      <c r="BS6980" s="81"/>
      <c r="BT6980" s="81"/>
    </row>
    <row r="6981" spans="65:72" x14ac:dyDescent="0.25">
      <c r="BM6981" s="81"/>
      <c r="BN6981" s="81"/>
      <c r="BO6981" s="81"/>
      <c r="BP6981" s="81"/>
      <c r="BQ6981" s="81"/>
      <c r="BR6981" s="81"/>
      <c r="BS6981" s="81"/>
      <c r="BT6981" s="81"/>
    </row>
    <row r="6982" spans="65:72" x14ac:dyDescent="0.25">
      <c r="BM6982" s="81"/>
      <c r="BN6982" s="81"/>
      <c r="BO6982" s="81"/>
      <c r="BP6982" s="81"/>
      <c r="BQ6982" s="81"/>
      <c r="BR6982" s="81"/>
      <c r="BS6982" s="81"/>
      <c r="BT6982" s="81"/>
    </row>
    <row r="6983" spans="65:72" x14ac:dyDescent="0.25">
      <c r="BM6983" s="81"/>
      <c r="BN6983" s="81"/>
      <c r="BO6983" s="81"/>
      <c r="BP6983" s="81"/>
      <c r="BQ6983" s="81"/>
      <c r="BR6983" s="81"/>
      <c r="BS6983" s="81"/>
      <c r="BT6983" s="81"/>
    </row>
    <row r="6984" spans="65:72" x14ac:dyDescent="0.25">
      <c r="BM6984" s="81"/>
      <c r="BN6984" s="81"/>
      <c r="BO6984" s="81"/>
      <c r="BP6984" s="81"/>
      <c r="BQ6984" s="81"/>
      <c r="BR6984" s="81"/>
      <c r="BS6984" s="81"/>
      <c r="BT6984" s="81"/>
    </row>
    <row r="6985" spans="65:72" x14ac:dyDescent="0.25">
      <c r="BM6985" s="81"/>
      <c r="BN6985" s="81"/>
      <c r="BO6985" s="81"/>
      <c r="BP6985" s="81"/>
      <c r="BQ6985" s="81"/>
      <c r="BR6985" s="81"/>
      <c r="BS6985" s="81"/>
      <c r="BT6985" s="81"/>
    </row>
    <row r="6986" spans="65:72" x14ac:dyDescent="0.25">
      <c r="BM6986" s="81"/>
      <c r="BN6986" s="81"/>
      <c r="BO6986" s="81"/>
      <c r="BP6986" s="81"/>
      <c r="BQ6986" s="81"/>
      <c r="BR6986" s="81"/>
      <c r="BS6986" s="81"/>
      <c r="BT6986" s="81"/>
    </row>
    <row r="6987" spans="65:72" x14ac:dyDescent="0.25">
      <c r="BM6987" s="81"/>
      <c r="BN6987" s="81"/>
      <c r="BO6987" s="81"/>
      <c r="BP6987" s="81"/>
      <c r="BQ6987" s="81"/>
      <c r="BR6987" s="81"/>
      <c r="BS6987" s="81"/>
      <c r="BT6987" s="81"/>
    </row>
    <row r="6988" spans="65:72" x14ac:dyDescent="0.25">
      <c r="BM6988" s="81"/>
      <c r="BN6988" s="81"/>
      <c r="BO6988" s="81"/>
      <c r="BP6988" s="81"/>
      <c r="BQ6988" s="81"/>
      <c r="BR6988" s="81"/>
      <c r="BS6988" s="81"/>
      <c r="BT6988" s="81"/>
    </row>
    <row r="6989" spans="65:72" x14ac:dyDescent="0.25">
      <c r="BM6989" s="81"/>
      <c r="BN6989" s="81"/>
      <c r="BO6989" s="81"/>
      <c r="BP6989" s="81"/>
      <c r="BQ6989" s="81"/>
      <c r="BR6989" s="81"/>
      <c r="BS6989" s="81"/>
      <c r="BT6989" s="81"/>
    </row>
    <row r="6990" spans="65:72" x14ac:dyDescent="0.25">
      <c r="BM6990" s="81"/>
      <c r="BN6990" s="81"/>
      <c r="BO6990" s="81"/>
      <c r="BP6990" s="81"/>
      <c r="BQ6990" s="81"/>
      <c r="BR6990" s="81"/>
      <c r="BS6990" s="81"/>
      <c r="BT6990" s="81"/>
    </row>
    <row r="6991" spans="65:72" x14ac:dyDescent="0.25">
      <c r="BM6991" s="81"/>
      <c r="BN6991" s="81"/>
      <c r="BO6991" s="81"/>
      <c r="BP6991" s="81"/>
      <c r="BQ6991" s="81"/>
      <c r="BR6991" s="81"/>
      <c r="BS6991" s="81"/>
      <c r="BT6991" s="81"/>
    </row>
    <row r="6992" spans="65:72" x14ac:dyDescent="0.25">
      <c r="BM6992" s="81"/>
      <c r="BN6992" s="81"/>
      <c r="BO6992" s="81"/>
      <c r="BP6992" s="81"/>
      <c r="BQ6992" s="81"/>
      <c r="BR6992" s="81"/>
      <c r="BS6992" s="81"/>
      <c r="BT6992" s="81"/>
    </row>
    <row r="6993" spans="65:72" x14ac:dyDescent="0.25">
      <c r="BM6993" s="81"/>
      <c r="BN6993" s="81"/>
      <c r="BO6993" s="81"/>
      <c r="BP6993" s="81"/>
      <c r="BQ6993" s="81"/>
      <c r="BR6993" s="81"/>
      <c r="BS6993" s="81"/>
      <c r="BT6993" s="81"/>
    </row>
    <row r="6994" spans="65:72" x14ac:dyDescent="0.25">
      <c r="BM6994" s="81"/>
      <c r="BN6994" s="81"/>
      <c r="BO6994" s="81"/>
      <c r="BP6994" s="81"/>
      <c r="BQ6994" s="81"/>
      <c r="BR6994" s="81"/>
      <c r="BS6994" s="81"/>
      <c r="BT6994" s="81"/>
    </row>
    <row r="6995" spans="65:72" x14ac:dyDescent="0.25">
      <c r="BM6995" s="81"/>
      <c r="BN6995" s="81"/>
      <c r="BO6995" s="81"/>
      <c r="BP6995" s="81"/>
      <c r="BQ6995" s="81"/>
      <c r="BR6995" s="81"/>
      <c r="BS6995" s="81"/>
      <c r="BT6995" s="81"/>
    </row>
    <row r="6996" spans="65:72" x14ac:dyDescent="0.25">
      <c r="BM6996" s="81"/>
      <c r="BN6996" s="81"/>
      <c r="BO6996" s="81"/>
      <c r="BP6996" s="81"/>
      <c r="BQ6996" s="81"/>
      <c r="BR6996" s="81"/>
      <c r="BS6996" s="81"/>
      <c r="BT6996" s="81"/>
    </row>
    <row r="6997" spans="65:72" x14ac:dyDescent="0.25">
      <c r="BM6997" s="81"/>
      <c r="BN6997" s="81"/>
      <c r="BO6997" s="81"/>
      <c r="BP6997" s="81"/>
      <c r="BQ6997" s="81"/>
      <c r="BR6997" s="81"/>
      <c r="BS6997" s="81"/>
      <c r="BT6997" s="81"/>
    </row>
    <row r="6998" spans="65:72" x14ac:dyDescent="0.25">
      <c r="BM6998" s="81"/>
      <c r="BN6998" s="81"/>
      <c r="BO6998" s="81"/>
      <c r="BP6998" s="81"/>
      <c r="BQ6998" s="81"/>
      <c r="BR6998" s="81"/>
      <c r="BS6998" s="81"/>
      <c r="BT6998" s="81"/>
    </row>
    <row r="6999" spans="65:72" x14ac:dyDescent="0.25">
      <c r="BM6999" s="81"/>
      <c r="BN6999" s="81"/>
      <c r="BO6999" s="81"/>
      <c r="BP6999" s="81"/>
      <c r="BQ6999" s="81"/>
      <c r="BR6999" s="81"/>
      <c r="BS6999" s="81"/>
      <c r="BT6999" s="81"/>
    </row>
    <row r="7000" spans="65:72" x14ac:dyDescent="0.25">
      <c r="BM7000" s="81"/>
      <c r="BN7000" s="81"/>
      <c r="BO7000" s="81"/>
      <c r="BP7000" s="81"/>
      <c r="BQ7000" s="81"/>
      <c r="BR7000" s="81"/>
      <c r="BS7000" s="81"/>
      <c r="BT7000" s="81"/>
    </row>
    <row r="7001" spans="65:72" x14ac:dyDescent="0.25">
      <c r="BM7001" s="81"/>
      <c r="BN7001" s="81"/>
      <c r="BO7001" s="81"/>
      <c r="BP7001" s="81"/>
      <c r="BQ7001" s="81"/>
      <c r="BR7001" s="81"/>
      <c r="BS7001" s="81"/>
      <c r="BT7001" s="81"/>
    </row>
    <row r="7002" spans="65:72" x14ac:dyDescent="0.25">
      <c r="BM7002" s="81"/>
      <c r="BN7002" s="81"/>
      <c r="BO7002" s="81"/>
      <c r="BP7002" s="81"/>
      <c r="BQ7002" s="81"/>
      <c r="BR7002" s="81"/>
      <c r="BS7002" s="81"/>
      <c r="BT7002" s="81"/>
    </row>
    <row r="7003" spans="65:72" x14ac:dyDescent="0.25">
      <c r="BM7003" s="81"/>
      <c r="BN7003" s="81"/>
      <c r="BO7003" s="81"/>
      <c r="BP7003" s="81"/>
      <c r="BQ7003" s="81"/>
      <c r="BR7003" s="81"/>
      <c r="BS7003" s="81"/>
      <c r="BT7003" s="81"/>
    </row>
    <row r="7004" spans="65:72" x14ac:dyDescent="0.25">
      <c r="BM7004" s="81"/>
      <c r="BN7004" s="81"/>
      <c r="BO7004" s="81"/>
      <c r="BP7004" s="81"/>
      <c r="BQ7004" s="81"/>
      <c r="BR7004" s="81"/>
      <c r="BS7004" s="81"/>
      <c r="BT7004" s="81"/>
    </row>
    <row r="7005" spans="65:72" x14ac:dyDescent="0.25">
      <c r="BM7005" s="81"/>
      <c r="BN7005" s="81"/>
      <c r="BO7005" s="81"/>
      <c r="BP7005" s="81"/>
      <c r="BQ7005" s="81"/>
      <c r="BR7005" s="81"/>
      <c r="BS7005" s="81"/>
      <c r="BT7005" s="81"/>
    </row>
    <row r="7006" spans="65:72" x14ac:dyDescent="0.25">
      <c r="BM7006" s="81"/>
      <c r="BN7006" s="81"/>
      <c r="BO7006" s="81"/>
      <c r="BP7006" s="81"/>
      <c r="BQ7006" s="81"/>
      <c r="BR7006" s="81"/>
      <c r="BS7006" s="81"/>
      <c r="BT7006" s="81"/>
    </row>
    <row r="7007" spans="65:72" x14ac:dyDescent="0.25">
      <c r="BM7007" s="81"/>
      <c r="BN7007" s="81"/>
      <c r="BO7007" s="81"/>
      <c r="BP7007" s="81"/>
      <c r="BQ7007" s="81"/>
      <c r="BR7007" s="81"/>
      <c r="BS7007" s="81"/>
      <c r="BT7007" s="81"/>
    </row>
    <row r="7008" spans="65:72" x14ac:dyDescent="0.25">
      <c r="BM7008" s="81"/>
      <c r="BN7008" s="81"/>
      <c r="BO7008" s="81"/>
      <c r="BP7008" s="81"/>
      <c r="BQ7008" s="81"/>
      <c r="BR7008" s="81"/>
      <c r="BS7008" s="81"/>
      <c r="BT7008" s="81"/>
    </row>
    <row r="7009" spans="65:72" x14ac:dyDescent="0.25">
      <c r="BM7009" s="81"/>
      <c r="BN7009" s="81"/>
      <c r="BO7009" s="81"/>
      <c r="BP7009" s="81"/>
      <c r="BQ7009" s="81"/>
      <c r="BR7009" s="81"/>
      <c r="BS7009" s="81"/>
      <c r="BT7009" s="81"/>
    </row>
    <row r="7010" spans="65:72" x14ac:dyDescent="0.25">
      <c r="BM7010" s="81"/>
      <c r="BN7010" s="81"/>
      <c r="BO7010" s="81"/>
      <c r="BP7010" s="81"/>
      <c r="BQ7010" s="81"/>
      <c r="BR7010" s="81"/>
      <c r="BS7010" s="81"/>
      <c r="BT7010" s="81"/>
    </row>
    <row r="7011" spans="65:72" x14ac:dyDescent="0.25">
      <c r="BM7011" s="81"/>
      <c r="BN7011" s="81"/>
      <c r="BO7011" s="81"/>
      <c r="BP7011" s="81"/>
      <c r="BQ7011" s="81"/>
      <c r="BR7011" s="81"/>
      <c r="BS7011" s="81"/>
      <c r="BT7011" s="81"/>
    </row>
    <row r="7012" spans="65:72" x14ac:dyDescent="0.25">
      <c r="BM7012" s="81"/>
      <c r="BN7012" s="81"/>
      <c r="BO7012" s="81"/>
      <c r="BP7012" s="81"/>
      <c r="BQ7012" s="81"/>
      <c r="BR7012" s="81"/>
      <c r="BS7012" s="81"/>
      <c r="BT7012" s="81"/>
    </row>
    <row r="7013" spans="65:72" x14ac:dyDescent="0.25">
      <c r="BM7013" s="81"/>
      <c r="BN7013" s="81"/>
      <c r="BO7013" s="81"/>
      <c r="BP7013" s="81"/>
      <c r="BQ7013" s="81"/>
      <c r="BR7013" s="81"/>
      <c r="BS7013" s="81"/>
      <c r="BT7013" s="81"/>
    </row>
    <row r="7014" spans="65:72" x14ac:dyDescent="0.25">
      <c r="BM7014" s="81"/>
      <c r="BN7014" s="81"/>
      <c r="BO7014" s="81"/>
      <c r="BP7014" s="81"/>
      <c r="BQ7014" s="81"/>
      <c r="BR7014" s="81"/>
      <c r="BS7014" s="81"/>
      <c r="BT7014" s="81"/>
    </row>
    <row r="7015" spans="65:72" x14ac:dyDescent="0.25">
      <c r="BM7015" s="81"/>
      <c r="BN7015" s="81"/>
      <c r="BO7015" s="81"/>
      <c r="BP7015" s="81"/>
      <c r="BQ7015" s="81"/>
      <c r="BR7015" s="81"/>
      <c r="BS7015" s="81"/>
      <c r="BT7015" s="81"/>
    </row>
    <row r="7016" spans="65:72" x14ac:dyDescent="0.25">
      <c r="BM7016" s="81"/>
      <c r="BN7016" s="81"/>
      <c r="BO7016" s="81"/>
      <c r="BP7016" s="81"/>
      <c r="BQ7016" s="81"/>
      <c r="BR7016" s="81"/>
      <c r="BS7016" s="81"/>
      <c r="BT7016" s="81"/>
    </row>
    <row r="7017" spans="65:72" x14ac:dyDescent="0.25">
      <c r="BM7017" s="81"/>
      <c r="BN7017" s="81"/>
      <c r="BO7017" s="81"/>
      <c r="BP7017" s="81"/>
      <c r="BQ7017" s="81"/>
      <c r="BR7017" s="81"/>
      <c r="BS7017" s="81"/>
      <c r="BT7017" s="81"/>
    </row>
    <row r="7018" spans="65:72" x14ac:dyDescent="0.25">
      <c r="BM7018" s="81"/>
      <c r="BN7018" s="81"/>
      <c r="BO7018" s="81"/>
      <c r="BP7018" s="81"/>
      <c r="BQ7018" s="81"/>
      <c r="BR7018" s="81"/>
      <c r="BS7018" s="81"/>
      <c r="BT7018" s="81"/>
    </row>
    <row r="7019" spans="65:72" x14ac:dyDescent="0.25">
      <c r="BM7019" s="81"/>
      <c r="BN7019" s="81"/>
      <c r="BO7019" s="81"/>
      <c r="BP7019" s="81"/>
      <c r="BQ7019" s="81"/>
      <c r="BR7019" s="81"/>
      <c r="BS7019" s="81"/>
      <c r="BT7019" s="81"/>
    </row>
    <row r="7020" spans="65:72" x14ac:dyDescent="0.25">
      <c r="BM7020" s="81"/>
      <c r="BN7020" s="81"/>
      <c r="BO7020" s="81"/>
      <c r="BP7020" s="81"/>
      <c r="BQ7020" s="81"/>
      <c r="BR7020" s="81"/>
      <c r="BS7020" s="81"/>
      <c r="BT7020" s="81"/>
    </row>
    <row r="7021" spans="65:72" x14ac:dyDescent="0.25">
      <c r="BM7021" s="81"/>
      <c r="BN7021" s="81"/>
      <c r="BO7021" s="81"/>
      <c r="BP7021" s="81"/>
      <c r="BQ7021" s="81"/>
      <c r="BR7021" s="81"/>
      <c r="BS7021" s="81"/>
      <c r="BT7021" s="81"/>
    </row>
    <row r="7022" spans="65:72" x14ac:dyDescent="0.25">
      <c r="BM7022" s="81"/>
      <c r="BN7022" s="81"/>
      <c r="BO7022" s="81"/>
      <c r="BP7022" s="81"/>
      <c r="BQ7022" s="81"/>
      <c r="BR7022" s="81"/>
      <c r="BS7022" s="81"/>
      <c r="BT7022" s="81"/>
    </row>
    <row r="7023" spans="65:72" x14ac:dyDescent="0.25">
      <c r="BM7023" s="81"/>
      <c r="BN7023" s="81"/>
      <c r="BO7023" s="81"/>
      <c r="BP7023" s="81"/>
      <c r="BQ7023" s="81"/>
      <c r="BR7023" s="81"/>
      <c r="BS7023" s="81"/>
      <c r="BT7023" s="81"/>
    </row>
    <row r="7024" spans="65:72" x14ac:dyDescent="0.25">
      <c r="BM7024" s="81"/>
      <c r="BN7024" s="81"/>
      <c r="BO7024" s="81"/>
      <c r="BP7024" s="81"/>
      <c r="BQ7024" s="81"/>
      <c r="BR7024" s="81"/>
      <c r="BS7024" s="81"/>
      <c r="BT7024" s="81"/>
    </row>
    <row r="7025" spans="65:72" x14ac:dyDescent="0.25">
      <c r="BM7025" s="81"/>
      <c r="BN7025" s="81"/>
      <c r="BO7025" s="81"/>
      <c r="BP7025" s="81"/>
      <c r="BQ7025" s="81"/>
      <c r="BR7025" s="81"/>
      <c r="BS7025" s="81"/>
      <c r="BT7025" s="81"/>
    </row>
    <row r="7026" spans="65:72" x14ac:dyDescent="0.25">
      <c r="BM7026" s="81"/>
      <c r="BN7026" s="81"/>
      <c r="BO7026" s="81"/>
      <c r="BP7026" s="81"/>
      <c r="BQ7026" s="81"/>
      <c r="BR7026" s="81"/>
      <c r="BS7026" s="81"/>
      <c r="BT7026" s="81"/>
    </row>
    <row r="7027" spans="65:72" x14ac:dyDescent="0.25">
      <c r="BM7027" s="81"/>
      <c r="BN7027" s="81"/>
      <c r="BO7027" s="81"/>
      <c r="BP7027" s="81"/>
      <c r="BQ7027" s="81"/>
      <c r="BR7027" s="81"/>
      <c r="BS7027" s="81"/>
      <c r="BT7027" s="81"/>
    </row>
    <row r="7028" spans="65:72" x14ac:dyDescent="0.25">
      <c r="BM7028" s="81"/>
      <c r="BN7028" s="81"/>
      <c r="BO7028" s="81"/>
      <c r="BP7028" s="81"/>
      <c r="BQ7028" s="81"/>
      <c r="BR7028" s="81"/>
      <c r="BS7028" s="81"/>
      <c r="BT7028" s="81"/>
    </row>
    <row r="7029" spans="65:72" x14ac:dyDescent="0.25">
      <c r="BM7029" s="81"/>
      <c r="BN7029" s="81"/>
      <c r="BO7029" s="81"/>
      <c r="BP7029" s="81"/>
      <c r="BQ7029" s="81"/>
      <c r="BR7029" s="81"/>
      <c r="BS7029" s="81"/>
      <c r="BT7029" s="81"/>
    </row>
    <row r="7030" spans="65:72" x14ac:dyDescent="0.25">
      <c r="BM7030" s="81"/>
      <c r="BN7030" s="81"/>
      <c r="BO7030" s="81"/>
      <c r="BP7030" s="81"/>
      <c r="BQ7030" s="81"/>
      <c r="BR7030" s="81"/>
      <c r="BS7030" s="81"/>
      <c r="BT7030" s="81"/>
    </row>
    <row r="7031" spans="65:72" x14ac:dyDescent="0.25">
      <c r="BM7031" s="81"/>
      <c r="BN7031" s="81"/>
      <c r="BO7031" s="81"/>
      <c r="BP7031" s="81"/>
      <c r="BQ7031" s="81"/>
      <c r="BR7031" s="81"/>
      <c r="BS7031" s="81"/>
      <c r="BT7031" s="81"/>
    </row>
    <row r="7032" spans="65:72" x14ac:dyDescent="0.25">
      <c r="BM7032" s="81"/>
      <c r="BN7032" s="81"/>
      <c r="BO7032" s="81"/>
      <c r="BP7032" s="81"/>
      <c r="BQ7032" s="81"/>
      <c r="BR7032" s="81"/>
      <c r="BS7032" s="81"/>
      <c r="BT7032" s="81"/>
    </row>
    <row r="7033" spans="65:72" x14ac:dyDescent="0.25">
      <c r="BM7033" s="81"/>
      <c r="BN7033" s="81"/>
      <c r="BO7033" s="81"/>
      <c r="BP7033" s="81"/>
      <c r="BQ7033" s="81"/>
      <c r="BR7033" s="81"/>
      <c r="BS7033" s="81"/>
      <c r="BT7033" s="81"/>
    </row>
    <row r="7034" spans="65:72" x14ac:dyDescent="0.25">
      <c r="BM7034" s="81"/>
      <c r="BN7034" s="81"/>
      <c r="BO7034" s="81"/>
      <c r="BP7034" s="81"/>
      <c r="BQ7034" s="81"/>
      <c r="BR7034" s="81"/>
      <c r="BS7034" s="81"/>
      <c r="BT7034" s="81"/>
    </row>
    <row r="7035" spans="65:72" x14ac:dyDescent="0.25">
      <c r="BM7035" s="81"/>
      <c r="BN7035" s="81"/>
      <c r="BO7035" s="81"/>
      <c r="BP7035" s="81"/>
      <c r="BQ7035" s="81"/>
      <c r="BR7035" s="81"/>
      <c r="BS7035" s="81"/>
      <c r="BT7035" s="81"/>
    </row>
    <row r="7036" spans="65:72" x14ac:dyDescent="0.25">
      <c r="BM7036" s="81"/>
      <c r="BN7036" s="81"/>
      <c r="BO7036" s="81"/>
      <c r="BP7036" s="81"/>
      <c r="BQ7036" s="81"/>
      <c r="BR7036" s="81"/>
      <c r="BS7036" s="81"/>
      <c r="BT7036" s="81"/>
    </row>
    <row r="7037" spans="65:72" x14ac:dyDescent="0.25">
      <c r="BM7037" s="81"/>
      <c r="BN7037" s="81"/>
      <c r="BO7037" s="81"/>
      <c r="BP7037" s="81"/>
      <c r="BQ7037" s="81"/>
      <c r="BR7037" s="81"/>
      <c r="BS7037" s="81"/>
      <c r="BT7037" s="81"/>
    </row>
    <row r="7038" spans="65:72" x14ac:dyDescent="0.25">
      <c r="BM7038" s="81"/>
      <c r="BN7038" s="81"/>
      <c r="BO7038" s="81"/>
      <c r="BP7038" s="81"/>
      <c r="BQ7038" s="81"/>
      <c r="BR7038" s="81"/>
      <c r="BS7038" s="81"/>
      <c r="BT7038" s="81"/>
    </row>
    <row r="7039" spans="65:72" x14ac:dyDescent="0.25">
      <c r="BM7039" s="81"/>
      <c r="BN7039" s="81"/>
      <c r="BO7039" s="81"/>
      <c r="BP7039" s="81"/>
      <c r="BQ7039" s="81"/>
      <c r="BR7039" s="81"/>
      <c r="BS7039" s="81"/>
      <c r="BT7039" s="81"/>
    </row>
    <row r="7040" spans="65:72" x14ac:dyDescent="0.25">
      <c r="BM7040" s="81"/>
      <c r="BN7040" s="81"/>
      <c r="BO7040" s="81"/>
      <c r="BP7040" s="81"/>
      <c r="BQ7040" s="81"/>
      <c r="BR7040" s="81"/>
      <c r="BS7040" s="81"/>
      <c r="BT7040" s="81"/>
    </row>
    <row r="7041" spans="65:72" x14ac:dyDescent="0.25">
      <c r="BM7041" s="81"/>
      <c r="BN7041" s="81"/>
      <c r="BO7041" s="81"/>
      <c r="BP7041" s="81"/>
      <c r="BQ7041" s="81"/>
      <c r="BR7041" s="81"/>
      <c r="BS7041" s="81"/>
      <c r="BT7041" s="81"/>
    </row>
    <row r="7042" spans="65:72" x14ac:dyDescent="0.25">
      <c r="BM7042" s="81"/>
      <c r="BN7042" s="81"/>
      <c r="BO7042" s="81"/>
      <c r="BP7042" s="81"/>
      <c r="BQ7042" s="81"/>
      <c r="BR7042" s="81"/>
      <c r="BS7042" s="81"/>
      <c r="BT7042" s="81"/>
    </row>
    <row r="7043" spans="65:72" x14ac:dyDescent="0.25">
      <c r="BM7043" s="81"/>
      <c r="BN7043" s="81"/>
      <c r="BO7043" s="81"/>
      <c r="BP7043" s="81"/>
      <c r="BQ7043" s="81"/>
      <c r="BR7043" s="81"/>
      <c r="BS7043" s="81"/>
      <c r="BT7043" s="81"/>
    </row>
    <row r="7044" spans="65:72" x14ac:dyDescent="0.25">
      <c r="BM7044" s="81"/>
      <c r="BN7044" s="81"/>
      <c r="BO7044" s="81"/>
      <c r="BP7044" s="81"/>
      <c r="BQ7044" s="81"/>
      <c r="BR7044" s="81"/>
      <c r="BS7044" s="81"/>
      <c r="BT7044" s="81"/>
    </row>
    <row r="7045" spans="65:72" x14ac:dyDescent="0.25">
      <c r="BM7045" s="81"/>
      <c r="BN7045" s="81"/>
      <c r="BO7045" s="81"/>
      <c r="BP7045" s="81"/>
      <c r="BQ7045" s="81"/>
      <c r="BR7045" s="81"/>
      <c r="BS7045" s="81"/>
      <c r="BT7045" s="81"/>
    </row>
    <row r="7046" spans="65:72" x14ac:dyDescent="0.25">
      <c r="BM7046" s="81"/>
      <c r="BN7046" s="81"/>
      <c r="BO7046" s="81"/>
      <c r="BP7046" s="81"/>
      <c r="BQ7046" s="81"/>
      <c r="BR7046" s="81"/>
      <c r="BS7046" s="81"/>
      <c r="BT7046" s="81"/>
    </row>
    <row r="7047" spans="65:72" x14ac:dyDescent="0.25">
      <c r="BM7047" s="81"/>
      <c r="BN7047" s="81"/>
      <c r="BO7047" s="81"/>
      <c r="BP7047" s="81"/>
      <c r="BQ7047" s="81"/>
      <c r="BR7047" s="81"/>
      <c r="BS7047" s="81"/>
      <c r="BT7047" s="81"/>
    </row>
    <row r="7048" spans="65:72" x14ac:dyDescent="0.25">
      <c r="BM7048" s="81"/>
      <c r="BN7048" s="81"/>
      <c r="BO7048" s="81"/>
      <c r="BP7048" s="81"/>
      <c r="BQ7048" s="81"/>
      <c r="BR7048" s="81"/>
      <c r="BS7048" s="81"/>
      <c r="BT7048" s="81"/>
    </row>
    <row r="7049" spans="65:72" x14ac:dyDescent="0.25">
      <c r="BM7049" s="81"/>
      <c r="BN7049" s="81"/>
      <c r="BO7049" s="81"/>
      <c r="BP7049" s="81"/>
      <c r="BQ7049" s="81"/>
      <c r="BR7049" s="81"/>
      <c r="BS7049" s="81"/>
      <c r="BT7049" s="81"/>
    </row>
    <row r="7050" spans="65:72" x14ac:dyDescent="0.25">
      <c r="BM7050" s="81"/>
      <c r="BN7050" s="81"/>
      <c r="BO7050" s="81"/>
      <c r="BP7050" s="81"/>
      <c r="BQ7050" s="81"/>
      <c r="BR7050" s="81"/>
      <c r="BS7050" s="81"/>
      <c r="BT7050" s="81"/>
    </row>
    <row r="7051" spans="65:72" x14ac:dyDescent="0.25">
      <c r="BM7051" s="81"/>
      <c r="BN7051" s="81"/>
      <c r="BO7051" s="81"/>
      <c r="BP7051" s="81"/>
      <c r="BQ7051" s="81"/>
      <c r="BR7051" s="81"/>
      <c r="BS7051" s="81"/>
      <c r="BT7051" s="81"/>
    </row>
    <row r="7052" spans="65:72" x14ac:dyDescent="0.25">
      <c r="BM7052" s="81"/>
      <c r="BN7052" s="81"/>
      <c r="BO7052" s="81"/>
      <c r="BP7052" s="81"/>
      <c r="BQ7052" s="81"/>
      <c r="BR7052" s="81"/>
      <c r="BS7052" s="81"/>
      <c r="BT7052" s="81"/>
    </row>
    <row r="7053" spans="65:72" x14ac:dyDescent="0.25">
      <c r="BM7053" s="81"/>
      <c r="BN7053" s="81"/>
      <c r="BO7053" s="81"/>
      <c r="BP7053" s="81"/>
      <c r="BQ7053" s="81"/>
      <c r="BR7053" s="81"/>
      <c r="BS7053" s="81"/>
      <c r="BT7053" s="81"/>
    </row>
    <row r="7054" spans="65:72" x14ac:dyDescent="0.25">
      <c r="BM7054" s="81"/>
      <c r="BN7054" s="81"/>
      <c r="BO7054" s="81"/>
      <c r="BP7054" s="81"/>
      <c r="BQ7054" s="81"/>
      <c r="BR7054" s="81"/>
      <c r="BS7054" s="81"/>
      <c r="BT7054" s="81"/>
    </row>
    <row r="7055" spans="65:72" x14ac:dyDescent="0.25">
      <c r="BM7055" s="81"/>
      <c r="BN7055" s="81"/>
      <c r="BO7055" s="81"/>
      <c r="BP7055" s="81"/>
      <c r="BQ7055" s="81"/>
      <c r="BR7055" s="81"/>
      <c r="BS7055" s="81"/>
      <c r="BT7055" s="81"/>
    </row>
    <row r="7056" spans="65:72" x14ac:dyDescent="0.25">
      <c r="BM7056" s="81"/>
      <c r="BN7056" s="81"/>
      <c r="BO7056" s="81"/>
      <c r="BP7056" s="81"/>
      <c r="BQ7056" s="81"/>
      <c r="BR7056" s="81"/>
      <c r="BS7056" s="81"/>
      <c r="BT7056" s="81"/>
    </row>
    <row r="7057" spans="65:72" x14ac:dyDescent="0.25">
      <c r="BM7057" s="81"/>
      <c r="BN7057" s="81"/>
      <c r="BO7057" s="81"/>
      <c r="BP7057" s="81"/>
      <c r="BQ7057" s="81"/>
      <c r="BR7057" s="81"/>
      <c r="BS7057" s="81"/>
      <c r="BT7057" s="81"/>
    </row>
    <row r="7058" spans="65:72" x14ac:dyDescent="0.25">
      <c r="BM7058" s="81"/>
      <c r="BN7058" s="81"/>
      <c r="BO7058" s="81"/>
      <c r="BP7058" s="81"/>
      <c r="BQ7058" s="81"/>
      <c r="BR7058" s="81"/>
      <c r="BS7058" s="81"/>
      <c r="BT7058" s="81"/>
    </row>
    <row r="7059" spans="65:72" x14ac:dyDescent="0.25">
      <c r="BM7059" s="81"/>
      <c r="BN7059" s="81"/>
      <c r="BO7059" s="81"/>
      <c r="BP7059" s="81"/>
      <c r="BQ7059" s="81"/>
      <c r="BR7059" s="81"/>
      <c r="BS7059" s="81"/>
      <c r="BT7059" s="81"/>
    </row>
    <row r="7060" spans="65:72" x14ac:dyDescent="0.25">
      <c r="BM7060" s="81"/>
      <c r="BN7060" s="81"/>
      <c r="BO7060" s="81"/>
      <c r="BP7060" s="81"/>
      <c r="BQ7060" s="81"/>
      <c r="BR7060" s="81"/>
      <c r="BS7060" s="81"/>
      <c r="BT7060" s="81"/>
    </row>
    <row r="7061" spans="65:72" x14ac:dyDescent="0.25">
      <c r="BM7061" s="81"/>
      <c r="BN7061" s="81"/>
      <c r="BO7061" s="81"/>
      <c r="BP7061" s="81"/>
      <c r="BQ7061" s="81"/>
      <c r="BR7061" s="81"/>
      <c r="BS7061" s="81"/>
      <c r="BT7061" s="81"/>
    </row>
    <row r="7062" spans="65:72" x14ac:dyDescent="0.25">
      <c r="BM7062" s="81"/>
      <c r="BN7062" s="81"/>
      <c r="BO7062" s="81"/>
      <c r="BP7062" s="81"/>
      <c r="BQ7062" s="81"/>
      <c r="BR7062" s="81"/>
      <c r="BS7062" s="81"/>
      <c r="BT7062" s="81"/>
    </row>
    <row r="7063" spans="65:72" x14ac:dyDescent="0.25">
      <c r="BM7063" s="81"/>
      <c r="BN7063" s="81"/>
      <c r="BO7063" s="81"/>
      <c r="BP7063" s="81"/>
      <c r="BQ7063" s="81"/>
      <c r="BR7063" s="81"/>
      <c r="BS7063" s="81"/>
      <c r="BT7063" s="81"/>
    </row>
    <row r="7064" spans="65:72" x14ac:dyDescent="0.25">
      <c r="BM7064" s="81"/>
      <c r="BN7064" s="81"/>
      <c r="BO7064" s="81"/>
      <c r="BP7064" s="81"/>
      <c r="BQ7064" s="81"/>
      <c r="BR7064" s="81"/>
      <c r="BS7064" s="81"/>
      <c r="BT7064" s="81"/>
    </row>
    <row r="7065" spans="65:72" x14ac:dyDescent="0.25">
      <c r="BM7065" s="81"/>
      <c r="BN7065" s="81"/>
      <c r="BO7065" s="81"/>
      <c r="BP7065" s="81"/>
      <c r="BQ7065" s="81"/>
      <c r="BR7065" s="81"/>
      <c r="BS7065" s="81"/>
      <c r="BT7065" s="81"/>
    </row>
    <row r="7066" spans="65:72" x14ac:dyDescent="0.25">
      <c r="BM7066" s="81"/>
      <c r="BN7066" s="81"/>
      <c r="BO7066" s="81"/>
      <c r="BP7066" s="81"/>
      <c r="BQ7066" s="81"/>
      <c r="BR7066" s="81"/>
      <c r="BS7066" s="81"/>
      <c r="BT7066" s="81"/>
    </row>
    <row r="7067" spans="65:72" x14ac:dyDescent="0.25">
      <c r="BM7067" s="81"/>
      <c r="BN7067" s="81"/>
      <c r="BO7067" s="81"/>
      <c r="BP7067" s="81"/>
      <c r="BQ7067" s="81"/>
      <c r="BR7067" s="81"/>
      <c r="BS7067" s="81"/>
      <c r="BT7067" s="81"/>
    </row>
    <row r="7068" spans="65:72" x14ac:dyDescent="0.25">
      <c r="BM7068" s="81"/>
      <c r="BN7068" s="81"/>
      <c r="BO7068" s="81"/>
      <c r="BP7068" s="81"/>
      <c r="BQ7068" s="81"/>
      <c r="BR7068" s="81"/>
      <c r="BS7068" s="81"/>
      <c r="BT7068" s="81"/>
    </row>
    <row r="7069" spans="65:72" x14ac:dyDescent="0.25">
      <c r="BM7069" s="81"/>
      <c r="BN7069" s="81"/>
      <c r="BO7069" s="81"/>
      <c r="BP7069" s="81"/>
      <c r="BQ7069" s="81"/>
      <c r="BR7069" s="81"/>
      <c r="BS7069" s="81"/>
      <c r="BT7069" s="81"/>
    </row>
    <row r="7070" spans="65:72" x14ac:dyDescent="0.25">
      <c r="BM7070" s="81"/>
      <c r="BN7070" s="81"/>
      <c r="BO7070" s="81"/>
      <c r="BP7070" s="81"/>
      <c r="BQ7070" s="81"/>
      <c r="BR7070" s="81"/>
      <c r="BS7070" s="81"/>
      <c r="BT7070" s="81"/>
    </row>
    <row r="7071" spans="65:72" x14ac:dyDescent="0.25">
      <c r="BM7071" s="81"/>
      <c r="BN7071" s="81"/>
      <c r="BO7071" s="81"/>
      <c r="BP7071" s="81"/>
      <c r="BQ7071" s="81"/>
      <c r="BR7071" s="81"/>
      <c r="BS7071" s="81"/>
      <c r="BT7071" s="81"/>
    </row>
    <row r="7072" spans="65:72" x14ac:dyDescent="0.25">
      <c r="BM7072" s="81"/>
      <c r="BN7072" s="81"/>
      <c r="BO7072" s="81"/>
      <c r="BP7072" s="81"/>
      <c r="BQ7072" s="81"/>
      <c r="BR7072" s="81"/>
      <c r="BS7072" s="81"/>
      <c r="BT7072" s="81"/>
    </row>
    <row r="7073" spans="65:72" x14ac:dyDescent="0.25">
      <c r="BM7073" s="81"/>
      <c r="BN7073" s="81"/>
      <c r="BO7073" s="81"/>
      <c r="BP7073" s="81"/>
      <c r="BQ7073" s="81"/>
      <c r="BR7073" s="81"/>
      <c r="BS7073" s="81"/>
      <c r="BT7073" s="81"/>
    </row>
    <row r="7074" spans="65:72" x14ac:dyDescent="0.25">
      <c r="BM7074" s="81"/>
      <c r="BN7074" s="81"/>
      <c r="BO7074" s="81"/>
      <c r="BP7074" s="81"/>
      <c r="BQ7074" s="81"/>
      <c r="BR7074" s="81"/>
      <c r="BS7074" s="81"/>
      <c r="BT7074" s="81"/>
    </row>
    <row r="7075" spans="65:72" x14ac:dyDescent="0.25">
      <c r="BM7075" s="81"/>
      <c r="BN7075" s="81"/>
      <c r="BO7075" s="81"/>
      <c r="BP7075" s="81"/>
      <c r="BQ7075" s="81"/>
      <c r="BR7075" s="81"/>
      <c r="BS7075" s="81"/>
      <c r="BT7075" s="81"/>
    </row>
    <row r="7076" spans="65:72" x14ac:dyDescent="0.25">
      <c r="BM7076" s="81"/>
      <c r="BN7076" s="81"/>
      <c r="BO7076" s="81"/>
      <c r="BP7076" s="81"/>
      <c r="BQ7076" s="81"/>
      <c r="BR7076" s="81"/>
      <c r="BS7076" s="81"/>
      <c r="BT7076" s="81"/>
    </row>
    <row r="7077" spans="65:72" x14ac:dyDescent="0.25">
      <c r="BM7077" s="81"/>
      <c r="BN7077" s="81"/>
      <c r="BO7077" s="81"/>
      <c r="BP7077" s="81"/>
      <c r="BQ7077" s="81"/>
      <c r="BR7077" s="81"/>
      <c r="BS7077" s="81"/>
      <c r="BT7077" s="81"/>
    </row>
    <row r="7078" spans="65:72" x14ac:dyDescent="0.25">
      <c r="BM7078" s="81"/>
      <c r="BN7078" s="81"/>
      <c r="BO7078" s="81"/>
      <c r="BP7078" s="81"/>
      <c r="BQ7078" s="81"/>
      <c r="BR7078" s="81"/>
      <c r="BS7078" s="81"/>
      <c r="BT7078" s="81"/>
    </row>
    <row r="7079" spans="65:72" x14ac:dyDescent="0.25">
      <c r="BM7079" s="81"/>
      <c r="BN7079" s="81"/>
      <c r="BO7079" s="81"/>
      <c r="BP7079" s="81"/>
      <c r="BQ7079" s="81"/>
      <c r="BR7079" s="81"/>
      <c r="BS7079" s="81"/>
      <c r="BT7079" s="81"/>
    </row>
    <row r="7080" spans="65:72" x14ac:dyDescent="0.25">
      <c r="BM7080" s="81"/>
      <c r="BN7080" s="81"/>
      <c r="BO7080" s="81"/>
      <c r="BP7080" s="81"/>
      <c r="BQ7080" s="81"/>
      <c r="BR7080" s="81"/>
      <c r="BS7080" s="81"/>
      <c r="BT7080" s="81"/>
    </row>
    <row r="7081" spans="65:72" x14ac:dyDescent="0.25">
      <c r="BM7081" s="81"/>
      <c r="BN7081" s="81"/>
      <c r="BO7081" s="81"/>
      <c r="BP7081" s="81"/>
      <c r="BQ7081" s="81"/>
      <c r="BR7081" s="81"/>
      <c r="BS7081" s="81"/>
      <c r="BT7081" s="81"/>
    </row>
    <row r="7082" spans="65:72" x14ac:dyDescent="0.25">
      <c r="BM7082" s="81"/>
      <c r="BN7082" s="81"/>
      <c r="BO7082" s="81"/>
      <c r="BP7082" s="81"/>
      <c r="BQ7082" s="81"/>
      <c r="BR7082" s="81"/>
      <c r="BS7082" s="81"/>
      <c r="BT7082" s="81"/>
    </row>
    <row r="7083" spans="65:72" x14ac:dyDescent="0.25">
      <c r="BM7083" s="81"/>
      <c r="BN7083" s="81"/>
      <c r="BO7083" s="81"/>
      <c r="BP7083" s="81"/>
      <c r="BQ7083" s="81"/>
      <c r="BR7083" s="81"/>
      <c r="BS7083" s="81"/>
      <c r="BT7083" s="81"/>
    </row>
    <row r="7084" spans="65:72" x14ac:dyDescent="0.25">
      <c r="BM7084" s="81"/>
      <c r="BN7084" s="81"/>
      <c r="BO7084" s="81"/>
      <c r="BP7084" s="81"/>
      <c r="BQ7084" s="81"/>
      <c r="BR7084" s="81"/>
      <c r="BS7084" s="81"/>
      <c r="BT7084" s="81"/>
    </row>
    <row r="7085" spans="65:72" x14ac:dyDescent="0.25">
      <c r="BM7085" s="81"/>
      <c r="BN7085" s="81"/>
      <c r="BO7085" s="81"/>
      <c r="BP7085" s="81"/>
      <c r="BQ7085" s="81"/>
      <c r="BR7085" s="81"/>
      <c r="BS7085" s="81"/>
      <c r="BT7085" s="81"/>
    </row>
    <row r="7086" spans="65:72" x14ac:dyDescent="0.25">
      <c r="BM7086" s="81"/>
      <c r="BN7086" s="81"/>
      <c r="BO7086" s="81"/>
      <c r="BP7086" s="81"/>
      <c r="BQ7086" s="81"/>
      <c r="BR7086" s="81"/>
      <c r="BS7086" s="81"/>
      <c r="BT7086" s="81"/>
    </row>
    <row r="7087" spans="65:72" x14ac:dyDescent="0.25">
      <c r="BM7087" s="81"/>
      <c r="BN7087" s="81"/>
      <c r="BO7087" s="81"/>
      <c r="BP7087" s="81"/>
      <c r="BQ7087" s="81"/>
      <c r="BR7087" s="81"/>
      <c r="BS7087" s="81"/>
      <c r="BT7087" s="81"/>
    </row>
    <row r="7088" spans="65:72" x14ac:dyDescent="0.25">
      <c r="BM7088" s="81"/>
      <c r="BN7088" s="81"/>
      <c r="BO7088" s="81"/>
      <c r="BP7088" s="81"/>
      <c r="BQ7088" s="81"/>
      <c r="BR7088" s="81"/>
      <c r="BS7088" s="81"/>
      <c r="BT7088" s="81"/>
    </row>
    <row r="7089" spans="65:72" x14ac:dyDescent="0.25">
      <c r="BM7089" s="81"/>
      <c r="BN7089" s="81"/>
      <c r="BO7089" s="81"/>
      <c r="BP7089" s="81"/>
      <c r="BQ7089" s="81"/>
      <c r="BR7089" s="81"/>
      <c r="BS7089" s="81"/>
      <c r="BT7089" s="81"/>
    </row>
    <row r="7090" spans="65:72" x14ac:dyDescent="0.25">
      <c r="BM7090" s="81"/>
      <c r="BN7090" s="81"/>
      <c r="BO7090" s="81"/>
      <c r="BP7090" s="81"/>
      <c r="BQ7090" s="81"/>
      <c r="BR7090" s="81"/>
      <c r="BS7090" s="81"/>
      <c r="BT7090" s="81"/>
    </row>
    <row r="7091" spans="65:72" x14ac:dyDescent="0.25">
      <c r="BM7091" s="81"/>
      <c r="BN7091" s="81"/>
      <c r="BO7091" s="81"/>
      <c r="BP7091" s="81"/>
      <c r="BQ7091" s="81"/>
      <c r="BR7091" s="81"/>
      <c r="BS7091" s="81"/>
      <c r="BT7091" s="81"/>
    </row>
    <row r="7092" spans="65:72" x14ac:dyDescent="0.25">
      <c r="BM7092" s="81"/>
      <c r="BN7092" s="81"/>
      <c r="BO7092" s="81"/>
      <c r="BP7092" s="81"/>
      <c r="BQ7092" s="81"/>
      <c r="BR7092" s="81"/>
      <c r="BS7092" s="81"/>
      <c r="BT7092" s="81"/>
    </row>
    <row r="7093" spans="65:72" x14ac:dyDescent="0.25">
      <c r="BM7093" s="81"/>
      <c r="BN7093" s="81"/>
      <c r="BO7093" s="81"/>
      <c r="BP7093" s="81"/>
      <c r="BQ7093" s="81"/>
      <c r="BR7093" s="81"/>
      <c r="BS7093" s="81"/>
      <c r="BT7093" s="81"/>
    </row>
    <row r="7094" spans="65:72" x14ac:dyDescent="0.25">
      <c r="BM7094" s="81"/>
      <c r="BN7094" s="81"/>
      <c r="BO7094" s="81"/>
      <c r="BP7094" s="81"/>
      <c r="BQ7094" s="81"/>
      <c r="BR7094" s="81"/>
      <c r="BS7094" s="81"/>
      <c r="BT7094" s="81"/>
    </row>
    <row r="7095" spans="65:72" x14ac:dyDescent="0.25">
      <c r="BM7095" s="81"/>
      <c r="BN7095" s="81"/>
      <c r="BO7095" s="81"/>
      <c r="BP7095" s="81"/>
      <c r="BQ7095" s="81"/>
      <c r="BR7095" s="81"/>
      <c r="BS7095" s="81"/>
      <c r="BT7095" s="81"/>
    </row>
    <row r="7096" spans="65:72" x14ac:dyDescent="0.25">
      <c r="BM7096" s="81"/>
      <c r="BN7096" s="81"/>
      <c r="BO7096" s="81"/>
      <c r="BP7096" s="81"/>
      <c r="BQ7096" s="81"/>
      <c r="BR7096" s="81"/>
      <c r="BS7096" s="81"/>
      <c r="BT7096" s="81"/>
    </row>
    <row r="7097" spans="65:72" x14ac:dyDescent="0.25">
      <c r="BM7097" s="81"/>
      <c r="BN7097" s="81"/>
      <c r="BO7097" s="81"/>
      <c r="BP7097" s="81"/>
      <c r="BQ7097" s="81"/>
      <c r="BR7097" s="81"/>
      <c r="BS7097" s="81"/>
      <c r="BT7097" s="81"/>
    </row>
    <row r="7098" spans="65:72" x14ac:dyDescent="0.25">
      <c r="BM7098" s="81"/>
      <c r="BN7098" s="81"/>
      <c r="BO7098" s="81"/>
      <c r="BP7098" s="81"/>
      <c r="BQ7098" s="81"/>
      <c r="BR7098" s="81"/>
      <c r="BS7098" s="81"/>
      <c r="BT7098" s="81"/>
    </row>
    <row r="7099" spans="65:72" x14ac:dyDescent="0.25">
      <c r="BM7099" s="81"/>
      <c r="BN7099" s="81"/>
      <c r="BO7099" s="81"/>
      <c r="BP7099" s="81"/>
      <c r="BQ7099" s="81"/>
      <c r="BR7099" s="81"/>
      <c r="BS7099" s="81"/>
      <c r="BT7099" s="81"/>
    </row>
    <row r="7100" spans="65:72" x14ac:dyDescent="0.25">
      <c r="BM7100" s="81"/>
      <c r="BN7100" s="81"/>
      <c r="BO7100" s="81"/>
      <c r="BP7100" s="81"/>
      <c r="BQ7100" s="81"/>
      <c r="BR7100" s="81"/>
      <c r="BS7100" s="81"/>
      <c r="BT7100" s="81"/>
    </row>
    <row r="7101" spans="65:72" x14ac:dyDescent="0.25">
      <c r="BM7101" s="81"/>
      <c r="BN7101" s="81"/>
      <c r="BO7101" s="81"/>
      <c r="BP7101" s="81"/>
      <c r="BQ7101" s="81"/>
      <c r="BR7101" s="81"/>
      <c r="BS7101" s="81"/>
      <c r="BT7101" s="81"/>
    </row>
    <row r="7102" spans="65:72" x14ac:dyDescent="0.25">
      <c r="BM7102" s="81"/>
      <c r="BN7102" s="81"/>
      <c r="BO7102" s="81"/>
      <c r="BP7102" s="81"/>
      <c r="BQ7102" s="81"/>
      <c r="BR7102" s="81"/>
      <c r="BS7102" s="81"/>
      <c r="BT7102" s="81"/>
    </row>
    <row r="7103" spans="65:72" x14ac:dyDescent="0.25">
      <c r="BM7103" s="81"/>
      <c r="BN7103" s="81"/>
      <c r="BO7103" s="81"/>
      <c r="BP7103" s="81"/>
      <c r="BQ7103" s="81"/>
      <c r="BR7103" s="81"/>
      <c r="BS7103" s="81"/>
      <c r="BT7103" s="81"/>
    </row>
    <row r="7104" spans="65:72" x14ac:dyDescent="0.25">
      <c r="BM7104" s="81"/>
      <c r="BN7104" s="81"/>
      <c r="BO7104" s="81"/>
      <c r="BP7104" s="81"/>
      <c r="BQ7104" s="81"/>
      <c r="BR7104" s="81"/>
      <c r="BS7104" s="81"/>
      <c r="BT7104" s="81"/>
    </row>
    <row r="7105" spans="65:72" x14ac:dyDescent="0.25">
      <c r="BM7105" s="81"/>
      <c r="BN7105" s="81"/>
      <c r="BO7105" s="81"/>
      <c r="BP7105" s="81"/>
      <c r="BQ7105" s="81"/>
      <c r="BR7105" s="81"/>
      <c r="BS7105" s="81"/>
      <c r="BT7105" s="81"/>
    </row>
    <row r="7106" spans="65:72" x14ac:dyDescent="0.25">
      <c r="BM7106" s="81"/>
      <c r="BN7106" s="81"/>
      <c r="BO7106" s="81"/>
      <c r="BP7106" s="81"/>
      <c r="BQ7106" s="81"/>
      <c r="BR7106" s="81"/>
      <c r="BS7106" s="81"/>
      <c r="BT7106" s="81"/>
    </row>
    <row r="7107" spans="65:72" x14ac:dyDescent="0.25">
      <c r="BM7107" s="81"/>
      <c r="BN7107" s="81"/>
      <c r="BO7107" s="81"/>
      <c r="BP7107" s="81"/>
      <c r="BQ7107" s="81"/>
      <c r="BR7107" s="81"/>
      <c r="BS7107" s="81"/>
      <c r="BT7107" s="81"/>
    </row>
    <row r="7108" spans="65:72" x14ac:dyDescent="0.25">
      <c r="BM7108" s="81"/>
      <c r="BN7108" s="81"/>
      <c r="BO7108" s="81"/>
      <c r="BP7108" s="81"/>
      <c r="BQ7108" s="81"/>
      <c r="BR7108" s="81"/>
      <c r="BS7108" s="81"/>
      <c r="BT7108" s="81"/>
    </row>
    <row r="7109" spans="65:72" x14ac:dyDescent="0.25">
      <c r="BM7109" s="81"/>
      <c r="BN7109" s="81"/>
      <c r="BO7109" s="81"/>
      <c r="BP7109" s="81"/>
      <c r="BQ7109" s="81"/>
      <c r="BR7109" s="81"/>
      <c r="BS7109" s="81"/>
      <c r="BT7109" s="81"/>
    </row>
    <row r="7110" spans="65:72" x14ac:dyDescent="0.25">
      <c r="BM7110" s="81"/>
      <c r="BN7110" s="81"/>
      <c r="BO7110" s="81"/>
      <c r="BP7110" s="81"/>
      <c r="BQ7110" s="81"/>
      <c r="BR7110" s="81"/>
      <c r="BS7110" s="81"/>
      <c r="BT7110" s="81"/>
    </row>
    <row r="7111" spans="65:72" x14ac:dyDescent="0.25">
      <c r="BM7111" s="81"/>
      <c r="BN7111" s="81"/>
      <c r="BO7111" s="81"/>
      <c r="BP7111" s="81"/>
      <c r="BQ7111" s="81"/>
      <c r="BR7111" s="81"/>
      <c r="BS7111" s="81"/>
      <c r="BT7111" s="81"/>
    </row>
    <row r="7112" spans="65:72" x14ac:dyDescent="0.25">
      <c r="BM7112" s="81"/>
      <c r="BN7112" s="81"/>
      <c r="BO7112" s="81"/>
      <c r="BP7112" s="81"/>
      <c r="BQ7112" s="81"/>
      <c r="BR7112" s="81"/>
      <c r="BS7112" s="81"/>
      <c r="BT7112" s="81"/>
    </row>
    <row r="7113" spans="65:72" x14ac:dyDescent="0.25">
      <c r="BM7113" s="81"/>
      <c r="BN7113" s="81"/>
      <c r="BO7113" s="81"/>
      <c r="BP7113" s="81"/>
      <c r="BQ7113" s="81"/>
      <c r="BR7113" s="81"/>
      <c r="BS7113" s="81"/>
      <c r="BT7113" s="81"/>
    </row>
    <row r="7114" spans="65:72" x14ac:dyDescent="0.25">
      <c r="BM7114" s="81"/>
      <c r="BN7114" s="81"/>
      <c r="BO7114" s="81"/>
      <c r="BP7114" s="81"/>
      <c r="BQ7114" s="81"/>
      <c r="BR7114" s="81"/>
      <c r="BS7114" s="81"/>
      <c r="BT7114" s="81"/>
    </row>
    <row r="7115" spans="65:72" x14ac:dyDescent="0.25">
      <c r="BM7115" s="81"/>
      <c r="BN7115" s="81"/>
      <c r="BO7115" s="81"/>
      <c r="BP7115" s="81"/>
      <c r="BQ7115" s="81"/>
      <c r="BR7115" s="81"/>
      <c r="BS7115" s="81"/>
      <c r="BT7115" s="81"/>
    </row>
    <row r="7116" spans="65:72" x14ac:dyDescent="0.25">
      <c r="BM7116" s="81"/>
      <c r="BN7116" s="81"/>
      <c r="BO7116" s="81"/>
      <c r="BP7116" s="81"/>
      <c r="BQ7116" s="81"/>
      <c r="BR7116" s="81"/>
      <c r="BS7116" s="81"/>
      <c r="BT7116" s="81"/>
    </row>
    <row r="7117" spans="65:72" x14ac:dyDescent="0.25">
      <c r="BM7117" s="81"/>
      <c r="BN7117" s="81"/>
      <c r="BO7117" s="81"/>
      <c r="BP7117" s="81"/>
      <c r="BQ7117" s="81"/>
      <c r="BR7117" s="81"/>
      <c r="BS7117" s="81"/>
      <c r="BT7117" s="81"/>
    </row>
    <row r="7118" spans="65:72" x14ac:dyDescent="0.25">
      <c r="BM7118" s="81"/>
      <c r="BN7118" s="81"/>
      <c r="BO7118" s="81"/>
      <c r="BP7118" s="81"/>
      <c r="BQ7118" s="81"/>
      <c r="BR7118" s="81"/>
      <c r="BS7118" s="81"/>
      <c r="BT7118" s="81"/>
    </row>
    <row r="7119" spans="65:72" x14ac:dyDescent="0.25">
      <c r="BM7119" s="81"/>
      <c r="BN7119" s="81"/>
      <c r="BO7119" s="81"/>
      <c r="BP7119" s="81"/>
      <c r="BQ7119" s="81"/>
      <c r="BR7119" s="81"/>
      <c r="BS7119" s="81"/>
      <c r="BT7119" s="81"/>
    </row>
    <row r="7120" spans="65:72" x14ac:dyDescent="0.25">
      <c r="BM7120" s="81"/>
      <c r="BN7120" s="81"/>
      <c r="BO7120" s="81"/>
      <c r="BP7120" s="81"/>
      <c r="BQ7120" s="81"/>
      <c r="BR7120" s="81"/>
      <c r="BS7120" s="81"/>
      <c r="BT7120" s="81"/>
    </row>
    <row r="7121" spans="65:72" x14ac:dyDescent="0.25">
      <c r="BM7121" s="81"/>
      <c r="BN7121" s="81"/>
      <c r="BO7121" s="81"/>
      <c r="BP7121" s="81"/>
      <c r="BQ7121" s="81"/>
      <c r="BR7121" s="81"/>
      <c r="BS7121" s="81"/>
      <c r="BT7121" s="81"/>
    </row>
    <row r="7122" spans="65:72" x14ac:dyDescent="0.25">
      <c r="BM7122" s="81"/>
      <c r="BN7122" s="81"/>
      <c r="BO7122" s="81"/>
      <c r="BP7122" s="81"/>
      <c r="BQ7122" s="81"/>
      <c r="BR7122" s="81"/>
      <c r="BS7122" s="81"/>
      <c r="BT7122" s="81"/>
    </row>
    <row r="7123" spans="65:72" x14ac:dyDescent="0.25">
      <c r="BM7123" s="81"/>
      <c r="BN7123" s="81"/>
      <c r="BO7123" s="81"/>
      <c r="BP7123" s="81"/>
      <c r="BQ7123" s="81"/>
      <c r="BR7123" s="81"/>
      <c r="BS7123" s="81"/>
      <c r="BT7123" s="81"/>
    </row>
    <row r="7124" spans="65:72" x14ac:dyDescent="0.25">
      <c r="BM7124" s="81"/>
      <c r="BN7124" s="81"/>
      <c r="BO7124" s="81"/>
      <c r="BP7124" s="81"/>
      <c r="BQ7124" s="81"/>
      <c r="BR7124" s="81"/>
      <c r="BS7124" s="81"/>
      <c r="BT7124" s="81"/>
    </row>
    <row r="7125" spans="65:72" x14ac:dyDescent="0.25">
      <c r="BM7125" s="81"/>
      <c r="BN7125" s="81"/>
      <c r="BO7125" s="81"/>
      <c r="BP7125" s="81"/>
      <c r="BQ7125" s="81"/>
      <c r="BR7125" s="81"/>
      <c r="BS7125" s="81"/>
      <c r="BT7125" s="81"/>
    </row>
    <row r="7126" spans="65:72" x14ac:dyDescent="0.25">
      <c r="BM7126" s="81"/>
      <c r="BN7126" s="81"/>
      <c r="BO7126" s="81"/>
      <c r="BP7126" s="81"/>
      <c r="BQ7126" s="81"/>
      <c r="BR7126" s="81"/>
      <c r="BS7126" s="81"/>
      <c r="BT7126" s="81"/>
    </row>
    <row r="7127" spans="65:72" x14ac:dyDescent="0.25">
      <c r="BM7127" s="81"/>
      <c r="BN7127" s="81"/>
      <c r="BO7127" s="81"/>
      <c r="BP7127" s="81"/>
      <c r="BQ7127" s="81"/>
      <c r="BR7127" s="81"/>
      <c r="BS7127" s="81"/>
      <c r="BT7127" s="81"/>
    </row>
    <row r="7128" spans="65:72" x14ac:dyDescent="0.25">
      <c r="BM7128" s="81"/>
      <c r="BN7128" s="81"/>
      <c r="BO7128" s="81"/>
      <c r="BP7128" s="81"/>
      <c r="BQ7128" s="81"/>
      <c r="BR7128" s="81"/>
      <c r="BS7128" s="81"/>
      <c r="BT7128" s="81"/>
    </row>
    <row r="7129" spans="65:72" x14ac:dyDescent="0.25">
      <c r="BM7129" s="81"/>
      <c r="BN7129" s="81"/>
      <c r="BO7129" s="81"/>
      <c r="BP7129" s="81"/>
      <c r="BQ7129" s="81"/>
      <c r="BR7129" s="81"/>
      <c r="BS7129" s="81"/>
      <c r="BT7129" s="81"/>
    </row>
    <row r="7130" spans="65:72" x14ac:dyDescent="0.25">
      <c r="BM7130" s="81"/>
      <c r="BN7130" s="81"/>
      <c r="BO7130" s="81"/>
      <c r="BP7130" s="81"/>
      <c r="BQ7130" s="81"/>
      <c r="BR7130" s="81"/>
      <c r="BS7130" s="81"/>
      <c r="BT7130" s="81"/>
    </row>
    <row r="7131" spans="65:72" x14ac:dyDescent="0.25">
      <c r="BM7131" s="81"/>
      <c r="BN7131" s="81"/>
      <c r="BO7131" s="81"/>
      <c r="BP7131" s="81"/>
      <c r="BQ7131" s="81"/>
      <c r="BR7131" s="81"/>
      <c r="BS7131" s="81"/>
      <c r="BT7131" s="81"/>
    </row>
    <row r="7132" spans="65:72" x14ac:dyDescent="0.25">
      <c r="BM7132" s="81"/>
      <c r="BN7132" s="81"/>
      <c r="BO7132" s="81"/>
      <c r="BP7132" s="81"/>
      <c r="BQ7132" s="81"/>
      <c r="BR7132" s="81"/>
      <c r="BS7132" s="81"/>
      <c r="BT7132" s="81"/>
    </row>
    <row r="7133" spans="65:72" x14ac:dyDescent="0.25">
      <c r="BM7133" s="81"/>
      <c r="BN7133" s="81"/>
      <c r="BO7133" s="81"/>
      <c r="BP7133" s="81"/>
      <c r="BQ7133" s="81"/>
      <c r="BR7133" s="81"/>
      <c r="BS7133" s="81"/>
      <c r="BT7133" s="81"/>
    </row>
    <row r="7134" spans="65:72" x14ac:dyDescent="0.25">
      <c r="BM7134" s="81"/>
      <c r="BN7134" s="81"/>
      <c r="BO7134" s="81"/>
      <c r="BP7134" s="81"/>
      <c r="BQ7134" s="81"/>
      <c r="BR7134" s="81"/>
      <c r="BS7134" s="81"/>
      <c r="BT7134" s="81"/>
    </row>
    <row r="7135" spans="65:72" x14ac:dyDescent="0.25">
      <c r="BM7135" s="81"/>
      <c r="BN7135" s="81"/>
      <c r="BO7135" s="81"/>
      <c r="BP7135" s="81"/>
      <c r="BQ7135" s="81"/>
      <c r="BR7135" s="81"/>
      <c r="BS7135" s="81"/>
      <c r="BT7135" s="81"/>
    </row>
    <row r="7136" spans="65:72" x14ac:dyDescent="0.25">
      <c r="BM7136" s="81"/>
      <c r="BN7136" s="81"/>
      <c r="BO7136" s="81"/>
      <c r="BP7136" s="81"/>
      <c r="BQ7136" s="81"/>
      <c r="BR7136" s="81"/>
      <c r="BS7136" s="81"/>
      <c r="BT7136" s="81"/>
    </row>
    <row r="7137" spans="65:72" x14ac:dyDescent="0.25">
      <c r="BM7137" s="81"/>
      <c r="BN7137" s="81"/>
      <c r="BO7137" s="81"/>
      <c r="BP7137" s="81"/>
      <c r="BQ7137" s="81"/>
      <c r="BR7137" s="81"/>
      <c r="BS7137" s="81"/>
      <c r="BT7137" s="81"/>
    </row>
    <row r="7138" spans="65:72" x14ac:dyDescent="0.25">
      <c r="BM7138" s="81"/>
      <c r="BN7138" s="81"/>
      <c r="BO7138" s="81"/>
      <c r="BP7138" s="81"/>
      <c r="BQ7138" s="81"/>
      <c r="BR7138" s="81"/>
      <c r="BS7138" s="81"/>
      <c r="BT7138" s="81"/>
    </row>
    <row r="7139" spans="65:72" x14ac:dyDescent="0.25">
      <c r="BM7139" s="81"/>
      <c r="BN7139" s="81"/>
      <c r="BO7139" s="81"/>
      <c r="BP7139" s="81"/>
      <c r="BQ7139" s="81"/>
      <c r="BR7139" s="81"/>
      <c r="BS7139" s="81"/>
      <c r="BT7139" s="81"/>
    </row>
    <row r="7140" spans="65:72" x14ac:dyDescent="0.25">
      <c r="BM7140" s="81"/>
      <c r="BN7140" s="81"/>
      <c r="BO7140" s="81"/>
      <c r="BP7140" s="81"/>
      <c r="BQ7140" s="81"/>
      <c r="BR7140" s="81"/>
      <c r="BS7140" s="81"/>
      <c r="BT7140" s="81"/>
    </row>
    <row r="7141" spans="65:72" x14ac:dyDescent="0.25">
      <c r="BM7141" s="81"/>
      <c r="BN7141" s="81"/>
      <c r="BO7141" s="81"/>
      <c r="BP7141" s="81"/>
      <c r="BQ7141" s="81"/>
      <c r="BR7141" s="81"/>
      <c r="BS7141" s="81"/>
      <c r="BT7141" s="81"/>
    </row>
    <row r="7142" spans="65:72" x14ac:dyDescent="0.25">
      <c r="BM7142" s="81"/>
      <c r="BN7142" s="81"/>
      <c r="BO7142" s="81"/>
      <c r="BP7142" s="81"/>
      <c r="BQ7142" s="81"/>
      <c r="BR7142" s="81"/>
      <c r="BS7142" s="81"/>
      <c r="BT7142" s="81"/>
    </row>
    <row r="7143" spans="65:72" x14ac:dyDescent="0.25">
      <c r="BM7143" s="81"/>
      <c r="BN7143" s="81"/>
      <c r="BO7143" s="81"/>
      <c r="BP7143" s="81"/>
      <c r="BQ7143" s="81"/>
      <c r="BR7143" s="81"/>
      <c r="BS7143" s="81"/>
      <c r="BT7143" s="81"/>
    </row>
    <row r="7144" spans="65:72" x14ac:dyDescent="0.25">
      <c r="BM7144" s="81"/>
      <c r="BN7144" s="81"/>
      <c r="BO7144" s="81"/>
      <c r="BP7144" s="81"/>
      <c r="BQ7144" s="81"/>
      <c r="BR7144" s="81"/>
      <c r="BS7144" s="81"/>
      <c r="BT7144" s="81"/>
    </row>
    <row r="7145" spans="65:72" x14ac:dyDescent="0.25">
      <c r="BM7145" s="81"/>
      <c r="BN7145" s="81"/>
      <c r="BO7145" s="81"/>
      <c r="BP7145" s="81"/>
      <c r="BQ7145" s="81"/>
      <c r="BR7145" s="81"/>
      <c r="BS7145" s="81"/>
      <c r="BT7145" s="81"/>
    </row>
    <row r="7146" spans="65:72" x14ac:dyDescent="0.25">
      <c r="BM7146" s="81"/>
      <c r="BN7146" s="81"/>
      <c r="BO7146" s="81"/>
      <c r="BP7146" s="81"/>
      <c r="BQ7146" s="81"/>
      <c r="BR7146" s="81"/>
      <c r="BS7146" s="81"/>
      <c r="BT7146" s="81"/>
    </row>
    <row r="7147" spans="65:72" x14ac:dyDescent="0.25">
      <c r="BM7147" s="81"/>
      <c r="BN7147" s="81"/>
      <c r="BO7147" s="81"/>
      <c r="BP7147" s="81"/>
      <c r="BQ7147" s="81"/>
      <c r="BR7147" s="81"/>
      <c r="BS7147" s="81"/>
      <c r="BT7147" s="81"/>
    </row>
    <row r="7148" spans="65:72" x14ac:dyDescent="0.25">
      <c r="BM7148" s="81"/>
      <c r="BN7148" s="81"/>
      <c r="BO7148" s="81"/>
      <c r="BP7148" s="81"/>
      <c r="BQ7148" s="81"/>
      <c r="BR7148" s="81"/>
      <c r="BS7148" s="81"/>
      <c r="BT7148" s="81"/>
    </row>
    <row r="7149" spans="65:72" x14ac:dyDescent="0.25">
      <c r="BM7149" s="81"/>
      <c r="BN7149" s="81"/>
      <c r="BO7149" s="81"/>
      <c r="BP7149" s="81"/>
      <c r="BQ7149" s="81"/>
      <c r="BR7149" s="81"/>
      <c r="BS7149" s="81"/>
      <c r="BT7149" s="81"/>
    </row>
    <row r="7150" spans="65:72" x14ac:dyDescent="0.25">
      <c r="BM7150" s="81"/>
      <c r="BN7150" s="81"/>
      <c r="BO7150" s="81"/>
      <c r="BP7150" s="81"/>
      <c r="BQ7150" s="81"/>
      <c r="BR7150" s="81"/>
      <c r="BS7150" s="81"/>
      <c r="BT7150" s="81"/>
    </row>
    <row r="7151" spans="65:72" x14ac:dyDescent="0.25">
      <c r="BM7151" s="81"/>
      <c r="BN7151" s="81"/>
      <c r="BO7151" s="81"/>
      <c r="BP7151" s="81"/>
      <c r="BQ7151" s="81"/>
      <c r="BR7151" s="81"/>
      <c r="BS7151" s="81"/>
      <c r="BT7151" s="81"/>
    </row>
    <row r="7152" spans="65:72" x14ac:dyDescent="0.25">
      <c r="BM7152" s="81"/>
      <c r="BN7152" s="81"/>
      <c r="BO7152" s="81"/>
      <c r="BP7152" s="81"/>
      <c r="BQ7152" s="81"/>
      <c r="BR7152" s="81"/>
      <c r="BS7152" s="81"/>
      <c r="BT7152" s="81"/>
    </row>
    <row r="7153" spans="65:72" x14ac:dyDescent="0.25">
      <c r="BM7153" s="81"/>
      <c r="BN7153" s="81"/>
      <c r="BO7153" s="81"/>
      <c r="BP7153" s="81"/>
      <c r="BQ7153" s="81"/>
      <c r="BR7153" s="81"/>
      <c r="BS7153" s="81"/>
      <c r="BT7153" s="81"/>
    </row>
    <row r="7154" spans="65:72" x14ac:dyDescent="0.25">
      <c r="BM7154" s="81"/>
      <c r="BN7154" s="81"/>
      <c r="BO7154" s="81"/>
      <c r="BP7154" s="81"/>
      <c r="BQ7154" s="81"/>
      <c r="BR7154" s="81"/>
      <c r="BS7154" s="81"/>
      <c r="BT7154" s="81"/>
    </row>
    <row r="7155" spans="65:72" x14ac:dyDescent="0.25">
      <c r="BM7155" s="81"/>
      <c r="BN7155" s="81"/>
      <c r="BO7155" s="81"/>
      <c r="BP7155" s="81"/>
      <c r="BQ7155" s="81"/>
      <c r="BR7155" s="81"/>
      <c r="BS7155" s="81"/>
      <c r="BT7155" s="81"/>
    </row>
    <row r="7156" spans="65:72" x14ac:dyDescent="0.25">
      <c r="BM7156" s="81"/>
      <c r="BN7156" s="81"/>
      <c r="BO7156" s="81"/>
      <c r="BP7156" s="81"/>
      <c r="BQ7156" s="81"/>
      <c r="BR7156" s="81"/>
      <c r="BS7156" s="81"/>
      <c r="BT7156" s="81"/>
    </row>
    <row r="7157" spans="65:72" x14ac:dyDescent="0.25">
      <c r="BM7157" s="81"/>
      <c r="BN7157" s="81"/>
      <c r="BO7157" s="81"/>
      <c r="BP7157" s="81"/>
      <c r="BQ7157" s="81"/>
      <c r="BR7157" s="81"/>
      <c r="BS7157" s="81"/>
      <c r="BT7157" s="81"/>
    </row>
    <row r="7158" spans="65:72" x14ac:dyDescent="0.25">
      <c r="BM7158" s="81"/>
      <c r="BN7158" s="81"/>
      <c r="BO7158" s="81"/>
      <c r="BP7158" s="81"/>
      <c r="BQ7158" s="81"/>
      <c r="BR7158" s="81"/>
      <c r="BS7158" s="81"/>
      <c r="BT7158" s="81"/>
    </row>
    <row r="7159" spans="65:72" x14ac:dyDescent="0.25">
      <c r="BM7159" s="81"/>
      <c r="BN7159" s="81"/>
      <c r="BO7159" s="81"/>
      <c r="BP7159" s="81"/>
      <c r="BQ7159" s="81"/>
      <c r="BR7159" s="81"/>
      <c r="BS7159" s="81"/>
      <c r="BT7159" s="81"/>
    </row>
    <row r="7160" spans="65:72" x14ac:dyDescent="0.25">
      <c r="BM7160" s="81"/>
      <c r="BN7160" s="81"/>
      <c r="BO7160" s="81"/>
      <c r="BP7160" s="81"/>
      <c r="BQ7160" s="81"/>
      <c r="BR7160" s="81"/>
      <c r="BS7160" s="81"/>
      <c r="BT7160" s="81"/>
    </row>
    <row r="7161" spans="65:72" x14ac:dyDescent="0.25">
      <c r="BM7161" s="81"/>
      <c r="BN7161" s="81"/>
      <c r="BO7161" s="81"/>
      <c r="BP7161" s="81"/>
      <c r="BQ7161" s="81"/>
      <c r="BR7161" s="81"/>
      <c r="BS7161" s="81"/>
      <c r="BT7161" s="81"/>
    </row>
    <row r="7162" spans="65:72" x14ac:dyDescent="0.25">
      <c r="BM7162" s="81"/>
      <c r="BN7162" s="81"/>
      <c r="BO7162" s="81"/>
      <c r="BP7162" s="81"/>
      <c r="BQ7162" s="81"/>
      <c r="BR7162" s="81"/>
      <c r="BS7162" s="81"/>
      <c r="BT7162" s="81"/>
    </row>
    <row r="7163" spans="65:72" x14ac:dyDescent="0.25">
      <c r="BM7163" s="81"/>
      <c r="BN7163" s="81"/>
      <c r="BO7163" s="81"/>
      <c r="BP7163" s="81"/>
      <c r="BQ7163" s="81"/>
      <c r="BR7163" s="81"/>
      <c r="BS7163" s="81"/>
      <c r="BT7163" s="81"/>
    </row>
    <row r="7164" spans="65:72" x14ac:dyDescent="0.25">
      <c r="BM7164" s="81"/>
      <c r="BN7164" s="81"/>
      <c r="BO7164" s="81"/>
      <c r="BP7164" s="81"/>
      <c r="BQ7164" s="81"/>
      <c r="BR7164" s="81"/>
      <c r="BS7164" s="81"/>
      <c r="BT7164" s="81"/>
    </row>
    <row r="7165" spans="65:72" x14ac:dyDescent="0.25">
      <c r="BM7165" s="81"/>
      <c r="BN7165" s="81"/>
      <c r="BO7165" s="81"/>
      <c r="BP7165" s="81"/>
      <c r="BQ7165" s="81"/>
      <c r="BR7165" s="81"/>
      <c r="BS7165" s="81"/>
      <c r="BT7165" s="81"/>
    </row>
    <row r="7166" spans="65:72" x14ac:dyDescent="0.25">
      <c r="BM7166" s="81"/>
      <c r="BN7166" s="81"/>
      <c r="BO7166" s="81"/>
      <c r="BP7166" s="81"/>
      <c r="BQ7166" s="81"/>
      <c r="BR7166" s="81"/>
      <c r="BS7166" s="81"/>
      <c r="BT7166" s="81"/>
    </row>
    <row r="7167" spans="65:72" x14ac:dyDescent="0.25">
      <c r="BM7167" s="81"/>
      <c r="BN7167" s="81"/>
      <c r="BO7167" s="81"/>
      <c r="BP7167" s="81"/>
      <c r="BQ7167" s="81"/>
      <c r="BR7167" s="81"/>
      <c r="BS7167" s="81"/>
      <c r="BT7167" s="81"/>
    </row>
    <row r="7168" spans="65:72" x14ac:dyDescent="0.25">
      <c r="BM7168" s="81"/>
      <c r="BN7168" s="81"/>
      <c r="BO7168" s="81"/>
      <c r="BP7168" s="81"/>
      <c r="BQ7168" s="81"/>
      <c r="BR7168" s="81"/>
      <c r="BS7168" s="81"/>
      <c r="BT7168" s="81"/>
    </row>
    <row r="7169" spans="65:72" x14ac:dyDescent="0.25">
      <c r="BM7169" s="81"/>
      <c r="BN7169" s="81"/>
      <c r="BO7169" s="81"/>
      <c r="BP7169" s="81"/>
      <c r="BQ7169" s="81"/>
      <c r="BR7169" s="81"/>
      <c r="BS7169" s="81"/>
      <c r="BT7169" s="81"/>
    </row>
    <row r="7170" spans="65:72" x14ac:dyDescent="0.25">
      <c r="BM7170" s="81"/>
      <c r="BN7170" s="81"/>
      <c r="BO7170" s="81"/>
      <c r="BP7170" s="81"/>
      <c r="BQ7170" s="81"/>
      <c r="BR7170" s="81"/>
      <c r="BS7170" s="81"/>
      <c r="BT7170" s="81"/>
    </row>
    <row r="7171" spans="65:72" x14ac:dyDescent="0.25">
      <c r="BM7171" s="81"/>
      <c r="BN7171" s="81"/>
      <c r="BO7171" s="81"/>
      <c r="BP7171" s="81"/>
      <c r="BQ7171" s="81"/>
      <c r="BR7171" s="81"/>
      <c r="BS7171" s="81"/>
      <c r="BT7171" s="81"/>
    </row>
    <row r="7172" spans="65:72" x14ac:dyDescent="0.25">
      <c r="BM7172" s="81"/>
      <c r="BN7172" s="81"/>
      <c r="BO7172" s="81"/>
      <c r="BP7172" s="81"/>
      <c r="BQ7172" s="81"/>
      <c r="BR7172" s="81"/>
      <c r="BS7172" s="81"/>
      <c r="BT7172" s="81"/>
    </row>
    <row r="7173" spans="65:72" x14ac:dyDescent="0.25">
      <c r="BM7173" s="81"/>
      <c r="BN7173" s="81"/>
      <c r="BO7173" s="81"/>
      <c r="BP7173" s="81"/>
      <c r="BQ7173" s="81"/>
      <c r="BR7173" s="81"/>
      <c r="BS7173" s="81"/>
      <c r="BT7173" s="81"/>
    </row>
    <row r="7174" spans="65:72" x14ac:dyDescent="0.25">
      <c r="BM7174" s="81"/>
      <c r="BN7174" s="81"/>
      <c r="BO7174" s="81"/>
      <c r="BP7174" s="81"/>
      <c r="BQ7174" s="81"/>
      <c r="BR7174" s="81"/>
      <c r="BS7174" s="81"/>
      <c r="BT7174" s="81"/>
    </row>
    <row r="7175" spans="65:72" x14ac:dyDescent="0.25">
      <c r="BM7175" s="81"/>
      <c r="BN7175" s="81"/>
      <c r="BO7175" s="81"/>
      <c r="BP7175" s="81"/>
      <c r="BQ7175" s="81"/>
      <c r="BR7175" s="81"/>
      <c r="BS7175" s="81"/>
      <c r="BT7175" s="81"/>
    </row>
    <row r="7176" spans="65:72" x14ac:dyDescent="0.25">
      <c r="BM7176" s="81"/>
      <c r="BN7176" s="81"/>
      <c r="BO7176" s="81"/>
      <c r="BP7176" s="81"/>
      <c r="BQ7176" s="81"/>
      <c r="BR7176" s="81"/>
      <c r="BS7176" s="81"/>
      <c r="BT7176" s="81"/>
    </row>
    <row r="7177" spans="65:72" x14ac:dyDescent="0.25">
      <c r="BM7177" s="81"/>
      <c r="BN7177" s="81"/>
      <c r="BO7177" s="81"/>
      <c r="BP7177" s="81"/>
      <c r="BQ7177" s="81"/>
      <c r="BR7177" s="81"/>
      <c r="BS7177" s="81"/>
      <c r="BT7177" s="81"/>
    </row>
    <row r="7178" spans="65:72" x14ac:dyDescent="0.25">
      <c r="BM7178" s="81"/>
      <c r="BN7178" s="81"/>
      <c r="BO7178" s="81"/>
      <c r="BP7178" s="81"/>
      <c r="BQ7178" s="81"/>
      <c r="BR7178" s="81"/>
      <c r="BS7178" s="81"/>
      <c r="BT7178" s="81"/>
    </row>
    <row r="7179" spans="65:72" x14ac:dyDescent="0.25">
      <c r="BM7179" s="81"/>
      <c r="BN7179" s="81"/>
      <c r="BO7179" s="81"/>
      <c r="BP7179" s="81"/>
      <c r="BQ7179" s="81"/>
      <c r="BR7179" s="81"/>
      <c r="BS7179" s="81"/>
      <c r="BT7179" s="81"/>
    </row>
    <row r="7180" spans="65:72" x14ac:dyDescent="0.25">
      <c r="BM7180" s="81"/>
      <c r="BN7180" s="81"/>
      <c r="BO7180" s="81"/>
      <c r="BP7180" s="81"/>
      <c r="BQ7180" s="81"/>
      <c r="BR7180" s="81"/>
      <c r="BS7180" s="81"/>
      <c r="BT7180" s="81"/>
    </row>
    <row r="7181" spans="65:72" x14ac:dyDescent="0.25">
      <c r="BM7181" s="81"/>
      <c r="BN7181" s="81"/>
      <c r="BO7181" s="81"/>
      <c r="BP7181" s="81"/>
      <c r="BQ7181" s="81"/>
      <c r="BR7181" s="81"/>
      <c r="BS7181" s="81"/>
      <c r="BT7181" s="81"/>
    </row>
    <row r="7182" spans="65:72" x14ac:dyDescent="0.25">
      <c r="BM7182" s="81"/>
      <c r="BN7182" s="81"/>
      <c r="BO7182" s="81"/>
      <c r="BP7182" s="81"/>
      <c r="BQ7182" s="81"/>
      <c r="BR7182" s="81"/>
      <c r="BS7182" s="81"/>
      <c r="BT7182" s="81"/>
    </row>
    <row r="7183" spans="65:72" x14ac:dyDescent="0.25">
      <c r="BM7183" s="81"/>
      <c r="BN7183" s="81"/>
      <c r="BO7183" s="81"/>
      <c r="BP7183" s="81"/>
      <c r="BQ7183" s="81"/>
      <c r="BR7183" s="81"/>
      <c r="BS7183" s="81"/>
      <c r="BT7183" s="81"/>
    </row>
    <row r="7184" spans="65:72" x14ac:dyDescent="0.25">
      <c r="BM7184" s="81"/>
      <c r="BN7184" s="81"/>
      <c r="BO7184" s="81"/>
      <c r="BP7184" s="81"/>
      <c r="BQ7184" s="81"/>
      <c r="BR7184" s="81"/>
      <c r="BS7184" s="81"/>
      <c r="BT7184" s="81"/>
    </row>
    <row r="7185" spans="65:72" x14ac:dyDescent="0.25">
      <c r="BM7185" s="81"/>
      <c r="BN7185" s="81"/>
      <c r="BO7185" s="81"/>
      <c r="BP7185" s="81"/>
      <c r="BQ7185" s="81"/>
      <c r="BR7185" s="81"/>
      <c r="BS7185" s="81"/>
      <c r="BT7185" s="81"/>
    </row>
    <row r="7186" spans="65:72" x14ac:dyDescent="0.25">
      <c r="BM7186" s="81"/>
      <c r="BN7186" s="81"/>
      <c r="BO7186" s="81"/>
      <c r="BP7186" s="81"/>
      <c r="BQ7186" s="81"/>
      <c r="BR7186" s="81"/>
      <c r="BS7186" s="81"/>
      <c r="BT7186" s="81"/>
    </row>
    <row r="7187" spans="65:72" x14ac:dyDescent="0.25">
      <c r="BM7187" s="81"/>
      <c r="BN7187" s="81"/>
      <c r="BO7187" s="81"/>
      <c r="BP7187" s="81"/>
      <c r="BQ7187" s="81"/>
      <c r="BR7187" s="81"/>
      <c r="BS7187" s="81"/>
      <c r="BT7187" s="81"/>
    </row>
    <row r="7188" spans="65:72" x14ac:dyDescent="0.25">
      <c r="BM7188" s="81"/>
      <c r="BN7188" s="81"/>
      <c r="BO7188" s="81"/>
      <c r="BP7188" s="81"/>
      <c r="BQ7188" s="81"/>
      <c r="BR7188" s="81"/>
      <c r="BS7188" s="81"/>
      <c r="BT7188" s="81"/>
    </row>
    <row r="7189" spans="65:72" x14ac:dyDescent="0.25">
      <c r="BM7189" s="81"/>
      <c r="BN7189" s="81"/>
      <c r="BO7189" s="81"/>
      <c r="BP7189" s="81"/>
      <c r="BQ7189" s="81"/>
      <c r="BR7189" s="81"/>
      <c r="BS7189" s="81"/>
      <c r="BT7189" s="81"/>
    </row>
    <row r="7190" spans="65:72" x14ac:dyDescent="0.25">
      <c r="BM7190" s="81"/>
      <c r="BN7190" s="81"/>
      <c r="BO7190" s="81"/>
      <c r="BP7190" s="81"/>
      <c r="BQ7190" s="81"/>
      <c r="BR7190" s="81"/>
      <c r="BS7190" s="81"/>
      <c r="BT7190" s="81"/>
    </row>
    <row r="7191" spans="65:72" x14ac:dyDescent="0.25">
      <c r="BM7191" s="81"/>
      <c r="BN7191" s="81"/>
      <c r="BO7191" s="81"/>
      <c r="BP7191" s="81"/>
      <c r="BQ7191" s="81"/>
      <c r="BR7191" s="81"/>
      <c r="BS7191" s="81"/>
      <c r="BT7191" s="81"/>
    </row>
    <row r="7192" spans="65:72" x14ac:dyDescent="0.25">
      <c r="BM7192" s="81"/>
      <c r="BN7192" s="81"/>
      <c r="BO7192" s="81"/>
      <c r="BP7192" s="81"/>
      <c r="BQ7192" s="81"/>
      <c r="BR7192" s="81"/>
      <c r="BS7192" s="81"/>
      <c r="BT7192" s="81"/>
    </row>
    <row r="7193" spans="65:72" x14ac:dyDescent="0.25">
      <c r="BM7193" s="81"/>
      <c r="BN7193" s="81"/>
      <c r="BO7193" s="81"/>
      <c r="BP7193" s="81"/>
      <c r="BQ7193" s="81"/>
      <c r="BR7193" s="81"/>
      <c r="BS7193" s="81"/>
      <c r="BT7193" s="81"/>
    </row>
    <row r="7194" spans="65:72" x14ac:dyDescent="0.25">
      <c r="BM7194" s="81"/>
      <c r="BN7194" s="81"/>
      <c r="BO7194" s="81"/>
      <c r="BP7194" s="81"/>
      <c r="BQ7194" s="81"/>
      <c r="BR7194" s="81"/>
      <c r="BS7194" s="81"/>
      <c r="BT7194" s="81"/>
    </row>
    <row r="7195" spans="65:72" x14ac:dyDescent="0.25">
      <c r="BM7195" s="81"/>
      <c r="BN7195" s="81"/>
      <c r="BO7195" s="81"/>
      <c r="BP7195" s="81"/>
      <c r="BQ7195" s="81"/>
      <c r="BR7195" s="81"/>
      <c r="BS7195" s="81"/>
      <c r="BT7195" s="81"/>
    </row>
    <row r="7196" spans="65:72" x14ac:dyDescent="0.25">
      <c r="BM7196" s="81"/>
      <c r="BN7196" s="81"/>
      <c r="BO7196" s="81"/>
      <c r="BP7196" s="81"/>
      <c r="BQ7196" s="81"/>
      <c r="BR7196" s="81"/>
      <c r="BS7196" s="81"/>
      <c r="BT7196" s="81"/>
    </row>
    <row r="7197" spans="65:72" x14ac:dyDescent="0.25">
      <c r="BM7197" s="81"/>
      <c r="BN7197" s="81"/>
      <c r="BO7197" s="81"/>
      <c r="BP7197" s="81"/>
      <c r="BQ7197" s="81"/>
      <c r="BR7197" s="81"/>
      <c r="BS7197" s="81"/>
      <c r="BT7197" s="81"/>
    </row>
    <row r="7198" spans="65:72" x14ac:dyDescent="0.25">
      <c r="BM7198" s="81"/>
      <c r="BN7198" s="81"/>
      <c r="BO7198" s="81"/>
      <c r="BP7198" s="81"/>
      <c r="BQ7198" s="81"/>
      <c r="BR7198" s="81"/>
      <c r="BS7198" s="81"/>
      <c r="BT7198" s="81"/>
    </row>
    <row r="7199" spans="65:72" x14ac:dyDescent="0.25">
      <c r="BM7199" s="81"/>
      <c r="BN7199" s="81"/>
      <c r="BO7199" s="81"/>
      <c r="BP7199" s="81"/>
      <c r="BQ7199" s="81"/>
      <c r="BR7199" s="81"/>
      <c r="BS7199" s="81"/>
      <c r="BT7199" s="81"/>
    </row>
    <row r="7200" spans="65:72" x14ac:dyDescent="0.25">
      <c r="BM7200" s="81"/>
      <c r="BN7200" s="81"/>
      <c r="BO7200" s="81"/>
      <c r="BP7200" s="81"/>
      <c r="BQ7200" s="81"/>
      <c r="BR7200" s="81"/>
      <c r="BS7200" s="81"/>
      <c r="BT7200" s="81"/>
    </row>
    <row r="7201" spans="65:72" x14ac:dyDescent="0.25">
      <c r="BM7201" s="81"/>
      <c r="BN7201" s="81"/>
      <c r="BO7201" s="81"/>
      <c r="BP7201" s="81"/>
      <c r="BQ7201" s="81"/>
      <c r="BR7201" s="81"/>
      <c r="BS7201" s="81"/>
      <c r="BT7201" s="81"/>
    </row>
    <row r="7202" spans="65:72" x14ac:dyDescent="0.25">
      <c r="BM7202" s="81"/>
      <c r="BN7202" s="81"/>
      <c r="BO7202" s="81"/>
      <c r="BP7202" s="81"/>
      <c r="BQ7202" s="81"/>
      <c r="BR7202" s="81"/>
      <c r="BS7202" s="81"/>
      <c r="BT7202" s="81"/>
    </row>
    <row r="7203" spans="65:72" x14ac:dyDescent="0.25">
      <c r="BM7203" s="81"/>
      <c r="BN7203" s="81"/>
      <c r="BO7203" s="81"/>
      <c r="BP7203" s="81"/>
      <c r="BQ7203" s="81"/>
      <c r="BR7203" s="81"/>
      <c r="BS7203" s="81"/>
      <c r="BT7203" s="81"/>
    </row>
    <row r="7204" spans="65:72" x14ac:dyDescent="0.25">
      <c r="BM7204" s="81"/>
      <c r="BN7204" s="81"/>
      <c r="BO7204" s="81"/>
      <c r="BP7204" s="81"/>
      <c r="BQ7204" s="81"/>
      <c r="BR7204" s="81"/>
      <c r="BS7204" s="81"/>
      <c r="BT7204" s="81"/>
    </row>
    <row r="7205" spans="65:72" x14ac:dyDescent="0.25">
      <c r="BM7205" s="81"/>
      <c r="BN7205" s="81"/>
      <c r="BO7205" s="81"/>
      <c r="BP7205" s="81"/>
      <c r="BQ7205" s="81"/>
      <c r="BR7205" s="81"/>
      <c r="BS7205" s="81"/>
      <c r="BT7205" s="81"/>
    </row>
    <row r="7206" spans="65:72" x14ac:dyDescent="0.25">
      <c r="BM7206" s="81"/>
      <c r="BN7206" s="81"/>
      <c r="BO7206" s="81"/>
      <c r="BP7206" s="81"/>
      <c r="BQ7206" s="81"/>
      <c r="BR7206" s="81"/>
      <c r="BS7206" s="81"/>
      <c r="BT7206" s="81"/>
    </row>
    <row r="7207" spans="65:72" x14ac:dyDescent="0.25">
      <c r="BM7207" s="81"/>
      <c r="BN7207" s="81"/>
      <c r="BO7207" s="81"/>
      <c r="BP7207" s="81"/>
      <c r="BQ7207" s="81"/>
      <c r="BR7207" s="81"/>
      <c r="BS7207" s="81"/>
      <c r="BT7207" s="81"/>
    </row>
    <row r="7208" spans="65:72" x14ac:dyDescent="0.25">
      <c r="BM7208" s="81"/>
      <c r="BN7208" s="81"/>
      <c r="BO7208" s="81"/>
      <c r="BP7208" s="81"/>
      <c r="BQ7208" s="81"/>
      <c r="BR7208" s="81"/>
      <c r="BS7208" s="81"/>
      <c r="BT7208" s="81"/>
    </row>
    <row r="7209" spans="65:72" x14ac:dyDescent="0.25">
      <c r="BM7209" s="81"/>
      <c r="BN7209" s="81"/>
      <c r="BO7209" s="81"/>
      <c r="BP7209" s="81"/>
      <c r="BQ7209" s="81"/>
      <c r="BR7209" s="81"/>
      <c r="BS7209" s="81"/>
      <c r="BT7209" s="81"/>
    </row>
    <row r="7210" spans="65:72" x14ac:dyDescent="0.25">
      <c r="BM7210" s="81"/>
      <c r="BN7210" s="81"/>
      <c r="BO7210" s="81"/>
      <c r="BP7210" s="81"/>
      <c r="BQ7210" s="81"/>
      <c r="BR7210" s="81"/>
      <c r="BS7210" s="81"/>
      <c r="BT7210" s="81"/>
    </row>
    <row r="7211" spans="65:72" x14ac:dyDescent="0.25">
      <c r="BM7211" s="81"/>
      <c r="BN7211" s="81"/>
      <c r="BO7211" s="81"/>
      <c r="BP7211" s="81"/>
      <c r="BQ7211" s="81"/>
      <c r="BR7211" s="81"/>
      <c r="BS7211" s="81"/>
      <c r="BT7211" s="81"/>
    </row>
    <row r="7212" spans="65:72" x14ac:dyDescent="0.25">
      <c r="BM7212" s="81"/>
      <c r="BN7212" s="81"/>
      <c r="BO7212" s="81"/>
      <c r="BP7212" s="81"/>
      <c r="BQ7212" s="81"/>
      <c r="BR7212" s="81"/>
      <c r="BS7212" s="81"/>
      <c r="BT7212" s="81"/>
    </row>
    <row r="7213" spans="65:72" x14ac:dyDescent="0.25">
      <c r="BM7213" s="81"/>
      <c r="BN7213" s="81"/>
      <c r="BO7213" s="81"/>
      <c r="BP7213" s="81"/>
      <c r="BQ7213" s="81"/>
      <c r="BR7213" s="81"/>
      <c r="BS7213" s="81"/>
      <c r="BT7213" s="81"/>
    </row>
    <row r="7214" spans="65:72" x14ac:dyDescent="0.25">
      <c r="BM7214" s="81"/>
      <c r="BN7214" s="81"/>
      <c r="BO7214" s="81"/>
      <c r="BP7214" s="81"/>
      <c r="BQ7214" s="81"/>
      <c r="BR7214" s="81"/>
      <c r="BS7214" s="81"/>
      <c r="BT7214" s="81"/>
    </row>
    <row r="7215" spans="65:72" x14ac:dyDescent="0.25">
      <c r="BM7215" s="81"/>
      <c r="BN7215" s="81"/>
      <c r="BO7215" s="81"/>
      <c r="BP7215" s="81"/>
      <c r="BQ7215" s="81"/>
      <c r="BR7215" s="81"/>
      <c r="BS7215" s="81"/>
      <c r="BT7215" s="81"/>
    </row>
    <row r="7216" spans="65:72" x14ac:dyDescent="0.25">
      <c r="BM7216" s="81"/>
      <c r="BN7216" s="81"/>
      <c r="BO7216" s="81"/>
      <c r="BP7216" s="81"/>
      <c r="BQ7216" s="81"/>
      <c r="BR7216" s="81"/>
      <c r="BS7216" s="81"/>
      <c r="BT7216" s="81"/>
    </row>
    <row r="7217" spans="65:72" x14ac:dyDescent="0.25">
      <c r="BM7217" s="81"/>
      <c r="BN7217" s="81"/>
      <c r="BO7217" s="81"/>
      <c r="BP7217" s="81"/>
      <c r="BQ7217" s="81"/>
      <c r="BR7217" s="81"/>
      <c r="BS7217" s="81"/>
      <c r="BT7217" s="81"/>
    </row>
    <row r="7218" spans="65:72" x14ac:dyDescent="0.25">
      <c r="BM7218" s="81"/>
      <c r="BN7218" s="81"/>
      <c r="BO7218" s="81"/>
      <c r="BP7218" s="81"/>
      <c r="BQ7218" s="81"/>
      <c r="BR7218" s="81"/>
      <c r="BS7218" s="81"/>
      <c r="BT7218" s="81"/>
    </row>
    <row r="7219" spans="65:72" x14ac:dyDescent="0.25">
      <c r="BM7219" s="81"/>
      <c r="BN7219" s="81"/>
      <c r="BO7219" s="81"/>
      <c r="BP7219" s="81"/>
      <c r="BQ7219" s="81"/>
      <c r="BR7219" s="81"/>
      <c r="BS7219" s="81"/>
      <c r="BT7219" s="81"/>
    </row>
    <row r="7220" spans="65:72" x14ac:dyDescent="0.25">
      <c r="BM7220" s="81"/>
      <c r="BN7220" s="81"/>
      <c r="BO7220" s="81"/>
      <c r="BP7220" s="81"/>
      <c r="BQ7220" s="81"/>
      <c r="BR7220" s="81"/>
      <c r="BS7220" s="81"/>
      <c r="BT7220" s="81"/>
    </row>
    <row r="7221" spans="65:72" x14ac:dyDescent="0.25">
      <c r="BM7221" s="81"/>
      <c r="BN7221" s="81"/>
      <c r="BO7221" s="81"/>
      <c r="BP7221" s="81"/>
      <c r="BQ7221" s="81"/>
      <c r="BR7221" s="81"/>
      <c r="BS7221" s="81"/>
      <c r="BT7221" s="81"/>
    </row>
    <row r="7222" spans="65:72" x14ac:dyDescent="0.25">
      <c r="BM7222" s="81"/>
      <c r="BN7222" s="81"/>
      <c r="BO7222" s="81"/>
      <c r="BP7222" s="81"/>
      <c r="BQ7222" s="81"/>
      <c r="BR7222" s="81"/>
      <c r="BS7222" s="81"/>
      <c r="BT7222" s="81"/>
    </row>
    <row r="7223" spans="65:72" x14ac:dyDescent="0.25">
      <c r="BM7223" s="81"/>
      <c r="BN7223" s="81"/>
      <c r="BO7223" s="81"/>
      <c r="BP7223" s="81"/>
      <c r="BQ7223" s="81"/>
      <c r="BR7223" s="81"/>
      <c r="BS7223" s="81"/>
      <c r="BT7223" s="81"/>
    </row>
    <row r="7224" spans="65:72" x14ac:dyDescent="0.25">
      <c r="BM7224" s="81"/>
      <c r="BN7224" s="81"/>
      <c r="BO7224" s="81"/>
      <c r="BP7224" s="81"/>
      <c r="BQ7224" s="81"/>
      <c r="BR7224" s="81"/>
      <c r="BS7224" s="81"/>
      <c r="BT7224" s="81"/>
    </row>
    <row r="7225" spans="65:72" x14ac:dyDescent="0.25">
      <c r="BM7225" s="81"/>
      <c r="BN7225" s="81"/>
      <c r="BO7225" s="81"/>
      <c r="BP7225" s="81"/>
      <c r="BQ7225" s="81"/>
      <c r="BR7225" s="81"/>
      <c r="BS7225" s="81"/>
      <c r="BT7225" s="81"/>
    </row>
    <row r="7226" spans="65:72" x14ac:dyDescent="0.25">
      <c r="BM7226" s="81"/>
      <c r="BN7226" s="81"/>
      <c r="BO7226" s="81"/>
      <c r="BP7226" s="81"/>
      <c r="BQ7226" s="81"/>
      <c r="BR7226" s="81"/>
      <c r="BS7226" s="81"/>
      <c r="BT7226" s="81"/>
    </row>
    <row r="7227" spans="65:72" x14ac:dyDescent="0.25">
      <c r="BM7227" s="81"/>
      <c r="BN7227" s="81"/>
      <c r="BO7227" s="81"/>
      <c r="BP7227" s="81"/>
      <c r="BQ7227" s="81"/>
      <c r="BR7227" s="81"/>
      <c r="BS7227" s="81"/>
      <c r="BT7227" s="81"/>
    </row>
    <row r="7228" spans="65:72" x14ac:dyDescent="0.25">
      <c r="BM7228" s="81"/>
      <c r="BN7228" s="81"/>
      <c r="BO7228" s="81"/>
      <c r="BP7228" s="81"/>
      <c r="BQ7228" s="81"/>
      <c r="BR7228" s="81"/>
      <c r="BS7228" s="81"/>
      <c r="BT7228" s="81"/>
    </row>
    <row r="7229" spans="65:72" x14ac:dyDescent="0.25">
      <c r="BM7229" s="81"/>
      <c r="BN7229" s="81"/>
      <c r="BO7229" s="81"/>
      <c r="BP7229" s="81"/>
      <c r="BQ7229" s="81"/>
      <c r="BR7229" s="81"/>
      <c r="BS7229" s="81"/>
      <c r="BT7229" s="81"/>
    </row>
    <row r="7230" spans="65:72" x14ac:dyDescent="0.25">
      <c r="BM7230" s="81"/>
      <c r="BN7230" s="81"/>
      <c r="BO7230" s="81"/>
      <c r="BP7230" s="81"/>
      <c r="BQ7230" s="81"/>
      <c r="BR7230" s="81"/>
      <c r="BS7230" s="81"/>
      <c r="BT7230" s="81"/>
    </row>
    <row r="7231" spans="65:72" x14ac:dyDescent="0.25">
      <c r="BM7231" s="81"/>
      <c r="BN7231" s="81"/>
      <c r="BO7231" s="81"/>
      <c r="BP7231" s="81"/>
      <c r="BQ7231" s="81"/>
      <c r="BR7231" s="81"/>
      <c r="BS7231" s="81"/>
      <c r="BT7231" s="81"/>
    </row>
    <row r="7232" spans="65:72" x14ac:dyDescent="0.25">
      <c r="BM7232" s="81"/>
      <c r="BN7232" s="81"/>
      <c r="BO7232" s="81"/>
      <c r="BP7232" s="81"/>
      <c r="BQ7232" s="81"/>
      <c r="BR7232" s="81"/>
      <c r="BS7232" s="81"/>
      <c r="BT7232" s="81"/>
    </row>
    <row r="7233" spans="65:72" x14ac:dyDescent="0.25">
      <c r="BM7233" s="81"/>
      <c r="BN7233" s="81"/>
      <c r="BO7233" s="81"/>
      <c r="BP7233" s="81"/>
      <c r="BQ7233" s="81"/>
      <c r="BR7233" s="81"/>
      <c r="BS7233" s="81"/>
      <c r="BT7233" s="81"/>
    </row>
    <row r="7234" spans="65:72" x14ac:dyDescent="0.25">
      <c r="BM7234" s="81"/>
      <c r="BN7234" s="81"/>
      <c r="BO7234" s="81"/>
      <c r="BP7234" s="81"/>
      <c r="BQ7234" s="81"/>
      <c r="BR7234" s="81"/>
      <c r="BS7234" s="81"/>
      <c r="BT7234" s="81"/>
    </row>
    <row r="7235" spans="65:72" x14ac:dyDescent="0.25">
      <c r="BM7235" s="81"/>
      <c r="BN7235" s="81"/>
      <c r="BO7235" s="81"/>
      <c r="BP7235" s="81"/>
      <c r="BQ7235" s="81"/>
      <c r="BR7235" s="81"/>
      <c r="BS7235" s="81"/>
      <c r="BT7235" s="81"/>
    </row>
    <row r="7236" spans="65:72" x14ac:dyDescent="0.25">
      <c r="BM7236" s="81"/>
      <c r="BN7236" s="81"/>
      <c r="BO7236" s="81"/>
      <c r="BP7236" s="81"/>
      <c r="BQ7236" s="81"/>
      <c r="BR7236" s="81"/>
      <c r="BS7236" s="81"/>
      <c r="BT7236" s="81"/>
    </row>
    <row r="7237" spans="65:72" x14ac:dyDescent="0.25">
      <c r="BM7237" s="81"/>
      <c r="BN7237" s="81"/>
      <c r="BO7237" s="81"/>
      <c r="BP7237" s="81"/>
      <c r="BQ7237" s="81"/>
      <c r="BR7237" s="81"/>
      <c r="BS7237" s="81"/>
      <c r="BT7237" s="81"/>
    </row>
    <row r="7238" spans="65:72" x14ac:dyDescent="0.25">
      <c r="BM7238" s="81"/>
      <c r="BN7238" s="81"/>
      <c r="BO7238" s="81"/>
      <c r="BP7238" s="81"/>
      <c r="BQ7238" s="81"/>
      <c r="BR7238" s="81"/>
      <c r="BS7238" s="81"/>
      <c r="BT7238" s="81"/>
    </row>
    <row r="7239" spans="65:72" x14ac:dyDescent="0.25">
      <c r="BM7239" s="81"/>
      <c r="BN7239" s="81"/>
      <c r="BO7239" s="81"/>
      <c r="BP7239" s="81"/>
      <c r="BQ7239" s="81"/>
      <c r="BR7239" s="81"/>
      <c r="BS7239" s="81"/>
      <c r="BT7239" s="81"/>
    </row>
    <row r="7240" spans="65:72" x14ac:dyDescent="0.25">
      <c r="BM7240" s="81"/>
      <c r="BN7240" s="81"/>
      <c r="BO7240" s="81"/>
      <c r="BP7240" s="81"/>
      <c r="BQ7240" s="81"/>
      <c r="BR7240" s="81"/>
      <c r="BS7240" s="81"/>
      <c r="BT7240" s="81"/>
    </row>
    <row r="7241" spans="65:72" x14ac:dyDescent="0.25">
      <c r="BM7241" s="81"/>
      <c r="BN7241" s="81"/>
      <c r="BO7241" s="81"/>
      <c r="BP7241" s="81"/>
      <c r="BQ7241" s="81"/>
      <c r="BR7241" s="81"/>
      <c r="BS7241" s="81"/>
      <c r="BT7241" s="81"/>
    </row>
    <row r="7242" spans="65:72" x14ac:dyDescent="0.25">
      <c r="BM7242" s="81"/>
      <c r="BN7242" s="81"/>
      <c r="BO7242" s="81"/>
      <c r="BP7242" s="81"/>
      <c r="BQ7242" s="81"/>
      <c r="BR7242" s="81"/>
      <c r="BS7242" s="81"/>
      <c r="BT7242" s="81"/>
    </row>
    <row r="7243" spans="65:72" x14ac:dyDescent="0.25">
      <c r="BM7243" s="81"/>
      <c r="BN7243" s="81"/>
      <c r="BO7243" s="81"/>
      <c r="BP7243" s="81"/>
      <c r="BQ7243" s="81"/>
      <c r="BR7243" s="81"/>
      <c r="BS7243" s="81"/>
      <c r="BT7243" s="81"/>
    </row>
    <row r="7244" spans="65:72" x14ac:dyDescent="0.25">
      <c r="BM7244" s="81"/>
      <c r="BN7244" s="81"/>
      <c r="BO7244" s="81"/>
      <c r="BP7244" s="81"/>
      <c r="BQ7244" s="81"/>
      <c r="BR7244" s="81"/>
      <c r="BS7244" s="81"/>
      <c r="BT7244" s="81"/>
    </row>
    <row r="7245" spans="65:72" x14ac:dyDescent="0.25">
      <c r="BM7245" s="81"/>
      <c r="BN7245" s="81"/>
      <c r="BO7245" s="81"/>
      <c r="BP7245" s="81"/>
      <c r="BQ7245" s="81"/>
      <c r="BR7245" s="81"/>
      <c r="BS7245" s="81"/>
      <c r="BT7245" s="81"/>
    </row>
    <row r="7246" spans="65:72" x14ac:dyDescent="0.25">
      <c r="BM7246" s="81"/>
      <c r="BN7246" s="81"/>
      <c r="BO7246" s="81"/>
      <c r="BP7246" s="81"/>
      <c r="BQ7246" s="81"/>
      <c r="BR7246" s="81"/>
      <c r="BS7246" s="81"/>
      <c r="BT7246" s="81"/>
    </row>
    <row r="7247" spans="65:72" x14ac:dyDescent="0.25">
      <c r="BM7247" s="81"/>
      <c r="BN7247" s="81"/>
      <c r="BO7247" s="81"/>
      <c r="BP7247" s="81"/>
      <c r="BQ7247" s="81"/>
      <c r="BR7247" s="81"/>
      <c r="BS7247" s="81"/>
      <c r="BT7247" s="81"/>
    </row>
    <row r="7248" spans="65:72" x14ac:dyDescent="0.25">
      <c r="BM7248" s="81"/>
      <c r="BN7248" s="81"/>
      <c r="BO7248" s="81"/>
      <c r="BP7248" s="81"/>
      <c r="BQ7248" s="81"/>
      <c r="BR7248" s="81"/>
      <c r="BS7248" s="81"/>
      <c r="BT7248" s="81"/>
    </row>
    <row r="7249" spans="65:72" x14ac:dyDescent="0.25">
      <c r="BM7249" s="81"/>
      <c r="BN7249" s="81"/>
      <c r="BO7249" s="81"/>
      <c r="BP7249" s="81"/>
      <c r="BQ7249" s="81"/>
      <c r="BR7249" s="81"/>
      <c r="BS7249" s="81"/>
      <c r="BT7249" s="81"/>
    </row>
    <row r="7250" spans="65:72" x14ac:dyDescent="0.25">
      <c r="BM7250" s="81"/>
      <c r="BN7250" s="81"/>
      <c r="BO7250" s="81"/>
      <c r="BP7250" s="81"/>
      <c r="BQ7250" s="81"/>
      <c r="BR7250" s="81"/>
      <c r="BS7250" s="81"/>
      <c r="BT7250" s="81"/>
    </row>
    <row r="7251" spans="65:72" x14ac:dyDescent="0.25">
      <c r="BM7251" s="81"/>
      <c r="BN7251" s="81"/>
      <c r="BO7251" s="81"/>
      <c r="BP7251" s="81"/>
      <c r="BQ7251" s="81"/>
      <c r="BR7251" s="81"/>
      <c r="BS7251" s="81"/>
      <c r="BT7251" s="81"/>
    </row>
    <row r="7252" spans="65:72" x14ac:dyDescent="0.25">
      <c r="BM7252" s="81"/>
      <c r="BN7252" s="81"/>
      <c r="BO7252" s="81"/>
      <c r="BP7252" s="81"/>
      <c r="BQ7252" s="81"/>
      <c r="BR7252" s="81"/>
      <c r="BS7252" s="81"/>
      <c r="BT7252" s="81"/>
    </row>
    <row r="7253" spans="65:72" x14ac:dyDescent="0.25">
      <c r="BM7253" s="81"/>
      <c r="BN7253" s="81"/>
      <c r="BO7253" s="81"/>
      <c r="BP7253" s="81"/>
      <c r="BQ7253" s="81"/>
      <c r="BR7253" s="81"/>
      <c r="BS7253" s="81"/>
      <c r="BT7253" s="81"/>
    </row>
    <row r="7254" spans="65:72" x14ac:dyDescent="0.25">
      <c r="BM7254" s="81"/>
      <c r="BN7254" s="81"/>
      <c r="BO7254" s="81"/>
      <c r="BP7254" s="81"/>
      <c r="BQ7254" s="81"/>
      <c r="BR7254" s="81"/>
      <c r="BS7254" s="81"/>
      <c r="BT7254" s="81"/>
    </row>
    <row r="7255" spans="65:72" x14ac:dyDescent="0.25">
      <c r="BM7255" s="81"/>
      <c r="BN7255" s="81"/>
      <c r="BO7255" s="81"/>
      <c r="BP7255" s="81"/>
      <c r="BQ7255" s="81"/>
      <c r="BR7255" s="81"/>
      <c r="BS7255" s="81"/>
      <c r="BT7255" s="81"/>
    </row>
    <row r="7256" spans="65:72" x14ac:dyDescent="0.25">
      <c r="BM7256" s="81"/>
      <c r="BN7256" s="81"/>
      <c r="BO7256" s="81"/>
      <c r="BP7256" s="81"/>
      <c r="BQ7256" s="81"/>
      <c r="BR7256" s="81"/>
      <c r="BS7256" s="81"/>
      <c r="BT7256" s="81"/>
    </row>
    <row r="7257" spans="65:72" x14ac:dyDescent="0.25">
      <c r="BM7257" s="81"/>
      <c r="BN7257" s="81"/>
      <c r="BO7257" s="81"/>
      <c r="BP7257" s="81"/>
      <c r="BQ7257" s="81"/>
      <c r="BR7257" s="81"/>
      <c r="BS7257" s="81"/>
      <c r="BT7257" s="81"/>
    </row>
    <row r="7258" spans="65:72" x14ac:dyDescent="0.25">
      <c r="BM7258" s="81"/>
      <c r="BN7258" s="81"/>
      <c r="BO7258" s="81"/>
      <c r="BP7258" s="81"/>
      <c r="BQ7258" s="81"/>
      <c r="BR7258" s="81"/>
      <c r="BS7258" s="81"/>
      <c r="BT7258" s="81"/>
    </row>
    <row r="7259" spans="65:72" x14ac:dyDescent="0.25">
      <c r="BM7259" s="81"/>
      <c r="BN7259" s="81"/>
      <c r="BO7259" s="81"/>
      <c r="BP7259" s="81"/>
      <c r="BQ7259" s="81"/>
      <c r="BR7259" s="81"/>
      <c r="BS7259" s="81"/>
      <c r="BT7259" s="81"/>
    </row>
    <row r="7260" spans="65:72" x14ac:dyDescent="0.25">
      <c r="BM7260" s="81"/>
      <c r="BN7260" s="81"/>
      <c r="BO7260" s="81"/>
      <c r="BP7260" s="81"/>
      <c r="BQ7260" s="81"/>
      <c r="BR7260" s="81"/>
      <c r="BS7260" s="81"/>
      <c r="BT7260" s="81"/>
    </row>
    <row r="7261" spans="65:72" x14ac:dyDescent="0.25">
      <c r="BM7261" s="81"/>
      <c r="BN7261" s="81"/>
      <c r="BO7261" s="81"/>
      <c r="BP7261" s="81"/>
      <c r="BQ7261" s="81"/>
      <c r="BR7261" s="81"/>
      <c r="BS7261" s="81"/>
      <c r="BT7261" s="81"/>
    </row>
    <row r="7262" spans="65:72" x14ac:dyDescent="0.25">
      <c r="BM7262" s="81"/>
      <c r="BN7262" s="81"/>
      <c r="BO7262" s="81"/>
      <c r="BP7262" s="81"/>
      <c r="BQ7262" s="81"/>
      <c r="BR7262" s="81"/>
      <c r="BS7262" s="81"/>
      <c r="BT7262" s="81"/>
    </row>
    <row r="7263" spans="65:72" x14ac:dyDescent="0.25">
      <c r="BM7263" s="81"/>
      <c r="BN7263" s="81"/>
      <c r="BO7263" s="81"/>
      <c r="BP7263" s="81"/>
      <c r="BQ7263" s="81"/>
      <c r="BR7263" s="81"/>
      <c r="BS7263" s="81"/>
      <c r="BT7263" s="81"/>
    </row>
    <row r="7264" spans="65:72" x14ac:dyDescent="0.25">
      <c r="BM7264" s="81"/>
      <c r="BN7264" s="81"/>
      <c r="BO7264" s="81"/>
      <c r="BP7264" s="81"/>
      <c r="BQ7264" s="81"/>
      <c r="BR7264" s="81"/>
      <c r="BS7264" s="81"/>
      <c r="BT7264" s="81"/>
    </row>
    <row r="7265" spans="65:72" x14ac:dyDescent="0.25">
      <c r="BM7265" s="81"/>
      <c r="BN7265" s="81"/>
      <c r="BO7265" s="81"/>
      <c r="BP7265" s="81"/>
      <c r="BQ7265" s="81"/>
      <c r="BR7265" s="81"/>
      <c r="BS7265" s="81"/>
      <c r="BT7265" s="81"/>
    </row>
    <row r="7266" spans="65:72" x14ac:dyDescent="0.25">
      <c r="BM7266" s="81"/>
      <c r="BN7266" s="81"/>
      <c r="BO7266" s="81"/>
      <c r="BP7266" s="81"/>
      <c r="BQ7266" s="81"/>
      <c r="BR7266" s="81"/>
      <c r="BS7266" s="81"/>
      <c r="BT7266" s="81"/>
    </row>
    <row r="7267" spans="65:72" x14ac:dyDescent="0.25">
      <c r="BM7267" s="81"/>
      <c r="BN7267" s="81"/>
      <c r="BO7267" s="81"/>
      <c r="BP7267" s="81"/>
      <c r="BQ7267" s="81"/>
      <c r="BR7267" s="81"/>
      <c r="BS7267" s="81"/>
      <c r="BT7267" s="81"/>
    </row>
    <row r="7268" spans="65:72" x14ac:dyDescent="0.25">
      <c r="BM7268" s="81"/>
      <c r="BN7268" s="81"/>
      <c r="BO7268" s="81"/>
      <c r="BP7268" s="81"/>
      <c r="BQ7268" s="81"/>
      <c r="BR7268" s="81"/>
      <c r="BS7268" s="81"/>
      <c r="BT7268" s="81"/>
    </row>
    <row r="7269" spans="65:72" x14ac:dyDescent="0.25">
      <c r="BM7269" s="81"/>
      <c r="BN7269" s="81"/>
      <c r="BO7269" s="81"/>
      <c r="BP7269" s="81"/>
      <c r="BQ7269" s="81"/>
      <c r="BR7269" s="81"/>
      <c r="BS7269" s="81"/>
      <c r="BT7269" s="81"/>
    </row>
    <row r="7270" spans="65:72" x14ac:dyDescent="0.25">
      <c r="BM7270" s="81"/>
      <c r="BN7270" s="81"/>
      <c r="BO7270" s="81"/>
      <c r="BP7270" s="81"/>
      <c r="BQ7270" s="81"/>
      <c r="BR7270" s="81"/>
      <c r="BS7270" s="81"/>
      <c r="BT7270" s="81"/>
    </row>
    <row r="7271" spans="65:72" x14ac:dyDescent="0.25">
      <c r="BM7271" s="81"/>
      <c r="BN7271" s="81"/>
      <c r="BO7271" s="81"/>
      <c r="BP7271" s="81"/>
      <c r="BQ7271" s="81"/>
      <c r="BR7271" s="81"/>
      <c r="BS7271" s="81"/>
      <c r="BT7271" s="81"/>
    </row>
    <row r="7272" spans="65:72" x14ac:dyDescent="0.25">
      <c r="BM7272" s="81"/>
      <c r="BN7272" s="81"/>
      <c r="BO7272" s="81"/>
      <c r="BP7272" s="81"/>
      <c r="BQ7272" s="81"/>
      <c r="BR7272" s="81"/>
      <c r="BS7272" s="81"/>
      <c r="BT7272" s="81"/>
    </row>
    <row r="7273" spans="65:72" x14ac:dyDescent="0.25">
      <c r="BM7273" s="81"/>
      <c r="BN7273" s="81"/>
      <c r="BO7273" s="81"/>
      <c r="BP7273" s="81"/>
      <c r="BQ7273" s="81"/>
      <c r="BR7273" s="81"/>
      <c r="BS7273" s="81"/>
      <c r="BT7273" s="81"/>
    </row>
    <row r="7274" spans="65:72" x14ac:dyDescent="0.25">
      <c r="BM7274" s="81"/>
      <c r="BN7274" s="81"/>
      <c r="BO7274" s="81"/>
      <c r="BP7274" s="81"/>
      <c r="BQ7274" s="81"/>
      <c r="BR7274" s="81"/>
      <c r="BS7274" s="81"/>
      <c r="BT7274" s="81"/>
    </row>
    <row r="7275" spans="65:72" x14ac:dyDescent="0.25">
      <c r="BM7275" s="81"/>
      <c r="BN7275" s="81"/>
      <c r="BO7275" s="81"/>
      <c r="BP7275" s="81"/>
      <c r="BQ7275" s="81"/>
      <c r="BR7275" s="81"/>
      <c r="BS7275" s="81"/>
      <c r="BT7275" s="81"/>
    </row>
    <row r="7276" spans="65:72" x14ac:dyDescent="0.25">
      <c r="BM7276" s="81"/>
      <c r="BN7276" s="81"/>
      <c r="BO7276" s="81"/>
      <c r="BP7276" s="81"/>
      <c r="BQ7276" s="81"/>
      <c r="BR7276" s="81"/>
      <c r="BS7276" s="81"/>
      <c r="BT7276" s="81"/>
    </row>
    <row r="7277" spans="65:72" x14ac:dyDescent="0.25">
      <c r="BM7277" s="81"/>
      <c r="BN7277" s="81"/>
      <c r="BO7277" s="81"/>
      <c r="BP7277" s="81"/>
      <c r="BQ7277" s="81"/>
      <c r="BR7277" s="81"/>
      <c r="BS7277" s="81"/>
      <c r="BT7277" s="81"/>
    </row>
    <row r="7278" spans="65:72" x14ac:dyDescent="0.25">
      <c r="BM7278" s="81"/>
      <c r="BN7278" s="81"/>
      <c r="BO7278" s="81"/>
      <c r="BP7278" s="81"/>
      <c r="BQ7278" s="81"/>
      <c r="BR7278" s="81"/>
      <c r="BS7278" s="81"/>
      <c r="BT7278" s="81"/>
    </row>
    <row r="7279" spans="65:72" x14ac:dyDescent="0.25">
      <c r="BM7279" s="81"/>
      <c r="BN7279" s="81"/>
      <c r="BO7279" s="81"/>
      <c r="BP7279" s="81"/>
      <c r="BQ7279" s="81"/>
      <c r="BR7279" s="81"/>
      <c r="BS7279" s="81"/>
      <c r="BT7279" s="81"/>
    </row>
    <row r="7280" spans="65:72" x14ac:dyDescent="0.25">
      <c r="BM7280" s="81"/>
      <c r="BN7280" s="81"/>
      <c r="BO7280" s="81"/>
      <c r="BP7280" s="81"/>
      <c r="BQ7280" s="81"/>
      <c r="BR7280" s="81"/>
      <c r="BS7280" s="81"/>
      <c r="BT7280" s="81"/>
    </row>
    <row r="7281" spans="65:72" x14ac:dyDescent="0.25">
      <c r="BM7281" s="81"/>
      <c r="BN7281" s="81"/>
      <c r="BO7281" s="81"/>
      <c r="BP7281" s="81"/>
      <c r="BQ7281" s="81"/>
      <c r="BR7281" s="81"/>
      <c r="BS7281" s="81"/>
      <c r="BT7281" s="81"/>
    </row>
    <row r="7282" spans="65:72" x14ac:dyDescent="0.25">
      <c r="BM7282" s="81"/>
      <c r="BN7282" s="81"/>
      <c r="BO7282" s="81"/>
      <c r="BP7282" s="81"/>
      <c r="BQ7282" s="81"/>
      <c r="BR7282" s="81"/>
      <c r="BS7282" s="81"/>
      <c r="BT7282" s="81"/>
    </row>
    <row r="7283" spans="65:72" x14ac:dyDescent="0.25">
      <c r="BM7283" s="81"/>
      <c r="BN7283" s="81"/>
      <c r="BO7283" s="81"/>
      <c r="BP7283" s="81"/>
      <c r="BQ7283" s="81"/>
      <c r="BR7283" s="81"/>
      <c r="BS7283" s="81"/>
      <c r="BT7283" s="81"/>
    </row>
    <row r="7284" spans="65:72" x14ac:dyDescent="0.25">
      <c r="BM7284" s="81"/>
      <c r="BN7284" s="81"/>
      <c r="BO7284" s="81"/>
      <c r="BP7284" s="81"/>
      <c r="BQ7284" s="81"/>
      <c r="BR7284" s="81"/>
      <c r="BS7284" s="81"/>
      <c r="BT7284" s="81"/>
    </row>
    <row r="7285" spans="65:72" x14ac:dyDescent="0.25">
      <c r="BM7285" s="81"/>
      <c r="BN7285" s="81"/>
      <c r="BO7285" s="81"/>
      <c r="BP7285" s="81"/>
      <c r="BQ7285" s="81"/>
      <c r="BR7285" s="81"/>
      <c r="BS7285" s="81"/>
      <c r="BT7285" s="81"/>
    </row>
    <row r="7286" spans="65:72" x14ac:dyDescent="0.25">
      <c r="BM7286" s="81"/>
      <c r="BN7286" s="81"/>
      <c r="BO7286" s="81"/>
      <c r="BP7286" s="81"/>
      <c r="BQ7286" s="81"/>
      <c r="BR7286" s="81"/>
      <c r="BS7286" s="81"/>
      <c r="BT7286" s="81"/>
    </row>
    <row r="7287" spans="65:72" x14ac:dyDescent="0.25">
      <c r="BM7287" s="81"/>
      <c r="BN7287" s="81"/>
      <c r="BO7287" s="81"/>
      <c r="BP7287" s="81"/>
      <c r="BQ7287" s="81"/>
      <c r="BR7287" s="81"/>
      <c r="BS7287" s="81"/>
      <c r="BT7287" s="81"/>
    </row>
    <row r="7288" spans="65:72" x14ac:dyDescent="0.25">
      <c r="BM7288" s="81"/>
      <c r="BN7288" s="81"/>
      <c r="BO7288" s="81"/>
      <c r="BP7288" s="81"/>
      <c r="BQ7288" s="81"/>
      <c r="BR7288" s="81"/>
      <c r="BS7288" s="81"/>
      <c r="BT7288" s="81"/>
    </row>
    <row r="7289" spans="65:72" x14ac:dyDescent="0.25">
      <c r="BM7289" s="81"/>
      <c r="BN7289" s="81"/>
      <c r="BO7289" s="81"/>
      <c r="BP7289" s="81"/>
      <c r="BQ7289" s="81"/>
      <c r="BR7289" s="81"/>
      <c r="BS7289" s="81"/>
      <c r="BT7289" s="81"/>
    </row>
    <row r="7290" spans="65:72" x14ac:dyDescent="0.25">
      <c r="BM7290" s="81"/>
      <c r="BN7290" s="81"/>
      <c r="BO7290" s="81"/>
      <c r="BP7290" s="81"/>
      <c r="BQ7290" s="81"/>
      <c r="BR7290" s="81"/>
      <c r="BS7290" s="81"/>
      <c r="BT7290" s="81"/>
    </row>
    <row r="7291" spans="65:72" x14ac:dyDescent="0.25">
      <c r="BM7291" s="81"/>
      <c r="BN7291" s="81"/>
      <c r="BO7291" s="81"/>
      <c r="BP7291" s="81"/>
      <c r="BQ7291" s="81"/>
      <c r="BR7291" s="81"/>
      <c r="BS7291" s="81"/>
      <c r="BT7291" s="81"/>
    </row>
    <row r="7292" spans="65:72" x14ac:dyDescent="0.25">
      <c r="BM7292" s="81"/>
      <c r="BN7292" s="81"/>
      <c r="BO7292" s="81"/>
      <c r="BP7292" s="81"/>
      <c r="BQ7292" s="81"/>
      <c r="BR7292" s="81"/>
      <c r="BS7292" s="81"/>
      <c r="BT7292" s="81"/>
    </row>
    <row r="7293" spans="65:72" x14ac:dyDescent="0.25">
      <c r="BM7293" s="81"/>
      <c r="BN7293" s="81"/>
      <c r="BO7293" s="81"/>
      <c r="BP7293" s="81"/>
      <c r="BQ7293" s="81"/>
      <c r="BR7293" s="81"/>
      <c r="BS7293" s="81"/>
      <c r="BT7293" s="81"/>
    </row>
    <row r="7294" spans="65:72" x14ac:dyDescent="0.25">
      <c r="BM7294" s="81"/>
      <c r="BN7294" s="81"/>
      <c r="BO7294" s="81"/>
      <c r="BP7294" s="81"/>
      <c r="BQ7294" s="81"/>
      <c r="BR7294" s="81"/>
      <c r="BS7294" s="81"/>
      <c r="BT7294" s="81"/>
    </row>
    <row r="7295" spans="65:72" x14ac:dyDescent="0.25">
      <c r="BM7295" s="81"/>
      <c r="BN7295" s="81"/>
      <c r="BO7295" s="81"/>
      <c r="BP7295" s="81"/>
      <c r="BQ7295" s="81"/>
      <c r="BR7295" s="81"/>
      <c r="BS7295" s="81"/>
      <c r="BT7295" s="81"/>
    </row>
    <row r="7296" spans="65:72" x14ac:dyDescent="0.25">
      <c r="BM7296" s="81"/>
      <c r="BN7296" s="81"/>
      <c r="BO7296" s="81"/>
      <c r="BP7296" s="81"/>
      <c r="BQ7296" s="81"/>
      <c r="BR7296" s="81"/>
      <c r="BS7296" s="81"/>
      <c r="BT7296" s="81"/>
    </row>
    <row r="7297" spans="65:72" x14ac:dyDescent="0.25">
      <c r="BM7297" s="81"/>
      <c r="BN7297" s="81"/>
      <c r="BO7297" s="81"/>
      <c r="BP7297" s="81"/>
      <c r="BQ7297" s="81"/>
      <c r="BR7297" s="81"/>
      <c r="BS7297" s="81"/>
      <c r="BT7297" s="81"/>
    </row>
    <row r="7298" spans="65:72" x14ac:dyDescent="0.25">
      <c r="BM7298" s="81"/>
      <c r="BN7298" s="81"/>
      <c r="BO7298" s="81"/>
      <c r="BP7298" s="81"/>
      <c r="BQ7298" s="81"/>
      <c r="BR7298" s="81"/>
      <c r="BS7298" s="81"/>
      <c r="BT7298" s="81"/>
    </row>
    <row r="7299" spans="65:72" x14ac:dyDescent="0.25">
      <c r="BM7299" s="81"/>
      <c r="BN7299" s="81"/>
      <c r="BO7299" s="81"/>
      <c r="BP7299" s="81"/>
      <c r="BQ7299" s="81"/>
      <c r="BR7299" s="81"/>
      <c r="BS7299" s="81"/>
      <c r="BT7299" s="81"/>
    </row>
    <row r="7300" spans="65:72" x14ac:dyDescent="0.25">
      <c r="BM7300" s="81"/>
      <c r="BN7300" s="81"/>
      <c r="BO7300" s="81"/>
      <c r="BP7300" s="81"/>
      <c r="BQ7300" s="81"/>
      <c r="BR7300" s="81"/>
      <c r="BS7300" s="81"/>
      <c r="BT7300" s="81"/>
    </row>
    <row r="7301" spans="65:72" x14ac:dyDescent="0.25">
      <c r="BM7301" s="81"/>
      <c r="BN7301" s="81"/>
      <c r="BO7301" s="81"/>
      <c r="BP7301" s="81"/>
      <c r="BQ7301" s="81"/>
      <c r="BR7301" s="81"/>
      <c r="BS7301" s="81"/>
      <c r="BT7301" s="81"/>
    </row>
    <row r="7302" spans="65:72" x14ac:dyDescent="0.25">
      <c r="BM7302" s="81"/>
      <c r="BN7302" s="81"/>
      <c r="BO7302" s="81"/>
      <c r="BP7302" s="81"/>
      <c r="BQ7302" s="81"/>
      <c r="BR7302" s="81"/>
      <c r="BS7302" s="81"/>
      <c r="BT7302" s="81"/>
    </row>
    <row r="7303" spans="65:72" x14ac:dyDescent="0.25">
      <c r="BM7303" s="81"/>
      <c r="BN7303" s="81"/>
      <c r="BO7303" s="81"/>
      <c r="BP7303" s="81"/>
      <c r="BQ7303" s="81"/>
      <c r="BR7303" s="81"/>
      <c r="BS7303" s="81"/>
      <c r="BT7303" s="81"/>
    </row>
    <row r="7304" spans="65:72" x14ac:dyDescent="0.25">
      <c r="BM7304" s="81"/>
      <c r="BN7304" s="81"/>
      <c r="BO7304" s="81"/>
      <c r="BP7304" s="81"/>
      <c r="BQ7304" s="81"/>
      <c r="BR7304" s="81"/>
      <c r="BS7304" s="81"/>
      <c r="BT7304" s="81"/>
    </row>
    <row r="7305" spans="65:72" x14ac:dyDescent="0.25">
      <c r="BM7305" s="81"/>
      <c r="BN7305" s="81"/>
      <c r="BO7305" s="81"/>
      <c r="BP7305" s="81"/>
      <c r="BQ7305" s="81"/>
      <c r="BR7305" s="81"/>
      <c r="BS7305" s="81"/>
      <c r="BT7305" s="81"/>
    </row>
    <row r="7306" spans="65:72" x14ac:dyDescent="0.25">
      <c r="BM7306" s="81"/>
      <c r="BN7306" s="81"/>
      <c r="BO7306" s="81"/>
      <c r="BP7306" s="81"/>
      <c r="BQ7306" s="81"/>
      <c r="BR7306" s="81"/>
      <c r="BS7306" s="81"/>
      <c r="BT7306" s="81"/>
    </row>
    <row r="7307" spans="65:72" x14ac:dyDescent="0.25">
      <c r="BM7307" s="81"/>
      <c r="BN7307" s="81"/>
      <c r="BO7307" s="81"/>
      <c r="BP7307" s="81"/>
      <c r="BQ7307" s="81"/>
      <c r="BR7307" s="81"/>
      <c r="BS7307" s="81"/>
      <c r="BT7307" s="81"/>
    </row>
    <row r="7308" spans="65:72" x14ac:dyDescent="0.25">
      <c r="BM7308" s="81"/>
      <c r="BN7308" s="81"/>
      <c r="BO7308" s="81"/>
      <c r="BP7308" s="81"/>
      <c r="BQ7308" s="81"/>
      <c r="BR7308" s="81"/>
      <c r="BS7308" s="81"/>
      <c r="BT7308" s="81"/>
    </row>
    <row r="7309" spans="65:72" x14ac:dyDescent="0.25">
      <c r="BM7309" s="81"/>
      <c r="BN7309" s="81"/>
      <c r="BO7309" s="81"/>
      <c r="BP7309" s="81"/>
      <c r="BQ7309" s="81"/>
      <c r="BR7309" s="81"/>
      <c r="BS7309" s="81"/>
      <c r="BT7309" s="81"/>
    </row>
    <row r="7310" spans="65:72" x14ac:dyDescent="0.25">
      <c r="BM7310" s="81"/>
      <c r="BN7310" s="81"/>
      <c r="BO7310" s="81"/>
      <c r="BP7310" s="81"/>
      <c r="BQ7310" s="81"/>
      <c r="BR7310" s="81"/>
      <c r="BS7310" s="81"/>
      <c r="BT7310" s="81"/>
    </row>
    <row r="7311" spans="65:72" x14ac:dyDescent="0.25">
      <c r="BM7311" s="81"/>
      <c r="BN7311" s="81"/>
      <c r="BO7311" s="81"/>
      <c r="BP7311" s="81"/>
      <c r="BQ7311" s="81"/>
      <c r="BR7311" s="81"/>
      <c r="BS7311" s="81"/>
      <c r="BT7311" s="81"/>
    </row>
    <row r="7312" spans="65:72" x14ac:dyDescent="0.25">
      <c r="BM7312" s="81"/>
      <c r="BN7312" s="81"/>
      <c r="BO7312" s="81"/>
      <c r="BP7312" s="81"/>
      <c r="BQ7312" s="81"/>
      <c r="BR7312" s="81"/>
      <c r="BS7312" s="81"/>
      <c r="BT7312" s="81"/>
    </row>
    <row r="7313" spans="65:72" x14ac:dyDescent="0.25">
      <c r="BM7313" s="81"/>
      <c r="BN7313" s="81"/>
      <c r="BO7313" s="81"/>
      <c r="BP7313" s="81"/>
      <c r="BQ7313" s="81"/>
      <c r="BR7313" s="81"/>
      <c r="BS7313" s="81"/>
      <c r="BT7313" s="81"/>
    </row>
    <row r="7314" spans="65:72" x14ac:dyDescent="0.25">
      <c r="BM7314" s="81"/>
      <c r="BN7314" s="81"/>
      <c r="BO7314" s="81"/>
      <c r="BP7314" s="81"/>
      <c r="BQ7314" s="81"/>
      <c r="BR7314" s="81"/>
      <c r="BS7314" s="81"/>
      <c r="BT7314" s="81"/>
    </row>
    <row r="7315" spans="65:72" x14ac:dyDescent="0.25">
      <c r="BM7315" s="81"/>
      <c r="BN7315" s="81"/>
      <c r="BO7315" s="81"/>
      <c r="BP7315" s="81"/>
      <c r="BQ7315" s="81"/>
      <c r="BR7315" s="81"/>
      <c r="BS7315" s="81"/>
      <c r="BT7315" s="81"/>
    </row>
    <row r="7316" spans="65:72" x14ac:dyDescent="0.25">
      <c r="BM7316" s="81"/>
      <c r="BN7316" s="81"/>
      <c r="BO7316" s="81"/>
      <c r="BP7316" s="81"/>
      <c r="BQ7316" s="81"/>
      <c r="BR7316" s="81"/>
      <c r="BS7316" s="81"/>
      <c r="BT7316" s="81"/>
    </row>
    <row r="7317" spans="65:72" x14ac:dyDescent="0.25">
      <c r="BM7317" s="81"/>
      <c r="BN7317" s="81"/>
      <c r="BO7317" s="81"/>
      <c r="BP7317" s="81"/>
      <c r="BQ7317" s="81"/>
      <c r="BR7317" s="81"/>
      <c r="BS7317" s="81"/>
      <c r="BT7317" s="81"/>
    </row>
    <row r="7318" spans="65:72" x14ac:dyDescent="0.25">
      <c r="BM7318" s="81"/>
      <c r="BN7318" s="81"/>
      <c r="BO7318" s="81"/>
      <c r="BP7318" s="81"/>
      <c r="BQ7318" s="81"/>
      <c r="BR7318" s="81"/>
      <c r="BS7318" s="81"/>
      <c r="BT7318" s="81"/>
    </row>
    <row r="7319" spans="65:72" x14ac:dyDescent="0.25">
      <c r="BM7319" s="81"/>
      <c r="BN7319" s="81"/>
      <c r="BO7319" s="81"/>
      <c r="BP7319" s="81"/>
      <c r="BQ7319" s="81"/>
      <c r="BR7319" s="81"/>
      <c r="BS7319" s="81"/>
      <c r="BT7319" s="81"/>
    </row>
    <row r="7320" spans="65:72" x14ac:dyDescent="0.25">
      <c r="BM7320" s="81"/>
      <c r="BN7320" s="81"/>
      <c r="BO7320" s="81"/>
      <c r="BP7320" s="81"/>
      <c r="BQ7320" s="81"/>
      <c r="BR7320" s="81"/>
      <c r="BS7320" s="81"/>
      <c r="BT7320" s="81"/>
    </row>
    <row r="7321" spans="65:72" x14ac:dyDescent="0.25">
      <c r="BM7321" s="81"/>
      <c r="BN7321" s="81"/>
      <c r="BO7321" s="81"/>
      <c r="BP7321" s="81"/>
      <c r="BQ7321" s="81"/>
      <c r="BR7321" s="81"/>
      <c r="BS7321" s="81"/>
      <c r="BT7321" s="81"/>
    </row>
    <row r="7322" spans="65:72" x14ac:dyDescent="0.25">
      <c r="BM7322" s="81"/>
      <c r="BN7322" s="81"/>
      <c r="BO7322" s="81"/>
      <c r="BP7322" s="81"/>
      <c r="BQ7322" s="81"/>
      <c r="BR7322" s="81"/>
      <c r="BS7322" s="81"/>
      <c r="BT7322" s="81"/>
    </row>
    <row r="7323" spans="65:72" x14ac:dyDescent="0.25">
      <c r="BM7323" s="81"/>
      <c r="BN7323" s="81"/>
      <c r="BO7323" s="81"/>
      <c r="BP7323" s="81"/>
      <c r="BQ7323" s="81"/>
      <c r="BR7323" s="81"/>
      <c r="BS7323" s="81"/>
      <c r="BT7323" s="81"/>
    </row>
    <row r="7324" spans="65:72" x14ac:dyDescent="0.25">
      <c r="BM7324" s="81"/>
      <c r="BN7324" s="81"/>
      <c r="BO7324" s="81"/>
      <c r="BP7324" s="81"/>
      <c r="BQ7324" s="81"/>
      <c r="BR7324" s="81"/>
      <c r="BS7324" s="81"/>
      <c r="BT7324" s="81"/>
    </row>
    <row r="7325" spans="65:72" x14ac:dyDescent="0.25">
      <c r="BM7325" s="81"/>
      <c r="BN7325" s="81"/>
      <c r="BO7325" s="81"/>
      <c r="BP7325" s="81"/>
      <c r="BQ7325" s="81"/>
      <c r="BR7325" s="81"/>
      <c r="BS7325" s="81"/>
      <c r="BT7325" s="81"/>
    </row>
    <row r="7326" spans="65:72" x14ac:dyDescent="0.25">
      <c r="BM7326" s="81"/>
      <c r="BN7326" s="81"/>
      <c r="BO7326" s="81"/>
      <c r="BP7326" s="81"/>
      <c r="BQ7326" s="81"/>
      <c r="BR7326" s="81"/>
      <c r="BS7326" s="81"/>
      <c r="BT7326" s="81"/>
    </row>
    <row r="7327" spans="65:72" x14ac:dyDescent="0.25">
      <c r="BM7327" s="81"/>
      <c r="BN7327" s="81"/>
      <c r="BO7327" s="81"/>
      <c r="BP7327" s="81"/>
      <c r="BQ7327" s="81"/>
      <c r="BR7327" s="81"/>
      <c r="BS7327" s="81"/>
      <c r="BT7327" s="81"/>
    </row>
    <row r="7328" spans="65:72" x14ac:dyDescent="0.25">
      <c r="BM7328" s="81"/>
      <c r="BN7328" s="81"/>
      <c r="BO7328" s="81"/>
      <c r="BP7328" s="81"/>
      <c r="BQ7328" s="81"/>
      <c r="BR7328" s="81"/>
      <c r="BS7328" s="81"/>
      <c r="BT7328" s="81"/>
    </row>
    <row r="7329" spans="65:72" x14ac:dyDescent="0.25">
      <c r="BM7329" s="81"/>
      <c r="BN7329" s="81"/>
      <c r="BO7329" s="81"/>
      <c r="BP7329" s="81"/>
      <c r="BQ7329" s="81"/>
      <c r="BR7329" s="81"/>
      <c r="BS7329" s="81"/>
      <c r="BT7329" s="81"/>
    </row>
    <row r="7330" spans="65:72" x14ac:dyDescent="0.25">
      <c r="BM7330" s="81"/>
      <c r="BN7330" s="81"/>
      <c r="BO7330" s="81"/>
      <c r="BP7330" s="81"/>
      <c r="BQ7330" s="81"/>
      <c r="BR7330" s="81"/>
      <c r="BS7330" s="81"/>
      <c r="BT7330" s="81"/>
    </row>
    <row r="7331" spans="65:72" x14ac:dyDescent="0.25">
      <c r="BM7331" s="81"/>
      <c r="BN7331" s="81"/>
      <c r="BO7331" s="81"/>
      <c r="BP7331" s="81"/>
      <c r="BQ7331" s="81"/>
      <c r="BR7331" s="81"/>
      <c r="BS7331" s="81"/>
      <c r="BT7331" s="81"/>
    </row>
    <row r="7332" spans="65:72" x14ac:dyDescent="0.25">
      <c r="BM7332" s="81"/>
      <c r="BN7332" s="81"/>
      <c r="BO7332" s="81"/>
      <c r="BP7332" s="81"/>
      <c r="BQ7332" s="81"/>
      <c r="BR7332" s="81"/>
      <c r="BS7332" s="81"/>
      <c r="BT7332" s="81"/>
    </row>
    <row r="7333" spans="65:72" x14ac:dyDescent="0.25">
      <c r="BM7333" s="81"/>
      <c r="BN7333" s="81"/>
      <c r="BO7333" s="81"/>
      <c r="BP7333" s="81"/>
      <c r="BQ7333" s="81"/>
      <c r="BR7333" s="81"/>
      <c r="BS7333" s="81"/>
      <c r="BT7333" s="81"/>
    </row>
    <row r="7334" spans="65:72" x14ac:dyDescent="0.25">
      <c r="BM7334" s="81"/>
      <c r="BN7334" s="81"/>
      <c r="BO7334" s="81"/>
      <c r="BP7334" s="81"/>
      <c r="BQ7334" s="81"/>
      <c r="BR7334" s="81"/>
      <c r="BS7334" s="81"/>
      <c r="BT7334" s="81"/>
    </row>
    <row r="7335" spans="65:72" x14ac:dyDescent="0.25">
      <c r="BM7335" s="81"/>
      <c r="BN7335" s="81"/>
      <c r="BO7335" s="81"/>
      <c r="BP7335" s="81"/>
      <c r="BQ7335" s="81"/>
      <c r="BR7335" s="81"/>
      <c r="BS7335" s="81"/>
      <c r="BT7335" s="81"/>
    </row>
    <row r="7336" spans="65:72" x14ac:dyDescent="0.25">
      <c r="BM7336" s="81"/>
      <c r="BN7336" s="81"/>
      <c r="BO7336" s="81"/>
      <c r="BP7336" s="81"/>
      <c r="BQ7336" s="81"/>
      <c r="BR7336" s="81"/>
      <c r="BS7336" s="81"/>
      <c r="BT7336" s="81"/>
    </row>
    <row r="7337" spans="65:72" x14ac:dyDescent="0.25">
      <c r="BM7337" s="81"/>
      <c r="BN7337" s="81"/>
      <c r="BO7337" s="81"/>
      <c r="BP7337" s="81"/>
      <c r="BQ7337" s="81"/>
      <c r="BR7337" s="81"/>
      <c r="BS7337" s="81"/>
      <c r="BT7337" s="81"/>
    </row>
    <row r="7338" spans="65:72" x14ac:dyDescent="0.25">
      <c r="BM7338" s="81"/>
      <c r="BN7338" s="81"/>
      <c r="BO7338" s="81"/>
      <c r="BP7338" s="81"/>
      <c r="BQ7338" s="81"/>
      <c r="BR7338" s="81"/>
      <c r="BS7338" s="81"/>
      <c r="BT7338" s="81"/>
    </row>
    <row r="7339" spans="65:72" x14ac:dyDescent="0.25">
      <c r="BM7339" s="81"/>
      <c r="BN7339" s="81"/>
      <c r="BO7339" s="81"/>
      <c r="BP7339" s="81"/>
      <c r="BQ7339" s="81"/>
      <c r="BR7339" s="81"/>
      <c r="BS7339" s="81"/>
      <c r="BT7339" s="81"/>
    </row>
    <row r="7340" spans="65:72" x14ac:dyDescent="0.25">
      <c r="BM7340" s="81"/>
      <c r="BN7340" s="81"/>
      <c r="BO7340" s="81"/>
      <c r="BP7340" s="81"/>
      <c r="BQ7340" s="81"/>
      <c r="BR7340" s="81"/>
      <c r="BS7340" s="81"/>
      <c r="BT7340" s="81"/>
    </row>
    <row r="7341" spans="65:72" x14ac:dyDescent="0.25">
      <c r="BM7341" s="81"/>
      <c r="BN7341" s="81"/>
      <c r="BO7341" s="81"/>
      <c r="BP7341" s="81"/>
      <c r="BQ7341" s="81"/>
      <c r="BR7341" s="81"/>
      <c r="BS7341" s="81"/>
      <c r="BT7341" s="81"/>
    </row>
    <row r="7342" spans="65:72" x14ac:dyDescent="0.25">
      <c r="BM7342" s="81"/>
      <c r="BN7342" s="81"/>
      <c r="BO7342" s="81"/>
      <c r="BP7342" s="81"/>
      <c r="BQ7342" s="81"/>
      <c r="BR7342" s="81"/>
      <c r="BS7342" s="81"/>
      <c r="BT7342" s="81"/>
    </row>
    <row r="7343" spans="65:72" x14ac:dyDescent="0.25">
      <c r="BM7343" s="81"/>
      <c r="BN7343" s="81"/>
      <c r="BO7343" s="81"/>
      <c r="BP7343" s="81"/>
      <c r="BQ7343" s="81"/>
      <c r="BR7343" s="81"/>
      <c r="BS7343" s="81"/>
      <c r="BT7343" s="81"/>
    </row>
    <row r="7344" spans="65:72" x14ac:dyDescent="0.25">
      <c r="BM7344" s="81"/>
      <c r="BN7344" s="81"/>
      <c r="BO7344" s="81"/>
      <c r="BP7344" s="81"/>
      <c r="BQ7344" s="81"/>
      <c r="BR7344" s="81"/>
      <c r="BS7344" s="81"/>
      <c r="BT7344" s="81"/>
    </row>
    <row r="7345" spans="65:72" x14ac:dyDescent="0.25">
      <c r="BM7345" s="81"/>
      <c r="BN7345" s="81"/>
      <c r="BO7345" s="81"/>
      <c r="BP7345" s="81"/>
      <c r="BQ7345" s="81"/>
      <c r="BR7345" s="81"/>
      <c r="BS7345" s="81"/>
      <c r="BT7345" s="81"/>
    </row>
    <row r="7346" spans="65:72" x14ac:dyDescent="0.25">
      <c r="BM7346" s="81"/>
      <c r="BN7346" s="81"/>
      <c r="BO7346" s="81"/>
      <c r="BP7346" s="81"/>
      <c r="BQ7346" s="81"/>
      <c r="BR7346" s="81"/>
      <c r="BS7346" s="81"/>
      <c r="BT7346" s="81"/>
    </row>
    <row r="7347" spans="65:72" x14ac:dyDescent="0.25">
      <c r="BM7347" s="81"/>
      <c r="BN7347" s="81"/>
      <c r="BO7347" s="81"/>
      <c r="BP7347" s="81"/>
      <c r="BQ7347" s="81"/>
      <c r="BR7347" s="81"/>
      <c r="BS7347" s="81"/>
      <c r="BT7347" s="81"/>
    </row>
    <row r="7348" spans="65:72" x14ac:dyDescent="0.25">
      <c r="BM7348" s="81"/>
      <c r="BN7348" s="81"/>
      <c r="BO7348" s="81"/>
      <c r="BP7348" s="81"/>
      <c r="BQ7348" s="81"/>
      <c r="BR7348" s="81"/>
      <c r="BS7348" s="81"/>
      <c r="BT7348" s="81"/>
    </row>
    <row r="7349" spans="65:72" x14ac:dyDescent="0.25">
      <c r="BM7349" s="81"/>
      <c r="BN7349" s="81"/>
      <c r="BO7349" s="81"/>
      <c r="BP7349" s="81"/>
      <c r="BQ7349" s="81"/>
      <c r="BR7349" s="81"/>
      <c r="BS7349" s="81"/>
      <c r="BT7349" s="81"/>
    </row>
    <row r="7350" spans="65:72" x14ac:dyDescent="0.25">
      <c r="BM7350" s="81"/>
      <c r="BN7350" s="81"/>
      <c r="BO7350" s="81"/>
      <c r="BP7350" s="81"/>
      <c r="BQ7350" s="81"/>
      <c r="BR7350" s="81"/>
      <c r="BS7350" s="81"/>
      <c r="BT7350" s="81"/>
    </row>
    <row r="7351" spans="65:72" x14ac:dyDescent="0.25">
      <c r="BM7351" s="81"/>
      <c r="BN7351" s="81"/>
      <c r="BO7351" s="81"/>
      <c r="BP7351" s="81"/>
      <c r="BQ7351" s="81"/>
      <c r="BR7351" s="81"/>
      <c r="BS7351" s="81"/>
      <c r="BT7351" s="81"/>
    </row>
    <row r="7352" spans="65:72" x14ac:dyDescent="0.25">
      <c r="BM7352" s="81"/>
      <c r="BN7352" s="81"/>
      <c r="BO7352" s="81"/>
      <c r="BP7352" s="81"/>
      <c r="BQ7352" s="81"/>
      <c r="BR7352" s="81"/>
      <c r="BS7352" s="81"/>
      <c r="BT7352" s="81"/>
    </row>
    <row r="7353" spans="65:72" x14ac:dyDescent="0.25">
      <c r="BM7353" s="81"/>
      <c r="BN7353" s="81"/>
      <c r="BO7353" s="81"/>
      <c r="BP7353" s="81"/>
      <c r="BQ7353" s="81"/>
      <c r="BR7353" s="81"/>
      <c r="BS7353" s="81"/>
      <c r="BT7353" s="81"/>
    </row>
    <row r="7354" spans="65:72" x14ac:dyDescent="0.25">
      <c r="BM7354" s="81"/>
      <c r="BN7354" s="81"/>
      <c r="BO7354" s="81"/>
      <c r="BP7354" s="81"/>
      <c r="BQ7354" s="81"/>
      <c r="BR7354" s="81"/>
      <c r="BS7354" s="81"/>
      <c r="BT7354" s="81"/>
    </row>
    <row r="7355" spans="65:72" x14ac:dyDescent="0.25">
      <c r="BM7355" s="81"/>
      <c r="BN7355" s="81"/>
      <c r="BO7355" s="81"/>
      <c r="BP7355" s="81"/>
      <c r="BQ7355" s="81"/>
      <c r="BR7355" s="81"/>
      <c r="BS7355" s="81"/>
      <c r="BT7355" s="81"/>
    </row>
    <row r="7356" spans="65:72" x14ac:dyDescent="0.25">
      <c r="BM7356" s="81"/>
      <c r="BN7356" s="81"/>
      <c r="BO7356" s="81"/>
      <c r="BP7356" s="81"/>
      <c r="BQ7356" s="81"/>
      <c r="BR7356" s="81"/>
      <c r="BS7356" s="81"/>
      <c r="BT7356" s="81"/>
    </row>
    <row r="7357" spans="65:72" x14ac:dyDescent="0.25">
      <c r="BM7357" s="81"/>
      <c r="BN7357" s="81"/>
      <c r="BO7357" s="81"/>
      <c r="BP7357" s="81"/>
      <c r="BQ7357" s="81"/>
      <c r="BR7357" s="81"/>
      <c r="BS7357" s="81"/>
      <c r="BT7357" s="81"/>
    </row>
    <row r="7358" spans="65:72" x14ac:dyDescent="0.25">
      <c r="BM7358" s="81"/>
      <c r="BN7358" s="81"/>
      <c r="BO7358" s="81"/>
      <c r="BP7358" s="81"/>
      <c r="BQ7358" s="81"/>
      <c r="BR7358" s="81"/>
      <c r="BS7358" s="81"/>
      <c r="BT7358" s="81"/>
    </row>
    <row r="7359" spans="65:72" x14ac:dyDescent="0.25">
      <c r="BM7359" s="81"/>
      <c r="BN7359" s="81"/>
      <c r="BO7359" s="81"/>
      <c r="BP7359" s="81"/>
      <c r="BQ7359" s="81"/>
      <c r="BR7359" s="81"/>
      <c r="BS7359" s="81"/>
      <c r="BT7359" s="81"/>
    </row>
    <row r="7360" spans="65:72" x14ac:dyDescent="0.25">
      <c r="BM7360" s="81"/>
      <c r="BN7360" s="81"/>
      <c r="BO7360" s="81"/>
      <c r="BP7360" s="81"/>
      <c r="BQ7360" s="81"/>
      <c r="BR7360" s="81"/>
      <c r="BS7360" s="81"/>
      <c r="BT7360" s="81"/>
    </row>
    <row r="7361" spans="65:72" x14ac:dyDescent="0.25">
      <c r="BM7361" s="81"/>
      <c r="BN7361" s="81"/>
      <c r="BO7361" s="81"/>
      <c r="BP7361" s="81"/>
      <c r="BQ7361" s="81"/>
      <c r="BR7361" s="81"/>
      <c r="BS7361" s="81"/>
      <c r="BT7361" s="81"/>
    </row>
    <row r="7362" spans="65:72" x14ac:dyDescent="0.25">
      <c r="BM7362" s="81"/>
      <c r="BN7362" s="81"/>
      <c r="BO7362" s="81"/>
      <c r="BP7362" s="81"/>
      <c r="BQ7362" s="81"/>
      <c r="BR7362" s="81"/>
      <c r="BS7362" s="81"/>
      <c r="BT7362" s="81"/>
    </row>
    <row r="7363" spans="65:72" x14ac:dyDescent="0.25">
      <c r="BM7363" s="81"/>
      <c r="BN7363" s="81"/>
      <c r="BO7363" s="81"/>
      <c r="BP7363" s="81"/>
      <c r="BQ7363" s="81"/>
      <c r="BR7363" s="81"/>
      <c r="BS7363" s="81"/>
      <c r="BT7363" s="81"/>
    </row>
    <row r="7364" spans="65:72" x14ac:dyDescent="0.25">
      <c r="BM7364" s="81"/>
      <c r="BN7364" s="81"/>
      <c r="BO7364" s="81"/>
      <c r="BP7364" s="81"/>
      <c r="BQ7364" s="81"/>
      <c r="BR7364" s="81"/>
      <c r="BS7364" s="81"/>
      <c r="BT7364" s="81"/>
    </row>
    <row r="7365" spans="65:72" x14ac:dyDescent="0.25">
      <c r="BM7365" s="81"/>
      <c r="BN7365" s="81"/>
      <c r="BO7365" s="81"/>
      <c r="BP7365" s="81"/>
      <c r="BQ7365" s="81"/>
      <c r="BR7365" s="81"/>
      <c r="BS7365" s="81"/>
      <c r="BT7365" s="81"/>
    </row>
    <row r="7366" spans="65:72" x14ac:dyDescent="0.25">
      <c r="BM7366" s="81"/>
      <c r="BN7366" s="81"/>
      <c r="BO7366" s="81"/>
      <c r="BP7366" s="81"/>
      <c r="BQ7366" s="81"/>
      <c r="BR7366" s="81"/>
      <c r="BS7366" s="81"/>
      <c r="BT7366" s="81"/>
    </row>
    <row r="7367" spans="65:72" x14ac:dyDescent="0.25">
      <c r="BM7367" s="81"/>
      <c r="BN7367" s="81"/>
      <c r="BO7367" s="81"/>
      <c r="BP7367" s="81"/>
      <c r="BQ7367" s="81"/>
      <c r="BR7367" s="81"/>
      <c r="BS7367" s="81"/>
      <c r="BT7367" s="81"/>
    </row>
    <row r="7368" spans="65:72" x14ac:dyDescent="0.25">
      <c r="BM7368" s="81"/>
      <c r="BN7368" s="81"/>
      <c r="BO7368" s="81"/>
      <c r="BP7368" s="81"/>
      <c r="BQ7368" s="81"/>
      <c r="BR7368" s="81"/>
      <c r="BS7368" s="81"/>
      <c r="BT7368" s="81"/>
    </row>
    <row r="7369" spans="65:72" x14ac:dyDescent="0.25">
      <c r="BM7369" s="81"/>
      <c r="BN7369" s="81"/>
      <c r="BO7369" s="81"/>
      <c r="BP7369" s="81"/>
      <c r="BQ7369" s="81"/>
      <c r="BR7369" s="81"/>
      <c r="BS7369" s="81"/>
      <c r="BT7369" s="81"/>
    </row>
    <row r="7370" spans="65:72" x14ac:dyDescent="0.25">
      <c r="BM7370" s="81"/>
      <c r="BN7370" s="81"/>
      <c r="BO7370" s="81"/>
      <c r="BP7370" s="81"/>
      <c r="BQ7370" s="81"/>
      <c r="BR7370" s="81"/>
      <c r="BS7370" s="81"/>
      <c r="BT7370" s="81"/>
    </row>
    <row r="7371" spans="65:72" x14ac:dyDescent="0.25">
      <c r="BM7371" s="81"/>
      <c r="BN7371" s="81"/>
      <c r="BO7371" s="81"/>
      <c r="BP7371" s="81"/>
      <c r="BQ7371" s="81"/>
      <c r="BR7371" s="81"/>
      <c r="BS7371" s="81"/>
      <c r="BT7371" s="81"/>
    </row>
    <row r="7372" spans="65:72" x14ac:dyDescent="0.25">
      <c r="BM7372" s="81"/>
      <c r="BN7372" s="81"/>
      <c r="BO7372" s="81"/>
      <c r="BP7372" s="81"/>
      <c r="BQ7372" s="81"/>
      <c r="BR7372" s="81"/>
      <c r="BS7372" s="81"/>
      <c r="BT7372" s="81"/>
    </row>
    <row r="7373" spans="65:72" x14ac:dyDescent="0.25">
      <c r="BM7373" s="81"/>
      <c r="BN7373" s="81"/>
      <c r="BO7373" s="81"/>
      <c r="BP7373" s="81"/>
      <c r="BQ7373" s="81"/>
      <c r="BR7373" s="81"/>
      <c r="BS7373" s="81"/>
      <c r="BT7373" s="81"/>
    </row>
    <row r="7374" spans="65:72" x14ac:dyDescent="0.25">
      <c r="BM7374" s="81"/>
      <c r="BN7374" s="81"/>
      <c r="BO7374" s="81"/>
      <c r="BP7374" s="81"/>
      <c r="BQ7374" s="81"/>
      <c r="BR7374" s="81"/>
      <c r="BS7374" s="81"/>
      <c r="BT7374" s="81"/>
    </row>
    <row r="7375" spans="65:72" x14ac:dyDescent="0.25">
      <c r="BM7375" s="81"/>
      <c r="BN7375" s="81"/>
      <c r="BO7375" s="81"/>
      <c r="BP7375" s="81"/>
      <c r="BQ7375" s="81"/>
      <c r="BR7375" s="81"/>
      <c r="BS7375" s="81"/>
      <c r="BT7375" s="81"/>
    </row>
    <row r="7376" spans="65:72" x14ac:dyDescent="0.25">
      <c r="BM7376" s="81"/>
      <c r="BN7376" s="81"/>
      <c r="BO7376" s="81"/>
      <c r="BP7376" s="81"/>
      <c r="BQ7376" s="81"/>
      <c r="BR7376" s="81"/>
      <c r="BS7376" s="81"/>
      <c r="BT7376" s="81"/>
    </row>
    <row r="7377" spans="65:72" x14ac:dyDescent="0.25">
      <c r="BM7377" s="81"/>
      <c r="BN7377" s="81"/>
      <c r="BO7377" s="81"/>
      <c r="BP7377" s="81"/>
      <c r="BQ7377" s="81"/>
      <c r="BR7377" s="81"/>
      <c r="BS7377" s="81"/>
      <c r="BT7377" s="81"/>
    </row>
    <row r="7378" spans="65:72" x14ac:dyDescent="0.25">
      <c r="BM7378" s="81"/>
      <c r="BN7378" s="81"/>
      <c r="BO7378" s="81"/>
      <c r="BP7378" s="81"/>
      <c r="BQ7378" s="81"/>
      <c r="BR7378" s="81"/>
      <c r="BS7378" s="81"/>
      <c r="BT7378" s="81"/>
    </row>
    <row r="7379" spans="65:72" x14ac:dyDescent="0.25">
      <c r="BM7379" s="81"/>
      <c r="BN7379" s="81"/>
      <c r="BO7379" s="81"/>
      <c r="BP7379" s="81"/>
      <c r="BQ7379" s="81"/>
      <c r="BR7379" s="81"/>
      <c r="BS7379" s="81"/>
      <c r="BT7379" s="81"/>
    </row>
    <row r="7380" spans="65:72" x14ac:dyDescent="0.25">
      <c r="BM7380" s="81"/>
      <c r="BN7380" s="81"/>
      <c r="BO7380" s="81"/>
      <c r="BP7380" s="81"/>
      <c r="BQ7380" s="81"/>
      <c r="BR7380" s="81"/>
      <c r="BS7380" s="81"/>
      <c r="BT7380" s="81"/>
    </row>
    <row r="7381" spans="65:72" x14ac:dyDescent="0.25">
      <c r="BM7381" s="81"/>
      <c r="BN7381" s="81"/>
      <c r="BO7381" s="81"/>
      <c r="BP7381" s="81"/>
      <c r="BQ7381" s="81"/>
      <c r="BR7381" s="81"/>
      <c r="BS7381" s="81"/>
      <c r="BT7381" s="81"/>
    </row>
    <row r="7382" spans="65:72" x14ac:dyDescent="0.25">
      <c r="BM7382" s="81"/>
      <c r="BN7382" s="81"/>
      <c r="BO7382" s="81"/>
      <c r="BP7382" s="81"/>
      <c r="BQ7382" s="81"/>
      <c r="BR7382" s="81"/>
      <c r="BS7382" s="81"/>
      <c r="BT7382" s="81"/>
    </row>
    <row r="7383" spans="65:72" x14ac:dyDescent="0.25">
      <c r="BM7383" s="81"/>
      <c r="BN7383" s="81"/>
      <c r="BO7383" s="81"/>
      <c r="BP7383" s="81"/>
      <c r="BQ7383" s="81"/>
      <c r="BR7383" s="81"/>
      <c r="BS7383" s="81"/>
      <c r="BT7383" s="81"/>
    </row>
    <row r="7384" spans="65:72" x14ac:dyDescent="0.25">
      <c r="BM7384" s="81"/>
      <c r="BN7384" s="81"/>
      <c r="BO7384" s="81"/>
      <c r="BP7384" s="81"/>
      <c r="BQ7384" s="81"/>
      <c r="BR7384" s="81"/>
      <c r="BS7384" s="81"/>
      <c r="BT7384" s="81"/>
    </row>
    <row r="7385" spans="65:72" x14ac:dyDescent="0.25">
      <c r="BM7385" s="81"/>
      <c r="BN7385" s="81"/>
      <c r="BO7385" s="81"/>
      <c r="BP7385" s="81"/>
      <c r="BQ7385" s="81"/>
      <c r="BR7385" s="81"/>
      <c r="BS7385" s="81"/>
      <c r="BT7385" s="81"/>
    </row>
    <row r="7386" spans="65:72" x14ac:dyDescent="0.25">
      <c r="BM7386" s="81"/>
      <c r="BN7386" s="81"/>
      <c r="BO7386" s="81"/>
      <c r="BP7386" s="81"/>
      <c r="BQ7386" s="81"/>
      <c r="BR7386" s="81"/>
      <c r="BS7386" s="81"/>
      <c r="BT7386" s="81"/>
    </row>
    <row r="7387" spans="65:72" x14ac:dyDescent="0.25">
      <c r="BM7387" s="81"/>
      <c r="BN7387" s="81"/>
      <c r="BO7387" s="81"/>
      <c r="BP7387" s="81"/>
      <c r="BQ7387" s="81"/>
      <c r="BR7387" s="81"/>
      <c r="BS7387" s="81"/>
      <c r="BT7387" s="81"/>
    </row>
    <row r="7388" spans="65:72" x14ac:dyDescent="0.25">
      <c r="BM7388" s="81"/>
      <c r="BN7388" s="81"/>
      <c r="BO7388" s="81"/>
      <c r="BP7388" s="81"/>
      <c r="BQ7388" s="81"/>
      <c r="BR7388" s="81"/>
      <c r="BS7388" s="81"/>
      <c r="BT7388" s="81"/>
    </row>
    <row r="7389" spans="65:72" x14ac:dyDescent="0.25">
      <c r="BM7389" s="81"/>
      <c r="BN7389" s="81"/>
      <c r="BO7389" s="81"/>
      <c r="BP7389" s="81"/>
      <c r="BQ7389" s="81"/>
      <c r="BR7389" s="81"/>
      <c r="BS7389" s="81"/>
      <c r="BT7389" s="81"/>
    </row>
    <row r="7390" spans="65:72" x14ac:dyDescent="0.25">
      <c r="BM7390" s="81"/>
      <c r="BN7390" s="81"/>
      <c r="BO7390" s="81"/>
      <c r="BP7390" s="81"/>
      <c r="BQ7390" s="81"/>
      <c r="BR7390" s="81"/>
      <c r="BS7390" s="81"/>
      <c r="BT7390" s="81"/>
    </row>
    <row r="7391" spans="65:72" x14ac:dyDescent="0.25">
      <c r="BM7391" s="81"/>
      <c r="BN7391" s="81"/>
      <c r="BO7391" s="81"/>
      <c r="BP7391" s="81"/>
      <c r="BQ7391" s="81"/>
      <c r="BR7391" s="81"/>
      <c r="BS7391" s="81"/>
      <c r="BT7391" s="81"/>
    </row>
    <row r="7392" spans="65:72" x14ac:dyDescent="0.25">
      <c r="BM7392" s="81"/>
      <c r="BN7392" s="81"/>
      <c r="BO7392" s="81"/>
      <c r="BP7392" s="81"/>
      <c r="BQ7392" s="81"/>
      <c r="BR7392" s="81"/>
      <c r="BS7392" s="81"/>
      <c r="BT7392" s="81"/>
    </row>
    <row r="7393" spans="65:72" x14ac:dyDescent="0.25">
      <c r="BM7393" s="81"/>
      <c r="BN7393" s="81"/>
      <c r="BO7393" s="81"/>
      <c r="BP7393" s="81"/>
      <c r="BQ7393" s="81"/>
      <c r="BR7393" s="81"/>
      <c r="BS7393" s="81"/>
      <c r="BT7393" s="81"/>
    </row>
    <row r="7394" spans="65:72" x14ac:dyDescent="0.25">
      <c r="BM7394" s="81"/>
      <c r="BN7394" s="81"/>
      <c r="BO7394" s="81"/>
      <c r="BP7394" s="81"/>
      <c r="BQ7394" s="81"/>
      <c r="BR7394" s="81"/>
      <c r="BS7394" s="81"/>
      <c r="BT7394" s="81"/>
    </row>
    <row r="7395" spans="65:72" x14ac:dyDescent="0.25">
      <c r="BM7395" s="81"/>
      <c r="BN7395" s="81"/>
      <c r="BO7395" s="81"/>
      <c r="BP7395" s="81"/>
      <c r="BQ7395" s="81"/>
      <c r="BR7395" s="81"/>
      <c r="BS7395" s="81"/>
      <c r="BT7395" s="81"/>
    </row>
    <row r="7396" spans="65:72" x14ac:dyDescent="0.25">
      <c r="BM7396" s="81"/>
      <c r="BN7396" s="81"/>
      <c r="BO7396" s="81"/>
      <c r="BP7396" s="81"/>
      <c r="BQ7396" s="81"/>
      <c r="BR7396" s="81"/>
      <c r="BS7396" s="81"/>
      <c r="BT7396" s="81"/>
    </row>
    <row r="7397" spans="65:72" x14ac:dyDescent="0.25">
      <c r="BM7397" s="81"/>
      <c r="BN7397" s="81"/>
      <c r="BO7397" s="81"/>
      <c r="BP7397" s="81"/>
      <c r="BQ7397" s="81"/>
      <c r="BR7397" s="81"/>
      <c r="BS7397" s="81"/>
      <c r="BT7397" s="81"/>
    </row>
    <row r="7398" spans="65:72" x14ac:dyDescent="0.25">
      <c r="BM7398" s="81"/>
      <c r="BN7398" s="81"/>
      <c r="BO7398" s="81"/>
      <c r="BP7398" s="81"/>
      <c r="BQ7398" s="81"/>
      <c r="BR7398" s="81"/>
      <c r="BS7398" s="81"/>
      <c r="BT7398" s="81"/>
    </row>
    <row r="7399" spans="65:72" x14ac:dyDescent="0.25">
      <c r="BM7399" s="81"/>
      <c r="BN7399" s="81"/>
      <c r="BO7399" s="81"/>
      <c r="BP7399" s="81"/>
      <c r="BQ7399" s="81"/>
      <c r="BR7399" s="81"/>
      <c r="BS7399" s="81"/>
      <c r="BT7399" s="81"/>
    </row>
    <row r="7400" spans="65:72" x14ac:dyDescent="0.25">
      <c r="BM7400" s="81"/>
      <c r="BN7400" s="81"/>
      <c r="BO7400" s="81"/>
      <c r="BP7400" s="81"/>
      <c r="BQ7400" s="81"/>
      <c r="BR7400" s="81"/>
      <c r="BS7400" s="81"/>
      <c r="BT7400" s="81"/>
    </row>
    <row r="7401" spans="65:72" x14ac:dyDescent="0.25">
      <c r="BM7401" s="81"/>
      <c r="BN7401" s="81"/>
      <c r="BO7401" s="81"/>
      <c r="BP7401" s="81"/>
      <c r="BQ7401" s="81"/>
      <c r="BR7401" s="81"/>
      <c r="BS7401" s="81"/>
      <c r="BT7401" s="81"/>
    </row>
    <row r="7402" spans="65:72" x14ac:dyDescent="0.25">
      <c r="BM7402" s="81"/>
      <c r="BN7402" s="81"/>
      <c r="BO7402" s="81"/>
      <c r="BP7402" s="81"/>
      <c r="BQ7402" s="81"/>
      <c r="BR7402" s="81"/>
      <c r="BS7402" s="81"/>
      <c r="BT7402" s="81"/>
    </row>
    <row r="7403" spans="65:72" x14ac:dyDescent="0.25">
      <c r="BM7403" s="81"/>
      <c r="BN7403" s="81"/>
      <c r="BO7403" s="81"/>
      <c r="BP7403" s="81"/>
      <c r="BQ7403" s="81"/>
      <c r="BR7403" s="81"/>
      <c r="BS7403" s="81"/>
      <c r="BT7403" s="81"/>
    </row>
    <row r="7404" spans="65:72" x14ac:dyDescent="0.25">
      <c r="BM7404" s="81"/>
      <c r="BN7404" s="81"/>
      <c r="BO7404" s="81"/>
      <c r="BP7404" s="81"/>
      <c r="BQ7404" s="81"/>
      <c r="BR7404" s="81"/>
      <c r="BS7404" s="81"/>
      <c r="BT7404" s="81"/>
    </row>
    <row r="7405" spans="65:72" x14ac:dyDescent="0.25">
      <c r="BM7405" s="81"/>
      <c r="BN7405" s="81"/>
      <c r="BO7405" s="81"/>
      <c r="BP7405" s="81"/>
      <c r="BQ7405" s="81"/>
      <c r="BR7405" s="81"/>
      <c r="BS7405" s="81"/>
      <c r="BT7405" s="81"/>
    </row>
    <row r="7406" spans="65:72" x14ac:dyDescent="0.25">
      <c r="BM7406" s="81"/>
      <c r="BN7406" s="81"/>
      <c r="BO7406" s="81"/>
      <c r="BP7406" s="81"/>
      <c r="BQ7406" s="81"/>
      <c r="BR7406" s="81"/>
      <c r="BS7406" s="81"/>
      <c r="BT7406" s="81"/>
    </row>
    <row r="7407" spans="65:72" x14ac:dyDescent="0.25">
      <c r="BM7407" s="81"/>
      <c r="BN7407" s="81"/>
      <c r="BO7407" s="81"/>
      <c r="BP7407" s="81"/>
      <c r="BQ7407" s="81"/>
      <c r="BR7407" s="81"/>
      <c r="BS7407" s="81"/>
      <c r="BT7407" s="81"/>
    </row>
    <row r="7408" spans="65:72" x14ac:dyDescent="0.25">
      <c r="BM7408" s="81"/>
      <c r="BN7408" s="81"/>
      <c r="BO7408" s="81"/>
      <c r="BP7408" s="81"/>
      <c r="BQ7408" s="81"/>
      <c r="BR7408" s="81"/>
      <c r="BS7408" s="81"/>
      <c r="BT7408" s="81"/>
    </row>
    <row r="7409" spans="65:72" x14ac:dyDescent="0.25">
      <c r="BM7409" s="81"/>
      <c r="BN7409" s="81"/>
      <c r="BO7409" s="81"/>
      <c r="BP7409" s="81"/>
      <c r="BQ7409" s="81"/>
      <c r="BR7409" s="81"/>
      <c r="BS7409" s="81"/>
      <c r="BT7409" s="81"/>
    </row>
    <row r="7410" spans="65:72" x14ac:dyDescent="0.25">
      <c r="BM7410" s="81"/>
      <c r="BN7410" s="81"/>
      <c r="BO7410" s="81"/>
      <c r="BP7410" s="81"/>
      <c r="BQ7410" s="81"/>
      <c r="BR7410" s="81"/>
      <c r="BS7410" s="81"/>
      <c r="BT7410" s="81"/>
    </row>
    <row r="7411" spans="65:72" x14ac:dyDescent="0.25">
      <c r="BM7411" s="81"/>
      <c r="BN7411" s="81"/>
      <c r="BO7411" s="81"/>
      <c r="BP7411" s="81"/>
      <c r="BQ7411" s="81"/>
      <c r="BR7411" s="81"/>
      <c r="BS7411" s="81"/>
      <c r="BT7411" s="81"/>
    </row>
    <row r="7412" spans="65:72" x14ac:dyDescent="0.25">
      <c r="BM7412" s="81"/>
      <c r="BN7412" s="81"/>
      <c r="BO7412" s="81"/>
      <c r="BP7412" s="81"/>
      <c r="BQ7412" s="81"/>
      <c r="BR7412" s="81"/>
      <c r="BS7412" s="81"/>
      <c r="BT7412" s="81"/>
    </row>
    <row r="7413" spans="65:72" x14ac:dyDescent="0.25">
      <c r="BM7413" s="81"/>
      <c r="BN7413" s="81"/>
      <c r="BO7413" s="81"/>
      <c r="BP7413" s="81"/>
      <c r="BQ7413" s="81"/>
      <c r="BR7413" s="81"/>
      <c r="BS7413" s="81"/>
      <c r="BT7413" s="81"/>
    </row>
    <row r="7414" spans="65:72" x14ac:dyDescent="0.25">
      <c r="BM7414" s="81"/>
      <c r="BN7414" s="81"/>
      <c r="BO7414" s="81"/>
      <c r="BP7414" s="81"/>
      <c r="BQ7414" s="81"/>
      <c r="BR7414" s="81"/>
      <c r="BS7414" s="81"/>
      <c r="BT7414" s="81"/>
    </row>
    <row r="7415" spans="65:72" x14ac:dyDescent="0.25">
      <c r="BM7415" s="81"/>
      <c r="BN7415" s="81"/>
      <c r="BO7415" s="81"/>
      <c r="BP7415" s="81"/>
      <c r="BQ7415" s="81"/>
      <c r="BR7415" s="81"/>
      <c r="BS7415" s="81"/>
      <c r="BT7415" s="81"/>
    </row>
    <row r="7416" spans="65:72" x14ac:dyDescent="0.25">
      <c r="BM7416" s="81"/>
      <c r="BN7416" s="81"/>
      <c r="BO7416" s="81"/>
      <c r="BP7416" s="81"/>
      <c r="BQ7416" s="81"/>
      <c r="BR7416" s="81"/>
      <c r="BS7416" s="81"/>
      <c r="BT7416" s="81"/>
    </row>
    <row r="7417" spans="65:72" x14ac:dyDescent="0.25">
      <c r="BM7417" s="81"/>
      <c r="BN7417" s="81"/>
      <c r="BO7417" s="81"/>
      <c r="BP7417" s="81"/>
      <c r="BQ7417" s="81"/>
      <c r="BR7417" s="81"/>
      <c r="BS7417" s="81"/>
      <c r="BT7417" s="81"/>
    </row>
    <row r="7418" spans="65:72" x14ac:dyDescent="0.25">
      <c r="BM7418" s="81"/>
      <c r="BN7418" s="81"/>
      <c r="BO7418" s="81"/>
      <c r="BP7418" s="81"/>
      <c r="BQ7418" s="81"/>
      <c r="BR7418" s="81"/>
      <c r="BS7418" s="81"/>
      <c r="BT7418" s="81"/>
    </row>
    <row r="7419" spans="65:72" x14ac:dyDescent="0.25">
      <c r="BM7419" s="81"/>
      <c r="BN7419" s="81"/>
      <c r="BO7419" s="81"/>
      <c r="BP7419" s="81"/>
      <c r="BQ7419" s="81"/>
      <c r="BR7419" s="81"/>
      <c r="BS7419" s="81"/>
      <c r="BT7419" s="81"/>
    </row>
    <row r="7420" spans="65:72" x14ac:dyDescent="0.25">
      <c r="BM7420" s="81"/>
      <c r="BN7420" s="81"/>
      <c r="BO7420" s="81"/>
      <c r="BP7420" s="81"/>
      <c r="BQ7420" s="81"/>
      <c r="BR7420" s="81"/>
      <c r="BS7420" s="81"/>
      <c r="BT7420" s="81"/>
    </row>
    <row r="7421" spans="65:72" x14ac:dyDescent="0.25">
      <c r="BM7421" s="81"/>
      <c r="BN7421" s="81"/>
      <c r="BO7421" s="81"/>
      <c r="BP7421" s="81"/>
      <c r="BQ7421" s="81"/>
      <c r="BR7421" s="81"/>
      <c r="BS7421" s="81"/>
      <c r="BT7421" s="81"/>
    </row>
    <row r="7422" spans="65:72" x14ac:dyDescent="0.25">
      <c r="BM7422" s="81"/>
      <c r="BN7422" s="81"/>
      <c r="BO7422" s="81"/>
      <c r="BP7422" s="81"/>
      <c r="BQ7422" s="81"/>
      <c r="BR7422" s="81"/>
      <c r="BS7422" s="81"/>
      <c r="BT7422" s="81"/>
    </row>
    <row r="7423" spans="65:72" x14ac:dyDescent="0.25">
      <c r="BM7423" s="81"/>
      <c r="BN7423" s="81"/>
      <c r="BO7423" s="81"/>
      <c r="BP7423" s="81"/>
      <c r="BQ7423" s="81"/>
      <c r="BR7423" s="81"/>
      <c r="BS7423" s="81"/>
      <c r="BT7423" s="81"/>
    </row>
    <row r="7424" spans="65:72" x14ac:dyDescent="0.25">
      <c r="BM7424" s="81"/>
      <c r="BN7424" s="81"/>
      <c r="BO7424" s="81"/>
      <c r="BP7424" s="81"/>
      <c r="BQ7424" s="81"/>
      <c r="BR7424" s="81"/>
      <c r="BS7424" s="81"/>
      <c r="BT7424" s="81"/>
    </row>
    <row r="7425" spans="65:72" x14ac:dyDescent="0.25">
      <c r="BM7425" s="81"/>
      <c r="BN7425" s="81"/>
      <c r="BO7425" s="81"/>
      <c r="BP7425" s="81"/>
      <c r="BQ7425" s="81"/>
      <c r="BR7425" s="81"/>
      <c r="BS7425" s="81"/>
      <c r="BT7425" s="81"/>
    </row>
    <row r="7426" spans="65:72" x14ac:dyDescent="0.25">
      <c r="BM7426" s="81"/>
      <c r="BN7426" s="81"/>
      <c r="BO7426" s="81"/>
      <c r="BP7426" s="81"/>
      <c r="BQ7426" s="81"/>
      <c r="BR7426" s="81"/>
      <c r="BS7426" s="81"/>
      <c r="BT7426" s="81"/>
    </row>
    <row r="7427" spans="65:72" x14ac:dyDescent="0.25">
      <c r="BM7427" s="81"/>
      <c r="BN7427" s="81"/>
      <c r="BO7427" s="81"/>
      <c r="BP7427" s="81"/>
      <c r="BQ7427" s="81"/>
      <c r="BR7427" s="81"/>
      <c r="BS7427" s="81"/>
      <c r="BT7427" s="81"/>
    </row>
    <row r="7428" spans="65:72" x14ac:dyDescent="0.25">
      <c r="BM7428" s="81"/>
      <c r="BN7428" s="81"/>
      <c r="BO7428" s="81"/>
      <c r="BP7428" s="81"/>
      <c r="BQ7428" s="81"/>
      <c r="BR7428" s="81"/>
      <c r="BS7428" s="81"/>
      <c r="BT7428" s="81"/>
    </row>
    <row r="7429" spans="65:72" x14ac:dyDescent="0.25">
      <c r="BM7429" s="81"/>
      <c r="BN7429" s="81"/>
      <c r="BO7429" s="81"/>
      <c r="BP7429" s="81"/>
      <c r="BQ7429" s="81"/>
      <c r="BR7429" s="81"/>
      <c r="BS7429" s="81"/>
      <c r="BT7429" s="81"/>
    </row>
    <row r="7430" spans="65:72" x14ac:dyDescent="0.25">
      <c r="BM7430" s="81"/>
      <c r="BN7430" s="81"/>
      <c r="BO7430" s="81"/>
      <c r="BP7430" s="81"/>
      <c r="BQ7430" s="81"/>
      <c r="BR7430" s="81"/>
      <c r="BS7430" s="81"/>
      <c r="BT7430" s="81"/>
    </row>
    <row r="7431" spans="65:72" x14ac:dyDescent="0.25">
      <c r="BM7431" s="81"/>
      <c r="BN7431" s="81"/>
      <c r="BO7431" s="81"/>
      <c r="BP7431" s="81"/>
      <c r="BQ7431" s="81"/>
      <c r="BR7431" s="81"/>
      <c r="BS7431" s="81"/>
      <c r="BT7431" s="81"/>
    </row>
    <row r="7432" spans="65:72" x14ac:dyDescent="0.25">
      <c r="BM7432" s="81"/>
      <c r="BN7432" s="81"/>
      <c r="BO7432" s="81"/>
      <c r="BP7432" s="81"/>
      <c r="BQ7432" s="81"/>
      <c r="BR7432" s="81"/>
      <c r="BS7432" s="81"/>
      <c r="BT7432" s="81"/>
    </row>
    <row r="7433" spans="65:72" x14ac:dyDescent="0.25">
      <c r="BM7433" s="81"/>
      <c r="BN7433" s="81"/>
      <c r="BO7433" s="81"/>
      <c r="BP7433" s="81"/>
      <c r="BQ7433" s="81"/>
      <c r="BR7433" s="81"/>
      <c r="BS7433" s="81"/>
      <c r="BT7433" s="81"/>
    </row>
    <row r="7434" spans="65:72" x14ac:dyDescent="0.25">
      <c r="BM7434" s="81"/>
      <c r="BN7434" s="81"/>
      <c r="BO7434" s="81"/>
      <c r="BP7434" s="81"/>
      <c r="BQ7434" s="81"/>
      <c r="BR7434" s="81"/>
      <c r="BS7434" s="81"/>
      <c r="BT7434" s="81"/>
    </row>
    <row r="7435" spans="65:72" x14ac:dyDescent="0.25">
      <c r="BM7435" s="81"/>
      <c r="BN7435" s="81"/>
      <c r="BO7435" s="81"/>
      <c r="BP7435" s="81"/>
      <c r="BQ7435" s="81"/>
      <c r="BR7435" s="81"/>
      <c r="BS7435" s="81"/>
      <c r="BT7435" s="81"/>
    </row>
    <row r="7436" spans="65:72" x14ac:dyDescent="0.25">
      <c r="BM7436" s="81"/>
      <c r="BN7436" s="81"/>
      <c r="BO7436" s="81"/>
      <c r="BP7436" s="81"/>
      <c r="BQ7436" s="81"/>
      <c r="BR7436" s="81"/>
      <c r="BS7436" s="81"/>
      <c r="BT7436" s="81"/>
    </row>
    <row r="7437" spans="65:72" x14ac:dyDescent="0.25">
      <c r="BM7437" s="81"/>
      <c r="BN7437" s="81"/>
      <c r="BO7437" s="81"/>
      <c r="BP7437" s="81"/>
      <c r="BQ7437" s="81"/>
      <c r="BR7437" s="81"/>
      <c r="BS7437" s="81"/>
      <c r="BT7437" s="81"/>
    </row>
    <row r="7438" spans="65:72" x14ac:dyDescent="0.25">
      <c r="BM7438" s="81"/>
      <c r="BN7438" s="81"/>
      <c r="BO7438" s="81"/>
      <c r="BP7438" s="81"/>
      <c r="BQ7438" s="81"/>
      <c r="BR7438" s="81"/>
      <c r="BS7438" s="81"/>
      <c r="BT7438" s="81"/>
    </row>
    <row r="7439" spans="65:72" x14ac:dyDescent="0.25">
      <c r="BM7439" s="81"/>
      <c r="BN7439" s="81"/>
      <c r="BO7439" s="81"/>
      <c r="BP7439" s="81"/>
      <c r="BQ7439" s="81"/>
      <c r="BR7439" s="81"/>
      <c r="BS7439" s="81"/>
      <c r="BT7439" s="81"/>
    </row>
    <row r="7440" spans="65:72" x14ac:dyDescent="0.25">
      <c r="BM7440" s="81"/>
      <c r="BN7440" s="81"/>
      <c r="BO7440" s="81"/>
      <c r="BP7440" s="81"/>
      <c r="BQ7440" s="81"/>
      <c r="BR7440" s="81"/>
      <c r="BS7440" s="81"/>
      <c r="BT7440" s="81"/>
    </row>
    <row r="7441" spans="65:72" x14ac:dyDescent="0.25">
      <c r="BM7441" s="81"/>
      <c r="BN7441" s="81"/>
      <c r="BO7441" s="81"/>
      <c r="BP7441" s="81"/>
      <c r="BQ7441" s="81"/>
      <c r="BR7441" s="81"/>
      <c r="BS7441" s="81"/>
      <c r="BT7441" s="81"/>
    </row>
    <row r="7442" spans="65:72" x14ac:dyDescent="0.25">
      <c r="BM7442" s="81"/>
      <c r="BN7442" s="81"/>
      <c r="BO7442" s="81"/>
      <c r="BP7442" s="81"/>
      <c r="BQ7442" s="81"/>
      <c r="BR7442" s="81"/>
      <c r="BS7442" s="81"/>
      <c r="BT7442" s="81"/>
    </row>
    <row r="7443" spans="65:72" x14ac:dyDescent="0.25">
      <c r="BM7443" s="81"/>
      <c r="BN7443" s="81"/>
      <c r="BO7443" s="81"/>
      <c r="BP7443" s="81"/>
      <c r="BQ7443" s="81"/>
      <c r="BR7443" s="81"/>
      <c r="BS7443" s="81"/>
      <c r="BT7443" s="81"/>
    </row>
    <row r="7444" spans="65:72" x14ac:dyDescent="0.25">
      <c r="BM7444" s="81"/>
      <c r="BN7444" s="81"/>
      <c r="BO7444" s="81"/>
      <c r="BP7444" s="81"/>
      <c r="BQ7444" s="81"/>
      <c r="BR7444" s="81"/>
      <c r="BS7444" s="81"/>
      <c r="BT7444" s="81"/>
    </row>
    <row r="7445" spans="65:72" x14ac:dyDescent="0.25">
      <c r="BM7445" s="81"/>
      <c r="BN7445" s="81"/>
      <c r="BO7445" s="81"/>
      <c r="BP7445" s="81"/>
      <c r="BQ7445" s="81"/>
      <c r="BR7445" s="81"/>
      <c r="BS7445" s="81"/>
      <c r="BT7445" s="81"/>
    </row>
    <row r="7446" spans="65:72" x14ac:dyDescent="0.25">
      <c r="BM7446" s="81"/>
      <c r="BN7446" s="81"/>
      <c r="BO7446" s="81"/>
      <c r="BP7446" s="81"/>
      <c r="BQ7446" s="81"/>
      <c r="BR7446" s="81"/>
      <c r="BS7446" s="81"/>
      <c r="BT7446" s="81"/>
    </row>
    <row r="7447" spans="65:72" x14ac:dyDescent="0.25">
      <c r="BM7447" s="81"/>
      <c r="BN7447" s="81"/>
      <c r="BO7447" s="81"/>
      <c r="BP7447" s="81"/>
      <c r="BQ7447" s="81"/>
      <c r="BR7447" s="81"/>
      <c r="BS7447" s="81"/>
      <c r="BT7447" s="81"/>
    </row>
    <row r="7448" spans="65:72" x14ac:dyDescent="0.25">
      <c r="BM7448" s="81"/>
      <c r="BN7448" s="81"/>
      <c r="BO7448" s="81"/>
      <c r="BP7448" s="81"/>
      <c r="BQ7448" s="81"/>
      <c r="BR7448" s="81"/>
      <c r="BS7448" s="81"/>
      <c r="BT7448" s="81"/>
    </row>
    <row r="7449" spans="65:72" x14ac:dyDescent="0.25">
      <c r="BM7449" s="81"/>
      <c r="BN7449" s="81"/>
      <c r="BO7449" s="81"/>
      <c r="BP7449" s="81"/>
      <c r="BQ7449" s="81"/>
      <c r="BR7449" s="81"/>
      <c r="BS7449" s="81"/>
      <c r="BT7449" s="81"/>
    </row>
    <row r="7450" spans="65:72" x14ac:dyDescent="0.25">
      <c r="BM7450" s="81"/>
      <c r="BN7450" s="81"/>
      <c r="BO7450" s="81"/>
      <c r="BP7450" s="81"/>
      <c r="BQ7450" s="81"/>
      <c r="BR7450" s="81"/>
      <c r="BS7450" s="81"/>
      <c r="BT7450" s="81"/>
    </row>
    <row r="7451" spans="65:72" x14ac:dyDescent="0.25">
      <c r="BM7451" s="81"/>
      <c r="BN7451" s="81"/>
      <c r="BO7451" s="81"/>
      <c r="BP7451" s="81"/>
      <c r="BQ7451" s="81"/>
      <c r="BR7451" s="81"/>
      <c r="BS7451" s="81"/>
      <c r="BT7451" s="81"/>
    </row>
    <row r="7452" spans="65:72" x14ac:dyDescent="0.25">
      <c r="BM7452" s="81"/>
      <c r="BN7452" s="81"/>
      <c r="BO7452" s="81"/>
      <c r="BP7452" s="81"/>
      <c r="BQ7452" s="81"/>
      <c r="BR7452" s="81"/>
      <c r="BS7452" s="81"/>
      <c r="BT7452" s="81"/>
    </row>
    <row r="7453" spans="65:72" x14ac:dyDescent="0.25">
      <c r="BM7453" s="81"/>
      <c r="BN7453" s="81"/>
      <c r="BO7453" s="81"/>
      <c r="BP7453" s="81"/>
      <c r="BQ7453" s="81"/>
      <c r="BR7453" s="81"/>
      <c r="BS7453" s="81"/>
      <c r="BT7453" s="81"/>
    </row>
    <row r="7454" spans="65:72" x14ac:dyDescent="0.25">
      <c r="BM7454" s="81"/>
      <c r="BN7454" s="81"/>
      <c r="BO7454" s="81"/>
      <c r="BP7454" s="81"/>
      <c r="BQ7454" s="81"/>
      <c r="BR7454" s="81"/>
      <c r="BS7454" s="81"/>
      <c r="BT7454" s="81"/>
    </row>
    <row r="7455" spans="65:72" x14ac:dyDescent="0.25">
      <c r="BM7455" s="81"/>
      <c r="BN7455" s="81"/>
      <c r="BO7455" s="81"/>
      <c r="BP7455" s="81"/>
      <c r="BQ7455" s="81"/>
      <c r="BR7455" s="81"/>
      <c r="BS7455" s="81"/>
      <c r="BT7455" s="81"/>
    </row>
    <row r="7456" spans="65:72" x14ac:dyDescent="0.25">
      <c r="BM7456" s="81"/>
      <c r="BN7456" s="81"/>
      <c r="BO7456" s="81"/>
      <c r="BP7456" s="81"/>
      <c r="BQ7456" s="81"/>
      <c r="BR7456" s="81"/>
      <c r="BS7456" s="81"/>
      <c r="BT7456" s="81"/>
    </row>
    <row r="7457" spans="65:72" x14ac:dyDescent="0.25">
      <c r="BM7457" s="81"/>
      <c r="BN7457" s="81"/>
      <c r="BO7457" s="81"/>
      <c r="BP7457" s="81"/>
      <c r="BQ7457" s="81"/>
      <c r="BR7457" s="81"/>
      <c r="BS7457" s="81"/>
      <c r="BT7457" s="81"/>
    </row>
    <row r="7458" spans="65:72" x14ac:dyDescent="0.25">
      <c r="BM7458" s="81"/>
      <c r="BN7458" s="81"/>
      <c r="BO7458" s="81"/>
      <c r="BP7458" s="81"/>
      <c r="BQ7458" s="81"/>
      <c r="BR7458" s="81"/>
      <c r="BS7458" s="81"/>
      <c r="BT7458" s="81"/>
    </row>
    <row r="7459" spans="65:72" x14ac:dyDescent="0.25">
      <c r="BM7459" s="81"/>
      <c r="BN7459" s="81"/>
      <c r="BO7459" s="81"/>
      <c r="BP7459" s="81"/>
      <c r="BQ7459" s="81"/>
      <c r="BR7459" s="81"/>
      <c r="BS7459" s="81"/>
      <c r="BT7459" s="81"/>
    </row>
    <row r="7460" spans="65:72" x14ac:dyDescent="0.25">
      <c r="BM7460" s="81"/>
      <c r="BN7460" s="81"/>
      <c r="BO7460" s="81"/>
      <c r="BP7460" s="81"/>
      <c r="BQ7460" s="81"/>
      <c r="BR7460" s="81"/>
      <c r="BS7460" s="81"/>
      <c r="BT7460" s="81"/>
    </row>
    <row r="7461" spans="65:72" x14ac:dyDescent="0.25">
      <c r="BM7461" s="81"/>
      <c r="BN7461" s="81"/>
      <c r="BO7461" s="81"/>
      <c r="BP7461" s="81"/>
      <c r="BQ7461" s="81"/>
      <c r="BR7461" s="81"/>
      <c r="BS7461" s="81"/>
      <c r="BT7461" s="81"/>
    </row>
    <row r="7462" spans="65:72" x14ac:dyDescent="0.25">
      <c r="BM7462" s="81"/>
      <c r="BN7462" s="81"/>
      <c r="BO7462" s="81"/>
      <c r="BP7462" s="81"/>
      <c r="BQ7462" s="81"/>
      <c r="BR7462" s="81"/>
      <c r="BS7462" s="81"/>
      <c r="BT7462" s="81"/>
    </row>
    <row r="7463" spans="65:72" x14ac:dyDescent="0.25">
      <c r="BM7463" s="81"/>
      <c r="BN7463" s="81"/>
      <c r="BO7463" s="81"/>
      <c r="BP7463" s="81"/>
      <c r="BQ7463" s="81"/>
      <c r="BR7463" s="81"/>
      <c r="BS7463" s="81"/>
      <c r="BT7463" s="81"/>
    </row>
    <row r="7464" spans="65:72" x14ac:dyDescent="0.25">
      <c r="BM7464" s="81"/>
      <c r="BN7464" s="81"/>
      <c r="BO7464" s="81"/>
      <c r="BP7464" s="81"/>
      <c r="BQ7464" s="81"/>
      <c r="BR7464" s="81"/>
      <c r="BS7464" s="81"/>
      <c r="BT7464" s="81"/>
    </row>
    <row r="7465" spans="65:72" x14ac:dyDescent="0.25">
      <c r="BM7465" s="81"/>
      <c r="BN7465" s="81"/>
      <c r="BO7465" s="81"/>
      <c r="BP7465" s="81"/>
      <c r="BQ7465" s="81"/>
      <c r="BR7465" s="81"/>
      <c r="BS7465" s="81"/>
      <c r="BT7465" s="81"/>
    </row>
    <row r="7466" spans="65:72" x14ac:dyDescent="0.25">
      <c r="BM7466" s="81"/>
      <c r="BN7466" s="81"/>
      <c r="BO7466" s="81"/>
      <c r="BP7466" s="81"/>
      <c r="BQ7466" s="81"/>
      <c r="BR7466" s="81"/>
      <c r="BS7466" s="81"/>
      <c r="BT7466" s="81"/>
    </row>
    <row r="7467" spans="65:72" x14ac:dyDescent="0.25">
      <c r="BM7467" s="81"/>
      <c r="BN7467" s="81"/>
      <c r="BO7467" s="81"/>
      <c r="BP7467" s="81"/>
      <c r="BQ7467" s="81"/>
      <c r="BR7467" s="81"/>
      <c r="BS7467" s="81"/>
      <c r="BT7467" s="81"/>
    </row>
    <row r="7468" spans="65:72" x14ac:dyDescent="0.25">
      <c r="BM7468" s="81"/>
      <c r="BN7468" s="81"/>
      <c r="BO7468" s="81"/>
      <c r="BP7468" s="81"/>
      <c r="BQ7468" s="81"/>
      <c r="BR7468" s="81"/>
      <c r="BS7468" s="81"/>
      <c r="BT7468" s="81"/>
    </row>
    <row r="7469" spans="65:72" x14ac:dyDescent="0.25">
      <c r="BM7469" s="81"/>
      <c r="BN7469" s="81"/>
      <c r="BO7469" s="81"/>
      <c r="BP7469" s="81"/>
      <c r="BQ7469" s="81"/>
      <c r="BR7469" s="81"/>
      <c r="BS7469" s="81"/>
      <c r="BT7469" s="81"/>
    </row>
    <row r="7470" spans="65:72" x14ac:dyDescent="0.25">
      <c r="BM7470" s="81"/>
      <c r="BN7470" s="81"/>
      <c r="BO7470" s="81"/>
      <c r="BP7470" s="81"/>
      <c r="BQ7470" s="81"/>
      <c r="BR7470" s="81"/>
      <c r="BS7470" s="81"/>
      <c r="BT7470" s="81"/>
    </row>
    <row r="7471" spans="65:72" x14ac:dyDescent="0.25">
      <c r="BM7471" s="81"/>
      <c r="BN7471" s="81"/>
      <c r="BO7471" s="81"/>
      <c r="BP7471" s="81"/>
      <c r="BQ7471" s="81"/>
      <c r="BR7471" s="81"/>
      <c r="BS7471" s="81"/>
      <c r="BT7471" s="81"/>
    </row>
    <row r="7472" spans="65:72" x14ac:dyDescent="0.25">
      <c r="BM7472" s="81"/>
      <c r="BN7472" s="81"/>
      <c r="BO7472" s="81"/>
      <c r="BP7472" s="81"/>
      <c r="BQ7472" s="81"/>
      <c r="BR7472" s="81"/>
      <c r="BS7472" s="81"/>
      <c r="BT7472" s="81"/>
    </row>
    <row r="7473" spans="65:72" x14ac:dyDescent="0.25">
      <c r="BM7473" s="81"/>
      <c r="BN7473" s="81"/>
      <c r="BO7473" s="81"/>
      <c r="BP7473" s="81"/>
      <c r="BQ7473" s="81"/>
      <c r="BR7473" s="81"/>
      <c r="BS7473" s="81"/>
      <c r="BT7473" s="81"/>
    </row>
    <row r="7474" spans="65:72" x14ac:dyDescent="0.25">
      <c r="BM7474" s="81"/>
      <c r="BN7474" s="81"/>
      <c r="BO7474" s="81"/>
      <c r="BP7474" s="81"/>
      <c r="BQ7474" s="81"/>
      <c r="BR7474" s="81"/>
      <c r="BS7474" s="81"/>
      <c r="BT7474" s="81"/>
    </row>
    <row r="7475" spans="65:72" x14ac:dyDescent="0.25">
      <c r="BM7475" s="81"/>
      <c r="BN7475" s="81"/>
      <c r="BO7475" s="81"/>
      <c r="BP7475" s="81"/>
      <c r="BQ7475" s="81"/>
      <c r="BR7475" s="81"/>
      <c r="BS7475" s="81"/>
      <c r="BT7475" s="81"/>
    </row>
    <row r="7476" spans="65:72" x14ac:dyDescent="0.25">
      <c r="BM7476" s="81"/>
      <c r="BN7476" s="81"/>
      <c r="BO7476" s="81"/>
      <c r="BP7476" s="81"/>
      <c r="BQ7476" s="81"/>
      <c r="BR7476" s="81"/>
      <c r="BS7476" s="81"/>
      <c r="BT7476" s="81"/>
    </row>
    <row r="7477" spans="65:72" x14ac:dyDescent="0.25">
      <c r="BM7477" s="81"/>
      <c r="BN7477" s="81"/>
      <c r="BO7477" s="81"/>
      <c r="BP7477" s="81"/>
      <c r="BQ7477" s="81"/>
      <c r="BR7477" s="81"/>
      <c r="BS7477" s="81"/>
      <c r="BT7477" s="81"/>
    </row>
    <row r="7478" spans="65:72" x14ac:dyDescent="0.25">
      <c r="BM7478" s="81"/>
      <c r="BN7478" s="81"/>
      <c r="BO7478" s="81"/>
      <c r="BP7478" s="81"/>
      <c r="BQ7478" s="81"/>
      <c r="BR7478" s="81"/>
      <c r="BS7478" s="81"/>
      <c r="BT7478" s="81"/>
    </row>
    <row r="7479" spans="65:72" x14ac:dyDescent="0.25">
      <c r="BM7479" s="81"/>
      <c r="BN7479" s="81"/>
      <c r="BO7479" s="81"/>
      <c r="BP7479" s="81"/>
      <c r="BQ7479" s="81"/>
      <c r="BR7479" s="81"/>
      <c r="BS7479" s="81"/>
      <c r="BT7479" s="81"/>
    </row>
    <row r="7480" spans="65:72" x14ac:dyDescent="0.25">
      <c r="BM7480" s="81"/>
      <c r="BN7480" s="81"/>
      <c r="BO7480" s="81"/>
      <c r="BP7480" s="81"/>
      <c r="BQ7480" s="81"/>
      <c r="BR7480" s="81"/>
      <c r="BS7480" s="81"/>
      <c r="BT7480" s="81"/>
    </row>
    <row r="7481" spans="65:72" x14ac:dyDescent="0.25">
      <c r="BM7481" s="81"/>
      <c r="BN7481" s="81"/>
      <c r="BO7481" s="81"/>
      <c r="BP7481" s="81"/>
      <c r="BQ7481" s="81"/>
      <c r="BR7481" s="81"/>
      <c r="BS7481" s="81"/>
      <c r="BT7481" s="81"/>
    </row>
    <row r="7482" spans="65:72" x14ac:dyDescent="0.25">
      <c r="BM7482" s="81"/>
      <c r="BN7482" s="81"/>
      <c r="BO7482" s="81"/>
      <c r="BP7482" s="81"/>
      <c r="BQ7482" s="81"/>
      <c r="BR7482" s="81"/>
      <c r="BS7482" s="81"/>
      <c r="BT7482" s="81"/>
    </row>
    <row r="7483" spans="65:72" x14ac:dyDescent="0.25">
      <c r="BM7483" s="81"/>
      <c r="BN7483" s="81"/>
      <c r="BO7483" s="81"/>
      <c r="BP7483" s="81"/>
      <c r="BQ7483" s="81"/>
      <c r="BR7483" s="81"/>
      <c r="BS7483" s="81"/>
      <c r="BT7483" s="81"/>
    </row>
    <row r="7484" spans="65:72" x14ac:dyDescent="0.25">
      <c r="BM7484" s="81"/>
      <c r="BN7484" s="81"/>
      <c r="BO7484" s="81"/>
      <c r="BP7484" s="81"/>
      <c r="BQ7484" s="81"/>
      <c r="BR7484" s="81"/>
      <c r="BS7484" s="81"/>
      <c r="BT7484" s="81"/>
    </row>
    <row r="7485" spans="65:72" x14ac:dyDescent="0.25">
      <c r="BM7485" s="81"/>
      <c r="BN7485" s="81"/>
      <c r="BO7485" s="81"/>
      <c r="BP7485" s="81"/>
      <c r="BQ7485" s="81"/>
      <c r="BR7485" s="81"/>
      <c r="BS7485" s="81"/>
      <c r="BT7485" s="81"/>
    </row>
    <row r="7486" spans="65:72" x14ac:dyDescent="0.25">
      <c r="BM7486" s="81"/>
      <c r="BN7486" s="81"/>
      <c r="BO7486" s="81"/>
      <c r="BP7486" s="81"/>
      <c r="BQ7486" s="81"/>
      <c r="BR7486" s="81"/>
      <c r="BS7486" s="81"/>
      <c r="BT7486" s="81"/>
    </row>
    <row r="7487" spans="65:72" x14ac:dyDescent="0.25">
      <c r="BM7487" s="81"/>
      <c r="BN7487" s="81"/>
      <c r="BO7487" s="81"/>
      <c r="BP7487" s="81"/>
      <c r="BQ7487" s="81"/>
      <c r="BR7487" s="81"/>
      <c r="BS7487" s="81"/>
      <c r="BT7487" s="81"/>
    </row>
    <row r="7488" spans="65:72" x14ac:dyDescent="0.25">
      <c r="BM7488" s="81"/>
      <c r="BN7488" s="81"/>
      <c r="BO7488" s="81"/>
      <c r="BP7488" s="81"/>
      <c r="BQ7488" s="81"/>
      <c r="BR7488" s="81"/>
      <c r="BS7488" s="81"/>
      <c r="BT7488" s="81"/>
    </row>
    <row r="7489" spans="65:72" x14ac:dyDescent="0.25">
      <c r="BM7489" s="81"/>
      <c r="BN7489" s="81"/>
      <c r="BO7489" s="81"/>
      <c r="BP7489" s="81"/>
      <c r="BQ7489" s="81"/>
      <c r="BR7489" s="81"/>
      <c r="BS7489" s="81"/>
      <c r="BT7489" s="81"/>
    </row>
    <row r="7490" spans="65:72" x14ac:dyDescent="0.25">
      <c r="BM7490" s="81"/>
      <c r="BN7490" s="81"/>
      <c r="BO7490" s="81"/>
      <c r="BP7490" s="81"/>
      <c r="BQ7490" s="81"/>
      <c r="BR7490" s="81"/>
      <c r="BS7490" s="81"/>
      <c r="BT7490" s="81"/>
    </row>
    <row r="7491" spans="65:72" x14ac:dyDescent="0.25">
      <c r="BM7491" s="81"/>
      <c r="BN7491" s="81"/>
      <c r="BO7491" s="81"/>
      <c r="BP7491" s="81"/>
      <c r="BQ7491" s="81"/>
      <c r="BR7491" s="81"/>
      <c r="BS7491" s="81"/>
      <c r="BT7491" s="81"/>
    </row>
    <row r="7492" spans="65:72" x14ac:dyDescent="0.25">
      <c r="BM7492" s="81"/>
      <c r="BN7492" s="81"/>
      <c r="BO7492" s="81"/>
      <c r="BP7492" s="81"/>
      <c r="BQ7492" s="81"/>
      <c r="BR7492" s="81"/>
      <c r="BS7492" s="81"/>
      <c r="BT7492" s="81"/>
    </row>
    <row r="7493" spans="65:72" x14ac:dyDescent="0.25">
      <c r="BM7493" s="81"/>
      <c r="BN7493" s="81"/>
      <c r="BO7493" s="81"/>
      <c r="BP7493" s="81"/>
      <c r="BQ7493" s="81"/>
      <c r="BR7493" s="81"/>
      <c r="BS7493" s="81"/>
      <c r="BT7493" s="81"/>
    </row>
    <row r="7494" spans="65:72" x14ac:dyDescent="0.25">
      <c r="BM7494" s="81"/>
      <c r="BN7494" s="81"/>
      <c r="BO7494" s="81"/>
      <c r="BP7494" s="81"/>
      <c r="BQ7494" s="81"/>
      <c r="BR7494" s="81"/>
      <c r="BS7494" s="81"/>
      <c r="BT7494" s="81"/>
    </row>
    <row r="7495" spans="65:72" x14ac:dyDescent="0.25">
      <c r="BM7495" s="81"/>
      <c r="BN7495" s="81"/>
      <c r="BO7495" s="81"/>
      <c r="BP7495" s="81"/>
      <c r="BQ7495" s="81"/>
      <c r="BR7495" s="81"/>
      <c r="BS7495" s="81"/>
      <c r="BT7495" s="81"/>
    </row>
    <row r="7496" spans="65:72" x14ac:dyDescent="0.25">
      <c r="BM7496" s="81"/>
      <c r="BN7496" s="81"/>
      <c r="BO7496" s="81"/>
      <c r="BP7496" s="81"/>
      <c r="BQ7496" s="81"/>
      <c r="BR7496" s="81"/>
      <c r="BS7496" s="81"/>
      <c r="BT7496" s="81"/>
    </row>
    <row r="7497" spans="65:72" x14ac:dyDescent="0.25">
      <c r="BM7497" s="81"/>
      <c r="BN7497" s="81"/>
      <c r="BO7497" s="81"/>
      <c r="BP7497" s="81"/>
      <c r="BQ7497" s="81"/>
      <c r="BR7497" s="81"/>
      <c r="BS7497" s="81"/>
      <c r="BT7497" s="81"/>
    </row>
    <row r="7498" spans="65:72" x14ac:dyDescent="0.25">
      <c r="BM7498" s="81"/>
      <c r="BN7498" s="81"/>
      <c r="BO7498" s="81"/>
      <c r="BP7498" s="81"/>
      <c r="BQ7498" s="81"/>
      <c r="BR7498" s="81"/>
      <c r="BS7498" s="81"/>
      <c r="BT7498" s="81"/>
    </row>
    <row r="7499" spans="65:72" x14ac:dyDescent="0.25">
      <c r="BM7499" s="81"/>
      <c r="BN7499" s="81"/>
      <c r="BO7499" s="81"/>
      <c r="BP7499" s="81"/>
      <c r="BQ7499" s="81"/>
      <c r="BR7499" s="81"/>
      <c r="BS7499" s="81"/>
      <c r="BT7499" s="81"/>
    </row>
    <row r="7500" spans="65:72" x14ac:dyDescent="0.25">
      <c r="BM7500" s="81"/>
      <c r="BN7500" s="81"/>
      <c r="BO7500" s="81"/>
      <c r="BP7500" s="81"/>
      <c r="BQ7500" s="81"/>
      <c r="BR7500" s="81"/>
      <c r="BS7500" s="81"/>
      <c r="BT7500" s="81"/>
    </row>
    <row r="7501" spans="65:72" x14ac:dyDescent="0.25">
      <c r="BM7501" s="81"/>
      <c r="BN7501" s="81"/>
      <c r="BO7501" s="81"/>
      <c r="BP7501" s="81"/>
      <c r="BQ7501" s="81"/>
      <c r="BR7501" s="81"/>
      <c r="BS7501" s="81"/>
      <c r="BT7501" s="81"/>
    </row>
    <row r="7502" spans="65:72" x14ac:dyDescent="0.25">
      <c r="BM7502" s="81"/>
      <c r="BN7502" s="81"/>
      <c r="BO7502" s="81"/>
      <c r="BP7502" s="81"/>
      <c r="BQ7502" s="81"/>
      <c r="BR7502" s="81"/>
      <c r="BS7502" s="81"/>
      <c r="BT7502" s="81"/>
    </row>
    <row r="7503" spans="65:72" x14ac:dyDescent="0.25">
      <c r="BM7503" s="81"/>
      <c r="BN7503" s="81"/>
      <c r="BO7503" s="81"/>
      <c r="BP7503" s="81"/>
      <c r="BQ7503" s="81"/>
      <c r="BR7503" s="81"/>
      <c r="BS7503" s="81"/>
      <c r="BT7503" s="81"/>
    </row>
    <row r="7504" spans="65:72" x14ac:dyDescent="0.25">
      <c r="BM7504" s="81"/>
      <c r="BN7504" s="81"/>
      <c r="BO7504" s="81"/>
      <c r="BP7504" s="81"/>
      <c r="BQ7504" s="81"/>
      <c r="BR7504" s="81"/>
      <c r="BS7504" s="81"/>
      <c r="BT7504" s="81"/>
    </row>
    <row r="7505" spans="65:72" x14ac:dyDescent="0.25">
      <c r="BM7505" s="81"/>
      <c r="BN7505" s="81"/>
      <c r="BO7505" s="81"/>
      <c r="BP7505" s="81"/>
      <c r="BQ7505" s="81"/>
      <c r="BR7505" s="81"/>
      <c r="BS7505" s="81"/>
      <c r="BT7505" s="81"/>
    </row>
    <row r="7506" spans="65:72" x14ac:dyDescent="0.25">
      <c r="BM7506" s="81"/>
      <c r="BN7506" s="81"/>
      <c r="BO7506" s="81"/>
      <c r="BP7506" s="81"/>
      <c r="BQ7506" s="81"/>
      <c r="BR7506" s="81"/>
      <c r="BS7506" s="81"/>
      <c r="BT7506" s="81"/>
    </row>
    <row r="7507" spans="65:72" x14ac:dyDescent="0.25">
      <c r="BM7507" s="81"/>
      <c r="BN7507" s="81"/>
      <c r="BO7507" s="81"/>
      <c r="BP7507" s="81"/>
      <c r="BQ7507" s="81"/>
      <c r="BR7507" s="81"/>
      <c r="BS7507" s="81"/>
      <c r="BT7507" s="81"/>
    </row>
    <row r="7508" spans="65:72" x14ac:dyDescent="0.25">
      <c r="BM7508" s="81"/>
      <c r="BN7508" s="81"/>
      <c r="BO7508" s="81"/>
      <c r="BP7508" s="81"/>
      <c r="BQ7508" s="81"/>
      <c r="BR7508" s="81"/>
      <c r="BS7508" s="81"/>
      <c r="BT7508" s="81"/>
    </row>
    <row r="7509" spans="65:72" x14ac:dyDescent="0.25">
      <c r="BM7509" s="81"/>
      <c r="BN7509" s="81"/>
      <c r="BO7509" s="81"/>
      <c r="BP7509" s="81"/>
      <c r="BQ7509" s="81"/>
      <c r="BR7509" s="81"/>
      <c r="BS7509" s="81"/>
      <c r="BT7509" s="81"/>
    </row>
    <row r="7510" spans="65:72" x14ac:dyDescent="0.25">
      <c r="BM7510" s="81"/>
      <c r="BN7510" s="81"/>
      <c r="BO7510" s="81"/>
      <c r="BP7510" s="81"/>
      <c r="BQ7510" s="81"/>
      <c r="BR7510" s="81"/>
      <c r="BS7510" s="81"/>
      <c r="BT7510" s="81"/>
    </row>
    <row r="7511" spans="65:72" x14ac:dyDescent="0.25">
      <c r="BM7511" s="81"/>
      <c r="BN7511" s="81"/>
      <c r="BO7511" s="81"/>
      <c r="BP7511" s="81"/>
      <c r="BQ7511" s="81"/>
      <c r="BR7511" s="81"/>
      <c r="BS7511" s="81"/>
      <c r="BT7511" s="81"/>
    </row>
    <row r="7512" spans="65:72" x14ac:dyDescent="0.25">
      <c r="BM7512" s="81"/>
      <c r="BN7512" s="81"/>
      <c r="BO7512" s="81"/>
      <c r="BP7512" s="81"/>
      <c r="BQ7512" s="81"/>
      <c r="BR7512" s="81"/>
      <c r="BS7512" s="81"/>
      <c r="BT7512" s="81"/>
    </row>
    <row r="7513" spans="65:72" x14ac:dyDescent="0.25">
      <c r="BM7513" s="81"/>
      <c r="BN7513" s="81"/>
      <c r="BO7513" s="81"/>
      <c r="BP7513" s="81"/>
      <c r="BQ7513" s="81"/>
      <c r="BR7513" s="81"/>
      <c r="BS7513" s="81"/>
      <c r="BT7513" s="81"/>
    </row>
    <row r="7514" spans="65:72" x14ac:dyDescent="0.25">
      <c r="BM7514" s="81"/>
      <c r="BN7514" s="81"/>
      <c r="BO7514" s="81"/>
      <c r="BP7514" s="81"/>
      <c r="BQ7514" s="81"/>
      <c r="BR7514" s="81"/>
      <c r="BS7514" s="81"/>
      <c r="BT7514" s="81"/>
    </row>
    <row r="7515" spans="65:72" x14ac:dyDescent="0.25">
      <c r="BM7515" s="81"/>
      <c r="BN7515" s="81"/>
      <c r="BO7515" s="81"/>
      <c r="BP7515" s="81"/>
      <c r="BQ7515" s="81"/>
      <c r="BR7515" s="81"/>
      <c r="BS7515" s="81"/>
      <c r="BT7515" s="81"/>
    </row>
    <row r="7516" spans="65:72" x14ac:dyDescent="0.25">
      <c r="BM7516" s="81"/>
      <c r="BN7516" s="81"/>
      <c r="BO7516" s="81"/>
      <c r="BP7516" s="81"/>
      <c r="BQ7516" s="81"/>
      <c r="BR7516" s="81"/>
      <c r="BS7516" s="81"/>
      <c r="BT7516" s="81"/>
    </row>
    <row r="7517" spans="65:72" x14ac:dyDescent="0.25">
      <c r="BM7517" s="81"/>
      <c r="BN7517" s="81"/>
      <c r="BO7517" s="81"/>
      <c r="BP7517" s="81"/>
      <c r="BQ7517" s="81"/>
      <c r="BR7517" s="81"/>
      <c r="BS7517" s="81"/>
      <c r="BT7517" s="81"/>
    </row>
    <row r="7518" spans="65:72" x14ac:dyDescent="0.25">
      <c r="BM7518" s="81"/>
      <c r="BN7518" s="81"/>
      <c r="BO7518" s="81"/>
      <c r="BP7518" s="81"/>
      <c r="BQ7518" s="81"/>
      <c r="BR7518" s="81"/>
      <c r="BS7518" s="81"/>
      <c r="BT7518" s="81"/>
    </row>
    <row r="7519" spans="65:72" x14ac:dyDescent="0.25">
      <c r="BM7519" s="81"/>
      <c r="BN7519" s="81"/>
      <c r="BO7519" s="81"/>
      <c r="BP7519" s="81"/>
      <c r="BQ7519" s="81"/>
      <c r="BR7519" s="81"/>
      <c r="BS7519" s="81"/>
      <c r="BT7519" s="81"/>
    </row>
    <row r="7520" spans="65:72" x14ac:dyDescent="0.25">
      <c r="BM7520" s="81"/>
      <c r="BN7520" s="81"/>
      <c r="BO7520" s="81"/>
      <c r="BP7520" s="81"/>
      <c r="BQ7520" s="81"/>
      <c r="BR7520" s="81"/>
      <c r="BS7520" s="81"/>
      <c r="BT7520" s="81"/>
    </row>
    <row r="7521" spans="65:72" x14ac:dyDescent="0.25">
      <c r="BM7521" s="81"/>
      <c r="BN7521" s="81"/>
      <c r="BO7521" s="81"/>
      <c r="BP7521" s="81"/>
      <c r="BQ7521" s="81"/>
      <c r="BR7521" s="81"/>
      <c r="BS7521" s="81"/>
      <c r="BT7521" s="81"/>
    </row>
    <row r="7522" spans="65:72" x14ac:dyDescent="0.25">
      <c r="BM7522" s="81"/>
      <c r="BN7522" s="81"/>
      <c r="BO7522" s="81"/>
      <c r="BP7522" s="81"/>
      <c r="BQ7522" s="81"/>
      <c r="BR7522" s="81"/>
      <c r="BS7522" s="81"/>
      <c r="BT7522" s="81"/>
    </row>
    <row r="7523" spans="65:72" x14ac:dyDescent="0.25">
      <c r="BM7523" s="81"/>
      <c r="BN7523" s="81"/>
      <c r="BO7523" s="81"/>
      <c r="BP7523" s="81"/>
      <c r="BQ7523" s="81"/>
      <c r="BR7523" s="81"/>
      <c r="BS7523" s="81"/>
      <c r="BT7523" s="81"/>
    </row>
    <row r="7524" spans="65:72" x14ac:dyDescent="0.25">
      <c r="BM7524" s="81"/>
      <c r="BN7524" s="81"/>
      <c r="BO7524" s="81"/>
      <c r="BP7524" s="81"/>
      <c r="BQ7524" s="81"/>
      <c r="BR7524" s="81"/>
      <c r="BS7524" s="81"/>
      <c r="BT7524" s="81"/>
    </row>
    <row r="7525" spans="65:72" x14ac:dyDescent="0.25">
      <c r="BM7525" s="81"/>
      <c r="BN7525" s="81"/>
      <c r="BO7525" s="81"/>
      <c r="BP7525" s="81"/>
      <c r="BQ7525" s="81"/>
      <c r="BR7525" s="81"/>
      <c r="BS7525" s="81"/>
      <c r="BT7525" s="81"/>
    </row>
    <row r="7526" spans="65:72" x14ac:dyDescent="0.25">
      <c r="BM7526" s="81"/>
      <c r="BN7526" s="81"/>
      <c r="BO7526" s="81"/>
      <c r="BP7526" s="81"/>
      <c r="BQ7526" s="81"/>
      <c r="BR7526" s="81"/>
      <c r="BS7526" s="81"/>
      <c r="BT7526" s="81"/>
    </row>
    <row r="7527" spans="65:72" x14ac:dyDescent="0.25">
      <c r="BM7527" s="81"/>
      <c r="BN7527" s="81"/>
      <c r="BO7527" s="81"/>
      <c r="BP7527" s="81"/>
      <c r="BQ7527" s="81"/>
      <c r="BR7527" s="81"/>
      <c r="BS7527" s="81"/>
      <c r="BT7527" s="81"/>
    </row>
    <row r="7528" spans="65:72" x14ac:dyDescent="0.25">
      <c r="BM7528" s="81"/>
      <c r="BN7528" s="81"/>
      <c r="BO7528" s="81"/>
      <c r="BP7528" s="81"/>
      <c r="BQ7528" s="81"/>
      <c r="BR7528" s="81"/>
      <c r="BS7528" s="81"/>
      <c r="BT7528" s="81"/>
    </row>
    <row r="7529" spans="65:72" x14ac:dyDescent="0.25">
      <c r="BM7529" s="81"/>
      <c r="BN7529" s="81"/>
      <c r="BO7529" s="81"/>
      <c r="BP7529" s="81"/>
      <c r="BQ7529" s="81"/>
      <c r="BR7529" s="81"/>
      <c r="BS7529" s="81"/>
      <c r="BT7529" s="81"/>
    </row>
    <row r="7530" spans="65:72" x14ac:dyDescent="0.25">
      <c r="BM7530" s="81"/>
      <c r="BN7530" s="81"/>
      <c r="BO7530" s="81"/>
      <c r="BP7530" s="81"/>
      <c r="BQ7530" s="81"/>
      <c r="BR7530" s="81"/>
      <c r="BS7530" s="81"/>
      <c r="BT7530" s="81"/>
    </row>
    <row r="7531" spans="65:72" x14ac:dyDescent="0.25">
      <c r="BM7531" s="81"/>
      <c r="BN7531" s="81"/>
      <c r="BO7531" s="81"/>
      <c r="BP7531" s="81"/>
      <c r="BQ7531" s="81"/>
      <c r="BR7531" s="81"/>
      <c r="BS7531" s="81"/>
      <c r="BT7531" s="81"/>
    </row>
    <row r="7532" spans="65:72" x14ac:dyDescent="0.25">
      <c r="BM7532" s="81"/>
      <c r="BN7532" s="81"/>
      <c r="BO7532" s="81"/>
      <c r="BP7532" s="81"/>
      <c r="BQ7532" s="81"/>
      <c r="BR7532" s="81"/>
      <c r="BS7532" s="81"/>
      <c r="BT7532" s="81"/>
    </row>
    <row r="7533" spans="65:72" x14ac:dyDescent="0.25">
      <c r="BM7533" s="81"/>
      <c r="BN7533" s="81"/>
      <c r="BO7533" s="81"/>
      <c r="BP7533" s="81"/>
      <c r="BQ7533" s="81"/>
      <c r="BR7533" s="81"/>
      <c r="BS7533" s="81"/>
      <c r="BT7533" s="81"/>
    </row>
    <row r="7534" spans="65:72" x14ac:dyDescent="0.25">
      <c r="BM7534" s="81"/>
      <c r="BN7534" s="81"/>
      <c r="BO7534" s="81"/>
      <c r="BP7534" s="81"/>
      <c r="BQ7534" s="81"/>
      <c r="BR7534" s="81"/>
      <c r="BS7534" s="81"/>
      <c r="BT7534" s="81"/>
    </row>
    <row r="7535" spans="65:72" x14ac:dyDescent="0.25">
      <c r="BM7535" s="81"/>
      <c r="BN7535" s="81"/>
      <c r="BO7535" s="81"/>
      <c r="BP7535" s="81"/>
      <c r="BQ7535" s="81"/>
      <c r="BR7535" s="81"/>
      <c r="BS7535" s="81"/>
      <c r="BT7535" s="81"/>
    </row>
    <row r="7536" spans="65:72" x14ac:dyDescent="0.25">
      <c r="BM7536" s="81"/>
      <c r="BN7536" s="81"/>
      <c r="BO7536" s="81"/>
      <c r="BP7536" s="81"/>
      <c r="BQ7536" s="81"/>
      <c r="BR7536" s="81"/>
      <c r="BS7536" s="81"/>
      <c r="BT7536" s="81"/>
    </row>
    <row r="7537" spans="65:72" x14ac:dyDescent="0.25">
      <c r="BM7537" s="81"/>
      <c r="BN7537" s="81"/>
      <c r="BO7537" s="81"/>
      <c r="BP7537" s="81"/>
      <c r="BQ7537" s="81"/>
      <c r="BR7537" s="81"/>
      <c r="BS7537" s="81"/>
      <c r="BT7537" s="81"/>
    </row>
    <row r="7538" spans="65:72" x14ac:dyDescent="0.25">
      <c r="BM7538" s="81"/>
      <c r="BN7538" s="81"/>
      <c r="BO7538" s="81"/>
      <c r="BP7538" s="81"/>
      <c r="BQ7538" s="81"/>
      <c r="BR7538" s="81"/>
      <c r="BS7538" s="81"/>
      <c r="BT7538" s="81"/>
    </row>
    <row r="7539" spans="65:72" x14ac:dyDescent="0.25">
      <c r="BM7539" s="81"/>
      <c r="BN7539" s="81"/>
      <c r="BO7539" s="81"/>
      <c r="BP7539" s="81"/>
      <c r="BQ7539" s="81"/>
      <c r="BR7539" s="81"/>
      <c r="BS7539" s="81"/>
      <c r="BT7539" s="81"/>
    </row>
    <row r="7540" spans="65:72" x14ac:dyDescent="0.25">
      <c r="BM7540" s="81"/>
      <c r="BN7540" s="81"/>
      <c r="BO7540" s="81"/>
      <c r="BP7540" s="81"/>
      <c r="BQ7540" s="81"/>
      <c r="BR7540" s="81"/>
      <c r="BS7540" s="81"/>
      <c r="BT7540" s="81"/>
    </row>
    <row r="7541" spans="65:72" x14ac:dyDescent="0.25">
      <c r="BM7541" s="81"/>
      <c r="BN7541" s="81"/>
      <c r="BO7541" s="81"/>
      <c r="BP7541" s="81"/>
      <c r="BQ7541" s="81"/>
      <c r="BR7541" s="81"/>
      <c r="BS7541" s="81"/>
      <c r="BT7541" s="81"/>
    </row>
    <row r="7542" spans="65:72" x14ac:dyDescent="0.25">
      <c r="BM7542" s="81"/>
      <c r="BN7542" s="81"/>
      <c r="BO7542" s="81"/>
      <c r="BP7542" s="81"/>
      <c r="BQ7542" s="81"/>
      <c r="BR7542" s="81"/>
      <c r="BS7542" s="81"/>
      <c r="BT7542" s="81"/>
    </row>
    <row r="7543" spans="65:72" x14ac:dyDescent="0.25">
      <c r="BM7543" s="81"/>
      <c r="BN7543" s="81"/>
      <c r="BO7543" s="81"/>
      <c r="BP7543" s="81"/>
      <c r="BQ7543" s="81"/>
      <c r="BR7543" s="81"/>
      <c r="BS7543" s="81"/>
      <c r="BT7543" s="81"/>
    </row>
    <row r="7544" spans="65:72" x14ac:dyDescent="0.25">
      <c r="BM7544" s="81"/>
      <c r="BN7544" s="81"/>
      <c r="BO7544" s="81"/>
      <c r="BP7544" s="81"/>
      <c r="BQ7544" s="81"/>
      <c r="BR7544" s="81"/>
      <c r="BS7544" s="81"/>
      <c r="BT7544" s="81"/>
    </row>
    <row r="7545" spans="65:72" x14ac:dyDescent="0.25">
      <c r="BM7545" s="81"/>
      <c r="BN7545" s="81"/>
      <c r="BO7545" s="81"/>
      <c r="BP7545" s="81"/>
      <c r="BQ7545" s="81"/>
      <c r="BR7545" s="81"/>
      <c r="BS7545" s="81"/>
      <c r="BT7545" s="81"/>
    </row>
    <row r="7546" spans="65:72" x14ac:dyDescent="0.25">
      <c r="BM7546" s="81"/>
      <c r="BN7546" s="81"/>
      <c r="BO7546" s="81"/>
      <c r="BP7546" s="81"/>
      <c r="BQ7546" s="81"/>
      <c r="BR7546" s="81"/>
      <c r="BS7546" s="81"/>
      <c r="BT7546" s="81"/>
    </row>
    <row r="7547" spans="65:72" x14ac:dyDescent="0.25">
      <c r="BM7547" s="81"/>
      <c r="BN7547" s="81"/>
      <c r="BO7547" s="81"/>
      <c r="BP7547" s="81"/>
      <c r="BQ7547" s="81"/>
      <c r="BR7547" s="81"/>
      <c r="BS7547" s="81"/>
      <c r="BT7547" s="81"/>
    </row>
    <row r="7548" spans="65:72" x14ac:dyDescent="0.25">
      <c r="BM7548" s="81"/>
      <c r="BN7548" s="81"/>
      <c r="BO7548" s="81"/>
      <c r="BP7548" s="81"/>
      <c r="BQ7548" s="81"/>
      <c r="BR7548" s="81"/>
      <c r="BS7548" s="81"/>
      <c r="BT7548" s="81"/>
    </row>
    <row r="7549" spans="65:72" x14ac:dyDescent="0.25">
      <c r="BM7549" s="81"/>
      <c r="BN7549" s="81"/>
      <c r="BO7549" s="81"/>
      <c r="BP7549" s="81"/>
      <c r="BQ7549" s="81"/>
      <c r="BR7549" s="81"/>
      <c r="BS7549" s="81"/>
      <c r="BT7549" s="81"/>
    </row>
    <row r="7550" spans="65:72" x14ac:dyDescent="0.25">
      <c r="BM7550" s="81"/>
      <c r="BN7550" s="81"/>
      <c r="BO7550" s="81"/>
      <c r="BP7550" s="81"/>
      <c r="BQ7550" s="81"/>
      <c r="BR7550" s="81"/>
      <c r="BS7550" s="81"/>
      <c r="BT7550" s="81"/>
    </row>
    <row r="7551" spans="65:72" x14ac:dyDescent="0.25">
      <c r="BM7551" s="81"/>
      <c r="BN7551" s="81"/>
      <c r="BO7551" s="81"/>
      <c r="BP7551" s="81"/>
      <c r="BQ7551" s="81"/>
      <c r="BR7551" s="81"/>
      <c r="BS7551" s="81"/>
      <c r="BT7551" s="81"/>
    </row>
    <row r="7552" spans="65:72" x14ac:dyDescent="0.25">
      <c r="BM7552" s="81"/>
      <c r="BN7552" s="81"/>
      <c r="BO7552" s="81"/>
      <c r="BP7552" s="81"/>
      <c r="BQ7552" s="81"/>
      <c r="BR7552" s="81"/>
      <c r="BS7552" s="81"/>
      <c r="BT7552" s="81"/>
    </row>
    <row r="7553" spans="65:72" x14ac:dyDescent="0.25">
      <c r="BM7553" s="81"/>
      <c r="BN7553" s="81"/>
      <c r="BO7553" s="81"/>
      <c r="BP7553" s="81"/>
      <c r="BQ7553" s="81"/>
      <c r="BR7553" s="81"/>
      <c r="BS7553" s="81"/>
      <c r="BT7553" s="81"/>
    </row>
    <row r="7554" spans="65:72" x14ac:dyDescent="0.25">
      <c r="BM7554" s="81"/>
      <c r="BN7554" s="81"/>
      <c r="BO7554" s="81"/>
      <c r="BP7554" s="81"/>
      <c r="BQ7554" s="81"/>
      <c r="BR7554" s="81"/>
      <c r="BS7554" s="81"/>
      <c r="BT7554" s="81"/>
    </row>
    <row r="7555" spans="65:72" x14ac:dyDescent="0.25">
      <c r="BM7555" s="81"/>
      <c r="BN7555" s="81"/>
      <c r="BO7555" s="81"/>
      <c r="BP7555" s="81"/>
      <c r="BQ7555" s="81"/>
      <c r="BR7555" s="81"/>
      <c r="BS7555" s="81"/>
      <c r="BT7555" s="81"/>
    </row>
    <row r="7556" spans="65:72" x14ac:dyDescent="0.25">
      <c r="BM7556" s="81"/>
      <c r="BN7556" s="81"/>
      <c r="BO7556" s="81"/>
      <c r="BP7556" s="81"/>
      <c r="BQ7556" s="81"/>
      <c r="BR7556" s="81"/>
      <c r="BS7556" s="81"/>
      <c r="BT7556" s="81"/>
    </row>
    <row r="7557" spans="65:72" x14ac:dyDescent="0.25">
      <c r="BM7557" s="81"/>
      <c r="BN7557" s="81"/>
      <c r="BO7557" s="81"/>
      <c r="BP7557" s="81"/>
      <c r="BQ7557" s="81"/>
      <c r="BR7557" s="81"/>
      <c r="BS7557" s="81"/>
      <c r="BT7557" s="81"/>
    </row>
    <row r="7558" spans="65:72" x14ac:dyDescent="0.25">
      <c r="BM7558" s="81"/>
      <c r="BN7558" s="81"/>
      <c r="BO7558" s="81"/>
      <c r="BP7558" s="81"/>
      <c r="BQ7558" s="81"/>
      <c r="BR7558" s="81"/>
      <c r="BS7558" s="81"/>
      <c r="BT7558" s="81"/>
    </row>
    <row r="7559" spans="65:72" x14ac:dyDescent="0.25">
      <c r="BM7559" s="81"/>
      <c r="BN7559" s="81"/>
      <c r="BO7559" s="81"/>
      <c r="BP7559" s="81"/>
      <c r="BQ7559" s="81"/>
      <c r="BR7559" s="81"/>
      <c r="BS7559" s="81"/>
      <c r="BT7559" s="81"/>
    </row>
    <row r="7560" spans="65:72" x14ac:dyDescent="0.25">
      <c r="BM7560" s="81"/>
      <c r="BN7560" s="81"/>
      <c r="BO7560" s="81"/>
      <c r="BP7560" s="81"/>
      <c r="BQ7560" s="81"/>
      <c r="BR7560" s="81"/>
      <c r="BS7560" s="81"/>
      <c r="BT7560" s="81"/>
    </row>
    <row r="7561" spans="65:72" x14ac:dyDescent="0.25">
      <c r="BM7561" s="81"/>
      <c r="BN7561" s="81"/>
      <c r="BO7561" s="81"/>
      <c r="BP7561" s="81"/>
      <c r="BQ7561" s="81"/>
      <c r="BR7561" s="81"/>
      <c r="BS7561" s="81"/>
      <c r="BT7561" s="81"/>
    </row>
    <row r="7562" spans="65:72" x14ac:dyDescent="0.25">
      <c r="BM7562" s="81"/>
      <c r="BN7562" s="81"/>
      <c r="BO7562" s="81"/>
      <c r="BP7562" s="81"/>
      <c r="BQ7562" s="81"/>
      <c r="BR7562" s="81"/>
      <c r="BS7562" s="81"/>
      <c r="BT7562" s="81"/>
    </row>
    <row r="7563" spans="65:72" x14ac:dyDescent="0.25">
      <c r="BM7563" s="81"/>
      <c r="BN7563" s="81"/>
      <c r="BO7563" s="81"/>
      <c r="BP7563" s="81"/>
      <c r="BQ7563" s="81"/>
      <c r="BR7563" s="81"/>
      <c r="BS7563" s="81"/>
      <c r="BT7563" s="81"/>
    </row>
    <row r="7564" spans="65:72" x14ac:dyDescent="0.25">
      <c r="BM7564" s="81"/>
      <c r="BN7564" s="81"/>
      <c r="BO7564" s="81"/>
      <c r="BP7564" s="81"/>
      <c r="BQ7564" s="81"/>
      <c r="BR7564" s="81"/>
      <c r="BS7564" s="81"/>
      <c r="BT7564" s="81"/>
    </row>
    <row r="7565" spans="65:72" x14ac:dyDescent="0.25">
      <c r="BM7565" s="81"/>
      <c r="BN7565" s="81"/>
      <c r="BO7565" s="81"/>
      <c r="BP7565" s="81"/>
      <c r="BQ7565" s="81"/>
      <c r="BR7565" s="81"/>
      <c r="BS7565" s="81"/>
      <c r="BT7565" s="81"/>
    </row>
    <row r="7566" spans="65:72" x14ac:dyDescent="0.25">
      <c r="BM7566" s="81"/>
      <c r="BN7566" s="81"/>
      <c r="BO7566" s="81"/>
      <c r="BP7566" s="81"/>
      <c r="BQ7566" s="81"/>
      <c r="BR7566" s="81"/>
      <c r="BS7566" s="81"/>
      <c r="BT7566" s="81"/>
    </row>
    <row r="7567" spans="65:72" x14ac:dyDescent="0.25">
      <c r="BM7567" s="81"/>
      <c r="BN7567" s="81"/>
      <c r="BO7567" s="81"/>
      <c r="BP7567" s="81"/>
      <c r="BQ7567" s="81"/>
      <c r="BR7567" s="81"/>
      <c r="BS7567" s="81"/>
      <c r="BT7567" s="81"/>
    </row>
    <row r="7568" spans="65:72" x14ac:dyDescent="0.25">
      <c r="BM7568" s="81"/>
      <c r="BN7568" s="81"/>
      <c r="BO7568" s="81"/>
      <c r="BP7568" s="81"/>
      <c r="BQ7568" s="81"/>
      <c r="BR7568" s="81"/>
      <c r="BS7568" s="81"/>
      <c r="BT7568" s="81"/>
    </row>
    <row r="7569" spans="65:72" x14ac:dyDescent="0.25">
      <c r="BM7569" s="81"/>
      <c r="BN7569" s="81"/>
      <c r="BO7569" s="81"/>
      <c r="BP7569" s="81"/>
      <c r="BQ7569" s="81"/>
      <c r="BR7569" s="81"/>
      <c r="BS7569" s="81"/>
      <c r="BT7569" s="81"/>
    </row>
    <row r="7570" spans="65:72" x14ac:dyDescent="0.25">
      <c r="BM7570" s="81"/>
      <c r="BN7570" s="81"/>
      <c r="BO7570" s="81"/>
      <c r="BP7570" s="81"/>
      <c r="BQ7570" s="81"/>
      <c r="BR7570" s="81"/>
      <c r="BS7570" s="81"/>
      <c r="BT7570" s="81"/>
    </row>
    <row r="7571" spans="65:72" x14ac:dyDescent="0.25">
      <c r="BM7571" s="81"/>
      <c r="BN7571" s="81"/>
      <c r="BO7571" s="81"/>
      <c r="BP7571" s="81"/>
      <c r="BQ7571" s="81"/>
      <c r="BR7571" s="81"/>
      <c r="BS7571" s="81"/>
      <c r="BT7571" s="81"/>
    </row>
    <row r="7572" spans="65:72" x14ac:dyDescent="0.25">
      <c r="BM7572" s="81"/>
      <c r="BN7572" s="81"/>
      <c r="BO7572" s="81"/>
      <c r="BP7572" s="81"/>
      <c r="BQ7572" s="81"/>
      <c r="BR7572" s="81"/>
      <c r="BS7572" s="81"/>
      <c r="BT7572" s="81"/>
    </row>
    <row r="7573" spans="65:72" x14ac:dyDescent="0.25">
      <c r="BM7573" s="81"/>
      <c r="BN7573" s="81"/>
      <c r="BO7573" s="81"/>
      <c r="BP7573" s="81"/>
      <c r="BQ7573" s="81"/>
      <c r="BR7573" s="81"/>
      <c r="BS7573" s="81"/>
      <c r="BT7573" s="81"/>
    </row>
    <row r="7574" spans="65:72" x14ac:dyDescent="0.25">
      <c r="BM7574" s="81"/>
      <c r="BN7574" s="81"/>
      <c r="BO7574" s="81"/>
      <c r="BP7574" s="81"/>
      <c r="BQ7574" s="81"/>
      <c r="BR7574" s="81"/>
      <c r="BS7574" s="81"/>
      <c r="BT7574" s="81"/>
    </row>
    <row r="7575" spans="65:72" x14ac:dyDescent="0.25">
      <c r="BM7575" s="81"/>
      <c r="BN7575" s="81"/>
      <c r="BO7575" s="81"/>
      <c r="BP7575" s="81"/>
      <c r="BQ7575" s="81"/>
      <c r="BR7575" s="81"/>
      <c r="BS7575" s="81"/>
      <c r="BT7575" s="81"/>
    </row>
    <row r="7576" spans="65:72" x14ac:dyDescent="0.25">
      <c r="BM7576" s="81"/>
      <c r="BN7576" s="81"/>
      <c r="BO7576" s="81"/>
      <c r="BP7576" s="81"/>
      <c r="BQ7576" s="81"/>
      <c r="BR7576" s="81"/>
      <c r="BS7576" s="81"/>
      <c r="BT7576" s="81"/>
    </row>
    <row r="7577" spans="65:72" x14ac:dyDescent="0.25">
      <c r="BM7577" s="81"/>
      <c r="BN7577" s="81"/>
      <c r="BO7577" s="81"/>
      <c r="BP7577" s="81"/>
      <c r="BQ7577" s="81"/>
      <c r="BR7577" s="81"/>
      <c r="BS7577" s="81"/>
      <c r="BT7577" s="81"/>
    </row>
    <row r="7578" spans="65:72" x14ac:dyDescent="0.25">
      <c r="BM7578" s="81"/>
      <c r="BN7578" s="81"/>
      <c r="BO7578" s="81"/>
      <c r="BP7578" s="81"/>
      <c r="BQ7578" s="81"/>
      <c r="BR7578" s="81"/>
      <c r="BS7578" s="81"/>
      <c r="BT7578" s="81"/>
    </row>
    <row r="7579" spans="65:72" x14ac:dyDescent="0.25">
      <c r="BM7579" s="81"/>
      <c r="BN7579" s="81"/>
      <c r="BO7579" s="81"/>
      <c r="BP7579" s="81"/>
      <c r="BQ7579" s="81"/>
      <c r="BR7579" s="81"/>
      <c r="BS7579" s="81"/>
      <c r="BT7579" s="81"/>
    </row>
    <row r="7580" spans="65:72" x14ac:dyDescent="0.25">
      <c r="BM7580" s="81"/>
      <c r="BN7580" s="81"/>
      <c r="BO7580" s="81"/>
      <c r="BP7580" s="81"/>
      <c r="BQ7580" s="81"/>
      <c r="BR7580" s="81"/>
      <c r="BS7580" s="81"/>
      <c r="BT7580" s="81"/>
    </row>
    <row r="7581" spans="65:72" x14ac:dyDescent="0.25">
      <c r="BM7581" s="81"/>
      <c r="BN7581" s="81"/>
      <c r="BO7581" s="81"/>
      <c r="BP7581" s="81"/>
      <c r="BQ7581" s="81"/>
      <c r="BR7581" s="81"/>
      <c r="BS7581" s="81"/>
      <c r="BT7581" s="81"/>
    </row>
    <row r="7582" spans="65:72" x14ac:dyDescent="0.25">
      <c r="BM7582" s="81"/>
      <c r="BN7582" s="81"/>
      <c r="BO7582" s="81"/>
      <c r="BP7582" s="81"/>
      <c r="BQ7582" s="81"/>
      <c r="BR7582" s="81"/>
      <c r="BS7582" s="81"/>
      <c r="BT7582" s="81"/>
    </row>
    <row r="7583" spans="65:72" x14ac:dyDescent="0.25">
      <c r="BM7583" s="81"/>
      <c r="BN7583" s="81"/>
      <c r="BO7583" s="81"/>
      <c r="BP7583" s="81"/>
      <c r="BQ7583" s="81"/>
      <c r="BR7583" s="81"/>
      <c r="BS7583" s="81"/>
      <c r="BT7583" s="81"/>
    </row>
    <row r="7584" spans="65:72" x14ac:dyDescent="0.25">
      <c r="BM7584" s="81"/>
      <c r="BN7584" s="81"/>
      <c r="BO7584" s="81"/>
      <c r="BP7584" s="81"/>
      <c r="BQ7584" s="81"/>
      <c r="BR7584" s="81"/>
      <c r="BS7584" s="81"/>
      <c r="BT7584" s="81"/>
    </row>
    <row r="7585" spans="65:72" x14ac:dyDescent="0.25">
      <c r="BM7585" s="81"/>
      <c r="BN7585" s="81"/>
      <c r="BO7585" s="81"/>
      <c r="BP7585" s="81"/>
      <c r="BQ7585" s="81"/>
      <c r="BR7585" s="81"/>
      <c r="BS7585" s="81"/>
      <c r="BT7585" s="81"/>
    </row>
    <row r="7586" spans="65:72" x14ac:dyDescent="0.25">
      <c r="BM7586" s="81"/>
      <c r="BN7586" s="81"/>
      <c r="BO7586" s="81"/>
      <c r="BP7586" s="81"/>
      <c r="BQ7586" s="81"/>
      <c r="BR7586" s="81"/>
      <c r="BS7586" s="81"/>
      <c r="BT7586" s="81"/>
    </row>
    <row r="7587" spans="65:72" x14ac:dyDescent="0.25">
      <c r="BM7587" s="81"/>
      <c r="BN7587" s="81"/>
      <c r="BO7587" s="81"/>
      <c r="BP7587" s="81"/>
      <c r="BQ7587" s="81"/>
      <c r="BR7587" s="81"/>
      <c r="BS7587" s="81"/>
      <c r="BT7587" s="81"/>
    </row>
    <row r="7588" spans="65:72" x14ac:dyDescent="0.25">
      <c r="BM7588" s="81"/>
      <c r="BN7588" s="81"/>
      <c r="BO7588" s="81"/>
      <c r="BP7588" s="81"/>
      <c r="BQ7588" s="81"/>
      <c r="BR7588" s="81"/>
      <c r="BS7588" s="81"/>
      <c r="BT7588" s="81"/>
    </row>
    <row r="7589" spans="65:72" x14ac:dyDescent="0.25">
      <c r="BM7589" s="81"/>
      <c r="BN7589" s="81"/>
      <c r="BO7589" s="81"/>
      <c r="BP7589" s="81"/>
      <c r="BQ7589" s="81"/>
      <c r="BR7589" s="81"/>
      <c r="BS7589" s="81"/>
      <c r="BT7589" s="81"/>
    </row>
    <row r="7590" spans="65:72" x14ac:dyDescent="0.25">
      <c r="BM7590" s="81"/>
      <c r="BN7590" s="81"/>
      <c r="BO7590" s="81"/>
      <c r="BP7590" s="81"/>
      <c r="BQ7590" s="81"/>
      <c r="BR7590" s="81"/>
      <c r="BS7590" s="81"/>
      <c r="BT7590" s="81"/>
    </row>
    <row r="7591" spans="65:72" x14ac:dyDescent="0.25">
      <c r="BM7591" s="81"/>
      <c r="BN7591" s="81"/>
      <c r="BO7591" s="81"/>
      <c r="BP7591" s="81"/>
      <c r="BQ7591" s="81"/>
      <c r="BR7591" s="81"/>
      <c r="BS7591" s="81"/>
      <c r="BT7591" s="81"/>
    </row>
    <row r="7592" spans="65:72" x14ac:dyDescent="0.25">
      <c r="BM7592" s="81"/>
      <c r="BN7592" s="81"/>
      <c r="BO7592" s="81"/>
      <c r="BP7592" s="81"/>
      <c r="BQ7592" s="81"/>
      <c r="BR7592" s="81"/>
      <c r="BS7592" s="81"/>
      <c r="BT7592" s="81"/>
    </row>
    <row r="7593" spans="65:72" x14ac:dyDescent="0.25">
      <c r="BM7593" s="81"/>
      <c r="BN7593" s="81"/>
      <c r="BO7593" s="81"/>
      <c r="BP7593" s="81"/>
      <c r="BQ7593" s="81"/>
      <c r="BR7593" s="81"/>
      <c r="BS7593" s="81"/>
      <c r="BT7593" s="81"/>
    </row>
    <row r="7594" spans="65:72" x14ac:dyDescent="0.25">
      <c r="BM7594" s="81"/>
      <c r="BN7594" s="81"/>
      <c r="BO7594" s="81"/>
      <c r="BP7594" s="81"/>
      <c r="BQ7594" s="81"/>
      <c r="BR7594" s="81"/>
      <c r="BS7594" s="81"/>
      <c r="BT7594" s="81"/>
    </row>
    <row r="7595" spans="65:72" x14ac:dyDescent="0.25">
      <c r="BM7595" s="81"/>
      <c r="BN7595" s="81"/>
      <c r="BO7595" s="81"/>
      <c r="BP7595" s="81"/>
      <c r="BQ7595" s="81"/>
      <c r="BR7595" s="81"/>
      <c r="BS7595" s="81"/>
      <c r="BT7595" s="81"/>
    </row>
    <row r="7596" spans="65:72" x14ac:dyDescent="0.25">
      <c r="BM7596" s="81"/>
      <c r="BN7596" s="81"/>
      <c r="BO7596" s="81"/>
      <c r="BP7596" s="81"/>
      <c r="BQ7596" s="81"/>
      <c r="BR7596" s="81"/>
      <c r="BS7596" s="81"/>
      <c r="BT7596" s="81"/>
    </row>
    <row r="7597" spans="65:72" x14ac:dyDescent="0.25">
      <c r="BM7597" s="81"/>
      <c r="BN7597" s="81"/>
      <c r="BO7597" s="81"/>
      <c r="BP7597" s="81"/>
      <c r="BQ7597" s="81"/>
      <c r="BR7597" s="81"/>
      <c r="BS7597" s="81"/>
      <c r="BT7597" s="81"/>
    </row>
    <row r="7598" spans="65:72" x14ac:dyDescent="0.25">
      <c r="BM7598" s="81"/>
      <c r="BN7598" s="81"/>
      <c r="BO7598" s="81"/>
      <c r="BP7598" s="81"/>
      <c r="BQ7598" s="81"/>
      <c r="BR7598" s="81"/>
      <c r="BS7598" s="81"/>
      <c r="BT7598" s="81"/>
    </row>
    <row r="7599" spans="65:72" x14ac:dyDescent="0.25">
      <c r="BM7599" s="81"/>
      <c r="BN7599" s="81"/>
      <c r="BO7599" s="81"/>
      <c r="BP7599" s="81"/>
      <c r="BQ7599" s="81"/>
      <c r="BR7599" s="81"/>
      <c r="BS7599" s="81"/>
      <c r="BT7599" s="81"/>
    </row>
    <row r="7600" spans="65:72" x14ac:dyDescent="0.25">
      <c r="BM7600" s="81"/>
      <c r="BN7600" s="81"/>
      <c r="BO7600" s="81"/>
      <c r="BP7600" s="81"/>
      <c r="BQ7600" s="81"/>
      <c r="BR7600" s="81"/>
      <c r="BS7600" s="81"/>
      <c r="BT7600" s="81"/>
    </row>
    <row r="7601" spans="65:72" x14ac:dyDescent="0.25">
      <c r="BM7601" s="81"/>
      <c r="BN7601" s="81"/>
      <c r="BO7601" s="81"/>
      <c r="BP7601" s="81"/>
      <c r="BQ7601" s="81"/>
      <c r="BR7601" s="81"/>
      <c r="BS7601" s="81"/>
      <c r="BT7601" s="81"/>
    </row>
    <row r="7602" spans="65:72" x14ac:dyDescent="0.25">
      <c r="BM7602" s="81"/>
      <c r="BN7602" s="81"/>
      <c r="BO7602" s="81"/>
      <c r="BP7602" s="81"/>
      <c r="BQ7602" s="81"/>
      <c r="BR7602" s="81"/>
      <c r="BS7602" s="81"/>
      <c r="BT7602" s="81"/>
    </row>
    <row r="7603" spans="65:72" x14ac:dyDescent="0.25">
      <c r="BM7603" s="81"/>
      <c r="BN7603" s="81"/>
      <c r="BO7603" s="81"/>
      <c r="BP7603" s="81"/>
      <c r="BQ7603" s="81"/>
      <c r="BR7603" s="81"/>
      <c r="BS7603" s="81"/>
      <c r="BT7603" s="81"/>
    </row>
    <row r="7604" spans="65:72" x14ac:dyDescent="0.25">
      <c r="BM7604" s="81"/>
      <c r="BN7604" s="81"/>
      <c r="BO7604" s="81"/>
      <c r="BP7604" s="81"/>
      <c r="BQ7604" s="81"/>
      <c r="BR7604" s="81"/>
      <c r="BS7604" s="81"/>
      <c r="BT7604" s="81"/>
    </row>
    <row r="7605" spans="65:72" x14ac:dyDescent="0.25">
      <c r="BM7605" s="81"/>
      <c r="BN7605" s="81"/>
      <c r="BO7605" s="81"/>
      <c r="BP7605" s="81"/>
      <c r="BQ7605" s="81"/>
      <c r="BR7605" s="81"/>
      <c r="BS7605" s="81"/>
      <c r="BT7605" s="81"/>
    </row>
    <row r="7606" spans="65:72" x14ac:dyDescent="0.25">
      <c r="BM7606" s="81"/>
      <c r="BN7606" s="81"/>
      <c r="BO7606" s="81"/>
      <c r="BP7606" s="81"/>
      <c r="BQ7606" s="81"/>
      <c r="BR7606" s="81"/>
      <c r="BS7606" s="81"/>
      <c r="BT7606" s="81"/>
    </row>
    <row r="7607" spans="65:72" x14ac:dyDescent="0.25">
      <c r="BM7607" s="81"/>
      <c r="BN7607" s="81"/>
      <c r="BO7607" s="81"/>
      <c r="BP7607" s="81"/>
      <c r="BQ7607" s="81"/>
      <c r="BR7607" s="81"/>
      <c r="BS7607" s="81"/>
      <c r="BT7607" s="81"/>
    </row>
    <row r="7608" spans="65:72" x14ac:dyDescent="0.25">
      <c r="BM7608" s="81"/>
      <c r="BN7608" s="81"/>
      <c r="BO7608" s="81"/>
      <c r="BP7608" s="81"/>
      <c r="BQ7608" s="81"/>
      <c r="BR7608" s="81"/>
      <c r="BS7608" s="81"/>
      <c r="BT7608" s="81"/>
    </row>
    <row r="7609" spans="65:72" x14ac:dyDescent="0.25">
      <c r="BM7609" s="81"/>
      <c r="BN7609" s="81"/>
      <c r="BO7609" s="81"/>
      <c r="BP7609" s="81"/>
      <c r="BQ7609" s="81"/>
      <c r="BR7609" s="81"/>
      <c r="BS7609" s="81"/>
      <c r="BT7609" s="81"/>
    </row>
    <row r="7610" spans="65:72" x14ac:dyDescent="0.25">
      <c r="BM7610" s="81"/>
      <c r="BN7610" s="81"/>
      <c r="BO7610" s="81"/>
      <c r="BP7610" s="81"/>
      <c r="BQ7610" s="81"/>
      <c r="BR7610" s="81"/>
      <c r="BS7610" s="81"/>
      <c r="BT7610" s="81"/>
    </row>
    <row r="7611" spans="65:72" x14ac:dyDescent="0.25">
      <c r="BM7611" s="81"/>
      <c r="BN7611" s="81"/>
      <c r="BO7611" s="81"/>
      <c r="BP7611" s="81"/>
      <c r="BQ7611" s="81"/>
      <c r="BR7611" s="81"/>
      <c r="BS7611" s="81"/>
      <c r="BT7611" s="81"/>
    </row>
    <row r="7612" spans="65:72" x14ac:dyDescent="0.25">
      <c r="BM7612" s="81"/>
      <c r="BN7612" s="81"/>
      <c r="BO7612" s="81"/>
      <c r="BP7612" s="81"/>
      <c r="BQ7612" s="81"/>
      <c r="BR7612" s="81"/>
      <c r="BS7612" s="81"/>
      <c r="BT7612" s="81"/>
    </row>
    <row r="7613" spans="65:72" x14ac:dyDescent="0.25">
      <c r="BM7613" s="81"/>
      <c r="BN7613" s="81"/>
      <c r="BO7613" s="81"/>
      <c r="BP7613" s="81"/>
      <c r="BQ7613" s="81"/>
      <c r="BR7613" s="81"/>
      <c r="BS7613" s="81"/>
      <c r="BT7613" s="81"/>
    </row>
    <row r="7614" spans="65:72" x14ac:dyDescent="0.25">
      <c r="BM7614" s="81"/>
      <c r="BN7614" s="81"/>
      <c r="BO7614" s="81"/>
      <c r="BP7614" s="81"/>
      <c r="BQ7614" s="81"/>
      <c r="BR7614" s="81"/>
      <c r="BS7614" s="81"/>
      <c r="BT7614" s="81"/>
    </row>
    <row r="7615" spans="65:72" x14ac:dyDescent="0.25">
      <c r="BM7615" s="81"/>
      <c r="BN7615" s="81"/>
      <c r="BO7615" s="81"/>
      <c r="BP7615" s="81"/>
      <c r="BQ7615" s="81"/>
      <c r="BR7615" s="81"/>
      <c r="BS7615" s="81"/>
      <c r="BT7615" s="81"/>
    </row>
    <row r="7616" spans="65:72" x14ac:dyDescent="0.25">
      <c r="BM7616" s="81"/>
      <c r="BN7616" s="81"/>
      <c r="BO7616" s="81"/>
      <c r="BP7616" s="81"/>
      <c r="BQ7616" s="81"/>
      <c r="BR7616" s="81"/>
      <c r="BS7616" s="81"/>
      <c r="BT7616" s="81"/>
    </row>
    <row r="7617" spans="65:72" x14ac:dyDescent="0.25">
      <c r="BM7617" s="81"/>
      <c r="BN7617" s="81"/>
      <c r="BO7617" s="81"/>
      <c r="BP7617" s="81"/>
      <c r="BQ7617" s="81"/>
      <c r="BR7617" s="81"/>
      <c r="BS7617" s="81"/>
      <c r="BT7617" s="81"/>
    </row>
    <row r="7618" spans="65:72" x14ac:dyDescent="0.25">
      <c r="BM7618" s="81"/>
      <c r="BN7618" s="81"/>
      <c r="BO7618" s="81"/>
      <c r="BP7618" s="81"/>
      <c r="BQ7618" s="81"/>
      <c r="BR7618" s="81"/>
      <c r="BS7618" s="81"/>
      <c r="BT7618" s="81"/>
    </row>
    <row r="7619" spans="65:72" x14ac:dyDescent="0.25">
      <c r="BM7619" s="81"/>
      <c r="BN7619" s="81"/>
      <c r="BO7619" s="81"/>
      <c r="BP7619" s="81"/>
      <c r="BQ7619" s="81"/>
      <c r="BR7619" s="81"/>
      <c r="BS7619" s="81"/>
      <c r="BT7619" s="81"/>
    </row>
    <row r="7620" spans="65:72" x14ac:dyDescent="0.25">
      <c r="BM7620" s="81"/>
      <c r="BN7620" s="81"/>
      <c r="BO7620" s="81"/>
      <c r="BP7620" s="81"/>
      <c r="BQ7620" s="81"/>
      <c r="BR7620" s="81"/>
      <c r="BS7620" s="81"/>
      <c r="BT7620" s="81"/>
    </row>
    <row r="7621" spans="65:72" x14ac:dyDescent="0.25">
      <c r="BM7621" s="81"/>
      <c r="BN7621" s="81"/>
      <c r="BO7621" s="81"/>
      <c r="BP7621" s="81"/>
      <c r="BQ7621" s="81"/>
      <c r="BR7621" s="81"/>
      <c r="BS7621" s="81"/>
      <c r="BT7621" s="81"/>
    </row>
    <row r="7622" spans="65:72" x14ac:dyDescent="0.25">
      <c r="BM7622" s="81"/>
      <c r="BN7622" s="81"/>
      <c r="BO7622" s="81"/>
      <c r="BP7622" s="81"/>
      <c r="BQ7622" s="81"/>
      <c r="BR7622" s="81"/>
      <c r="BS7622" s="81"/>
      <c r="BT7622" s="81"/>
    </row>
    <row r="7623" spans="65:72" x14ac:dyDescent="0.25">
      <c r="BM7623" s="81"/>
      <c r="BN7623" s="81"/>
      <c r="BO7623" s="81"/>
      <c r="BP7623" s="81"/>
      <c r="BQ7623" s="81"/>
      <c r="BR7623" s="81"/>
      <c r="BS7623" s="81"/>
      <c r="BT7623" s="81"/>
    </row>
    <row r="7624" spans="65:72" x14ac:dyDescent="0.25">
      <c r="BM7624" s="81"/>
      <c r="BN7624" s="81"/>
      <c r="BO7624" s="81"/>
      <c r="BP7624" s="81"/>
      <c r="BQ7624" s="81"/>
      <c r="BR7624" s="81"/>
      <c r="BS7624" s="81"/>
      <c r="BT7624" s="81"/>
    </row>
    <row r="7625" spans="65:72" x14ac:dyDescent="0.25">
      <c r="BM7625" s="81"/>
      <c r="BN7625" s="81"/>
      <c r="BO7625" s="81"/>
      <c r="BP7625" s="81"/>
      <c r="BQ7625" s="81"/>
      <c r="BR7625" s="81"/>
      <c r="BS7625" s="81"/>
      <c r="BT7625" s="81"/>
    </row>
    <row r="7626" spans="65:72" x14ac:dyDescent="0.25">
      <c r="BM7626" s="81"/>
      <c r="BN7626" s="81"/>
      <c r="BO7626" s="81"/>
      <c r="BP7626" s="81"/>
      <c r="BQ7626" s="81"/>
      <c r="BR7626" s="81"/>
      <c r="BS7626" s="81"/>
      <c r="BT7626" s="81"/>
    </row>
    <row r="7627" spans="65:72" x14ac:dyDescent="0.25">
      <c r="BM7627" s="81"/>
      <c r="BN7627" s="81"/>
      <c r="BO7627" s="81"/>
      <c r="BP7627" s="81"/>
      <c r="BQ7627" s="81"/>
      <c r="BR7627" s="81"/>
      <c r="BS7627" s="81"/>
      <c r="BT7627" s="81"/>
    </row>
    <row r="7628" spans="65:72" x14ac:dyDescent="0.25">
      <c r="BM7628" s="81"/>
      <c r="BN7628" s="81"/>
      <c r="BO7628" s="81"/>
      <c r="BP7628" s="81"/>
      <c r="BQ7628" s="81"/>
      <c r="BR7628" s="81"/>
      <c r="BS7628" s="81"/>
      <c r="BT7628" s="81"/>
    </row>
    <row r="7629" spans="65:72" x14ac:dyDescent="0.25">
      <c r="BM7629" s="81"/>
      <c r="BN7629" s="81"/>
      <c r="BO7629" s="81"/>
      <c r="BP7629" s="81"/>
      <c r="BQ7629" s="81"/>
      <c r="BR7629" s="81"/>
      <c r="BS7629" s="81"/>
      <c r="BT7629" s="81"/>
    </row>
    <row r="7630" spans="65:72" x14ac:dyDescent="0.25">
      <c r="BM7630" s="81"/>
      <c r="BN7630" s="81"/>
      <c r="BO7630" s="81"/>
      <c r="BP7630" s="81"/>
      <c r="BQ7630" s="81"/>
      <c r="BR7630" s="81"/>
      <c r="BS7630" s="81"/>
      <c r="BT7630" s="81"/>
    </row>
    <row r="7631" spans="65:72" x14ac:dyDescent="0.25">
      <c r="BM7631" s="81"/>
      <c r="BN7631" s="81"/>
      <c r="BO7631" s="81"/>
      <c r="BP7631" s="81"/>
      <c r="BQ7631" s="81"/>
      <c r="BR7631" s="81"/>
      <c r="BS7631" s="81"/>
      <c r="BT7631" s="81"/>
    </row>
    <row r="7632" spans="65:72" x14ac:dyDescent="0.25">
      <c r="BM7632" s="81"/>
      <c r="BN7632" s="81"/>
      <c r="BO7632" s="81"/>
      <c r="BP7632" s="81"/>
      <c r="BQ7632" s="81"/>
      <c r="BR7632" s="81"/>
      <c r="BS7632" s="81"/>
      <c r="BT7632" s="81"/>
    </row>
    <row r="7633" spans="65:72" x14ac:dyDescent="0.25">
      <c r="BM7633" s="81"/>
      <c r="BN7633" s="81"/>
      <c r="BO7633" s="81"/>
      <c r="BP7633" s="81"/>
      <c r="BQ7633" s="81"/>
      <c r="BR7633" s="81"/>
      <c r="BS7633" s="81"/>
      <c r="BT7633" s="81"/>
    </row>
    <row r="7634" spans="65:72" x14ac:dyDescent="0.25">
      <c r="BM7634" s="81"/>
      <c r="BN7634" s="81"/>
      <c r="BO7634" s="81"/>
      <c r="BP7634" s="81"/>
      <c r="BQ7634" s="81"/>
      <c r="BR7634" s="81"/>
      <c r="BS7634" s="81"/>
      <c r="BT7634" s="81"/>
    </row>
    <row r="7635" spans="65:72" x14ac:dyDescent="0.25">
      <c r="BM7635" s="81"/>
      <c r="BN7635" s="81"/>
      <c r="BO7635" s="81"/>
      <c r="BP7635" s="81"/>
      <c r="BQ7635" s="81"/>
      <c r="BR7635" s="81"/>
      <c r="BS7635" s="81"/>
      <c r="BT7635" s="81"/>
    </row>
    <row r="7636" spans="65:72" x14ac:dyDescent="0.25">
      <c r="BM7636" s="81"/>
      <c r="BN7636" s="81"/>
      <c r="BO7636" s="81"/>
      <c r="BP7636" s="81"/>
      <c r="BQ7636" s="81"/>
      <c r="BR7636" s="81"/>
      <c r="BS7636" s="81"/>
      <c r="BT7636" s="81"/>
    </row>
    <row r="7637" spans="65:72" x14ac:dyDescent="0.25">
      <c r="BM7637" s="81"/>
      <c r="BN7637" s="81"/>
      <c r="BO7637" s="81"/>
      <c r="BP7637" s="81"/>
      <c r="BQ7637" s="81"/>
      <c r="BR7637" s="81"/>
      <c r="BS7637" s="81"/>
      <c r="BT7637" s="81"/>
    </row>
    <row r="7638" spans="65:72" x14ac:dyDescent="0.25">
      <c r="BM7638" s="81"/>
      <c r="BN7638" s="81"/>
      <c r="BO7638" s="81"/>
      <c r="BP7638" s="81"/>
      <c r="BQ7638" s="81"/>
      <c r="BR7638" s="81"/>
      <c r="BS7638" s="81"/>
      <c r="BT7638" s="81"/>
    </row>
    <row r="7639" spans="65:72" x14ac:dyDescent="0.25">
      <c r="BM7639" s="81"/>
      <c r="BN7639" s="81"/>
      <c r="BO7639" s="81"/>
      <c r="BP7639" s="81"/>
      <c r="BQ7639" s="81"/>
      <c r="BR7639" s="81"/>
      <c r="BS7639" s="81"/>
      <c r="BT7639" s="81"/>
    </row>
    <row r="7640" spans="65:72" x14ac:dyDescent="0.25">
      <c r="BM7640" s="81"/>
      <c r="BN7640" s="81"/>
      <c r="BO7640" s="81"/>
      <c r="BP7640" s="81"/>
      <c r="BQ7640" s="81"/>
      <c r="BR7640" s="81"/>
      <c r="BS7640" s="81"/>
      <c r="BT7640" s="81"/>
    </row>
    <row r="7641" spans="65:72" x14ac:dyDescent="0.25">
      <c r="BM7641" s="81"/>
      <c r="BN7641" s="81"/>
      <c r="BO7641" s="81"/>
      <c r="BP7641" s="81"/>
      <c r="BQ7641" s="81"/>
      <c r="BR7641" s="81"/>
      <c r="BS7641" s="81"/>
      <c r="BT7641" s="81"/>
    </row>
    <row r="7642" spans="65:72" x14ac:dyDescent="0.25">
      <c r="BM7642" s="81"/>
      <c r="BN7642" s="81"/>
      <c r="BO7642" s="81"/>
      <c r="BP7642" s="81"/>
      <c r="BQ7642" s="81"/>
      <c r="BR7642" s="81"/>
      <c r="BS7642" s="81"/>
      <c r="BT7642" s="81"/>
    </row>
    <row r="7643" spans="65:72" x14ac:dyDescent="0.25">
      <c r="BM7643" s="81"/>
      <c r="BN7643" s="81"/>
      <c r="BO7643" s="81"/>
      <c r="BP7643" s="81"/>
      <c r="BQ7643" s="81"/>
      <c r="BR7643" s="81"/>
      <c r="BS7643" s="81"/>
      <c r="BT7643" s="81"/>
    </row>
    <row r="7644" spans="65:72" x14ac:dyDescent="0.25">
      <c r="BM7644" s="81"/>
      <c r="BN7644" s="81"/>
      <c r="BO7644" s="81"/>
      <c r="BP7644" s="81"/>
      <c r="BQ7644" s="81"/>
      <c r="BR7644" s="81"/>
      <c r="BS7644" s="81"/>
      <c r="BT7644" s="81"/>
    </row>
    <row r="7645" spans="65:72" x14ac:dyDescent="0.25">
      <c r="BM7645" s="81"/>
      <c r="BN7645" s="81"/>
      <c r="BO7645" s="81"/>
      <c r="BP7645" s="81"/>
      <c r="BQ7645" s="81"/>
      <c r="BR7645" s="81"/>
      <c r="BS7645" s="81"/>
      <c r="BT7645" s="81"/>
    </row>
    <row r="7646" spans="65:72" x14ac:dyDescent="0.25">
      <c r="BM7646" s="81"/>
      <c r="BN7646" s="81"/>
      <c r="BO7646" s="81"/>
      <c r="BP7646" s="81"/>
      <c r="BQ7646" s="81"/>
      <c r="BR7646" s="81"/>
      <c r="BS7646" s="81"/>
      <c r="BT7646" s="81"/>
    </row>
    <row r="7647" spans="65:72" x14ac:dyDescent="0.25">
      <c r="BM7647" s="81"/>
      <c r="BN7647" s="81"/>
      <c r="BO7647" s="81"/>
      <c r="BP7647" s="81"/>
      <c r="BQ7647" s="81"/>
      <c r="BR7647" s="81"/>
      <c r="BS7647" s="81"/>
      <c r="BT7647" s="81"/>
    </row>
    <row r="7648" spans="65:72" x14ac:dyDescent="0.25">
      <c r="BM7648" s="81"/>
      <c r="BN7648" s="81"/>
      <c r="BO7648" s="81"/>
      <c r="BP7648" s="81"/>
      <c r="BQ7648" s="81"/>
      <c r="BR7648" s="81"/>
      <c r="BS7648" s="81"/>
      <c r="BT7648" s="81"/>
    </row>
    <row r="7649" spans="65:72" x14ac:dyDescent="0.25">
      <c r="BM7649" s="81"/>
      <c r="BN7649" s="81"/>
      <c r="BO7649" s="81"/>
      <c r="BP7649" s="81"/>
      <c r="BQ7649" s="81"/>
      <c r="BR7649" s="81"/>
      <c r="BS7649" s="81"/>
      <c r="BT7649" s="81"/>
    </row>
    <row r="7650" spans="65:72" x14ac:dyDescent="0.25">
      <c r="BM7650" s="81"/>
      <c r="BN7650" s="81"/>
      <c r="BO7650" s="81"/>
      <c r="BP7650" s="81"/>
      <c r="BQ7650" s="81"/>
      <c r="BR7650" s="81"/>
      <c r="BS7650" s="81"/>
      <c r="BT7650" s="81"/>
    </row>
    <row r="7651" spans="65:72" x14ac:dyDescent="0.25">
      <c r="BM7651" s="81"/>
      <c r="BN7651" s="81"/>
      <c r="BO7651" s="81"/>
      <c r="BP7651" s="81"/>
      <c r="BQ7651" s="81"/>
      <c r="BR7651" s="81"/>
      <c r="BS7651" s="81"/>
      <c r="BT7651" s="81"/>
    </row>
    <row r="7652" spans="65:72" x14ac:dyDescent="0.25">
      <c r="BM7652" s="81"/>
      <c r="BN7652" s="81"/>
      <c r="BO7652" s="81"/>
      <c r="BP7652" s="81"/>
      <c r="BQ7652" s="81"/>
      <c r="BR7652" s="81"/>
      <c r="BS7652" s="81"/>
      <c r="BT7652" s="81"/>
    </row>
    <row r="7653" spans="65:72" x14ac:dyDescent="0.25">
      <c r="BM7653" s="81"/>
      <c r="BN7653" s="81"/>
      <c r="BO7653" s="81"/>
      <c r="BP7653" s="81"/>
      <c r="BQ7653" s="81"/>
      <c r="BR7653" s="81"/>
      <c r="BS7653" s="81"/>
      <c r="BT7653" s="81"/>
    </row>
    <row r="7654" spans="65:72" x14ac:dyDescent="0.25">
      <c r="BM7654" s="81"/>
      <c r="BN7654" s="81"/>
      <c r="BO7654" s="81"/>
      <c r="BP7654" s="81"/>
      <c r="BQ7654" s="81"/>
      <c r="BR7654" s="81"/>
      <c r="BS7654" s="81"/>
      <c r="BT7654" s="81"/>
    </row>
    <row r="7655" spans="65:72" x14ac:dyDescent="0.25">
      <c r="BM7655" s="81"/>
      <c r="BN7655" s="81"/>
      <c r="BO7655" s="81"/>
      <c r="BP7655" s="81"/>
      <c r="BQ7655" s="81"/>
      <c r="BR7655" s="81"/>
      <c r="BS7655" s="81"/>
      <c r="BT7655" s="81"/>
    </row>
    <row r="7656" spans="65:72" x14ac:dyDescent="0.25">
      <c r="BM7656" s="81"/>
      <c r="BN7656" s="81"/>
      <c r="BO7656" s="81"/>
      <c r="BP7656" s="81"/>
      <c r="BQ7656" s="81"/>
      <c r="BR7656" s="81"/>
      <c r="BS7656" s="81"/>
      <c r="BT7656" s="81"/>
    </row>
    <row r="7657" spans="65:72" x14ac:dyDescent="0.25">
      <c r="BM7657" s="81"/>
      <c r="BN7657" s="81"/>
      <c r="BO7657" s="81"/>
      <c r="BP7657" s="81"/>
      <c r="BQ7657" s="81"/>
      <c r="BR7657" s="81"/>
      <c r="BS7657" s="81"/>
      <c r="BT7657" s="81"/>
    </row>
    <row r="7658" spans="65:72" x14ac:dyDescent="0.25">
      <c r="BM7658" s="81"/>
      <c r="BN7658" s="81"/>
      <c r="BO7658" s="81"/>
      <c r="BP7658" s="81"/>
      <c r="BQ7658" s="81"/>
      <c r="BR7658" s="81"/>
      <c r="BS7658" s="81"/>
      <c r="BT7658" s="81"/>
    </row>
    <row r="7659" spans="65:72" x14ac:dyDescent="0.25">
      <c r="BM7659" s="81"/>
      <c r="BN7659" s="81"/>
      <c r="BO7659" s="81"/>
      <c r="BP7659" s="81"/>
      <c r="BQ7659" s="81"/>
      <c r="BR7659" s="81"/>
      <c r="BS7659" s="81"/>
      <c r="BT7659" s="81"/>
    </row>
    <row r="7660" spans="65:72" x14ac:dyDescent="0.25">
      <c r="BM7660" s="81"/>
      <c r="BN7660" s="81"/>
      <c r="BO7660" s="81"/>
      <c r="BP7660" s="81"/>
      <c r="BQ7660" s="81"/>
      <c r="BR7660" s="81"/>
      <c r="BS7660" s="81"/>
      <c r="BT7660" s="81"/>
    </row>
    <row r="7661" spans="65:72" x14ac:dyDescent="0.25">
      <c r="BM7661" s="81"/>
      <c r="BN7661" s="81"/>
      <c r="BO7661" s="81"/>
      <c r="BP7661" s="81"/>
      <c r="BQ7661" s="81"/>
      <c r="BR7661" s="81"/>
      <c r="BS7661" s="81"/>
      <c r="BT7661" s="81"/>
    </row>
    <row r="7662" spans="65:72" x14ac:dyDescent="0.25">
      <c r="BM7662" s="81"/>
      <c r="BN7662" s="81"/>
      <c r="BO7662" s="81"/>
      <c r="BP7662" s="81"/>
      <c r="BQ7662" s="81"/>
      <c r="BR7662" s="81"/>
      <c r="BS7662" s="81"/>
      <c r="BT7662" s="81"/>
    </row>
    <row r="7663" spans="65:72" x14ac:dyDescent="0.25">
      <c r="BM7663" s="81"/>
      <c r="BN7663" s="81"/>
      <c r="BO7663" s="81"/>
      <c r="BP7663" s="81"/>
      <c r="BQ7663" s="81"/>
      <c r="BR7663" s="81"/>
      <c r="BS7663" s="81"/>
      <c r="BT7663" s="81"/>
    </row>
    <row r="7664" spans="65:72" x14ac:dyDescent="0.25">
      <c r="BM7664" s="81"/>
      <c r="BN7664" s="81"/>
      <c r="BO7664" s="81"/>
      <c r="BP7664" s="81"/>
      <c r="BQ7664" s="81"/>
      <c r="BR7664" s="81"/>
      <c r="BS7664" s="81"/>
      <c r="BT7664" s="81"/>
    </row>
    <row r="7665" spans="65:72" x14ac:dyDescent="0.25">
      <c r="BM7665" s="81"/>
      <c r="BN7665" s="81"/>
      <c r="BO7665" s="81"/>
      <c r="BP7665" s="81"/>
      <c r="BQ7665" s="81"/>
      <c r="BR7665" s="81"/>
      <c r="BS7665" s="81"/>
      <c r="BT7665" s="81"/>
    </row>
    <row r="7666" spans="65:72" x14ac:dyDescent="0.25">
      <c r="BM7666" s="81"/>
      <c r="BN7666" s="81"/>
      <c r="BO7666" s="81"/>
      <c r="BP7666" s="81"/>
      <c r="BQ7666" s="81"/>
      <c r="BR7666" s="81"/>
      <c r="BS7666" s="81"/>
      <c r="BT7666" s="81"/>
    </row>
    <row r="7667" spans="65:72" x14ac:dyDescent="0.25">
      <c r="BM7667" s="81"/>
      <c r="BN7667" s="81"/>
      <c r="BO7667" s="81"/>
      <c r="BP7667" s="81"/>
      <c r="BQ7667" s="81"/>
      <c r="BR7667" s="81"/>
      <c r="BS7667" s="81"/>
      <c r="BT7667" s="81"/>
    </row>
    <row r="7668" spans="65:72" x14ac:dyDescent="0.25">
      <c r="BM7668" s="81"/>
      <c r="BN7668" s="81"/>
      <c r="BO7668" s="81"/>
      <c r="BP7668" s="81"/>
      <c r="BQ7668" s="81"/>
      <c r="BR7668" s="81"/>
      <c r="BS7668" s="81"/>
      <c r="BT7668" s="81"/>
    </row>
    <row r="7669" spans="65:72" x14ac:dyDescent="0.25">
      <c r="BM7669" s="81"/>
      <c r="BN7669" s="81"/>
      <c r="BO7669" s="81"/>
      <c r="BP7669" s="81"/>
      <c r="BQ7669" s="81"/>
      <c r="BR7669" s="81"/>
      <c r="BS7669" s="81"/>
      <c r="BT7669" s="81"/>
    </row>
    <row r="7670" spans="65:72" x14ac:dyDescent="0.25">
      <c r="BM7670" s="81"/>
      <c r="BN7670" s="81"/>
      <c r="BO7670" s="81"/>
      <c r="BP7670" s="81"/>
      <c r="BQ7670" s="81"/>
      <c r="BR7670" s="81"/>
      <c r="BS7670" s="81"/>
      <c r="BT7670" s="81"/>
    </row>
    <row r="7671" spans="65:72" x14ac:dyDescent="0.25">
      <c r="BM7671" s="81"/>
      <c r="BN7671" s="81"/>
      <c r="BO7671" s="81"/>
      <c r="BP7671" s="81"/>
      <c r="BQ7671" s="81"/>
      <c r="BR7671" s="81"/>
      <c r="BS7671" s="81"/>
      <c r="BT7671" s="81"/>
    </row>
    <row r="7672" spans="65:72" x14ac:dyDescent="0.25">
      <c r="BM7672" s="81"/>
      <c r="BN7672" s="81"/>
      <c r="BO7672" s="81"/>
      <c r="BP7672" s="81"/>
      <c r="BQ7672" s="81"/>
      <c r="BR7672" s="81"/>
      <c r="BS7672" s="81"/>
      <c r="BT7672" s="81"/>
    </row>
    <row r="7673" spans="65:72" x14ac:dyDescent="0.25">
      <c r="BM7673" s="81"/>
      <c r="BN7673" s="81"/>
      <c r="BO7673" s="81"/>
      <c r="BP7673" s="81"/>
      <c r="BQ7673" s="81"/>
      <c r="BR7673" s="81"/>
      <c r="BS7673" s="81"/>
      <c r="BT7673" s="81"/>
    </row>
    <row r="7674" spans="65:72" x14ac:dyDescent="0.25">
      <c r="BM7674" s="81"/>
      <c r="BN7674" s="81"/>
      <c r="BO7674" s="81"/>
      <c r="BP7674" s="81"/>
      <c r="BQ7674" s="81"/>
      <c r="BR7674" s="81"/>
      <c r="BS7674" s="81"/>
      <c r="BT7674" s="81"/>
    </row>
    <row r="7675" spans="65:72" x14ac:dyDescent="0.25">
      <c r="BM7675" s="81"/>
      <c r="BN7675" s="81"/>
      <c r="BO7675" s="81"/>
      <c r="BP7675" s="81"/>
      <c r="BQ7675" s="81"/>
      <c r="BR7675" s="81"/>
      <c r="BS7675" s="81"/>
      <c r="BT7675" s="81"/>
    </row>
    <row r="7676" spans="65:72" x14ac:dyDescent="0.25">
      <c r="BM7676" s="81"/>
      <c r="BN7676" s="81"/>
      <c r="BO7676" s="81"/>
      <c r="BP7676" s="81"/>
      <c r="BQ7676" s="81"/>
      <c r="BR7676" s="81"/>
      <c r="BS7676" s="81"/>
      <c r="BT7676" s="81"/>
    </row>
    <row r="7677" spans="65:72" x14ac:dyDescent="0.25">
      <c r="BM7677" s="81"/>
      <c r="BN7677" s="81"/>
      <c r="BO7677" s="81"/>
      <c r="BP7677" s="81"/>
      <c r="BQ7677" s="81"/>
      <c r="BR7677" s="81"/>
      <c r="BS7677" s="81"/>
      <c r="BT7677" s="81"/>
    </row>
    <row r="7678" spans="65:72" x14ac:dyDescent="0.25">
      <c r="BM7678" s="81"/>
      <c r="BN7678" s="81"/>
      <c r="BO7678" s="81"/>
      <c r="BP7678" s="81"/>
      <c r="BQ7678" s="81"/>
      <c r="BR7678" s="81"/>
      <c r="BS7678" s="81"/>
      <c r="BT7678" s="81"/>
    </row>
    <row r="7679" spans="65:72" x14ac:dyDescent="0.25">
      <c r="BM7679" s="81"/>
      <c r="BN7679" s="81"/>
      <c r="BO7679" s="81"/>
      <c r="BP7679" s="81"/>
      <c r="BQ7679" s="81"/>
      <c r="BR7679" s="81"/>
      <c r="BS7679" s="81"/>
      <c r="BT7679" s="81"/>
    </row>
    <row r="7680" spans="65:72" x14ac:dyDescent="0.25">
      <c r="BM7680" s="81"/>
      <c r="BN7680" s="81"/>
      <c r="BO7680" s="81"/>
      <c r="BP7680" s="81"/>
      <c r="BQ7680" s="81"/>
      <c r="BR7680" s="81"/>
      <c r="BS7680" s="81"/>
      <c r="BT7680" s="81"/>
    </row>
    <row r="7681" spans="65:72" x14ac:dyDescent="0.25">
      <c r="BM7681" s="81"/>
      <c r="BN7681" s="81"/>
      <c r="BO7681" s="81"/>
      <c r="BP7681" s="81"/>
      <c r="BQ7681" s="81"/>
      <c r="BR7681" s="81"/>
      <c r="BS7681" s="81"/>
      <c r="BT7681" s="81"/>
    </row>
    <row r="7682" spans="65:72" x14ac:dyDescent="0.25">
      <c r="BM7682" s="81"/>
      <c r="BN7682" s="81"/>
      <c r="BO7682" s="81"/>
      <c r="BP7682" s="81"/>
      <c r="BQ7682" s="81"/>
      <c r="BR7682" s="81"/>
      <c r="BS7682" s="81"/>
      <c r="BT7682" s="81"/>
    </row>
    <row r="7683" spans="65:72" x14ac:dyDescent="0.25">
      <c r="BM7683" s="81"/>
      <c r="BN7683" s="81"/>
      <c r="BO7683" s="81"/>
      <c r="BP7683" s="81"/>
      <c r="BQ7683" s="81"/>
      <c r="BR7683" s="81"/>
      <c r="BS7683" s="81"/>
      <c r="BT7683" s="81"/>
    </row>
    <row r="7684" spans="65:72" x14ac:dyDescent="0.25">
      <c r="BM7684" s="81"/>
      <c r="BN7684" s="81"/>
      <c r="BO7684" s="81"/>
      <c r="BP7684" s="81"/>
      <c r="BQ7684" s="81"/>
      <c r="BR7684" s="81"/>
      <c r="BS7684" s="81"/>
      <c r="BT7684" s="81"/>
    </row>
    <row r="7685" spans="65:72" x14ac:dyDescent="0.25">
      <c r="BM7685" s="81"/>
      <c r="BN7685" s="81"/>
      <c r="BO7685" s="81"/>
      <c r="BP7685" s="81"/>
      <c r="BQ7685" s="81"/>
      <c r="BR7685" s="81"/>
      <c r="BS7685" s="81"/>
      <c r="BT7685" s="81"/>
    </row>
    <row r="7686" spans="65:72" x14ac:dyDescent="0.25">
      <c r="BM7686" s="81"/>
      <c r="BN7686" s="81"/>
      <c r="BO7686" s="81"/>
      <c r="BP7686" s="81"/>
      <c r="BQ7686" s="81"/>
      <c r="BR7686" s="81"/>
      <c r="BS7686" s="81"/>
      <c r="BT7686" s="81"/>
    </row>
    <row r="7687" spans="65:72" x14ac:dyDescent="0.25">
      <c r="BM7687" s="81"/>
      <c r="BN7687" s="81"/>
      <c r="BO7687" s="81"/>
      <c r="BP7687" s="81"/>
      <c r="BQ7687" s="81"/>
      <c r="BR7687" s="81"/>
      <c r="BS7687" s="81"/>
      <c r="BT7687" s="81"/>
    </row>
    <row r="7688" spans="65:72" x14ac:dyDescent="0.25">
      <c r="BM7688" s="81"/>
      <c r="BN7688" s="81"/>
      <c r="BO7688" s="81"/>
      <c r="BP7688" s="81"/>
      <c r="BQ7688" s="81"/>
      <c r="BR7688" s="81"/>
      <c r="BS7688" s="81"/>
      <c r="BT7688" s="81"/>
    </row>
    <row r="7689" spans="65:72" x14ac:dyDescent="0.25">
      <c r="BM7689" s="81"/>
      <c r="BN7689" s="81"/>
      <c r="BO7689" s="81"/>
      <c r="BP7689" s="81"/>
      <c r="BQ7689" s="81"/>
      <c r="BR7689" s="81"/>
      <c r="BS7689" s="81"/>
      <c r="BT7689" s="81"/>
    </row>
    <row r="7690" spans="65:72" x14ac:dyDescent="0.25">
      <c r="BM7690" s="81"/>
      <c r="BN7690" s="81"/>
      <c r="BO7690" s="81"/>
      <c r="BP7690" s="81"/>
      <c r="BQ7690" s="81"/>
      <c r="BR7690" s="81"/>
      <c r="BS7690" s="81"/>
      <c r="BT7690" s="81"/>
    </row>
    <row r="7691" spans="65:72" x14ac:dyDescent="0.25">
      <c r="BM7691" s="81"/>
      <c r="BN7691" s="81"/>
      <c r="BO7691" s="81"/>
      <c r="BP7691" s="81"/>
      <c r="BQ7691" s="81"/>
      <c r="BR7691" s="81"/>
      <c r="BS7691" s="81"/>
      <c r="BT7691" s="81"/>
    </row>
    <row r="7692" spans="65:72" x14ac:dyDescent="0.25">
      <c r="BM7692" s="81"/>
      <c r="BN7692" s="81"/>
      <c r="BO7692" s="81"/>
      <c r="BP7692" s="81"/>
      <c r="BQ7692" s="81"/>
      <c r="BR7692" s="81"/>
      <c r="BS7692" s="81"/>
      <c r="BT7692" s="81"/>
    </row>
    <row r="7693" spans="65:72" x14ac:dyDescent="0.25">
      <c r="BM7693" s="81"/>
      <c r="BN7693" s="81"/>
      <c r="BO7693" s="81"/>
      <c r="BP7693" s="81"/>
      <c r="BQ7693" s="81"/>
      <c r="BR7693" s="81"/>
      <c r="BS7693" s="81"/>
      <c r="BT7693" s="81"/>
    </row>
    <row r="7694" spans="65:72" x14ac:dyDescent="0.25">
      <c r="BM7694" s="81"/>
      <c r="BN7694" s="81"/>
      <c r="BO7694" s="81"/>
      <c r="BP7694" s="81"/>
      <c r="BQ7694" s="81"/>
      <c r="BR7694" s="81"/>
      <c r="BS7694" s="81"/>
      <c r="BT7694" s="81"/>
    </row>
    <row r="7695" spans="65:72" x14ac:dyDescent="0.25">
      <c r="BM7695" s="81"/>
      <c r="BN7695" s="81"/>
      <c r="BO7695" s="81"/>
      <c r="BP7695" s="81"/>
      <c r="BQ7695" s="81"/>
      <c r="BR7695" s="81"/>
      <c r="BS7695" s="81"/>
      <c r="BT7695" s="81"/>
    </row>
    <row r="7696" spans="65:72" x14ac:dyDescent="0.25">
      <c r="BM7696" s="81"/>
      <c r="BN7696" s="81"/>
      <c r="BO7696" s="81"/>
      <c r="BP7696" s="81"/>
      <c r="BQ7696" s="81"/>
      <c r="BR7696" s="81"/>
      <c r="BS7696" s="81"/>
      <c r="BT7696" s="81"/>
    </row>
    <row r="7697" spans="65:72" x14ac:dyDescent="0.25">
      <c r="BM7697" s="81"/>
      <c r="BN7697" s="81"/>
      <c r="BO7697" s="81"/>
      <c r="BP7697" s="81"/>
      <c r="BQ7697" s="81"/>
      <c r="BR7697" s="81"/>
      <c r="BS7697" s="81"/>
      <c r="BT7697" s="81"/>
    </row>
    <row r="7698" spans="65:72" x14ac:dyDescent="0.25">
      <c r="BM7698" s="81"/>
      <c r="BN7698" s="81"/>
      <c r="BO7698" s="81"/>
      <c r="BP7698" s="81"/>
      <c r="BQ7698" s="81"/>
      <c r="BR7698" s="81"/>
      <c r="BS7698" s="81"/>
      <c r="BT7698" s="81"/>
    </row>
    <row r="7699" spans="65:72" x14ac:dyDescent="0.25">
      <c r="BM7699" s="81"/>
      <c r="BN7699" s="81"/>
      <c r="BO7699" s="81"/>
      <c r="BP7699" s="81"/>
      <c r="BQ7699" s="81"/>
      <c r="BR7699" s="81"/>
      <c r="BS7699" s="81"/>
      <c r="BT7699" s="81"/>
    </row>
    <row r="7700" spans="65:72" x14ac:dyDescent="0.25">
      <c r="BM7700" s="81"/>
      <c r="BN7700" s="81"/>
      <c r="BO7700" s="81"/>
      <c r="BP7700" s="81"/>
      <c r="BQ7700" s="81"/>
      <c r="BR7700" s="81"/>
      <c r="BS7700" s="81"/>
      <c r="BT7700" s="81"/>
    </row>
    <row r="7701" spans="65:72" x14ac:dyDescent="0.25">
      <c r="BM7701" s="81"/>
      <c r="BN7701" s="81"/>
      <c r="BO7701" s="81"/>
      <c r="BP7701" s="81"/>
      <c r="BQ7701" s="81"/>
      <c r="BR7701" s="81"/>
      <c r="BS7701" s="81"/>
      <c r="BT7701" s="81"/>
    </row>
    <row r="7702" spans="65:72" x14ac:dyDescent="0.25">
      <c r="BM7702" s="81"/>
      <c r="BN7702" s="81"/>
      <c r="BO7702" s="81"/>
      <c r="BP7702" s="81"/>
      <c r="BQ7702" s="81"/>
      <c r="BR7702" s="81"/>
      <c r="BS7702" s="81"/>
      <c r="BT7702" s="81"/>
    </row>
    <row r="7703" spans="65:72" x14ac:dyDescent="0.25">
      <c r="BM7703" s="81"/>
      <c r="BN7703" s="81"/>
      <c r="BO7703" s="81"/>
      <c r="BP7703" s="81"/>
      <c r="BQ7703" s="81"/>
      <c r="BR7703" s="81"/>
      <c r="BS7703" s="81"/>
      <c r="BT7703" s="81"/>
    </row>
    <row r="7704" spans="65:72" x14ac:dyDescent="0.25">
      <c r="BM7704" s="81"/>
      <c r="BN7704" s="81"/>
      <c r="BO7704" s="81"/>
      <c r="BP7704" s="81"/>
      <c r="BQ7704" s="81"/>
      <c r="BR7704" s="81"/>
      <c r="BS7704" s="81"/>
      <c r="BT7704" s="81"/>
    </row>
    <row r="7705" spans="65:72" x14ac:dyDescent="0.25">
      <c r="BM7705" s="81"/>
      <c r="BN7705" s="81"/>
      <c r="BO7705" s="81"/>
      <c r="BP7705" s="81"/>
      <c r="BQ7705" s="81"/>
      <c r="BR7705" s="81"/>
      <c r="BS7705" s="81"/>
      <c r="BT7705" s="81"/>
    </row>
    <row r="7706" spans="65:72" x14ac:dyDescent="0.25">
      <c r="BM7706" s="81"/>
      <c r="BN7706" s="81"/>
      <c r="BO7706" s="81"/>
      <c r="BP7706" s="81"/>
      <c r="BQ7706" s="81"/>
      <c r="BR7706" s="81"/>
      <c r="BS7706" s="81"/>
      <c r="BT7706" s="81"/>
    </row>
    <row r="7707" spans="65:72" x14ac:dyDescent="0.25">
      <c r="BM7707" s="81"/>
      <c r="BN7707" s="81"/>
      <c r="BO7707" s="81"/>
      <c r="BP7707" s="81"/>
      <c r="BQ7707" s="81"/>
      <c r="BR7707" s="81"/>
      <c r="BS7707" s="81"/>
      <c r="BT7707" s="81"/>
    </row>
    <row r="7708" spans="65:72" x14ac:dyDescent="0.25">
      <c r="BM7708" s="81"/>
      <c r="BN7708" s="81"/>
      <c r="BO7708" s="81"/>
      <c r="BP7708" s="81"/>
      <c r="BQ7708" s="81"/>
      <c r="BR7708" s="81"/>
      <c r="BS7708" s="81"/>
      <c r="BT7708" s="81"/>
    </row>
    <row r="7709" spans="65:72" x14ac:dyDescent="0.25">
      <c r="BM7709" s="81"/>
      <c r="BN7709" s="81"/>
      <c r="BO7709" s="81"/>
      <c r="BP7709" s="81"/>
      <c r="BQ7709" s="81"/>
      <c r="BR7709" s="81"/>
      <c r="BS7709" s="81"/>
      <c r="BT7709" s="81"/>
    </row>
    <row r="7710" spans="65:72" x14ac:dyDescent="0.25">
      <c r="BM7710" s="81"/>
      <c r="BN7710" s="81"/>
      <c r="BO7710" s="81"/>
      <c r="BP7710" s="81"/>
      <c r="BQ7710" s="81"/>
      <c r="BR7710" s="81"/>
      <c r="BS7710" s="81"/>
      <c r="BT7710" s="81"/>
    </row>
    <row r="7711" spans="65:72" x14ac:dyDescent="0.25">
      <c r="BM7711" s="81"/>
      <c r="BN7711" s="81"/>
      <c r="BO7711" s="81"/>
      <c r="BP7711" s="81"/>
      <c r="BQ7711" s="81"/>
      <c r="BR7711" s="81"/>
      <c r="BS7711" s="81"/>
      <c r="BT7711" s="81"/>
    </row>
    <row r="7712" spans="65:72" x14ac:dyDescent="0.25">
      <c r="BM7712" s="81"/>
      <c r="BN7712" s="81"/>
      <c r="BO7712" s="81"/>
      <c r="BP7712" s="81"/>
      <c r="BQ7712" s="81"/>
      <c r="BR7712" s="81"/>
      <c r="BS7712" s="81"/>
      <c r="BT7712" s="81"/>
    </row>
    <row r="7713" spans="65:72" x14ac:dyDescent="0.25">
      <c r="BM7713" s="81"/>
      <c r="BN7713" s="81"/>
      <c r="BO7713" s="81"/>
      <c r="BP7713" s="81"/>
      <c r="BQ7713" s="81"/>
      <c r="BR7713" s="81"/>
      <c r="BS7713" s="81"/>
      <c r="BT7713" s="81"/>
    </row>
    <row r="7714" spans="65:72" x14ac:dyDescent="0.25">
      <c r="BM7714" s="81"/>
      <c r="BN7714" s="81"/>
      <c r="BO7714" s="81"/>
      <c r="BP7714" s="81"/>
      <c r="BQ7714" s="81"/>
      <c r="BR7714" s="81"/>
      <c r="BS7714" s="81"/>
      <c r="BT7714" s="81"/>
    </row>
    <row r="7715" spans="65:72" x14ac:dyDescent="0.25">
      <c r="BM7715" s="81"/>
      <c r="BN7715" s="81"/>
      <c r="BO7715" s="81"/>
      <c r="BP7715" s="81"/>
      <c r="BQ7715" s="81"/>
      <c r="BR7715" s="81"/>
      <c r="BS7715" s="81"/>
      <c r="BT7715" s="81"/>
    </row>
    <row r="7716" spans="65:72" x14ac:dyDescent="0.25">
      <c r="BM7716" s="81"/>
      <c r="BN7716" s="81"/>
      <c r="BO7716" s="81"/>
      <c r="BP7716" s="81"/>
      <c r="BQ7716" s="81"/>
      <c r="BR7716" s="81"/>
      <c r="BS7716" s="81"/>
      <c r="BT7716" s="81"/>
    </row>
    <row r="7717" spans="65:72" x14ac:dyDescent="0.25">
      <c r="BM7717" s="81"/>
      <c r="BN7717" s="81"/>
      <c r="BO7717" s="81"/>
      <c r="BP7717" s="81"/>
      <c r="BQ7717" s="81"/>
      <c r="BR7717" s="81"/>
      <c r="BS7717" s="81"/>
      <c r="BT7717" s="81"/>
    </row>
    <row r="7718" spans="65:72" x14ac:dyDescent="0.25">
      <c r="BM7718" s="81"/>
      <c r="BN7718" s="81"/>
      <c r="BO7718" s="81"/>
      <c r="BP7718" s="81"/>
      <c r="BQ7718" s="81"/>
      <c r="BR7718" s="81"/>
      <c r="BS7718" s="81"/>
      <c r="BT7718" s="81"/>
    </row>
    <row r="7719" spans="65:72" x14ac:dyDescent="0.25">
      <c r="BM7719" s="81"/>
      <c r="BN7719" s="81"/>
      <c r="BO7719" s="81"/>
      <c r="BP7719" s="81"/>
      <c r="BQ7719" s="81"/>
      <c r="BR7719" s="81"/>
      <c r="BS7719" s="81"/>
      <c r="BT7719" s="81"/>
    </row>
    <row r="7720" spans="65:72" x14ac:dyDescent="0.25">
      <c r="BM7720" s="81"/>
      <c r="BN7720" s="81"/>
      <c r="BO7720" s="81"/>
      <c r="BP7720" s="81"/>
      <c r="BQ7720" s="81"/>
      <c r="BR7720" s="81"/>
      <c r="BS7720" s="81"/>
      <c r="BT7720" s="81"/>
    </row>
    <row r="7721" spans="65:72" x14ac:dyDescent="0.25">
      <c r="BM7721" s="81"/>
      <c r="BN7721" s="81"/>
      <c r="BO7721" s="81"/>
      <c r="BP7721" s="81"/>
      <c r="BQ7721" s="81"/>
      <c r="BR7721" s="81"/>
      <c r="BS7721" s="81"/>
      <c r="BT7721" s="81"/>
    </row>
    <row r="7722" spans="65:72" x14ac:dyDescent="0.25">
      <c r="BM7722" s="81"/>
      <c r="BN7722" s="81"/>
      <c r="BO7722" s="81"/>
      <c r="BP7722" s="81"/>
      <c r="BQ7722" s="81"/>
      <c r="BR7722" s="81"/>
      <c r="BS7722" s="81"/>
      <c r="BT7722" s="81"/>
    </row>
    <row r="7723" spans="65:72" x14ac:dyDescent="0.25">
      <c r="BM7723" s="81"/>
      <c r="BN7723" s="81"/>
      <c r="BO7723" s="81"/>
      <c r="BP7723" s="81"/>
      <c r="BQ7723" s="81"/>
      <c r="BR7723" s="81"/>
      <c r="BS7723" s="81"/>
      <c r="BT7723" s="81"/>
    </row>
    <row r="7724" spans="65:72" x14ac:dyDescent="0.25">
      <c r="BM7724" s="81"/>
      <c r="BN7724" s="81"/>
      <c r="BO7724" s="81"/>
      <c r="BP7724" s="81"/>
      <c r="BQ7724" s="81"/>
      <c r="BR7724" s="81"/>
      <c r="BS7724" s="81"/>
      <c r="BT7724" s="81"/>
    </row>
    <row r="7725" spans="65:72" x14ac:dyDescent="0.25">
      <c r="BM7725" s="81"/>
      <c r="BN7725" s="81"/>
      <c r="BO7725" s="81"/>
      <c r="BP7725" s="81"/>
      <c r="BQ7725" s="81"/>
      <c r="BR7725" s="81"/>
      <c r="BS7725" s="81"/>
      <c r="BT7725" s="81"/>
    </row>
    <row r="7726" spans="65:72" x14ac:dyDescent="0.25">
      <c r="BM7726" s="81"/>
      <c r="BN7726" s="81"/>
      <c r="BO7726" s="81"/>
      <c r="BP7726" s="81"/>
      <c r="BQ7726" s="81"/>
      <c r="BR7726" s="81"/>
      <c r="BS7726" s="81"/>
      <c r="BT7726" s="81"/>
    </row>
    <row r="7727" spans="65:72" x14ac:dyDescent="0.25">
      <c r="BM7727" s="81"/>
      <c r="BN7727" s="81"/>
      <c r="BO7727" s="81"/>
      <c r="BP7727" s="81"/>
      <c r="BQ7727" s="81"/>
      <c r="BR7727" s="81"/>
      <c r="BS7727" s="81"/>
      <c r="BT7727" s="81"/>
    </row>
    <row r="7728" spans="65:72" x14ac:dyDescent="0.25">
      <c r="BM7728" s="81"/>
      <c r="BN7728" s="81"/>
      <c r="BO7728" s="81"/>
      <c r="BP7728" s="81"/>
      <c r="BQ7728" s="81"/>
      <c r="BR7728" s="81"/>
      <c r="BS7728" s="81"/>
      <c r="BT7728" s="81"/>
    </row>
    <row r="7729" spans="65:72" x14ac:dyDescent="0.25">
      <c r="BM7729" s="81"/>
      <c r="BN7729" s="81"/>
      <c r="BO7729" s="81"/>
      <c r="BP7729" s="81"/>
      <c r="BQ7729" s="81"/>
      <c r="BR7729" s="81"/>
      <c r="BS7729" s="81"/>
      <c r="BT7729" s="81"/>
    </row>
    <row r="7730" spans="65:72" x14ac:dyDescent="0.25">
      <c r="BM7730" s="81"/>
      <c r="BN7730" s="81"/>
      <c r="BO7730" s="81"/>
      <c r="BP7730" s="81"/>
      <c r="BQ7730" s="81"/>
      <c r="BR7730" s="81"/>
      <c r="BS7730" s="81"/>
      <c r="BT7730" s="81"/>
    </row>
    <row r="7731" spans="65:72" x14ac:dyDescent="0.25">
      <c r="BM7731" s="81"/>
      <c r="BN7731" s="81"/>
      <c r="BO7731" s="81"/>
      <c r="BP7731" s="81"/>
      <c r="BQ7731" s="81"/>
      <c r="BR7731" s="81"/>
      <c r="BS7731" s="81"/>
      <c r="BT7731" s="81"/>
    </row>
    <row r="7732" spans="65:72" x14ac:dyDescent="0.25">
      <c r="BM7732" s="81"/>
      <c r="BN7732" s="81"/>
      <c r="BO7732" s="81"/>
      <c r="BP7732" s="81"/>
      <c r="BQ7732" s="81"/>
      <c r="BR7732" s="81"/>
      <c r="BS7732" s="81"/>
      <c r="BT7732" s="81"/>
    </row>
    <row r="7733" spans="65:72" x14ac:dyDescent="0.25">
      <c r="BM7733" s="81"/>
      <c r="BN7733" s="81"/>
      <c r="BO7733" s="81"/>
      <c r="BP7733" s="81"/>
      <c r="BQ7733" s="81"/>
      <c r="BR7733" s="81"/>
      <c r="BS7733" s="81"/>
      <c r="BT7733" s="81"/>
    </row>
    <row r="7734" spans="65:72" x14ac:dyDescent="0.25">
      <c r="BM7734" s="81"/>
      <c r="BN7734" s="81"/>
      <c r="BO7734" s="81"/>
      <c r="BP7734" s="81"/>
      <c r="BQ7734" s="81"/>
      <c r="BR7734" s="81"/>
      <c r="BS7734" s="81"/>
      <c r="BT7734" s="81"/>
    </row>
    <row r="7735" spans="65:72" x14ac:dyDescent="0.25">
      <c r="BM7735" s="81"/>
      <c r="BN7735" s="81"/>
      <c r="BO7735" s="81"/>
      <c r="BP7735" s="81"/>
      <c r="BQ7735" s="81"/>
      <c r="BR7735" s="81"/>
      <c r="BS7735" s="81"/>
      <c r="BT7735" s="81"/>
    </row>
    <row r="7736" spans="65:72" x14ac:dyDescent="0.25">
      <c r="BM7736" s="81"/>
      <c r="BN7736" s="81"/>
      <c r="BO7736" s="81"/>
      <c r="BP7736" s="81"/>
      <c r="BQ7736" s="81"/>
      <c r="BR7736" s="81"/>
      <c r="BS7736" s="81"/>
      <c r="BT7736" s="81"/>
    </row>
    <row r="7737" spans="65:72" x14ac:dyDescent="0.25">
      <c r="BM7737" s="81"/>
      <c r="BN7737" s="81"/>
      <c r="BO7737" s="81"/>
      <c r="BP7737" s="81"/>
      <c r="BQ7737" s="81"/>
      <c r="BR7737" s="81"/>
      <c r="BS7737" s="81"/>
      <c r="BT7737" s="81"/>
    </row>
    <row r="7738" spans="65:72" x14ac:dyDescent="0.25">
      <c r="BM7738" s="81"/>
      <c r="BN7738" s="81"/>
      <c r="BO7738" s="81"/>
      <c r="BP7738" s="81"/>
      <c r="BQ7738" s="81"/>
      <c r="BR7738" s="81"/>
      <c r="BS7738" s="81"/>
      <c r="BT7738" s="81"/>
    </row>
    <row r="7739" spans="65:72" x14ac:dyDescent="0.25">
      <c r="BM7739" s="81"/>
      <c r="BN7739" s="81"/>
      <c r="BO7739" s="81"/>
      <c r="BP7739" s="81"/>
      <c r="BQ7739" s="81"/>
      <c r="BR7739" s="81"/>
      <c r="BS7739" s="81"/>
      <c r="BT7739" s="81"/>
    </row>
    <row r="7740" spans="65:72" x14ac:dyDescent="0.25">
      <c r="BM7740" s="81"/>
      <c r="BN7740" s="81"/>
      <c r="BO7740" s="81"/>
      <c r="BP7740" s="81"/>
      <c r="BQ7740" s="81"/>
      <c r="BR7740" s="81"/>
      <c r="BS7740" s="81"/>
      <c r="BT7740" s="81"/>
    </row>
    <row r="7741" spans="65:72" x14ac:dyDescent="0.25">
      <c r="BM7741" s="81"/>
      <c r="BN7741" s="81"/>
      <c r="BO7741" s="81"/>
      <c r="BP7741" s="81"/>
      <c r="BQ7741" s="81"/>
      <c r="BR7741" s="81"/>
      <c r="BS7741" s="81"/>
      <c r="BT7741" s="81"/>
    </row>
    <row r="7742" spans="65:72" x14ac:dyDescent="0.25">
      <c r="BM7742" s="81"/>
      <c r="BN7742" s="81"/>
      <c r="BO7742" s="81"/>
      <c r="BP7742" s="81"/>
      <c r="BQ7742" s="81"/>
      <c r="BR7742" s="81"/>
      <c r="BS7742" s="81"/>
      <c r="BT7742" s="81"/>
    </row>
    <row r="7743" spans="65:72" x14ac:dyDescent="0.25">
      <c r="BM7743" s="81"/>
      <c r="BN7743" s="81"/>
      <c r="BO7743" s="81"/>
      <c r="BP7743" s="81"/>
      <c r="BQ7743" s="81"/>
      <c r="BR7743" s="81"/>
      <c r="BS7743" s="81"/>
      <c r="BT7743" s="81"/>
    </row>
    <row r="7744" spans="65:72" x14ac:dyDescent="0.25">
      <c r="BM7744" s="81"/>
      <c r="BN7744" s="81"/>
      <c r="BO7744" s="81"/>
      <c r="BP7744" s="81"/>
      <c r="BQ7744" s="81"/>
      <c r="BR7744" s="81"/>
      <c r="BS7744" s="81"/>
      <c r="BT7744" s="81"/>
    </row>
    <row r="7745" spans="65:72" x14ac:dyDescent="0.25">
      <c r="BM7745" s="81"/>
      <c r="BN7745" s="81"/>
      <c r="BO7745" s="81"/>
      <c r="BP7745" s="81"/>
      <c r="BQ7745" s="81"/>
      <c r="BR7745" s="81"/>
      <c r="BS7745" s="81"/>
      <c r="BT7745" s="81"/>
    </row>
    <row r="7746" spans="65:72" x14ac:dyDescent="0.25">
      <c r="BM7746" s="81"/>
      <c r="BN7746" s="81"/>
      <c r="BO7746" s="81"/>
      <c r="BP7746" s="81"/>
      <c r="BQ7746" s="81"/>
      <c r="BR7746" s="81"/>
      <c r="BS7746" s="81"/>
      <c r="BT7746" s="81"/>
    </row>
    <row r="7747" spans="65:72" x14ac:dyDescent="0.25">
      <c r="BM7747" s="81"/>
      <c r="BN7747" s="81"/>
      <c r="BO7747" s="81"/>
      <c r="BP7747" s="81"/>
      <c r="BQ7747" s="81"/>
      <c r="BR7747" s="81"/>
      <c r="BS7747" s="81"/>
      <c r="BT7747" s="81"/>
    </row>
    <row r="7748" spans="65:72" x14ac:dyDescent="0.25">
      <c r="BM7748" s="81"/>
      <c r="BN7748" s="81"/>
      <c r="BO7748" s="81"/>
      <c r="BP7748" s="81"/>
      <c r="BQ7748" s="81"/>
      <c r="BR7748" s="81"/>
      <c r="BS7748" s="81"/>
      <c r="BT7748" s="81"/>
    </row>
    <row r="7749" spans="65:72" x14ac:dyDescent="0.25">
      <c r="BM7749" s="81"/>
      <c r="BN7749" s="81"/>
      <c r="BO7749" s="81"/>
      <c r="BP7749" s="81"/>
      <c r="BQ7749" s="81"/>
      <c r="BR7749" s="81"/>
      <c r="BS7749" s="81"/>
      <c r="BT7749" s="81"/>
    </row>
    <row r="7750" spans="65:72" x14ac:dyDescent="0.25">
      <c r="BM7750" s="81"/>
      <c r="BN7750" s="81"/>
      <c r="BO7750" s="81"/>
      <c r="BP7750" s="81"/>
      <c r="BQ7750" s="81"/>
      <c r="BR7750" s="81"/>
      <c r="BS7750" s="81"/>
      <c r="BT7750" s="81"/>
    </row>
    <row r="7751" spans="65:72" x14ac:dyDescent="0.25">
      <c r="BM7751" s="81"/>
      <c r="BN7751" s="81"/>
      <c r="BO7751" s="81"/>
      <c r="BP7751" s="81"/>
      <c r="BQ7751" s="81"/>
      <c r="BR7751" s="81"/>
      <c r="BS7751" s="81"/>
      <c r="BT7751" s="81"/>
    </row>
    <row r="7752" spans="65:72" x14ac:dyDescent="0.25">
      <c r="BM7752" s="81"/>
      <c r="BN7752" s="81"/>
      <c r="BO7752" s="81"/>
      <c r="BP7752" s="81"/>
      <c r="BQ7752" s="81"/>
      <c r="BR7752" s="81"/>
      <c r="BS7752" s="81"/>
      <c r="BT7752" s="81"/>
    </row>
    <row r="7753" spans="65:72" x14ac:dyDescent="0.25">
      <c r="BM7753" s="81"/>
      <c r="BN7753" s="81"/>
      <c r="BO7753" s="81"/>
      <c r="BP7753" s="81"/>
      <c r="BQ7753" s="81"/>
      <c r="BR7753" s="81"/>
      <c r="BS7753" s="81"/>
      <c r="BT7753" s="81"/>
    </row>
    <row r="7754" spans="65:72" x14ac:dyDescent="0.25">
      <c r="BM7754" s="81"/>
      <c r="BN7754" s="81"/>
      <c r="BO7754" s="81"/>
      <c r="BP7754" s="81"/>
      <c r="BQ7754" s="81"/>
      <c r="BR7754" s="81"/>
      <c r="BS7754" s="81"/>
      <c r="BT7754" s="81"/>
    </row>
    <row r="7755" spans="65:72" x14ac:dyDescent="0.25">
      <c r="BM7755" s="81"/>
      <c r="BN7755" s="81"/>
      <c r="BO7755" s="81"/>
      <c r="BP7755" s="81"/>
      <c r="BQ7755" s="81"/>
      <c r="BR7755" s="81"/>
      <c r="BS7755" s="81"/>
      <c r="BT7755" s="81"/>
    </row>
    <row r="7756" spans="65:72" x14ac:dyDescent="0.25">
      <c r="BM7756" s="81"/>
      <c r="BN7756" s="81"/>
      <c r="BO7756" s="81"/>
      <c r="BP7756" s="81"/>
      <c r="BQ7756" s="81"/>
      <c r="BR7756" s="81"/>
      <c r="BS7756" s="81"/>
      <c r="BT7756" s="81"/>
    </row>
    <row r="7757" spans="65:72" x14ac:dyDescent="0.25">
      <c r="BM7757" s="81"/>
      <c r="BN7757" s="81"/>
      <c r="BO7757" s="81"/>
      <c r="BP7757" s="81"/>
      <c r="BQ7757" s="81"/>
      <c r="BR7757" s="81"/>
      <c r="BS7757" s="81"/>
      <c r="BT7757" s="81"/>
    </row>
    <row r="7758" spans="65:72" x14ac:dyDescent="0.25">
      <c r="BM7758" s="81"/>
      <c r="BN7758" s="81"/>
      <c r="BO7758" s="81"/>
      <c r="BP7758" s="81"/>
      <c r="BQ7758" s="81"/>
      <c r="BR7758" s="81"/>
      <c r="BS7758" s="81"/>
      <c r="BT7758" s="81"/>
    </row>
    <row r="7759" spans="65:72" x14ac:dyDescent="0.25">
      <c r="BM7759" s="81"/>
      <c r="BN7759" s="81"/>
      <c r="BO7759" s="81"/>
      <c r="BP7759" s="81"/>
      <c r="BQ7759" s="81"/>
      <c r="BR7759" s="81"/>
      <c r="BS7759" s="81"/>
      <c r="BT7759" s="81"/>
    </row>
    <row r="7760" spans="65:72" x14ac:dyDescent="0.25">
      <c r="BM7760" s="81"/>
      <c r="BN7760" s="81"/>
      <c r="BO7760" s="81"/>
      <c r="BP7760" s="81"/>
      <c r="BQ7760" s="81"/>
      <c r="BR7760" s="81"/>
      <c r="BS7760" s="81"/>
      <c r="BT7760" s="81"/>
    </row>
    <row r="7761" spans="65:72" x14ac:dyDescent="0.25">
      <c r="BM7761" s="81"/>
      <c r="BN7761" s="81"/>
      <c r="BO7761" s="81"/>
      <c r="BP7761" s="81"/>
      <c r="BQ7761" s="81"/>
      <c r="BR7761" s="81"/>
      <c r="BS7761" s="81"/>
      <c r="BT7761" s="81"/>
    </row>
    <row r="7762" spans="65:72" x14ac:dyDescent="0.25">
      <c r="BM7762" s="81"/>
      <c r="BN7762" s="81"/>
      <c r="BO7762" s="81"/>
      <c r="BP7762" s="81"/>
      <c r="BQ7762" s="81"/>
      <c r="BR7762" s="81"/>
      <c r="BS7762" s="81"/>
      <c r="BT7762" s="81"/>
    </row>
    <row r="7763" spans="65:72" x14ac:dyDescent="0.25">
      <c r="BM7763" s="81"/>
      <c r="BN7763" s="81"/>
      <c r="BO7763" s="81"/>
      <c r="BP7763" s="81"/>
      <c r="BQ7763" s="81"/>
      <c r="BR7763" s="81"/>
      <c r="BS7763" s="81"/>
      <c r="BT7763" s="81"/>
    </row>
    <row r="7764" spans="65:72" x14ac:dyDescent="0.25">
      <c r="BM7764" s="81"/>
      <c r="BN7764" s="81"/>
      <c r="BO7764" s="81"/>
      <c r="BP7764" s="81"/>
      <c r="BQ7764" s="81"/>
      <c r="BR7764" s="81"/>
      <c r="BS7764" s="81"/>
      <c r="BT7764" s="81"/>
    </row>
    <row r="7765" spans="65:72" x14ac:dyDescent="0.25">
      <c r="BM7765" s="81"/>
      <c r="BN7765" s="81"/>
      <c r="BO7765" s="81"/>
      <c r="BP7765" s="81"/>
      <c r="BQ7765" s="81"/>
      <c r="BR7765" s="81"/>
      <c r="BS7765" s="81"/>
      <c r="BT7765" s="81"/>
    </row>
    <row r="7766" spans="65:72" x14ac:dyDescent="0.25">
      <c r="BM7766" s="81"/>
      <c r="BN7766" s="81"/>
      <c r="BO7766" s="81"/>
      <c r="BP7766" s="81"/>
      <c r="BQ7766" s="81"/>
      <c r="BR7766" s="81"/>
      <c r="BS7766" s="81"/>
      <c r="BT7766" s="81"/>
    </row>
    <row r="7767" spans="65:72" x14ac:dyDescent="0.25">
      <c r="BM7767" s="81"/>
      <c r="BN7767" s="81"/>
      <c r="BO7767" s="81"/>
      <c r="BP7767" s="81"/>
      <c r="BQ7767" s="81"/>
      <c r="BR7767" s="81"/>
      <c r="BS7767" s="81"/>
      <c r="BT7767" s="81"/>
    </row>
    <row r="7768" spans="65:72" x14ac:dyDescent="0.25">
      <c r="BM7768" s="81"/>
      <c r="BN7768" s="81"/>
      <c r="BO7768" s="81"/>
      <c r="BP7768" s="81"/>
      <c r="BQ7768" s="81"/>
      <c r="BR7768" s="81"/>
      <c r="BS7768" s="81"/>
      <c r="BT7768" s="81"/>
    </row>
    <row r="7769" spans="65:72" x14ac:dyDescent="0.25">
      <c r="BM7769" s="81"/>
      <c r="BN7769" s="81"/>
      <c r="BO7769" s="81"/>
      <c r="BP7769" s="81"/>
      <c r="BQ7769" s="81"/>
      <c r="BR7769" s="81"/>
      <c r="BS7769" s="81"/>
      <c r="BT7769" s="81"/>
    </row>
    <row r="7770" spans="65:72" x14ac:dyDescent="0.25">
      <c r="BM7770" s="81"/>
      <c r="BN7770" s="81"/>
      <c r="BO7770" s="81"/>
      <c r="BP7770" s="81"/>
      <c r="BQ7770" s="81"/>
      <c r="BR7770" s="81"/>
      <c r="BS7770" s="81"/>
      <c r="BT7770" s="81"/>
    </row>
    <row r="7771" spans="65:72" x14ac:dyDescent="0.25">
      <c r="BM7771" s="81"/>
      <c r="BN7771" s="81"/>
      <c r="BO7771" s="81"/>
      <c r="BP7771" s="81"/>
      <c r="BQ7771" s="81"/>
      <c r="BR7771" s="81"/>
      <c r="BS7771" s="81"/>
      <c r="BT7771" s="81"/>
    </row>
    <row r="7772" spans="65:72" x14ac:dyDescent="0.25">
      <c r="BM7772" s="81"/>
      <c r="BN7772" s="81"/>
      <c r="BO7772" s="81"/>
      <c r="BP7772" s="81"/>
      <c r="BQ7772" s="81"/>
      <c r="BR7772" s="81"/>
      <c r="BS7772" s="81"/>
      <c r="BT7772" s="81"/>
    </row>
    <row r="7773" spans="65:72" x14ac:dyDescent="0.25">
      <c r="BM7773" s="81"/>
      <c r="BN7773" s="81"/>
      <c r="BO7773" s="81"/>
      <c r="BP7773" s="81"/>
      <c r="BQ7773" s="81"/>
      <c r="BR7773" s="81"/>
      <c r="BS7773" s="81"/>
      <c r="BT7773" s="81"/>
    </row>
    <row r="7774" spans="65:72" x14ac:dyDescent="0.25">
      <c r="BM7774" s="81"/>
      <c r="BN7774" s="81"/>
      <c r="BO7774" s="81"/>
      <c r="BP7774" s="81"/>
      <c r="BQ7774" s="81"/>
      <c r="BR7774" s="81"/>
      <c r="BS7774" s="81"/>
      <c r="BT7774" s="81"/>
    </row>
    <row r="7775" spans="65:72" x14ac:dyDescent="0.25">
      <c r="BM7775" s="81"/>
      <c r="BN7775" s="81"/>
      <c r="BO7775" s="81"/>
      <c r="BP7775" s="81"/>
      <c r="BQ7775" s="81"/>
      <c r="BR7775" s="81"/>
      <c r="BS7775" s="81"/>
      <c r="BT7775" s="81"/>
    </row>
    <row r="7776" spans="65:72" x14ac:dyDescent="0.25">
      <c r="BM7776" s="81"/>
      <c r="BN7776" s="81"/>
      <c r="BO7776" s="81"/>
      <c r="BP7776" s="81"/>
      <c r="BQ7776" s="81"/>
      <c r="BR7776" s="81"/>
      <c r="BS7776" s="81"/>
      <c r="BT7776" s="81"/>
    </row>
    <row r="7777" spans="65:72" x14ac:dyDescent="0.25">
      <c r="BM7777" s="81"/>
      <c r="BN7777" s="81"/>
      <c r="BO7777" s="81"/>
      <c r="BP7777" s="81"/>
      <c r="BQ7777" s="81"/>
      <c r="BR7777" s="81"/>
      <c r="BS7777" s="81"/>
      <c r="BT7777" s="81"/>
    </row>
    <row r="7778" spans="65:72" x14ac:dyDescent="0.25">
      <c r="BM7778" s="81"/>
      <c r="BN7778" s="81"/>
      <c r="BO7778" s="81"/>
      <c r="BP7778" s="81"/>
      <c r="BQ7778" s="81"/>
      <c r="BR7778" s="81"/>
      <c r="BS7778" s="81"/>
      <c r="BT7778" s="81"/>
    </row>
    <row r="7779" spans="65:72" x14ac:dyDescent="0.25">
      <c r="BM7779" s="81"/>
      <c r="BN7779" s="81"/>
      <c r="BO7779" s="81"/>
      <c r="BP7779" s="81"/>
      <c r="BQ7779" s="81"/>
      <c r="BR7779" s="81"/>
      <c r="BS7779" s="81"/>
      <c r="BT7779" s="81"/>
    </row>
    <row r="7780" spans="65:72" x14ac:dyDescent="0.25">
      <c r="BM7780" s="81"/>
      <c r="BN7780" s="81"/>
      <c r="BO7780" s="81"/>
      <c r="BP7780" s="81"/>
      <c r="BQ7780" s="81"/>
      <c r="BR7780" s="81"/>
      <c r="BS7780" s="81"/>
      <c r="BT7780" s="81"/>
    </row>
    <row r="7781" spans="65:72" x14ac:dyDescent="0.25">
      <c r="BM7781" s="81"/>
      <c r="BN7781" s="81"/>
      <c r="BO7781" s="81"/>
      <c r="BP7781" s="81"/>
      <c r="BQ7781" s="81"/>
      <c r="BR7781" s="81"/>
      <c r="BS7781" s="81"/>
      <c r="BT7781" s="81"/>
    </row>
    <row r="7782" spans="65:72" x14ac:dyDescent="0.25">
      <c r="BM7782" s="81"/>
      <c r="BN7782" s="81"/>
      <c r="BO7782" s="81"/>
      <c r="BP7782" s="81"/>
      <c r="BQ7782" s="81"/>
      <c r="BR7782" s="81"/>
      <c r="BS7782" s="81"/>
      <c r="BT7782" s="81"/>
    </row>
    <row r="7783" spans="65:72" x14ac:dyDescent="0.25">
      <c r="BM7783" s="81"/>
      <c r="BN7783" s="81"/>
      <c r="BO7783" s="81"/>
      <c r="BP7783" s="81"/>
      <c r="BQ7783" s="81"/>
      <c r="BR7783" s="81"/>
      <c r="BS7783" s="81"/>
      <c r="BT7783" s="81"/>
    </row>
    <row r="7784" spans="65:72" x14ac:dyDescent="0.25">
      <c r="BM7784" s="81"/>
      <c r="BN7784" s="81"/>
      <c r="BO7784" s="81"/>
      <c r="BP7784" s="81"/>
      <c r="BQ7784" s="81"/>
      <c r="BR7784" s="81"/>
      <c r="BS7784" s="81"/>
      <c r="BT7784" s="81"/>
    </row>
    <row r="7785" spans="65:72" x14ac:dyDescent="0.25">
      <c r="BM7785" s="81"/>
      <c r="BN7785" s="81"/>
      <c r="BO7785" s="81"/>
      <c r="BP7785" s="81"/>
      <c r="BQ7785" s="81"/>
      <c r="BR7785" s="81"/>
      <c r="BS7785" s="81"/>
      <c r="BT7785" s="81"/>
    </row>
    <row r="7786" spans="65:72" x14ac:dyDescent="0.25">
      <c r="BM7786" s="81"/>
      <c r="BN7786" s="81"/>
      <c r="BO7786" s="81"/>
      <c r="BP7786" s="81"/>
      <c r="BQ7786" s="81"/>
      <c r="BR7786" s="81"/>
      <c r="BS7786" s="81"/>
      <c r="BT7786" s="81"/>
    </row>
    <row r="7787" spans="65:72" x14ac:dyDescent="0.25">
      <c r="BM7787" s="81"/>
      <c r="BN7787" s="81"/>
      <c r="BO7787" s="81"/>
      <c r="BP7787" s="81"/>
      <c r="BQ7787" s="81"/>
      <c r="BR7787" s="81"/>
      <c r="BS7787" s="81"/>
      <c r="BT7787" s="81"/>
    </row>
    <row r="7788" spans="65:72" x14ac:dyDescent="0.25">
      <c r="BM7788" s="81"/>
      <c r="BN7788" s="81"/>
      <c r="BO7788" s="81"/>
      <c r="BP7788" s="81"/>
      <c r="BQ7788" s="81"/>
      <c r="BR7788" s="81"/>
      <c r="BS7788" s="81"/>
      <c r="BT7788" s="81"/>
    </row>
    <row r="7789" spans="65:72" x14ac:dyDescent="0.25">
      <c r="BM7789" s="81"/>
      <c r="BN7789" s="81"/>
      <c r="BO7789" s="81"/>
      <c r="BP7789" s="81"/>
      <c r="BQ7789" s="81"/>
      <c r="BR7789" s="81"/>
      <c r="BS7789" s="81"/>
      <c r="BT7789" s="81"/>
    </row>
    <row r="7790" spans="65:72" x14ac:dyDescent="0.25">
      <c r="BM7790" s="81"/>
      <c r="BN7790" s="81"/>
      <c r="BO7790" s="81"/>
      <c r="BP7790" s="81"/>
      <c r="BQ7790" s="81"/>
      <c r="BR7790" s="81"/>
      <c r="BS7790" s="81"/>
      <c r="BT7790" s="81"/>
    </row>
    <row r="7791" spans="65:72" x14ac:dyDescent="0.25">
      <c r="BM7791" s="81"/>
      <c r="BN7791" s="81"/>
      <c r="BO7791" s="81"/>
      <c r="BP7791" s="81"/>
      <c r="BQ7791" s="81"/>
      <c r="BR7791" s="81"/>
      <c r="BS7791" s="81"/>
      <c r="BT7791" s="81"/>
    </row>
    <row r="7792" spans="65:72" x14ac:dyDescent="0.25">
      <c r="BM7792" s="81"/>
      <c r="BN7792" s="81"/>
      <c r="BO7792" s="81"/>
      <c r="BP7792" s="81"/>
      <c r="BQ7792" s="81"/>
      <c r="BR7792" s="81"/>
      <c r="BS7792" s="81"/>
      <c r="BT7792" s="81"/>
    </row>
    <row r="7793" spans="65:72" x14ac:dyDescent="0.25">
      <c r="BM7793" s="81"/>
      <c r="BN7793" s="81"/>
      <c r="BO7793" s="81"/>
      <c r="BP7793" s="81"/>
      <c r="BQ7793" s="81"/>
      <c r="BR7793" s="81"/>
      <c r="BS7793" s="81"/>
      <c r="BT7793" s="81"/>
    </row>
    <row r="7794" spans="65:72" x14ac:dyDescent="0.25">
      <c r="BM7794" s="81"/>
      <c r="BN7794" s="81"/>
      <c r="BO7794" s="81"/>
      <c r="BP7794" s="81"/>
      <c r="BQ7794" s="81"/>
      <c r="BR7794" s="81"/>
      <c r="BS7794" s="81"/>
      <c r="BT7794" s="81"/>
    </row>
    <row r="7795" spans="65:72" x14ac:dyDescent="0.25">
      <c r="BM7795" s="81"/>
      <c r="BN7795" s="81"/>
      <c r="BO7795" s="81"/>
      <c r="BP7795" s="81"/>
      <c r="BQ7795" s="81"/>
      <c r="BR7795" s="81"/>
      <c r="BS7795" s="81"/>
      <c r="BT7795" s="81"/>
    </row>
    <row r="7796" spans="65:72" x14ac:dyDescent="0.25">
      <c r="BM7796" s="81"/>
      <c r="BN7796" s="81"/>
      <c r="BO7796" s="81"/>
      <c r="BP7796" s="81"/>
      <c r="BQ7796" s="81"/>
      <c r="BR7796" s="81"/>
      <c r="BS7796" s="81"/>
      <c r="BT7796" s="81"/>
    </row>
    <row r="7797" spans="65:72" x14ac:dyDescent="0.25">
      <c r="BM7797" s="81"/>
      <c r="BN7797" s="81"/>
      <c r="BO7797" s="81"/>
      <c r="BP7797" s="81"/>
      <c r="BQ7797" s="81"/>
      <c r="BR7797" s="81"/>
      <c r="BS7797" s="81"/>
      <c r="BT7797" s="81"/>
    </row>
    <row r="7798" spans="65:72" x14ac:dyDescent="0.25">
      <c r="BM7798" s="81"/>
      <c r="BN7798" s="81"/>
      <c r="BO7798" s="81"/>
      <c r="BP7798" s="81"/>
      <c r="BQ7798" s="81"/>
      <c r="BR7798" s="81"/>
      <c r="BS7798" s="81"/>
      <c r="BT7798" s="81"/>
    </row>
    <row r="7799" spans="65:72" x14ac:dyDescent="0.25">
      <c r="BM7799" s="81"/>
      <c r="BN7799" s="81"/>
      <c r="BO7799" s="81"/>
      <c r="BP7799" s="81"/>
      <c r="BQ7799" s="81"/>
      <c r="BR7799" s="81"/>
      <c r="BS7799" s="81"/>
      <c r="BT7799" s="81"/>
    </row>
    <row r="7800" spans="65:72" x14ac:dyDescent="0.25">
      <c r="BM7800" s="81"/>
      <c r="BN7800" s="81"/>
      <c r="BO7800" s="81"/>
      <c r="BP7800" s="81"/>
      <c r="BQ7800" s="81"/>
      <c r="BR7800" s="81"/>
      <c r="BS7800" s="81"/>
      <c r="BT7800" s="81"/>
    </row>
    <row r="7801" spans="65:72" x14ac:dyDescent="0.25">
      <c r="BM7801" s="81"/>
      <c r="BN7801" s="81"/>
      <c r="BO7801" s="81"/>
      <c r="BP7801" s="81"/>
      <c r="BQ7801" s="81"/>
      <c r="BR7801" s="81"/>
      <c r="BS7801" s="81"/>
      <c r="BT7801" s="81"/>
    </row>
    <row r="7802" spans="65:72" x14ac:dyDescent="0.25">
      <c r="BM7802" s="81"/>
      <c r="BN7802" s="81"/>
      <c r="BO7802" s="81"/>
      <c r="BP7802" s="81"/>
      <c r="BQ7802" s="81"/>
      <c r="BR7802" s="81"/>
      <c r="BS7802" s="81"/>
      <c r="BT7802" s="81"/>
    </row>
    <row r="7803" spans="65:72" x14ac:dyDescent="0.25">
      <c r="BM7803" s="81"/>
      <c r="BN7803" s="81"/>
      <c r="BO7803" s="81"/>
      <c r="BP7803" s="81"/>
      <c r="BQ7803" s="81"/>
      <c r="BR7803" s="81"/>
      <c r="BS7803" s="81"/>
      <c r="BT7803" s="81"/>
    </row>
    <row r="7804" spans="65:72" x14ac:dyDescent="0.25">
      <c r="BM7804" s="81"/>
      <c r="BN7804" s="81"/>
      <c r="BO7804" s="81"/>
      <c r="BP7804" s="81"/>
      <c r="BQ7804" s="81"/>
      <c r="BR7804" s="81"/>
      <c r="BS7804" s="81"/>
      <c r="BT7804" s="81"/>
    </row>
    <row r="7805" spans="65:72" x14ac:dyDescent="0.25">
      <c r="BM7805" s="81"/>
      <c r="BN7805" s="81"/>
      <c r="BO7805" s="81"/>
      <c r="BP7805" s="81"/>
      <c r="BQ7805" s="81"/>
      <c r="BR7805" s="81"/>
      <c r="BS7805" s="81"/>
      <c r="BT7805" s="81"/>
    </row>
    <row r="7806" spans="65:72" x14ac:dyDescent="0.25">
      <c r="BM7806" s="81"/>
      <c r="BN7806" s="81"/>
      <c r="BO7806" s="81"/>
      <c r="BP7806" s="81"/>
      <c r="BQ7806" s="81"/>
      <c r="BR7806" s="81"/>
      <c r="BS7806" s="81"/>
      <c r="BT7806" s="81"/>
    </row>
    <row r="7807" spans="65:72" x14ac:dyDescent="0.25">
      <c r="BM7807" s="81"/>
      <c r="BN7807" s="81"/>
      <c r="BO7807" s="81"/>
      <c r="BP7807" s="81"/>
      <c r="BQ7807" s="81"/>
      <c r="BR7807" s="81"/>
      <c r="BS7807" s="81"/>
      <c r="BT7807" s="81"/>
    </row>
    <row r="7808" spans="65:72" x14ac:dyDescent="0.25">
      <c r="BM7808" s="81"/>
      <c r="BN7808" s="81"/>
      <c r="BO7808" s="81"/>
      <c r="BP7808" s="81"/>
      <c r="BQ7808" s="81"/>
      <c r="BR7808" s="81"/>
      <c r="BS7808" s="81"/>
      <c r="BT7808" s="81"/>
    </row>
    <row r="7809" spans="65:72" x14ac:dyDescent="0.25">
      <c r="BM7809" s="81"/>
      <c r="BN7809" s="81"/>
      <c r="BO7809" s="81"/>
      <c r="BP7809" s="81"/>
      <c r="BQ7809" s="81"/>
      <c r="BR7809" s="81"/>
      <c r="BS7809" s="81"/>
      <c r="BT7809" s="81"/>
    </row>
    <row r="7810" spans="65:72" x14ac:dyDescent="0.25">
      <c r="BM7810" s="81"/>
      <c r="BN7810" s="81"/>
      <c r="BO7810" s="81"/>
      <c r="BP7810" s="81"/>
      <c r="BQ7810" s="81"/>
      <c r="BR7810" s="81"/>
      <c r="BS7810" s="81"/>
      <c r="BT7810" s="81"/>
    </row>
    <row r="7811" spans="65:72" x14ac:dyDescent="0.25">
      <c r="BM7811" s="81"/>
      <c r="BN7811" s="81"/>
      <c r="BO7811" s="81"/>
      <c r="BP7811" s="81"/>
      <c r="BQ7811" s="81"/>
      <c r="BR7811" s="81"/>
      <c r="BS7811" s="81"/>
      <c r="BT7811" s="81"/>
    </row>
    <row r="7812" spans="65:72" x14ac:dyDescent="0.25">
      <c r="BM7812" s="81"/>
      <c r="BN7812" s="81"/>
      <c r="BO7812" s="81"/>
      <c r="BP7812" s="81"/>
      <c r="BQ7812" s="81"/>
      <c r="BR7812" s="81"/>
      <c r="BS7812" s="81"/>
      <c r="BT7812" s="81"/>
    </row>
    <row r="7813" spans="65:72" x14ac:dyDescent="0.25">
      <c r="BM7813" s="81"/>
      <c r="BN7813" s="81"/>
      <c r="BO7813" s="81"/>
      <c r="BP7813" s="81"/>
      <c r="BQ7813" s="81"/>
      <c r="BR7813" s="81"/>
      <c r="BS7813" s="81"/>
      <c r="BT7813" s="81"/>
    </row>
    <row r="7814" spans="65:72" x14ac:dyDescent="0.25">
      <c r="BM7814" s="81"/>
      <c r="BN7814" s="81"/>
      <c r="BO7814" s="81"/>
      <c r="BP7814" s="81"/>
      <c r="BQ7814" s="81"/>
      <c r="BR7814" s="81"/>
      <c r="BS7814" s="81"/>
      <c r="BT7814" s="81"/>
    </row>
    <row r="7815" spans="65:72" x14ac:dyDescent="0.25">
      <c r="BM7815" s="81"/>
      <c r="BN7815" s="81"/>
      <c r="BO7815" s="81"/>
      <c r="BP7815" s="81"/>
      <c r="BQ7815" s="81"/>
      <c r="BR7815" s="81"/>
      <c r="BS7815" s="81"/>
      <c r="BT7815" s="81"/>
    </row>
    <row r="7816" spans="65:72" x14ac:dyDescent="0.25">
      <c r="BM7816" s="81"/>
      <c r="BN7816" s="81"/>
      <c r="BO7816" s="81"/>
      <c r="BP7816" s="81"/>
      <c r="BQ7816" s="81"/>
      <c r="BR7816" s="81"/>
      <c r="BS7816" s="81"/>
      <c r="BT7816" s="81"/>
    </row>
    <row r="7817" spans="65:72" x14ac:dyDescent="0.25">
      <c r="BM7817" s="81"/>
      <c r="BN7817" s="81"/>
      <c r="BO7817" s="81"/>
      <c r="BP7817" s="81"/>
      <c r="BQ7817" s="81"/>
      <c r="BR7817" s="81"/>
      <c r="BS7817" s="81"/>
      <c r="BT7817" s="81"/>
    </row>
    <row r="7818" spans="65:72" x14ac:dyDescent="0.25">
      <c r="BM7818" s="81"/>
      <c r="BN7818" s="81"/>
      <c r="BO7818" s="81"/>
      <c r="BP7818" s="81"/>
      <c r="BQ7818" s="81"/>
      <c r="BR7818" s="81"/>
      <c r="BS7818" s="81"/>
      <c r="BT7818" s="81"/>
    </row>
    <row r="7819" spans="65:72" x14ac:dyDescent="0.25">
      <c r="BM7819" s="81"/>
      <c r="BN7819" s="81"/>
      <c r="BO7819" s="81"/>
      <c r="BP7819" s="81"/>
      <c r="BQ7819" s="81"/>
      <c r="BR7819" s="81"/>
      <c r="BS7819" s="81"/>
      <c r="BT7819" s="81"/>
    </row>
    <row r="7820" spans="65:72" x14ac:dyDescent="0.25">
      <c r="BM7820" s="81"/>
      <c r="BN7820" s="81"/>
      <c r="BO7820" s="81"/>
      <c r="BP7820" s="81"/>
      <c r="BQ7820" s="81"/>
      <c r="BR7820" s="81"/>
      <c r="BS7820" s="81"/>
      <c r="BT7820" s="81"/>
    </row>
    <row r="7821" spans="65:72" x14ac:dyDescent="0.25">
      <c r="BM7821" s="81"/>
      <c r="BN7821" s="81"/>
      <c r="BO7821" s="81"/>
      <c r="BP7821" s="81"/>
      <c r="BQ7821" s="81"/>
      <c r="BR7821" s="81"/>
      <c r="BS7821" s="81"/>
      <c r="BT7821" s="81"/>
    </row>
    <row r="7822" spans="65:72" x14ac:dyDescent="0.25">
      <c r="BM7822" s="81"/>
      <c r="BN7822" s="81"/>
      <c r="BO7822" s="81"/>
      <c r="BP7822" s="81"/>
      <c r="BQ7822" s="81"/>
      <c r="BR7822" s="81"/>
      <c r="BS7822" s="81"/>
      <c r="BT7822" s="81"/>
    </row>
    <row r="7823" spans="65:72" x14ac:dyDescent="0.25">
      <c r="BM7823" s="81"/>
      <c r="BN7823" s="81"/>
      <c r="BO7823" s="81"/>
      <c r="BP7823" s="81"/>
      <c r="BQ7823" s="81"/>
      <c r="BR7823" s="81"/>
      <c r="BS7823" s="81"/>
      <c r="BT7823" s="81"/>
    </row>
    <row r="7824" spans="65:72" x14ac:dyDescent="0.25">
      <c r="BM7824" s="81"/>
      <c r="BN7824" s="81"/>
      <c r="BO7824" s="81"/>
      <c r="BP7824" s="81"/>
      <c r="BQ7824" s="81"/>
      <c r="BR7824" s="81"/>
      <c r="BS7824" s="81"/>
      <c r="BT7824" s="81"/>
    </row>
    <row r="7825" spans="65:72" x14ac:dyDescent="0.25">
      <c r="BM7825" s="81"/>
      <c r="BN7825" s="81"/>
      <c r="BO7825" s="81"/>
      <c r="BP7825" s="81"/>
      <c r="BQ7825" s="81"/>
      <c r="BR7825" s="81"/>
      <c r="BS7825" s="81"/>
      <c r="BT7825" s="81"/>
    </row>
    <row r="7826" spans="65:72" x14ac:dyDescent="0.25">
      <c r="BM7826" s="81"/>
      <c r="BN7826" s="81"/>
      <c r="BO7826" s="81"/>
      <c r="BP7826" s="81"/>
      <c r="BQ7826" s="81"/>
      <c r="BR7826" s="81"/>
      <c r="BS7826" s="81"/>
      <c r="BT7826" s="81"/>
    </row>
    <row r="7827" spans="65:72" x14ac:dyDescent="0.25">
      <c r="BM7827" s="81"/>
      <c r="BN7827" s="81"/>
      <c r="BO7827" s="81"/>
      <c r="BP7827" s="81"/>
      <c r="BQ7827" s="81"/>
      <c r="BR7827" s="81"/>
      <c r="BS7827" s="81"/>
      <c r="BT7827" s="81"/>
    </row>
    <row r="7828" spans="65:72" x14ac:dyDescent="0.25">
      <c r="BM7828" s="81"/>
      <c r="BN7828" s="81"/>
      <c r="BO7828" s="81"/>
      <c r="BP7828" s="81"/>
      <c r="BQ7828" s="81"/>
      <c r="BR7828" s="81"/>
      <c r="BS7828" s="81"/>
      <c r="BT7828" s="81"/>
    </row>
    <row r="7829" spans="65:72" x14ac:dyDescent="0.25">
      <c r="BM7829" s="81"/>
      <c r="BN7829" s="81"/>
      <c r="BO7829" s="81"/>
      <c r="BP7829" s="81"/>
      <c r="BQ7829" s="81"/>
      <c r="BR7829" s="81"/>
      <c r="BS7829" s="81"/>
      <c r="BT7829" s="81"/>
    </row>
    <row r="7830" spans="65:72" x14ac:dyDescent="0.25">
      <c r="BM7830" s="81"/>
      <c r="BN7830" s="81"/>
      <c r="BO7830" s="81"/>
      <c r="BP7830" s="81"/>
      <c r="BQ7830" s="81"/>
      <c r="BR7830" s="81"/>
      <c r="BS7830" s="81"/>
      <c r="BT7830" s="81"/>
    </row>
    <row r="7831" spans="65:72" x14ac:dyDescent="0.25">
      <c r="BM7831" s="81"/>
      <c r="BN7831" s="81"/>
      <c r="BO7831" s="81"/>
      <c r="BP7831" s="81"/>
      <c r="BQ7831" s="81"/>
      <c r="BR7831" s="81"/>
      <c r="BS7831" s="81"/>
      <c r="BT7831" s="81"/>
    </row>
    <row r="7832" spans="65:72" x14ac:dyDescent="0.25">
      <c r="BM7832" s="81"/>
      <c r="BN7832" s="81"/>
      <c r="BO7832" s="81"/>
      <c r="BP7832" s="81"/>
      <c r="BQ7832" s="81"/>
      <c r="BR7832" s="81"/>
      <c r="BS7832" s="81"/>
      <c r="BT7832" s="81"/>
    </row>
    <row r="7833" spans="65:72" x14ac:dyDescent="0.25">
      <c r="BM7833" s="81"/>
      <c r="BN7833" s="81"/>
      <c r="BO7833" s="81"/>
      <c r="BP7833" s="81"/>
      <c r="BQ7833" s="81"/>
      <c r="BR7833" s="81"/>
      <c r="BS7833" s="81"/>
      <c r="BT7833" s="81"/>
    </row>
    <row r="7834" spans="65:72" x14ac:dyDescent="0.25">
      <c r="BM7834" s="81"/>
      <c r="BN7834" s="81"/>
      <c r="BO7834" s="81"/>
      <c r="BP7834" s="81"/>
      <c r="BQ7834" s="81"/>
      <c r="BR7834" s="81"/>
      <c r="BS7834" s="81"/>
      <c r="BT7834" s="81"/>
    </row>
    <row r="7835" spans="65:72" x14ac:dyDescent="0.25">
      <c r="BM7835" s="81"/>
      <c r="BN7835" s="81"/>
      <c r="BO7835" s="81"/>
      <c r="BP7835" s="81"/>
      <c r="BQ7835" s="81"/>
      <c r="BR7835" s="81"/>
      <c r="BS7835" s="81"/>
      <c r="BT7835" s="81"/>
    </row>
    <row r="7836" spans="65:72" x14ac:dyDescent="0.25">
      <c r="BM7836" s="81"/>
      <c r="BN7836" s="81"/>
      <c r="BO7836" s="81"/>
      <c r="BP7836" s="81"/>
      <c r="BQ7836" s="81"/>
      <c r="BR7836" s="81"/>
      <c r="BS7836" s="81"/>
      <c r="BT7836" s="81"/>
    </row>
    <row r="7837" spans="65:72" x14ac:dyDescent="0.25">
      <c r="BM7837" s="81"/>
      <c r="BN7837" s="81"/>
      <c r="BO7837" s="81"/>
      <c r="BP7837" s="81"/>
      <c r="BQ7837" s="81"/>
      <c r="BR7837" s="81"/>
      <c r="BS7837" s="81"/>
      <c r="BT7837" s="81"/>
    </row>
    <row r="7838" spans="65:72" x14ac:dyDescent="0.25">
      <c r="BM7838" s="81"/>
      <c r="BN7838" s="81"/>
      <c r="BO7838" s="81"/>
      <c r="BP7838" s="81"/>
      <c r="BQ7838" s="81"/>
      <c r="BR7838" s="81"/>
      <c r="BS7838" s="81"/>
      <c r="BT7838" s="81"/>
    </row>
    <row r="7839" spans="65:72" x14ac:dyDescent="0.25">
      <c r="BM7839" s="81"/>
      <c r="BN7839" s="81"/>
      <c r="BO7839" s="81"/>
      <c r="BP7839" s="81"/>
      <c r="BQ7839" s="81"/>
      <c r="BR7839" s="81"/>
      <c r="BS7839" s="81"/>
      <c r="BT7839" s="81"/>
    </row>
    <row r="7840" spans="65:72" x14ac:dyDescent="0.25">
      <c r="BM7840" s="81"/>
      <c r="BN7840" s="81"/>
      <c r="BO7840" s="81"/>
      <c r="BP7840" s="81"/>
      <c r="BQ7840" s="81"/>
      <c r="BR7840" s="81"/>
      <c r="BS7840" s="81"/>
      <c r="BT7840" s="81"/>
    </row>
    <row r="7841" spans="65:72" x14ac:dyDescent="0.25">
      <c r="BM7841" s="81"/>
      <c r="BN7841" s="81"/>
      <c r="BO7841" s="81"/>
      <c r="BP7841" s="81"/>
      <c r="BQ7841" s="81"/>
      <c r="BR7841" s="81"/>
      <c r="BS7841" s="81"/>
      <c r="BT7841" s="81"/>
    </row>
    <row r="7842" spans="65:72" x14ac:dyDescent="0.25">
      <c r="BM7842" s="81"/>
      <c r="BN7842" s="81"/>
      <c r="BO7842" s="81"/>
      <c r="BP7842" s="81"/>
      <c r="BQ7842" s="81"/>
      <c r="BR7842" s="81"/>
      <c r="BS7842" s="81"/>
      <c r="BT7842" s="81"/>
    </row>
    <row r="7843" spans="65:72" x14ac:dyDescent="0.25">
      <c r="BM7843" s="81"/>
      <c r="BN7843" s="81"/>
      <c r="BO7843" s="81"/>
      <c r="BP7843" s="81"/>
      <c r="BQ7843" s="81"/>
      <c r="BR7843" s="81"/>
      <c r="BS7843" s="81"/>
      <c r="BT7843" s="81"/>
    </row>
    <row r="7844" spans="65:72" x14ac:dyDescent="0.25">
      <c r="BM7844" s="81"/>
      <c r="BN7844" s="81"/>
      <c r="BO7844" s="81"/>
      <c r="BP7844" s="81"/>
      <c r="BQ7844" s="81"/>
      <c r="BR7844" s="81"/>
      <c r="BS7844" s="81"/>
      <c r="BT7844" s="81"/>
    </row>
    <row r="7845" spans="65:72" x14ac:dyDescent="0.25">
      <c r="BM7845" s="81"/>
      <c r="BN7845" s="81"/>
      <c r="BO7845" s="81"/>
      <c r="BP7845" s="81"/>
      <c r="BQ7845" s="81"/>
      <c r="BR7845" s="81"/>
      <c r="BS7845" s="81"/>
      <c r="BT7845" s="81"/>
    </row>
    <row r="7846" spans="65:72" x14ac:dyDescent="0.25">
      <c r="BM7846" s="81"/>
      <c r="BN7846" s="81"/>
      <c r="BO7846" s="81"/>
      <c r="BP7846" s="81"/>
      <c r="BQ7846" s="81"/>
      <c r="BR7846" s="81"/>
      <c r="BS7846" s="81"/>
      <c r="BT7846" s="81"/>
    </row>
    <row r="7847" spans="65:72" x14ac:dyDescent="0.25">
      <c r="BM7847" s="81"/>
      <c r="BN7847" s="81"/>
      <c r="BO7847" s="81"/>
      <c r="BP7847" s="81"/>
      <c r="BQ7847" s="81"/>
      <c r="BR7847" s="81"/>
      <c r="BS7847" s="81"/>
      <c r="BT7847" s="81"/>
    </row>
    <row r="7848" spans="65:72" x14ac:dyDescent="0.25">
      <c r="BM7848" s="81"/>
      <c r="BN7848" s="81"/>
      <c r="BO7848" s="81"/>
      <c r="BP7848" s="81"/>
      <c r="BQ7848" s="81"/>
      <c r="BR7848" s="81"/>
      <c r="BS7848" s="81"/>
      <c r="BT7848" s="81"/>
    </row>
    <row r="7849" spans="65:72" x14ac:dyDescent="0.25">
      <c r="BM7849" s="81"/>
      <c r="BN7849" s="81"/>
      <c r="BO7849" s="81"/>
      <c r="BP7849" s="81"/>
      <c r="BQ7849" s="81"/>
      <c r="BR7849" s="81"/>
      <c r="BS7849" s="81"/>
      <c r="BT7849" s="81"/>
    </row>
    <row r="7850" spans="65:72" x14ac:dyDescent="0.25">
      <c r="BM7850" s="81"/>
      <c r="BN7850" s="81"/>
      <c r="BO7850" s="81"/>
      <c r="BP7850" s="81"/>
      <c r="BQ7850" s="81"/>
      <c r="BR7850" s="81"/>
      <c r="BS7850" s="81"/>
      <c r="BT7850" s="81"/>
    </row>
    <row r="7851" spans="65:72" x14ac:dyDescent="0.25">
      <c r="BM7851" s="81"/>
      <c r="BN7851" s="81"/>
      <c r="BO7851" s="81"/>
      <c r="BP7851" s="81"/>
      <c r="BQ7851" s="81"/>
      <c r="BR7851" s="81"/>
      <c r="BS7851" s="81"/>
      <c r="BT7851" s="81"/>
    </row>
    <row r="7852" spans="65:72" x14ac:dyDescent="0.25">
      <c r="BM7852" s="81"/>
      <c r="BN7852" s="81"/>
      <c r="BO7852" s="81"/>
      <c r="BP7852" s="81"/>
      <c r="BQ7852" s="81"/>
      <c r="BR7852" s="81"/>
      <c r="BS7852" s="81"/>
      <c r="BT7852" s="81"/>
    </row>
    <row r="7853" spans="65:72" x14ac:dyDescent="0.25">
      <c r="BM7853" s="81"/>
      <c r="BN7853" s="81"/>
      <c r="BO7853" s="81"/>
      <c r="BP7853" s="81"/>
      <c r="BQ7853" s="81"/>
      <c r="BR7853" s="81"/>
      <c r="BS7853" s="81"/>
      <c r="BT7853" s="81"/>
    </row>
    <row r="7854" spans="65:72" x14ac:dyDescent="0.25">
      <c r="BM7854" s="81"/>
      <c r="BN7854" s="81"/>
      <c r="BO7854" s="81"/>
      <c r="BP7854" s="81"/>
      <c r="BQ7854" s="81"/>
      <c r="BR7854" s="81"/>
      <c r="BS7854" s="81"/>
      <c r="BT7854" s="81"/>
    </row>
    <row r="7855" spans="65:72" x14ac:dyDescent="0.25">
      <c r="BM7855" s="81"/>
      <c r="BN7855" s="81"/>
      <c r="BO7855" s="81"/>
      <c r="BP7855" s="81"/>
      <c r="BQ7855" s="81"/>
      <c r="BR7855" s="81"/>
      <c r="BS7855" s="81"/>
      <c r="BT7855" s="81"/>
    </row>
    <row r="7856" spans="65:72" x14ac:dyDescent="0.25">
      <c r="BM7856" s="81"/>
      <c r="BN7856" s="81"/>
      <c r="BO7856" s="81"/>
      <c r="BP7856" s="81"/>
      <c r="BQ7856" s="81"/>
      <c r="BR7856" s="81"/>
      <c r="BS7856" s="81"/>
      <c r="BT7856" s="81"/>
    </row>
    <row r="7857" spans="65:72" x14ac:dyDescent="0.25">
      <c r="BM7857" s="81"/>
      <c r="BN7857" s="81"/>
      <c r="BO7857" s="81"/>
      <c r="BP7857" s="81"/>
      <c r="BQ7857" s="81"/>
      <c r="BR7857" s="81"/>
      <c r="BS7857" s="81"/>
      <c r="BT7857" s="81"/>
    </row>
    <row r="7858" spans="65:72" x14ac:dyDescent="0.25">
      <c r="BM7858" s="81"/>
      <c r="BN7858" s="81"/>
      <c r="BO7858" s="81"/>
      <c r="BP7858" s="81"/>
      <c r="BQ7858" s="81"/>
      <c r="BR7858" s="81"/>
      <c r="BS7858" s="81"/>
      <c r="BT7858" s="81"/>
    </row>
    <row r="7859" spans="65:72" x14ac:dyDescent="0.25">
      <c r="BM7859" s="81"/>
      <c r="BN7859" s="81"/>
      <c r="BO7859" s="81"/>
      <c r="BP7859" s="81"/>
      <c r="BQ7859" s="81"/>
      <c r="BR7859" s="81"/>
      <c r="BS7859" s="81"/>
      <c r="BT7859" s="81"/>
    </row>
    <row r="7860" spans="65:72" x14ac:dyDescent="0.25">
      <c r="BM7860" s="81"/>
      <c r="BN7860" s="81"/>
      <c r="BO7860" s="81"/>
      <c r="BP7860" s="81"/>
      <c r="BQ7860" s="81"/>
      <c r="BR7860" s="81"/>
      <c r="BS7860" s="81"/>
      <c r="BT7860" s="81"/>
    </row>
    <row r="7861" spans="65:72" x14ac:dyDescent="0.25">
      <c r="BM7861" s="81"/>
      <c r="BN7861" s="81"/>
      <c r="BO7861" s="81"/>
      <c r="BP7861" s="81"/>
      <c r="BQ7861" s="81"/>
      <c r="BR7861" s="81"/>
      <c r="BS7861" s="81"/>
      <c r="BT7861" s="81"/>
    </row>
    <row r="7862" spans="65:72" x14ac:dyDescent="0.25">
      <c r="BM7862" s="81"/>
      <c r="BN7862" s="81"/>
      <c r="BO7862" s="81"/>
      <c r="BP7862" s="81"/>
      <c r="BQ7862" s="81"/>
      <c r="BR7862" s="81"/>
      <c r="BS7862" s="81"/>
      <c r="BT7862" s="81"/>
    </row>
    <row r="7863" spans="65:72" x14ac:dyDescent="0.25">
      <c r="BM7863" s="81"/>
      <c r="BN7863" s="81"/>
      <c r="BO7863" s="81"/>
      <c r="BP7863" s="81"/>
      <c r="BQ7863" s="81"/>
      <c r="BR7863" s="81"/>
      <c r="BS7863" s="81"/>
      <c r="BT7863" s="81"/>
    </row>
    <row r="7864" spans="65:72" x14ac:dyDescent="0.25">
      <c r="BM7864" s="81"/>
      <c r="BN7864" s="81"/>
      <c r="BO7864" s="81"/>
      <c r="BP7864" s="81"/>
      <c r="BQ7864" s="81"/>
      <c r="BR7864" s="81"/>
      <c r="BS7864" s="81"/>
      <c r="BT7864" s="81"/>
    </row>
    <row r="7865" spans="65:72" x14ac:dyDescent="0.25">
      <c r="BM7865" s="81"/>
      <c r="BN7865" s="81"/>
      <c r="BO7865" s="81"/>
      <c r="BP7865" s="81"/>
      <c r="BQ7865" s="81"/>
      <c r="BR7865" s="81"/>
      <c r="BS7865" s="81"/>
      <c r="BT7865" s="81"/>
    </row>
    <row r="7866" spans="65:72" x14ac:dyDescent="0.25">
      <c r="BM7866" s="81"/>
      <c r="BN7866" s="81"/>
      <c r="BO7866" s="81"/>
      <c r="BP7866" s="81"/>
      <c r="BQ7866" s="81"/>
      <c r="BR7866" s="81"/>
      <c r="BS7866" s="81"/>
      <c r="BT7866" s="81"/>
    </row>
    <row r="7867" spans="65:72" x14ac:dyDescent="0.25">
      <c r="BM7867" s="81"/>
      <c r="BN7867" s="81"/>
      <c r="BO7867" s="81"/>
      <c r="BP7867" s="81"/>
      <c r="BQ7867" s="81"/>
      <c r="BR7867" s="81"/>
      <c r="BS7867" s="81"/>
      <c r="BT7867" s="81"/>
    </row>
    <row r="7868" spans="65:72" x14ac:dyDescent="0.25">
      <c r="BM7868" s="81"/>
      <c r="BN7868" s="81"/>
      <c r="BO7868" s="81"/>
      <c r="BP7868" s="81"/>
      <c r="BQ7868" s="81"/>
      <c r="BR7868" s="81"/>
      <c r="BS7868" s="81"/>
      <c r="BT7868" s="81"/>
    </row>
    <row r="7869" spans="65:72" x14ac:dyDescent="0.25">
      <c r="BM7869" s="81"/>
      <c r="BN7869" s="81"/>
      <c r="BO7869" s="81"/>
      <c r="BP7869" s="81"/>
      <c r="BQ7869" s="81"/>
      <c r="BR7869" s="81"/>
      <c r="BS7869" s="81"/>
      <c r="BT7869" s="81"/>
    </row>
    <row r="7870" spans="65:72" x14ac:dyDescent="0.25">
      <c r="BM7870" s="81"/>
      <c r="BN7870" s="81"/>
      <c r="BO7870" s="81"/>
      <c r="BP7870" s="81"/>
      <c r="BQ7870" s="81"/>
      <c r="BR7870" s="81"/>
      <c r="BS7870" s="81"/>
      <c r="BT7870" s="81"/>
    </row>
    <row r="7871" spans="65:72" x14ac:dyDescent="0.25">
      <c r="BM7871" s="81"/>
      <c r="BN7871" s="81"/>
      <c r="BO7871" s="81"/>
      <c r="BP7871" s="81"/>
      <c r="BQ7871" s="81"/>
      <c r="BR7871" s="81"/>
      <c r="BS7871" s="81"/>
      <c r="BT7871" s="81"/>
    </row>
    <row r="7872" spans="65:72" x14ac:dyDescent="0.25">
      <c r="BM7872" s="81"/>
      <c r="BN7872" s="81"/>
      <c r="BO7872" s="81"/>
      <c r="BP7872" s="81"/>
      <c r="BQ7872" s="81"/>
      <c r="BR7872" s="81"/>
      <c r="BS7872" s="81"/>
      <c r="BT7872" s="81"/>
    </row>
    <row r="7873" spans="65:72" x14ac:dyDescent="0.25">
      <c r="BM7873" s="81"/>
      <c r="BN7873" s="81"/>
      <c r="BO7873" s="81"/>
      <c r="BP7873" s="81"/>
      <c r="BQ7873" s="81"/>
      <c r="BR7873" s="81"/>
      <c r="BS7873" s="81"/>
      <c r="BT7873" s="81"/>
    </row>
    <row r="7874" spans="65:72" x14ac:dyDescent="0.25">
      <c r="BM7874" s="81"/>
      <c r="BN7874" s="81"/>
      <c r="BO7874" s="81"/>
      <c r="BP7874" s="81"/>
      <c r="BQ7874" s="81"/>
      <c r="BR7874" s="81"/>
      <c r="BS7874" s="81"/>
      <c r="BT7874" s="81"/>
    </row>
    <row r="7875" spans="65:72" x14ac:dyDescent="0.25">
      <c r="BM7875" s="81"/>
      <c r="BN7875" s="81"/>
      <c r="BO7875" s="81"/>
      <c r="BP7875" s="81"/>
      <c r="BQ7875" s="81"/>
      <c r="BR7875" s="81"/>
      <c r="BS7875" s="81"/>
      <c r="BT7875" s="81"/>
    </row>
    <row r="7876" spans="65:72" x14ac:dyDescent="0.25">
      <c r="BM7876" s="81"/>
      <c r="BN7876" s="81"/>
      <c r="BO7876" s="81"/>
      <c r="BP7876" s="81"/>
      <c r="BQ7876" s="81"/>
      <c r="BR7876" s="81"/>
      <c r="BS7876" s="81"/>
      <c r="BT7876" s="81"/>
    </row>
    <row r="7877" spans="65:72" x14ac:dyDescent="0.25">
      <c r="BM7877" s="81"/>
      <c r="BN7877" s="81"/>
      <c r="BO7877" s="81"/>
      <c r="BP7877" s="81"/>
      <c r="BQ7877" s="81"/>
      <c r="BR7877" s="81"/>
      <c r="BS7877" s="81"/>
      <c r="BT7877" s="81"/>
    </row>
    <row r="7878" spans="65:72" x14ac:dyDescent="0.25">
      <c r="BM7878" s="81"/>
      <c r="BN7878" s="81"/>
      <c r="BO7878" s="81"/>
      <c r="BP7878" s="81"/>
      <c r="BQ7878" s="81"/>
      <c r="BR7878" s="81"/>
      <c r="BS7878" s="81"/>
      <c r="BT7878" s="81"/>
    </row>
    <row r="7879" spans="65:72" x14ac:dyDescent="0.25">
      <c r="BM7879" s="81"/>
      <c r="BN7879" s="81"/>
      <c r="BO7879" s="81"/>
      <c r="BP7879" s="81"/>
      <c r="BQ7879" s="81"/>
      <c r="BR7879" s="81"/>
      <c r="BS7879" s="81"/>
      <c r="BT7879" s="81"/>
    </row>
    <row r="7880" spans="65:72" x14ac:dyDescent="0.25">
      <c r="BM7880" s="81"/>
      <c r="BN7880" s="81"/>
      <c r="BO7880" s="81"/>
      <c r="BP7880" s="81"/>
      <c r="BQ7880" s="81"/>
      <c r="BR7880" s="81"/>
      <c r="BS7880" s="81"/>
      <c r="BT7880" s="81"/>
    </row>
    <row r="7881" spans="65:72" x14ac:dyDescent="0.25">
      <c r="BM7881" s="81"/>
      <c r="BN7881" s="81"/>
      <c r="BO7881" s="81"/>
      <c r="BP7881" s="81"/>
      <c r="BQ7881" s="81"/>
      <c r="BR7881" s="81"/>
      <c r="BS7881" s="81"/>
      <c r="BT7881" s="81"/>
    </row>
    <row r="7882" spans="65:72" x14ac:dyDescent="0.25">
      <c r="BM7882" s="81"/>
      <c r="BN7882" s="81"/>
      <c r="BO7882" s="81"/>
      <c r="BP7882" s="81"/>
      <c r="BQ7882" s="81"/>
      <c r="BR7882" s="81"/>
      <c r="BS7882" s="81"/>
      <c r="BT7882" s="81"/>
    </row>
    <row r="7883" spans="65:72" x14ac:dyDescent="0.25">
      <c r="BM7883" s="81"/>
      <c r="BN7883" s="81"/>
      <c r="BO7883" s="81"/>
      <c r="BP7883" s="81"/>
      <c r="BQ7883" s="81"/>
      <c r="BR7883" s="81"/>
      <c r="BS7883" s="81"/>
      <c r="BT7883" s="81"/>
    </row>
    <row r="7884" spans="65:72" x14ac:dyDescent="0.25">
      <c r="BM7884" s="81"/>
      <c r="BN7884" s="81"/>
      <c r="BO7884" s="81"/>
      <c r="BP7884" s="81"/>
      <c r="BQ7884" s="81"/>
      <c r="BR7884" s="81"/>
      <c r="BS7884" s="81"/>
      <c r="BT7884" s="81"/>
    </row>
    <row r="7885" spans="65:72" x14ac:dyDescent="0.25">
      <c r="BM7885" s="81"/>
      <c r="BN7885" s="81"/>
      <c r="BO7885" s="81"/>
      <c r="BP7885" s="81"/>
      <c r="BQ7885" s="81"/>
      <c r="BR7885" s="81"/>
      <c r="BS7885" s="81"/>
      <c r="BT7885" s="81"/>
    </row>
    <row r="7886" spans="65:72" x14ac:dyDescent="0.25">
      <c r="BM7886" s="81"/>
      <c r="BN7886" s="81"/>
      <c r="BO7886" s="81"/>
      <c r="BP7886" s="81"/>
      <c r="BQ7886" s="81"/>
      <c r="BR7886" s="81"/>
      <c r="BS7886" s="81"/>
      <c r="BT7886" s="81"/>
    </row>
    <row r="7887" spans="65:72" x14ac:dyDescent="0.25">
      <c r="BM7887" s="81"/>
      <c r="BN7887" s="81"/>
      <c r="BO7887" s="81"/>
      <c r="BP7887" s="81"/>
      <c r="BQ7887" s="81"/>
      <c r="BR7887" s="81"/>
      <c r="BS7887" s="81"/>
      <c r="BT7887" s="81"/>
    </row>
    <row r="7888" spans="65:72" x14ac:dyDescent="0.25">
      <c r="BM7888" s="81"/>
      <c r="BN7888" s="81"/>
      <c r="BO7888" s="81"/>
      <c r="BP7888" s="81"/>
      <c r="BQ7888" s="81"/>
      <c r="BR7888" s="81"/>
      <c r="BS7888" s="81"/>
      <c r="BT7888" s="81"/>
    </row>
    <row r="7889" spans="65:72" x14ac:dyDescent="0.25">
      <c r="BM7889" s="81"/>
      <c r="BN7889" s="81"/>
      <c r="BO7889" s="81"/>
      <c r="BP7889" s="81"/>
      <c r="BQ7889" s="81"/>
      <c r="BR7889" s="81"/>
      <c r="BS7889" s="81"/>
      <c r="BT7889" s="81"/>
    </row>
    <row r="7890" spans="65:72" x14ac:dyDescent="0.25">
      <c r="BM7890" s="81"/>
      <c r="BN7890" s="81"/>
      <c r="BO7890" s="81"/>
      <c r="BP7890" s="81"/>
      <c r="BQ7890" s="81"/>
      <c r="BR7890" s="81"/>
      <c r="BS7890" s="81"/>
      <c r="BT7890" s="81"/>
    </row>
    <row r="7891" spans="65:72" x14ac:dyDescent="0.25">
      <c r="BM7891" s="81"/>
      <c r="BN7891" s="81"/>
      <c r="BO7891" s="81"/>
      <c r="BP7891" s="81"/>
      <c r="BQ7891" s="81"/>
      <c r="BR7891" s="81"/>
      <c r="BS7891" s="81"/>
      <c r="BT7891" s="81"/>
    </row>
    <row r="7892" spans="65:72" x14ac:dyDescent="0.25">
      <c r="BM7892" s="81"/>
      <c r="BN7892" s="81"/>
      <c r="BO7892" s="81"/>
      <c r="BP7892" s="81"/>
      <c r="BQ7892" s="81"/>
      <c r="BR7892" s="81"/>
      <c r="BS7892" s="81"/>
      <c r="BT7892" s="81"/>
    </row>
    <row r="7893" spans="65:72" x14ac:dyDescent="0.25">
      <c r="BM7893" s="81"/>
      <c r="BN7893" s="81"/>
      <c r="BO7893" s="81"/>
      <c r="BP7893" s="81"/>
      <c r="BQ7893" s="81"/>
      <c r="BR7893" s="81"/>
      <c r="BS7893" s="81"/>
      <c r="BT7893" s="81"/>
    </row>
    <row r="7894" spans="65:72" x14ac:dyDescent="0.25">
      <c r="BM7894" s="81"/>
      <c r="BN7894" s="81"/>
      <c r="BO7894" s="81"/>
      <c r="BP7894" s="81"/>
      <c r="BQ7894" s="81"/>
      <c r="BR7894" s="81"/>
      <c r="BS7894" s="81"/>
      <c r="BT7894" s="81"/>
    </row>
    <row r="7895" spans="65:72" x14ac:dyDescent="0.25">
      <c r="BM7895" s="81"/>
      <c r="BN7895" s="81"/>
      <c r="BO7895" s="81"/>
      <c r="BP7895" s="81"/>
      <c r="BQ7895" s="81"/>
      <c r="BR7895" s="81"/>
      <c r="BS7895" s="81"/>
      <c r="BT7895" s="81"/>
    </row>
    <row r="7896" spans="65:72" x14ac:dyDescent="0.25">
      <c r="BM7896" s="81"/>
      <c r="BN7896" s="81"/>
      <c r="BO7896" s="81"/>
      <c r="BP7896" s="81"/>
      <c r="BQ7896" s="81"/>
      <c r="BR7896" s="81"/>
      <c r="BS7896" s="81"/>
      <c r="BT7896" s="81"/>
    </row>
    <row r="7897" spans="65:72" x14ac:dyDescent="0.25">
      <c r="BM7897" s="81"/>
      <c r="BN7897" s="81"/>
      <c r="BO7897" s="81"/>
      <c r="BP7897" s="81"/>
      <c r="BQ7897" s="81"/>
      <c r="BR7897" s="81"/>
      <c r="BS7897" s="81"/>
      <c r="BT7897" s="81"/>
    </row>
    <row r="7898" spans="65:72" x14ac:dyDescent="0.25">
      <c r="BM7898" s="81"/>
      <c r="BN7898" s="81"/>
      <c r="BO7898" s="81"/>
      <c r="BP7898" s="81"/>
      <c r="BQ7898" s="81"/>
      <c r="BR7898" s="81"/>
      <c r="BS7898" s="81"/>
      <c r="BT7898" s="81"/>
    </row>
    <row r="7899" spans="65:72" x14ac:dyDescent="0.25">
      <c r="BM7899" s="81"/>
      <c r="BN7899" s="81"/>
      <c r="BO7899" s="81"/>
      <c r="BP7899" s="81"/>
      <c r="BQ7899" s="81"/>
      <c r="BR7899" s="81"/>
      <c r="BS7899" s="81"/>
      <c r="BT7899" s="81"/>
    </row>
    <row r="7900" spans="65:72" x14ac:dyDescent="0.25">
      <c r="BM7900" s="81"/>
      <c r="BN7900" s="81"/>
      <c r="BO7900" s="81"/>
      <c r="BP7900" s="81"/>
      <c r="BQ7900" s="81"/>
      <c r="BR7900" s="81"/>
      <c r="BS7900" s="81"/>
      <c r="BT7900" s="81"/>
    </row>
    <row r="7901" spans="65:72" x14ac:dyDescent="0.25">
      <c r="BM7901" s="81"/>
      <c r="BN7901" s="81"/>
      <c r="BO7901" s="81"/>
      <c r="BP7901" s="81"/>
      <c r="BQ7901" s="81"/>
      <c r="BR7901" s="81"/>
      <c r="BS7901" s="81"/>
      <c r="BT7901" s="81"/>
    </row>
    <row r="7902" spans="65:72" x14ac:dyDescent="0.25">
      <c r="BM7902" s="81"/>
      <c r="BN7902" s="81"/>
      <c r="BO7902" s="81"/>
      <c r="BP7902" s="81"/>
      <c r="BQ7902" s="81"/>
      <c r="BR7902" s="81"/>
      <c r="BS7902" s="81"/>
      <c r="BT7902" s="81"/>
    </row>
    <row r="7903" spans="65:72" x14ac:dyDescent="0.25">
      <c r="BM7903" s="81"/>
      <c r="BN7903" s="81"/>
      <c r="BO7903" s="81"/>
      <c r="BP7903" s="81"/>
      <c r="BQ7903" s="81"/>
      <c r="BR7903" s="81"/>
      <c r="BS7903" s="81"/>
      <c r="BT7903" s="81"/>
    </row>
    <row r="7904" spans="65:72" x14ac:dyDescent="0.25">
      <c r="BM7904" s="81"/>
      <c r="BN7904" s="81"/>
      <c r="BO7904" s="81"/>
      <c r="BP7904" s="81"/>
      <c r="BQ7904" s="81"/>
      <c r="BR7904" s="81"/>
      <c r="BS7904" s="81"/>
      <c r="BT7904" s="81"/>
    </row>
    <row r="7905" spans="65:72" x14ac:dyDescent="0.25">
      <c r="BM7905" s="81"/>
      <c r="BN7905" s="81"/>
      <c r="BO7905" s="81"/>
      <c r="BP7905" s="81"/>
      <c r="BQ7905" s="81"/>
      <c r="BR7905" s="81"/>
      <c r="BS7905" s="81"/>
      <c r="BT7905" s="81"/>
    </row>
    <row r="7906" spans="65:72" x14ac:dyDescent="0.25">
      <c r="BM7906" s="81"/>
      <c r="BN7906" s="81"/>
      <c r="BO7906" s="81"/>
      <c r="BP7906" s="81"/>
      <c r="BQ7906" s="81"/>
      <c r="BR7906" s="81"/>
      <c r="BS7906" s="81"/>
      <c r="BT7906" s="81"/>
    </row>
    <row r="7907" spans="65:72" x14ac:dyDescent="0.25">
      <c r="BM7907" s="81"/>
      <c r="BN7907" s="81"/>
      <c r="BO7907" s="81"/>
      <c r="BP7907" s="81"/>
      <c r="BQ7907" s="81"/>
      <c r="BR7907" s="81"/>
      <c r="BS7907" s="81"/>
      <c r="BT7907" s="81"/>
    </row>
    <row r="7908" spans="65:72" x14ac:dyDescent="0.25">
      <c r="BM7908" s="81"/>
      <c r="BN7908" s="81"/>
      <c r="BO7908" s="81"/>
      <c r="BP7908" s="81"/>
      <c r="BQ7908" s="81"/>
      <c r="BR7908" s="81"/>
      <c r="BS7908" s="81"/>
      <c r="BT7908" s="81"/>
    </row>
    <row r="7909" spans="65:72" x14ac:dyDescent="0.25">
      <c r="BM7909" s="81"/>
      <c r="BN7909" s="81"/>
      <c r="BO7909" s="81"/>
      <c r="BP7909" s="81"/>
      <c r="BQ7909" s="81"/>
      <c r="BR7909" s="81"/>
      <c r="BS7909" s="81"/>
      <c r="BT7909" s="81"/>
    </row>
    <row r="7910" spans="65:72" x14ac:dyDescent="0.25">
      <c r="BM7910" s="81"/>
      <c r="BN7910" s="81"/>
      <c r="BO7910" s="81"/>
      <c r="BP7910" s="81"/>
      <c r="BQ7910" s="81"/>
      <c r="BR7910" s="81"/>
      <c r="BS7910" s="81"/>
      <c r="BT7910" s="81"/>
    </row>
    <row r="7911" spans="65:72" x14ac:dyDescent="0.25">
      <c r="BM7911" s="81"/>
      <c r="BN7911" s="81"/>
      <c r="BO7911" s="81"/>
      <c r="BP7911" s="81"/>
      <c r="BQ7911" s="81"/>
      <c r="BR7911" s="81"/>
      <c r="BS7911" s="81"/>
      <c r="BT7911" s="81"/>
    </row>
    <row r="7912" spans="65:72" x14ac:dyDescent="0.25">
      <c r="BM7912" s="81"/>
      <c r="BN7912" s="81"/>
      <c r="BO7912" s="81"/>
      <c r="BP7912" s="81"/>
      <c r="BQ7912" s="81"/>
      <c r="BR7912" s="81"/>
      <c r="BS7912" s="81"/>
      <c r="BT7912" s="81"/>
    </row>
    <row r="7913" spans="65:72" x14ac:dyDescent="0.25">
      <c r="BM7913" s="81"/>
      <c r="BN7913" s="81"/>
      <c r="BO7913" s="81"/>
      <c r="BP7913" s="81"/>
      <c r="BQ7913" s="81"/>
      <c r="BR7913" s="81"/>
      <c r="BS7913" s="81"/>
      <c r="BT7913" s="81"/>
    </row>
    <row r="7914" spans="65:72" x14ac:dyDescent="0.25">
      <c r="BM7914" s="81"/>
      <c r="BN7914" s="81"/>
      <c r="BO7914" s="81"/>
      <c r="BP7914" s="81"/>
      <c r="BQ7914" s="81"/>
      <c r="BR7914" s="81"/>
      <c r="BS7914" s="81"/>
      <c r="BT7914" s="81"/>
    </row>
    <row r="7915" spans="65:72" x14ac:dyDescent="0.25">
      <c r="BM7915" s="81"/>
      <c r="BN7915" s="81"/>
      <c r="BO7915" s="81"/>
      <c r="BP7915" s="81"/>
      <c r="BQ7915" s="81"/>
      <c r="BR7915" s="81"/>
      <c r="BS7915" s="81"/>
      <c r="BT7915" s="81"/>
    </row>
    <row r="7916" spans="65:72" x14ac:dyDescent="0.25">
      <c r="BM7916" s="81"/>
      <c r="BN7916" s="81"/>
      <c r="BO7916" s="81"/>
      <c r="BP7916" s="81"/>
      <c r="BQ7916" s="81"/>
      <c r="BR7916" s="81"/>
      <c r="BS7916" s="81"/>
      <c r="BT7916" s="81"/>
    </row>
    <row r="7917" spans="65:72" x14ac:dyDescent="0.25">
      <c r="BM7917" s="81"/>
      <c r="BN7917" s="81"/>
      <c r="BO7917" s="81"/>
      <c r="BP7917" s="81"/>
      <c r="BQ7917" s="81"/>
      <c r="BR7917" s="81"/>
      <c r="BS7917" s="81"/>
      <c r="BT7917" s="81"/>
    </row>
    <row r="7918" spans="65:72" x14ac:dyDescent="0.25">
      <c r="BM7918" s="81"/>
      <c r="BN7918" s="81"/>
      <c r="BO7918" s="81"/>
      <c r="BP7918" s="81"/>
      <c r="BQ7918" s="81"/>
      <c r="BR7918" s="81"/>
      <c r="BS7918" s="81"/>
      <c r="BT7918" s="81"/>
    </row>
    <row r="7919" spans="65:72" x14ac:dyDescent="0.25">
      <c r="BM7919" s="81"/>
      <c r="BN7919" s="81"/>
      <c r="BO7919" s="81"/>
      <c r="BP7919" s="81"/>
      <c r="BQ7919" s="81"/>
      <c r="BR7919" s="81"/>
      <c r="BS7919" s="81"/>
      <c r="BT7919" s="81"/>
    </row>
    <row r="7920" spans="65:72" x14ac:dyDescent="0.25">
      <c r="BM7920" s="81"/>
      <c r="BN7920" s="81"/>
      <c r="BO7920" s="81"/>
      <c r="BP7920" s="81"/>
      <c r="BQ7920" s="81"/>
      <c r="BR7920" s="81"/>
      <c r="BS7920" s="81"/>
      <c r="BT7920" s="81"/>
    </row>
    <row r="7921" spans="65:72" x14ac:dyDescent="0.25">
      <c r="BM7921" s="81"/>
      <c r="BN7921" s="81"/>
      <c r="BO7921" s="81"/>
      <c r="BP7921" s="81"/>
      <c r="BQ7921" s="81"/>
      <c r="BR7921" s="81"/>
      <c r="BS7921" s="81"/>
      <c r="BT7921" s="81"/>
    </row>
    <row r="7922" spans="65:72" x14ac:dyDescent="0.25">
      <c r="BM7922" s="81"/>
      <c r="BN7922" s="81"/>
      <c r="BO7922" s="81"/>
      <c r="BP7922" s="81"/>
      <c r="BQ7922" s="81"/>
      <c r="BR7922" s="81"/>
      <c r="BS7922" s="81"/>
      <c r="BT7922" s="81"/>
    </row>
    <row r="7923" spans="65:72" x14ac:dyDescent="0.25">
      <c r="BM7923" s="81"/>
      <c r="BN7923" s="81"/>
      <c r="BO7923" s="81"/>
      <c r="BP7923" s="81"/>
      <c r="BQ7923" s="81"/>
      <c r="BR7923" s="81"/>
      <c r="BS7923" s="81"/>
      <c r="BT7923" s="81"/>
    </row>
    <row r="7924" spans="65:72" x14ac:dyDescent="0.25">
      <c r="BM7924" s="81"/>
      <c r="BN7924" s="81"/>
      <c r="BO7924" s="81"/>
      <c r="BP7924" s="81"/>
      <c r="BQ7924" s="81"/>
      <c r="BR7924" s="81"/>
      <c r="BS7924" s="81"/>
      <c r="BT7924" s="81"/>
    </row>
    <row r="7925" spans="65:72" x14ac:dyDescent="0.25">
      <c r="BM7925" s="81"/>
      <c r="BN7925" s="81"/>
      <c r="BO7925" s="81"/>
      <c r="BP7925" s="81"/>
      <c r="BQ7925" s="81"/>
      <c r="BR7925" s="81"/>
      <c r="BS7925" s="81"/>
      <c r="BT7925" s="81"/>
    </row>
    <row r="7926" spans="65:72" x14ac:dyDescent="0.25">
      <c r="BM7926" s="81"/>
      <c r="BN7926" s="81"/>
      <c r="BO7926" s="81"/>
      <c r="BP7926" s="81"/>
      <c r="BQ7926" s="81"/>
      <c r="BR7926" s="81"/>
      <c r="BS7926" s="81"/>
      <c r="BT7926" s="81"/>
    </row>
    <row r="7927" spans="65:72" x14ac:dyDescent="0.25">
      <c r="BM7927" s="81"/>
      <c r="BN7927" s="81"/>
      <c r="BO7927" s="81"/>
      <c r="BP7927" s="81"/>
      <c r="BQ7927" s="81"/>
      <c r="BR7927" s="81"/>
      <c r="BS7927" s="81"/>
      <c r="BT7927" s="81"/>
    </row>
    <row r="7928" spans="65:72" x14ac:dyDescent="0.25">
      <c r="BM7928" s="81"/>
      <c r="BN7928" s="81"/>
      <c r="BO7928" s="81"/>
      <c r="BP7928" s="81"/>
      <c r="BQ7928" s="81"/>
      <c r="BR7928" s="81"/>
      <c r="BS7928" s="81"/>
      <c r="BT7928" s="81"/>
    </row>
    <row r="7929" spans="65:72" x14ac:dyDescent="0.25">
      <c r="BM7929" s="81"/>
      <c r="BN7929" s="81"/>
      <c r="BO7929" s="81"/>
      <c r="BP7929" s="81"/>
      <c r="BQ7929" s="81"/>
      <c r="BR7929" s="81"/>
      <c r="BS7929" s="81"/>
      <c r="BT7929" s="81"/>
    </row>
    <row r="7930" spans="65:72" x14ac:dyDescent="0.25">
      <c r="BM7930" s="81"/>
      <c r="BN7930" s="81"/>
      <c r="BO7930" s="81"/>
      <c r="BP7930" s="81"/>
      <c r="BQ7930" s="81"/>
      <c r="BR7930" s="81"/>
      <c r="BS7930" s="81"/>
      <c r="BT7930" s="81"/>
    </row>
    <row r="7931" spans="65:72" x14ac:dyDescent="0.25">
      <c r="BM7931" s="81"/>
      <c r="BN7931" s="81"/>
      <c r="BO7931" s="81"/>
      <c r="BP7931" s="81"/>
      <c r="BQ7931" s="81"/>
      <c r="BR7931" s="81"/>
      <c r="BS7931" s="81"/>
      <c r="BT7931" s="81"/>
    </row>
    <row r="7932" spans="65:72" x14ac:dyDescent="0.25">
      <c r="BM7932" s="81"/>
      <c r="BN7932" s="81"/>
      <c r="BO7932" s="81"/>
      <c r="BP7932" s="81"/>
      <c r="BQ7932" s="81"/>
      <c r="BR7932" s="81"/>
      <c r="BS7932" s="81"/>
      <c r="BT7932" s="81"/>
    </row>
    <row r="7933" spans="65:72" x14ac:dyDescent="0.25">
      <c r="BM7933" s="81"/>
      <c r="BN7933" s="81"/>
      <c r="BO7933" s="81"/>
      <c r="BP7933" s="81"/>
      <c r="BQ7933" s="81"/>
      <c r="BR7933" s="81"/>
      <c r="BS7933" s="81"/>
      <c r="BT7933" s="81"/>
    </row>
    <row r="7934" spans="65:72" x14ac:dyDescent="0.25">
      <c r="BM7934" s="81"/>
      <c r="BN7934" s="81"/>
      <c r="BO7934" s="81"/>
      <c r="BP7934" s="81"/>
      <c r="BQ7934" s="81"/>
      <c r="BR7934" s="81"/>
      <c r="BS7934" s="81"/>
      <c r="BT7934" s="81"/>
    </row>
    <row r="7935" spans="65:72" x14ac:dyDescent="0.25">
      <c r="BM7935" s="81"/>
      <c r="BN7935" s="81"/>
      <c r="BO7935" s="81"/>
      <c r="BP7935" s="81"/>
      <c r="BQ7935" s="81"/>
      <c r="BR7935" s="81"/>
      <c r="BS7935" s="81"/>
      <c r="BT7935" s="81"/>
    </row>
    <row r="7936" spans="65:72" x14ac:dyDescent="0.25">
      <c r="BM7936" s="81"/>
      <c r="BN7936" s="81"/>
      <c r="BO7936" s="81"/>
      <c r="BP7936" s="81"/>
      <c r="BQ7936" s="81"/>
      <c r="BR7936" s="81"/>
      <c r="BS7936" s="81"/>
      <c r="BT7936" s="81"/>
    </row>
    <row r="7937" spans="65:72" x14ac:dyDescent="0.25">
      <c r="BM7937" s="81"/>
      <c r="BN7937" s="81"/>
      <c r="BO7937" s="81"/>
      <c r="BP7937" s="81"/>
      <c r="BQ7937" s="81"/>
      <c r="BR7937" s="81"/>
      <c r="BS7937" s="81"/>
      <c r="BT7937" s="81"/>
    </row>
    <row r="7938" spans="65:72" x14ac:dyDescent="0.25">
      <c r="BM7938" s="81"/>
      <c r="BN7938" s="81"/>
      <c r="BO7938" s="81"/>
      <c r="BP7938" s="81"/>
      <c r="BQ7938" s="81"/>
      <c r="BR7938" s="81"/>
      <c r="BS7938" s="81"/>
      <c r="BT7938" s="81"/>
    </row>
    <row r="7939" spans="65:72" x14ac:dyDescent="0.25">
      <c r="BM7939" s="81"/>
      <c r="BN7939" s="81"/>
      <c r="BO7939" s="81"/>
      <c r="BP7939" s="81"/>
      <c r="BQ7939" s="81"/>
      <c r="BR7939" s="81"/>
      <c r="BS7939" s="81"/>
      <c r="BT7939" s="81"/>
    </row>
    <row r="7940" spans="65:72" x14ac:dyDescent="0.25">
      <c r="BM7940" s="81"/>
      <c r="BN7940" s="81"/>
      <c r="BO7940" s="81"/>
      <c r="BP7940" s="81"/>
      <c r="BQ7940" s="81"/>
      <c r="BR7940" s="81"/>
      <c r="BS7940" s="81"/>
      <c r="BT7940" s="81"/>
    </row>
    <row r="7941" spans="65:72" x14ac:dyDescent="0.25">
      <c r="BM7941" s="81"/>
      <c r="BN7941" s="81"/>
      <c r="BO7941" s="81"/>
      <c r="BP7941" s="81"/>
      <c r="BQ7941" s="81"/>
      <c r="BR7941" s="81"/>
      <c r="BS7941" s="81"/>
      <c r="BT7941" s="81"/>
    </row>
    <row r="7942" spans="65:72" x14ac:dyDescent="0.25">
      <c r="BM7942" s="81"/>
      <c r="BN7942" s="81"/>
      <c r="BO7942" s="81"/>
      <c r="BP7942" s="81"/>
      <c r="BQ7942" s="81"/>
      <c r="BR7942" s="81"/>
      <c r="BS7942" s="81"/>
      <c r="BT7942" s="81"/>
    </row>
    <row r="7943" spans="65:72" x14ac:dyDescent="0.25">
      <c r="BM7943" s="81"/>
      <c r="BN7943" s="81"/>
      <c r="BO7943" s="81"/>
      <c r="BP7943" s="81"/>
      <c r="BQ7943" s="81"/>
      <c r="BR7943" s="81"/>
      <c r="BS7943" s="81"/>
      <c r="BT7943" s="81"/>
    </row>
    <row r="7944" spans="65:72" x14ac:dyDescent="0.25">
      <c r="BM7944" s="81"/>
      <c r="BN7944" s="81"/>
      <c r="BO7944" s="81"/>
      <c r="BP7944" s="81"/>
      <c r="BQ7944" s="81"/>
      <c r="BR7944" s="81"/>
      <c r="BS7944" s="81"/>
      <c r="BT7944" s="81"/>
    </row>
    <row r="7945" spans="65:72" x14ac:dyDescent="0.25">
      <c r="BM7945" s="81"/>
      <c r="BN7945" s="81"/>
      <c r="BO7945" s="81"/>
      <c r="BP7945" s="81"/>
      <c r="BQ7945" s="81"/>
      <c r="BR7945" s="81"/>
      <c r="BS7945" s="81"/>
      <c r="BT7945" s="81"/>
    </row>
    <row r="7946" spans="65:72" x14ac:dyDescent="0.25">
      <c r="BM7946" s="81"/>
      <c r="BN7946" s="81"/>
      <c r="BO7946" s="81"/>
      <c r="BP7946" s="81"/>
      <c r="BQ7946" s="81"/>
      <c r="BR7946" s="81"/>
      <c r="BS7946" s="81"/>
      <c r="BT7946" s="81"/>
    </row>
    <row r="7947" spans="65:72" x14ac:dyDescent="0.25">
      <c r="BM7947" s="81"/>
      <c r="BN7947" s="81"/>
      <c r="BO7947" s="81"/>
      <c r="BP7947" s="81"/>
      <c r="BQ7947" s="81"/>
      <c r="BR7947" s="81"/>
      <c r="BS7947" s="81"/>
      <c r="BT7947" s="81"/>
    </row>
    <row r="7948" spans="65:72" x14ac:dyDescent="0.25">
      <c r="BM7948" s="81"/>
      <c r="BN7948" s="81"/>
      <c r="BO7948" s="81"/>
      <c r="BP7948" s="81"/>
      <c r="BQ7948" s="81"/>
      <c r="BR7948" s="81"/>
      <c r="BS7948" s="81"/>
      <c r="BT7948" s="81"/>
    </row>
    <row r="7949" spans="65:72" x14ac:dyDescent="0.25">
      <c r="BM7949" s="81"/>
      <c r="BN7949" s="81"/>
      <c r="BO7949" s="81"/>
      <c r="BP7949" s="81"/>
      <c r="BQ7949" s="81"/>
      <c r="BR7949" s="81"/>
      <c r="BS7949" s="81"/>
      <c r="BT7949" s="81"/>
    </row>
    <row r="7950" spans="65:72" x14ac:dyDescent="0.25">
      <c r="BM7950" s="81"/>
      <c r="BN7950" s="81"/>
      <c r="BO7950" s="81"/>
      <c r="BP7950" s="81"/>
      <c r="BQ7950" s="81"/>
      <c r="BR7950" s="81"/>
      <c r="BS7950" s="81"/>
      <c r="BT7950" s="81"/>
    </row>
    <row r="7951" spans="65:72" x14ac:dyDescent="0.25">
      <c r="BM7951" s="81"/>
      <c r="BN7951" s="81"/>
      <c r="BO7951" s="81"/>
      <c r="BP7951" s="81"/>
      <c r="BQ7951" s="81"/>
      <c r="BR7951" s="81"/>
      <c r="BS7951" s="81"/>
      <c r="BT7951" s="81"/>
    </row>
    <row r="7952" spans="65:72" x14ac:dyDescent="0.25">
      <c r="BM7952" s="81"/>
      <c r="BN7952" s="81"/>
      <c r="BO7952" s="81"/>
      <c r="BP7952" s="81"/>
      <c r="BQ7952" s="81"/>
      <c r="BR7952" s="81"/>
      <c r="BS7952" s="81"/>
      <c r="BT7952" s="81"/>
    </row>
    <row r="7953" spans="65:72" x14ac:dyDescent="0.25">
      <c r="BM7953" s="81"/>
      <c r="BN7953" s="81"/>
      <c r="BO7953" s="81"/>
      <c r="BP7953" s="81"/>
      <c r="BQ7953" s="81"/>
      <c r="BR7953" s="81"/>
      <c r="BS7953" s="81"/>
      <c r="BT7953" s="81"/>
    </row>
    <row r="7954" spans="65:72" x14ac:dyDescent="0.25">
      <c r="BM7954" s="81"/>
      <c r="BN7954" s="81"/>
      <c r="BO7954" s="81"/>
      <c r="BP7954" s="81"/>
      <c r="BQ7954" s="81"/>
      <c r="BR7954" s="81"/>
      <c r="BS7954" s="81"/>
      <c r="BT7954" s="81"/>
    </row>
    <row r="7955" spans="65:72" x14ac:dyDescent="0.25">
      <c r="BM7955" s="81"/>
      <c r="BN7955" s="81"/>
      <c r="BO7955" s="81"/>
      <c r="BP7955" s="81"/>
      <c r="BQ7955" s="81"/>
      <c r="BR7955" s="81"/>
      <c r="BS7955" s="81"/>
      <c r="BT7955" s="81"/>
    </row>
    <row r="7956" spans="65:72" x14ac:dyDescent="0.25">
      <c r="BM7956" s="81"/>
      <c r="BN7956" s="81"/>
      <c r="BO7956" s="81"/>
      <c r="BP7956" s="81"/>
      <c r="BQ7956" s="81"/>
      <c r="BR7956" s="81"/>
      <c r="BS7956" s="81"/>
      <c r="BT7956" s="81"/>
    </row>
    <row r="7957" spans="65:72" x14ac:dyDescent="0.25">
      <c r="BM7957" s="81"/>
      <c r="BN7957" s="81"/>
      <c r="BO7957" s="81"/>
      <c r="BP7957" s="81"/>
      <c r="BQ7957" s="81"/>
      <c r="BR7957" s="81"/>
      <c r="BS7957" s="81"/>
      <c r="BT7957" s="81"/>
    </row>
    <row r="7958" spans="65:72" x14ac:dyDescent="0.25">
      <c r="BM7958" s="81"/>
      <c r="BN7958" s="81"/>
      <c r="BO7958" s="81"/>
      <c r="BP7958" s="81"/>
      <c r="BQ7958" s="81"/>
      <c r="BR7958" s="81"/>
      <c r="BS7958" s="81"/>
      <c r="BT7958" s="81"/>
    </row>
    <row r="7959" spans="65:72" x14ac:dyDescent="0.25">
      <c r="BM7959" s="81"/>
      <c r="BN7959" s="81"/>
      <c r="BO7959" s="81"/>
      <c r="BP7959" s="81"/>
      <c r="BQ7959" s="81"/>
      <c r="BR7959" s="81"/>
      <c r="BS7959" s="81"/>
      <c r="BT7959" s="81"/>
    </row>
    <row r="7960" spans="65:72" x14ac:dyDescent="0.25">
      <c r="BM7960" s="81"/>
      <c r="BN7960" s="81"/>
      <c r="BO7960" s="81"/>
      <c r="BP7960" s="81"/>
      <c r="BQ7960" s="81"/>
      <c r="BR7960" s="81"/>
      <c r="BS7960" s="81"/>
      <c r="BT7960" s="81"/>
    </row>
    <row r="7961" spans="65:72" x14ac:dyDescent="0.25">
      <c r="BM7961" s="81"/>
      <c r="BN7961" s="81"/>
      <c r="BO7961" s="81"/>
      <c r="BP7961" s="81"/>
      <c r="BQ7961" s="81"/>
      <c r="BR7961" s="81"/>
      <c r="BS7961" s="81"/>
      <c r="BT7961" s="81"/>
    </row>
    <row r="7962" spans="65:72" x14ac:dyDescent="0.25">
      <c r="BM7962" s="81"/>
      <c r="BN7962" s="81"/>
      <c r="BO7962" s="81"/>
      <c r="BP7962" s="81"/>
      <c r="BQ7962" s="81"/>
      <c r="BR7962" s="81"/>
      <c r="BS7962" s="81"/>
      <c r="BT7962" s="81"/>
    </row>
    <row r="7963" spans="65:72" x14ac:dyDescent="0.25">
      <c r="BM7963" s="81"/>
      <c r="BN7963" s="81"/>
      <c r="BO7963" s="81"/>
      <c r="BP7963" s="81"/>
      <c r="BQ7963" s="81"/>
      <c r="BR7963" s="81"/>
      <c r="BS7963" s="81"/>
      <c r="BT7963" s="81"/>
    </row>
    <row r="7964" spans="65:72" x14ac:dyDescent="0.25">
      <c r="BM7964" s="81"/>
      <c r="BN7964" s="81"/>
      <c r="BO7964" s="81"/>
      <c r="BP7964" s="81"/>
      <c r="BQ7964" s="81"/>
      <c r="BR7964" s="81"/>
      <c r="BS7964" s="81"/>
      <c r="BT7964" s="81"/>
    </row>
    <row r="7965" spans="65:72" x14ac:dyDescent="0.25">
      <c r="BM7965" s="81"/>
      <c r="BN7965" s="81"/>
      <c r="BO7965" s="81"/>
      <c r="BP7965" s="81"/>
      <c r="BQ7965" s="81"/>
      <c r="BR7965" s="81"/>
      <c r="BS7965" s="81"/>
      <c r="BT7965" s="81"/>
    </row>
    <row r="7966" spans="65:72" x14ac:dyDescent="0.25">
      <c r="BM7966" s="81"/>
      <c r="BN7966" s="81"/>
      <c r="BO7966" s="81"/>
      <c r="BP7966" s="81"/>
      <c r="BQ7966" s="81"/>
      <c r="BR7966" s="81"/>
      <c r="BS7966" s="81"/>
      <c r="BT7966" s="81"/>
    </row>
    <row r="7967" spans="65:72" x14ac:dyDescent="0.25">
      <c r="BM7967" s="81"/>
      <c r="BN7967" s="81"/>
      <c r="BO7967" s="81"/>
      <c r="BP7967" s="81"/>
      <c r="BQ7967" s="81"/>
      <c r="BR7967" s="81"/>
      <c r="BS7967" s="81"/>
      <c r="BT7967" s="81"/>
    </row>
    <row r="7968" spans="65:72" x14ac:dyDescent="0.25">
      <c r="BM7968" s="81"/>
      <c r="BN7968" s="81"/>
      <c r="BO7968" s="81"/>
      <c r="BP7968" s="81"/>
      <c r="BQ7968" s="81"/>
      <c r="BR7968" s="81"/>
      <c r="BS7968" s="81"/>
      <c r="BT7968" s="81"/>
    </row>
    <row r="7969" spans="65:72" x14ac:dyDescent="0.25">
      <c r="BM7969" s="81"/>
      <c r="BN7969" s="81"/>
      <c r="BO7969" s="81"/>
      <c r="BP7969" s="81"/>
      <c r="BQ7969" s="81"/>
      <c r="BR7969" s="81"/>
      <c r="BS7969" s="81"/>
      <c r="BT7969" s="81"/>
    </row>
    <row r="7970" spans="65:72" x14ac:dyDescent="0.25">
      <c r="BM7970" s="81"/>
      <c r="BN7970" s="81"/>
      <c r="BO7970" s="81"/>
      <c r="BP7970" s="81"/>
      <c r="BQ7970" s="81"/>
      <c r="BR7970" s="81"/>
      <c r="BS7970" s="81"/>
      <c r="BT7970" s="81"/>
    </row>
    <row r="7971" spans="65:72" x14ac:dyDescent="0.25">
      <c r="BM7971" s="81"/>
      <c r="BN7971" s="81"/>
      <c r="BO7971" s="81"/>
      <c r="BP7971" s="81"/>
      <c r="BQ7971" s="81"/>
      <c r="BR7971" s="81"/>
      <c r="BS7971" s="81"/>
      <c r="BT7971" s="81"/>
    </row>
    <row r="7972" spans="65:72" x14ac:dyDescent="0.25">
      <c r="BM7972" s="81"/>
      <c r="BN7972" s="81"/>
      <c r="BO7972" s="81"/>
      <c r="BP7972" s="81"/>
      <c r="BQ7972" s="81"/>
      <c r="BR7972" s="81"/>
      <c r="BS7972" s="81"/>
      <c r="BT7972" s="81"/>
    </row>
    <row r="7973" spans="65:72" x14ac:dyDescent="0.25">
      <c r="BM7973" s="81"/>
      <c r="BN7973" s="81"/>
      <c r="BO7973" s="81"/>
      <c r="BP7973" s="81"/>
      <c r="BQ7973" s="81"/>
      <c r="BR7973" s="81"/>
      <c r="BS7973" s="81"/>
      <c r="BT7973" s="81"/>
    </row>
    <row r="7974" spans="65:72" x14ac:dyDescent="0.25">
      <c r="BM7974" s="81"/>
      <c r="BN7974" s="81"/>
      <c r="BO7974" s="81"/>
      <c r="BP7974" s="81"/>
      <c r="BQ7974" s="81"/>
      <c r="BR7974" s="81"/>
      <c r="BS7974" s="81"/>
      <c r="BT7974" s="81"/>
    </row>
    <row r="7975" spans="65:72" x14ac:dyDescent="0.25">
      <c r="BM7975" s="81"/>
      <c r="BN7975" s="81"/>
      <c r="BO7975" s="81"/>
      <c r="BP7975" s="81"/>
      <c r="BQ7975" s="81"/>
      <c r="BR7975" s="81"/>
      <c r="BS7975" s="81"/>
      <c r="BT7975" s="81"/>
    </row>
    <row r="7976" spans="65:72" x14ac:dyDescent="0.25">
      <c r="BM7976" s="81"/>
      <c r="BN7976" s="81"/>
      <c r="BO7976" s="81"/>
      <c r="BP7976" s="81"/>
      <c r="BQ7976" s="81"/>
      <c r="BR7976" s="81"/>
      <c r="BS7976" s="81"/>
      <c r="BT7976" s="81"/>
    </row>
    <row r="7977" spans="65:72" x14ac:dyDescent="0.25">
      <c r="BM7977" s="81"/>
      <c r="BN7977" s="81"/>
      <c r="BO7977" s="81"/>
      <c r="BP7977" s="81"/>
      <c r="BQ7977" s="81"/>
      <c r="BR7977" s="81"/>
      <c r="BS7977" s="81"/>
      <c r="BT7977" s="81"/>
    </row>
    <row r="7978" spans="65:72" x14ac:dyDescent="0.25">
      <c r="BM7978" s="81"/>
      <c r="BN7978" s="81"/>
      <c r="BO7978" s="81"/>
      <c r="BP7978" s="81"/>
      <c r="BQ7978" s="81"/>
      <c r="BR7978" s="81"/>
      <c r="BS7978" s="81"/>
      <c r="BT7978" s="81"/>
    </row>
    <row r="7979" spans="65:72" x14ac:dyDescent="0.25">
      <c r="BM7979" s="81"/>
      <c r="BN7979" s="81"/>
      <c r="BO7979" s="81"/>
      <c r="BP7979" s="81"/>
      <c r="BQ7979" s="81"/>
      <c r="BR7979" s="81"/>
      <c r="BS7979" s="81"/>
      <c r="BT7979" s="81"/>
    </row>
    <row r="7980" spans="65:72" x14ac:dyDescent="0.25">
      <c r="BM7980" s="81"/>
      <c r="BN7980" s="81"/>
      <c r="BO7980" s="81"/>
      <c r="BP7980" s="81"/>
      <c r="BQ7980" s="81"/>
      <c r="BR7980" s="81"/>
      <c r="BS7980" s="81"/>
      <c r="BT7980" s="81"/>
    </row>
    <row r="7981" spans="65:72" x14ac:dyDescent="0.25">
      <c r="BM7981" s="81"/>
      <c r="BN7981" s="81"/>
      <c r="BO7981" s="81"/>
      <c r="BP7981" s="81"/>
      <c r="BQ7981" s="81"/>
      <c r="BR7981" s="81"/>
      <c r="BS7981" s="81"/>
      <c r="BT7981" s="81"/>
    </row>
    <row r="7982" spans="65:72" x14ac:dyDescent="0.25">
      <c r="BM7982" s="81"/>
      <c r="BN7982" s="81"/>
      <c r="BO7982" s="81"/>
      <c r="BP7982" s="81"/>
      <c r="BQ7982" s="81"/>
      <c r="BR7982" s="81"/>
      <c r="BS7982" s="81"/>
      <c r="BT7982" s="81"/>
    </row>
    <row r="7983" spans="65:72" x14ac:dyDescent="0.25">
      <c r="BM7983" s="81"/>
      <c r="BN7983" s="81"/>
      <c r="BO7983" s="81"/>
      <c r="BP7983" s="81"/>
      <c r="BQ7983" s="81"/>
      <c r="BR7983" s="81"/>
      <c r="BS7983" s="81"/>
      <c r="BT7983" s="81"/>
    </row>
    <row r="7984" spans="65:72" x14ac:dyDescent="0.25">
      <c r="BM7984" s="81"/>
      <c r="BN7984" s="81"/>
      <c r="BO7984" s="81"/>
      <c r="BP7984" s="81"/>
      <c r="BQ7984" s="81"/>
      <c r="BR7984" s="81"/>
      <c r="BS7984" s="81"/>
      <c r="BT7984" s="81"/>
    </row>
    <row r="7985" spans="65:72" x14ac:dyDescent="0.25">
      <c r="BM7985" s="81"/>
      <c r="BN7985" s="81"/>
      <c r="BO7985" s="81"/>
      <c r="BP7985" s="81"/>
      <c r="BQ7985" s="81"/>
      <c r="BR7985" s="81"/>
      <c r="BS7985" s="81"/>
      <c r="BT7985" s="81"/>
    </row>
    <row r="7986" spans="65:72" x14ac:dyDescent="0.25">
      <c r="BM7986" s="81"/>
      <c r="BN7986" s="81"/>
      <c r="BO7986" s="81"/>
      <c r="BP7986" s="81"/>
      <c r="BQ7986" s="81"/>
      <c r="BR7986" s="81"/>
      <c r="BS7986" s="81"/>
      <c r="BT7986" s="81"/>
    </row>
    <row r="7987" spans="65:72" x14ac:dyDescent="0.25">
      <c r="BM7987" s="81"/>
      <c r="BN7987" s="81"/>
      <c r="BO7987" s="81"/>
      <c r="BP7987" s="81"/>
      <c r="BQ7987" s="81"/>
      <c r="BR7987" s="81"/>
      <c r="BS7987" s="81"/>
      <c r="BT7987" s="81"/>
    </row>
    <row r="7988" spans="65:72" x14ac:dyDescent="0.25">
      <c r="BM7988" s="81"/>
      <c r="BN7988" s="81"/>
      <c r="BO7988" s="81"/>
      <c r="BP7988" s="81"/>
      <c r="BQ7988" s="81"/>
      <c r="BR7988" s="81"/>
      <c r="BS7988" s="81"/>
      <c r="BT7988" s="81"/>
    </row>
    <row r="7989" spans="65:72" x14ac:dyDescent="0.25">
      <c r="BM7989" s="81"/>
      <c r="BN7989" s="81"/>
      <c r="BO7989" s="81"/>
      <c r="BP7989" s="81"/>
      <c r="BQ7989" s="81"/>
      <c r="BR7989" s="81"/>
      <c r="BS7989" s="81"/>
      <c r="BT7989" s="81"/>
    </row>
    <row r="7990" spans="65:72" x14ac:dyDescent="0.25">
      <c r="BM7990" s="81"/>
      <c r="BN7990" s="81"/>
      <c r="BO7990" s="81"/>
      <c r="BP7990" s="81"/>
      <c r="BQ7990" s="81"/>
      <c r="BR7990" s="81"/>
      <c r="BS7990" s="81"/>
      <c r="BT7990" s="81"/>
    </row>
    <row r="7991" spans="65:72" x14ac:dyDescent="0.25">
      <c r="BM7991" s="81"/>
      <c r="BN7991" s="81"/>
      <c r="BO7991" s="81"/>
      <c r="BP7991" s="81"/>
      <c r="BQ7991" s="81"/>
      <c r="BR7991" s="81"/>
      <c r="BS7991" s="81"/>
      <c r="BT7991" s="81"/>
    </row>
    <row r="7992" spans="65:72" x14ac:dyDescent="0.25">
      <c r="BM7992" s="81"/>
      <c r="BN7992" s="81"/>
      <c r="BO7992" s="81"/>
      <c r="BP7992" s="81"/>
      <c r="BQ7992" s="81"/>
      <c r="BR7992" s="81"/>
      <c r="BS7992" s="81"/>
      <c r="BT7992" s="81"/>
    </row>
    <row r="7993" spans="65:72" x14ac:dyDescent="0.25">
      <c r="BM7993" s="81"/>
      <c r="BN7993" s="81"/>
      <c r="BO7993" s="81"/>
      <c r="BP7993" s="81"/>
      <c r="BQ7993" s="81"/>
      <c r="BR7993" s="81"/>
      <c r="BS7993" s="81"/>
      <c r="BT7993" s="81"/>
    </row>
    <row r="7994" spans="65:72" x14ac:dyDescent="0.25">
      <c r="BM7994" s="81"/>
      <c r="BN7994" s="81"/>
      <c r="BO7994" s="81"/>
      <c r="BP7994" s="81"/>
      <c r="BQ7994" s="81"/>
      <c r="BR7994" s="81"/>
      <c r="BS7994" s="81"/>
      <c r="BT7994" s="81"/>
    </row>
    <row r="7995" spans="65:72" x14ac:dyDescent="0.25">
      <c r="BM7995" s="81"/>
      <c r="BN7995" s="81"/>
      <c r="BO7995" s="81"/>
      <c r="BP7995" s="81"/>
      <c r="BQ7995" s="81"/>
      <c r="BR7995" s="81"/>
      <c r="BS7995" s="81"/>
      <c r="BT7995" s="81"/>
    </row>
    <row r="7996" spans="65:72" x14ac:dyDescent="0.25">
      <c r="BM7996" s="81"/>
      <c r="BN7996" s="81"/>
      <c r="BO7996" s="81"/>
      <c r="BP7996" s="81"/>
      <c r="BQ7996" s="81"/>
      <c r="BR7996" s="81"/>
      <c r="BS7996" s="81"/>
      <c r="BT7996" s="81"/>
    </row>
    <row r="7997" spans="65:72" x14ac:dyDescent="0.25">
      <c r="BM7997" s="81"/>
      <c r="BN7997" s="81"/>
      <c r="BO7997" s="81"/>
      <c r="BP7997" s="81"/>
      <c r="BQ7997" s="81"/>
      <c r="BR7997" s="81"/>
      <c r="BS7997" s="81"/>
      <c r="BT7997" s="81"/>
    </row>
    <row r="7998" spans="65:72" x14ac:dyDescent="0.25">
      <c r="BM7998" s="81"/>
      <c r="BN7998" s="81"/>
      <c r="BO7998" s="81"/>
      <c r="BP7998" s="81"/>
      <c r="BQ7998" s="81"/>
      <c r="BR7998" s="81"/>
      <c r="BS7998" s="81"/>
      <c r="BT7998" s="81"/>
    </row>
    <row r="7999" spans="65:72" x14ac:dyDescent="0.25">
      <c r="BM7999" s="81"/>
      <c r="BN7999" s="81"/>
      <c r="BO7999" s="81"/>
      <c r="BP7999" s="81"/>
      <c r="BQ7999" s="81"/>
      <c r="BR7999" s="81"/>
      <c r="BS7999" s="81"/>
      <c r="BT7999" s="81"/>
    </row>
    <row r="8000" spans="65:72" x14ac:dyDescent="0.25">
      <c r="BM8000" s="81"/>
      <c r="BN8000" s="81"/>
      <c r="BO8000" s="81"/>
      <c r="BP8000" s="81"/>
      <c r="BQ8000" s="81"/>
      <c r="BR8000" s="81"/>
      <c r="BS8000" s="81"/>
      <c r="BT8000" s="81"/>
    </row>
    <row r="8001" spans="65:72" x14ac:dyDescent="0.25">
      <c r="BM8001" s="81"/>
      <c r="BN8001" s="81"/>
      <c r="BO8001" s="81"/>
      <c r="BP8001" s="81"/>
      <c r="BQ8001" s="81"/>
      <c r="BR8001" s="81"/>
      <c r="BS8001" s="81"/>
      <c r="BT8001" s="81"/>
    </row>
    <row r="8002" spans="65:72" x14ac:dyDescent="0.25">
      <c r="BM8002" s="81"/>
      <c r="BN8002" s="81"/>
      <c r="BO8002" s="81"/>
      <c r="BP8002" s="81"/>
      <c r="BQ8002" s="81"/>
      <c r="BR8002" s="81"/>
      <c r="BS8002" s="81"/>
      <c r="BT8002" s="81"/>
    </row>
    <row r="8003" spans="65:72" x14ac:dyDescent="0.25">
      <c r="BM8003" s="81"/>
      <c r="BN8003" s="81"/>
      <c r="BO8003" s="81"/>
      <c r="BP8003" s="81"/>
      <c r="BQ8003" s="81"/>
      <c r="BR8003" s="81"/>
      <c r="BS8003" s="81"/>
      <c r="BT8003" s="81"/>
    </row>
    <row r="8004" spans="65:72" x14ac:dyDescent="0.25">
      <c r="BM8004" s="81"/>
      <c r="BN8004" s="81"/>
      <c r="BO8004" s="81"/>
      <c r="BP8004" s="81"/>
      <c r="BQ8004" s="81"/>
      <c r="BR8004" s="81"/>
      <c r="BS8004" s="81"/>
      <c r="BT8004" s="81"/>
    </row>
    <row r="8005" spans="65:72" x14ac:dyDescent="0.25">
      <c r="BM8005" s="81"/>
      <c r="BN8005" s="81"/>
      <c r="BO8005" s="81"/>
      <c r="BP8005" s="81"/>
      <c r="BQ8005" s="81"/>
      <c r="BR8005" s="81"/>
      <c r="BS8005" s="81"/>
      <c r="BT8005" s="81"/>
    </row>
    <row r="8006" spans="65:72" x14ac:dyDescent="0.25">
      <c r="BM8006" s="81"/>
      <c r="BN8006" s="81"/>
      <c r="BO8006" s="81"/>
      <c r="BP8006" s="81"/>
      <c r="BQ8006" s="81"/>
      <c r="BR8006" s="81"/>
      <c r="BS8006" s="81"/>
      <c r="BT8006" s="81"/>
    </row>
    <row r="8007" spans="65:72" x14ac:dyDescent="0.25">
      <c r="BM8007" s="81"/>
      <c r="BN8007" s="81"/>
      <c r="BO8007" s="81"/>
      <c r="BP8007" s="81"/>
      <c r="BQ8007" s="81"/>
      <c r="BR8007" s="81"/>
      <c r="BS8007" s="81"/>
      <c r="BT8007" s="81"/>
    </row>
    <row r="8008" spans="65:72" x14ac:dyDescent="0.25">
      <c r="BM8008" s="81"/>
      <c r="BN8008" s="81"/>
      <c r="BO8008" s="81"/>
      <c r="BP8008" s="81"/>
      <c r="BQ8008" s="81"/>
      <c r="BR8008" s="81"/>
      <c r="BS8008" s="81"/>
      <c r="BT8008" s="81"/>
    </row>
    <row r="8009" spans="65:72" x14ac:dyDescent="0.25">
      <c r="BM8009" s="81"/>
      <c r="BN8009" s="81"/>
      <c r="BO8009" s="81"/>
      <c r="BP8009" s="81"/>
      <c r="BQ8009" s="81"/>
      <c r="BR8009" s="81"/>
      <c r="BS8009" s="81"/>
      <c r="BT8009" s="81"/>
    </row>
    <row r="8010" spans="65:72" x14ac:dyDescent="0.25">
      <c r="BM8010" s="81"/>
      <c r="BN8010" s="81"/>
      <c r="BO8010" s="81"/>
      <c r="BP8010" s="81"/>
      <c r="BQ8010" s="81"/>
      <c r="BR8010" s="81"/>
      <c r="BS8010" s="81"/>
      <c r="BT8010" s="81"/>
    </row>
    <row r="8011" spans="65:72" x14ac:dyDescent="0.25">
      <c r="BM8011" s="81"/>
      <c r="BN8011" s="81"/>
      <c r="BO8011" s="81"/>
      <c r="BP8011" s="81"/>
      <c r="BQ8011" s="81"/>
      <c r="BR8011" s="81"/>
      <c r="BS8011" s="81"/>
      <c r="BT8011" s="81"/>
    </row>
    <row r="8012" spans="65:72" x14ac:dyDescent="0.25">
      <c r="BM8012" s="81"/>
      <c r="BN8012" s="81"/>
      <c r="BO8012" s="81"/>
      <c r="BP8012" s="81"/>
      <c r="BQ8012" s="81"/>
      <c r="BR8012" s="81"/>
      <c r="BS8012" s="81"/>
      <c r="BT8012" s="81"/>
    </row>
    <row r="8013" spans="65:72" x14ac:dyDescent="0.25">
      <c r="BM8013" s="81"/>
      <c r="BN8013" s="81"/>
      <c r="BO8013" s="81"/>
      <c r="BP8013" s="81"/>
      <c r="BQ8013" s="81"/>
      <c r="BR8013" s="81"/>
      <c r="BS8013" s="81"/>
      <c r="BT8013" s="81"/>
    </row>
    <row r="8014" spans="65:72" x14ac:dyDescent="0.25">
      <c r="BM8014" s="81"/>
      <c r="BN8014" s="81"/>
      <c r="BO8014" s="81"/>
      <c r="BP8014" s="81"/>
      <c r="BQ8014" s="81"/>
      <c r="BR8014" s="81"/>
      <c r="BS8014" s="81"/>
      <c r="BT8014" s="81"/>
    </row>
    <row r="8015" spans="65:72" x14ac:dyDescent="0.25">
      <c r="BM8015" s="81"/>
      <c r="BN8015" s="81"/>
      <c r="BO8015" s="81"/>
      <c r="BP8015" s="81"/>
      <c r="BQ8015" s="81"/>
      <c r="BR8015" s="81"/>
      <c r="BS8015" s="81"/>
      <c r="BT8015" s="81"/>
    </row>
    <row r="8016" spans="65:72" x14ac:dyDescent="0.25">
      <c r="BM8016" s="81"/>
      <c r="BN8016" s="81"/>
      <c r="BO8016" s="81"/>
      <c r="BP8016" s="81"/>
      <c r="BQ8016" s="81"/>
      <c r="BR8016" s="81"/>
      <c r="BS8016" s="81"/>
      <c r="BT8016" s="81"/>
    </row>
    <row r="8017" spans="65:72" x14ac:dyDescent="0.25">
      <c r="BM8017" s="81"/>
      <c r="BN8017" s="81"/>
      <c r="BO8017" s="81"/>
      <c r="BP8017" s="81"/>
      <c r="BQ8017" s="81"/>
      <c r="BR8017" s="81"/>
      <c r="BS8017" s="81"/>
      <c r="BT8017" s="81"/>
    </row>
    <row r="8018" spans="65:72" x14ac:dyDescent="0.25">
      <c r="BM8018" s="81"/>
      <c r="BN8018" s="81"/>
      <c r="BO8018" s="81"/>
      <c r="BP8018" s="81"/>
      <c r="BQ8018" s="81"/>
      <c r="BR8018" s="81"/>
      <c r="BS8018" s="81"/>
      <c r="BT8018" s="81"/>
    </row>
    <row r="8019" spans="65:72" x14ac:dyDescent="0.25">
      <c r="BM8019" s="81"/>
      <c r="BN8019" s="81"/>
      <c r="BO8019" s="81"/>
      <c r="BP8019" s="81"/>
      <c r="BQ8019" s="81"/>
      <c r="BR8019" s="81"/>
      <c r="BS8019" s="81"/>
      <c r="BT8019" s="81"/>
    </row>
    <row r="8020" spans="65:72" x14ac:dyDescent="0.25">
      <c r="BM8020" s="81"/>
      <c r="BN8020" s="81"/>
      <c r="BO8020" s="81"/>
      <c r="BP8020" s="81"/>
      <c r="BQ8020" s="81"/>
      <c r="BR8020" s="81"/>
      <c r="BS8020" s="81"/>
      <c r="BT8020" s="81"/>
    </row>
    <row r="8021" spans="65:72" x14ac:dyDescent="0.25">
      <c r="BM8021" s="81"/>
      <c r="BN8021" s="81"/>
      <c r="BO8021" s="81"/>
      <c r="BP8021" s="81"/>
      <c r="BQ8021" s="81"/>
      <c r="BR8021" s="81"/>
      <c r="BS8021" s="81"/>
      <c r="BT8021" s="81"/>
    </row>
    <row r="8022" spans="65:72" x14ac:dyDescent="0.25">
      <c r="BM8022" s="81"/>
      <c r="BN8022" s="81"/>
      <c r="BO8022" s="81"/>
      <c r="BP8022" s="81"/>
      <c r="BQ8022" s="81"/>
      <c r="BR8022" s="81"/>
      <c r="BS8022" s="81"/>
      <c r="BT8022" s="81"/>
    </row>
    <row r="8023" spans="65:72" x14ac:dyDescent="0.25">
      <c r="BM8023" s="81"/>
      <c r="BN8023" s="81"/>
      <c r="BO8023" s="81"/>
      <c r="BP8023" s="81"/>
      <c r="BQ8023" s="81"/>
      <c r="BR8023" s="81"/>
      <c r="BS8023" s="81"/>
      <c r="BT8023" s="81"/>
    </row>
    <row r="8024" spans="65:72" x14ac:dyDescent="0.25">
      <c r="BM8024" s="81"/>
      <c r="BN8024" s="81"/>
      <c r="BO8024" s="81"/>
      <c r="BP8024" s="81"/>
      <c r="BQ8024" s="81"/>
      <c r="BR8024" s="81"/>
      <c r="BS8024" s="81"/>
      <c r="BT8024" s="81"/>
    </row>
    <row r="8025" spans="65:72" x14ac:dyDescent="0.25">
      <c r="BM8025" s="81"/>
      <c r="BN8025" s="81"/>
      <c r="BO8025" s="81"/>
      <c r="BP8025" s="81"/>
      <c r="BQ8025" s="81"/>
      <c r="BR8025" s="81"/>
      <c r="BS8025" s="81"/>
      <c r="BT8025" s="81"/>
    </row>
    <row r="8026" spans="65:72" x14ac:dyDescent="0.25">
      <c r="BM8026" s="81"/>
      <c r="BN8026" s="81"/>
      <c r="BO8026" s="81"/>
      <c r="BP8026" s="81"/>
      <c r="BQ8026" s="81"/>
      <c r="BR8026" s="81"/>
      <c r="BS8026" s="81"/>
      <c r="BT8026" s="81"/>
    </row>
    <row r="8027" spans="65:72" x14ac:dyDescent="0.25">
      <c r="BM8027" s="81"/>
      <c r="BN8027" s="81"/>
      <c r="BO8027" s="81"/>
      <c r="BP8027" s="81"/>
      <c r="BQ8027" s="81"/>
      <c r="BR8027" s="81"/>
      <c r="BS8027" s="81"/>
      <c r="BT8027" s="81"/>
    </row>
    <row r="8028" spans="65:72" x14ac:dyDescent="0.25">
      <c r="BM8028" s="81"/>
      <c r="BN8028" s="81"/>
      <c r="BO8028" s="81"/>
      <c r="BP8028" s="81"/>
      <c r="BQ8028" s="81"/>
      <c r="BR8028" s="81"/>
      <c r="BS8028" s="81"/>
      <c r="BT8028" s="81"/>
    </row>
    <row r="8029" spans="65:72" x14ac:dyDescent="0.25">
      <c r="BM8029" s="81"/>
      <c r="BN8029" s="81"/>
      <c r="BO8029" s="81"/>
      <c r="BP8029" s="81"/>
      <c r="BQ8029" s="81"/>
      <c r="BR8029" s="81"/>
      <c r="BS8029" s="81"/>
      <c r="BT8029" s="81"/>
    </row>
    <row r="8030" spans="65:72" x14ac:dyDescent="0.25">
      <c r="BM8030" s="81"/>
      <c r="BN8030" s="81"/>
      <c r="BO8030" s="81"/>
      <c r="BP8030" s="81"/>
      <c r="BQ8030" s="81"/>
      <c r="BR8030" s="81"/>
      <c r="BS8030" s="81"/>
      <c r="BT8030" s="81"/>
    </row>
    <row r="8031" spans="65:72" x14ac:dyDescent="0.25">
      <c r="BM8031" s="81"/>
      <c r="BN8031" s="81"/>
      <c r="BO8031" s="81"/>
      <c r="BP8031" s="81"/>
      <c r="BQ8031" s="81"/>
      <c r="BR8031" s="81"/>
      <c r="BS8031" s="81"/>
      <c r="BT8031" s="81"/>
    </row>
    <row r="8032" spans="65:72" x14ac:dyDescent="0.25">
      <c r="BM8032" s="81"/>
      <c r="BN8032" s="81"/>
      <c r="BO8032" s="81"/>
      <c r="BP8032" s="81"/>
      <c r="BQ8032" s="81"/>
      <c r="BR8032" s="81"/>
      <c r="BS8032" s="81"/>
      <c r="BT8032" s="81"/>
    </row>
    <row r="8033" spans="65:72" x14ac:dyDescent="0.25">
      <c r="BM8033" s="81"/>
      <c r="BN8033" s="81"/>
      <c r="BO8033" s="81"/>
      <c r="BP8033" s="81"/>
      <c r="BQ8033" s="81"/>
      <c r="BR8033" s="81"/>
      <c r="BS8033" s="81"/>
      <c r="BT8033" s="81"/>
    </row>
    <row r="8034" spans="65:72" x14ac:dyDescent="0.25">
      <c r="BM8034" s="81"/>
      <c r="BN8034" s="81"/>
      <c r="BO8034" s="81"/>
      <c r="BP8034" s="81"/>
      <c r="BQ8034" s="81"/>
      <c r="BR8034" s="81"/>
      <c r="BS8034" s="81"/>
      <c r="BT8034" s="81"/>
    </row>
    <row r="8035" spans="65:72" x14ac:dyDescent="0.25">
      <c r="BM8035" s="81"/>
      <c r="BN8035" s="81"/>
      <c r="BO8035" s="81"/>
      <c r="BP8035" s="81"/>
      <c r="BQ8035" s="81"/>
      <c r="BR8035" s="81"/>
      <c r="BS8035" s="81"/>
      <c r="BT8035" s="81"/>
    </row>
    <row r="8036" spans="65:72" x14ac:dyDescent="0.25">
      <c r="BM8036" s="81"/>
      <c r="BN8036" s="81"/>
      <c r="BO8036" s="81"/>
      <c r="BP8036" s="81"/>
      <c r="BQ8036" s="81"/>
      <c r="BR8036" s="81"/>
      <c r="BS8036" s="81"/>
      <c r="BT8036" s="81"/>
    </row>
    <row r="8037" spans="65:72" x14ac:dyDescent="0.25">
      <c r="BM8037" s="81"/>
      <c r="BN8037" s="81"/>
      <c r="BO8037" s="81"/>
      <c r="BP8037" s="81"/>
      <c r="BQ8037" s="81"/>
      <c r="BR8037" s="81"/>
      <c r="BS8037" s="81"/>
      <c r="BT8037" s="81"/>
    </row>
    <row r="8038" spans="65:72" x14ac:dyDescent="0.25">
      <c r="BM8038" s="81"/>
      <c r="BN8038" s="81"/>
      <c r="BO8038" s="81"/>
      <c r="BP8038" s="81"/>
      <c r="BQ8038" s="81"/>
      <c r="BR8038" s="81"/>
      <c r="BS8038" s="81"/>
      <c r="BT8038" s="81"/>
    </row>
    <row r="8039" spans="65:72" x14ac:dyDescent="0.25">
      <c r="BM8039" s="81"/>
      <c r="BN8039" s="81"/>
      <c r="BO8039" s="81"/>
      <c r="BP8039" s="81"/>
      <c r="BQ8039" s="81"/>
      <c r="BR8039" s="81"/>
      <c r="BS8039" s="81"/>
      <c r="BT8039" s="81"/>
    </row>
    <row r="8040" spans="65:72" x14ac:dyDescent="0.25">
      <c r="BM8040" s="81"/>
      <c r="BN8040" s="81"/>
      <c r="BO8040" s="81"/>
      <c r="BP8040" s="81"/>
      <c r="BQ8040" s="81"/>
      <c r="BR8040" s="81"/>
      <c r="BS8040" s="81"/>
      <c r="BT8040" s="81"/>
    </row>
    <row r="8041" spans="65:72" x14ac:dyDescent="0.25">
      <c r="BM8041" s="81"/>
      <c r="BN8041" s="81"/>
      <c r="BO8041" s="81"/>
      <c r="BP8041" s="81"/>
      <c r="BQ8041" s="81"/>
      <c r="BR8041" s="81"/>
      <c r="BS8041" s="81"/>
      <c r="BT8041" s="81"/>
    </row>
    <row r="8042" spans="65:72" x14ac:dyDescent="0.25">
      <c r="BM8042" s="81"/>
      <c r="BN8042" s="81"/>
      <c r="BO8042" s="81"/>
      <c r="BP8042" s="81"/>
      <c r="BQ8042" s="81"/>
      <c r="BR8042" s="81"/>
      <c r="BS8042" s="81"/>
      <c r="BT8042" s="81"/>
    </row>
    <row r="8043" spans="65:72" x14ac:dyDescent="0.25">
      <c r="BM8043" s="81"/>
      <c r="BN8043" s="81"/>
      <c r="BO8043" s="81"/>
      <c r="BP8043" s="81"/>
      <c r="BQ8043" s="81"/>
      <c r="BR8043" s="81"/>
      <c r="BS8043" s="81"/>
      <c r="BT8043" s="81"/>
    </row>
    <row r="8044" spans="65:72" x14ac:dyDescent="0.25">
      <c r="BM8044" s="81"/>
      <c r="BN8044" s="81"/>
      <c r="BO8044" s="81"/>
      <c r="BP8044" s="81"/>
      <c r="BQ8044" s="81"/>
      <c r="BR8044" s="81"/>
      <c r="BS8044" s="81"/>
      <c r="BT8044" s="81"/>
    </row>
    <row r="8045" spans="65:72" x14ac:dyDescent="0.25">
      <c r="BM8045" s="81"/>
      <c r="BN8045" s="81"/>
      <c r="BO8045" s="81"/>
      <c r="BP8045" s="81"/>
      <c r="BQ8045" s="81"/>
      <c r="BR8045" s="81"/>
      <c r="BS8045" s="81"/>
      <c r="BT8045" s="81"/>
    </row>
    <row r="8046" spans="65:72" x14ac:dyDescent="0.25">
      <c r="BM8046" s="81"/>
      <c r="BN8046" s="81"/>
      <c r="BO8046" s="81"/>
      <c r="BP8046" s="81"/>
      <c r="BQ8046" s="81"/>
      <c r="BR8046" s="81"/>
      <c r="BS8046" s="81"/>
      <c r="BT8046" s="81"/>
    </row>
    <row r="8047" spans="65:72" x14ac:dyDescent="0.25">
      <c r="BM8047" s="81"/>
      <c r="BN8047" s="81"/>
      <c r="BO8047" s="81"/>
      <c r="BP8047" s="81"/>
      <c r="BQ8047" s="81"/>
      <c r="BR8047" s="81"/>
      <c r="BS8047" s="81"/>
      <c r="BT8047" s="81"/>
    </row>
    <row r="8048" spans="65:72" x14ac:dyDescent="0.25">
      <c r="BM8048" s="81"/>
      <c r="BN8048" s="81"/>
      <c r="BO8048" s="81"/>
      <c r="BP8048" s="81"/>
      <c r="BQ8048" s="81"/>
      <c r="BR8048" s="81"/>
      <c r="BS8048" s="81"/>
      <c r="BT8048" s="81"/>
    </row>
    <row r="8049" spans="65:72" x14ac:dyDescent="0.25">
      <c r="BM8049" s="81"/>
      <c r="BN8049" s="81"/>
      <c r="BO8049" s="81"/>
      <c r="BP8049" s="81"/>
      <c r="BQ8049" s="81"/>
      <c r="BR8049" s="81"/>
      <c r="BS8049" s="81"/>
      <c r="BT8049" s="81"/>
    </row>
    <row r="8050" spans="65:72" x14ac:dyDescent="0.25">
      <c r="BM8050" s="81"/>
      <c r="BN8050" s="81"/>
      <c r="BO8050" s="81"/>
      <c r="BP8050" s="81"/>
      <c r="BQ8050" s="81"/>
      <c r="BR8050" s="81"/>
      <c r="BS8050" s="81"/>
      <c r="BT8050" s="81"/>
    </row>
    <row r="8051" spans="65:72" x14ac:dyDescent="0.25">
      <c r="BM8051" s="81"/>
      <c r="BN8051" s="81"/>
      <c r="BO8051" s="81"/>
      <c r="BP8051" s="81"/>
      <c r="BQ8051" s="81"/>
      <c r="BR8051" s="81"/>
      <c r="BS8051" s="81"/>
      <c r="BT8051" s="81"/>
    </row>
    <row r="8052" spans="65:72" x14ac:dyDescent="0.25">
      <c r="BM8052" s="81"/>
      <c r="BN8052" s="81"/>
      <c r="BO8052" s="81"/>
      <c r="BP8052" s="81"/>
      <c r="BQ8052" s="81"/>
      <c r="BR8052" s="81"/>
      <c r="BS8052" s="81"/>
      <c r="BT8052" s="81"/>
    </row>
    <row r="8053" spans="65:72" x14ac:dyDescent="0.25">
      <c r="BM8053" s="81"/>
      <c r="BN8053" s="81"/>
      <c r="BO8053" s="81"/>
      <c r="BP8053" s="81"/>
      <c r="BQ8053" s="81"/>
      <c r="BR8053" s="81"/>
      <c r="BS8053" s="81"/>
      <c r="BT8053" s="81"/>
    </row>
    <row r="8054" spans="65:72" x14ac:dyDescent="0.25">
      <c r="BM8054" s="81"/>
      <c r="BN8054" s="81"/>
      <c r="BO8054" s="81"/>
      <c r="BP8054" s="81"/>
      <c r="BQ8054" s="81"/>
      <c r="BR8054" s="81"/>
      <c r="BS8054" s="81"/>
      <c r="BT8054" s="81"/>
    </row>
    <row r="8055" spans="65:72" x14ac:dyDescent="0.25">
      <c r="BM8055" s="81"/>
      <c r="BN8055" s="81"/>
      <c r="BO8055" s="81"/>
      <c r="BP8055" s="81"/>
      <c r="BQ8055" s="81"/>
      <c r="BR8055" s="81"/>
      <c r="BS8055" s="81"/>
      <c r="BT8055" s="81"/>
    </row>
    <row r="8056" spans="65:72" x14ac:dyDescent="0.25">
      <c r="BM8056" s="81"/>
      <c r="BN8056" s="81"/>
      <c r="BO8056" s="81"/>
      <c r="BP8056" s="81"/>
      <c r="BQ8056" s="81"/>
      <c r="BR8056" s="81"/>
      <c r="BS8056" s="81"/>
      <c r="BT8056" s="81"/>
    </row>
    <row r="8057" spans="65:72" x14ac:dyDescent="0.25">
      <c r="BM8057" s="81"/>
      <c r="BN8057" s="81"/>
      <c r="BO8057" s="81"/>
      <c r="BP8057" s="81"/>
      <c r="BQ8057" s="81"/>
      <c r="BR8057" s="81"/>
      <c r="BS8057" s="81"/>
      <c r="BT8057" s="81"/>
    </row>
    <row r="8058" spans="65:72" x14ac:dyDescent="0.25">
      <c r="BM8058" s="81"/>
      <c r="BN8058" s="81"/>
      <c r="BO8058" s="81"/>
      <c r="BP8058" s="81"/>
      <c r="BQ8058" s="81"/>
      <c r="BR8058" s="81"/>
      <c r="BS8058" s="81"/>
      <c r="BT8058" s="81"/>
    </row>
    <row r="8059" spans="65:72" x14ac:dyDescent="0.25">
      <c r="BM8059" s="81"/>
      <c r="BN8059" s="81"/>
      <c r="BO8059" s="81"/>
      <c r="BP8059" s="81"/>
      <c r="BQ8059" s="81"/>
      <c r="BR8059" s="81"/>
      <c r="BS8059" s="81"/>
      <c r="BT8059" s="81"/>
    </row>
    <row r="8060" spans="65:72" x14ac:dyDescent="0.25">
      <c r="BM8060" s="81"/>
      <c r="BN8060" s="81"/>
      <c r="BO8060" s="81"/>
      <c r="BP8060" s="81"/>
      <c r="BQ8060" s="81"/>
      <c r="BR8060" s="81"/>
      <c r="BS8060" s="81"/>
      <c r="BT8060" s="81"/>
    </row>
    <row r="8061" spans="65:72" x14ac:dyDescent="0.25">
      <c r="BM8061" s="81"/>
      <c r="BN8061" s="81"/>
      <c r="BO8061" s="81"/>
      <c r="BP8061" s="81"/>
      <c r="BQ8061" s="81"/>
      <c r="BR8061" s="81"/>
      <c r="BS8061" s="81"/>
      <c r="BT8061" s="81"/>
    </row>
    <row r="8062" spans="65:72" x14ac:dyDescent="0.25">
      <c r="BM8062" s="81"/>
      <c r="BN8062" s="81"/>
      <c r="BO8062" s="81"/>
      <c r="BP8062" s="81"/>
      <c r="BQ8062" s="81"/>
      <c r="BR8062" s="81"/>
      <c r="BS8062" s="81"/>
      <c r="BT8062" s="81"/>
    </row>
    <row r="8063" spans="65:72" x14ac:dyDescent="0.25">
      <c r="BM8063" s="81"/>
      <c r="BN8063" s="81"/>
      <c r="BO8063" s="81"/>
      <c r="BP8063" s="81"/>
      <c r="BQ8063" s="81"/>
      <c r="BR8063" s="81"/>
      <c r="BS8063" s="81"/>
      <c r="BT8063" s="81"/>
    </row>
    <row r="8064" spans="65:72" x14ac:dyDescent="0.25">
      <c r="BM8064" s="81"/>
      <c r="BN8064" s="81"/>
      <c r="BO8064" s="81"/>
      <c r="BP8064" s="81"/>
      <c r="BQ8064" s="81"/>
      <c r="BR8064" s="81"/>
      <c r="BS8064" s="81"/>
      <c r="BT8064" s="81"/>
    </row>
    <row r="8065" spans="65:72" x14ac:dyDescent="0.25">
      <c r="BM8065" s="81"/>
      <c r="BN8065" s="81"/>
      <c r="BO8065" s="81"/>
      <c r="BP8065" s="81"/>
      <c r="BQ8065" s="81"/>
      <c r="BR8065" s="81"/>
      <c r="BS8065" s="81"/>
      <c r="BT8065" s="81"/>
    </row>
    <row r="8066" spans="65:72" x14ac:dyDescent="0.25">
      <c r="BM8066" s="81"/>
      <c r="BN8066" s="81"/>
      <c r="BO8066" s="81"/>
      <c r="BP8066" s="81"/>
      <c r="BQ8066" s="81"/>
      <c r="BR8066" s="81"/>
      <c r="BS8066" s="81"/>
      <c r="BT8066" s="81"/>
    </row>
    <row r="8067" spans="65:72" x14ac:dyDescent="0.25">
      <c r="BM8067" s="81"/>
      <c r="BN8067" s="81"/>
      <c r="BO8067" s="81"/>
      <c r="BP8067" s="81"/>
      <c r="BQ8067" s="81"/>
      <c r="BR8067" s="81"/>
      <c r="BS8067" s="81"/>
      <c r="BT8067" s="81"/>
    </row>
    <row r="8068" spans="65:72" x14ac:dyDescent="0.25">
      <c r="BM8068" s="81"/>
      <c r="BN8068" s="81"/>
      <c r="BO8068" s="81"/>
      <c r="BP8068" s="81"/>
      <c r="BQ8068" s="81"/>
      <c r="BR8068" s="81"/>
      <c r="BS8068" s="81"/>
      <c r="BT8068" s="81"/>
    </row>
    <row r="8069" spans="65:72" x14ac:dyDescent="0.25">
      <c r="BM8069" s="81"/>
      <c r="BN8069" s="81"/>
      <c r="BO8069" s="81"/>
      <c r="BP8069" s="81"/>
      <c r="BQ8069" s="81"/>
      <c r="BR8069" s="81"/>
      <c r="BS8069" s="81"/>
      <c r="BT8069" s="81"/>
    </row>
    <row r="8070" spans="65:72" x14ac:dyDescent="0.25">
      <c r="BM8070" s="81"/>
      <c r="BN8070" s="81"/>
      <c r="BO8070" s="81"/>
      <c r="BP8070" s="81"/>
      <c r="BQ8070" s="81"/>
      <c r="BR8070" s="81"/>
      <c r="BS8070" s="81"/>
      <c r="BT8070" s="81"/>
    </row>
    <row r="8071" spans="65:72" x14ac:dyDescent="0.25">
      <c r="BM8071" s="81"/>
      <c r="BN8071" s="81"/>
      <c r="BO8071" s="81"/>
      <c r="BP8071" s="81"/>
      <c r="BQ8071" s="81"/>
      <c r="BR8071" s="81"/>
      <c r="BS8071" s="81"/>
      <c r="BT8071" s="81"/>
    </row>
    <row r="8072" spans="65:72" x14ac:dyDescent="0.25">
      <c r="BM8072" s="81"/>
      <c r="BN8072" s="81"/>
      <c r="BO8072" s="81"/>
      <c r="BP8072" s="81"/>
      <c r="BQ8072" s="81"/>
      <c r="BR8072" s="81"/>
      <c r="BS8072" s="81"/>
      <c r="BT8072" s="81"/>
    </row>
    <row r="8073" spans="65:72" x14ac:dyDescent="0.25">
      <c r="BM8073" s="81"/>
      <c r="BN8073" s="81"/>
      <c r="BO8073" s="81"/>
      <c r="BP8073" s="81"/>
      <c r="BQ8073" s="81"/>
      <c r="BR8073" s="81"/>
      <c r="BS8073" s="81"/>
      <c r="BT8073" s="81"/>
    </row>
    <row r="8074" spans="65:72" x14ac:dyDescent="0.25">
      <c r="BM8074" s="81"/>
      <c r="BN8074" s="81"/>
      <c r="BO8074" s="81"/>
      <c r="BP8074" s="81"/>
      <c r="BQ8074" s="81"/>
      <c r="BR8074" s="81"/>
      <c r="BS8074" s="81"/>
      <c r="BT8074" s="81"/>
    </row>
    <row r="8075" spans="65:72" x14ac:dyDescent="0.25">
      <c r="BM8075" s="81"/>
      <c r="BN8075" s="81"/>
      <c r="BO8075" s="81"/>
      <c r="BP8075" s="81"/>
      <c r="BQ8075" s="81"/>
      <c r="BR8075" s="81"/>
      <c r="BS8075" s="81"/>
      <c r="BT8075" s="81"/>
    </row>
    <row r="8076" spans="65:72" x14ac:dyDescent="0.25">
      <c r="BM8076" s="81"/>
      <c r="BN8076" s="81"/>
      <c r="BO8076" s="81"/>
      <c r="BP8076" s="81"/>
      <c r="BQ8076" s="81"/>
      <c r="BR8076" s="81"/>
      <c r="BS8076" s="81"/>
      <c r="BT8076" s="81"/>
    </row>
    <row r="8077" spans="65:72" x14ac:dyDescent="0.25">
      <c r="BM8077" s="81"/>
      <c r="BN8077" s="81"/>
      <c r="BO8077" s="81"/>
      <c r="BP8077" s="81"/>
      <c r="BQ8077" s="81"/>
      <c r="BR8077" s="81"/>
      <c r="BS8077" s="81"/>
      <c r="BT8077" s="81"/>
    </row>
    <row r="8078" spans="65:72" x14ac:dyDescent="0.25">
      <c r="BM8078" s="81"/>
      <c r="BN8078" s="81"/>
      <c r="BO8078" s="81"/>
      <c r="BP8078" s="81"/>
      <c r="BQ8078" s="81"/>
      <c r="BR8078" s="81"/>
      <c r="BS8078" s="81"/>
      <c r="BT8078" s="81"/>
    </row>
    <row r="8079" spans="65:72" x14ac:dyDescent="0.25">
      <c r="BM8079" s="81"/>
      <c r="BN8079" s="81"/>
      <c r="BO8079" s="81"/>
      <c r="BP8079" s="81"/>
      <c r="BQ8079" s="81"/>
      <c r="BR8079" s="81"/>
      <c r="BS8079" s="81"/>
      <c r="BT8079" s="81"/>
    </row>
    <row r="8080" spans="65:72" x14ac:dyDescent="0.25">
      <c r="BM8080" s="81"/>
      <c r="BN8080" s="81"/>
      <c r="BO8080" s="81"/>
      <c r="BP8080" s="81"/>
      <c r="BQ8080" s="81"/>
      <c r="BR8080" s="81"/>
      <c r="BS8080" s="81"/>
      <c r="BT8080" s="81"/>
    </row>
    <row r="8081" spans="65:72" x14ac:dyDescent="0.25">
      <c r="BM8081" s="81"/>
      <c r="BN8081" s="81"/>
      <c r="BO8081" s="81"/>
      <c r="BP8081" s="81"/>
      <c r="BQ8081" s="81"/>
      <c r="BR8081" s="81"/>
      <c r="BS8081" s="81"/>
      <c r="BT8081" s="81"/>
    </row>
    <row r="8082" spans="65:72" x14ac:dyDescent="0.25">
      <c r="BM8082" s="81"/>
      <c r="BN8082" s="81"/>
      <c r="BO8082" s="81"/>
      <c r="BP8082" s="81"/>
      <c r="BQ8082" s="81"/>
      <c r="BR8082" s="81"/>
      <c r="BS8082" s="81"/>
      <c r="BT8082" s="81"/>
    </row>
    <row r="8083" spans="65:72" x14ac:dyDescent="0.25">
      <c r="BM8083" s="81"/>
      <c r="BN8083" s="81"/>
      <c r="BO8083" s="81"/>
      <c r="BP8083" s="81"/>
      <c r="BQ8083" s="81"/>
      <c r="BR8083" s="81"/>
      <c r="BS8083" s="81"/>
      <c r="BT8083" s="81"/>
    </row>
    <row r="8084" spans="65:72" x14ac:dyDescent="0.25">
      <c r="BM8084" s="81"/>
      <c r="BN8084" s="81"/>
      <c r="BO8084" s="81"/>
      <c r="BP8084" s="81"/>
      <c r="BQ8084" s="81"/>
      <c r="BR8084" s="81"/>
      <c r="BS8084" s="81"/>
      <c r="BT8084" s="81"/>
    </row>
    <row r="8085" spans="65:72" x14ac:dyDescent="0.25">
      <c r="BM8085" s="81"/>
      <c r="BN8085" s="81"/>
      <c r="BO8085" s="81"/>
      <c r="BP8085" s="81"/>
      <c r="BQ8085" s="81"/>
      <c r="BR8085" s="81"/>
      <c r="BS8085" s="81"/>
      <c r="BT8085" s="81"/>
    </row>
    <row r="8086" spans="65:72" x14ac:dyDescent="0.25">
      <c r="BM8086" s="81"/>
      <c r="BN8086" s="81"/>
      <c r="BO8086" s="81"/>
      <c r="BP8086" s="81"/>
      <c r="BQ8086" s="81"/>
      <c r="BR8086" s="81"/>
      <c r="BS8086" s="81"/>
      <c r="BT8086" s="81"/>
    </row>
    <row r="8087" spans="65:72" x14ac:dyDescent="0.25">
      <c r="BM8087" s="81"/>
      <c r="BN8087" s="81"/>
      <c r="BO8087" s="81"/>
      <c r="BP8087" s="81"/>
      <c r="BQ8087" s="81"/>
      <c r="BR8087" s="81"/>
      <c r="BS8087" s="81"/>
      <c r="BT8087" s="81"/>
    </row>
    <row r="8088" spans="65:72" x14ac:dyDescent="0.25">
      <c r="BM8088" s="81"/>
      <c r="BN8088" s="81"/>
      <c r="BO8088" s="81"/>
      <c r="BP8088" s="81"/>
      <c r="BQ8088" s="81"/>
      <c r="BR8088" s="81"/>
      <c r="BS8088" s="81"/>
      <c r="BT8088" s="81"/>
    </row>
    <row r="8089" spans="65:72" x14ac:dyDescent="0.25">
      <c r="BM8089" s="81"/>
      <c r="BN8089" s="81"/>
      <c r="BO8089" s="81"/>
      <c r="BP8089" s="81"/>
      <c r="BQ8089" s="81"/>
      <c r="BR8089" s="81"/>
      <c r="BS8089" s="81"/>
      <c r="BT8089" s="81"/>
    </row>
    <row r="8090" spans="65:72" x14ac:dyDescent="0.25">
      <c r="BM8090" s="81"/>
      <c r="BN8090" s="81"/>
      <c r="BO8090" s="81"/>
      <c r="BP8090" s="81"/>
      <c r="BQ8090" s="81"/>
      <c r="BR8090" s="81"/>
      <c r="BS8090" s="81"/>
      <c r="BT8090" s="81"/>
    </row>
    <row r="8091" spans="65:72" x14ac:dyDescent="0.25">
      <c r="BM8091" s="81"/>
      <c r="BN8091" s="81"/>
      <c r="BO8091" s="81"/>
      <c r="BP8091" s="81"/>
      <c r="BQ8091" s="81"/>
      <c r="BR8091" s="81"/>
      <c r="BS8091" s="81"/>
      <c r="BT8091" s="81"/>
    </row>
    <row r="8092" spans="65:72" x14ac:dyDescent="0.25">
      <c r="BM8092" s="81"/>
      <c r="BN8092" s="81"/>
      <c r="BO8092" s="81"/>
      <c r="BP8092" s="81"/>
      <c r="BQ8092" s="81"/>
      <c r="BR8092" s="81"/>
      <c r="BS8092" s="81"/>
      <c r="BT8092" s="81"/>
    </row>
    <row r="8093" spans="65:72" x14ac:dyDescent="0.25">
      <c r="BM8093" s="81"/>
      <c r="BN8093" s="81"/>
      <c r="BO8093" s="81"/>
      <c r="BP8093" s="81"/>
      <c r="BQ8093" s="81"/>
      <c r="BR8093" s="81"/>
      <c r="BS8093" s="81"/>
      <c r="BT8093" s="81"/>
    </row>
    <row r="8094" spans="65:72" x14ac:dyDescent="0.25">
      <c r="BM8094" s="81"/>
      <c r="BN8094" s="81"/>
      <c r="BO8094" s="81"/>
      <c r="BP8094" s="81"/>
      <c r="BQ8094" s="81"/>
      <c r="BR8094" s="81"/>
      <c r="BS8094" s="81"/>
      <c r="BT8094" s="81"/>
    </row>
    <row r="8095" spans="65:72" x14ac:dyDescent="0.25">
      <c r="BM8095" s="81"/>
      <c r="BN8095" s="81"/>
      <c r="BO8095" s="81"/>
      <c r="BP8095" s="81"/>
      <c r="BQ8095" s="81"/>
      <c r="BR8095" s="81"/>
      <c r="BS8095" s="81"/>
      <c r="BT8095" s="81"/>
    </row>
    <row r="8096" spans="65:72" x14ac:dyDescent="0.25">
      <c r="BM8096" s="81"/>
      <c r="BN8096" s="81"/>
      <c r="BO8096" s="81"/>
      <c r="BP8096" s="81"/>
      <c r="BQ8096" s="81"/>
      <c r="BR8096" s="81"/>
      <c r="BS8096" s="81"/>
      <c r="BT8096" s="81"/>
    </row>
    <row r="8097" spans="65:72" x14ac:dyDescent="0.25">
      <c r="BM8097" s="81"/>
      <c r="BN8097" s="81"/>
      <c r="BO8097" s="81"/>
      <c r="BP8097" s="81"/>
      <c r="BQ8097" s="81"/>
      <c r="BR8097" s="81"/>
      <c r="BS8097" s="81"/>
      <c r="BT8097" s="81"/>
    </row>
    <row r="8098" spans="65:72" x14ac:dyDescent="0.25">
      <c r="BM8098" s="81"/>
      <c r="BN8098" s="81"/>
      <c r="BO8098" s="81"/>
      <c r="BP8098" s="81"/>
      <c r="BQ8098" s="81"/>
      <c r="BR8098" s="81"/>
      <c r="BS8098" s="81"/>
      <c r="BT8098" s="81"/>
    </row>
    <row r="8099" spans="65:72" x14ac:dyDescent="0.25">
      <c r="BM8099" s="81"/>
      <c r="BN8099" s="81"/>
      <c r="BO8099" s="81"/>
      <c r="BP8099" s="81"/>
      <c r="BQ8099" s="81"/>
      <c r="BR8099" s="81"/>
      <c r="BS8099" s="81"/>
      <c r="BT8099" s="81"/>
    </row>
    <row r="8100" spans="65:72" x14ac:dyDescent="0.25">
      <c r="BM8100" s="81"/>
      <c r="BN8100" s="81"/>
      <c r="BO8100" s="81"/>
      <c r="BP8100" s="81"/>
      <c r="BQ8100" s="81"/>
      <c r="BR8100" s="81"/>
      <c r="BS8100" s="81"/>
      <c r="BT8100" s="81"/>
    </row>
    <row r="8101" spans="65:72" x14ac:dyDescent="0.25">
      <c r="BM8101" s="81"/>
      <c r="BN8101" s="81"/>
      <c r="BO8101" s="81"/>
      <c r="BP8101" s="81"/>
      <c r="BQ8101" s="81"/>
      <c r="BR8101" s="81"/>
      <c r="BS8101" s="81"/>
      <c r="BT8101" s="81"/>
    </row>
    <row r="8102" spans="65:72" x14ac:dyDescent="0.25">
      <c r="BM8102" s="81"/>
      <c r="BN8102" s="81"/>
      <c r="BO8102" s="81"/>
      <c r="BP8102" s="81"/>
      <c r="BQ8102" s="81"/>
      <c r="BR8102" s="81"/>
      <c r="BS8102" s="81"/>
      <c r="BT8102" s="81"/>
    </row>
    <row r="8103" spans="65:72" x14ac:dyDescent="0.25">
      <c r="BM8103" s="81"/>
      <c r="BN8103" s="81"/>
      <c r="BO8103" s="81"/>
      <c r="BP8103" s="81"/>
      <c r="BQ8103" s="81"/>
      <c r="BR8103" s="81"/>
      <c r="BS8103" s="81"/>
      <c r="BT8103" s="81"/>
    </row>
    <row r="8104" spans="65:72" x14ac:dyDescent="0.25">
      <c r="BM8104" s="81"/>
      <c r="BN8104" s="81"/>
      <c r="BO8104" s="81"/>
      <c r="BP8104" s="81"/>
      <c r="BQ8104" s="81"/>
      <c r="BR8104" s="81"/>
      <c r="BS8104" s="81"/>
      <c r="BT8104" s="81"/>
    </row>
    <row r="8105" spans="65:72" x14ac:dyDescent="0.25">
      <c r="BM8105" s="81"/>
      <c r="BN8105" s="81"/>
      <c r="BO8105" s="81"/>
      <c r="BP8105" s="81"/>
      <c r="BQ8105" s="81"/>
      <c r="BR8105" s="81"/>
      <c r="BS8105" s="81"/>
      <c r="BT8105" s="81"/>
    </row>
    <row r="8106" spans="65:72" x14ac:dyDescent="0.25">
      <c r="BM8106" s="81"/>
      <c r="BN8106" s="81"/>
      <c r="BO8106" s="81"/>
      <c r="BP8106" s="81"/>
      <c r="BQ8106" s="81"/>
      <c r="BR8106" s="81"/>
      <c r="BS8106" s="81"/>
      <c r="BT8106" s="81"/>
    </row>
    <row r="8107" spans="65:72" x14ac:dyDescent="0.25">
      <c r="BM8107" s="81"/>
      <c r="BN8107" s="81"/>
      <c r="BO8107" s="81"/>
      <c r="BP8107" s="81"/>
      <c r="BQ8107" s="81"/>
      <c r="BR8107" s="81"/>
      <c r="BS8107" s="81"/>
      <c r="BT8107" s="81"/>
    </row>
    <row r="8108" spans="65:72" x14ac:dyDescent="0.25">
      <c r="BM8108" s="81"/>
      <c r="BN8108" s="81"/>
      <c r="BO8108" s="81"/>
      <c r="BP8108" s="81"/>
      <c r="BQ8108" s="81"/>
      <c r="BR8108" s="81"/>
      <c r="BS8108" s="81"/>
      <c r="BT8108" s="81"/>
    </row>
    <row r="8109" spans="65:72" x14ac:dyDescent="0.25">
      <c r="BM8109" s="81"/>
      <c r="BN8109" s="81"/>
      <c r="BO8109" s="81"/>
      <c r="BP8109" s="81"/>
      <c r="BQ8109" s="81"/>
      <c r="BR8109" s="81"/>
      <c r="BS8109" s="81"/>
      <c r="BT8109" s="81"/>
    </row>
    <row r="8110" spans="65:72" x14ac:dyDescent="0.25">
      <c r="BM8110" s="81"/>
      <c r="BN8110" s="81"/>
      <c r="BO8110" s="81"/>
      <c r="BP8110" s="81"/>
      <c r="BQ8110" s="81"/>
      <c r="BR8110" s="81"/>
      <c r="BS8110" s="81"/>
      <c r="BT8110" s="81"/>
    </row>
    <row r="8111" spans="65:72" x14ac:dyDescent="0.25">
      <c r="BM8111" s="81"/>
      <c r="BN8111" s="81"/>
      <c r="BO8111" s="81"/>
      <c r="BP8111" s="81"/>
      <c r="BQ8111" s="81"/>
      <c r="BR8111" s="81"/>
      <c r="BS8111" s="81"/>
      <c r="BT8111" s="81"/>
    </row>
    <row r="8112" spans="65:72" x14ac:dyDescent="0.25">
      <c r="BM8112" s="81"/>
      <c r="BN8112" s="81"/>
      <c r="BO8112" s="81"/>
      <c r="BP8112" s="81"/>
      <c r="BQ8112" s="81"/>
      <c r="BR8112" s="81"/>
      <c r="BS8112" s="81"/>
      <c r="BT8112" s="81"/>
    </row>
    <row r="8113" spans="65:72" x14ac:dyDescent="0.25">
      <c r="BM8113" s="81"/>
      <c r="BN8113" s="81"/>
      <c r="BO8113" s="81"/>
      <c r="BP8113" s="81"/>
      <c r="BQ8113" s="81"/>
      <c r="BR8113" s="81"/>
      <c r="BS8113" s="81"/>
      <c r="BT8113" s="81"/>
    </row>
    <row r="8114" spans="65:72" x14ac:dyDescent="0.25">
      <c r="BM8114" s="81"/>
      <c r="BN8114" s="81"/>
      <c r="BO8114" s="81"/>
      <c r="BP8114" s="81"/>
      <c r="BQ8114" s="81"/>
      <c r="BR8114" s="81"/>
      <c r="BS8114" s="81"/>
      <c r="BT8114" s="81"/>
    </row>
    <row r="8115" spans="65:72" x14ac:dyDescent="0.25">
      <c r="BM8115" s="81"/>
      <c r="BN8115" s="81"/>
      <c r="BO8115" s="81"/>
      <c r="BP8115" s="81"/>
      <c r="BQ8115" s="81"/>
      <c r="BR8115" s="81"/>
      <c r="BS8115" s="81"/>
      <c r="BT8115" s="81"/>
    </row>
    <row r="8116" spans="65:72" x14ac:dyDescent="0.25">
      <c r="BM8116" s="81"/>
      <c r="BN8116" s="81"/>
      <c r="BO8116" s="81"/>
      <c r="BP8116" s="81"/>
      <c r="BQ8116" s="81"/>
      <c r="BR8116" s="81"/>
      <c r="BS8116" s="81"/>
      <c r="BT8116" s="81"/>
    </row>
    <row r="8117" spans="65:72" x14ac:dyDescent="0.25">
      <c r="BM8117" s="81"/>
      <c r="BN8117" s="81"/>
      <c r="BO8117" s="81"/>
      <c r="BP8117" s="81"/>
      <c r="BQ8117" s="81"/>
      <c r="BR8117" s="81"/>
      <c r="BS8117" s="81"/>
      <c r="BT8117" s="81"/>
    </row>
    <row r="8118" spans="65:72" x14ac:dyDescent="0.25">
      <c r="BM8118" s="81"/>
      <c r="BN8118" s="81"/>
      <c r="BO8118" s="81"/>
      <c r="BP8118" s="81"/>
      <c r="BQ8118" s="81"/>
      <c r="BR8118" s="81"/>
      <c r="BS8118" s="81"/>
      <c r="BT8118" s="81"/>
    </row>
    <row r="8119" spans="65:72" x14ac:dyDescent="0.25">
      <c r="BM8119" s="81"/>
      <c r="BN8119" s="81"/>
      <c r="BO8119" s="81"/>
      <c r="BP8119" s="81"/>
      <c r="BQ8119" s="81"/>
      <c r="BR8119" s="81"/>
      <c r="BS8119" s="81"/>
      <c r="BT8119" s="81"/>
    </row>
    <row r="8120" spans="65:72" x14ac:dyDescent="0.25">
      <c r="BM8120" s="81"/>
      <c r="BN8120" s="81"/>
      <c r="BO8120" s="81"/>
      <c r="BP8120" s="81"/>
      <c r="BQ8120" s="81"/>
      <c r="BR8120" s="81"/>
      <c r="BS8120" s="81"/>
      <c r="BT8120" s="81"/>
    </row>
    <row r="8121" spans="65:72" x14ac:dyDescent="0.25">
      <c r="BM8121" s="81"/>
      <c r="BN8121" s="81"/>
      <c r="BO8121" s="81"/>
      <c r="BP8121" s="81"/>
      <c r="BQ8121" s="81"/>
      <c r="BR8121" s="81"/>
      <c r="BS8121" s="81"/>
      <c r="BT8121" s="81"/>
    </row>
    <row r="8122" spans="65:72" x14ac:dyDescent="0.25">
      <c r="BM8122" s="81"/>
      <c r="BN8122" s="81"/>
      <c r="BO8122" s="81"/>
      <c r="BP8122" s="81"/>
      <c r="BQ8122" s="81"/>
      <c r="BR8122" s="81"/>
      <c r="BS8122" s="81"/>
      <c r="BT8122" s="81"/>
    </row>
    <row r="8123" spans="65:72" x14ac:dyDescent="0.25">
      <c r="BM8123" s="81"/>
      <c r="BN8123" s="81"/>
      <c r="BO8123" s="81"/>
      <c r="BP8123" s="81"/>
      <c r="BQ8123" s="81"/>
      <c r="BR8123" s="81"/>
      <c r="BS8123" s="81"/>
      <c r="BT8123" s="81"/>
    </row>
    <row r="8124" spans="65:72" x14ac:dyDescent="0.25">
      <c r="BM8124" s="81"/>
      <c r="BN8124" s="81"/>
      <c r="BO8124" s="81"/>
      <c r="BP8124" s="81"/>
      <c r="BQ8124" s="81"/>
      <c r="BR8124" s="81"/>
      <c r="BS8124" s="81"/>
      <c r="BT8124" s="81"/>
    </row>
    <row r="8125" spans="65:72" x14ac:dyDescent="0.25">
      <c r="BM8125" s="81"/>
      <c r="BN8125" s="81"/>
      <c r="BO8125" s="81"/>
      <c r="BP8125" s="81"/>
      <c r="BQ8125" s="81"/>
      <c r="BR8125" s="81"/>
      <c r="BS8125" s="81"/>
      <c r="BT8125" s="81"/>
    </row>
    <row r="8126" spans="65:72" x14ac:dyDescent="0.25">
      <c r="BM8126" s="81"/>
      <c r="BN8126" s="81"/>
      <c r="BO8126" s="81"/>
      <c r="BP8126" s="81"/>
      <c r="BQ8126" s="81"/>
      <c r="BR8126" s="81"/>
      <c r="BS8126" s="81"/>
      <c r="BT8126" s="81"/>
    </row>
    <row r="8127" spans="65:72" x14ac:dyDescent="0.25">
      <c r="BM8127" s="81"/>
      <c r="BN8127" s="81"/>
      <c r="BO8127" s="81"/>
      <c r="BP8127" s="81"/>
      <c r="BQ8127" s="81"/>
      <c r="BR8127" s="81"/>
      <c r="BS8127" s="81"/>
      <c r="BT8127" s="81"/>
    </row>
    <row r="8128" spans="65:72" x14ac:dyDescent="0.25">
      <c r="BM8128" s="81"/>
      <c r="BN8128" s="81"/>
      <c r="BO8128" s="81"/>
      <c r="BP8128" s="81"/>
      <c r="BQ8128" s="81"/>
      <c r="BR8128" s="81"/>
      <c r="BS8128" s="81"/>
      <c r="BT8128" s="81"/>
    </row>
    <row r="8129" spans="65:72" x14ac:dyDescent="0.25">
      <c r="BM8129" s="81"/>
      <c r="BN8129" s="81"/>
      <c r="BO8129" s="81"/>
      <c r="BP8129" s="81"/>
      <c r="BQ8129" s="81"/>
      <c r="BR8129" s="81"/>
      <c r="BS8129" s="81"/>
      <c r="BT8129" s="81"/>
    </row>
    <row r="8130" spans="65:72" x14ac:dyDescent="0.25">
      <c r="BM8130" s="81"/>
      <c r="BN8130" s="81"/>
      <c r="BO8130" s="81"/>
      <c r="BP8130" s="81"/>
      <c r="BQ8130" s="81"/>
      <c r="BR8130" s="81"/>
      <c r="BS8130" s="81"/>
      <c r="BT8130" s="81"/>
    </row>
    <row r="8131" spans="65:72" x14ac:dyDescent="0.25">
      <c r="BM8131" s="81"/>
      <c r="BN8131" s="81"/>
      <c r="BO8131" s="81"/>
      <c r="BP8131" s="81"/>
      <c r="BQ8131" s="81"/>
      <c r="BR8131" s="81"/>
      <c r="BS8131" s="81"/>
      <c r="BT8131" s="81"/>
    </row>
    <row r="8132" spans="65:72" x14ac:dyDescent="0.25">
      <c r="BM8132" s="81"/>
      <c r="BN8132" s="81"/>
      <c r="BO8132" s="81"/>
      <c r="BP8132" s="81"/>
      <c r="BQ8132" s="81"/>
      <c r="BR8132" s="81"/>
      <c r="BS8132" s="81"/>
      <c r="BT8132" s="81"/>
    </row>
    <row r="8133" spans="65:72" x14ac:dyDescent="0.25">
      <c r="BM8133" s="81"/>
      <c r="BN8133" s="81"/>
      <c r="BO8133" s="81"/>
      <c r="BP8133" s="81"/>
      <c r="BQ8133" s="81"/>
      <c r="BR8133" s="81"/>
      <c r="BS8133" s="81"/>
      <c r="BT8133" s="81"/>
    </row>
    <row r="8134" spans="65:72" x14ac:dyDescent="0.25">
      <c r="BM8134" s="81"/>
      <c r="BN8134" s="81"/>
      <c r="BO8134" s="81"/>
      <c r="BP8134" s="81"/>
      <c r="BQ8134" s="81"/>
      <c r="BR8134" s="81"/>
      <c r="BS8134" s="81"/>
      <c r="BT8134" s="81"/>
    </row>
    <row r="8135" spans="65:72" x14ac:dyDescent="0.25">
      <c r="BM8135" s="81"/>
      <c r="BN8135" s="81"/>
      <c r="BO8135" s="81"/>
      <c r="BP8135" s="81"/>
      <c r="BQ8135" s="81"/>
      <c r="BR8135" s="81"/>
      <c r="BS8135" s="81"/>
      <c r="BT8135" s="81"/>
    </row>
    <row r="8136" spans="65:72" x14ac:dyDescent="0.25">
      <c r="BM8136" s="81"/>
      <c r="BN8136" s="81"/>
      <c r="BO8136" s="81"/>
      <c r="BP8136" s="81"/>
      <c r="BQ8136" s="81"/>
      <c r="BR8136" s="81"/>
      <c r="BS8136" s="81"/>
      <c r="BT8136" s="81"/>
    </row>
    <row r="8137" spans="65:72" x14ac:dyDescent="0.25">
      <c r="BM8137" s="81"/>
      <c r="BN8137" s="81"/>
      <c r="BO8137" s="81"/>
      <c r="BP8137" s="81"/>
      <c r="BQ8137" s="81"/>
      <c r="BR8137" s="81"/>
      <c r="BS8137" s="81"/>
      <c r="BT8137" s="81"/>
    </row>
    <row r="8138" spans="65:72" x14ac:dyDescent="0.25">
      <c r="BM8138" s="81"/>
      <c r="BN8138" s="81"/>
      <c r="BO8138" s="81"/>
      <c r="BP8138" s="81"/>
      <c r="BQ8138" s="81"/>
      <c r="BR8138" s="81"/>
      <c r="BS8138" s="81"/>
      <c r="BT8138" s="81"/>
    </row>
    <row r="8139" spans="65:72" x14ac:dyDescent="0.25">
      <c r="BM8139" s="81"/>
      <c r="BN8139" s="81"/>
      <c r="BO8139" s="81"/>
      <c r="BP8139" s="81"/>
      <c r="BQ8139" s="81"/>
      <c r="BR8139" s="81"/>
      <c r="BS8139" s="81"/>
      <c r="BT8139" s="81"/>
    </row>
    <row r="8140" spans="65:72" x14ac:dyDescent="0.25">
      <c r="BM8140" s="81"/>
      <c r="BN8140" s="81"/>
      <c r="BO8140" s="81"/>
      <c r="BP8140" s="81"/>
      <c r="BQ8140" s="81"/>
      <c r="BR8140" s="81"/>
      <c r="BS8140" s="81"/>
      <c r="BT8140" s="81"/>
    </row>
    <row r="8141" spans="65:72" x14ac:dyDescent="0.25">
      <c r="BM8141" s="81"/>
      <c r="BN8141" s="81"/>
      <c r="BO8141" s="81"/>
      <c r="BP8141" s="81"/>
      <c r="BQ8141" s="81"/>
      <c r="BR8141" s="81"/>
      <c r="BS8141" s="81"/>
      <c r="BT8141" s="81"/>
    </row>
    <row r="8142" spans="65:72" x14ac:dyDescent="0.25">
      <c r="BM8142" s="81"/>
      <c r="BN8142" s="81"/>
      <c r="BO8142" s="81"/>
      <c r="BP8142" s="81"/>
      <c r="BQ8142" s="81"/>
      <c r="BR8142" s="81"/>
      <c r="BS8142" s="81"/>
      <c r="BT8142" s="81"/>
    </row>
    <row r="8143" spans="65:72" x14ac:dyDescent="0.25">
      <c r="BM8143" s="81"/>
      <c r="BN8143" s="81"/>
      <c r="BO8143" s="81"/>
      <c r="BP8143" s="81"/>
      <c r="BQ8143" s="81"/>
      <c r="BR8143" s="81"/>
      <c r="BS8143" s="81"/>
      <c r="BT8143" s="81"/>
    </row>
    <row r="8144" spans="65:72" x14ac:dyDescent="0.25">
      <c r="BM8144" s="81"/>
      <c r="BN8144" s="81"/>
      <c r="BO8144" s="81"/>
      <c r="BP8144" s="81"/>
      <c r="BQ8144" s="81"/>
      <c r="BR8144" s="81"/>
      <c r="BS8144" s="81"/>
      <c r="BT8144" s="81"/>
    </row>
    <row r="8145" spans="65:72" x14ac:dyDescent="0.25">
      <c r="BM8145" s="81"/>
      <c r="BN8145" s="81"/>
      <c r="BO8145" s="81"/>
      <c r="BP8145" s="81"/>
      <c r="BQ8145" s="81"/>
      <c r="BR8145" s="81"/>
      <c r="BS8145" s="81"/>
      <c r="BT8145" s="81"/>
    </row>
    <row r="8146" spans="65:72" x14ac:dyDescent="0.25">
      <c r="BM8146" s="81"/>
      <c r="BN8146" s="81"/>
      <c r="BO8146" s="81"/>
      <c r="BP8146" s="81"/>
      <c r="BQ8146" s="81"/>
      <c r="BR8146" s="81"/>
      <c r="BS8146" s="81"/>
      <c r="BT8146" s="81"/>
    </row>
    <row r="8147" spans="65:72" x14ac:dyDescent="0.25">
      <c r="BM8147" s="81"/>
      <c r="BN8147" s="81"/>
      <c r="BO8147" s="81"/>
      <c r="BP8147" s="81"/>
      <c r="BQ8147" s="81"/>
      <c r="BR8147" s="81"/>
      <c r="BS8147" s="81"/>
      <c r="BT8147" s="81"/>
    </row>
    <row r="8148" spans="65:72" x14ac:dyDescent="0.25">
      <c r="BM8148" s="81"/>
      <c r="BN8148" s="81"/>
      <c r="BO8148" s="81"/>
      <c r="BP8148" s="81"/>
      <c r="BQ8148" s="81"/>
      <c r="BR8148" s="81"/>
      <c r="BS8148" s="81"/>
      <c r="BT8148" s="81"/>
    </row>
    <row r="8149" spans="65:72" x14ac:dyDescent="0.25">
      <c r="BM8149" s="81"/>
      <c r="BN8149" s="81"/>
      <c r="BO8149" s="81"/>
      <c r="BP8149" s="81"/>
      <c r="BQ8149" s="81"/>
      <c r="BR8149" s="81"/>
      <c r="BS8149" s="81"/>
      <c r="BT8149" s="81"/>
    </row>
    <row r="8150" spans="65:72" x14ac:dyDescent="0.25">
      <c r="BM8150" s="81"/>
      <c r="BN8150" s="81"/>
      <c r="BO8150" s="81"/>
      <c r="BP8150" s="81"/>
      <c r="BQ8150" s="81"/>
      <c r="BR8150" s="81"/>
      <c r="BS8150" s="81"/>
      <c r="BT8150" s="81"/>
    </row>
    <row r="8151" spans="65:72" x14ac:dyDescent="0.25">
      <c r="BM8151" s="81"/>
      <c r="BN8151" s="81"/>
      <c r="BO8151" s="81"/>
      <c r="BP8151" s="81"/>
      <c r="BQ8151" s="81"/>
      <c r="BR8151" s="81"/>
      <c r="BS8151" s="81"/>
      <c r="BT8151" s="81"/>
    </row>
    <row r="8152" spans="65:72" x14ac:dyDescent="0.25">
      <c r="BM8152" s="81"/>
      <c r="BN8152" s="81"/>
      <c r="BO8152" s="81"/>
      <c r="BP8152" s="81"/>
      <c r="BQ8152" s="81"/>
      <c r="BR8152" s="81"/>
      <c r="BS8152" s="81"/>
      <c r="BT8152" s="81"/>
    </row>
    <row r="8153" spans="65:72" x14ac:dyDescent="0.25">
      <c r="BM8153" s="81"/>
      <c r="BN8153" s="81"/>
      <c r="BO8153" s="81"/>
      <c r="BP8153" s="81"/>
      <c r="BQ8153" s="81"/>
      <c r="BR8153" s="81"/>
      <c r="BS8153" s="81"/>
      <c r="BT8153" s="81"/>
    </row>
    <row r="8154" spans="65:72" x14ac:dyDescent="0.25">
      <c r="BM8154" s="81"/>
      <c r="BN8154" s="81"/>
      <c r="BO8154" s="81"/>
      <c r="BP8154" s="81"/>
      <c r="BQ8154" s="81"/>
      <c r="BR8154" s="81"/>
      <c r="BS8154" s="81"/>
      <c r="BT8154" s="81"/>
    </row>
    <row r="8155" spans="65:72" x14ac:dyDescent="0.25">
      <c r="BM8155" s="81"/>
      <c r="BN8155" s="81"/>
      <c r="BO8155" s="81"/>
      <c r="BP8155" s="81"/>
      <c r="BQ8155" s="81"/>
      <c r="BR8155" s="81"/>
      <c r="BS8155" s="81"/>
      <c r="BT8155" s="81"/>
    </row>
    <row r="8156" spans="65:72" x14ac:dyDescent="0.25">
      <c r="BM8156" s="81"/>
      <c r="BN8156" s="81"/>
      <c r="BO8156" s="81"/>
      <c r="BP8156" s="81"/>
      <c r="BQ8156" s="81"/>
      <c r="BR8156" s="81"/>
      <c r="BS8156" s="81"/>
      <c r="BT8156" s="81"/>
    </row>
    <row r="8157" spans="65:72" x14ac:dyDescent="0.25">
      <c r="BM8157" s="81"/>
      <c r="BN8157" s="81"/>
      <c r="BO8157" s="81"/>
      <c r="BP8157" s="81"/>
      <c r="BQ8157" s="81"/>
      <c r="BR8157" s="81"/>
      <c r="BS8157" s="81"/>
      <c r="BT8157" s="81"/>
    </row>
    <row r="8158" spans="65:72" x14ac:dyDescent="0.25">
      <c r="BM8158" s="81"/>
      <c r="BN8158" s="81"/>
      <c r="BO8158" s="81"/>
      <c r="BP8158" s="81"/>
      <c r="BQ8158" s="81"/>
      <c r="BR8158" s="81"/>
      <c r="BS8158" s="81"/>
      <c r="BT8158" s="81"/>
    </row>
    <row r="8159" spans="65:72" x14ac:dyDescent="0.25">
      <c r="BM8159" s="81"/>
      <c r="BN8159" s="81"/>
      <c r="BO8159" s="81"/>
      <c r="BP8159" s="81"/>
      <c r="BQ8159" s="81"/>
      <c r="BR8159" s="81"/>
      <c r="BS8159" s="81"/>
      <c r="BT8159" s="81"/>
    </row>
    <row r="8160" spans="65:72" x14ac:dyDescent="0.25">
      <c r="BM8160" s="81"/>
      <c r="BN8160" s="81"/>
      <c r="BO8160" s="81"/>
      <c r="BP8160" s="81"/>
      <c r="BQ8160" s="81"/>
      <c r="BR8160" s="81"/>
      <c r="BS8160" s="81"/>
      <c r="BT8160" s="81"/>
    </row>
    <row r="8161" spans="65:72" x14ac:dyDescent="0.25">
      <c r="BM8161" s="81"/>
      <c r="BN8161" s="81"/>
      <c r="BO8161" s="81"/>
      <c r="BP8161" s="81"/>
      <c r="BQ8161" s="81"/>
      <c r="BR8161" s="81"/>
      <c r="BS8161" s="81"/>
      <c r="BT8161" s="81"/>
    </row>
    <row r="8162" spans="65:72" x14ac:dyDescent="0.25">
      <c r="BM8162" s="81"/>
      <c r="BN8162" s="81"/>
      <c r="BO8162" s="81"/>
      <c r="BP8162" s="81"/>
      <c r="BQ8162" s="81"/>
      <c r="BR8162" s="81"/>
      <c r="BS8162" s="81"/>
      <c r="BT8162" s="81"/>
    </row>
    <row r="8163" spans="65:72" x14ac:dyDescent="0.25">
      <c r="BM8163" s="81"/>
      <c r="BN8163" s="81"/>
      <c r="BO8163" s="81"/>
      <c r="BP8163" s="81"/>
      <c r="BQ8163" s="81"/>
      <c r="BR8163" s="81"/>
      <c r="BS8163" s="81"/>
      <c r="BT8163" s="81"/>
    </row>
    <row r="8164" spans="65:72" x14ac:dyDescent="0.25">
      <c r="BM8164" s="81"/>
      <c r="BN8164" s="81"/>
      <c r="BO8164" s="81"/>
      <c r="BP8164" s="81"/>
      <c r="BQ8164" s="81"/>
      <c r="BR8164" s="81"/>
      <c r="BS8164" s="81"/>
      <c r="BT8164" s="81"/>
    </row>
    <row r="8165" spans="65:72" x14ac:dyDescent="0.25">
      <c r="BM8165" s="81"/>
      <c r="BN8165" s="81"/>
      <c r="BO8165" s="81"/>
      <c r="BP8165" s="81"/>
      <c r="BQ8165" s="81"/>
      <c r="BR8165" s="81"/>
      <c r="BS8165" s="81"/>
      <c r="BT8165" s="81"/>
    </row>
    <row r="8166" spans="65:72" x14ac:dyDescent="0.25">
      <c r="BM8166" s="81"/>
      <c r="BN8166" s="81"/>
      <c r="BO8166" s="81"/>
      <c r="BP8166" s="81"/>
      <c r="BQ8166" s="81"/>
      <c r="BR8166" s="81"/>
      <c r="BS8166" s="81"/>
      <c r="BT8166" s="81"/>
    </row>
    <row r="8167" spans="65:72" x14ac:dyDescent="0.25">
      <c r="BM8167" s="81"/>
      <c r="BN8167" s="81"/>
      <c r="BO8167" s="81"/>
      <c r="BP8167" s="81"/>
      <c r="BQ8167" s="81"/>
      <c r="BR8167" s="81"/>
      <c r="BS8167" s="81"/>
      <c r="BT8167" s="81"/>
    </row>
    <row r="8168" spans="65:72" x14ac:dyDescent="0.25">
      <c r="BM8168" s="81"/>
      <c r="BN8168" s="81"/>
      <c r="BO8168" s="81"/>
      <c r="BP8168" s="81"/>
      <c r="BQ8168" s="81"/>
      <c r="BR8168" s="81"/>
      <c r="BS8168" s="81"/>
      <c r="BT8168" s="81"/>
    </row>
    <row r="8169" spans="65:72" x14ac:dyDescent="0.25">
      <c r="BM8169" s="81"/>
      <c r="BN8169" s="81"/>
      <c r="BO8169" s="81"/>
      <c r="BP8169" s="81"/>
      <c r="BQ8169" s="81"/>
      <c r="BR8169" s="81"/>
      <c r="BS8169" s="81"/>
      <c r="BT8169" s="81"/>
    </row>
    <row r="8170" spans="65:72" x14ac:dyDescent="0.25">
      <c r="BM8170" s="81"/>
      <c r="BN8170" s="81"/>
      <c r="BO8170" s="81"/>
      <c r="BP8170" s="81"/>
      <c r="BQ8170" s="81"/>
      <c r="BR8170" s="81"/>
      <c r="BS8170" s="81"/>
      <c r="BT8170" s="81"/>
    </row>
    <row r="8171" spans="65:72" x14ac:dyDescent="0.25">
      <c r="BM8171" s="81"/>
      <c r="BN8171" s="81"/>
      <c r="BO8171" s="81"/>
      <c r="BP8171" s="81"/>
      <c r="BQ8171" s="81"/>
      <c r="BR8171" s="81"/>
      <c r="BS8171" s="81"/>
      <c r="BT8171" s="81"/>
    </row>
    <row r="8172" spans="65:72" x14ac:dyDescent="0.25">
      <c r="BM8172" s="81"/>
      <c r="BN8172" s="81"/>
      <c r="BO8172" s="81"/>
      <c r="BP8172" s="81"/>
      <c r="BQ8172" s="81"/>
      <c r="BR8172" s="81"/>
      <c r="BS8172" s="81"/>
      <c r="BT8172" s="81"/>
    </row>
    <row r="8173" spans="65:72" x14ac:dyDescent="0.25">
      <c r="BM8173" s="81"/>
      <c r="BN8173" s="81"/>
      <c r="BO8173" s="81"/>
      <c r="BP8173" s="81"/>
      <c r="BQ8173" s="81"/>
      <c r="BR8173" s="81"/>
      <c r="BS8173" s="81"/>
      <c r="BT8173" s="81"/>
    </row>
    <row r="8174" spans="65:72" x14ac:dyDescent="0.25">
      <c r="BM8174" s="81"/>
      <c r="BN8174" s="81"/>
      <c r="BO8174" s="81"/>
      <c r="BP8174" s="81"/>
      <c r="BQ8174" s="81"/>
      <c r="BR8174" s="81"/>
      <c r="BS8174" s="81"/>
      <c r="BT8174" s="81"/>
    </row>
    <row r="8175" spans="65:72" x14ac:dyDescent="0.25">
      <c r="BM8175" s="81"/>
      <c r="BN8175" s="81"/>
      <c r="BO8175" s="81"/>
      <c r="BP8175" s="81"/>
      <c r="BQ8175" s="81"/>
      <c r="BR8175" s="81"/>
      <c r="BS8175" s="81"/>
      <c r="BT8175" s="81"/>
    </row>
    <row r="8176" spans="65:72" x14ac:dyDescent="0.25">
      <c r="BM8176" s="81"/>
      <c r="BN8176" s="81"/>
      <c r="BO8176" s="81"/>
      <c r="BP8176" s="81"/>
      <c r="BQ8176" s="81"/>
      <c r="BR8176" s="81"/>
      <c r="BS8176" s="81"/>
      <c r="BT8176" s="81"/>
    </row>
    <row r="8177" spans="65:72" x14ac:dyDescent="0.25">
      <c r="BM8177" s="81"/>
      <c r="BN8177" s="81"/>
      <c r="BO8177" s="81"/>
      <c r="BP8177" s="81"/>
      <c r="BQ8177" s="81"/>
      <c r="BR8177" s="81"/>
      <c r="BS8177" s="81"/>
      <c r="BT8177" s="81"/>
    </row>
    <row r="8178" spans="65:72" x14ac:dyDescent="0.25">
      <c r="BM8178" s="81"/>
      <c r="BN8178" s="81"/>
      <c r="BO8178" s="81"/>
      <c r="BP8178" s="81"/>
      <c r="BQ8178" s="81"/>
      <c r="BR8178" s="81"/>
      <c r="BS8178" s="81"/>
      <c r="BT8178" s="81"/>
    </row>
    <row r="8179" spans="65:72" x14ac:dyDescent="0.25">
      <c r="BM8179" s="81"/>
      <c r="BN8179" s="81"/>
      <c r="BO8179" s="81"/>
      <c r="BP8179" s="81"/>
      <c r="BQ8179" s="81"/>
      <c r="BR8179" s="81"/>
      <c r="BS8179" s="81"/>
      <c r="BT8179" s="81"/>
    </row>
    <row r="8180" spans="65:72" x14ac:dyDescent="0.25">
      <c r="BM8180" s="81"/>
      <c r="BN8180" s="81"/>
      <c r="BO8180" s="81"/>
      <c r="BP8180" s="81"/>
      <c r="BQ8180" s="81"/>
      <c r="BR8180" s="81"/>
      <c r="BS8180" s="81"/>
      <c r="BT8180" s="81"/>
    </row>
    <row r="8181" spans="65:72" x14ac:dyDescent="0.25">
      <c r="BM8181" s="81"/>
      <c r="BN8181" s="81"/>
      <c r="BO8181" s="81"/>
      <c r="BP8181" s="81"/>
      <c r="BQ8181" s="81"/>
      <c r="BR8181" s="81"/>
      <c r="BS8181" s="81"/>
      <c r="BT8181" s="81"/>
    </row>
    <row r="8182" spans="65:72" x14ac:dyDescent="0.25">
      <c r="BM8182" s="81"/>
      <c r="BN8182" s="81"/>
      <c r="BO8182" s="81"/>
      <c r="BP8182" s="81"/>
      <c r="BQ8182" s="81"/>
      <c r="BR8182" s="81"/>
      <c r="BS8182" s="81"/>
      <c r="BT8182" s="81"/>
    </row>
    <row r="8183" spans="65:72" x14ac:dyDescent="0.25">
      <c r="BM8183" s="81"/>
      <c r="BN8183" s="81"/>
      <c r="BO8183" s="81"/>
      <c r="BP8183" s="81"/>
      <c r="BQ8183" s="81"/>
      <c r="BR8183" s="81"/>
      <c r="BS8183" s="81"/>
      <c r="BT8183" s="81"/>
    </row>
    <row r="8184" spans="65:72" x14ac:dyDescent="0.25">
      <c r="BM8184" s="81"/>
      <c r="BN8184" s="81"/>
      <c r="BO8184" s="81"/>
      <c r="BP8184" s="81"/>
      <c r="BQ8184" s="81"/>
      <c r="BR8184" s="81"/>
      <c r="BS8184" s="81"/>
      <c r="BT8184" s="81"/>
    </row>
    <row r="8185" spans="65:72" x14ac:dyDescent="0.25">
      <c r="BM8185" s="81"/>
      <c r="BN8185" s="81"/>
      <c r="BO8185" s="81"/>
      <c r="BP8185" s="81"/>
      <c r="BQ8185" s="81"/>
      <c r="BR8185" s="81"/>
      <c r="BS8185" s="81"/>
      <c r="BT8185" s="81"/>
    </row>
    <row r="8186" spans="65:72" x14ac:dyDescent="0.25">
      <c r="BM8186" s="81"/>
      <c r="BN8186" s="81"/>
      <c r="BO8186" s="81"/>
      <c r="BP8186" s="81"/>
      <c r="BQ8186" s="81"/>
      <c r="BR8186" s="81"/>
      <c r="BS8186" s="81"/>
      <c r="BT8186" s="81"/>
    </row>
    <row r="8187" spans="65:72" x14ac:dyDescent="0.25">
      <c r="BM8187" s="81"/>
      <c r="BN8187" s="81"/>
      <c r="BO8187" s="81"/>
      <c r="BP8187" s="81"/>
      <c r="BQ8187" s="81"/>
      <c r="BR8187" s="81"/>
      <c r="BS8187" s="81"/>
      <c r="BT8187" s="81"/>
    </row>
    <row r="8188" spans="65:72" x14ac:dyDescent="0.25">
      <c r="BM8188" s="81"/>
      <c r="BN8188" s="81"/>
      <c r="BO8188" s="81"/>
      <c r="BP8188" s="81"/>
      <c r="BQ8188" s="81"/>
      <c r="BR8188" s="81"/>
      <c r="BS8188" s="81"/>
      <c r="BT8188" s="81"/>
    </row>
    <row r="8189" spans="65:72" x14ac:dyDescent="0.25">
      <c r="BM8189" s="81"/>
      <c r="BN8189" s="81"/>
      <c r="BO8189" s="81"/>
      <c r="BP8189" s="81"/>
      <c r="BQ8189" s="81"/>
      <c r="BR8189" s="81"/>
      <c r="BS8189" s="81"/>
      <c r="BT8189" s="81"/>
    </row>
    <row r="8190" spans="65:72" x14ac:dyDescent="0.25">
      <c r="BM8190" s="81"/>
      <c r="BN8190" s="81"/>
      <c r="BO8190" s="81"/>
      <c r="BP8190" s="81"/>
      <c r="BQ8190" s="81"/>
      <c r="BR8190" s="81"/>
      <c r="BS8190" s="81"/>
      <c r="BT8190" s="81"/>
    </row>
    <row r="8191" spans="65:72" x14ac:dyDescent="0.25">
      <c r="BM8191" s="81"/>
      <c r="BN8191" s="81"/>
      <c r="BO8191" s="81"/>
      <c r="BP8191" s="81"/>
      <c r="BQ8191" s="81"/>
      <c r="BR8191" s="81"/>
      <c r="BS8191" s="81"/>
      <c r="BT8191" s="81"/>
    </row>
    <row r="8192" spans="65:72" x14ac:dyDescent="0.25">
      <c r="BM8192" s="81"/>
      <c r="BN8192" s="81"/>
      <c r="BO8192" s="81"/>
      <c r="BP8192" s="81"/>
      <c r="BQ8192" s="81"/>
      <c r="BR8192" s="81"/>
      <c r="BS8192" s="81"/>
      <c r="BT8192" s="81"/>
    </row>
    <row r="8193" spans="65:72" x14ac:dyDescent="0.25">
      <c r="BM8193" s="81"/>
      <c r="BN8193" s="81"/>
      <c r="BO8193" s="81"/>
      <c r="BP8193" s="81"/>
      <c r="BQ8193" s="81"/>
      <c r="BR8193" s="81"/>
      <c r="BS8193" s="81"/>
      <c r="BT8193" s="81"/>
    </row>
    <row r="8194" spans="65:72" x14ac:dyDescent="0.25">
      <c r="BM8194" s="81"/>
      <c r="BN8194" s="81"/>
      <c r="BO8194" s="81"/>
      <c r="BP8194" s="81"/>
      <c r="BQ8194" s="81"/>
      <c r="BR8194" s="81"/>
      <c r="BS8194" s="81"/>
      <c r="BT8194" s="81"/>
    </row>
    <row r="8195" spans="65:72" x14ac:dyDescent="0.25">
      <c r="BM8195" s="81"/>
      <c r="BN8195" s="81"/>
      <c r="BO8195" s="81"/>
      <c r="BP8195" s="81"/>
      <c r="BQ8195" s="81"/>
      <c r="BR8195" s="81"/>
      <c r="BS8195" s="81"/>
      <c r="BT8195" s="81"/>
    </row>
    <row r="8196" spans="65:72" x14ac:dyDescent="0.25">
      <c r="BM8196" s="81"/>
      <c r="BN8196" s="81"/>
      <c r="BO8196" s="81"/>
      <c r="BP8196" s="81"/>
      <c r="BQ8196" s="81"/>
      <c r="BR8196" s="81"/>
      <c r="BS8196" s="81"/>
      <c r="BT8196" s="81"/>
    </row>
    <row r="8197" spans="65:72" x14ac:dyDescent="0.25">
      <c r="BM8197" s="81"/>
      <c r="BN8197" s="81"/>
      <c r="BO8197" s="81"/>
      <c r="BP8197" s="81"/>
      <c r="BQ8197" s="81"/>
      <c r="BR8197" s="81"/>
      <c r="BS8197" s="81"/>
      <c r="BT8197" s="81"/>
    </row>
    <row r="8198" spans="65:72" x14ac:dyDescent="0.25">
      <c r="BM8198" s="81"/>
      <c r="BN8198" s="81"/>
      <c r="BO8198" s="81"/>
      <c r="BP8198" s="81"/>
      <c r="BQ8198" s="81"/>
      <c r="BR8198" s="81"/>
      <c r="BS8198" s="81"/>
      <c r="BT8198" s="81"/>
    </row>
    <row r="8199" spans="65:72" x14ac:dyDescent="0.25">
      <c r="BM8199" s="81"/>
      <c r="BN8199" s="81"/>
      <c r="BO8199" s="81"/>
      <c r="BP8199" s="81"/>
      <c r="BQ8199" s="81"/>
      <c r="BR8199" s="81"/>
      <c r="BS8199" s="81"/>
      <c r="BT8199" s="81"/>
    </row>
    <row r="8200" spans="65:72" x14ac:dyDescent="0.25">
      <c r="BM8200" s="81"/>
      <c r="BN8200" s="81"/>
      <c r="BO8200" s="81"/>
      <c r="BP8200" s="81"/>
      <c r="BQ8200" s="81"/>
      <c r="BR8200" s="81"/>
      <c r="BS8200" s="81"/>
      <c r="BT8200" s="81"/>
    </row>
    <row r="8201" spans="65:72" x14ac:dyDescent="0.25">
      <c r="BM8201" s="81"/>
      <c r="BN8201" s="81"/>
      <c r="BO8201" s="81"/>
      <c r="BP8201" s="81"/>
      <c r="BQ8201" s="81"/>
      <c r="BR8201" s="81"/>
      <c r="BS8201" s="81"/>
      <c r="BT8201" s="81"/>
    </row>
    <row r="8202" spans="65:72" x14ac:dyDescent="0.25">
      <c r="BM8202" s="81"/>
      <c r="BN8202" s="81"/>
      <c r="BO8202" s="81"/>
      <c r="BP8202" s="81"/>
      <c r="BQ8202" s="81"/>
      <c r="BR8202" s="81"/>
      <c r="BS8202" s="81"/>
      <c r="BT8202" s="81"/>
    </row>
    <row r="8203" spans="65:72" x14ac:dyDescent="0.25">
      <c r="BM8203" s="81"/>
      <c r="BN8203" s="81"/>
      <c r="BO8203" s="81"/>
      <c r="BP8203" s="81"/>
      <c r="BQ8203" s="81"/>
      <c r="BR8203" s="81"/>
      <c r="BS8203" s="81"/>
      <c r="BT8203" s="81"/>
    </row>
    <row r="8204" spans="65:72" x14ac:dyDescent="0.25">
      <c r="BM8204" s="81"/>
      <c r="BN8204" s="81"/>
      <c r="BO8204" s="81"/>
      <c r="BP8204" s="81"/>
      <c r="BQ8204" s="81"/>
      <c r="BR8204" s="81"/>
      <c r="BS8204" s="81"/>
      <c r="BT8204" s="81"/>
    </row>
    <row r="8205" spans="65:72" x14ac:dyDescent="0.25">
      <c r="BM8205" s="81"/>
      <c r="BN8205" s="81"/>
      <c r="BO8205" s="81"/>
      <c r="BP8205" s="81"/>
      <c r="BQ8205" s="81"/>
      <c r="BR8205" s="81"/>
      <c r="BS8205" s="81"/>
      <c r="BT8205" s="81"/>
    </row>
    <row r="8206" spans="65:72" x14ac:dyDescent="0.25">
      <c r="BM8206" s="81"/>
      <c r="BN8206" s="81"/>
      <c r="BO8206" s="81"/>
      <c r="BP8206" s="81"/>
      <c r="BQ8206" s="81"/>
      <c r="BR8206" s="81"/>
      <c r="BS8206" s="81"/>
      <c r="BT8206" s="81"/>
    </row>
    <row r="8207" spans="65:72" x14ac:dyDescent="0.25">
      <c r="BM8207" s="81"/>
      <c r="BN8207" s="81"/>
      <c r="BO8207" s="81"/>
      <c r="BP8207" s="81"/>
      <c r="BQ8207" s="81"/>
      <c r="BR8207" s="81"/>
      <c r="BS8207" s="81"/>
      <c r="BT8207" s="81"/>
    </row>
    <row r="8208" spans="65:72" x14ac:dyDescent="0.25">
      <c r="BM8208" s="81"/>
      <c r="BN8208" s="81"/>
      <c r="BO8208" s="81"/>
      <c r="BP8208" s="81"/>
      <c r="BQ8208" s="81"/>
      <c r="BR8208" s="81"/>
      <c r="BS8208" s="81"/>
      <c r="BT8208" s="81"/>
    </row>
    <row r="8209" spans="65:72" x14ac:dyDescent="0.25">
      <c r="BM8209" s="81"/>
      <c r="BN8209" s="81"/>
      <c r="BO8209" s="81"/>
      <c r="BP8209" s="81"/>
      <c r="BQ8209" s="81"/>
      <c r="BR8209" s="81"/>
      <c r="BS8209" s="81"/>
      <c r="BT8209" s="81"/>
    </row>
    <row r="8210" spans="65:72" x14ac:dyDescent="0.25">
      <c r="BM8210" s="81"/>
      <c r="BN8210" s="81"/>
      <c r="BO8210" s="81"/>
      <c r="BP8210" s="81"/>
      <c r="BQ8210" s="81"/>
      <c r="BR8210" s="81"/>
      <c r="BS8210" s="81"/>
      <c r="BT8210" s="81"/>
    </row>
    <row r="8211" spans="65:72" x14ac:dyDescent="0.25">
      <c r="BM8211" s="81"/>
      <c r="BN8211" s="81"/>
      <c r="BO8211" s="81"/>
      <c r="BP8211" s="81"/>
      <c r="BQ8211" s="81"/>
      <c r="BR8211" s="81"/>
      <c r="BS8211" s="81"/>
      <c r="BT8211" s="81"/>
    </row>
    <row r="8212" spans="65:72" x14ac:dyDescent="0.25">
      <c r="BM8212" s="81"/>
      <c r="BN8212" s="81"/>
      <c r="BO8212" s="81"/>
      <c r="BP8212" s="81"/>
      <c r="BQ8212" s="81"/>
      <c r="BR8212" s="81"/>
      <c r="BS8212" s="81"/>
      <c r="BT8212" s="81"/>
    </row>
    <row r="8213" spans="65:72" x14ac:dyDescent="0.25">
      <c r="BM8213" s="81"/>
      <c r="BN8213" s="81"/>
      <c r="BO8213" s="81"/>
      <c r="BP8213" s="81"/>
      <c r="BQ8213" s="81"/>
      <c r="BR8213" s="81"/>
      <c r="BS8213" s="81"/>
      <c r="BT8213" s="81"/>
    </row>
    <row r="8214" spans="65:72" x14ac:dyDescent="0.25">
      <c r="BM8214" s="81"/>
      <c r="BN8214" s="81"/>
      <c r="BO8214" s="81"/>
      <c r="BP8214" s="81"/>
      <c r="BQ8214" s="81"/>
      <c r="BR8214" s="81"/>
      <c r="BS8214" s="81"/>
      <c r="BT8214" s="81"/>
    </row>
    <row r="8215" spans="65:72" x14ac:dyDescent="0.25">
      <c r="BM8215" s="81"/>
      <c r="BN8215" s="81"/>
      <c r="BO8215" s="81"/>
      <c r="BP8215" s="81"/>
      <c r="BQ8215" s="81"/>
      <c r="BR8215" s="81"/>
      <c r="BS8215" s="81"/>
      <c r="BT8215" s="81"/>
    </row>
    <row r="8216" spans="65:72" x14ac:dyDescent="0.25">
      <c r="BM8216" s="81"/>
      <c r="BN8216" s="81"/>
      <c r="BO8216" s="81"/>
      <c r="BP8216" s="81"/>
      <c r="BQ8216" s="81"/>
      <c r="BR8216" s="81"/>
      <c r="BS8216" s="81"/>
      <c r="BT8216" s="81"/>
    </row>
    <row r="8217" spans="65:72" x14ac:dyDescent="0.25">
      <c r="BM8217" s="81"/>
      <c r="BN8217" s="81"/>
      <c r="BO8217" s="81"/>
      <c r="BP8217" s="81"/>
      <c r="BQ8217" s="81"/>
      <c r="BR8217" s="81"/>
      <c r="BS8217" s="81"/>
      <c r="BT8217" s="81"/>
    </row>
    <row r="8218" spans="65:72" x14ac:dyDescent="0.25">
      <c r="BM8218" s="81"/>
      <c r="BN8218" s="81"/>
      <c r="BO8218" s="81"/>
      <c r="BP8218" s="81"/>
      <c r="BQ8218" s="81"/>
      <c r="BR8218" s="81"/>
      <c r="BS8218" s="81"/>
      <c r="BT8218" s="81"/>
    </row>
    <row r="8219" spans="65:72" x14ac:dyDescent="0.25">
      <c r="BM8219" s="81"/>
      <c r="BN8219" s="81"/>
      <c r="BO8219" s="81"/>
      <c r="BP8219" s="81"/>
      <c r="BQ8219" s="81"/>
      <c r="BR8219" s="81"/>
      <c r="BS8219" s="81"/>
      <c r="BT8219" s="81"/>
    </row>
    <row r="8220" spans="65:72" x14ac:dyDescent="0.25">
      <c r="BM8220" s="81"/>
      <c r="BN8220" s="81"/>
      <c r="BO8220" s="81"/>
      <c r="BP8220" s="81"/>
      <c r="BQ8220" s="81"/>
      <c r="BR8220" s="81"/>
      <c r="BS8220" s="81"/>
      <c r="BT8220" s="81"/>
    </row>
    <row r="8221" spans="65:72" x14ac:dyDescent="0.25">
      <c r="BM8221" s="81"/>
      <c r="BN8221" s="81"/>
      <c r="BO8221" s="81"/>
      <c r="BP8221" s="81"/>
      <c r="BQ8221" s="81"/>
      <c r="BR8221" s="81"/>
      <c r="BS8221" s="81"/>
      <c r="BT8221" s="81"/>
    </row>
    <row r="8222" spans="65:72" x14ac:dyDescent="0.25">
      <c r="BM8222" s="81"/>
      <c r="BN8222" s="81"/>
      <c r="BO8222" s="81"/>
      <c r="BP8222" s="81"/>
      <c r="BQ8222" s="81"/>
      <c r="BR8222" s="81"/>
      <c r="BS8222" s="81"/>
      <c r="BT8222" s="81"/>
    </row>
    <row r="8223" spans="65:72" x14ac:dyDescent="0.25">
      <c r="BM8223" s="81"/>
      <c r="BN8223" s="81"/>
      <c r="BO8223" s="81"/>
      <c r="BP8223" s="81"/>
      <c r="BQ8223" s="81"/>
      <c r="BR8223" s="81"/>
      <c r="BS8223" s="81"/>
      <c r="BT8223" s="81"/>
    </row>
    <row r="8224" spans="65:72" x14ac:dyDescent="0.25">
      <c r="BM8224" s="81"/>
      <c r="BN8224" s="81"/>
      <c r="BO8224" s="81"/>
      <c r="BP8224" s="81"/>
      <c r="BQ8224" s="81"/>
      <c r="BR8224" s="81"/>
      <c r="BS8224" s="81"/>
      <c r="BT8224" s="81"/>
    </row>
    <row r="8225" spans="65:72" x14ac:dyDescent="0.25">
      <c r="BM8225" s="81"/>
      <c r="BN8225" s="81"/>
      <c r="BO8225" s="81"/>
      <c r="BP8225" s="81"/>
      <c r="BQ8225" s="81"/>
      <c r="BR8225" s="81"/>
      <c r="BS8225" s="81"/>
      <c r="BT8225" s="81"/>
    </row>
    <row r="8226" spans="65:72" x14ac:dyDescent="0.25">
      <c r="BM8226" s="81"/>
      <c r="BN8226" s="81"/>
      <c r="BO8226" s="81"/>
      <c r="BP8226" s="81"/>
      <c r="BQ8226" s="81"/>
      <c r="BR8226" s="81"/>
      <c r="BS8226" s="81"/>
      <c r="BT8226" s="81"/>
    </row>
    <row r="8227" spans="65:72" x14ac:dyDescent="0.25">
      <c r="BM8227" s="81"/>
      <c r="BN8227" s="81"/>
      <c r="BO8227" s="81"/>
      <c r="BP8227" s="81"/>
      <c r="BQ8227" s="81"/>
      <c r="BR8227" s="81"/>
      <c r="BS8227" s="81"/>
      <c r="BT8227" s="81"/>
    </row>
    <row r="8228" spans="65:72" x14ac:dyDescent="0.25">
      <c r="BM8228" s="81"/>
      <c r="BN8228" s="81"/>
      <c r="BO8228" s="81"/>
      <c r="BP8228" s="81"/>
      <c r="BQ8228" s="81"/>
      <c r="BR8228" s="81"/>
      <c r="BS8228" s="81"/>
      <c r="BT8228" s="81"/>
    </row>
    <row r="8229" spans="65:72" x14ac:dyDescent="0.25">
      <c r="BM8229" s="81"/>
      <c r="BN8229" s="81"/>
      <c r="BO8229" s="81"/>
      <c r="BP8229" s="81"/>
      <c r="BQ8229" s="81"/>
      <c r="BR8229" s="81"/>
      <c r="BS8229" s="81"/>
      <c r="BT8229" s="81"/>
    </row>
    <row r="8230" spans="65:72" x14ac:dyDescent="0.25">
      <c r="BM8230" s="81"/>
      <c r="BN8230" s="81"/>
      <c r="BO8230" s="81"/>
      <c r="BP8230" s="81"/>
      <c r="BQ8230" s="81"/>
      <c r="BR8230" s="81"/>
      <c r="BS8230" s="81"/>
      <c r="BT8230" s="81"/>
    </row>
    <row r="8231" spans="65:72" x14ac:dyDescent="0.25">
      <c r="BM8231" s="81"/>
      <c r="BN8231" s="81"/>
      <c r="BO8231" s="81"/>
      <c r="BP8231" s="81"/>
      <c r="BQ8231" s="81"/>
      <c r="BR8231" s="81"/>
      <c r="BS8231" s="81"/>
      <c r="BT8231" s="81"/>
    </row>
    <row r="8232" spans="65:72" x14ac:dyDescent="0.25">
      <c r="BM8232" s="81"/>
      <c r="BN8232" s="81"/>
      <c r="BO8232" s="81"/>
      <c r="BP8232" s="81"/>
      <c r="BQ8232" s="81"/>
      <c r="BR8232" s="81"/>
      <c r="BS8232" s="81"/>
      <c r="BT8232" s="81"/>
    </row>
    <row r="8233" spans="65:72" x14ac:dyDescent="0.25">
      <c r="BM8233" s="81"/>
      <c r="BN8233" s="81"/>
      <c r="BO8233" s="81"/>
      <c r="BP8233" s="81"/>
      <c r="BQ8233" s="81"/>
      <c r="BR8233" s="81"/>
      <c r="BS8233" s="81"/>
      <c r="BT8233" s="81"/>
    </row>
    <row r="8234" spans="65:72" x14ac:dyDescent="0.25">
      <c r="BM8234" s="81"/>
      <c r="BN8234" s="81"/>
      <c r="BO8234" s="81"/>
      <c r="BP8234" s="81"/>
      <c r="BQ8234" s="81"/>
      <c r="BR8234" s="81"/>
      <c r="BS8234" s="81"/>
      <c r="BT8234" s="81"/>
    </row>
    <row r="8235" spans="65:72" x14ac:dyDescent="0.25">
      <c r="BM8235" s="81"/>
      <c r="BN8235" s="81"/>
      <c r="BO8235" s="81"/>
      <c r="BP8235" s="81"/>
      <c r="BQ8235" s="81"/>
      <c r="BR8235" s="81"/>
      <c r="BS8235" s="81"/>
      <c r="BT8235" s="81"/>
    </row>
    <row r="8236" spans="65:72" x14ac:dyDescent="0.25">
      <c r="BM8236" s="81"/>
      <c r="BN8236" s="81"/>
      <c r="BO8236" s="81"/>
      <c r="BP8236" s="81"/>
      <c r="BQ8236" s="81"/>
      <c r="BR8236" s="81"/>
      <c r="BS8236" s="81"/>
      <c r="BT8236" s="81"/>
    </row>
    <row r="8237" spans="65:72" x14ac:dyDescent="0.25">
      <c r="BM8237" s="81"/>
      <c r="BN8237" s="81"/>
      <c r="BO8237" s="81"/>
      <c r="BP8237" s="81"/>
      <c r="BQ8237" s="81"/>
      <c r="BR8237" s="81"/>
      <c r="BS8237" s="81"/>
      <c r="BT8237" s="81"/>
    </row>
    <row r="8238" spans="65:72" x14ac:dyDescent="0.25">
      <c r="BM8238" s="81"/>
      <c r="BN8238" s="81"/>
      <c r="BO8238" s="81"/>
      <c r="BP8238" s="81"/>
      <c r="BQ8238" s="81"/>
      <c r="BR8238" s="81"/>
      <c r="BS8238" s="81"/>
      <c r="BT8238" s="81"/>
    </row>
    <row r="8239" spans="65:72" x14ac:dyDescent="0.25">
      <c r="BM8239" s="81"/>
      <c r="BN8239" s="81"/>
      <c r="BO8239" s="81"/>
      <c r="BP8239" s="81"/>
      <c r="BQ8239" s="81"/>
      <c r="BR8239" s="81"/>
      <c r="BS8239" s="81"/>
      <c r="BT8239" s="81"/>
    </row>
    <row r="8240" spans="65:72" x14ac:dyDescent="0.25">
      <c r="BM8240" s="81"/>
      <c r="BN8240" s="81"/>
      <c r="BO8240" s="81"/>
      <c r="BP8240" s="81"/>
      <c r="BQ8240" s="81"/>
      <c r="BR8240" s="81"/>
      <c r="BS8240" s="81"/>
      <c r="BT8240" s="81"/>
    </row>
    <row r="8241" spans="65:72" x14ac:dyDescent="0.25">
      <c r="BM8241" s="81"/>
      <c r="BN8241" s="81"/>
      <c r="BO8241" s="81"/>
      <c r="BP8241" s="81"/>
      <c r="BQ8241" s="81"/>
      <c r="BR8241" s="81"/>
      <c r="BS8241" s="81"/>
      <c r="BT8241" s="81"/>
    </row>
    <row r="8242" spans="65:72" x14ac:dyDescent="0.25">
      <c r="BM8242" s="81"/>
      <c r="BN8242" s="81"/>
      <c r="BO8242" s="81"/>
      <c r="BP8242" s="81"/>
      <c r="BQ8242" s="81"/>
      <c r="BR8242" s="81"/>
      <c r="BS8242" s="81"/>
      <c r="BT8242" s="81"/>
    </row>
    <row r="8243" spans="65:72" x14ac:dyDescent="0.25">
      <c r="BM8243" s="81"/>
      <c r="BN8243" s="81"/>
      <c r="BO8243" s="81"/>
      <c r="BP8243" s="81"/>
      <c r="BQ8243" s="81"/>
      <c r="BR8243" s="81"/>
      <c r="BS8243" s="81"/>
      <c r="BT8243" s="81"/>
    </row>
    <row r="8244" spans="65:72" x14ac:dyDescent="0.25">
      <c r="BM8244" s="81"/>
      <c r="BN8244" s="81"/>
      <c r="BO8244" s="81"/>
      <c r="BP8244" s="81"/>
      <c r="BQ8244" s="81"/>
      <c r="BR8244" s="81"/>
      <c r="BS8244" s="81"/>
      <c r="BT8244" s="81"/>
    </row>
    <row r="8245" spans="65:72" x14ac:dyDescent="0.25">
      <c r="BM8245" s="81"/>
      <c r="BN8245" s="81"/>
      <c r="BO8245" s="81"/>
      <c r="BP8245" s="81"/>
      <c r="BQ8245" s="81"/>
      <c r="BR8245" s="81"/>
      <c r="BS8245" s="81"/>
      <c r="BT8245" s="81"/>
    </row>
    <row r="8246" spans="65:72" x14ac:dyDescent="0.25">
      <c r="BM8246" s="81"/>
      <c r="BN8246" s="81"/>
      <c r="BO8246" s="81"/>
      <c r="BP8246" s="81"/>
      <c r="BQ8246" s="81"/>
      <c r="BR8246" s="81"/>
      <c r="BS8246" s="81"/>
      <c r="BT8246" s="81"/>
    </row>
    <row r="8247" spans="65:72" x14ac:dyDescent="0.25">
      <c r="BM8247" s="81"/>
      <c r="BN8247" s="81"/>
      <c r="BO8247" s="81"/>
      <c r="BP8247" s="81"/>
      <c r="BQ8247" s="81"/>
      <c r="BR8247" s="81"/>
      <c r="BS8247" s="81"/>
      <c r="BT8247" s="81"/>
    </row>
    <row r="8248" spans="65:72" x14ac:dyDescent="0.25">
      <c r="BM8248" s="81"/>
      <c r="BN8248" s="81"/>
      <c r="BO8248" s="81"/>
      <c r="BP8248" s="81"/>
      <c r="BQ8248" s="81"/>
      <c r="BR8248" s="81"/>
      <c r="BS8248" s="81"/>
      <c r="BT8248" s="81"/>
    </row>
    <row r="8249" spans="65:72" x14ac:dyDescent="0.25">
      <c r="BM8249" s="81"/>
      <c r="BN8249" s="81"/>
      <c r="BO8249" s="81"/>
      <c r="BP8249" s="81"/>
      <c r="BQ8249" s="81"/>
      <c r="BR8249" s="81"/>
      <c r="BS8249" s="81"/>
      <c r="BT8249" s="81"/>
    </row>
    <row r="8250" spans="65:72" x14ac:dyDescent="0.25">
      <c r="BM8250" s="81"/>
      <c r="BN8250" s="81"/>
      <c r="BO8250" s="81"/>
      <c r="BP8250" s="81"/>
      <c r="BQ8250" s="81"/>
      <c r="BR8250" s="81"/>
      <c r="BS8250" s="81"/>
      <c r="BT8250" s="81"/>
    </row>
    <row r="8251" spans="65:72" x14ac:dyDescent="0.25">
      <c r="BM8251" s="81"/>
      <c r="BN8251" s="81"/>
      <c r="BO8251" s="81"/>
      <c r="BP8251" s="81"/>
      <c r="BQ8251" s="81"/>
      <c r="BR8251" s="81"/>
      <c r="BS8251" s="81"/>
      <c r="BT8251" s="81"/>
    </row>
    <row r="8252" spans="65:72" x14ac:dyDescent="0.25">
      <c r="BM8252" s="81"/>
      <c r="BN8252" s="81"/>
      <c r="BO8252" s="81"/>
      <c r="BP8252" s="81"/>
      <c r="BQ8252" s="81"/>
      <c r="BR8252" s="81"/>
      <c r="BS8252" s="81"/>
      <c r="BT8252" s="81"/>
    </row>
    <row r="8253" spans="65:72" x14ac:dyDescent="0.25">
      <c r="BM8253" s="81"/>
      <c r="BN8253" s="81"/>
      <c r="BO8253" s="81"/>
      <c r="BP8253" s="81"/>
      <c r="BQ8253" s="81"/>
      <c r="BR8253" s="81"/>
      <c r="BS8253" s="81"/>
      <c r="BT8253" s="81"/>
    </row>
    <row r="8254" spans="65:72" x14ac:dyDescent="0.25">
      <c r="BM8254" s="81"/>
      <c r="BN8254" s="81"/>
      <c r="BO8254" s="81"/>
      <c r="BP8254" s="81"/>
      <c r="BQ8254" s="81"/>
      <c r="BR8254" s="81"/>
      <c r="BS8254" s="81"/>
      <c r="BT8254" s="81"/>
    </row>
    <row r="8255" spans="65:72" x14ac:dyDescent="0.25">
      <c r="BM8255" s="81"/>
      <c r="BN8255" s="81"/>
      <c r="BO8255" s="81"/>
      <c r="BP8255" s="81"/>
      <c r="BQ8255" s="81"/>
      <c r="BR8255" s="81"/>
      <c r="BS8255" s="81"/>
      <c r="BT8255" s="81"/>
    </row>
    <row r="8256" spans="65:72" x14ac:dyDescent="0.25">
      <c r="BM8256" s="81"/>
      <c r="BN8256" s="81"/>
      <c r="BO8256" s="81"/>
      <c r="BP8256" s="81"/>
      <c r="BQ8256" s="81"/>
      <c r="BR8256" s="81"/>
      <c r="BS8256" s="81"/>
      <c r="BT8256" s="81"/>
    </row>
    <row r="8257" spans="65:72" x14ac:dyDescent="0.25">
      <c r="BM8257" s="81"/>
      <c r="BN8257" s="81"/>
      <c r="BO8257" s="81"/>
      <c r="BP8257" s="81"/>
      <c r="BQ8257" s="81"/>
      <c r="BR8257" s="81"/>
      <c r="BS8257" s="81"/>
      <c r="BT8257" s="81"/>
    </row>
    <row r="8258" spans="65:72" x14ac:dyDescent="0.25">
      <c r="BM8258" s="81"/>
      <c r="BN8258" s="81"/>
      <c r="BO8258" s="81"/>
      <c r="BP8258" s="81"/>
      <c r="BQ8258" s="81"/>
      <c r="BR8258" s="81"/>
      <c r="BS8258" s="81"/>
      <c r="BT8258" s="81"/>
    </row>
    <row r="8259" spans="65:72" x14ac:dyDescent="0.25">
      <c r="BM8259" s="81"/>
      <c r="BN8259" s="81"/>
      <c r="BO8259" s="81"/>
      <c r="BP8259" s="81"/>
      <c r="BQ8259" s="81"/>
      <c r="BR8259" s="81"/>
      <c r="BS8259" s="81"/>
      <c r="BT8259" s="81"/>
    </row>
    <row r="8260" spans="65:72" x14ac:dyDescent="0.25">
      <c r="BM8260" s="81"/>
      <c r="BN8260" s="81"/>
      <c r="BO8260" s="81"/>
      <c r="BP8260" s="81"/>
      <c r="BQ8260" s="81"/>
      <c r="BR8260" s="81"/>
      <c r="BS8260" s="81"/>
      <c r="BT8260" s="81"/>
    </row>
    <row r="8261" spans="65:72" x14ac:dyDescent="0.25">
      <c r="BM8261" s="81"/>
      <c r="BN8261" s="81"/>
      <c r="BO8261" s="81"/>
      <c r="BP8261" s="81"/>
      <c r="BQ8261" s="81"/>
      <c r="BR8261" s="81"/>
      <c r="BS8261" s="81"/>
      <c r="BT8261" s="81"/>
    </row>
    <row r="8262" spans="65:72" x14ac:dyDescent="0.25">
      <c r="BM8262" s="81"/>
      <c r="BN8262" s="81"/>
      <c r="BO8262" s="81"/>
      <c r="BP8262" s="81"/>
      <c r="BQ8262" s="81"/>
      <c r="BR8262" s="81"/>
      <c r="BS8262" s="81"/>
      <c r="BT8262" s="81"/>
    </row>
    <row r="8263" spans="65:72" x14ac:dyDescent="0.25">
      <c r="BM8263" s="81"/>
      <c r="BN8263" s="81"/>
      <c r="BO8263" s="81"/>
      <c r="BP8263" s="81"/>
      <c r="BQ8263" s="81"/>
      <c r="BR8263" s="81"/>
      <c r="BS8263" s="81"/>
      <c r="BT8263" s="81"/>
    </row>
    <row r="8264" spans="65:72" x14ac:dyDescent="0.25">
      <c r="BM8264" s="81"/>
      <c r="BN8264" s="81"/>
      <c r="BO8264" s="81"/>
      <c r="BP8264" s="81"/>
      <c r="BQ8264" s="81"/>
      <c r="BR8264" s="81"/>
      <c r="BS8264" s="81"/>
      <c r="BT8264" s="81"/>
    </row>
    <row r="8265" spans="65:72" x14ac:dyDescent="0.25">
      <c r="BM8265" s="81"/>
      <c r="BN8265" s="81"/>
      <c r="BO8265" s="81"/>
      <c r="BP8265" s="81"/>
      <c r="BQ8265" s="81"/>
      <c r="BR8265" s="81"/>
      <c r="BS8265" s="81"/>
      <c r="BT8265" s="81"/>
    </row>
    <row r="8266" spans="65:72" x14ac:dyDescent="0.25">
      <c r="BM8266" s="81"/>
      <c r="BN8266" s="81"/>
      <c r="BO8266" s="81"/>
      <c r="BP8266" s="81"/>
      <c r="BQ8266" s="81"/>
      <c r="BR8266" s="81"/>
      <c r="BS8266" s="81"/>
      <c r="BT8266" s="81"/>
    </row>
    <row r="8267" spans="65:72" x14ac:dyDescent="0.25">
      <c r="BM8267" s="81"/>
      <c r="BN8267" s="81"/>
      <c r="BO8267" s="81"/>
      <c r="BP8267" s="81"/>
      <c r="BQ8267" s="81"/>
      <c r="BR8267" s="81"/>
      <c r="BS8267" s="81"/>
      <c r="BT8267" s="81"/>
    </row>
    <row r="8268" spans="65:72" x14ac:dyDescent="0.25">
      <c r="BM8268" s="81"/>
      <c r="BN8268" s="81"/>
      <c r="BO8268" s="81"/>
      <c r="BP8268" s="81"/>
      <c r="BQ8268" s="81"/>
      <c r="BR8268" s="81"/>
      <c r="BS8268" s="81"/>
      <c r="BT8268" s="81"/>
    </row>
    <row r="8269" spans="65:72" x14ac:dyDescent="0.25">
      <c r="BM8269" s="81"/>
      <c r="BN8269" s="81"/>
      <c r="BO8269" s="81"/>
      <c r="BP8269" s="81"/>
      <c r="BQ8269" s="81"/>
      <c r="BR8269" s="81"/>
      <c r="BS8269" s="81"/>
      <c r="BT8269" s="81"/>
    </row>
    <row r="8270" spans="65:72" x14ac:dyDescent="0.25">
      <c r="BM8270" s="81"/>
      <c r="BN8270" s="81"/>
      <c r="BO8270" s="81"/>
      <c r="BP8270" s="81"/>
      <c r="BQ8270" s="81"/>
      <c r="BR8270" s="81"/>
      <c r="BS8270" s="81"/>
      <c r="BT8270" s="81"/>
    </row>
    <row r="8271" spans="65:72" x14ac:dyDescent="0.25">
      <c r="BM8271" s="81"/>
      <c r="BN8271" s="81"/>
      <c r="BO8271" s="81"/>
      <c r="BP8271" s="81"/>
      <c r="BQ8271" s="81"/>
      <c r="BR8271" s="81"/>
      <c r="BS8271" s="81"/>
      <c r="BT8271" s="81"/>
    </row>
    <row r="8272" spans="65:72" x14ac:dyDescent="0.25">
      <c r="BM8272" s="81"/>
      <c r="BN8272" s="81"/>
      <c r="BO8272" s="81"/>
      <c r="BP8272" s="81"/>
      <c r="BQ8272" s="81"/>
      <c r="BR8272" s="81"/>
      <c r="BS8272" s="81"/>
      <c r="BT8272" s="81"/>
    </row>
    <row r="8273" spans="65:72" x14ac:dyDescent="0.25">
      <c r="BM8273" s="81"/>
      <c r="BN8273" s="81"/>
      <c r="BO8273" s="81"/>
      <c r="BP8273" s="81"/>
      <c r="BQ8273" s="81"/>
      <c r="BR8273" s="81"/>
      <c r="BS8273" s="81"/>
      <c r="BT8273" s="81"/>
    </row>
    <row r="8274" spans="65:72" x14ac:dyDescent="0.25">
      <c r="BM8274" s="81"/>
      <c r="BN8274" s="81"/>
      <c r="BO8274" s="81"/>
      <c r="BP8274" s="81"/>
      <c r="BQ8274" s="81"/>
      <c r="BR8274" s="81"/>
      <c r="BS8274" s="81"/>
      <c r="BT8274" s="81"/>
    </row>
    <row r="8275" spans="65:72" x14ac:dyDescent="0.25">
      <c r="BM8275" s="81"/>
      <c r="BN8275" s="81"/>
      <c r="BO8275" s="81"/>
      <c r="BP8275" s="81"/>
      <c r="BQ8275" s="81"/>
      <c r="BR8275" s="81"/>
      <c r="BS8275" s="81"/>
      <c r="BT8275" s="81"/>
    </row>
    <row r="8276" spans="65:72" x14ac:dyDescent="0.25">
      <c r="BM8276" s="81"/>
      <c r="BN8276" s="81"/>
      <c r="BO8276" s="81"/>
      <c r="BP8276" s="81"/>
      <c r="BQ8276" s="81"/>
      <c r="BR8276" s="81"/>
      <c r="BS8276" s="81"/>
      <c r="BT8276" s="81"/>
    </row>
    <row r="8277" spans="65:72" x14ac:dyDescent="0.25">
      <c r="BM8277" s="81"/>
      <c r="BN8277" s="81"/>
      <c r="BO8277" s="81"/>
      <c r="BP8277" s="81"/>
      <c r="BQ8277" s="81"/>
      <c r="BR8277" s="81"/>
      <c r="BS8277" s="81"/>
      <c r="BT8277" s="81"/>
    </row>
    <row r="8278" spans="65:72" x14ac:dyDescent="0.25">
      <c r="BM8278" s="81"/>
      <c r="BN8278" s="81"/>
      <c r="BO8278" s="81"/>
      <c r="BP8278" s="81"/>
      <c r="BQ8278" s="81"/>
      <c r="BR8278" s="81"/>
      <c r="BS8278" s="81"/>
      <c r="BT8278" s="81"/>
    </row>
    <row r="8279" spans="65:72" x14ac:dyDescent="0.25">
      <c r="BM8279" s="81"/>
      <c r="BN8279" s="81"/>
      <c r="BO8279" s="81"/>
      <c r="BP8279" s="81"/>
      <c r="BQ8279" s="81"/>
      <c r="BR8279" s="81"/>
      <c r="BS8279" s="81"/>
      <c r="BT8279" s="81"/>
    </row>
    <row r="8280" spans="65:72" x14ac:dyDescent="0.25">
      <c r="BM8280" s="81"/>
      <c r="BN8280" s="81"/>
      <c r="BO8280" s="81"/>
      <c r="BP8280" s="81"/>
      <c r="BQ8280" s="81"/>
      <c r="BR8280" s="81"/>
      <c r="BS8280" s="81"/>
      <c r="BT8280" s="81"/>
    </row>
    <row r="8281" spans="65:72" x14ac:dyDescent="0.25">
      <c r="BM8281" s="81"/>
      <c r="BN8281" s="81"/>
      <c r="BO8281" s="81"/>
      <c r="BP8281" s="81"/>
      <c r="BQ8281" s="81"/>
      <c r="BR8281" s="81"/>
      <c r="BS8281" s="81"/>
      <c r="BT8281" s="81"/>
    </row>
    <row r="8282" spans="65:72" x14ac:dyDescent="0.25">
      <c r="BM8282" s="81"/>
      <c r="BN8282" s="81"/>
      <c r="BO8282" s="81"/>
      <c r="BP8282" s="81"/>
      <c r="BQ8282" s="81"/>
      <c r="BR8282" s="81"/>
      <c r="BS8282" s="81"/>
      <c r="BT8282" s="81"/>
    </row>
    <row r="8283" spans="65:72" x14ac:dyDescent="0.25">
      <c r="BM8283" s="81"/>
      <c r="BN8283" s="81"/>
      <c r="BO8283" s="81"/>
      <c r="BP8283" s="81"/>
      <c r="BQ8283" s="81"/>
      <c r="BR8283" s="81"/>
      <c r="BS8283" s="81"/>
      <c r="BT8283" s="81"/>
    </row>
    <row r="8284" spans="65:72" x14ac:dyDescent="0.25">
      <c r="BM8284" s="81"/>
      <c r="BN8284" s="81"/>
      <c r="BO8284" s="81"/>
      <c r="BP8284" s="81"/>
      <c r="BQ8284" s="81"/>
      <c r="BR8284" s="81"/>
      <c r="BS8284" s="81"/>
      <c r="BT8284" s="81"/>
    </row>
    <row r="8285" spans="65:72" x14ac:dyDescent="0.25">
      <c r="BM8285" s="81"/>
      <c r="BN8285" s="81"/>
      <c r="BO8285" s="81"/>
      <c r="BP8285" s="81"/>
      <c r="BQ8285" s="81"/>
      <c r="BR8285" s="81"/>
      <c r="BS8285" s="81"/>
      <c r="BT8285" s="81"/>
    </row>
    <row r="8286" spans="65:72" x14ac:dyDescent="0.25">
      <c r="BM8286" s="81"/>
      <c r="BN8286" s="81"/>
      <c r="BO8286" s="81"/>
      <c r="BP8286" s="81"/>
      <c r="BQ8286" s="81"/>
      <c r="BR8286" s="81"/>
      <c r="BS8286" s="81"/>
      <c r="BT8286" s="81"/>
    </row>
    <row r="8287" spans="65:72" x14ac:dyDescent="0.25">
      <c r="BM8287" s="81"/>
      <c r="BN8287" s="81"/>
      <c r="BO8287" s="81"/>
      <c r="BP8287" s="81"/>
      <c r="BQ8287" s="81"/>
      <c r="BR8287" s="81"/>
      <c r="BS8287" s="81"/>
      <c r="BT8287" s="81"/>
    </row>
    <row r="8288" spans="65:72" x14ac:dyDescent="0.25">
      <c r="BM8288" s="81"/>
      <c r="BN8288" s="81"/>
      <c r="BO8288" s="81"/>
      <c r="BP8288" s="81"/>
      <c r="BQ8288" s="81"/>
      <c r="BR8288" s="81"/>
      <c r="BS8288" s="81"/>
      <c r="BT8288" s="81"/>
    </row>
    <row r="8289" spans="65:72" x14ac:dyDescent="0.25">
      <c r="BM8289" s="81"/>
      <c r="BN8289" s="81"/>
      <c r="BO8289" s="81"/>
      <c r="BP8289" s="81"/>
      <c r="BQ8289" s="81"/>
      <c r="BR8289" s="81"/>
      <c r="BS8289" s="81"/>
      <c r="BT8289" s="81"/>
    </row>
    <row r="8290" spans="65:72" x14ac:dyDescent="0.25">
      <c r="BM8290" s="81"/>
      <c r="BN8290" s="81"/>
      <c r="BO8290" s="81"/>
      <c r="BP8290" s="81"/>
      <c r="BQ8290" s="81"/>
      <c r="BR8290" s="81"/>
      <c r="BS8290" s="81"/>
      <c r="BT8290" s="81"/>
    </row>
    <row r="8291" spans="65:72" x14ac:dyDescent="0.25">
      <c r="BM8291" s="81"/>
      <c r="BN8291" s="81"/>
      <c r="BO8291" s="81"/>
      <c r="BP8291" s="81"/>
      <c r="BQ8291" s="81"/>
      <c r="BR8291" s="81"/>
      <c r="BS8291" s="81"/>
      <c r="BT8291" s="81"/>
    </row>
    <row r="8292" spans="65:72" x14ac:dyDescent="0.25">
      <c r="BM8292" s="81"/>
      <c r="BN8292" s="81"/>
      <c r="BO8292" s="81"/>
      <c r="BP8292" s="81"/>
      <c r="BQ8292" s="81"/>
      <c r="BR8292" s="81"/>
      <c r="BS8292" s="81"/>
      <c r="BT8292" s="81"/>
    </row>
    <row r="8293" spans="65:72" x14ac:dyDescent="0.25">
      <c r="BM8293" s="81"/>
      <c r="BN8293" s="81"/>
      <c r="BO8293" s="81"/>
      <c r="BP8293" s="81"/>
      <c r="BQ8293" s="81"/>
      <c r="BR8293" s="81"/>
      <c r="BS8293" s="81"/>
      <c r="BT8293" s="81"/>
    </row>
    <row r="8294" spans="65:72" x14ac:dyDescent="0.25">
      <c r="BM8294" s="81"/>
      <c r="BN8294" s="81"/>
      <c r="BO8294" s="81"/>
      <c r="BP8294" s="81"/>
      <c r="BQ8294" s="81"/>
      <c r="BR8294" s="81"/>
      <c r="BS8294" s="81"/>
      <c r="BT8294" s="81"/>
    </row>
    <row r="8295" spans="65:72" x14ac:dyDescent="0.25">
      <c r="BM8295" s="81"/>
      <c r="BN8295" s="81"/>
      <c r="BO8295" s="81"/>
      <c r="BP8295" s="81"/>
      <c r="BQ8295" s="81"/>
      <c r="BR8295" s="81"/>
      <c r="BS8295" s="81"/>
      <c r="BT8295" s="81"/>
    </row>
    <row r="8296" spans="65:72" x14ac:dyDescent="0.25">
      <c r="BM8296" s="81"/>
      <c r="BN8296" s="81"/>
      <c r="BO8296" s="81"/>
      <c r="BP8296" s="81"/>
      <c r="BQ8296" s="81"/>
      <c r="BR8296" s="81"/>
      <c r="BS8296" s="81"/>
      <c r="BT8296" s="81"/>
    </row>
    <row r="8297" spans="65:72" x14ac:dyDescent="0.25">
      <c r="BM8297" s="81"/>
      <c r="BN8297" s="81"/>
      <c r="BO8297" s="81"/>
      <c r="BP8297" s="81"/>
      <c r="BQ8297" s="81"/>
      <c r="BR8297" s="81"/>
      <c r="BS8297" s="81"/>
      <c r="BT8297" s="81"/>
    </row>
    <row r="8298" spans="65:72" x14ac:dyDescent="0.25">
      <c r="BM8298" s="81"/>
      <c r="BN8298" s="81"/>
      <c r="BO8298" s="81"/>
      <c r="BP8298" s="81"/>
      <c r="BQ8298" s="81"/>
      <c r="BR8298" s="81"/>
      <c r="BS8298" s="81"/>
      <c r="BT8298" s="81"/>
    </row>
    <row r="8299" spans="65:72" x14ac:dyDescent="0.25">
      <c r="BM8299" s="81"/>
      <c r="BN8299" s="81"/>
      <c r="BO8299" s="81"/>
      <c r="BP8299" s="81"/>
      <c r="BQ8299" s="81"/>
      <c r="BR8299" s="81"/>
      <c r="BS8299" s="81"/>
      <c r="BT8299" s="81"/>
    </row>
    <row r="8300" spans="65:72" x14ac:dyDescent="0.25">
      <c r="BM8300" s="81"/>
      <c r="BN8300" s="81"/>
      <c r="BO8300" s="81"/>
      <c r="BP8300" s="81"/>
      <c r="BQ8300" s="81"/>
      <c r="BR8300" s="81"/>
      <c r="BS8300" s="81"/>
      <c r="BT8300" s="81"/>
    </row>
    <row r="8301" spans="65:72" x14ac:dyDescent="0.25">
      <c r="BM8301" s="81"/>
      <c r="BN8301" s="81"/>
      <c r="BO8301" s="81"/>
      <c r="BP8301" s="81"/>
      <c r="BQ8301" s="81"/>
      <c r="BR8301" s="81"/>
      <c r="BS8301" s="81"/>
      <c r="BT8301" s="81"/>
    </row>
    <row r="8302" spans="65:72" x14ac:dyDescent="0.25">
      <c r="BM8302" s="81"/>
      <c r="BN8302" s="81"/>
      <c r="BO8302" s="81"/>
      <c r="BP8302" s="81"/>
      <c r="BQ8302" s="81"/>
      <c r="BR8302" s="81"/>
      <c r="BS8302" s="81"/>
      <c r="BT8302" s="81"/>
    </row>
    <row r="8303" spans="65:72" x14ac:dyDescent="0.25">
      <c r="BM8303" s="81"/>
      <c r="BN8303" s="81"/>
      <c r="BO8303" s="81"/>
      <c r="BP8303" s="81"/>
      <c r="BQ8303" s="81"/>
      <c r="BR8303" s="81"/>
      <c r="BS8303" s="81"/>
      <c r="BT8303" s="81"/>
    </row>
    <row r="8304" spans="65:72" x14ac:dyDescent="0.25">
      <c r="BM8304" s="81"/>
      <c r="BN8304" s="81"/>
      <c r="BO8304" s="81"/>
      <c r="BP8304" s="81"/>
      <c r="BQ8304" s="81"/>
      <c r="BR8304" s="81"/>
      <c r="BS8304" s="81"/>
      <c r="BT8304" s="81"/>
    </row>
    <row r="8305" spans="65:72" x14ac:dyDescent="0.25">
      <c r="BM8305" s="81"/>
      <c r="BN8305" s="81"/>
      <c r="BO8305" s="81"/>
      <c r="BP8305" s="81"/>
      <c r="BQ8305" s="81"/>
      <c r="BR8305" s="81"/>
      <c r="BS8305" s="81"/>
      <c r="BT8305" s="81"/>
    </row>
    <row r="8306" spans="65:72" x14ac:dyDescent="0.25">
      <c r="BM8306" s="81"/>
      <c r="BN8306" s="81"/>
      <c r="BO8306" s="81"/>
      <c r="BP8306" s="81"/>
      <c r="BQ8306" s="81"/>
      <c r="BR8306" s="81"/>
      <c r="BS8306" s="81"/>
      <c r="BT8306" s="81"/>
    </row>
    <row r="8307" spans="65:72" x14ac:dyDescent="0.25">
      <c r="BM8307" s="81"/>
      <c r="BN8307" s="81"/>
      <c r="BO8307" s="81"/>
      <c r="BP8307" s="81"/>
      <c r="BQ8307" s="81"/>
      <c r="BR8307" s="81"/>
      <c r="BS8307" s="81"/>
      <c r="BT8307" s="81"/>
    </row>
    <row r="8308" spans="65:72" x14ac:dyDescent="0.25">
      <c r="BM8308" s="81"/>
      <c r="BN8308" s="81"/>
      <c r="BO8308" s="81"/>
      <c r="BP8308" s="81"/>
      <c r="BQ8308" s="81"/>
      <c r="BR8308" s="81"/>
      <c r="BS8308" s="81"/>
      <c r="BT8308" s="81"/>
    </row>
    <row r="8309" spans="65:72" x14ac:dyDescent="0.25">
      <c r="BM8309" s="81"/>
      <c r="BN8309" s="81"/>
      <c r="BO8309" s="81"/>
      <c r="BP8309" s="81"/>
      <c r="BQ8309" s="81"/>
      <c r="BR8309" s="81"/>
      <c r="BS8309" s="81"/>
      <c r="BT8309" s="81"/>
    </row>
    <row r="8310" spans="65:72" x14ac:dyDescent="0.25">
      <c r="BM8310" s="81"/>
      <c r="BN8310" s="81"/>
      <c r="BO8310" s="81"/>
      <c r="BP8310" s="81"/>
      <c r="BQ8310" s="81"/>
      <c r="BR8310" s="81"/>
      <c r="BS8310" s="81"/>
      <c r="BT8310" s="81"/>
    </row>
    <row r="8311" spans="65:72" x14ac:dyDescent="0.25">
      <c r="BM8311" s="81"/>
      <c r="BN8311" s="81"/>
      <c r="BO8311" s="81"/>
      <c r="BP8311" s="81"/>
      <c r="BQ8311" s="81"/>
      <c r="BR8311" s="81"/>
      <c r="BS8311" s="81"/>
      <c r="BT8311" s="81"/>
    </row>
    <row r="8312" spans="65:72" x14ac:dyDescent="0.25">
      <c r="BM8312" s="81"/>
      <c r="BN8312" s="81"/>
      <c r="BO8312" s="81"/>
      <c r="BP8312" s="81"/>
      <c r="BQ8312" s="81"/>
      <c r="BR8312" s="81"/>
      <c r="BS8312" s="81"/>
      <c r="BT8312" s="81"/>
    </row>
    <row r="8313" spans="65:72" x14ac:dyDescent="0.25">
      <c r="BM8313" s="81"/>
      <c r="BN8313" s="81"/>
      <c r="BO8313" s="81"/>
      <c r="BP8313" s="81"/>
      <c r="BQ8313" s="81"/>
      <c r="BR8313" s="81"/>
      <c r="BS8313" s="81"/>
      <c r="BT8313" s="81"/>
    </row>
    <row r="8314" spans="65:72" x14ac:dyDescent="0.25">
      <c r="BM8314" s="81"/>
      <c r="BN8314" s="81"/>
      <c r="BO8314" s="81"/>
      <c r="BP8314" s="81"/>
      <c r="BQ8314" s="81"/>
      <c r="BR8314" s="81"/>
      <c r="BS8314" s="81"/>
      <c r="BT8314" s="81"/>
    </row>
    <row r="8315" spans="65:72" x14ac:dyDescent="0.25">
      <c r="BM8315" s="81"/>
      <c r="BN8315" s="81"/>
      <c r="BO8315" s="81"/>
      <c r="BP8315" s="81"/>
      <c r="BQ8315" s="81"/>
      <c r="BR8315" s="81"/>
      <c r="BS8315" s="81"/>
      <c r="BT8315" s="81"/>
    </row>
    <row r="8316" spans="65:72" x14ac:dyDescent="0.25">
      <c r="BM8316" s="81"/>
      <c r="BN8316" s="81"/>
      <c r="BO8316" s="81"/>
      <c r="BP8316" s="81"/>
      <c r="BQ8316" s="81"/>
      <c r="BR8316" s="81"/>
      <c r="BS8316" s="81"/>
      <c r="BT8316" s="81"/>
    </row>
    <row r="8317" spans="65:72" x14ac:dyDescent="0.25">
      <c r="BM8317" s="81"/>
      <c r="BN8317" s="81"/>
      <c r="BO8317" s="81"/>
      <c r="BP8317" s="81"/>
      <c r="BQ8317" s="81"/>
      <c r="BR8317" s="81"/>
      <c r="BS8317" s="81"/>
      <c r="BT8317" s="81"/>
    </row>
    <row r="8318" spans="65:72" x14ac:dyDescent="0.25">
      <c r="BM8318" s="81"/>
      <c r="BN8318" s="81"/>
      <c r="BO8318" s="81"/>
      <c r="BP8318" s="81"/>
      <c r="BQ8318" s="81"/>
      <c r="BR8318" s="81"/>
      <c r="BS8318" s="81"/>
      <c r="BT8318" s="81"/>
    </row>
    <row r="8319" spans="65:72" x14ac:dyDescent="0.25">
      <c r="BM8319" s="81"/>
      <c r="BN8319" s="81"/>
      <c r="BO8319" s="81"/>
      <c r="BP8319" s="81"/>
      <c r="BQ8319" s="81"/>
      <c r="BR8319" s="81"/>
      <c r="BS8319" s="81"/>
      <c r="BT8319" s="81"/>
    </row>
    <row r="8320" spans="65:72" x14ac:dyDescent="0.25">
      <c r="BM8320" s="81"/>
      <c r="BN8320" s="81"/>
      <c r="BO8320" s="81"/>
      <c r="BP8320" s="81"/>
      <c r="BQ8320" s="81"/>
      <c r="BR8320" s="81"/>
      <c r="BS8320" s="81"/>
      <c r="BT8320" s="81"/>
    </row>
    <row r="8321" spans="65:72" x14ac:dyDescent="0.25">
      <c r="BM8321" s="81"/>
      <c r="BN8321" s="81"/>
      <c r="BO8321" s="81"/>
      <c r="BP8321" s="81"/>
      <c r="BQ8321" s="81"/>
      <c r="BR8321" s="81"/>
      <c r="BS8321" s="81"/>
      <c r="BT8321" s="81"/>
    </row>
    <row r="8322" spans="65:72" x14ac:dyDescent="0.25">
      <c r="BM8322" s="81"/>
      <c r="BN8322" s="81"/>
      <c r="BO8322" s="81"/>
      <c r="BP8322" s="81"/>
      <c r="BQ8322" s="81"/>
      <c r="BR8322" s="81"/>
      <c r="BS8322" s="81"/>
      <c r="BT8322" s="81"/>
    </row>
    <row r="8323" spans="65:72" x14ac:dyDescent="0.25">
      <c r="BM8323" s="81"/>
      <c r="BN8323" s="81"/>
      <c r="BO8323" s="81"/>
      <c r="BP8323" s="81"/>
      <c r="BQ8323" s="81"/>
      <c r="BR8323" s="81"/>
      <c r="BS8323" s="81"/>
      <c r="BT8323" s="81"/>
    </row>
    <row r="8324" spans="65:72" x14ac:dyDescent="0.25">
      <c r="BM8324" s="81"/>
      <c r="BN8324" s="81"/>
      <c r="BO8324" s="81"/>
      <c r="BP8324" s="81"/>
      <c r="BQ8324" s="81"/>
      <c r="BR8324" s="81"/>
      <c r="BS8324" s="81"/>
      <c r="BT8324" s="81"/>
    </row>
    <row r="8325" spans="65:72" x14ac:dyDescent="0.25">
      <c r="BM8325" s="81"/>
      <c r="BN8325" s="81"/>
      <c r="BO8325" s="81"/>
      <c r="BP8325" s="81"/>
      <c r="BQ8325" s="81"/>
      <c r="BR8325" s="81"/>
      <c r="BS8325" s="81"/>
      <c r="BT8325" s="81"/>
    </row>
    <row r="8326" spans="65:72" x14ac:dyDescent="0.25">
      <c r="BM8326" s="81"/>
      <c r="BN8326" s="81"/>
      <c r="BO8326" s="81"/>
      <c r="BP8326" s="81"/>
      <c r="BQ8326" s="81"/>
      <c r="BR8326" s="81"/>
      <c r="BS8326" s="81"/>
      <c r="BT8326" s="81"/>
    </row>
    <row r="8327" spans="65:72" x14ac:dyDescent="0.25">
      <c r="BM8327" s="81"/>
      <c r="BN8327" s="81"/>
      <c r="BO8327" s="81"/>
      <c r="BP8327" s="81"/>
      <c r="BQ8327" s="81"/>
      <c r="BR8327" s="81"/>
      <c r="BS8327" s="81"/>
      <c r="BT8327" s="81"/>
    </row>
    <row r="8328" spans="65:72" x14ac:dyDescent="0.25">
      <c r="BM8328" s="81"/>
      <c r="BN8328" s="81"/>
      <c r="BO8328" s="81"/>
      <c r="BP8328" s="81"/>
      <c r="BQ8328" s="81"/>
      <c r="BR8328" s="81"/>
      <c r="BS8328" s="81"/>
      <c r="BT8328" s="81"/>
    </row>
    <row r="8329" spans="65:72" x14ac:dyDescent="0.25">
      <c r="BM8329" s="81"/>
      <c r="BN8329" s="81"/>
      <c r="BO8329" s="81"/>
      <c r="BP8329" s="81"/>
      <c r="BQ8329" s="81"/>
      <c r="BR8329" s="81"/>
      <c r="BS8329" s="81"/>
      <c r="BT8329" s="81"/>
    </row>
    <row r="8330" spans="65:72" x14ac:dyDescent="0.25">
      <c r="BM8330" s="81"/>
      <c r="BN8330" s="81"/>
      <c r="BO8330" s="81"/>
      <c r="BP8330" s="81"/>
      <c r="BQ8330" s="81"/>
      <c r="BR8330" s="81"/>
      <c r="BS8330" s="81"/>
      <c r="BT8330" s="81"/>
    </row>
    <row r="8331" spans="65:72" x14ac:dyDescent="0.25">
      <c r="BM8331" s="81"/>
      <c r="BN8331" s="81"/>
      <c r="BO8331" s="81"/>
      <c r="BP8331" s="81"/>
      <c r="BQ8331" s="81"/>
      <c r="BR8331" s="81"/>
      <c r="BS8331" s="81"/>
      <c r="BT8331" s="81"/>
    </row>
    <row r="8332" spans="65:72" x14ac:dyDescent="0.25">
      <c r="BM8332" s="81"/>
      <c r="BN8332" s="81"/>
      <c r="BO8332" s="81"/>
      <c r="BP8332" s="81"/>
      <c r="BQ8332" s="81"/>
      <c r="BR8332" s="81"/>
      <c r="BS8332" s="81"/>
      <c r="BT8332" s="81"/>
    </row>
    <row r="8333" spans="65:72" x14ac:dyDescent="0.25">
      <c r="BM8333" s="81"/>
      <c r="BN8333" s="81"/>
      <c r="BO8333" s="81"/>
      <c r="BP8333" s="81"/>
      <c r="BQ8333" s="81"/>
      <c r="BR8333" s="81"/>
      <c r="BS8333" s="81"/>
      <c r="BT8333" s="81"/>
    </row>
    <row r="8334" spans="65:72" x14ac:dyDescent="0.25">
      <c r="BM8334" s="81"/>
      <c r="BN8334" s="81"/>
      <c r="BO8334" s="81"/>
      <c r="BP8334" s="81"/>
      <c r="BQ8334" s="81"/>
      <c r="BR8334" s="81"/>
      <c r="BS8334" s="81"/>
      <c r="BT8334" s="81"/>
    </row>
    <row r="8335" spans="65:72" x14ac:dyDescent="0.25">
      <c r="BM8335" s="81"/>
      <c r="BN8335" s="81"/>
      <c r="BO8335" s="81"/>
      <c r="BP8335" s="81"/>
      <c r="BQ8335" s="81"/>
      <c r="BR8335" s="81"/>
      <c r="BS8335" s="81"/>
      <c r="BT8335" s="81"/>
    </row>
    <row r="8336" spans="65:72" x14ac:dyDescent="0.25">
      <c r="BM8336" s="81"/>
      <c r="BN8336" s="81"/>
      <c r="BO8336" s="81"/>
      <c r="BP8336" s="81"/>
      <c r="BQ8336" s="81"/>
      <c r="BR8336" s="81"/>
      <c r="BS8336" s="81"/>
      <c r="BT8336" s="81"/>
    </row>
    <row r="8337" spans="65:72" x14ac:dyDescent="0.25">
      <c r="BM8337" s="81"/>
      <c r="BN8337" s="81"/>
      <c r="BO8337" s="81"/>
      <c r="BP8337" s="81"/>
      <c r="BQ8337" s="81"/>
      <c r="BR8337" s="81"/>
      <c r="BS8337" s="81"/>
      <c r="BT8337" s="81"/>
    </row>
    <row r="8338" spans="65:72" x14ac:dyDescent="0.25">
      <c r="BM8338" s="81"/>
      <c r="BN8338" s="81"/>
      <c r="BO8338" s="81"/>
      <c r="BP8338" s="81"/>
      <c r="BQ8338" s="81"/>
      <c r="BR8338" s="81"/>
      <c r="BS8338" s="81"/>
      <c r="BT8338" s="81"/>
    </row>
    <row r="8339" spans="65:72" x14ac:dyDescent="0.25">
      <c r="BM8339" s="81"/>
      <c r="BN8339" s="81"/>
      <c r="BO8339" s="81"/>
      <c r="BP8339" s="81"/>
      <c r="BQ8339" s="81"/>
      <c r="BR8339" s="81"/>
      <c r="BS8339" s="81"/>
      <c r="BT8339" s="81"/>
    </row>
    <row r="8340" spans="65:72" x14ac:dyDescent="0.25">
      <c r="BM8340" s="81"/>
      <c r="BN8340" s="81"/>
      <c r="BO8340" s="81"/>
      <c r="BP8340" s="81"/>
      <c r="BQ8340" s="81"/>
      <c r="BR8340" s="81"/>
      <c r="BS8340" s="81"/>
      <c r="BT8340" s="81"/>
    </row>
    <row r="8341" spans="65:72" x14ac:dyDescent="0.25">
      <c r="BM8341" s="81"/>
      <c r="BN8341" s="81"/>
      <c r="BO8341" s="81"/>
      <c r="BP8341" s="81"/>
      <c r="BQ8341" s="81"/>
      <c r="BR8341" s="81"/>
      <c r="BS8341" s="81"/>
      <c r="BT8341" s="81"/>
    </row>
    <row r="8342" spans="65:72" x14ac:dyDescent="0.25">
      <c r="BM8342" s="81"/>
      <c r="BN8342" s="81"/>
      <c r="BO8342" s="81"/>
      <c r="BP8342" s="81"/>
      <c r="BQ8342" s="81"/>
      <c r="BR8342" s="81"/>
      <c r="BS8342" s="81"/>
      <c r="BT8342" s="81"/>
    </row>
    <row r="8343" spans="65:72" x14ac:dyDescent="0.25">
      <c r="BM8343" s="81"/>
      <c r="BN8343" s="81"/>
      <c r="BO8343" s="81"/>
      <c r="BP8343" s="81"/>
      <c r="BQ8343" s="81"/>
      <c r="BR8343" s="81"/>
      <c r="BS8343" s="81"/>
      <c r="BT8343" s="81"/>
    </row>
    <row r="8344" spans="65:72" x14ac:dyDescent="0.25">
      <c r="BM8344" s="81"/>
      <c r="BN8344" s="81"/>
      <c r="BO8344" s="81"/>
      <c r="BP8344" s="81"/>
      <c r="BQ8344" s="81"/>
      <c r="BR8344" s="81"/>
      <c r="BS8344" s="81"/>
      <c r="BT8344" s="81"/>
    </row>
    <row r="8345" spans="65:72" x14ac:dyDescent="0.25">
      <c r="BM8345" s="81"/>
      <c r="BN8345" s="81"/>
      <c r="BO8345" s="81"/>
      <c r="BP8345" s="81"/>
      <c r="BQ8345" s="81"/>
      <c r="BR8345" s="81"/>
      <c r="BS8345" s="81"/>
      <c r="BT8345" s="81"/>
    </row>
    <row r="8346" spans="65:72" x14ac:dyDescent="0.25">
      <c r="BM8346" s="81"/>
      <c r="BN8346" s="81"/>
      <c r="BO8346" s="81"/>
      <c r="BP8346" s="81"/>
      <c r="BQ8346" s="81"/>
      <c r="BR8346" s="81"/>
      <c r="BS8346" s="81"/>
      <c r="BT8346" s="81"/>
    </row>
    <row r="8347" spans="65:72" x14ac:dyDescent="0.25">
      <c r="BM8347" s="81"/>
      <c r="BN8347" s="81"/>
      <c r="BO8347" s="81"/>
      <c r="BP8347" s="81"/>
      <c r="BQ8347" s="81"/>
      <c r="BR8347" s="81"/>
      <c r="BS8347" s="81"/>
      <c r="BT8347" s="81"/>
    </row>
    <row r="8348" spans="65:72" x14ac:dyDescent="0.25">
      <c r="BM8348" s="81"/>
      <c r="BN8348" s="81"/>
      <c r="BO8348" s="81"/>
      <c r="BP8348" s="81"/>
      <c r="BQ8348" s="81"/>
      <c r="BR8348" s="81"/>
      <c r="BS8348" s="81"/>
      <c r="BT8348" s="81"/>
    </row>
    <row r="8349" spans="65:72" x14ac:dyDescent="0.25">
      <c r="BM8349" s="81"/>
      <c r="BN8349" s="81"/>
      <c r="BO8349" s="81"/>
      <c r="BP8349" s="81"/>
      <c r="BQ8349" s="81"/>
      <c r="BR8349" s="81"/>
      <c r="BS8349" s="81"/>
      <c r="BT8349" s="81"/>
    </row>
    <row r="8350" spans="65:72" x14ac:dyDescent="0.25">
      <c r="BM8350" s="81"/>
      <c r="BN8350" s="81"/>
      <c r="BO8350" s="81"/>
      <c r="BP8350" s="81"/>
      <c r="BQ8350" s="81"/>
      <c r="BR8350" s="81"/>
      <c r="BS8350" s="81"/>
      <c r="BT8350" s="81"/>
    </row>
    <row r="8351" spans="65:72" x14ac:dyDescent="0.25">
      <c r="BM8351" s="81"/>
      <c r="BN8351" s="81"/>
      <c r="BO8351" s="81"/>
      <c r="BP8351" s="81"/>
      <c r="BQ8351" s="81"/>
      <c r="BR8351" s="81"/>
      <c r="BS8351" s="81"/>
      <c r="BT8351" s="81"/>
    </row>
    <row r="8352" spans="65:72" x14ac:dyDescent="0.25">
      <c r="BM8352" s="81"/>
      <c r="BN8352" s="81"/>
      <c r="BO8352" s="81"/>
      <c r="BP8352" s="81"/>
      <c r="BQ8352" s="81"/>
      <c r="BR8352" s="81"/>
      <c r="BS8352" s="81"/>
      <c r="BT8352" s="81"/>
    </row>
    <row r="8353" spans="65:72" x14ac:dyDescent="0.25">
      <c r="BM8353" s="81"/>
      <c r="BN8353" s="81"/>
      <c r="BO8353" s="81"/>
      <c r="BP8353" s="81"/>
      <c r="BQ8353" s="81"/>
      <c r="BR8353" s="81"/>
      <c r="BS8353" s="81"/>
      <c r="BT8353" s="81"/>
    </row>
    <row r="8354" spans="65:72" x14ac:dyDescent="0.25">
      <c r="BM8354" s="81"/>
      <c r="BN8354" s="81"/>
      <c r="BO8354" s="81"/>
      <c r="BP8354" s="81"/>
      <c r="BQ8354" s="81"/>
      <c r="BR8354" s="81"/>
      <c r="BS8354" s="81"/>
      <c r="BT8354" s="81"/>
    </row>
    <row r="8355" spans="65:72" x14ac:dyDescent="0.25">
      <c r="BM8355" s="81"/>
      <c r="BN8355" s="81"/>
      <c r="BO8355" s="81"/>
      <c r="BP8355" s="81"/>
      <c r="BQ8355" s="81"/>
      <c r="BR8355" s="81"/>
      <c r="BS8355" s="81"/>
      <c r="BT8355" s="81"/>
    </row>
    <row r="8356" spans="65:72" x14ac:dyDescent="0.25">
      <c r="BM8356" s="81"/>
      <c r="BN8356" s="81"/>
      <c r="BO8356" s="81"/>
      <c r="BP8356" s="81"/>
      <c r="BQ8356" s="81"/>
      <c r="BR8356" s="81"/>
      <c r="BS8356" s="81"/>
      <c r="BT8356" s="81"/>
    </row>
    <row r="8357" spans="65:72" x14ac:dyDescent="0.25">
      <c r="BM8357" s="81"/>
      <c r="BN8357" s="81"/>
      <c r="BO8357" s="81"/>
      <c r="BP8357" s="81"/>
      <c r="BQ8357" s="81"/>
      <c r="BR8357" s="81"/>
      <c r="BS8357" s="81"/>
      <c r="BT8357" s="81"/>
    </row>
    <row r="8358" spans="65:72" x14ac:dyDescent="0.25">
      <c r="BM8358" s="81"/>
      <c r="BN8358" s="81"/>
      <c r="BO8358" s="81"/>
      <c r="BP8358" s="81"/>
      <c r="BQ8358" s="81"/>
      <c r="BR8358" s="81"/>
      <c r="BS8358" s="81"/>
      <c r="BT8358" s="81"/>
    </row>
    <row r="8359" spans="65:72" x14ac:dyDescent="0.25">
      <c r="BM8359" s="81"/>
      <c r="BN8359" s="81"/>
      <c r="BO8359" s="81"/>
      <c r="BP8359" s="81"/>
      <c r="BQ8359" s="81"/>
      <c r="BR8359" s="81"/>
      <c r="BS8359" s="81"/>
      <c r="BT8359" s="81"/>
    </row>
    <row r="8360" spans="65:72" x14ac:dyDescent="0.25">
      <c r="BM8360" s="81"/>
      <c r="BN8360" s="81"/>
      <c r="BO8360" s="81"/>
      <c r="BP8360" s="81"/>
      <c r="BQ8360" s="81"/>
      <c r="BR8360" s="81"/>
      <c r="BS8360" s="81"/>
      <c r="BT8360" s="81"/>
    </row>
    <row r="8361" spans="65:72" x14ac:dyDescent="0.25">
      <c r="BM8361" s="81"/>
      <c r="BN8361" s="81"/>
      <c r="BO8361" s="81"/>
      <c r="BP8361" s="81"/>
      <c r="BQ8361" s="81"/>
      <c r="BR8361" s="81"/>
      <c r="BS8361" s="81"/>
      <c r="BT8361" s="81"/>
    </row>
    <row r="8362" spans="65:72" x14ac:dyDescent="0.25">
      <c r="BM8362" s="81"/>
      <c r="BN8362" s="81"/>
      <c r="BO8362" s="81"/>
      <c r="BP8362" s="81"/>
      <c r="BQ8362" s="81"/>
      <c r="BR8362" s="81"/>
      <c r="BS8362" s="81"/>
      <c r="BT8362" s="81"/>
    </row>
    <row r="8363" spans="65:72" x14ac:dyDescent="0.25">
      <c r="BM8363" s="81"/>
      <c r="BN8363" s="81"/>
      <c r="BO8363" s="81"/>
      <c r="BP8363" s="81"/>
      <c r="BQ8363" s="81"/>
      <c r="BR8363" s="81"/>
      <c r="BS8363" s="81"/>
      <c r="BT8363" s="81"/>
    </row>
    <row r="8364" spans="65:72" x14ac:dyDescent="0.25">
      <c r="BM8364" s="81"/>
      <c r="BN8364" s="81"/>
      <c r="BO8364" s="81"/>
      <c r="BP8364" s="81"/>
      <c r="BQ8364" s="81"/>
      <c r="BR8364" s="81"/>
      <c r="BS8364" s="81"/>
      <c r="BT8364" s="81"/>
    </row>
    <row r="8365" spans="65:72" x14ac:dyDescent="0.25">
      <c r="BM8365" s="81"/>
      <c r="BN8365" s="81"/>
      <c r="BO8365" s="81"/>
      <c r="BP8365" s="81"/>
      <c r="BQ8365" s="81"/>
      <c r="BR8365" s="81"/>
      <c r="BS8365" s="81"/>
      <c r="BT8365" s="81"/>
    </row>
    <row r="8366" spans="65:72" x14ac:dyDescent="0.25">
      <c r="BM8366" s="81"/>
      <c r="BN8366" s="81"/>
      <c r="BO8366" s="81"/>
      <c r="BP8366" s="81"/>
      <c r="BQ8366" s="81"/>
      <c r="BR8366" s="81"/>
      <c r="BS8366" s="81"/>
      <c r="BT8366" s="81"/>
    </row>
    <row r="8367" spans="65:72" x14ac:dyDescent="0.25">
      <c r="BM8367" s="81"/>
      <c r="BN8367" s="81"/>
      <c r="BO8367" s="81"/>
      <c r="BP8367" s="81"/>
      <c r="BQ8367" s="81"/>
      <c r="BR8367" s="81"/>
      <c r="BS8367" s="81"/>
      <c r="BT8367" s="81"/>
    </row>
    <row r="8368" spans="65:72" x14ac:dyDescent="0.25">
      <c r="BM8368" s="81"/>
      <c r="BN8368" s="81"/>
      <c r="BO8368" s="81"/>
      <c r="BP8368" s="81"/>
      <c r="BQ8368" s="81"/>
      <c r="BR8368" s="81"/>
      <c r="BS8368" s="81"/>
      <c r="BT8368" s="81"/>
    </row>
    <row r="8369" spans="65:72" x14ac:dyDescent="0.25">
      <c r="BM8369" s="81"/>
      <c r="BN8369" s="81"/>
      <c r="BO8369" s="81"/>
      <c r="BP8369" s="81"/>
      <c r="BQ8369" s="81"/>
      <c r="BR8369" s="81"/>
      <c r="BS8369" s="81"/>
      <c r="BT8369" s="81"/>
    </row>
    <row r="8370" spans="65:72" x14ac:dyDescent="0.25">
      <c r="BM8370" s="81"/>
      <c r="BN8370" s="81"/>
      <c r="BO8370" s="81"/>
      <c r="BP8370" s="81"/>
      <c r="BQ8370" s="81"/>
      <c r="BR8370" s="81"/>
      <c r="BS8370" s="81"/>
      <c r="BT8370" s="81"/>
    </row>
    <row r="8371" spans="65:72" x14ac:dyDescent="0.25">
      <c r="BM8371" s="81"/>
      <c r="BN8371" s="81"/>
      <c r="BO8371" s="81"/>
      <c r="BP8371" s="81"/>
      <c r="BQ8371" s="81"/>
      <c r="BR8371" s="81"/>
      <c r="BS8371" s="81"/>
      <c r="BT8371" s="81"/>
    </row>
    <row r="8372" spans="65:72" x14ac:dyDescent="0.25">
      <c r="BM8372" s="81"/>
      <c r="BN8372" s="81"/>
      <c r="BO8372" s="81"/>
      <c r="BP8372" s="81"/>
      <c r="BQ8372" s="81"/>
      <c r="BR8372" s="81"/>
      <c r="BS8372" s="81"/>
      <c r="BT8372" s="81"/>
    </row>
    <row r="8373" spans="65:72" x14ac:dyDescent="0.25">
      <c r="BM8373" s="81"/>
      <c r="BN8373" s="81"/>
      <c r="BO8373" s="81"/>
      <c r="BP8373" s="81"/>
      <c r="BQ8373" s="81"/>
      <c r="BR8373" s="81"/>
      <c r="BS8373" s="81"/>
      <c r="BT8373" s="81"/>
    </row>
    <row r="8374" spans="65:72" x14ac:dyDescent="0.25">
      <c r="BM8374" s="81"/>
      <c r="BN8374" s="81"/>
      <c r="BO8374" s="81"/>
      <c r="BP8374" s="81"/>
      <c r="BQ8374" s="81"/>
      <c r="BR8374" s="81"/>
      <c r="BS8374" s="81"/>
      <c r="BT8374" s="81"/>
    </row>
    <row r="8375" spans="65:72" x14ac:dyDescent="0.25">
      <c r="BM8375" s="81"/>
      <c r="BN8375" s="81"/>
      <c r="BO8375" s="81"/>
      <c r="BP8375" s="81"/>
      <c r="BQ8375" s="81"/>
      <c r="BR8375" s="81"/>
      <c r="BS8375" s="81"/>
      <c r="BT8375" s="81"/>
    </row>
    <row r="8376" spans="65:72" x14ac:dyDescent="0.25">
      <c r="BM8376" s="81"/>
      <c r="BN8376" s="81"/>
      <c r="BO8376" s="81"/>
      <c r="BP8376" s="81"/>
      <c r="BQ8376" s="81"/>
      <c r="BR8376" s="81"/>
      <c r="BS8376" s="81"/>
      <c r="BT8376" s="81"/>
    </row>
    <row r="8377" spans="65:72" x14ac:dyDescent="0.25">
      <c r="BM8377" s="81"/>
      <c r="BN8377" s="81"/>
      <c r="BO8377" s="81"/>
      <c r="BP8377" s="81"/>
      <c r="BQ8377" s="81"/>
      <c r="BR8377" s="81"/>
      <c r="BS8377" s="81"/>
      <c r="BT8377" s="81"/>
    </row>
    <row r="8378" spans="65:72" x14ac:dyDescent="0.25">
      <c r="BM8378" s="81"/>
      <c r="BN8378" s="81"/>
      <c r="BO8378" s="81"/>
      <c r="BP8378" s="81"/>
      <c r="BQ8378" s="81"/>
      <c r="BR8378" s="81"/>
      <c r="BS8378" s="81"/>
      <c r="BT8378" s="81"/>
    </row>
    <row r="8379" spans="65:72" x14ac:dyDescent="0.25">
      <c r="BM8379" s="81"/>
      <c r="BN8379" s="81"/>
      <c r="BO8379" s="81"/>
      <c r="BP8379" s="81"/>
      <c r="BQ8379" s="81"/>
      <c r="BR8379" s="81"/>
      <c r="BS8379" s="81"/>
      <c r="BT8379" s="81"/>
    </row>
    <row r="8380" spans="65:72" x14ac:dyDescent="0.25">
      <c r="BM8380" s="81"/>
      <c r="BN8380" s="81"/>
      <c r="BO8380" s="81"/>
      <c r="BP8380" s="81"/>
      <c r="BQ8380" s="81"/>
      <c r="BR8380" s="81"/>
      <c r="BS8380" s="81"/>
      <c r="BT8380" s="81"/>
    </row>
    <row r="8381" spans="65:72" x14ac:dyDescent="0.25">
      <c r="BM8381" s="81"/>
      <c r="BN8381" s="81"/>
      <c r="BO8381" s="81"/>
      <c r="BP8381" s="81"/>
      <c r="BQ8381" s="81"/>
      <c r="BR8381" s="81"/>
      <c r="BS8381" s="81"/>
      <c r="BT8381" s="81"/>
    </row>
    <row r="8382" spans="65:72" x14ac:dyDescent="0.25">
      <c r="BM8382" s="81"/>
      <c r="BN8382" s="81"/>
      <c r="BO8382" s="81"/>
      <c r="BP8382" s="81"/>
      <c r="BQ8382" s="81"/>
      <c r="BR8382" s="81"/>
      <c r="BS8382" s="81"/>
      <c r="BT8382" s="81"/>
    </row>
    <row r="8383" spans="65:72" x14ac:dyDescent="0.25">
      <c r="BM8383" s="81"/>
      <c r="BN8383" s="81"/>
      <c r="BO8383" s="81"/>
      <c r="BP8383" s="81"/>
      <c r="BQ8383" s="81"/>
      <c r="BR8383" s="81"/>
      <c r="BS8383" s="81"/>
      <c r="BT8383" s="81"/>
    </row>
    <row r="8384" spans="65:72" x14ac:dyDescent="0.25">
      <c r="BM8384" s="81"/>
      <c r="BN8384" s="81"/>
      <c r="BO8384" s="81"/>
      <c r="BP8384" s="81"/>
      <c r="BQ8384" s="81"/>
      <c r="BR8384" s="81"/>
      <c r="BS8384" s="81"/>
      <c r="BT8384" s="81"/>
    </row>
    <row r="8385" spans="65:72" x14ac:dyDescent="0.25">
      <c r="BM8385" s="81"/>
      <c r="BN8385" s="81"/>
      <c r="BO8385" s="81"/>
      <c r="BP8385" s="81"/>
      <c r="BQ8385" s="81"/>
      <c r="BR8385" s="81"/>
      <c r="BS8385" s="81"/>
      <c r="BT8385" s="81"/>
    </row>
    <row r="8386" spans="65:72" x14ac:dyDescent="0.25">
      <c r="BM8386" s="81"/>
      <c r="BN8386" s="81"/>
      <c r="BO8386" s="81"/>
      <c r="BP8386" s="81"/>
      <c r="BQ8386" s="81"/>
      <c r="BR8386" s="81"/>
      <c r="BS8386" s="81"/>
      <c r="BT8386" s="81"/>
    </row>
    <row r="8387" spans="65:72" x14ac:dyDescent="0.25">
      <c r="BM8387" s="81"/>
      <c r="BN8387" s="81"/>
      <c r="BO8387" s="81"/>
      <c r="BP8387" s="81"/>
      <c r="BQ8387" s="81"/>
      <c r="BR8387" s="81"/>
      <c r="BS8387" s="81"/>
      <c r="BT8387" s="81"/>
    </row>
    <row r="8388" spans="65:72" x14ac:dyDescent="0.25">
      <c r="BM8388" s="81"/>
      <c r="BN8388" s="81"/>
      <c r="BO8388" s="81"/>
      <c r="BP8388" s="81"/>
      <c r="BQ8388" s="81"/>
      <c r="BR8388" s="81"/>
      <c r="BS8388" s="81"/>
      <c r="BT8388" s="81"/>
    </row>
    <row r="8389" spans="65:72" x14ac:dyDescent="0.25">
      <c r="BM8389" s="81"/>
      <c r="BN8389" s="81"/>
      <c r="BO8389" s="81"/>
      <c r="BP8389" s="81"/>
      <c r="BQ8389" s="81"/>
      <c r="BR8389" s="81"/>
      <c r="BS8389" s="81"/>
      <c r="BT8389" s="81"/>
    </row>
    <row r="8390" spans="65:72" x14ac:dyDescent="0.25">
      <c r="BM8390" s="81"/>
      <c r="BN8390" s="81"/>
      <c r="BO8390" s="81"/>
      <c r="BP8390" s="81"/>
      <c r="BQ8390" s="81"/>
      <c r="BR8390" s="81"/>
      <c r="BS8390" s="81"/>
      <c r="BT8390" s="81"/>
    </row>
    <row r="8391" spans="65:72" x14ac:dyDescent="0.25">
      <c r="BM8391" s="81"/>
      <c r="BN8391" s="81"/>
      <c r="BO8391" s="81"/>
      <c r="BP8391" s="81"/>
      <c r="BQ8391" s="81"/>
      <c r="BR8391" s="81"/>
      <c r="BS8391" s="81"/>
      <c r="BT8391" s="81"/>
    </row>
    <row r="8392" spans="65:72" x14ac:dyDescent="0.25">
      <c r="BM8392" s="81"/>
      <c r="BN8392" s="81"/>
      <c r="BO8392" s="81"/>
      <c r="BP8392" s="81"/>
      <c r="BQ8392" s="81"/>
      <c r="BR8392" s="81"/>
      <c r="BS8392" s="81"/>
      <c r="BT8392" s="81"/>
    </row>
    <row r="8393" spans="65:72" x14ac:dyDescent="0.25">
      <c r="BM8393" s="81"/>
      <c r="BN8393" s="81"/>
      <c r="BO8393" s="81"/>
      <c r="BP8393" s="81"/>
      <c r="BQ8393" s="81"/>
      <c r="BR8393" s="81"/>
      <c r="BS8393" s="81"/>
      <c r="BT8393" s="81"/>
    </row>
    <row r="8394" spans="65:72" x14ac:dyDescent="0.25">
      <c r="BM8394" s="81"/>
      <c r="BN8394" s="81"/>
      <c r="BO8394" s="81"/>
      <c r="BP8394" s="81"/>
      <c r="BQ8394" s="81"/>
      <c r="BR8394" s="81"/>
      <c r="BS8394" s="81"/>
      <c r="BT8394" s="81"/>
    </row>
    <row r="8395" spans="65:72" x14ac:dyDescent="0.25">
      <c r="BM8395" s="81"/>
      <c r="BN8395" s="81"/>
      <c r="BO8395" s="81"/>
      <c r="BP8395" s="81"/>
      <c r="BQ8395" s="81"/>
      <c r="BR8395" s="81"/>
      <c r="BS8395" s="81"/>
      <c r="BT8395" s="81"/>
    </row>
    <row r="8396" spans="65:72" x14ac:dyDescent="0.25">
      <c r="BM8396" s="81"/>
      <c r="BN8396" s="81"/>
      <c r="BO8396" s="81"/>
      <c r="BP8396" s="81"/>
      <c r="BQ8396" s="81"/>
      <c r="BR8396" s="81"/>
      <c r="BS8396" s="81"/>
      <c r="BT8396" s="81"/>
    </row>
    <row r="8397" spans="65:72" x14ac:dyDescent="0.25">
      <c r="BM8397" s="81"/>
      <c r="BN8397" s="81"/>
      <c r="BO8397" s="81"/>
      <c r="BP8397" s="81"/>
      <c r="BQ8397" s="81"/>
      <c r="BR8397" s="81"/>
      <c r="BS8397" s="81"/>
      <c r="BT8397" s="81"/>
    </row>
    <row r="8398" spans="65:72" x14ac:dyDescent="0.25">
      <c r="BM8398" s="81"/>
      <c r="BN8398" s="81"/>
      <c r="BO8398" s="81"/>
      <c r="BP8398" s="81"/>
      <c r="BQ8398" s="81"/>
      <c r="BR8398" s="81"/>
      <c r="BS8398" s="81"/>
      <c r="BT8398" s="81"/>
    </row>
    <row r="8399" spans="65:72" x14ac:dyDescent="0.25">
      <c r="BM8399" s="81"/>
      <c r="BN8399" s="81"/>
      <c r="BO8399" s="81"/>
      <c r="BP8399" s="81"/>
      <c r="BQ8399" s="81"/>
      <c r="BR8399" s="81"/>
      <c r="BS8399" s="81"/>
      <c r="BT8399" s="81"/>
    </row>
    <row r="8400" spans="65:72" x14ac:dyDescent="0.25">
      <c r="BM8400" s="81"/>
      <c r="BN8400" s="81"/>
      <c r="BO8400" s="81"/>
      <c r="BP8400" s="81"/>
      <c r="BQ8400" s="81"/>
      <c r="BR8400" s="81"/>
      <c r="BS8400" s="81"/>
      <c r="BT8400" s="81"/>
    </row>
    <row r="8401" spans="65:72" x14ac:dyDescent="0.25">
      <c r="BM8401" s="81"/>
      <c r="BN8401" s="81"/>
      <c r="BO8401" s="81"/>
      <c r="BP8401" s="81"/>
      <c r="BQ8401" s="81"/>
      <c r="BR8401" s="81"/>
      <c r="BS8401" s="81"/>
      <c r="BT8401" s="81"/>
    </row>
    <row r="8402" spans="65:72" x14ac:dyDescent="0.25">
      <c r="BM8402" s="81"/>
      <c r="BN8402" s="81"/>
      <c r="BO8402" s="81"/>
      <c r="BP8402" s="81"/>
      <c r="BQ8402" s="81"/>
      <c r="BR8402" s="81"/>
      <c r="BS8402" s="81"/>
      <c r="BT8402" s="81"/>
    </row>
    <row r="8403" spans="65:72" x14ac:dyDescent="0.25">
      <c r="BM8403" s="81"/>
      <c r="BN8403" s="81"/>
      <c r="BO8403" s="81"/>
      <c r="BP8403" s="81"/>
      <c r="BQ8403" s="81"/>
      <c r="BR8403" s="81"/>
      <c r="BS8403" s="81"/>
      <c r="BT8403" s="81"/>
    </row>
    <row r="8404" spans="65:72" x14ac:dyDescent="0.25">
      <c r="BM8404" s="81"/>
      <c r="BN8404" s="81"/>
      <c r="BO8404" s="81"/>
      <c r="BP8404" s="81"/>
      <c r="BQ8404" s="81"/>
      <c r="BR8404" s="81"/>
      <c r="BS8404" s="81"/>
      <c r="BT8404" s="81"/>
    </row>
    <row r="8405" spans="65:72" x14ac:dyDescent="0.25">
      <c r="BM8405" s="81"/>
      <c r="BN8405" s="81"/>
      <c r="BO8405" s="81"/>
      <c r="BP8405" s="81"/>
      <c r="BQ8405" s="81"/>
      <c r="BR8405" s="81"/>
      <c r="BS8405" s="81"/>
      <c r="BT8405" s="81"/>
    </row>
    <row r="8406" spans="65:72" x14ac:dyDescent="0.25">
      <c r="BM8406" s="81"/>
      <c r="BN8406" s="81"/>
      <c r="BO8406" s="81"/>
      <c r="BP8406" s="81"/>
      <c r="BQ8406" s="81"/>
      <c r="BR8406" s="81"/>
      <c r="BS8406" s="81"/>
      <c r="BT8406" s="81"/>
    </row>
    <row r="8407" spans="65:72" x14ac:dyDescent="0.25">
      <c r="BM8407" s="81"/>
      <c r="BN8407" s="81"/>
      <c r="BO8407" s="81"/>
      <c r="BP8407" s="81"/>
      <c r="BQ8407" s="81"/>
      <c r="BR8407" s="81"/>
      <c r="BS8407" s="81"/>
      <c r="BT8407" s="81"/>
    </row>
    <row r="8408" spans="65:72" x14ac:dyDescent="0.25">
      <c r="BM8408" s="81"/>
      <c r="BN8408" s="81"/>
      <c r="BO8408" s="81"/>
      <c r="BP8408" s="81"/>
      <c r="BQ8408" s="81"/>
      <c r="BR8408" s="81"/>
      <c r="BS8408" s="81"/>
      <c r="BT8408" s="81"/>
    </row>
    <row r="8409" spans="65:72" x14ac:dyDescent="0.25">
      <c r="BM8409" s="81"/>
      <c r="BN8409" s="81"/>
      <c r="BO8409" s="81"/>
      <c r="BP8409" s="81"/>
      <c r="BQ8409" s="81"/>
      <c r="BR8409" s="81"/>
      <c r="BS8409" s="81"/>
      <c r="BT8409" s="81"/>
    </row>
    <row r="8410" spans="65:72" x14ac:dyDescent="0.25">
      <c r="BM8410" s="81"/>
      <c r="BN8410" s="81"/>
      <c r="BO8410" s="81"/>
      <c r="BP8410" s="81"/>
      <c r="BQ8410" s="81"/>
      <c r="BR8410" s="81"/>
      <c r="BS8410" s="81"/>
      <c r="BT8410" s="81"/>
    </row>
    <row r="8411" spans="65:72" x14ac:dyDescent="0.25">
      <c r="BM8411" s="81"/>
      <c r="BN8411" s="81"/>
      <c r="BO8411" s="81"/>
      <c r="BP8411" s="81"/>
      <c r="BQ8411" s="81"/>
      <c r="BR8411" s="81"/>
      <c r="BS8411" s="81"/>
      <c r="BT8411" s="81"/>
    </row>
    <row r="8412" spans="65:72" x14ac:dyDescent="0.25">
      <c r="BM8412" s="81"/>
      <c r="BN8412" s="81"/>
      <c r="BO8412" s="81"/>
      <c r="BP8412" s="81"/>
      <c r="BQ8412" s="81"/>
      <c r="BR8412" s="81"/>
      <c r="BS8412" s="81"/>
      <c r="BT8412" s="81"/>
    </row>
    <row r="8413" spans="65:72" x14ac:dyDescent="0.25">
      <c r="BM8413" s="81"/>
      <c r="BN8413" s="81"/>
      <c r="BO8413" s="81"/>
      <c r="BP8413" s="81"/>
      <c r="BQ8413" s="81"/>
      <c r="BR8413" s="81"/>
      <c r="BS8413" s="81"/>
      <c r="BT8413" s="81"/>
    </row>
    <row r="8414" spans="65:72" x14ac:dyDescent="0.25">
      <c r="BM8414" s="81"/>
      <c r="BN8414" s="81"/>
      <c r="BO8414" s="81"/>
      <c r="BP8414" s="81"/>
      <c r="BQ8414" s="81"/>
      <c r="BR8414" s="81"/>
      <c r="BS8414" s="81"/>
      <c r="BT8414" s="81"/>
    </row>
    <row r="8415" spans="65:72" x14ac:dyDescent="0.25">
      <c r="BM8415" s="81"/>
      <c r="BN8415" s="81"/>
      <c r="BO8415" s="81"/>
      <c r="BP8415" s="81"/>
      <c r="BQ8415" s="81"/>
      <c r="BR8415" s="81"/>
      <c r="BS8415" s="81"/>
      <c r="BT8415" s="81"/>
    </row>
    <row r="8416" spans="65:72" x14ac:dyDescent="0.25">
      <c r="BM8416" s="81"/>
      <c r="BN8416" s="81"/>
      <c r="BO8416" s="81"/>
      <c r="BP8416" s="81"/>
      <c r="BQ8416" s="81"/>
      <c r="BR8416" s="81"/>
      <c r="BS8416" s="81"/>
      <c r="BT8416" s="81"/>
    </row>
    <row r="8417" spans="65:72" x14ac:dyDescent="0.25">
      <c r="BM8417" s="81"/>
      <c r="BN8417" s="81"/>
      <c r="BO8417" s="81"/>
      <c r="BP8417" s="81"/>
      <c r="BQ8417" s="81"/>
      <c r="BR8417" s="81"/>
      <c r="BS8417" s="81"/>
      <c r="BT8417" s="81"/>
    </row>
    <row r="8418" spans="65:72" x14ac:dyDescent="0.25">
      <c r="BM8418" s="81"/>
      <c r="BN8418" s="81"/>
      <c r="BO8418" s="81"/>
      <c r="BP8418" s="81"/>
      <c r="BQ8418" s="81"/>
      <c r="BR8418" s="81"/>
      <c r="BS8418" s="81"/>
      <c r="BT8418" s="81"/>
    </row>
    <row r="8419" spans="65:72" x14ac:dyDescent="0.25">
      <c r="BM8419" s="81"/>
      <c r="BN8419" s="81"/>
      <c r="BO8419" s="81"/>
      <c r="BP8419" s="81"/>
      <c r="BQ8419" s="81"/>
      <c r="BR8419" s="81"/>
      <c r="BS8419" s="81"/>
      <c r="BT8419" s="81"/>
    </row>
    <row r="8420" spans="65:72" x14ac:dyDescent="0.25">
      <c r="BM8420" s="81"/>
      <c r="BN8420" s="81"/>
      <c r="BO8420" s="81"/>
      <c r="BP8420" s="81"/>
      <c r="BQ8420" s="81"/>
      <c r="BR8420" s="81"/>
      <c r="BS8420" s="81"/>
      <c r="BT8420" s="81"/>
    </row>
    <row r="8421" spans="65:72" x14ac:dyDescent="0.25">
      <c r="BM8421" s="81"/>
      <c r="BN8421" s="81"/>
      <c r="BO8421" s="81"/>
      <c r="BP8421" s="81"/>
      <c r="BQ8421" s="81"/>
      <c r="BR8421" s="81"/>
      <c r="BS8421" s="81"/>
      <c r="BT8421" s="81"/>
    </row>
    <row r="8422" spans="65:72" x14ac:dyDescent="0.25">
      <c r="BM8422" s="81"/>
      <c r="BN8422" s="81"/>
      <c r="BO8422" s="81"/>
      <c r="BP8422" s="81"/>
      <c r="BQ8422" s="81"/>
      <c r="BR8422" s="81"/>
      <c r="BS8422" s="81"/>
      <c r="BT8422" s="81"/>
    </row>
    <row r="8423" spans="65:72" x14ac:dyDescent="0.25">
      <c r="BM8423" s="81"/>
      <c r="BN8423" s="81"/>
      <c r="BO8423" s="81"/>
      <c r="BP8423" s="81"/>
      <c r="BQ8423" s="81"/>
      <c r="BR8423" s="81"/>
      <c r="BS8423" s="81"/>
      <c r="BT8423" s="81"/>
    </row>
    <row r="8424" spans="65:72" x14ac:dyDescent="0.25">
      <c r="BM8424" s="81"/>
      <c r="BN8424" s="81"/>
      <c r="BO8424" s="81"/>
      <c r="BP8424" s="81"/>
      <c r="BQ8424" s="81"/>
      <c r="BR8424" s="81"/>
      <c r="BS8424" s="81"/>
      <c r="BT8424" s="81"/>
    </row>
    <row r="8425" spans="65:72" x14ac:dyDescent="0.25">
      <c r="BM8425" s="81"/>
      <c r="BN8425" s="81"/>
      <c r="BO8425" s="81"/>
      <c r="BP8425" s="81"/>
      <c r="BQ8425" s="81"/>
      <c r="BR8425" s="81"/>
      <c r="BS8425" s="81"/>
      <c r="BT8425" s="81"/>
    </row>
    <row r="8426" spans="65:72" x14ac:dyDescent="0.25">
      <c r="BM8426" s="81"/>
      <c r="BN8426" s="81"/>
      <c r="BO8426" s="81"/>
      <c r="BP8426" s="81"/>
      <c r="BQ8426" s="81"/>
      <c r="BR8426" s="81"/>
      <c r="BS8426" s="81"/>
      <c r="BT8426" s="81"/>
    </row>
    <row r="8427" spans="65:72" x14ac:dyDescent="0.25">
      <c r="BM8427" s="81"/>
      <c r="BN8427" s="81"/>
      <c r="BO8427" s="81"/>
      <c r="BP8427" s="81"/>
      <c r="BQ8427" s="81"/>
      <c r="BR8427" s="81"/>
      <c r="BS8427" s="81"/>
      <c r="BT8427" s="81"/>
    </row>
    <row r="8428" spans="65:72" x14ac:dyDescent="0.25">
      <c r="BM8428" s="81"/>
      <c r="BN8428" s="81"/>
      <c r="BO8428" s="81"/>
      <c r="BP8428" s="81"/>
      <c r="BQ8428" s="81"/>
      <c r="BR8428" s="81"/>
      <c r="BS8428" s="81"/>
      <c r="BT8428" s="81"/>
    </row>
    <row r="8429" spans="65:72" x14ac:dyDescent="0.25">
      <c r="BM8429" s="81"/>
      <c r="BN8429" s="81"/>
      <c r="BO8429" s="81"/>
      <c r="BP8429" s="81"/>
      <c r="BQ8429" s="81"/>
      <c r="BR8429" s="81"/>
      <c r="BS8429" s="81"/>
      <c r="BT8429" s="81"/>
    </row>
    <row r="8430" spans="65:72" x14ac:dyDescent="0.25">
      <c r="BM8430" s="81"/>
      <c r="BN8430" s="81"/>
      <c r="BO8430" s="81"/>
      <c r="BP8430" s="81"/>
      <c r="BQ8430" s="81"/>
      <c r="BR8430" s="81"/>
      <c r="BS8430" s="81"/>
      <c r="BT8430" s="81"/>
    </row>
    <row r="8431" spans="65:72" x14ac:dyDescent="0.25">
      <c r="BM8431" s="81"/>
      <c r="BN8431" s="81"/>
      <c r="BO8431" s="81"/>
      <c r="BP8431" s="81"/>
      <c r="BQ8431" s="81"/>
      <c r="BR8431" s="81"/>
      <c r="BS8431" s="81"/>
      <c r="BT8431" s="81"/>
    </row>
    <row r="8432" spans="65:72" x14ac:dyDescent="0.25">
      <c r="BM8432" s="81"/>
      <c r="BN8432" s="81"/>
      <c r="BO8432" s="81"/>
      <c r="BP8432" s="81"/>
      <c r="BQ8432" s="81"/>
      <c r="BR8432" s="81"/>
      <c r="BS8432" s="81"/>
      <c r="BT8432" s="81"/>
    </row>
    <row r="8433" spans="65:72" x14ac:dyDescent="0.25">
      <c r="BM8433" s="81"/>
      <c r="BN8433" s="81"/>
      <c r="BO8433" s="81"/>
      <c r="BP8433" s="81"/>
      <c r="BQ8433" s="81"/>
      <c r="BR8433" s="81"/>
      <c r="BS8433" s="81"/>
      <c r="BT8433" s="81"/>
    </row>
    <row r="8434" spans="65:72" x14ac:dyDescent="0.25">
      <c r="BM8434" s="81"/>
      <c r="BN8434" s="81"/>
      <c r="BO8434" s="81"/>
      <c r="BP8434" s="81"/>
      <c r="BQ8434" s="81"/>
      <c r="BR8434" s="81"/>
      <c r="BS8434" s="81"/>
      <c r="BT8434" s="81"/>
    </row>
    <row r="8435" spans="65:72" x14ac:dyDescent="0.25">
      <c r="BM8435" s="81"/>
      <c r="BN8435" s="81"/>
      <c r="BO8435" s="81"/>
      <c r="BP8435" s="81"/>
      <c r="BQ8435" s="81"/>
      <c r="BR8435" s="81"/>
      <c r="BS8435" s="81"/>
      <c r="BT8435" s="81"/>
    </row>
    <row r="8436" spans="65:72" x14ac:dyDescent="0.25">
      <c r="BM8436" s="81"/>
      <c r="BN8436" s="81"/>
      <c r="BO8436" s="81"/>
      <c r="BP8436" s="81"/>
      <c r="BQ8436" s="81"/>
      <c r="BR8436" s="81"/>
      <c r="BS8436" s="81"/>
      <c r="BT8436" s="81"/>
    </row>
    <row r="8437" spans="65:72" x14ac:dyDescent="0.25">
      <c r="BM8437" s="81"/>
      <c r="BN8437" s="81"/>
      <c r="BO8437" s="81"/>
      <c r="BP8437" s="81"/>
      <c r="BQ8437" s="81"/>
      <c r="BR8437" s="81"/>
      <c r="BS8437" s="81"/>
      <c r="BT8437" s="81"/>
    </row>
    <row r="8438" spans="65:72" x14ac:dyDescent="0.25">
      <c r="BM8438" s="81"/>
      <c r="BN8438" s="81"/>
      <c r="BO8438" s="81"/>
      <c r="BP8438" s="81"/>
      <c r="BQ8438" s="81"/>
      <c r="BR8438" s="81"/>
      <c r="BS8438" s="81"/>
      <c r="BT8438" s="81"/>
    </row>
    <row r="8439" spans="65:72" x14ac:dyDescent="0.25">
      <c r="BM8439" s="81"/>
      <c r="BN8439" s="81"/>
      <c r="BO8439" s="81"/>
      <c r="BP8439" s="81"/>
      <c r="BQ8439" s="81"/>
      <c r="BR8439" s="81"/>
      <c r="BS8439" s="81"/>
      <c r="BT8439" s="81"/>
    </row>
    <row r="8440" spans="65:72" x14ac:dyDescent="0.25">
      <c r="BM8440" s="81"/>
      <c r="BN8440" s="81"/>
      <c r="BO8440" s="81"/>
      <c r="BP8440" s="81"/>
      <c r="BQ8440" s="81"/>
      <c r="BR8440" s="81"/>
      <c r="BS8440" s="81"/>
      <c r="BT8440" s="81"/>
    </row>
    <row r="8441" spans="65:72" x14ac:dyDescent="0.25">
      <c r="BM8441" s="81"/>
      <c r="BN8441" s="81"/>
      <c r="BO8441" s="81"/>
      <c r="BP8441" s="81"/>
      <c r="BQ8441" s="81"/>
      <c r="BR8441" s="81"/>
      <c r="BS8441" s="81"/>
      <c r="BT8441" s="81"/>
    </row>
    <row r="8442" spans="65:72" x14ac:dyDescent="0.25">
      <c r="BM8442" s="81"/>
      <c r="BN8442" s="81"/>
      <c r="BO8442" s="81"/>
      <c r="BP8442" s="81"/>
      <c r="BQ8442" s="81"/>
      <c r="BR8442" s="81"/>
      <c r="BS8442" s="81"/>
      <c r="BT8442" s="81"/>
    </row>
    <row r="8443" spans="65:72" x14ac:dyDescent="0.25">
      <c r="BM8443" s="81"/>
      <c r="BN8443" s="81"/>
      <c r="BO8443" s="81"/>
      <c r="BP8443" s="81"/>
      <c r="BQ8443" s="81"/>
      <c r="BR8443" s="81"/>
      <c r="BS8443" s="81"/>
      <c r="BT8443" s="81"/>
    </row>
    <row r="8444" spans="65:72" x14ac:dyDescent="0.25">
      <c r="BM8444" s="81"/>
      <c r="BN8444" s="81"/>
      <c r="BO8444" s="81"/>
      <c r="BP8444" s="81"/>
      <c r="BQ8444" s="81"/>
      <c r="BR8444" s="81"/>
      <c r="BS8444" s="81"/>
      <c r="BT8444" s="81"/>
    </row>
    <row r="8445" spans="65:72" x14ac:dyDescent="0.25">
      <c r="BM8445" s="81"/>
      <c r="BN8445" s="81"/>
      <c r="BO8445" s="81"/>
      <c r="BP8445" s="81"/>
      <c r="BQ8445" s="81"/>
      <c r="BR8445" s="81"/>
      <c r="BS8445" s="81"/>
      <c r="BT8445" s="81"/>
    </row>
    <row r="8446" spans="65:72" x14ac:dyDescent="0.25">
      <c r="BM8446" s="81"/>
      <c r="BN8446" s="81"/>
      <c r="BO8446" s="81"/>
      <c r="BP8446" s="81"/>
      <c r="BQ8446" s="81"/>
      <c r="BR8446" s="81"/>
      <c r="BS8446" s="81"/>
      <c r="BT8446" s="81"/>
    </row>
    <row r="8447" spans="65:72" x14ac:dyDescent="0.25">
      <c r="BM8447" s="81"/>
      <c r="BN8447" s="81"/>
      <c r="BO8447" s="81"/>
      <c r="BP8447" s="81"/>
      <c r="BQ8447" s="81"/>
      <c r="BR8447" s="81"/>
      <c r="BS8447" s="81"/>
      <c r="BT8447" s="81"/>
    </row>
    <row r="8448" spans="65:72" x14ac:dyDescent="0.25">
      <c r="BM8448" s="81"/>
      <c r="BN8448" s="81"/>
      <c r="BO8448" s="81"/>
      <c r="BP8448" s="81"/>
      <c r="BQ8448" s="81"/>
      <c r="BR8448" s="81"/>
      <c r="BS8448" s="81"/>
      <c r="BT8448" s="81"/>
    </row>
    <row r="8449" spans="65:72" x14ac:dyDescent="0.25">
      <c r="BM8449" s="81"/>
      <c r="BN8449" s="81"/>
      <c r="BO8449" s="81"/>
      <c r="BP8449" s="81"/>
      <c r="BQ8449" s="81"/>
      <c r="BR8449" s="81"/>
      <c r="BS8449" s="81"/>
      <c r="BT8449" s="81"/>
    </row>
    <row r="8450" spans="65:72" x14ac:dyDescent="0.25">
      <c r="BM8450" s="81"/>
      <c r="BN8450" s="81"/>
      <c r="BO8450" s="81"/>
      <c r="BP8450" s="81"/>
      <c r="BQ8450" s="81"/>
      <c r="BR8450" s="81"/>
      <c r="BS8450" s="81"/>
      <c r="BT8450" s="81"/>
    </row>
    <row r="8451" spans="65:72" x14ac:dyDescent="0.25">
      <c r="BM8451" s="81"/>
      <c r="BN8451" s="81"/>
      <c r="BO8451" s="81"/>
      <c r="BP8451" s="81"/>
      <c r="BQ8451" s="81"/>
      <c r="BR8451" s="81"/>
      <c r="BS8451" s="81"/>
      <c r="BT8451" s="81"/>
    </row>
    <row r="8452" spans="65:72" x14ac:dyDescent="0.25">
      <c r="BM8452" s="81"/>
      <c r="BN8452" s="81"/>
      <c r="BO8452" s="81"/>
      <c r="BP8452" s="81"/>
      <c r="BQ8452" s="81"/>
      <c r="BR8452" s="81"/>
      <c r="BS8452" s="81"/>
      <c r="BT8452" s="81"/>
    </row>
    <row r="8453" spans="65:72" x14ac:dyDescent="0.25">
      <c r="BM8453" s="81"/>
      <c r="BN8453" s="81"/>
      <c r="BO8453" s="81"/>
      <c r="BP8453" s="81"/>
      <c r="BQ8453" s="81"/>
      <c r="BR8453" s="81"/>
      <c r="BS8453" s="81"/>
      <c r="BT8453" s="81"/>
    </row>
    <row r="8454" spans="65:72" x14ac:dyDescent="0.25">
      <c r="BM8454" s="81"/>
      <c r="BN8454" s="81"/>
      <c r="BO8454" s="81"/>
      <c r="BP8454" s="81"/>
      <c r="BQ8454" s="81"/>
      <c r="BR8454" s="81"/>
      <c r="BS8454" s="81"/>
      <c r="BT8454" s="81"/>
    </row>
    <row r="8455" spans="65:72" x14ac:dyDescent="0.25">
      <c r="BM8455" s="81"/>
      <c r="BN8455" s="81"/>
      <c r="BO8455" s="81"/>
      <c r="BP8455" s="81"/>
      <c r="BQ8455" s="81"/>
      <c r="BR8455" s="81"/>
      <c r="BS8455" s="81"/>
      <c r="BT8455" s="81"/>
    </row>
    <row r="8456" spans="65:72" x14ac:dyDescent="0.25">
      <c r="BM8456" s="81"/>
      <c r="BN8456" s="81"/>
      <c r="BO8456" s="81"/>
      <c r="BP8456" s="81"/>
      <c r="BQ8456" s="81"/>
      <c r="BR8456" s="81"/>
      <c r="BS8456" s="81"/>
      <c r="BT8456" s="81"/>
    </row>
    <row r="8457" spans="65:72" x14ac:dyDescent="0.25">
      <c r="BM8457" s="81"/>
      <c r="BN8457" s="81"/>
      <c r="BO8457" s="81"/>
      <c r="BP8457" s="81"/>
      <c r="BQ8457" s="81"/>
      <c r="BR8457" s="81"/>
      <c r="BS8457" s="81"/>
      <c r="BT8457" s="81"/>
    </row>
    <row r="8458" spans="65:72" x14ac:dyDescent="0.25">
      <c r="BM8458" s="81"/>
      <c r="BN8458" s="81"/>
      <c r="BO8458" s="81"/>
      <c r="BP8458" s="81"/>
      <c r="BQ8458" s="81"/>
      <c r="BR8458" s="81"/>
      <c r="BS8458" s="81"/>
      <c r="BT8458" s="81"/>
    </row>
    <row r="8459" spans="65:72" x14ac:dyDescent="0.25">
      <c r="BM8459" s="81"/>
      <c r="BN8459" s="81"/>
      <c r="BO8459" s="81"/>
      <c r="BP8459" s="81"/>
      <c r="BQ8459" s="81"/>
      <c r="BR8459" s="81"/>
      <c r="BS8459" s="81"/>
      <c r="BT8459" s="81"/>
    </row>
    <row r="8460" spans="65:72" x14ac:dyDescent="0.25">
      <c r="BM8460" s="81"/>
      <c r="BN8460" s="81"/>
      <c r="BO8460" s="81"/>
      <c r="BP8460" s="81"/>
      <c r="BQ8460" s="81"/>
      <c r="BR8460" s="81"/>
      <c r="BS8460" s="81"/>
      <c r="BT8460" s="81"/>
    </row>
    <row r="8461" spans="65:72" x14ac:dyDescent="0.25">
      <c r="BM8461" s="81"/>
      <c r="BN8461" s="81"/>
      <c r="BO8461" s="81"/>
      <c r="BP8461" s="81"/>
      <c r="BQ8461" s="81"/>
      <c r="BR8461" s="81"/>
      <c r="BS8461" s="81"/>
      <c r="BT8461" s="81"/>
    </row>
    <row r="8462" spans="65:72" x14ac:dyDescent="0.25">
      <c r="BM8462" s="81"/>
      <c r="BN8462" s="81"/>
      <c r="BO8462" s="81"/>
      <c r="BP8462" s="81"/>
      <c r="BQ8462" s="81"/>
      <c r="BR8462" s="81"/>
      <c r="BS8462" s="81"/>
      <c r="BT8462" s="81"/>
    </row>
    <row r="8463" spans="65:72" x14ac:dyDescent="0.25">
      <c r="BM8463" s="81"/>
      <c r="BN8463" s="81"/>
      <c r="BO8463" s="81"/>
      <c r="BP8463" s="81"/>
      <c r="BQ8463" s="81"/>
      <c r="BR8463" s="81"/>
      <c r="BS8463" s="81"/>
      <c r="BT8463" s="81"/>
    </row>
    <row r="8464" spans="65:72" x14ac:dyDescent="0.25">
      <c r="BM8464" s="81"/>
      <c r="BN8464" s="81"/>
      <c r="BO8464" s="81"/>
      <c r="BP8464" s="81"/>
      <c r="BQ8464" s="81"/>
      <c r="BR8464" s="81"/>
      <c r="BS8464" s="81"/>
      <c r="BT8464" s="81"/>
    </row>
    <row r="8465" spans="65:72" x14ac:dyDescent="0.25">
      <c r="BM8465" s="81"/>
      <c r="BN8465" s="81"/>
      <c r="BO8465" s="81"/>
      <c r="BP8465" s="81"/>
      <c r="BQ8465" s="81"/>
      <c r="BR8465" s="81"/>
      <c r="BS8465" s="81"/>
      <c r="BT8465" s="81"/>
    </row>
    <row r="8466" spans="65:72" x14ac:dyDescent="0.25">
      <c r="BM8466" s="81"/>
      <c r="BN8466" s="81"/>
      <c r="BO8466" s="81"/>
      <c r="BP8466" s="81"/>
      <c r="BQ8466" s="81"/>
      <c r="BR8466" s="81"/>
      <c r="BS8466" s="81"/>
      <c r="BT8466" s="81"/>
    </row>
    <row r="8467" spans="65:72" x14ac:dyDescent="0.25">
      <c r="BM8467" s="81"/>
      <c r="BN8467" s="81"/>
      <c r="BO8467" s="81"/>
      <c r="BP8467" s="81"/>
      <c r="BQ8467" s="81"/>
      <c r="BR8467" s="81"/>
      <c r="BS8467" s="81"/>
      <c r="BT8467" s="81"/>
    </row>
    <row r="8468" spans="65:72" x14ac:dyDescent="0.25">
      <c r="BM8468" s="81"/>
      <c r="BN8468" s="81"/>
      <c r="BO8468" s="81"/>
      <c r="BP8468" s="81"/>
      <c r="BQ8468" s="81"/>
      <c r="BR8468" s="81"/>
      <c r="BS8468" s="81"/>
      <c r="BT8468" s="81"/>
    </row>
    <row r="8469" spans="65:72" x14ac:dyDescent="0.25">
      <c r="BM8469" s="81"/>
      <c r="BN8469" s="81"/>
      <c r="BO8469" s="81"/>
      <c r="BP8469" s="81"/>
      <c r="BQ8469" s="81"/>
      <c r="BR8469" s="81"/>
      <c r="BS8469" s="81"/>
      <c r="BT8469" s="81"/>
    </row>
    <row r="8470" spans="65:72" x14ac:dyDescent="0.25">
      <c r="BM8470" s="81"/>
      <c r="BN8470" s="81"/>
      <c r="BO8470" s="81"/>
      <c r="BP8470" s="81"/>
      <c r="BQ8470" s="81"/>
      <c r="BR8470" s="81"/>
      <c r="BS8470" s="81"/>
      <c r="BT8470" s="81"/>
    </row>
    <row r="8471" spans="65:72" x14ac:dyDescent="0.25">
      <c r="BM8471" s="81"/>
      <c r="BN8471" s="81"/>
      <c r="BO8471" s="81"/>
      <c r="BP8471" s="81"/>
      <c r="BQ8471" s="81"/>
      <c r="BR8471" s="81"/>
      <c r="BS8471" s="81"/>
      <c r="BT8471" s="81"/>
    </row>
    <row r="8472" spans="65:72" x14ac:dyDescent="0.25">
      <c r="BM8472" s="81"/>
      <c r="BN8472" s="81"/>
      <c r="BO8472" s="81"/>
      <c r="BP8472" s="81"/>
      <c r="BQ8472" s="81"/>
      <c r="BR8472" s="81"/>
      <c r="BS8472" s="81"/>
      <c r="BT8472" s="81"/>
    </row>
    <row r="8473" spans="65:72" x14ac:dyDescent="0.25">
      <c r="BM8473" s="81"/>
      <c r="BN8473" s="81"/>
      <c r="BO8473" s="81"/>
      <c r="BP8473" s="81"/>
      <c r="BQ8473" s="81"/>
      <c r="BR8473" s="81"/>
      <c r="BS8473" s="81"/>
      <c r="BT8473" s="81"/>
    </row>
    <row r="8474" spans="65:72" x14ac:dyDescent="0.25">
      <c r="BM8474" s="81"/>
      <c r="BN8474" s="81"/>
      <c r="BO8474" s="81"/>
      <c r="BP8474" s="81"/>
      <c r="BQ8474" s="81"/>
      <c r="BR8474" s="81"/>
      <c r="BS8474" s="81"/>
      <c r="BT8474" s="81"/>
    </row>
    <row r="8475" spans="65:72" x14ac:dyDescent="0.25">
      <c r="BM8475" s="81"/>
      <c r="BN8475" s="81"/>
      <c r="BO8475" s="81"/>
      <c r="BP8475" s="81"/>
      <c r="BQ8475" s="81"/>
      <c r="BR8475" s="81"/>
      <c r="BS8475" s="81"/>
      <c r="BT8475" s="81"/>
    </row>
    <row r="8476" spans="65:72" x14ac:dyDescent="0.25">
      <c r="BM8476" s="81"/>
      <c r="BN8476" s="81"/>
      <c r="BO8476" s="81"/>
      <c r="BP8476" s="81"/>
      <c r="BQ8476" s="81"/>
      <c r="BR8476" s="81"/>
      <c r="BS8476" s="81"/>
      <c r="BT8476" s="81"/>
    </row>
    <row r="8477" spans="65:72" x14ac:dyDescent="0.25">
      <c r="BM8477" s="81"/>
      <c r="BN8477" s="81"/>
      <c r="BO8477" s="81"/>
      <c r="BP8477" s="81"/>
      <c r="BQ8477" s="81"/>
      <c r="BR8477" s="81"/>
      <c r="BS8477" s="81"/>
      <c r="BT8477" s="81"/>
    </row>
    <row r="8478" spans="65:72" x14ac:dyDescent="0.25">
      <c r="BM8478" s="81"/>
      <c r="BN8478" s="81"/>
      <c r="BO8478" s="81"/>
      <c r="BP8478" s="81"/>
      <c r="BQ8478" s="81"/>
      <c r="BR8478" s="81"/>
      <c r="BS8478" s="81"/>
      <c r="BT8478" s="81"/>
    </row>
    <row r="8479" spans="65:72" x14ac:dyDescent="0.25">
      <c r="BM8479" s="81"/>
      <c r="BN8479" s="81"/>
      <c r="BO8479" s="81"/>
      <c r="BP8479" s="81"/>
      <c r="BQ8479" s="81"/>
      <c r="BR8479" s="81"/>
      <c r="BS8479" s="81"/>
      <c r="BT8479" s="81"/>
    </row>
    <row r="8480" spans="65:72" x14ac:dyDescent="0.25">
      <c r="BM8480" s="81"/>
      <c r="BN8480" s="81"/>
      <c r="BO8480" s="81"/>
      <c r="BP8480" s="81"/>
      <c r="BQ8480" s="81"/>
      <c r="BR8480" s="81"/>
      <c r="BS8480" s="81"/>
      <c r="BT8480" s="81"/>
    </row>
    <row r="8481" spans="65:72" x14ac:dyDescent="0.25">
      <c r="BM8481" s="81"/>
      <c r="BN8481" s="81"/>
      <c r="BO8481" s="81"/>
      <c r="BP8481" s="81"/>
      <c r="BQ8481" s="81"/>
      <c r="BR8481" s="81"/>
      <c r="BS8481" s="81"/>
      <c r="BT8481" s="81"/>
    </row>
    <row r="8482" spans="65:72" x14ac:dyDescent="0.25">
      <c r="BM8482" s="81"/>
      <c r="BN8482" s="81"/>
      <c r="BO8482" s="81"/>
      <c r="BP8482" s="81"/>
      <c r="BQ8482" s="81"/>
      <c r="BR8482" s="81"/>
      <c r="BS8482" s="81"/>
      <c r="BT8482" s="81"/>
    </row>
    <row r="8483" spans="65:72" x14ac:dyDescent="0.25">
      <c r="BM8483" s="81"/>
      <c r="BN8483" s="81"/>
      <c r="BO8483" s="81"/>
      <c r="BP8483" s="81"/>
      <c r="BQ8483" s="81"/>
      <c r="BR8483" s="81"/>
      <c r="BS8483" s="81"/>
      <c r="BT8483" s="81"/>
    </row>
    <row r="8484" spans="65:72" x14ac:dyDescent="0.25">
      <c r="BM8484" s="81"/>
      <c r="BN8484" s="81"/>
      <c r="BO8484" s="81"/>
      <c r="BP8484" s="81"/>
      <c r="BQ8484" s="81"/>
      <c r="BR8484" s="81"/>
      <c r="BS8484" s="81"/>
      <c r="BT8484" s="81"/>
    </row>
    <row r="8485" spans="65:72" x14ac:dyDescent="0.25">
      <c r="BM8485" s="81"/>
      <c r="BN8485" s="81"/>
      <c r="BO8485" s="81"/>
      <c r="BP8485" s="81"/>
      <c r="BQ8485" s="81"/>
      <c r="BR8485" s="81"/>
      <c r="BS8485" s="81"/>
      <c r="BT8485" s="81"/>
    </row>
    <row r="8486" spans="65:72" x14ac:dyDescent="0.25">
      <c r="BM8486" s="81"/>
      <c r="BN8486" s="81"/>
      <c r="BO8486" s="81"/>
      <c r="BP8486" s="81"/>
      <c r="BQ8486" s="81"/>
      <c r="BR8486" s="81"/>
      <c r="BS8486" s="81"/>
      <c r="BT8486" s="81"/>
    </row>
    <row r="8487" spans="65:72" x14ac:dyDescent="0.25">
      <c r="BM8487" s="81"/>
      <c r="BN8487" s="81"/>
      <c r="BO8487" s="81"/>
      <c r="BP8487" s="81"/>
      <c r="BQ8487" s="81"/>
      <c r="BR8487" s="81"/>
      <c r="BS8487" s="81"/>
      <c r="BT8487" s="81"/>
    </row>
    <row r="8488" spans="65:72" x14ac:dyDescent="0.25">
      <c r="BM8488" s="81"/>
      <c r="BN8488" s="81"/>
      <c r="BO8488" s="81"/>
      <c r="BP8488" s="81"/>
      <c r="BQ8488" s="81"/>
      <c r="BR8488" s="81"/>
      <c r="BS8488" s="81"/>
      <c r="BT8488" s="81"/>
    </row>
    <row r="8489" spans="65:72" x14ac:dyDescent="0.25">
      <c r="BM8489" s="81"/>
      <c r="BN8489" s="81"/>
      <c r="BO8489" s="81"/>
      <c r="BP8489" s="81"/>
      <c r="BQ8489" s="81"/>
      <c r="BR8489" s="81"/>
      <c r="BS8489" s="81"/>
      <c r="BT8489" s="81"/>
    </row>
    <row r="8490" spans="65:72" x14ac:dyDescent="0.25">
      <c r="BM8490" s="81"/>
      <c r="BN8490" s="81"/>
      <c r="BO8490" s="81"/>
      <c r="BP8490" s="81"/>
      <c r="BQ8490" s="81"/>
      <c r="BR8490" s="81"/>
      <c r="BS8490" s="81"/>
      <c r="BT8490" s="81"/>
    </row>
    <row r="8491" spans="65:72" x14ac:dyDescent="0.25">
      <c r="BM8491" s="81"/>
      <c r="BN8491" s="81"/>
      <c r="BO8491" s="81"/>
      <c r="BP8491" s="81"/>
      <c r="BQ8491" s="81"/>
      <c r="BR8491" s="81"/>
      <c r="BS8491" s="81"/>
      <c r="BT8491" s="81"/>
    </row>
    <row r="8492" spans="65:72" x14ac:dyDescent="0.25">
      <c r="BM8492" s="81"/>
      <c r="BN8492" s="81"/>
      <c r="BO8492" s="81"/>
      <c r="BP8492" s="81"/>
      <c r="BQ8492" s="81"/>
      <c r="BR8492" s="81"/>
      <c r="BS8492" s="81"/>
      <c r="BT8492" s="81"/>
    </row>
    <row r="8493" spans="65:72" x14ac:dyDescent="0.25">
      <c r="BM8493" s="81"/>
      <c r="BN8493" s="81"/>
      <c r="BO8493" s="81"/>
      <c r="BP8493" s="81"/>
      <c r="BQ8493" s="81"/>
      <c r="BR8493" s="81"/>
      <c r="BS8493" s="81"/>
      <c r="BT8493" s="81"/>
    </row>
    <row r="8494" spans="65:72" x14ac:dyDescent="0.25">
      <c r="BM8494" s="81"/>
      <c r="BN8494" s="81"/>
      <c r="BO8494" s="81"/>
      <c r="BP8494" s="81"/>
      <c r="BQ8494" s="81"/>
      <c r="BR8494" s="81"/>
      <c r="BS8494" s="81"/>
      <c r="BT8494" s="81"/>
    </row>
    <row r="8495" spans="65:72" x14ac:dyDescent="0.25">
      <c r="BM8495" s="81"/>
      <c r="BN8495" s="81"/>
      <c r="BO8495" s="81"/>
      <c r="BP8495" s="81"/>
      <c r="BQ8495" s="81"/>
      <c r="BR8495" s="81"/>
      <c r="BS8495" s="81"/>
      <c r="BT8495" s="81"/>
    </row>
    <row r="8496" spans="65:72" x14ac:dyDescent="0.25">
      <c r="BM8496" s="81"/>
      <c r="BN8496" s="81"/>
      <c r="BO8496" s="81"/>
      <c r="BP8496" s="81"/>
      <c r="BQ8496" s="81"/>
      <c r="BR8496" s="81"/>
      <c r="BS8496" s="81"/>
      <c r="BT8496" s="81"/>
    </row>
    <row r="8497" spans="65:72" x14ac:dyDescent="0.25">
      <c r="BM8497" s="81"/>
      <c r="BN8497" s="81"/>
      <c r="BO8497" s="81"/>
      <c r="BP8497" s="81"/>
      <c r="BQ8497" s="81"/>
      <c r="BR8497" s="81"/>
      <c r="BS8497" s="81"/>
      <c r="BT8497" s="81"/>
    </row>
    <row r="8498" spans="65:72" x14ac:dyDescent="0.25">
      <c r="BM8498" s="81"/>
      <c r="BN8498" s="81"/>
      <c r="BO8498" s="81"/>
      <c r="BP8498" s="81"/>
      <c r="BQ8498" s="81"/>
      <c r="BR8498" s="81"/>
      <c r="BS8498" s="81"/>
      <c r="BT8498" s="81"/>
    </row>
    <row r="8499" spans="65:72" x14ac:dyDescent="0.25">
      <c r="BM8499" s="81"/>
      <c r="BN8499" s="81"/>
      <c r="BO8499" s="81"/>
      <c r="BP8499" s="81"/>
      <c r="BQ8499" s="81"/>
      <c r="BR8499" s="81"/>
      <c r="BS8499" s="81"/>
      <c r="BT8499" s="81"/>
    </row>
    <row r="8500" spans="65:72" x14ac:dyDescent="0.25">
      <c r="BM8500" s="81"/>
      <c r="BN8500" s="81"/>
      <c r="BO8500" s="81"/>
      <c r="BP8500" s="81"/>
      <c r="BQ8500" s="81"/>
      <c r="BR8500" s="81"/>
      <c r="BS8500" s="81"/>
      <c r="BT8500" s="81"/>
    </row>
    <row r="8501" spans="65:72" x14ac:dyDescent="0.25">
      <c r="BM8501" s="81"/>
      <c r="BN8501" s="81"/>
      <c r="BO8501" s="81"/>
      <c r="BP8501" s="81"/>
      <c r="BQ8501" s="81"/>
      <c r="BR8501" s="81"/>
      <c r="BS8501" s="81"/>
      <c r="BT8501" s="81"/>
    </row>
    <row r="8502" spans="65:72" x14ac:dyDescent="0.25">
      <c r="BM8502" s="81"/>
      <c r="BN8502" s="81"/>
      <c r="BO8502" s="81"/>
      <c r="BP8502" s="81"/>
      <c r="BQ8502" s="81"/>
      <c r="BR8502" s="81"/>
      <c r="BS8502" s="81"/>
      <c r="BT8502" s="81"/>
    </row>
    <row r="8503" spans="65:72" x14ac:dyDescent="0.25">
      <c r="BM8503" s="81"/>
      <c r="BN8503" s="81"/>
      <c r="BO8503" s="81"/>
      <c r="BP8503" s="81"/>
      <c r="BQ8503" s="81"/>
      <c r="BR8503" s="81"/>
      <c r="BS8503" s="81"/>
      <c r="BT8503" s="81"/>
    </row>
    <row r="8504" spans="65:72" x14ac:dyDescent="0.25">
      <c r="BM8504" s="81"/>
      <c r="BN8504" s="81"/>
      <c r="BO8504" s="81"/>
      <c r="BP8504" s="81"/>
      <c r="BQ8504" s="81"/>
      <c r="BR8504" s="81"/>
      <c r="BS8504" s="81"/>
      <c r="BT8504" s="81"/>
    </row>
    <row r="8505" spans="65:72" x14ac:dyDescent="0.25">
      <c r="BM8505" s="81"/>
      <c r="BN8505" s="81"/>
      <c r="BO8505" s="81"/>
      <c r="BP8505" s="81"/>
      <c r="BQ8505" s="81"/>
      <c r="BR8505" s="81"/>
      <c r="BS8505" s="81"/>
      <c r="BT8505" s="81"/>
    </row>
    <row r="8506" spans="65:72" x14ac:dyDescent="0.25">
      <c r="BM8506" s="81"/>
      <c r="BN8506" s="81"/>
      <c r="BO8506" s="81"/>
      <c r="BP8506" s="81"/>
      <c r="BQ8506" s="81"/>
      <c r="BR8506" s="81"/>
      <c r="BS8506" s="81"/>
      <c r="BT8506" s="81"/>
    </row>
    <row r="8507" spans="65:72" x14ac:dyDescent="0.25">
      <c r="BM8507" s="81"/>
      <c r="BN8507" s="81"/>
      <c r="BO8507" s="81"/>
      <c r="BP8507" s="81"/>
      <c r="BQ8507" s="81"/>
      <c r="BR8507" s="81"/>
      <c r="BS8507" s="81"/>
      <c r="BT8507" s="81"/>
    </row>
    <row r="8508" spans="65:72" x14ac:dyDescent="0.25">
      <c r="BM8508" s="81"/>
      <c r="BN8508" s="81"/>
      <c r="BO8508" s="81"/>
      <c r="BP8508" s="81"/>
      <c r="BQ8508" s="81"/>
      <c r="BR8508" s="81"/>
      <c r="BS8508" s="81"/>
      <c r="BT8508" s="81"/>
    </row>
    <row r="8509" spans="65:72" x14ac:dyDescent="0.25">
      <c r="BM8509" s="81"/>
      <c r="BN8509" s="81"/>
      <c r="BO8509" s="81"/>
      <c r="BP8509" s="81"/>
      <c r="BQ8509" s="81"/>
      <c r="BR8509" s="81"/>
      <c r="BS8509" s="81"/>
      <c r="BT8509" s="81"/>
    </row>
    <row r="8510" spans="65:72" x14ac:dyDescent="0.25">
      <c r="BM8510" s="81"/>
      <c r="BN8510" s="81"/>
      <c r="BO8510" s="81"/>
      <c r="BP8510" s="81"/>
      <c r="BQ8510" s="81"/>
      <c r="BR8510" s="81"/>
      <c r="BS8510" s="81"/>
      <c r="BT8510" s="81"/>
    </row>
    <row r="8511" spans="65:72" x14ac:dyDescent="0.25">
      <c r="BM8511" s="81"/>
      <c r="BN8511" s="81"/>
      <c r="BO8511" s="81"/>
      <c r="BP8511" s="81"/>
      <c r="BQ8511" s="81"/>
      <c r="BR8511" s="81"/>
      <c r="BS8511" s="81"/>
      <c r="BT8511" s="81"/>
    </row>
    <row r="8512" spans="65:72" x14ac:dyDescent="0.25">
      <c r="BM8512" s="81"/>
      <c r="BN8512" s="81"/>
      <c r="BO8512" s="81"/>
      <c r="BP8512" s="81"/>
      <c r="BQ8512" s="81"/>
      <c r="BR8512" s="81"/>
      <c r="BS8512" s="81"/>
      <c r="BT8512" s="81"/>
    </row>
    <row r="8513" spans="65:72" x14ac:dyDescent="0.25">
      <c r="BM8513" s="81"/>
      <c r="BN8513" s="81"/>
      <c r="BO8513" s="81"/>
      <c r="BP8513" s="81"/>
      <c r="BQ8513" s="81"/>
      <c r="BR8513" s="81"/>
      <c r="BS8513" s="81"/>
      <c r="BT8513" s="81"/>
    </row>
    <row r="8514" spans="65:72" x14ac:dyDescent="0.25">
      <c r="BM8514" s="81"/>
      <c r="BN8514" s="81"/>
      <c r="BO8514" s="81"/>
      <c r="BP8514" s="81"/>
      <c r="BQ8514" s="81"/>
      <c r="BR8514" s="81"/>
      <c r="BS8514" s="81"/>
      <c r="BT8514" s="81"/>
    </row>
    <row r="8515" spans="65:72" x14ac:dyDescent="0.25">
      <c r="BM8515" s="81"/>
      <c r="BN8515" s="81"/>
      <c r="BO8515" s="81"/>
      <c r="BP8515" s="81"/>
      <c r="BQ8515" s="81"/>
      <c r="BR8515" s="81"/>
      <c r="BS8515" s="81"/>
      <c r="BT8515" s="81"/>
    </row>
    <row r="8516" spans="65:72" x14ac:dyDescent="0.25">
      <c r="BM8516" s="81"/>
      <c r="BN8516" s="81"/>
      <c r="BO8516" s="81"/>
      <c r="BP8516" s="81"/>
      <c r="BQ8516" s="81"/>
      <c r="BR8516" s="81"/>
      <c r="BS8516" s="81"/>
      <c r="BT8516" s="81"/>
    </row>
    <row r="8517" spans="65:72" x14ac:dyDescent="0.25">
      <c r="BM8517" s="81"/>
      <c r="BN8517" s="81"/>
      <c r="BO8517" s="81"/>
      <c r="BP8517" s="81"/>
      <c r="BQ8517" s="81"/>
      <c r="BR8517" s="81"/>
      <c r="BS8517" s="81"/>
      <c r="BT8517" s="81"/>
    </row>
    <row r="8518" spans="65:72" x14ac:dyDescent="0.25">
      <c r="BM8518" s="81"/>
      <c r="BN8518" s="81"/>
      <c r="BO8518" s="81"/>
      <c r="BP8518" s="81"/>
      <c r="BQ8518" s="81"/>
      <c r="BR8518" s="81"/>
      <c r="BS8518" s="81"/>
      <c r="BT8518" s="81"/>
    </row>
    <row r="8519" spans="65:72" x14ac:dyDescent="0.25">
      <c r="BM8519" s="81"/>
      <c r="BN8519" s="81"/>
      <c r="BO8519" s="81"/>
      <c r="BP8519" s="81"/>
      <c r="BQ8519" s="81"/>
      <c r="BR8519" s="81"/>
      <c r="BS8519" s="81"/>
      <c r="BT8519" s="81"/>
    </row>
    <row r="8520" spans="65:72" x14ac:dyDescent="0.25">
      <c r="BM8520" s="81"/>
      <c r="BN8520" s="81"/>
      <c r="BO8520" s="81"/>
      <c r="BP8520" s="81"/>
      <c r="BQ8520" s="81"/>
      <c r="BR8520" s="81"/>
      <c r="BS8520" s="81"/>
      <c r="BT8520" s="81"/>
    </row>
    <row r="8521" spans="65:72" x14ac:dyDescent="0.25">
      <c r="BM8521" s="81"/>
      <c r="BN8521" s="81"/>
      <c r="BO8521" s="81"/>
      <c r="BP8521" s="81"/>
      <c r="BQ8521" s="81"/>
      <c r="BR8521" s="81"/>
      <c r="BS8521" s="81"/>
      <c r="BT8521" s="81"/>
    </row>
    <row r="8522" spans="65:72" x14ac:dyDescent="0.25">
      <c r="BM8522" s="81"/>
      <c r="BN8522" s="81"/>
      <c r="BO8522" s="81"/>
      <c r="BP8522" s="81"/>
      <c r="BQ8522" s="81"/>
      <c r="BR8522" s="81"/>
      <c r="BS8522" s="81"/>
      <c r="BT8522" s="81"/>
    </row>
    <row r="8523" spans="65:72" x14ac:dyDescent="0.25">
      <c r="BM8523" s="81"/>
      <c r="BN8523" s="81"/>
      <c r="BO8523" s="81"/>
      <c r="BP8523" s="81"/>
      <c r="BQ8523" s="81"/>
      <c r="BR8523" s="81"/>
      <c r="BS8523" s="81"/>
      <c r="BT8523" s="81"/>
    </row>
    <row r="8524" spans="65:72" x14ac:dyDescent="0.25">
      <c r="BM8524" s="81"/>
      <c r="BN8524" s="81"/>
      <c r="BO8524" s="81"/>
      <c r="BP8524" s="81"/>
      <c r="BQ8524" s="81"/>
      <c r="BR8524" s="81"/>
      <c r="BS8524" s="81"/>
      <c r="BT8524" s="81"/>
    </row>
    <row r="8525" spans="65:72" x14ac:dyDescent="0.25">
      <c r="BM8525" s="81"/>
      <c r="BN8525" s="81"/>
      <c r="BO8525" s="81"/>
      <c r="BP8525" s="81"/>
      <c r="BQ8525" s="81"/>
      <c r="BR8525" s="81"/>
      <c r="BS8525" s="81"/>
      <c r="BT8525" s="81"/>
    </row>
    <row r="8526" spans="65:72" x14ac:dyDescent="0.25">
      <c r="BM8526" s="81"/>
      <c r="BN8526" s="81"/>
      <c r="BO8526" s="81"/>
      <c r="BP8526" s="81"/>
      <c r="BQ8526" s="81"/>
      <c r="BR8526" s="81"/>
      <c r="BS8526" s="81"/>
      <c r="BT8526" s="81"/>
    </row>
    <row r="8527" spans="65:72" x14ac:dyDescent="0.25">
      <c r="BM8527" s="81"/>
      <c r="BN8527" s="81"/>
      <c r="BO8527" s="81"/>
      <c r="BP8527" s="81"/>
      <c r="BQ8527" s="81"/>
      <c r="BR8527" s="81"/>
      <c r="BS8527" s="81"/>
      <c r="BT8527" s="81"/>
    </row>
    <row r="8528" spans="65:72" x14ac:dyDescent="0.25">
      <c r="BM8528" s="81"/>
      <c r="BN8528" s="81"/>
      <c r="BO8528" s="81"/>
      <c r="BP8528" s="81"/>
      <c r="BQ8528" s="81"/>
      <c r="BR8528" s="81"/>
      <c r="BS8528" s="81"/>
      <c r="BT8528" s="81"/>
    </row>
    <row r="8529" spans="65:72" x14ac:dyDescent="0.25">
      <c r="BM8529" s="81"/>
      <c r="BN8529" s="81"/>
      <c r="BO8529" s="81"/>
      <c r="BP8529" s="81"/>
      <c r="BQ8529" s="81"/>
      <c r="BR8529" s="81"/>
      <c r="BS8529" s="81"/>
      <c r="BT8529" s="81"/>
    </row>
    <row r="8530" spans="65:72" x14ac:dyDescent="0.25">
      <c r="BM8530" s="81"/>
      <c r="BN8530" s="81"/>
      <c r="BO8530" s="81"/>
      <c r="BP8530" s="81"/>
      <c r="BQ8530" s="81"/>
      <c r="BR8530" s="81"/>
      <c r="BS8530" s="81"/>
      <c r="BT8530" s="81"/>
    </row>
    <row r="8531" spans="65:72" x14ac:dyDescent="0.25">
      <c r="BM8531" s="81"/>
      <c r="BN8531" s="81"/>
      <c r="BO8531" s="81"/>
      <c r="BP8531" s="81"/>
      <c r="BQ8531" s="81"/>
      <c r="BR8531" s="81"/>
      <c r="BS8531" s="81"/>
      <c r="BT8531" s="81"/>
    </row>
    <row r="8532" spans="65:72" x14ac:dyDescent="0.25">
      <c r="BM8532" s="81"/>
      <c r="BN8532" s="81"/>
      <c r="BO8532" s="81"/>
      <c r="BP8532" s="81"/>
      <c r="BQ8532" s="81"/>
      <c r="BR8532" s="81"/>
      <c r="BS8532" s="81"/>
      <c r="BT8532" s="81"/>
    </row>
    <row r="8533" spans="65:72" x14ac:dyDescent="0.25">
      <c r="BM8533" s="81"/>
      <c r="BN8533" s="81"/>
      <c r="BO8533" s="81"/>
      <c r="BP8533" s="81"/>
      <c r="BQ8533" s="81"/>
      <c r="BR8533" s="81"/>
      <c r="BS8533" s="81"/>
      <c r="BT8533" s="81"/>
    </row>
    <row r="8534" spans="65:72" x14ac:dyDescent="0.25">
      <c r="BM8534" s="81"/>
      <c r="BN8534" s="81"/>
      <c r="BO8534" s="81"/>
      <c r="BP8534" s="81"/>
      <c r="BQ8534" s="81"/>
      <c r="BR8534" s="81"/>
      <c r="BS8534" s="81"/>
      <c r="BT8534" s="81"/>
    </row>
    <row r="8535" spans="65:72" x14ac:dyDescent="0.25">
      <c r="BM8535" s="81"/>
      <c r="BN8535" s="81"/>
      <c r="BO8535" s="81"/>
      <c r="BP8535" s="81"/>
      <c r="BQ8535" s="81"/>
      <c r="BR8535" s="81"/>
      <c r="BS8535" s="81"/>
      <c r="BT8535" s="81"/>
    </row>
    <row r="8536" spans="65:72" x14ac:dyDescent="0.25">
      <c r="BM8536" s="81"/>
      <c r="BN8536" s="81"/>
      <c r="BO8536" s="81"/>
      <c r="BP8536" s="81"/>
      <c r="BQ8536" s="81"/>
      <c r="BR8536" s="81"/>
      <c r="BS8536" s="81"/>
      <c r="BT8536" s="81"/>
    </row>
    <row r="8537" spans="65:72" x14ac:dyDescent="0.25">
      <c r="BM8537" s="81"/>
      <c r="BN8537" s="81"/>
      <c r="BO8537" s="81"/>
      <c r="BP8537" s="81"/>
      <c r="BQ8537" s="81"/>
      <c r="BR8537" s="81"/>
      <c r="BS8537" s="81"/>
      <c r="BT8537" s="81"/>
    </row>
    <row r="8538" spans="65:72" x14ac:dyDescent="0.25">
      <c r="BM8538" s="81"/>
      <c r="BN8538" s="81"/>
      <c r="BO8538" s="81"/>
      <c r="BP8538" s="81"/>
      <c r="BQ8538" s="81"/>
      <c r="BR8538" s="81"/>
      <c r="BS8538" s="81"/>
      <c r="BT8538" s="81"/>
    </row>
    <row r="8539" spans="65:72" x14ac:dyDescent="0.25">
      <c r="BM8539" s="81"/>
      <c r="BN8539" s="81"/>
      <c r="BO8539" s="81"/>
      <c r="BP8539" s="81"/>
      <c r="BQ8539" s="81"/>
      <c r="BR8539" s="81"/>
      <c r="BS8539" s="81"/>
      <c r="BT8539" s="81"/>
    </row>
    <row r="8540" spans="65:72" x14ac:dyDescent="0.25">
      <c r="BM8540" s="81"/>
      <c r="BN8540" s="81"/>
      <c r="BO8540" s="81"/>
      <c r="BP8540" s="81"/>
      <c r="BQ8540" s="81"/>
      <c r="BR8540" s="81"/>
      <c r="BS8540" s="81"/>
      <c r="BT8540" s="81"/>
    </row>
    <row r="8541" spans="65:72" x14ac:dyDescent="0.25">
      <c r="BM8541" s="81"/>
      <c r="BN8541" s="81"/>
      <c r="BO8541" s="81"/>
      <c r="BP8541" s="81"/>
      <c r="BQ8541" s="81"/>
      <c r="BR8541" s="81"/>
      <c r="BS8541" s="81"/>
      <c r="BT8541" s="81"/>
    </row>
    <row r="8542" spans="65:72" x14ac:dyDescent="0.25">
      <c r="BM8542" s="81"/>
      <c r="BN8542" s="81"/>
      <c r="BO8542" s="81"/>
      <c r="BP8542" s="81"/>
      <c r="BQ8542" s="81"/>
      <c r="BR8542" s="81"/>
      <c r="BS8542" s="81"/>
      <c r="BT8542" s="81"/>
    </row>
    <row r="8543" spans="65:72" x14ac:dyDescent="0.25">
      <c r="BM8543" s="81"/>
      <c r="BN8543" s="81"/>
      <c r="BO8543" s="81"/>
      <c r="BP8543" s="81"/>
      <c r="BQ8543" s="81"/>
      <c r="BR8543" s="81"/>
      <c r="BS8543" s="81"/>
      <c r="BT8543" s="81"/>
    </row>
    <row r="8544" spans="65:72" x14ac:dyDescent="0.25">
      <c r="BM8544" s="81"/>
      <c r="BN8544" s="81"/>
      <c r="BO8544" s="81"/>
      <c r="BP8544" s="81"/>
      <c r="BQ8544" s="81"/>
      <c r="BR8544" s="81"/>
      <c r="BS8544" s="81"/>
      <c r="BT8544" s="81"/>
    </row>
    <row r="8545" spans="65:72" x14ac:dyDescent="0.25">
      <c r="BM8545" s="81"/>
      <c r="BN8545" s="81"/>
      <c r="BO8545" s="81"/>
      <c r="BP8545" s="81"/>
      <c r="BQ8545" s="81"/>
      <c r="BR8545" s="81"/>
      <c r="BS8545" s="81"/>
      <c r="BT8545" s="81"/>
    </row>
    <row r="8546" spans="65:72" x14ac:dyDescent="0.25">
      <c r="BM8546" s="81"/>
      <c r="BN8546" s="81"/>
      <c r="BO8546" s="81"/>
      <c r="BP8546" s="81"/>
      <c r="BQ8546" s="81"/>
      <c r="BR8546" s="81"/>
      <c r="BS8546" s="81"/>
      <c r="BT8546" s="81"/>
    </row>
    <row r="8547" spans="65:72" x14ac:dyDescent="0.25">
      <c r="BM8547" s="81"/>
      <c r="BN8547" s="81"/>
      <c r="BO8547" s="81"/>
      <c r="BP8547" s="81"/>
      <c r="BQ8547" s="81"/>
      <c r="BR8547" s="81"/>
      <c r="BS8547" s="81"/>
      <c r="BT8547" s="81"/>
    </row>
    <row r="8548" spans="65:72" x14ac:dyDescent="0.25">
      <c r="BM8548" s="81"/>
      <c r="BN8548" s="81"/>
      <c r="BO8548" s="81"/>
      <c r="BP8548" s="81"/>
      <c r="BQ8548" s="81"/>
      <c r="BR8548" s="81"/>
      <c r="BS8548" s="81"/>
      <c r="BT8548" s="81"/>
    </row>
    <row r="8549" spans="65:72" x14ac:dyDescent="0.25">
      <c r="BM8549" s="81"/>
      <c r="BN8549" s="81"/>
      <c r="BO8549" s="81"/>
      <c r="BP8549" s="81"/>
      <c r="BQ8549" s="81"/>
      <c r="BR8549" s="81"/>
      <c r="BS8549" s="81"/>
      <c r="BT8549" s="81"/>
    </row>
    <row r="8550" spans="65:72" x14ac:dyDescent="0.25">
      <c r="BM8550" s="81"/>
      <c r="BN8550" s="81"/>
      <c r="BO8550" s="81"/>
      <c r="BP8550" s="81"/>
      <c r="BQ8550" s="81"/>
      <c r="BR8550" s="81"/>
      <c r="BS8550" s="81"/>
      <c r="BT8550" s="81"/>
    </row>
    <row r="8551" spans="65:72" x14ac:dyDescent="0.25">
      <c r="BM8551" s="81"/>
      <c r="BN8551" s="81"/>
      <c r="BO8551" s="81"/>
      <c r="BP8551" s="81"/>
      <c r="BQ8551" s="81"/>
      <c r="BR8551" s="81"/>
      <c r="BS8551" s="81"/>
      <c r="BT8551" s="81"/>
    </row>
    <row r="8552" spans="65:72" x14ac:dyDescent="0.25">
      <c r="BM8552" s="81"/>
      <c r="BN8552" s="81"/>
      <c r="BO8552" s="81"/>
      <c r="BP8552" s="81"/>
      <c r="BQ8552" s="81"/>
      <c r="BR8552" s="81"/>
      <c r="BS8552" s="81"/>
      <c r="BT8552" s="81"/>
    </row>
    <row r="8553" spans="65:72" x14ac:dyDescent="0.25">
      <c r="BM8553" s="81"/>
      <c r="BN8553" s="81"/>
      <c r="BO8553" s="81"/>
      <c r="BP8553" s="81"/>
      <c r="BQ8553" s="81"/>
      <c r="BR8553" s="81"/>
      <c r="BS8553" s="81"/>
      <c r="BT8553" s="81"/>
    </row>
    <row r="8554" spans="65:72" x14ac:dyDescent="0.25">
      <c r="BM8554" s="81"/>
      <c r="BN8554" s="81"/>
      <c r="BO8554" s="81"/>
      <c r="BP8554" s="81"/>
      <c r="BQ8554" s="81"/>
      <c r="BR8554" s="81"/>
      <c r="BS8554" s="81"/>
      <c r="BT8554" s="81"/>
    </row>
    <row r="8555" spans="65:72" x14ac:dyDescent="0.25">
      <c r="BM8555" s="81"/>
      <c r="BN8555" s="81"/>
      <c r="BO8555" s="81"/>
      <c r="BP8555" s="81"/>
      <c r="BQ8555" s="81"/>
      <c r="BR8555" s="81"/>
      <c r="BS8555" s="81"/>
      <c r="BT8555" s="81"/>
    </row>
    <row r="8556" spans="65:72" x14ac:dyDescent="0.25">
      <c r="BM8556" s="81"/>
      <c r="BN8556" s="81"/>
      <c r="BO8556" s="81"/>
      <c r="BP8556" s="81"/>
      <c r="BQ8556" s="81"/>
      <c r="BR8556" s="81"/>
      <c r="BS8556" s="81"/>
      <c r="BT8556" s="81"/>
    </row>
    <row r="8557" spans="65:72" x14ac:dyDescent="0.25">
      <c r="BM8557" s="81"/>
      <c r="BN8557" s="81"/>
      <c r="BO8557" s="81"/>
      <c r="BP8557" s="81"/>
      <c r="BQ8557" s="81"/>
      <c r="BR8557" s="81"/>
      <c r="BS8557" s="81"/>
      <c r="BT8557" s="81"/>
    </row>
    <row r="8558" spans="65:72" x14ac:dyDescent="0.25">
      <c r="BM8558" s="81"/>
      <c r="BN8558" s="81"/>
      <c r="BO8558" s="81"/>
      <c r="BP8558" s="81"/>
      <c r="BQ8558" s="81"/>
      <c r="BR8558" s="81"/>
      <c r="BS8558" s="81"/>
      <c r="BT8558" s="81"/>
    </row>
    <row r="8559" spans="65:72" x14ac:dyDescent="0.25">
      <c r="BM8559" s="81"/>
      <c r="BN8559" s="81"/>
      <c r="BO8559" s="81"/>
      <c r="BP8559" s="81"/>
      <c r="BQ8559" s="81"/>
      <c r="BR8559" s="81"/>
      <c r="BS8559" s="81"/>
      <c r="BT8559" s="81"/>
    </row>
    <row r="8560" spans="65:72" x14ac:dyDescent="0.25">
      <c r="BM8560" s="81"/>
      <c r="BN8560" s="81"/>
      <c r="BO8560" s="81"/>
      <c r="BP8560" s="81"/>
      <c r="BQ8560" s="81"/>
      <c r="BR8560" s="81"/>
      <c r="BS8560" s="81"/>
      <c r="BT8560" s="81"/>
    </row>
    <row r="8561" spans="65:72" x14ac:dyDescent="0.25">
      <c r="BM8561" s="81"/>
      <c r="BN8561" s="81"/>
      <c r="BO8561" s="81"/>
      <c r="BP8561" s="81"/>
      <c r="BQ8561" s="81"/>
      <c r="BR8561" s="81"/>
      <c r="BS8561" s="81"/>
      <c r="BT8561" s="81"/>
    </row>
    <row r="8562" spans="65:72" x14ac:dyDescent="0.25">
      <c r="BM8562" s="81"/>
      <c r="BN8562" s="81"/>
      <c r="BO8562" s="81"/>
      <c r="BP8562" s="81"/>
      <c r="BQ8562" s="81"/>
      <c r="BR8562" s="81"/>
      <c r="BS8562" s="81"/>
      <c r="BT8562" s="81"/>
    </row>
    <row r="8563" spans="65:72" x14ac:dyDescent="0.25">
      <c r="BM8563" s="81"/>
      <c r="BN8563" s="81"/>
      <c r="BO8563" s="81"/>
      <c r="BP8563" s="81"/>
      <c r="BQ8563" s="81"/>
      <c r="BR8563" s="81"/>
      <c r="BS8563" s="81"/>
      <c r="BT8563" s="81"/>
    </row>
    <row r="8564" spans="65:72" x14ac:dyDescent="0.25">
      <c r="BM8564" s="81"/>
      <c r="BN8564" s="81"/>
      <c r="BO8564" s="81"/>
      <c r="BP8564" s="81"/>
      <c r="BQ8564" s="81"/>
      <c r="BR8564" s="81"/>
      <c r="BS8564" s="81"/>
      <c r="BT8564" s="81"/>
    </row>
    <row r="8565" spans="65:72" x14ac:dyDescent="0.25">
      <c r="BM8565" s="81"/>
      <c r="BN8565" s="81"/>
      <c r="BO8565" s="81"/>
      <c r="BP8565" s="81"/>
      <c r="BQ8565" s="81"/>
      <c r="BR8565" s="81"/>
      <c r="BS8565" s="81"/>
      <c r="BT8565" s="81"/>
    </row>
    <row r="8566" spans="65:72" x14ac:dyDescent="0.25">
      <c r="BM8566" s="81"/>
      <c r="BN8566" s="81"/>
      <c r="BO8566" s="81"/>
      <c r="BP8566" s="81"/>
      <c r="BQ8566" s="81"/>
      <c r="BR8566" s="81"/>
      <c r="BS8566" s="81"/>
      <c r="BT8566" s="81"/>
    </row>
    <row r="8567" spans="65:72" x14ac:dyDescent="0.25">
      <c r="BM8567" s="81"/>
      <c r="BN8567" s="81"/>
      <c r="BO8567" s="81"/>
      <c r="BP8567" s="81"/>
      <c r="BQ8567" s="81"/>
      <c r="BR8567" s="81"/>
      <c r="BS8567" s="81"/>
      <c r="BT8567" s="81"/>
    </row>
    <row r="8568" spans="65:72" x14ac:dyDescent="0.25">
      <c r="BM8568" s="81"/>
      <c r="BN8568" s="81"/>
      <c r="BO8568" s="81"/>
      <c r="BP8568" s="81"/>
      <c r="BQ8568" s="81"/>
      <c r="BR8568" s="81"/>
      <c r="BS8568" s="81"/>
      <c r="BT8568" s="81"/>
    </row>
    <row r="8569" spans="65:72" x14ac:dyDescent="0.25">
      <c r="BM8569" s="81"/>
      <c r="BN8569" s="81"/>
      <c r="BO8569" s="81"/>
      <c r="BP8569" s="81"/>
      <c r="BQ8569" s="81"/>
      <c r="BR8569" s="81"/>
      <c r="BS8569" s="81"/>
      <c r="BT8569" s="81"/>
    </row>
    <row r="8570" spans="65:72" x14ac:dyDescent="0.25">
      <c r="BM8570" s="81"/>
      <c r="BN8570" s="81"/>
      <c r="BO8570" s="81"/>
      <c r="BP8570" s="81"/>
      <c r="BQ8570" s="81"/>
      <c r="BR8570" s="81"/>
      <c r="BS8570" s="81"/>
      <c r="BT8570" s="81"/>
    </row>
    <row r="8571" spans="65:72" x14ac:dyDescent="0.25">
      <c r="BM8571" s="81"/>
      <c r="BN8571" s="81"/>
      <c r="BO8571" s="81"/>
      <c r="BP8571" s="81"/>
      <c r="BQ8571" s="81"/>
      <c r="BR8571" s="81"/>
      <c r="BS8571" s="81"/>
      <c r="BT8571" s="81"/>
    </row>
    <row r="8572" spans="65:72" x14ac:dyDescent="0.25">
      <c r="BM8572" s="81"/>
      <c r="BN8572" s="81"/>
      <c r="BO8572" s="81"/>
      <c r="BP8572" s="81"/>
      <c r="BQ8572" s="81"/>
      <c r="BR8572" s="81"/>
      <c r="BS8572" s="81"/>
      <c r="BT8572" s="81"/>
    </row>
    <row r="8573" spans="65:72" x14ac:dyDescent="0.25">
      <c r="BM8573" s="81"/>
      <c r="BN8573" s="81"/>
      <c r="BO8573" s="81"/>
      <c r="BP8573" s="81"/>
      <c r="BQ8573" s="81"/>
      <c r="BR8573" s="81"/>
      <c r="BS8573" s="81"/>
      <c r="BT8573" s="81"/>
    </row>
    <row r="8574" spans="65:72" x14ac:dyDescent="0.25">
      <c r="BM8574" s="81"/>
      <c r="BN8574" s="81"/>
      <c r="BO8574" s="81"/>
      <c r="BP8574" s="81"/>
      <c r="BQ8574" s="81"/>
      <c r="BR8574" s="81"/>
      <c r="BS8574" s="81"/>
      <c r="BT8574" s="81"/>
    </row>
    <row r="8575" spans="65:72" x14ac:dyDescent="0.25">
      <c r="BM8575" s="81"/>
      <c r="BN8575" s="81"/>
      <c r="BO8575" s="81"/>
      <c r="BP8575" s="81"/>
      <c r="BQ8575" s="81"/>
      <c r="BR8575" s="81"/>
      <c r="BS8575" s="81"/>
      <c r="BT8575" s="81"/>
    </row>
    <row r="8576" spans="65:72" x14ac:dyDescent="0.25">
      <c r="BM8576" s="81"/>
      <c r="BN8576" s="81"/>
      <c r="BO8576" s="81"/>
      <c r="BP8576" s="81"/>
      <c r="BQ8576" s="81"/>
      <c r="BR8576" s="81"/>
      <c r="BS8576" s="81"/>
      <c r="BT8576" s="81"/>
    </row>
    <row r="8577" spans="65:72" x14ac:dyDescent="0.25">
      <c r="BM8577" s="81"/>
      <c r="BN8577" s="81"/>
      <c r="BO8577" s="81"/>
      <c r="BP8577" s="81"/>
      <c r="BQ8577" s="81"/>
      <c r="BR8577" s="81"/>
      <c r="BS8577" s="81"/>
      <c r="BT8577" s="81"/>
    </row>
    <row r="8578" spans="65:72" x14ac:dyDescent="0.25">
      <c r="BM8578" s="81"/>
      <c r="BN8578" s="81"/>
      <c r="BO8578" s="81"/>
      <c r="BP8578" s="81"/>
      <c r="BQ8578" s="81"/>
      <c r="BR8578" s="81"/>
      <c r="BS8578" s="81"/>
      <c r="BT8578" s="81"/>
    </row>
    <row r="8579" spans="65:72" x14ac:dyDescent="0.25">
      <c r="BM8579" s="81"/>
      <c r="BN8579" s="81"/>
      <c r="BO8579" s="81"/>
      <c r="BP8579" s="81"/>
      <c r="BQ8579" s="81"/>
      <c r="BR8579" s="81"/>
      <c r="BS8579" s="81"/>
      <c r="BT8579" s="81"/>
    </row>
    <row r="8580" spans="65:72" x14ac:dyDescent="0.25">
      <c r="BM8580" s="81"/>
      <c r="BN8580" s="81"/>
      <c r="BO8580" s="81"/>
      <c r="BP8580" s="81"/>
      <c r="BQ8580" s="81"/>
      <c r="BR8580" s="81"/>
      <c r="BS8580" s="81"/>
      <c r="BT8580" s="81"/>
    </row>
    <row r="8581" spans="65:72" x14ac:dyDescent="0.25">
      <c r="BM8581" s="81"/>
      <c r="BN8581" s="81"/>
      <c r="BO8581" s="81"/>
      <c r="BP8581" s="81"/>
      <c r="BQ8581" s="81"/>
      <c r="BR8581" s="81"/>
      <c r="BS8581" s="81"/>
      <c r="BT8581" s="81"/>
    </row>
    <row r="8582" spans="65:72" x14ac:dyDescent="0.25">
      <c r="BM8582" s="81"/>
      <c r="BN8582" s="81"/>
      <c r="BO8582" s="81"/>
      <c r="BP8582" s="81"/>
      <c r="BQ8582" s="81"/>
      <c r="BR8582" s="81"/>
      <c r="BS8582" s="81"/>
      <c r="BT8582" s="81"/>
    </row>
    <row r="8583" spans="65:72" x14ac:dyDescent="0.25">
      <c r="BM8583" s="81"/>
      <c r="BN8583" s="81"/>
      <c r="BO8583" s="81"/>
      <c r="BP8583" s="81"/>
      <c r="BQ8583" s="81"/>
      <c r="BR8583" s="81"/>
      <c r="BS8583" s="81"/>
      <c r="BT8583" s="81"/>
    </row>
    <row r="8584" spans="65:72" x14ac:dyDescent="0.25">
      <c r="BM8584" s="81"/>
      <c r="BN8584" s="81"/>
      <c r="BO8584" s="81"/>
      <c r="BP8584" s="81"/>
      <c r="BQ8584" s="81"/>
      <c r="BR8584" s="81"/>
      <c r="BS8584" s="81"/>
      <c r="BT8584" s="81"/>
    </row>
    <row r="8585" spans="65:72" x14ac:dyDescent="0.25">
      <c r="BM8585" s="81"/>
      <c r="BN8585" s="81"/>
      <c r="BO8585" s="81"/>
      <c r="BP8585" s="81"/>
      <c r="BQ8585" s="81"/>
      <c r="BR8585" s="81"/>
      <c r="BS8585" s="81"/>
      <c r="BT8585" s="81"/>
    </row>
    <row r="8586" spans="65:72" x14ac:dyDescent="0.25">
      <c r="BM8586" s="81"/>
      <c r="BN8586" s="81"/>
      <c r="BO8586" s="81"/>
      <c r="BP8586" s="81"/>
      <c r="BQ8586" s="81"/>
      <c r="BR8586" s="81"/>
      <c r="BS8586" s="81"/>
      <c r="BT8586" s="81"/>
    </row>
    <row r="8587" spans="65:72" x14ac:dyDescent="0.25">
      <c r="BM8587" s="81"/>
      <c r="BN8587" s="81"/>
      <c r="BO8587" s="81"/>
      <c r="BP8587" s="81"/>
      <c r="BQ8587" s="81"/>
      <c r="BR8587" s="81"/>
      <c r="BS8587" s="81"/>
      <c r="BT8587" s="81"/>
    </row>
    <row r="8588" spans="65:72" x14ac:dyDescent="0.25">
      <c r="BM8588" s="81"/>
      <c r="BN8588" s="81"/>
      <c r="BO8588" s="81"/>
      <c r="BP8588" s="81"/>
      <c r="BQ8588" s="81"/>
      <c r="BR8588" s="81"/>
      <c r="BS8588" s="81"/>
      <c r="BT8588" s="81"/>
    </row>
    <row r="8589" spans="65:72" x14ac:dyDescent="0.25">
      <c r="BM8589" s="81"/>
      <c r="BN8589" s="81"/>
      <c r="BO8589" s="81"/>
      <c r="BP8589" s="81"/>
      <c r="BQ8589" s="81"/>
      <c r="BR8589" s="81"/>
      <c r="BS8589" s="81"/>
      <c r="BT8589" s="81"/>
    </row>
    <row r="8590" spans="65:72" x14ac:dyDescent="0.25">
      <c r="BM8590" s="81"/>
      <c r="BN8590" s="81"/>
      <c r="BO8590" s="81"/>
      <c r="BP8590" s="81"/>
      <c r="BQ8590" s="81"/>
      <c r="BR8590" s="81"/>
      <c r="BS8590" s="81"/>
      <c r="BT8590" s="81"/>
    </row>
    <row r="8591" spans="65:72" x14ac:dyDescent="0.25">
      <c r="BM8591" s="81"/>
      <c r="BN8591" s="81"/>
      <c r="BO8591" s="81"/>
      <c r="BP8591" s="81"/>
      <c r="BQ8591" s="81"/>
      <c r="BR8591" s="81"/>
      <c r="BS8591" s="81"/>
      <c r="BT8591" s="81"/>
    </row>
    <row r="8592" spans="65:72" x14ac:dyDescent="0.25">
      <c r="BM8592" s="81"/>
      <c r="BN8592" s="81"/>
      <c r="BO8592" s="81"/>
      <c r="BP8592" s="81"/>
      <c r="BQ8592" s="81"/>
      <c r="BR8592" s="81"/>
      <c r="BS8592" s="81"/>
      <c r="BT8592" s="81"/>
    </row>
    <row r="8593" spans="65:72" x14ac:dyDescent="0.25">
      <c r="BM8593" s="81"/>
      <c r="BN8593" s="81"/>
      <c r="BO8593" s="81"/>
      <c r="BP8593" s="81"/>
      <c r="BQ8593" s="81"/>
      <c r="BR8593" s="81"/>
      <c r="BS8593" s="81"/>
      <c r="BT8593" s="81"/>
    </row>
    <row r="8594" spans="65:72" x14ac:dyDescent="0.25">
      <c r="BM8594" s="81"/>
      <c r="BN8594" s="81"/>
      <c r="BO8594" s="81"/>
      <c r="BP8594" s="81"/>
      <c r="BQ8594" s="81"/>
      <c r="BR8594" s="81"/>
      <c r="BS8594" s="81"/>
      <c r="BT8594" s="81"/>
    </row>
    <row r="8595" spans="65:72" x14ac:dyDescent="0.25">
      <c r="BM8595" s="81"/>
      <c r="BN8595" s="81"/>
      <c r="BO8595" s="81"/>
      <c r="BP8595" s="81"/>
      <c r="BQ8595" s="81"/>
      <c r="BR8595" s="81"/>
      <c r="BS8595" s="81"/>
      <c r="BT8595" s="81"/>
    </row>
    <row r="8596" spans="65:72" x14ac:dyDescent="0.25">
      <c r="BM8596" s="81"/>
      <c r="BN8596" s="81"/>
      <c r="BO8596" s="81"/>
      <c r="BP8596" s="81"/>
      <c r="BQ8596" s="81"/>
      <c r="BR8596" s="81"/>
      <c r="BS8596" s="81"/>
      <c r="BT8596" s="81"/>
    </row>
    <row r="8597" spans="65:72" x14ac:dyDescent="0.25">
      <c r="BM8597" s="81"/>
      <c r="BN8597" s="81"/>
      <c r="BO8597" s="81"/>
      <c r="BP8597" s="81"/>
      <c r="BQ8597" s="81"/>
      <c r="BR8597" s="81"/>
      <c r="BS8597" s="81"/>
      <c r="BT8597" s="81"/>
    </row>
    <row r="8598" spans="65:72" x14ac:dyDescent="0.25">
      <c r="BM8598" s="81"/>
      <c r="BN8598" s="81"/>
      <c r="BO8598" s="81"/>
      <c r="BP8598" s="81"/>
      <c r="BQ8598" s="81"/>
      <c r="BR8598" s="81"/>
      <c r="BS8598" s="81"/>
      <c r="BT8598" s="81"/>
    </row>
    <row r="8599" spans="65:72" x14ac:dyDescent="0.25">
      <c r="BM8599" s="81"/>
      <c r="BN8599" s="81"/>
      <c r="BO8599" s="81"/>
      <c r="BP8599" s="81"/>
      <c r="BQ8599" s="81"/>
      <c r="BR8599" s="81"/>
      <c r="BS8599" s="81"/>
      <c r="BT8599" s="81"/>
    </row>
    <row r="8600" spans="65:72" x14ac:dyDescent="0.25">
      <c r="BM8600" s="81"/>
      <c r="BN8600" s="81"/>
      <c r="BO8600" s="81"/>
      <c r="BP8600" s="81"/>
      <c r="BQ8600" s="81"/>
      <c r="BR8600" s="81"/>
      <c r="BS8600" s="81"/>
      <c r="BT8600" s="81"/>
    </row>
    <row r="8601" spans="65:72" x14ac:dyDescent="0.25">
      <c r="BM8601" s="81"/>
      <c r="BN8601" s="81"/>
      <c r="BO8601" s="81"/>
      <c r="BP8601" s="81"/>
      <c r="BQ8601" s="81"/>
      <c r="BR8601" s="81"/>
      <c r="BS8601" s="81"/>
      <c r="BT8601" s="81"/>
    </row>
    <row r="8602" spans="65:72" x14ac:dyDescent="0.25">
      <c r="BM8602" s="81"/>
      <c r="BN8602" s="81"/>
      <c r="BO8602" s="81"/>
      <c r="BP8602" s="81"/>
      <c r="BQ8602" s="81"/>
      <c r="BR8602" s="81"/>
      <c r="BS8602" s="81"/>
      <c r="BT8602" s="81"/>
    </row>
    <row r="8603" spans="65:72" x14ac:dyDescent="0.25">
      <c r="BM8603" s="81"/>
      <c r="BN8603" s="81"/>
      <c r="BO8603" s="81"/>
      <c r="BP8603" s="81"/>
      <c r="BQ8603" s="81"/>
      <c r="BR8603" s="81"/>
      <c r="BS8603" s="81"/>
      <c r="BT8603" s="81"/>
    </row>
    <row r="8604" spans="65:72" x14ac:dyDescent="0.25">
      <c r="BM8604" s="81"/>
      <c r="BN8604" s="81"/>
      <c r="BO8604" s="81"/>
      <c r="BP8604" s="81"/>
      <c r="BQ8604" s="81"/>
      <c r="BR8604" s="81"/>
      <c r="BS8604" s="81"/>
      <c r="BT8604" s="81"/>
    </row>
    <row r="8605" spans="65:72" x14ac:dyDescent="0.25">
      <c r="BM8605" s="81"/>
      <c r="BN8605" s="81"/>
      <c r="BO8605" s="81"/>
      <c r="BP8605" s="81"/>
      <c r="BQ8605" s="81"/>
      <c r="BR8605" s="81"/>
      <c r="BS8605" s="81"/>
      <c r="BT8605" s="81"/>
    </row>
    <row r="8606" spans="65:72" x14ac:dyDescent="0.25">
      <c r="BM8606" s="81"/>
      <c r="BN8606" s="81"/>
      <c r="BO8606" s="81"/>
      <c r="BP8606" s="81"/>
      <c r="BQ8606" s="81"/>
      <c r="BR8606" s="81"/>
      <c r="BS8606" s="81"/>
      <c r="BT8606" s="81"/>
    </row>
    <row r="8607" spans="65:72" x14ac:dyDescent="0.25">
      <c r="BM8607" s="81"/>
      <c r="BN8607" s="81"/>
      <c r="BO8607" s="81"/>
      <c r="BP8607" s="81"/>
      <c r="BQ8607" s="81"/>
      <c r="BR8607" s="81"/>
      <c r="BS8607" s="81"/>
      <c r="BT8607" s="81"/>
    </row>
    <row r="8608" spans="65:72" x14ac:dyDescent="0.25">
      <c r="BM8608" s="81"/>
      <c r="BN8608" s="81"/>
      <c r="BO8608" s="81"/>
      <c r="BP8608" s="81"/>
      <c r="BQ8608" s="81"/>
      <c r="BR8608" s="81"/>
      <c r="BS8608" s="81"/>
      <c r="BT8608" s="81"/>
    </row>
    <row r="8609" spans="65:72" x14ac:dyDescent="0.25">
      <c r="BM8609" s="81"/>
      <c r="BN8609" s="81"/>
      <c r="BO8609" s="81"/>
      <c r="BP8609" s="81"/>
      <c r="BQ8609" s="81"/>
      <c r="BR8609" s="81"/>
      <c r="BS8609" s="81"/>
      <c r="BT8609" s="81"/>
    </row>
    <row r="8610" spans="65:72" x14ac:dyDescent="0.25">
      <c r="BM8610" s="81"/>
      <c r="BN8610" s="81"/>
      <c r="BO8610" s="81"/>
      <c r="BP8610" s="81"/>
      <c r="BQ8610" s="81"/>
      <c r="BR8610" s="81"/>
      <c r="BS8610" s="81"/>
      <c r="BT8610" s="81"/>
    </row>
    <row r="8611" spans="65:72" x14ac:dyDescent="0.25">
      <c r="BM8611" s="81"/>
      <c r="BN8611" s="81"/>
      <c r="BO8611" s="81"/>
      <c r="BP8611" s="81"/>
      <c r="BQ8611" s="81"/>
      <c r="BR8611" s="81"/>
      <c r="BS8611" s="81"/>
      <c r="BT8611" s="81"/>
    </row>
    <row r="8612" spans="65:72" x14ac:dyDescent="0.25">
      <c r="BM8612" s="81"/>
      <c r="BN8612" s="81"/>
      <c r="BO8612" s="81"/>
      <c r="BP8612" s="81"/>
      <c r="BQ8612" s="81"/>
      <c r="BR8612" s="81"/>
      <c r="BS8612" s="81"/>
      <c r="BT8612" s="81"/>
    </row>
    <row r="8613" spans="65:72" x14ac:dyDescent="0.25">
      <c r="BM8613" s="81"/>
      <c r="BN8613" s="81"/>
      <c r="BO8613" s="81"/>
      <c r="BP8613" s="81"/>
      <c r="BQ8613" s="81"/>
      <c r="BR8613" s="81"/>
      <c r="BS8613" s="81"/>
      <c r="BT8613" s="81"/>
    </row>
    <row r="8614" spans="65:72" x14ac:dyDescent="0.25">
      <c r="BM8614" s="81"/>
      <c r="BN8614" s="81"/>
      <c r="BO8614" s="81"/>
      <c r="BP8614" s="81"/>
      <c r="BQ8614" s="81"/>
      <c r="BR8614" s="81"/>
      <c r="BS8614" s="81"/>
      <c r="BT8614" s="81"/>
    </row>
    <row r="8615" spans="65:72" x14ac:dyDescent="0.25">
      <c r="BM8615" s="81"/>
      <c r="BN8615" s="81"/>
      <c r="BO8615" s="81"/>
      <c r="BP8615" s="81"/>
      <c r="BQ8615" s="81"/>
      <c r="BR8615" s="81"/>
      <c r="BS8615" s="81"/>
      <c r="BT8615" s="81"/>
    </row>
    <row r="8616" spans="65:72" x14ac:dyDescent="0.25">
      <c r="BM8616" s="81"/>
      <c r="BN8616" s="81"/>
      <c r="BO8616" s="81"/>
      <c r="BP8616" s="81"/>
      <c r="BQ8616" s="81"/>
      <c r="BR8616" s="81"/>
      <c r="BS8616" s="81"/>
      <c r="BT8616" s="81"/>
    </row>
    <row r="8617" spans="65:72" x14ac:dyDescent="0.25">
      <c r="BM8617" s="81"/>
      <c r="BN8617" s="81"/>
      <c r="BO8617" s="81"/>
      <c r="BP8617" s="81"/>
      <c r="BQ8617" s="81"/>
      <c r="BR8617" s="81"/>
      <c r="BS8617" s="81"/>
      <c r="BT8617" s="81"/>
    </row>
    <row r="8618" spans="65:72" x14ac:dyDescent="0.25">
      <c r="BM8618" s="81"/>
      <c r="BN8618" s="81"/>
      <c r="BO8618" s="81"/>
      <c r="BP8618" s="81"/>
      <c r="BQ8618" s="81"/>
      <c r="BR8618" s="81"/>
      <c r="BS8618" s="81"/>
      <c r="BT8618" s="81"/>
    </row>
    <row r="8619" spans="65:72" x14ac:dyDescent="0.25">
      <c r="BM8619" s="81"/>
      <c r="BN8619" s="81"/>
      <c r="BO8619" s="81"/>
      <c r="BP8619" s="81"/>
      <c r="BQ8619" s="81"/>
      <c r="BR8619" s="81"/>
      <c r="BS8619" s="81"/>
      <c r="BT8619" s="81"/>
    </row>
    <row r="8620" spans="65:72" x14ac:dyDescent="0.25">
      <c r="BM8620" s="81"/>
      <c r="BN8620" s="81"/>
      <c r="BO8620" s="81"/>
      <c r="BP8620" s="81"/>
      <c r="BQ8620" s="81"/>
      <c r="BR8620" s="81"/>
      <c r="BS8620" s="81"/>
      <c r="BT8620" s="81"/>
    </row>
    <row r="8621" spans="65:72" x14ac:dyDescent="0.25">
      <c r="BM8621" s="81"/>
      <c r="BN8621" s="81"/>
      <c r="BO8621" s="81"/>
      <c r="BP8621" s="81"/>
      <c r="BQ8621" s="81"/>
      <c r="BR8621" s="81"/>
      <c r="BS8621" s="81"/>
      <c r="BT8621" s="81"/>
    </row>
    <row r="8622" spans="65:72" x14ac:dyDescent="0.25">
      <c r="BM8622" s="81"/>
      <c r="BN8622" s="81"/>
      <c r="BO8622" s="81"/>
      <c r="BP8622" s="81"/>
      <c r="BQ8622" s="81"/>
      <c r="BR8622" s="81"/>
      <c r="BS8622" s="81"/>
      <c r="BT8622" s="81"/>
    </row>
    <row r="8623" spans="65:72" x14ac:dyDescent="0.25">
      <c r="BM8623" s="81"/>
      <c r="BN8623" s="81"/>
      <c r="BO8623" s="81"/>
      <c r="BP8623" s="81"/>
      <c r="BQ8623" s="81"/>
      <c r="BR8623" s="81"/>
      <c r="BS8623" s="81"/>
      <c r="BT8623" s="81"/>
    </row>
    <row r="8624" spans="65:72" x14ac:dyDescent="0.25">
      <c r="BM8624" s="81"/>
      <c r="BN8624" s="81"/>
      <c r="BO8624" s="81"/>
      <c r="BP8624" s="81"/>
      <c r="BQ8624" s="81"/>
      <c r="BR8624" s="81"/>
      <c r="BS8624" s="81"/>
      <c r="BT8624" s="81"/>
    </row>
    <row r="8625" spans="65:72" x14ac:dyDescent="0.25">
      <c r="BM8625" s="81"/>
      <c r="BN8625" s="81"/>
      <c r="BO8625" s="81"/>
      <c r="BP8625" s="81"/>
      <c r="BQ8625" s="81"/>
      <c r="BR8625" s="81"/>
      <c r="BS8625" s="81"/>
      <c r="BT8625" s="81"/>
    </row>
    <row r="8626" spans="65:72" x14ac:dyDescent="0.25">
      <c r="BM8626" s="81"/>
      <c r="BN8626" s="81"/>
      <c r="BO8626" s="81"/>
      <c r="BP8626" s="81"/>
      <c r="BQ8626" s="81"/>
      <c r="BR8626" s="81"/>
      <c r="BS8626" s="81"/>
      <c r="BT8626" s="81"/>
    </row>
    <row r="8627" spans="65:72" x14ac:dyDescent="0.25">
      <c r="BM8627" s="81"/>
      <c r="BN8627" s="81"/>
      <c r="BO8627" s="81"/>
      <c r="BP8627" s="81"/>
      <c r="BQ8627" s="81"/>
      <c r="BR8627" s="81"/>
      <c r="BS8627" s="81"/>
      <c r="BT8627" s="81"/>
    </row>
    <row r="8628" spans="65:72" x14ac:dyDescent="0.25">
      <c r="BM8628" s="81"/>
      <c r="BN8628" s="81"/>
      <c r="BO8628" s="81"/>
      <c r="BP8628" s="81"/>
      <c r="BQ8628" s="81"/>
      <c r="BR8628" s="81"/>
      <c r="BS8628" s="81"/>
      <c r="BT8628" s="81"/>
    </row>
    <row r="8629" spans="65:72" x14ac:dyDescent="0.25">
      <c r="BM8629" s="81"/>
      <c r="BN8629" s="81"/>
      <c r="BO8629" s="81"/>
      <c r="BP8629" s="81"/>
      <c r="BQ8629" s="81"/>
      <c r="BR8629" s="81"/>
      <c r="BS8629" s="81"/>
      <c r="BT8629" s="81"/>
    </row>
    <row r="8630" spans="65:72" x14ac:dyDescent="0.25">
      <c r="BM8630" s="81"/>
      <c r="BN8630" s="81"/>
      <c r="BO8630" s="81"/>
      <c r="BP8630" s="81"/>
      <c r="BQ8630" s="81"/>
      <c r="BR8630" s="81"/>
      <c r="BS8630" s="81"/>
      <c r="BT8630" s="81"/>
    </row>
    <row r="8631" spans="65:72" x14ac:dyDescent="0.25">
      <c r="BM8631" s="81"/>
      <c r="BN8631" s="81"/>
      <c r="BO8631" s="81"/>
      <c r="BP8631" s="81"/>
      <c r="BQ8631" s="81"/>
      <c r="BR8631" s="81"/>
      <c r="BS8631" s="81"/>
      <c r="BT8631" s="81"/>
    </row>
    <row r="8632" spans="65:72" x14ac:dyDescent="0.25">
      <c r="BM8632" s="81"/>
      <c r="BN8632" s="81"/>
      <c r="BO8632" s="81"/>
      <c r="BP8632" s="81"/>
      <c r="BQ8632" s="81"/>
      <c r="BR8632" s="81"/>
      <c r="BS8632" s="81"/>
      <c r="BT8632" s="81"/>
    </row>
    <row r="8633" spans="65:72" x14ac:dyDescent="0.25">
      <c r="BM8633" s="81"/>
      <c r="BN8633" s="81"/>
      <c r="BO8633" s="81"/>
      <c r="BP8633" s="81"/>
      <c r="BQ8633" s="81"/>
      <c r="BR8633" s="81"/>
      <c r="BS8633" s="81"/>
      <c r="BT8633" s="81"/>
    </row>
    <row r="8634" spans="65:72" x14ac:dyDescent="0.25">
      <c r="BM8634" s="81"/>
      <c r="BN8634" s="81"/>
      <c r="BO8634" s="81"/>
      <c r="BP8634" s="81"/>
      <c r="BQ8634" s="81"/>
      <c r="BR8634" s="81"/>
      <c r="BS8634" s="81"/>
      <c r="BT8634" s="81"/>
    </row>
    <row r="8635" spans="65:72" x14ac:dyDescent="0.25">
      <c r="BM8635" s="81"/>
      <c r="BN8635" s="81"/>
      <c r="BO8635" s="81"/>
      <c r="BP8635" s="81"/>
      <c r="BQ8635" s="81"/>
      <c r="BR8635" s="81"/>
      <c r="BS8635" s="81"/>
      <c r="BT8635" s="81"/>
    </row>
    <row r="8636" spans="65:72" x14ac:dyDescent="0.25">
      <c r="BM8636" s="81"/>
      <c r="BN8636" s="81"/>
      <c r="BO8636" s="81"/>
      <c r="BP8636" s="81"/>
      <c r="BQ8636" s="81"/>
      <c r="BR8636" s="81"/>
      <c r="BS8636" s="81"/>
      <c r="BT8636" s="81"/>
    </row>
    <row r="8637" spans="65:72" x14ac:dyDescent="0.25">
      <c r="BM8637" s="81"/>
      <c r="BN8637" s="81"/>
      <c r="BO8637" s="81"/>
      <c r="BP8637" s="81"/>
      <c r="BQ8637" s="81"/>
      <c r="BR8637" s="81"/>
      <c r="BS8637" s="81"/>
      <c r="BT8637" s="81"/>
    </row>
    <row r="8638" spans="65:72" x14ac:dyDescent="0.25">
      <c r="BM8638" s="81"/>
      <c r="BN8638" s="81"/>
      <c r="BO8638" s="81"/>
      <c r="BP8638" s="81"/>
      <c r="BQ8638" s="81"/>
      <c r="BR8638" s="81"/>
      <c r="BS8638" s="81"/>
      <c r="BT8638" s="81"/>
    </row>
    <row r="8639" spans="65:72" x14ac:dyDescent="0.25">
      <c r="BM8639" s="81"/>
      <c r="BN8639" s="81"/>
      <c r="BO8639" s="81"/>
      <c r="BP8639" s="81"/>
      <c r="BQ8639" s="81"/>
      <c r="BR8639" s="81"/>
      <c r="BS8639" s="81"/>
      <c r="BT8639" s="81"/>
    </row>
    <row r="8640" spans="65:72" x14ac:dyDescent="0.25">
      <c r="BM8640" s="81"/>
      <c r="BN8640" s="81"/>
      <c r="BO8640" s="81"/>
      <c r="BP8640" s="81"/>
      <c r="BQ8640" s="81"/>
      <c r="BR8640" s="81"/>
      <c r="BS8640" s="81"/>
      <c r="BT8640" s="81"/>
    </row>
    <row r="8641" spans="65:72" x14ac:dyDescent="0.25">
      <c r="BM8641" s="81"/>
      <c r="BN8641" s="81"/>
      <c r="BO8641" s="81"/>
      <c r="BP8641" s="81"/>
      <c r="BQ8641" s="81"/>
      <c r="BR8641" s="81"/>
      <c r="BS8641" s="81"/>
      <c r="BT8641" s="81"/>
    </row>
    <row r="8642" spans="65:72" x14ac:dyDescent="0.25">
      <c r="BM8642" s="81"/>
      <c r="BN8642" s="81"/>
      <c r="BO8642" s="81"/>
      <c r="BP8642" s="81"/>
      <c r="BQ8642" s="81"/>
      <c r="BR8642" s="81"/>
      <c r="BS8642" s="81"/>
      <c r="BT8642" s="81"/>
    </row>
    <row r="8643" spans="65:72" x14ac:dyDescent="0.25">
      <c r="BM8643" s="81"/>
      <c r="BN8643" s="81"/>
      <c r="BO8643" s="81"/>
      <c r="BP8643" s="81"/>
      <c r="BQ8643" s="81"/>
      <c r="BR8643" s="81"/>
      <c r="BS8643" s="81"/>
      <c r="BT8643" s="81"/>
    </row>
    <row r="8644" spans="65:72" x14ac:dyDescent="0.25">
      <c r="BM8644" s="81"/>
      <c r="BN8644" s="81"/>
      <c r="BO8644" s="81"/>
      <c r="BP8644" s="81"/>
      <c r="BQ8644" s="81"/>
      <c r="BR8644" s="81"/>
      <c r="BS8644" s="81"/>
      <c r="BT8644" s="81"/>
    </row>
    <row r="8645" spans="65:72" x14ac:dyDescent="0.25">
      <c r="BM8645" s="81"/>
      <c r="BN8645" s="81"/>
      <c r="BO8645" s="81"/>
      <c r="BP8645" s="81"/>
      <c r="BQ8645" s="81"/>
      <c r="BR8645" s="81"/>
      <c r="BS8645" s="81"/>
      <c r="BT8645" s="81"/>
    </row>
    <row r="8646" spans="65:72" x14ac:dyDescent="0.25">
      <c r="BM8646" s="81"/>
      <c r="BN8646" s="81"/>
      <c r="BO8646" s="81"/>
      <c r="BP8646" s="81"/>
      <c r="BQ8646" s="81"/>
      <c r="BR8646" s="81"/>
      <c r="BS8646" s="81"/>
      <c r="BT8646" s="81"/>
    </row>
    <row r="8647" spans="65:72" x14ac:dyDescent="0.25">
      <c r="BM8647" s="81"/>
      <c r="BN8647" s="81"/>
      <c r="BO8647" s="81"/>
      <c r="BP8647" s="81"/>
      <c r="BQ8647" s="81"/>
      <c r="BR8647" s="81"/>
      <c r="BS8647" s="81"/>
      <c r="BT8647" s="81"/>
    </row>
    <row r="8648" spans="65:72" x14ac:dyDescent="0.25">
      <c r="BM8648" s="81"/>
      <c r="BN8648" s="81"/>
      <c r="BO8648" s="81"/>
      <c r="BP8648" s="81"/>
      <c r="BQ8648" s="81"/>
      <c r="BR8648" s="81"/>
      <c r="BS8648" s="81"/>
      <c r="BT8648" s="81"/>
    </row>
    <row r="8649" spans="65:72" x14ac:dyDescent="0.25">
      <c r="BM8649" s="81"/>
      <c r="BN8649" s="81"/>
      <c r="BO8649" s="81"/>
      <c r="BP8649" s="81"/>
      <c r="BQ8649" s="81"/>
      <c r="BR8649" s="81"/>
      <c r="BS8649" s="81"/>
      <c r="BT8649" s="81"/>
    </row>
    <row r="8650" spans="65:72" x14ac:dyDescent="0.25">
      <c r="BM8650" s="81"/>
      <c r="BN8650" s="81"/>
      <c r="BO8650" s="81"/>
      <c r="BP8650" s="81"/>
      <c r="BQ8650" s="81"/>
      <c r="BR8650" s="81"/>
      <c r="BS8650" s="81"/>
      <c r="BT8650" s="81"/>
    </row>
    <row r="8651" spans="65:72" x14ac:dyDescent="0.25">
      <c r="BM8651" s="81"/>
      <c r="BN8651" s="81"/>
      <c r="BO8651" s="81"/>
      <c r="BP8651" s="81"/>
      <c r="BQ8651" s="81"/>
      <c r="BR8651" s="81"/>
      <c r="BS8651" s="81"/>
      <c r="BT8651" s="81"/>
    </row>
    <row r="8652" spans="65:72" x14ac:dyDescent="0.25">
      <c r="BM8652" s="81"/>
      <c r="BN8652" s="81"/>
      <c r="BO8652" s="81"/>
      <c r="BP8652" s="81"/>
      <c r="BQ8652" s="81"/>
      <c r="BR8652" s="81"/>
      <c r="BS8652" s="81"/>
      <c r="BT8652" s="81"/>
    </row>
    <row r="8653" spans="65:72" x14ac:dyDescent="0.25">
      <c r="BM8653" s="81"/>
      <c r="BN8653" s="81"/>
      <c r="BO8653" s="81"/>
      <c r="BP8653" s="81"/>
      <c r="BQ8653" s="81"/>
      <c r="BR8653" s="81"/>
      <c r="BS8653" s="81"/>
      <c r="BT8653" s="81"/>
    </row>
    <row r="8654" spans="65:72" x14ac:dyDescent="0.25">
      <c r="BM8654" s="81"/>
      <c r="BN8654" s="81"/>
      <c r="BO8654" s="81"/>
      <c r="BP8654" s="81"/>
      <c r="BQ8654" s="81"/>
      <c r="BR8654" s="81"/>
      <c r="BS8654" s="81"/>
      <c r="BT8654" s="81"/>
    </row>
    <row r="8655" spans="65:72" x14ac:dyDescent="0.25">
      <c r="BM8655" s="81"/>
      <c r="BN8655" s="81"/>
      <c r="BO8655" s="81"/>
      <c r="BP8655" s="81"/>
      <c r="BQ8655" s="81"/>
      <c r="BR8655" s="81"/>
      <c r="BS8655" s="81"/>
      <c r="BT8655" s="81"/>
    </row>
    <row r="8656" spans="65:72" x14ac:dyDescent="0.25">
      <c r="BM8656" s="81"/>
      <c r="BN8656" s="81"/>
      <c r="BO8656" s="81"/>
      <c r="BP8656" s="81"/>
      <c r="BQ8656" s="81"/>
      <c r="BR8656" s="81"/>
      <c r="BS8656" s="81"/>
      <c r="BT8656" s="81"/>
    </row>
    <row r="8657" spans="65:72" x14ac:dyDescent="0.25">
      <c r="BM8657" s="81"/>
      <c r="BN8657" s="81"/>
      <c r="BO8657" s="81"/>
      <c r="BP8657" s="81"/>
      <c r="BQ8657" s="81"/>
      <c r="BR8657" s="81"/>
      <c r="BS8657" s="81"/>
      <c r="BT8657" s="81"/>
    </row>
    <row r="8658" spans="65:72" x14ac:dyDescent="0.25">
      <c r="BM8658" s="81"/>
      <c r="BN8658" s="81"/>
      <c r="BO8658" s="81"/>
      <c r="BP8658" s="81"/>
      <c r="BQ8658" s="81"/>
      <c r="BR8658" s="81"/>
      <c r="BS8658" s="81"/>
      <c r="BT8658" s="81"/>
    </row>
    <row r="8659" spans="65:72" x14ac:dyDescent="0.25">
      <c r="BM8659" s="81"/>
      <c r="BN8659" s="81"/>
      <c r="BO8659" s="81"/>
      <c r="BP8659" s="81"/>
      <c r="BQ8659" s="81"/>
      <c r="BR8659" s="81"/>
      <c r="BS8659" s="81"/>
      <c r="BT8659" s="81"/>
    </row>
    <row r="8660" spans="65:72" x14ac:dyDescent="0.25">
      <c r="BM8660" s="81"/>
      <c r="BN8660" s="81"/>
      <c r="BO8660" s="81"/>
      <c r="BP8660" s="81"/>
      <c r="BQ8660" s="81"/>
      <c r="BR8660" s="81"/>
      <c r="BS8660" s="81"/>
      <c r="BT8660" s="81"/>
    </row>
    <row r="8661" spans="65:72" x14ac:dyDescent="0.25">
      <c r="BM8661" s="81"/>
      <c r="BN8661" s="81"/>
      <c r="BO8661" s="81"/>
      <c r="BP8661" s="81"/>
      <c r="BQ8661" s="81"/>
      <c r="BR8661" s="81"/>
      <c r="BS8661" s="81"/>
      <c r="BT8661" s="81"/>
    </row>
    <row r="8662" spans="65:72" x14ac:dyDescent="0.25">
      <c r="BM8662" s="81"/>
      <c r="BN8662" s="81"/>
      <c r="BO8662" s="81"/>
      <c r="BP8662" s="81"/>
      <c r="BQ8662" s="81"/>
      <c r="BR8662" s="81"/>
      <c r="BS8662" s="81"/>
      <c r="BT8662" s="81"/>
    </row>
    <row r="8663" spans="65:72" x14ac:dyDescent="0.25">
      <c r="BM8663" s="81"/>
      <c r="BN8663" s="81"/>
      <c r="BO8663" s="81"/>
      <c r="BP8663" s="81"/>
      <c r="BQ8663" s="81"/>
      <c r="BR8663" s="81"/>
      <c r="BS8663" s="81"/>
      <c r="BT8663" s="81"/>
    </row>
    <row r="8664" spans="65:72" x14ac:dyDescent="0.25">
      <c r="BM8664" s="81"/>
      <c r="BN8664" s="81"/>
      <c r="BO8664" s="81"/>
      <c r="BP8664" s="81"/>
      <c r="BQ8664" s="81"/>
      <c r="BR8664" s="81"/>
      <c r="BS8664" s="81"/>
      <c r="BT8664" s="81"/>
    </row>
    <row r="8665" spans="65:72" x14ac:dyDescent="0.25">
      <c r="BM8665" s="81"/>
      <c r="BN8665" s="81"/>
      <c r="BO8665" s="81"/>
      <c r="BP8665" s="81"/>
      <c r="BQ8665" s="81"/>
      <c r="BR8665" s="81"/>
      <c r="BS8665" s="81"/>
      <c r="BT8665" s="81"/>
    </row>
    <row r="8666" spans="65:72" x14ac:dyDescent="0.25">
      <c r="BM8666" s="81"/>
      <c r="BN8666" s="81"/>
      <c r="BO8666" s="81"/>
      <c r="BP8666" s="81"/>
      <c r="BQ8666" s="81"/>
      <c r="BR8666" s="81"/>
      <c r="BS8666" s="81"/>
      <c r="BT8666" s="81"/>
    </row>
    <row r="8667" spans="65:72" x14ac:dyDescent="0.25">
      <c r="BM8667" s="81"/>
      <c r="BN8667" s="81"/>
      <c r="BO8667" s="81"/>
      <c r="BP8667" s="81"/>
      <c r="BQ8667" s="81"/>
      <c r="BR8667" s="81"/>
      <c r="BS8667" s="81"/>
      <c r="BT8667" s="81"/>
    </row>
    <row r="8668" spans="65:72" x14ac:dyDescent="0.25">
      <c r="BM8668" s="81"/>
      <c r="BN8668" s="81"/>
      <c r="BO8668" s="81"/>
      <c r="BP8668" s="81"/>
      <c r="BQ8668" s="81"/>
      <c r="BR8668" s="81"/>
      <c r="BS8668" s="81"/>
      <c r="BT8668" s="81"/>
    </row>
    <row r="8669" spans="65:72" x14ac:dyDescent="0.25">
      <c r="BM8669" s="81"/>
      <c r="BN8669" s="81"/>
      <c r="BO8669" s="81"/>
      <c r="BP8669" s="81"/>
      <c r="BQ8669" s="81"/>
      <c r="BR8669" s="81"/>
      <c r="BS8669" s="81"/>
      <c r="BT8669" s="81"/>
    </row>
    <row r="8670" spans="65:72" x14ac:dyDescent="0.25">
      <c r="BM8670" s="81"/>
      <c r="BN8670" s="81"/>
      <c r="BO8670" s="81"/>
      <c r="BP8670" s="81"/>
      <c r="BQ8670" s="81"/>
      <c r="BR8670" s="81"/>
      <c r="BS8670" s="81"/>
      <c r="BT8670" s="81"/>
    </row>
    <row r="8671" spans="65:72" x14ac:dyDescent="0.25">
      <c r="BM8671" s="81"/>
      <c r="BN8671" s="81"/>
      <c r="BO8671" s="81"/>
      <c r="BP8671" s="81"/>
      <c r="BQ8671" s="81"/>
      <c r="BR8671" s="81"/>
      <c r="BS8671" s="81"/>
      <c r="BT8671" s="81"/>
    </row>
    <row r="8672" spans="65:72" x14ac:dyDescent="0.25">
      <c r="BM8672" s="81"/>
      <c r="BN8672" s="81"/>
      <c r="BO8672" s="81"/>
      <c r="BP8672" s="81"/>
      <c r="BQ8672" s="81"/>
      <c r="BR8672" s="81"/>
      <c r="BS8672" s="81"/>
      <c r="BT8672" s="81"/>
    </row>
    <row r="8673" spans="65:72" x14ac:dyDescent="0.25">
      <c r="BM8673" s="81"/>
      <c r="BN8673" s="81"/>
      <c r="BO8673" s="81"/>
      <c r="BP8673" s="81"/>
      <c r="BQ8673" s="81"/>
      <c r="BR8673" s="81"/>
      <c r="BS8673" s="81"/>
      <c r="BT8673" s="81"/>
    </row>
    <row r="8674" spans="65:72" x14ac:dyDescent="0.25">
      <c r="BM8674" s="81"/>
      <c r="BN8674" s="81"/>
      <c r="BO8674" s="81"/>
      <c r="BP8674" s="81"/>
      <c r="BQ8674" s="81"/>
      <c r="BR8674" s="81"/>
      <c r="BS8674" s="81"/>
      <c r="BT8674" s="81"/>
    </row>
    <row r="8675" spans="65:72" x14ac:dyDescent="0.25">
      <c r="BM8675" s="81"/>
      <c r="BN8675" s="81"/>
      <c r="BO8675" s="81"/>
      <c r="BP8675" s="81"/>
      <c r="BQ8675" s="81"/>
      <c r="BR8675" s="81"/>
      <c r="BS8675" s="81"/>
      <c r="BT8675" s="81"/>
    </row>
    <row r="8676" spans="65:72" x14ac:dyDescent="0.25">
      <c r="BM8676" s="81"/>
      <c r="BN8676" s="81"/>
      <c r="BO8676" s="81"/>
      <c r="BP8676" s="81"/>
      <c r="BQ8676" s="81"/>
      <c r="BR8676" s="81"/>
      <c r="BS8676" s="81"/>
      <c r="BT8676" s="81"/>
    </row>
    <row r="8677" spans="65:72" x14ac:dyDescent="0.25">
      <c r="BM8677" s="81"/>
      <c r="BN8677" s="81"/>
      <c r="BO8677" s="81"/>
      <c r="BP8677" s="81"/>
      <c r="BQ8677" s="81"/>
      <c r="BR8677" s="81"/>
      <c r="BS8677" s="81"/>
      <c r="BT8677" s="81"/>
    </row>
    <row r="8678" spans="65:72" x14ac:dyDescent="0.25">
      <c r="BM8678" s="81"/>
      <c r="BN8678" s="81"/>
      <c r="BO8678" s="81"/>
      <c r="BP8678" s="81"/>
      <c r="BQ8678" s="81"/>
      <c r="BR8678" s="81"/>
      <c r="BS8678" s="81"/>
      <c r="BT8678" s="81"/>
    </row>
    <row r="8679" spans="65:72" x14ac:dyDescent="0.25">
      <c r="BM8679" s="81"/>
      <c r="BN8679" s="81"/>
      <c r="BO8679" s="81"/>
      <c r="BP8679" s="81"/>
      <c r="BQ8679" s="81"/>
      <c r="BR8679" s="81"/>
      <c r="BS8679" s="81"/>
      <c r="BT8679" s="81"/>
    </row>
    <row r="8680" spans="65:72" x14ac:dyDescent="0.25">
      <c r="BM8680" s="81"/>
      <c r="BN8680" s="81"/>
      <c r="BO8680" s="81"/>
      <c r="BP8680" s="81"/>
      <c r="BQ8680" s="81"/>
      <c r="BR8680" s="81"/>
      <c r="BS8680" s="81"/>
      <c r="BT8680" s="81"/>
    </row>
    <row r="8681" spans="65:72" x14ac:dyDescent="0.25">
      <c r="BM8681" s="81"/>
      <c r="BN8681" s="81"/>
      <c r="BO8681" s="81"/>
      <c r="BP8681" s="81"/>
      <c r="BQ8681" s="81"/>
      <c r="BR8681" s="81"/>
      <c r="BS8681" s="81"/>
      <c r="BT8681" s="81"/>
    </row>
    <row r="8682" spans="65:72" x14ac:dyDescent="0.25">
      <c r="BM8682" s="81"/>
      <c r="BN8682" s="81"/>
      <c r="BO8682" s="81"/>
      <c r="BP8682" s="81"/>
      <c r="BQ8682" s="81"/>
      <c r="BR8682" s="81"/>
      <c r="BS8682" s="81"/>
      <c r="BT8682" s="81"/>
    </row>
    <row r="8683" spans="65:72" x14ac:dyDescent="0.25">
      <c r="BM8683" s="81"/>
      <c r="BN8683" s="81"/>
      <c r="BO8683" s="81"/>
      <c r="BP8683" s="81"/>
      <c r="BQ8683" s="81"/>
      <c r="BR8683" s="81"/>
      <c r="BS8683" s="81"/>
      <c r="BT8683" s="81"/>
    </row>
    <row r="8684" spans="65:72" x14ac:dyDescent="0.25">
      <c r="BM8684" s="81"/>
      <c r="BN8684" s="81"/>
      <c r="BO8684" s="81"/>
      <c r="BP8684" s="81"/>
      <c r="BQ8684" s="81"/>
      <c r="BR8684" s="81"/>
      <c r="BS8684" s="81"/>
      <c r="BT8684" s="81"/>
    </row>
    <row r="8685" spans="65:72" x14ac:dyDescent="0.25">
      <c r="BM8685" s="81"/>
      <c r="BN8685" s="81"/>
      <c r="BO8685" s="81"/>
      <c r="BP8685" s="81"/>
      <c r="BQ8685" s="81"/>
      <c r="BR8685" s="81"/>
      <c r="BS8685" s="81"/>
      <c r="BT8685" s="81"/>
    </row>
    <row r="8686" spans="65:72" x14ac:dyDescent="0.25">
      <c r="BM8686" s="81"/>
      <c r="BN8686" s="81"/>
      <c r="BO8686" s="81"/>
      <c r="BP8686" s="81"/>
      <c r="BQ8686" s="81"/>
      <c r="BR8686" s="81"/>
      <c r="BS8686" s="81"/>
      <c r="BT8686" s="81"/>
    </row>
    <row r="8687" spans="65:72" x14ac:dyDescent="0.25">
      <c r="BM8687" s="81"/>
      <c r="BN8687" s="81"/>
      <c r="BO8687" s="81"/>
      <c r="BP8687" s="81"/>
      <c r="BQ8687" s="81"/>
      <c r="BR8687" s="81"/>
      <c r="BS8687" s="81"/>
      <c r="BT8687" s="81"/>
    </row>
    <row r="8688" spans="65:72" x14ac:dyDescent="0.25">
      <c r="BM8688" s="81"/>
      <c r="BN8688" s="81"/>
      <c r="BO8688" s="81"/>
      <c r="BP8688" s="81"/>
      <c r="BQ8688" s="81"/>
      <c r="BR8688" s="81"/>
      <c r="BS8688" s="81"/>
      <c r="BT8688" s="81"/>
    </row>
    <row r="8689" spans="65:72" x14ac:dyDescent="0.25">
      <c r="BM8689" s="81"/>
      <c r="BN8689" s="81"/>
      <c r="BO8689" s="81"/>
      <c r="BP8689" s="81"/>
      <c r="BQ8689" s="81"/>
      <c r="BR8689" s="81"/>
      <c r="BS8689" s="81"/>
      <c r="BT8689" s="81"/>
    </row>
    <row r="8690" spans="65:72" x14ac:dyDescent="0.25">
      <c r="BM8690" s="81"/>
      <c r="BN8690" s="81"/>
      <c r="BO8690" s="81"/>
      <c r="BP8690" s="81"/>
      <c r="BQ8690" s="81"/>
      <c r="BR8690" s="81"/>
      <c r="BS8690" s="81"/>
      <c r="BT8690" s="81"/>
    </row>
    <row r="8691" spans="65:72" x14ac:dyDescent="0.25">
      <c r="BM8691" s="81"/>
      <c r="BN8691" s="81"/>
      <c r="BO8691" s="81"/>
      <c r="BP8691" s="81"/>
      <c r="BQ8691" s="81"/>
      <c r="BR8691" s="81"/>
      <c r="BS8691" s="81"/>
      <c r="BT8691" s="81"/>
    </row>
    <row r="8692" spans="65:72" x14ac:dyDescent="0.25">
      <c r="BM8692" s="81"/>
      <c r="BN8692" s="81"/>
      <c r="BO8692" s="81"/>
      <c r="BP8692" s="81"/>
      <c r="BQ8692" s="81"/>
      <c r="BR8692" s="81"/>
      <c r="BS8692" s="81"/>
      <c r="BT8692" s="81"/>
    </row>
    <row r="8693" spans="65:72" x14ac:dyDescent="0.25">
      <c r="BM8693" s="81"/>
      <c r="BN8693" s="81"/>
      <c r="BO8693" s="81"/>
      <c r="BP8693" s="81"/>
      <c r="BQ8693" s="81"/>
      <c r="BR8693" s="81"/>
      <c r="BS8693" s="81"/>
      <c r="BT8693" s="81"/>
    </row>
    <row r="8694" spans="65:72" x14ac:dyDescent="0.25">
      <c r="BM8694" s="81"/>
      <c r="BN8694" s="81"/>
      <c r="BO8694" s="81"/>
      <c r="BP8694" s="81"/>
      <c r="BQ8694" s="81"/>
      <c r="BR8694" s="81"/>
      <c r="BS8694" s="81"/>
      <c r="BT8694" s="81"/>
    </row>
    <row r="8695" spans="65:72" x14ac:dyDescent="0.25">
      <c r="BM8695" s="81"/>
      <c r="BN8695" s="81"/>
      <c r="BO8695" s="81"/>
      <c r="BP8695" s="81"/>
      <c r="BQ8695" s="81"/>
      <c r="BR8695" s="81"/>
      <c r="BS8695" s="81"/>
      <c r="BT8695" s="81"/>
    </row>
    <row r="8696" spans="65:72" x14ac:dyDescent="0.25">
      <c r="BM8696" s="81"/>
      <c r="BN8696" s="81"/>
      <c r="BO8696" s="81"/>
      <c r="BP8696" s="81"/>
      <c r="BQ8696" s="81"/>
      <c r="BR8696" s="81"/>
      <c r="BS8696" s="81"/>
      <c r="BT8696" s="81"/>
    </row>
    <row r="8697" spans="65:72" x14ac:dyDescent="0.25">
      <c r="BM8697" s="81"/>
      <c r="BN8697" s="81"/>
      <c r="BO8697" s="81"/>
      <c r="BP8697" s="81"/>
      <c r="BQ8697" s="81"/>
      <c r="BR8697" s="81"/>
      <c r="BS8697" s="81"/>
      <c r="BT8697" s="81"/>
    </row>
    <row r="8698" spans="65:72" x14ac:dyDescent="0.25">
      <c r="BM8698" s="81"/>
      <c r="BN8698" s="81"/>
      <c r="BO8698" s="81"/>
      <c r="BP8698" s="81"/>
      <c r="BQ8698" s="81"/>
      <c r="BR8698" s="81"/>
      <c r="BS8698" s="81"/>
      <c r="BT8698" s="81"/>
    </row>
    <row r="8699" spans="65:72" x14ac:dyDescent="0.25">
      <c r="BM8699" s="81"/>
      <c r="BN8699" s="81"/>
      <c r="BO8699" s="81"/>
      <c r="BP8699" s="81"/>
      <c r="BQ8699" s="81"/>
      <c r="BR8699" s="81"/>
      <c r="BS8699" s="81"/>
      <c r="BT8699" s="81"/>
    </row>
    <row r="8700" spans="65:72" x14ac:dyDescent="0.25">
      <c r="BM8700" s="81"/>
      <c r="BN8700" s="81"/>
      <c r="BO8700" s="81"/>
      <c r="BP8700" s="81"/>
      <c r="BQ8700" s="81"/>
      <c r="BR8700" s="81"/>
      <c r="BS8700" s="81"/>
      <c r="BT8700" s="81"/>
    </row>
    <row r="8701" spans="65:72" x14ac:dyDescent="0.25">
      <c r="BM8701" s="81"/>
      <c r="BN8701" s="81"/>
      <c r="BO8701" s="81"/>
      <c r="BP8701" s="81"/>
      <c r="BQ8701" s="81"/>
      <c r="BR8701" s="81"/>
      <c r="BS8701" s="81"/>
      <c r="BT8701" s="81"/>
    </row>
    <row r="8702" spans="65:72" x14ac:dyDescent="0.25">
      <c r="BM8702" s="81"/>
      <c r="BN8702" s="81"/>
      <c r="BO8702" s="81"/>
      <c r="BP8702" s="81"/>
      <c r="BQ8702" s="81"/>
      <c r="BR8702" s="81"/>
      <c r="BS8702" s="81"/>
      <c r="BT8702" s="81"/>
    </row>
    <row r="8703" spans="65:72" x14ac:dyDescent="0.25">
      <c r="BM8703" s="81"/>
      <c r="BN8703" s="81"/>
      <c r="BO8703" s="81"/>
      <c r="BP8703" s="81"/>
      <c r="BQ8703" s="81"/>
      <c r="BR8703" s="81"/>
      <c r="BS8703" s="81"/>
      <c r="BT8703" s="81"/>
    </row>
    <row r="8704" spans="65:72" x14ac:dyDescent="0.25">
      <c r="BM8704" s="81"/>
      <c r="BN8704" s="81"/>
      <c r="BO8704" s="81"/>
      <c r="BP8704" s="81"/>
      <c r="BQ8704" s="81"/>
      <c r="BR8704" s="81"/>
      <c r="BS8704" s="81"/>
      <c r="BT8704" s="81"/>
    </row>
    <row r="8705" spans="65:72" x14ac:dyDescent="0.25">
      <c r="BM8705" s="81"/>
      <c r="BN8705" s="81"/>
      <c r="BO8705" s="81"/>
      <c r="BP8705" s="81"/>
      <c r="BQ8705" s="81"/>
      <c r="BR8705" s="81"/>
      <c r="BS8705" s="81"/>
      <c r="BT8705" s="81"/>
    </row>
    <row r="8706" spans="65:72" x14ac:dyDescent="0.25">
      <c r="BM8706" s="81"/>
      <c r="BN8706" s="81"/>
      <c r="BO8706" s="81"/>
      <c r="BP8706" s="81"/>
      <c r="BQ8706" s="81"/>
      <c r="BR8706" s="81"/>
      <c r="BS8706" s="81"/>
      <c r="BT8706" s="81"/>
    </row>
    <row r="8707" spans="65:72" x14ac:dyDescent="0.25">
      <c r="BM8707" s="81"/>
      <c r="BN8707" s="81"/>
      <c r="BO8707" s="81"/>
      <c r="BP8707" s="81"/>
      <c r="BQ8707" s="81"/>
      <c r="BR8707" s="81"/>
      <c r="BS8707" s="81"/>
      <c r="BT8707" s="81"/>
    </row>
    <row r="8708" spans="65:72" x14ac:dyDescent="0.25">
      <c r="BM8708" s="81"/>
      <c r="BN8708" s="81"/>
      <c r="BO8708" s="81"/>
      <c r="BP8708" s="81"/>
      <c r="BQ8708" s="81"/>
      <c r="BR8708" s="81"/>
      <c r="BS8708" s="81"/>
      <c r="BT8708" s="81"/>
    </row>
    <row r="8709" spans="65:72" x14ac:dyDescent="0.25">
      <c r="BM8709" s="81"/>
      <c r="BN8709" s="81"/>
      <c r="BO8709" s="81"/>
      <c r="BP8709" s="81"/>
      <c r="BQ8709" s="81"/>
      <c r="BR8709" s="81"/>
      <c r="BS8709" s="81"/>
      <c r="BT8709" s="81"/>
    </row>
    <row r="8710" spans="65:72" x14ac:dyDescent="0.25">
      <c r="BM8710" s="81"/>
      <c r="BN8710" s="81"/>
      <c r="BO8710" s="81"/>
      <c r="BP8710" s="81"/>
      <c r="BQ8710" s="81"/>
      <c r="BR8710" s="81"/>
      <c r="BS8710" s="81"/>
      <c r="BT8710" s="81"/>
    </row>
    <row r="8711" spans="65:72" x14ac:dyDescent="0.25">
      <c r="BM8711" s="81"/>
      <c r="BN8711" s="81"/>
      <c r="BO8711" s="81"/>
      <c r="BP8711" s="81"/>
      <c r="BQ8711" s="81"/>
      <c r="BR8711" s="81"/>
      <c r="BS8711" s="81"/>
      <c r="BT8711" s="81"/>
    </row>
    <row r="8712" spans="65:72" x14ac:dyDescent="0.25">
      <c r="BM8712" s="81"/>
      <c r="BN8712" s="81"/>
      <c r="BO8712" s="81"/>
      <c r="BP8712" s="81"/>
      <c r="BQ8712" s="81"/>
      <c r="BR8712" s="81"/>
      <c r="BS8712" s="81"/>
      <c r="BT8712" s="81"/>
    </row>
    <row r="8713" spans="65:72" x14ac:dyDescent="0.25">
      <c r="BM8713" s="81"/>
      <c r="BN8713" s="81"/>
      <c r="BO8713" s="81"/>
      <c r="BP8713" s="81"/>
      <c r="BQ8713" s="81"/>
      <c r="BR8713" s="81"/>
      <c r="BS8713" s="81"/>
      <c r="BT8713" s="81"/>
    </row>
    <row r="8714" spans="65:72" x14ac:dyDescent="0.25">
      <c r="BM8714" s="81"/>
      <c r="BN8714" s="81"/>
      <c r="BO8714" s="81"/>
      <c r="BP8714" s="81"/>
      <c r="BQ8714" s="81"/>
      <c r="BR8714" s="81"/>
      <c r="BS8714" s="81"/>
      <c r="BT8714" s="81"/>
    </row>
    <row r="8715" spans="65:72" x14ac:dyDescent="0.25">
      <c r="BM8715" s="81"/>
      <c r="BN8715" s="81"/>
      <c r="BO8715" s="81"/>
      <c r="BP8715" s="81"/>
      <c r="BQ8715" s="81"/>
      <c r="BR8715" s="81"/>
      <c r="BS8715" s="81"/>
      <c r="BT8715" s="81"/>
    </row>
    <row r="8716" spans="65:72" x14ac:dyDescent="0.25">
      <c r="BM8716" s="81"/>
      <c r="BN8716" s="81"/>
      <c r="BO8716" s="81"/>
      <c r="BP8716" s="81"/>
      <c r="BQ8716" s="81"/>
      <c r="BR8716" s="81"/>
      <c r="BS8716" s="81"/>
      <c r="BT8716" s="81"/>
    </row>
    <row r="8717" spans="65:72" x14ac:dyDescent="0.25">
      <c r="BM8717" s="81"/>
      <c r="BN8717" s="81"/>
      <c r="BO8717" s="81"/>
      <c r="BP8717" s="81"/>
      <c r="BQ8717" s="81"/>
      <c r="BR8717" s="81"/>
      <c r="BS8717" s="81"/>
      <c r="BT8717" s="81"/>
    </row>
    <row r="8718" spans="65:72" x14ac:dyDescent="0.25">
      <c r="BM8718" s="81"/>
      <c r="BN8718" s="81"/>
      <c r="BO8718" s="81"/>
      <c r="BP8718" s="81"/>
      <c r="BQ8718" s="81"/>
      <c r="BR8718" s="81"/>
      <c r="BS8718" s="81"/>
      <c r="BT8718" s="81"/>
    </row>
    <row r="8719" spans="65:72" x14ac:dyDescent="0.25">
      <c r="BM8719" s="81"/>
      <c r="BN8719" s="81"/>
      <c r="BO8719" s="81"/>
      <c r="BP8719" s="81"/>
      <c r="BQ8719" s="81"/>
      <c r="BR8719" s="81"/>
      <c r="BS8719" s="81"/>
      <c r="BT8719" s="81"/>
    </row>
    <row r="8720" spans="65:72" x14ac:dyDescent="0.25">
      <c r="BM8720" s="81"/>
      <c r="BN8720" s="81"/>
      <c r="BO8720" s="81"/>
      <c r="BP8720" s="81"/>
      <c r="BQ8720" s="81"/>
      <c r="BR8720" s="81"/>
      <c r="BS8720" s="81"/>
      <c r="BT8720" s="81"/>
    </row>
    <row r="8721" spans="65:72" x14ac:dyDescent="0.25">
      <c r="BM8721" s="81"/>
      <c r="BN8721" s="81"/>
      <c r="BO8721" s="81"/>
      <c r="BP8721" s="81"/>
      <c r="BQ8721" s="81"/>
      <c r="BR8721" s="81"/>
      <c r="BS8721" s="81"/>
      <c r="BT8721" s="81"/>
    </row>
    <row r="8722" spans="65:72" x14ac:dyDescent="0.25">
      <c r="BM8722" s="81"/>
      <c r="BN8722" s="81"/>
      <c r="BO8722" s="81"/>
      <c r="BP8722" s="81"/>
      <c r="BQ8722" s="81"/>
      <c r="BR8722" s="81"/>
      <c r="BS8722" s="81"/>
      <c r="BT8722" s="81"/>
    </row>
    <row r="8723" spans="65:72" x14ac:dyDescent="0.25">
      <c r="BM8723" s="81"/>
      <c r="BN8723" s="81"/>
      <c r="BO8723" s="81"/>
      <c r="BP8723" s="81"/>
      <c r="BQ8723" s="81"/>
      <c r="BR8723" s="81"/>
      <c r="BS8723" s="81"/>
      <c r="BT8723" s="81"/>
    </row>
    <row r="8724" spans="65:72" x14ac:dyDescent="0.25">
      <c r="BM8724" s="81"/>
      <c r="BN8724" s="81"/>
      <c r="BO8724" s="81"/>
      <c r="BP8724" s="81"/>
      <c r="BQ8724" s="81"/>
      <c r="BR8724" s="81"/>
      <c r="BS8724" s="81"/>
      <c r="BT8724" s="81"/>
    </row>
    <row r="8725" spans="65:72" x14ac:dyDescent="0.25">
      <c r="BM8725" s="81"/>
      <c r="BN8725" s="81"/>
      <c r="BO8725" s="81"/>
      <c r="BP8725" s="81"/>
      <c r="BQ8725" s="81"/>
      <c r="BR8725" s="81"/>
      <c r="BS8725" s="81"/>
      <c r="BT8725" s="81"/>
    </row>
    <row r="8726" spans="65:72" x14ac:dyDescent="0.25">
      <c r="BM8726" s="81"/>
      <c r="BN8726" s="81"/>
      <c r="BO8726" s="81"/>
      <c r="BP8726" s="81"/>
      <c r="BQ8726" s="81"/>
      <c r="BR8726" s="81"/>
      <c r="BS8726" s="81"/>
      <c r="BT8726" s="81"/>
    </row>
    <row r="8727" spans="65:72" x14ac:dyDescent="0.25">
      <c r="BM8727" s="81"/>
      <c r="BN8727" s="81"/>
      <c r="BO8727" s="81"/>
      <c r="BP8727" s="81"/>
      <c r="BQ8727" s="81"/>
      <c r="BR8727" s="81"/>
      <c r="BS8727" s="81"/>
      <c r="BT8727" s="81"/>
    </row>
    <row r="8728" spans="65:72" x14ac:dyDescent="0.25">
      <c r="BM8728" s="81"/>
      <c r="BN8728" s="81"/>
      <c r="BO8728" s="81"/>
      <c r="BP8728" s="81"/>
      <c r="BQ8728" s="81"/>
      <c r="BR8728" s="81"/>
      <c r="BS8728" s="81"/>
      <c r="BT8728" s="81"/>
    </row>
    <row r="8729" spans="65:72" x14ac:dyDescent="0.25">
      <c r="BM8729" s="81"/>
      <c r="BN8729" s="81"/>
      <c r="BO8729" s="81"/>
      <c r="BP8729" s="81"/>
      <c r="BQ8729" s="81"/>
      <c r="BR8729" s="81"/>
      <c r="BS8729" s="81"/>
      <c r="BT8729" s="81"/>
    </row>
    <row r="8730" spans="65:72" x14ac:dyDescent="0.25">
      <c r="BM8730" s="81"/>
      <c r="BN8730" s="81"/>
      <c r="BO8730" s="81"/>
      <c r="BP8730" s="81"/>
      <c r="BQ8730" s="81"/>
      <c r="BR8730" s="81"/>
      <c r="BS8730" s="81"/>
      <c r="BT8730" s="81"/>
    </row>
    <row r="8731" spans="65:72" x14ac:dyDescent="0.25">
      <c r="BM8731" s="81"/>
      <c r="BN8731" s="81"/>
      <c r="BO8731" s="81"/>
      <c r="BP8731" s="81"/>
      <c r="BQ8731" s="81"/>
      <c r="BR8731" s="81"/>
      <c r="BS8731" s="81"/>
      <c r="BT8731" s="81"/>
    </row>
    <row r="8732" spans="65:72" x14ac:dyDescent="0.25">
      <c r="BM8732" s="81"/>
      <c r="BN8732" s="81"/>
      <c r="BO8732" s="81"/>
      <c r="BP8732" s="81"/>
      <c r="BQ8732" s="81"/>
      <c r="BR8732" s="81"/>
      <c r="BS8732" s="81"/>
      <c r="BT8732" s="81"/>
    </row>
    <row r="8733" spans="65:72" x14ac:dyDescent="0.25">
      <c r="BM8733" s="81"/>
      <c r="BN8733" s="81"/>
      <c r="BO8733" s="81"/>
      <c r="BP8733" s="81"/>
      <c r="BQ8733" s="81"/>
      <c r="BR8733" s="81"/>
      <c r="BS8733" s="81"/>
      <c r="BT8733" s="81"/>
    </row>
    <row r="8734" spans="65:72" x14ac:dyDescent="0.25">
      <c r="BM8734" s="81"/>
      <c r="BN8734" s="81"/>
      <c r="BO8734" s="81"/>
      <c r="BP8734" s="81"/>
      <c r="BQ8734" s="81"/>
      <c r="BR8734" s="81"/>
      <c r="BS8734" s="81"/>
      <c r="BT8734" s="81"/>
    </row>
    <row r="8735" spans="65:72" x14ac:dyDescent="0.25">
      <c r="BM8735" s="81"/>
      <c r="BN8735" s="81"/>
      <c r="BO8735" s="81"/>
      <c r="BP8735" s="81"/>
      <c r="BQ8735" s="81"/>
      <c r="BR8735" s="81"/>
      <c r="BS8735" s="81"/>
      <c r="BT8735" s="81"/>
    </row>
    <row r="8736" spans="65:72" x14ac:dyDescent="0.25">
      <c r="BM8736" s="81"/>
      <c r="BN8736" s="81"/>
      <c r="BO8736" s="81"/>
      <c r="BP8736" s="81"/>
      <c r="BQ8736" s="81"/>
      <c r="BR8736" s="81"/>
      <c r="BS8736" s="81"/>
      <c r="BT8736" s="81"/>
    </row>
    <row r="8737" spans="65:72" x14ac:dyDescent="0.25">
      <c r="BM8737" s="81"/>
      <c r="BN8737" s="81"/>
      <c r="BO8737" s="81"/>
      <c r="BP8737" s="81"/>
      <c r="BQ8737" s="81"/>
      <c r="BR8737" s="81"/>
      <c r="BS8737" s="81"/>
      <c r="BT8737" s="81"/>
    </row>
    <row r="8738" spans="65:72" x14ac:dyDescent="0.25">
      <c r="BM8738" s="81"/>
      <c r="BN8738" s="81"/>
      <c r="BO8738" s="81"/>
      <c r="BP8738" s="81"/>
      <c r="BQ8738" s="81"/>
      <c r="BR8738" s="81"/>
      <c r="BS8738" s="81"/>
      <c r="BT8738" s="81"/>
    </row>
    <row r="8739" spans="65:72" x14ac:dyDescent="0.25">
      <c r="BM8739" s="81"/>
      <c r="BN8739" s="81"/>
      <c r="BO8739" s="81"/>
      <c r="BP8739" s="81"/>
      <c r="BQ8739" s="81"/>
      <c r="BR8739" s="81"/>
      <c r="BS8739" s="81"/>
      <c r="BT8739" s="81"/>
    </row>
    <row r="8740" spans="65:72" x14ac:dyDescent="0.25">
      <c r="BM8740" s="81"/>
      <c r="BN8740" s="81"/>
      <c r="BO8740" s="81"/>
      <c r="BP8740" s="81"/>
      <c r="BQ8740" s="81"/>
      <c r="BR8740" s="81"/>
      <c r="BS8740" s="81"/>
      <c r="BT8740" s="81"/>
    </row>
    <row r="8741" spans="65:72" x14ac:dyDescent="0.25">
      <c r="BM8741" s="81"/>
      <c r="BN8741" s="81"/>
      <c r="BO8741" s="81"/>
      <c r="BP8741" s="81"/>
      <c r="BQ8741" s="81"/>
      <c r="BR8741" s="81"/>
      <c r="BS8741" s="81"/>
      <c r="BT8741" s="81"/>
    </row>
    <row r="8742" spans="65:72" x14ac:dyDescent="0.25">
      <c r="BM8742" s="81"/>
      <c r="BN8742" s="81"/>
      <c r="BO8742" s="81"/>
      <c r="BP8742" s="81"/>
      <c r="BQ8742" s="81"/>
      <c r="BR8742" s="81"/>
      <c r="BS8742" s="81"/>
      <c r="BT8742" s="81"/>
    </row>
    <row r="8743" spans="65:72" x14ac:dyDescent="0.25">
      <c r="BM8743" s="81"/>
      <c r="BN8743" s="81"/>
      <c r="BO8743" s="81"/>
      <c r="BP8743" s="81"/>
      <c r="BQ8743" s="81"/>
      <c r="BR8743" s="81"/>
      <c r="BS8743" s="81"/>
      <c r="BT8743" s="81"/>
    </row>
    <row r="8744" spans="65:72" x14ac:dyDescent="0.25">
      <c r="BM8744" s="81"/>
      <c r="BN8744" s="81"/>
      <c r="BO8744" s="81"/>
      <c r="BP8744" s="81"/>
      <c r="BQ8744" s="81"/>
      <c r="BR8744" s="81"/>
      <c r="BS8744" s="81"/>
      <c r="BT8744" s="81"/>
    </row>
    <row r="8745" spans="65:72" x14ac:dyDescent="0.25">
      <c r="BM8745" s="81"/>
      <c r="BN8745" s="81"/>
      <c r="BO8745" s="81"/>
      <c r="BP8745" s="81"/>
      <c r="BQ8745" s="81"/>
      <c r="BR8745" s="81"/>
      <c r="BS8745" s="81"/>
      <c r="BT8745" s="81"/>
    </row>
    <row r="8746" spans="65:72" x14ac:dyDescent="0.25">
      <c r="BM8746" s="81"/>
      <c r="BN8746" s="81"/>
      <c r="BO8746" s="81"/>
      <c r="BP8746" s="81"/>
      <c r="BQ8746" s="81"/>
      <c r="BR8746" s="81"/>
      <c r="BS8746" s="81"/>
      <c r="BT8746" s="81"/>
    </row>
    <row r="8747" spans="65:72" x14ac:dyDescent="0.25">
      <c r="BM8747" s="81"/>
      <c r="BN8747" s="81"/>
      <c r="BO8747" s="81"/>
      <c r="BP8747" s="81"/>
      <c r="BQ8747" s="81"/>
      <c r="BR8747" s="81"/>
      <c r="BS8747" s="81"/>
      <c r="BT8747" s="81"/>
    </row>
    <row r="8748" spans="65:72" x14ac:dyDescent="0.25">
      <c r="BM8748" s="81"/>
      <c r="BN8748" s="81"/>
      <c r="BO8748" s="81"/>
      <c r="BP8748" s="81"/>
      <c r="BQ8748" s="81"/>
      <c r="BR8748" s="81"/>
      <c r="BS8748" s="81"/>
      <c r="BT8748" s="81"/>
    </row>
    <row r="8749" spans="65:72" x14ac:dyDescent="0.25">
      <c r="BM8749" s="81"/>
      <c r="BN8749" s="81"/>
      <c r="BO8749" s="81"/>
      <c r="BP8749" s="81"/>
      <c r="BQ8749" s="81"/>
      <c r="BR8749" s="81"/>
      <c r="BS8749" s="81"/>
      <c r="BT8749" s="81"/>
    </row>
    <row r="8750" spans="65:72" x14ac:dyDescent="0.25">
      <c r="BM8750" s="81"/>
      <c r="BN8750" s="81"/>
      <c r="BO8750" s="81"/>
      <c r="BP8750" s="81"/>
      <c r="BQ8750" s="81"/>
      <c r="BR8750" s="81"/>
      <c r="BS8750" s="81"/>
      <c r="BT8750" s="81"/>
    </row>
    <row r="8751" spans="65:72" x14ac:dyDescent="0.25">
      <c r="BM8751" s="81"/>
      <c r="BN8751" s="81"/>
      <c r="BO8751" s="81"/>
      <c r="BP8751" s="81"/>
      <c r="BQ8751" s="81"/>
      <c r="BR8751" s="81"/>
      <c r="BS8751" s="81"/>
      <c r="BT8751" s="81"/>
    </row>
    <row r="8752" spans="65:72" x14ac:dyDescent="0.25">
      <c r="BM8752" s="81"/>
      <c r="BN8752" s="81"/>
      <c r="BO8752" s="81"/>
      <c r="BP8752" s="81"/>
      <c r="BQ8752" s="81"/>
      <c r="BR8752" s="81"/>
      <c r="BS8752" s="81"/>
      <c r="BT8752" s="81"/>
    </row>
    <row r="8753" spans="65:72" x14ac:dyDescent="0.25">
      <c r="BM8753" s="81"/>
      <c r="BN8753" s="81"/>
      <c r="BO8753" s="81"/>
      <c r="BP8753" s="81"/>
      <c r="BQ8753" s="81"/>
      <c r="BR8753" s="81"/>
      <c r="BS8753" s="81"/>
      <c r="BT8753" s="81"/>
    </row>
    <row r="8754" spans="65:72" x14ac:dyDescent="0.25">
      <c r="BM8754" s="81"/>
      <c r="BN8754" s="81"/>
      <c r="BO8754" s="81"/>
      <c r="BP8754" s="81"/>
      <c r="BQ8754" s="81"/>
      <c r="BR8754" s="81"/>
      <c r="BS8754" s="81"/>
      <c r="BT8754" s="81"/>
    </row>
    <row r="8755" spans="65:72" x14ac:dyDescent="0.25">
      <c r="BM8755" s="81"/>
      <c r="BN8755" s="81"/>
      <c r="BO8755" s="81"/>
      <c r="BP8755" s="81"/>
      <c r="BQ8755" s="81"/>
      <c r="BR8755" s="81"/>
      <c r="BS8755" s="81"/>
      <c r="BT8755" s="81"/>
    </row>
    <row r="8756" spans="65:72" x14ac:dyDescent="0.25">
      <c r="BM8756" s="81"/>
      <c r="BN8756" s="81"/>
      <c r="BO8756" s="81"/>
      <c r="BP8756" s="81"/>
      <c r="BQ8756" s="81"/>
      <c r="BR8756" s="81"/>
      <c r="BS8756" s="81"/>
      <c r="BT8756" s="81"/>
    </row>
    <row r="8757" spans="65:72" x14ac:dyDescent="0.25">
      <c r="BM8757" s="81"/>
      <c r="BN8757" s="81"/>
      <c r="BO8757" s="81"/>
      <c r="BP8757" s="81"/>
      <c r="BQ8757" s="81"/>
      <c r="BR8757" s="81"/>
      <c r="BS8757" s="81"/>
      <c r="BT8757" s="81"/>
    </row>
    <row r="8758" spans="65:72" x14ac:dyDescent="0.25">
      <c r="BM8758" s="81"/>
      <c r="BN8758" s="81"/>
      <c r="BO8758" s="81"/>
      <c r="BP8758" s="81"/>
      <c r="BQ8758" s="81"/>
      <c r="BR8758" s="81"/>
      <c r="BS8758" s="81"/>
      <c r="BT8758" s="81"/>
    </row>
    <row r="8759" spans="65:72" x14ac:dyDescent="0.25">
      <c r="BM8759" s="81"/>
      <c r="BN8759" s="81"/>
      <c r="BO8759" s="81"/>
      <c r="BP8759" s="81"/>
      <c r="BQ8759" s="81"/>
      <c r="BR8759" s="81"/>
      <c r="BS8759" s="81"/>
      <c r="BT8759" s="81"/>
    </row>
    <row r="8760" spans="65:72" x14ac:dyDescent="0.25">
      <c r="BM8760" s="81"/>
      <c r="BN8760" s="81"/>
      <c r="BO8760" s="81"/>
      <c r="BP8760" s="81"/>
      <c r="BQ8760" s="81"/>
      <c r="BR8760" s="81"/>
      <c r="BS8760" s="81"/>
      <c r="BT8760" s="81"/>
    </row>
    <row r="8761" spans="65:72" x14ac:dyDescent="0.25">
      <c r="BM8761" s="81"/>
      <c r="BN8761" s="81"/>
      <c r="BO8761" s="81"/>
      <c r="BP8761" s="81"/>
      <c r="BQ8761" s="81"/>
      <c r="BR8761" s="81"/>
      <c r="BS8761" s="81"/>
      <c r="BT8761" s="81"/>
    </row>
    <row r="8762" spans="65:72" x14ac:dyDescent="0.25">
      <c r="BM8762" s="81"/>
      <c r="BN8762" s="81"/>
      <c r="BO8762" s="81"/>
      <c r="BP8762" s="81"/>
      <c r="BQ8762" s="81"/>
      <c r="BR8762" s="81"/>
      <c r="BS8762" s="81"/>
      <c r="BT8762" s="81"/>
    </row>
    <row r="8763" spans="65:72" x14ac:dyDescent="0.25">
      <c r="BM8763" s="81"/>
      <c r="BN8763" s="81"/>
      <c r="BO8763" s="81"/>
      <c r="BP8763" s="81"/>
      <c r="BQ8763" s="81"/>
      <c r="BR8763" s="81"/>
      <c r="BS8763" s="81"/>
      <c r="BT8763" s="81"/>
    </row>
    <row r="8764" spans="65:72" x14ac:dyDescent="0.25">
      <c r="BM8764" s="81"/>
      <c r="BN8764" s="81"/>
      <c r="BO8764" s="81"/>
      <c r="BP8764" s="81"/>
      <c r="BQ8764" s="81"/>
      <c r="BR8764" s="81"/>
      <c r="BS8764" s="81"/>
      <c r="BT8764" s="81"/>
    </row>
    <row r="8765" spans="65:72" x14ac:dyDescent="0.25">
      <c r="BM8765" s="81"/>
      <c r="BN8765" s="81"/>
      <c r="BO8765" s="81"/>
      <c r="BP8765" s="81"/>
      <c r="BQ8765" s="81"/>
      <c r="BR8765" s="81"/>
      <c r="BS8765" s="81"/>
      <c r="BT8765" s="81"/>
    </row>
    <row r="8766" spans="65:72" x14ac:dyDescent="0.25">
      <c r="BM8766" s="81"/>
      <c r="BN8766" s="81"/>
      <c r="BO8766" s="81"/>
      <c r="BP8766" s="81"/>
      <c r="BQ8766" s="81"/>
      <c r="BR8766" s="81"/>
      <c r="BS8766" s="81"/>
      <c r="BT8766" s="81"/>
    </row>
    <row r="8767" spans="65:72" x14ac:dyDescent="0.25">
      <c r="BM8767" s="81"/>
      <c r="BN8767" s="81"/>
      <c r="BO8767" s="81"/>
      <c r="BP8767" s="81"/>
      <c r="BQ8767" s="81"/>
      <c r="BR8767" s="81"/>
      <c r="BS8767" s="81"/>
      <c r="BT8767" s="81"/>
    </row>
    <row r="8768" spans="65:72" x14ac:dyDescent="0.25">
      <c r="BM8768" s="81"/>
      <c r="BN8768" s="81"/>
      <c r="BO8768" s="81"/>
      <c r="BP8768" s="81"/>
      <c r="BQ8768" s="81"/>
      <c r="BR8768" s="81"/>
      <c r="BS8768" s="81"/>
      <c r="BT8768" s="81"/>
    </row>
    <row r="8769" spans="65:72" x14ac:dyDescent="0.25">
      <c r="BM8769" s="81"/>
      <c r="BN8769" s="81"/>
      <c r="BO8769" s="81"/>
      <c r="BP8769" s="81"/>
      <c r="BQ8769" s="81"/>
      <c r="BR8769" s="81"/>
      <c r="BS8769" s="81"/>
      <c r="BT8769" s="81"/>
    </row>
    <row r="8770" spans="65:72" x14ac:dyDescent="0.25">
      <c r="BM8770" s="81"/>
      <c r="BN8770" s="81"/>
      <c r="BO8770" s="81"/>
      <c r="BP8770" s="81"/>
      <c r="BQ8770" s="81"/>
      <c r="BR8770" s="81"/>
      <c r="BS8770" s="81"/>
      <c r="BT8770" s="81"/>
    </row>
    <row r="8771" spans="65:72" x14ac:dyDescent="0.25">
      <c r="BM8771" s="81"/>
      <c r="BN8771" s="81"/>
      <c r="BO8771" s="81"/>
      <c r="BP8771" s="81"/>
      <c r="BQ8771" s="81"/>
      <c r="BR8771" s="81"/>
      <c r="BS8771" s="81"/>
      <c r="BT8771" s="81"/>
    </row>
    <row r="8772" spans="65:72" x14ac:dyDescent="0.25">
      <c r="BM8772" s="81"/>
      <c r="BN8772" s="81"/>
      <c r="BO8772" s="81"/>
      <c r="BP8772" s="81"/>
      <c r="BQ8772" s="81"/>
      <c r="BR8772" s="81"/>
      <c r="BS8772" s="81"/>
      <c r="BT8772" s="81"/>
    </row>
    <row r="8773" spans="65:72" x14ac:dyDescent="0.25">
      <c r="BM8773" s="81"/>
      <c r="BN8773" s="81"/>
      <c r="BO8773" s="81"/>
      <c r="BP8773" s="81"/>
      <c r="BQ8773" s="81"/>
      <c r="BR8773" s="81"/>
      <c r="BS8773" s="81"/>
      <c r="BT8773" s="81"/>
    </row>
    <row r="8774" spans="65:72" x14ac:dyDescent="0.25">
      <c r="BM8774" s="81"/>
      <c r="BN8774" s="81"/>
      <c r="BO8774" s="81"/>
      <c r="BP8774" s="81"/>
      <c r="BQ8774" s="81"/>
      <c r="BR8774" s="81"/>
      <c r="BS8774" s="81"/>
      <c r="BT8774" s="81"/>
    </row>
    <row r="8775" spans="65:72" x14ac:dyDescent="0.25">
      <c r="BM8775" s="81"/>
      <c r="BN8775" s="81"/>
      <c r="BO8775" s="81"/>
      <c r="BP8775" s="81"/>
      <c r="BQ8775" s="81"/>
      <c r="BR8775" s="81"/>
      <c r="BS8775" s="81"/>
      <c r="BT8775" s="81"/>
    </row>
    <row r="8776" spans="65:72" x14ac:dyDescent="0.25">
      <c r="BM8776" s="81"/>
      <c r="BN8776" s="81"/>
      <c r="BO8776" s="81"/>
      <c r="BP8776" s="81"/>
      <c r="BQ8776" s="81"/>
      <c r="BR8776" s="81"/>
      <c r="BS8776" s="81"/>
      <c r="BT8776" s="81"/>
    </row>
    <row r="8777" spans="65:72" x14ac:dyDescent="0.25">
      <c r="BM8777" s="81"/>
      <c r="BN8777" s="81"/>
      <c r="BO8777" s="81"/>
      <c r="BP8777" s="81"/>
      <c r="BQ8777" s="81"/>
      <c r="BR8777" s="81"/>
      <c r="BS8777" s="81"/>
      <c r="BT8777" s="81"/>
    </row>
    <row r="8778" spans="65:72" x14ac:dyDescent="0.25">
      <c r="BM8778" s="81"/>
      <c r="BN8778" s="81"/>
      <c r="BO8778" s="81"/>
      <c r="BP8778" s="81"/>
      <c r="BQ8778" s="81"/>
      <c r="BR8778" s="81"/>
      <c r="BS8778" s="81"/>
      <c r="BT8778" s="81"/>
    </row>
    <row r="8779" spans="65:72" x14ac:dyDescent="0.25">
      <c r="BM8779" s="81"/>
      <c r="BN8779" s="81"/>
      <c r="BO8779" s="81"/>
      <c r="BP8779" s="81"/>
      <c r="BQ8779" s="81"/>
      <c r="BR8779" s="81"/>
      <c r="BS8779" s="81"/>
      <c r="BT8779" s="81"/>
    </row>
    <row r="8780" spans="65:72" x14ac:dyDescent="0.25">
      <c r="BM8780" s="81"/>
      <c r="BN8780" s="81"/>
      <c r="BO8780" s="81"/>
      <c r="BP8780" s="81"/>
      <c r="BQ8780" s="81"/>
      <c r="BR8780" s="81"/>
      <c r="BS8780" s="81"/>
      <c r="BT8780" s="81"/>
    </row>
    <row r="8781" spans="65:72" x14ac:dyDescent="0.25">
      <c r="BM8781" s="81"/>
      <c r="BN8781" s="81"/>
      <c r="BO8781" s="81"/>
      <c r="BP8781" s="81"/>
      <c r="BQ8781" s="81"/>
      <c r="BR8781" s="81"/>
      <c r="BS8781" s="81"/>
      <c r="BT8781" s="81"/>
    </row>
    <row r="8782" spans="65:72" x14ac:dyDescent="0.25">
      <c r="BM8782" s="81"/>
      <c r="BN8782" s="81"/>
      <c r="BO8782" s="81"/>
      <c r="BP8782" s="81"/>
      <c r="BQ8782" s="81"/>
      <c r="BR8782" s="81"/>
      <c r="BS8782" s="81"/>
      <c r="BT8782" s="81"/>
    </row>
    <row r="8783" spans="65:72" x14ac:dyDescent="0.25">
      <c r="BM8783" s="81"/>
      <c r="BN8783" s="81"/>
      <c r="BO8783" s="81"/>
      <c r="BP8783" s="81"/>
      <c r="BQ8783" s="81"/>
      <c r="BR8783" s="81"/>
      <c r="BS8783" s="81"/>
      <c r="BT8783" s="81"/>
    </row>
    <row r="8784" spans="65:72" x14ac:dyDescent="0.25">
      <c r="BM8784" s="81"/>
      <c r="BN8784" s="81"/>
      <c r="BO8784" s="81"/>
      <c r="BP8784" s="81"/>
      <c r="BQ8784" s="81"/>
      <c r="BR8784" s="81"/>
      <c r="BS8784" s="81"/>
      <c r="BT8784" s="81"/>
    </row>
    <row r="8785" spans="65:72" x14ac:dyDescent="0.25">
      <c r="BM8785" s="81"/>
      <c r="BN8785" s="81"/>
      <c r="BO8785" s="81"/>
      <c r="BP8785" s="81"/>
      <c r="BQ8785" s="81"/>
      <c r="BR8785" s="81"/>
      <c r="BS8785" s="81"/>
      <c r="BT8785" s="81"/>
    </row>
    <row r="8786" spans="65:72" x14ac:dyDescent="0.25">
      <c r="BM8786" s="81"/>
      <c r="BN8786" s="81"/>
      <c r="BO8786" s="81"/>
      <c r="BP8786" s="81"/>
      <c r="BQ8786" s="81"/>
      <c r="BR8786" s="81"/>
      <c r="BS8786" s="81"/>
      <c r="BT8786" s="81"/>
    </row>
    <row r="8787" spans="65:72" x14ac:dyDescent="0.25">
      <c r="BM8787" s="81"/>
      <c r="BN8787" s="81"/>
      <c r="BO8787" s="81"/>
      <c r="BP8787" s="81"/>
      <c r="BQ8787" s="81"/>
      <c r="BR8787" s="81"/>
      <c r="BS8787" s="81"/>
      <c r="BT8787" s="81"/>
    </row>
    <row r="8788" spans="65:72" x14ac:dyDescent="0.25">
      <c r="BM8788" s="81"/>
      <c r="BN8788" s="81"/>
      <c r="BO8788" s="81"/>
      <c r="BP8788" s="81"/>
      <c r="BQ8788" s="81"/>
      <c r="BR8788" s="81"/>
      <c r="BS8788" s="81"/>
      <c r="BT8788" s="81"/>
    </row>
    <row r="8789" spans="65:72" x14ac:dyDescent="0.25">
      <c r="BM8789" s="81"/>
      <c r="BN8789" s="81"/>
      <c r="BO8789" s="81"/>
      <c r="BP8789" s="81"/>
      <c r="BQ8789" s="81"/>
      <c r="BR8789" s="81"/>
      <c r="BS8789" s="81"/>
      <c r="BT8789" s="81"/>
    </row>
    <row r="8790" spans="65:72" x14ac:dyDescent="0.25">
      <c r="BM8790" s="81"/>
      <c r="BN8790" s="81"/>
      <c r="BO8790" s="81"/>
      <c r="BP8790" s="81"/>
      <c r="BQ8790" s="81"/>
      <c r="BR8790" s="81"/>
      <c r="BS8790" s="81"/>
      <c r="BT8790" s="81"/>
    </row>
    <row r="8791" spans="65:72" x14ac:dyDescent="0.25">
      <c r="BM8791" s="81"/>
      <c r="BN8791" s="81"/>
      <c r="BO8791" s="81"/>
      <c r="BP8791" s="81"/>
      <c r="BQ8791" s="81"/>
      <c r="BR8791" s="81"/>
      <c r="BS8791" s="81"/>
      <c r="BT8791" s="81"/>
    </row>
    <row r="8792" spans="65:72" x14ac:dyDescent="0.25">
      <c r="BM8792" s="81"/>
      <c r="BN8792" s="81"/>
      <c r="BO8792" s="81"/>
      <c r="BP8792" s="81"/>
      <c r="BQ8792" s="81"/>
      <c r="BR8792" s="81"/>
      <c r="BS8792" s="81"/>
      <c r="BT8792" s="81"/>
    </row>
    <row r="8793" spans="65:72" x14ac:dyDescent="0.25">
      <c r="BM8793" s="81"/>
      <c r="BN8793" s="81"/>
      <c r="BO8793" s="81"/>
      <c r="BP8793" s="81"/>
      <c r="BQ8793" s="81"/>
      <c r="BR8793" s="81"/>
      <c r="BS8793" s="81"/>
      <c r="BT8793" s="81"/>
    </row>
    <row r="8794" spans="65:72" x14ac:dyDescent="0.25">
      <c r="BM8794" s="81"/>
      <c r="BN8794" s="81"/>
      <c r="BO8794" s="81"/>
      <c r="BP8794" s="81"/>
      <c r="BQ8794" s="81"/>
      <c r="BR8794" s="81"/>
      <c r="BS8794" s="81"/>
      <c r="BT8794" s="81"/>
    </row>
    <row r="8795" spans="65:72" x14ac:dyDescent="0.25">
      <c r="BM8795" s="81"/>
      <c r="BN8795" s="81"/>
      <c r="BO8795" s="81"/>
      <c r="BP8795" s="81"/>
      <c r="BQ8795" s="81"/>
      <c r="BR8795" s="81"/>
      <c r="BS8795" s="81"/>
      <c r="BT8795" s="81"/>
    </row>
    <row r="8796" spans="65:72" x14ac:dyDescent="0.25">
      <c r="BM8796" s="81"/>
      <c r="BN8796" s="81"/>
      <c r="BO8796" s="81"/>
      <c r="BP8796" s="81"/>
      <c r="BQ8796" s="81"/>
      <c r="BR8796" s="81"/>
      <c r="BS8796" s="81"/>
      <c r="BT8796" s="81"/>
    </row>
    <row r="8797" spans="65:72" x14ac:dyDescent="0.25">
      <c r="BM8797" s="81"/>
      <c r="BN8797" s="81"/>
      <c r="BO8797" s="81"/>
      <c r="BP8797" s="81"/>
      <c r="BQ8797" s="81"/>
      <c r="BR8797" s="81"/>
      <c r="BS8797" s="81"/>
      <c r="BT8797" s="81"/>
    </row>
    <row r="8798" spans="65:72" x14ac:dyDescent="0.25">
      <c r="BM8798" s="81"/>
      <c r="BN8798" s="81"/>
      <c r="BO8798" s="81"/>
      <c r="BP8798" s="81"/>
      <c r="BQ8798" s="81"/>
      <c r="BR8798" s="81"/>
      <c r="BS8798" s="81"/>
      <c r="BT8798" s="81"/>
    </row>
    <row r="8799" spans="65:72" x14ac:dyDescent="0.25">
      <c r="BM8799" s="81"/>
      <c r="BN8799" s="81"/>
      <c r="BO8799" s="81"/>
      <c r="BP8799" s="81"/>
      <c r="BQ8799" s="81"/>
      <c r="BR8799" s="81"/>
      <c r="BS8799" s="81"/>
      <c r="BT8799" s="81"/>
    </row>
    <row r="8800" spans="65:72" x14ac:dyDescent="0.25">
      <c r="BM8800" s="81"/>
      <c r="BN8800" s="81"/>
      <c r="BO8800" s="81"/>
      <c r="BP8800" s="81"/>
      <c r="BQ8800" s="81"/>
      <c r="BR8800" s="81"/>
      <c r="BS8800" s="81"/>
      <c r="BT8800" s="81"/>
    </row>
    <row r="8801" spans="65:72" x14ac:dyDescent="0.25">
      <c r="BM8801" s="81"/>
      <c r="BN8801" s="81"/>
      <c r="BO8801" s="81"/>
      <c r="BP8801" s="81"/>
      <c r="BQ8801" s="81"/>
      <c r="BR8801" s="81"/>
      <c r="BS8801" s="81"/>
      <c r="BT8801" s="81"/>
    </row>
    <row r="8802" spans="65:72" x14ac:dyDescent="0.25">
      <c r="BM8802" s="81"/>
      <c r="BN8802" s="81"/>
      <c r="BO8802" s="81"/>
      <c r="BP8802" s="81"/>
      <c r="BQ8802" s="81"/>
      <c r="BR8802" s="81"/>
      <c r="BS8802" s="81"/>
      <c r="BT8802" s="81"/>
    </row>
    <row r="8803" spans="65:72" x14ac:dyDescent="0.25">
      <c r="BM8803" s="81"/>
      <c r="BN8803" s="81"/>
      <c r="BO8803" s="81"/>
      <c r="BP8803" s="81"/>
      <c r="BQ8803" s="81"/>
      <c r="BR8803" s="81"/>
      <c r="BS8803" s="81"/>
      <c r="BT8803" s="81"/>
    </row>
    <row r="8804" spans="65:72" x14ac:dyDescent="0.25">
      <c r="BM8804" s="81"/>
      <c r="BN8804" s="81"/>
      <c r="BO8804" s="81"/>
      <c r="BP8804" s="81"/>
      <c r="BQ8804" s="81"/>
      <c r="BR8804" s="81"/>
      <c r="BS8804" s="81"/>
      <c r="BT8804" s="81"/>
    </row>
    <row r="8805" spans="65:72" x14ac:dyDescent="0.25">
      <c r="BM8805" s="81"/>
      <c r="BN8805" s="81"/>
      <c r="BO8805" s="81"/>
      <c r="BP8805" s="81"/>
      <c r="BQ8805" s="81"/>
      <c r="BR8805" s="81"/>
      <c r="BS8805" s="81"/>
      <c r="BT8805" s="81"/>
    </row>
    <row r="8806" spans="65:72" x14ac:dyDescent="0.25">
      <c r="BM8806" s="81"/>
      <c r="BN8806" s="81"/>
      <c r="BO8806" s="81"/>
      <c r="BP8806" s="81"/>
      <c r="BQ8806" s="81"/>
      <c r="BR8806" s="81"/>
      <c r="BS8806" s="81"/>
      <c r="BT8806" s="81"/>
    </row>
    <row r="8807" spans="65:72" x14ac:dyDescent="0.25">
      <c r="BM8807" s="81"/>
      <c r="BN8807" s="81"/>
      <c r="BO8807" s="81"/>
      <c r="BP8807" s="81"/>
      <c r="BQ8807" s="81"/>
      <c r="BR8807" s="81"/>
      <c r="BS8807" s="81"/>
      <c r="BT8807" s="81"/>
    </row>
    <row r="8808" spans="65:72" x14ac:dyDescent="0.25">
      <c r="BM8808" s="81"/>
      <c r="BN8808" s="81"/>
      <c r="BO8808" s="81"/>
      <c r="BP8808" s="81"/>
      <c r="BQ8808" s="81"/>
      <c r="BR8808" s="81"/>
      <c r="BS8808" s="81"/>
      <c r="BT8808" s="81"/>
    </row>
    <row r="8809" spans="65:72" x14ac:dyDescent="0.25">
      <c r="BM8809" s="81"/>
      <c r="BN8809" s="81"/>
      <c r="BO8809" s="81"/>
      <c r="BP8809" s="81"/>
      <c r="BQ8809" s="81"/>
      <c r="BR8809" s="81"/>
      <c r="BS8809" s="81"/>
      <c r="BT8809" s="81"/>
    </row>
    <row r="8810" spans="65:72" x14ac:dyDescent="0.25">
      <c r="BM8810" s="81"/>
      <c r="BN8810" s="81"/>
      <c r="BO8810" s="81"/>
      <c r="BP8810" s="81"/>
      <c r="BQ8810" s="81"/>
      <c r="BR8810" s="81"/>
      <c r="BS8810" s="81"/>
      <c r="BT8810" s="81"/>
    </row>
    <row r="8811" spans="65:72" x14ac:dyDescent="0.25">
      <c r="BM8811" s="81"/>
      <c r="BN8811" s="81"/>
      <c r="BO8811" s="81"/>
      <c r="BP8811" s="81"/>
      <c r="BQ8811" s="81"/>
      <c r="BR8811" s="81"/>
      <c r="BS8811" s="81"/>
      <c r="BT8811" s="81"/>
    </row>
    <row r="8812" spans="65:72" x14ac:dyDescent="0.25">
      <c r="BM8812" s="81"/>
      <c r="BN8812" s="81"/>
      <c r="BO8812" s="81"/>
      <c r="BP8812" s="81"/>
      <c r="BQ8812" s="81"/>
      <c r="BR8812" s="81"/>
      <c r="BS8812" s="81"/>
      <c r="BT8812" s="81"/>
    </row>
    <row r="8813" spans="65:72" x14ac:dyDescent="0.25">
      <c r="BM8813" s="81"/>
      <c r="BN8813" s="81"/>
      <c r="BO8813" s="81"/>
      <c r="BP8813" s="81"/>
      <c r="BQ8813" s="81"/>
      <c r="BR8813" s="81"/>
      <c r="BS8813" s="81"/>
      <c r="BT8813" s="81"/>
    </row>
    <row r="8814" spans="65:72" x14ac:dyDescent="0.25">
      <c r="BM8814" s="81"/>
      <c r="BN8814" s="81"/>
      <c r="BO8814" s="81"/>
      <c r="BP8814" s="81"/>
      <c r="BQ8814" s="81"/>
      <c r="BR8814" s="81"/>
      <c r="BS8814" s="81"/>
      <c r="BT8814" s="81"/>
    </row>
    <row r="8815" spans="65:72" x14ac:dyDescent="0.25">
      <c r="BM8815" s="81"/>
      <c r="BN8815" s="81"/>
      <c r="BO8815" s="81"/>
      <c r="BP8815" s="81"/>
      <c r="BQ8815" s="81"/>
      <c r="BR8815" s="81"/>
      <c r="BS8815" s="81"/>
      <c r="BT8815" s="81"/>
    </row>
    <row r="8816" spans="65:72" x14ac:dyDescent="0.25">
      <c r="BM8816" s="81"/>
      <c r="BN8816" s="81"/>
      <c r="BO8816" s="81"/>
      <c r="BP8816" s="81"/>
      <c r="BQ8816" s="81"/>
      <c r="BR8816" s="81"/>
      <c r="BS8816" s="81"/>
      <c r="BT8816" s="81"/>
    </row>
    <row r="8817" spans="65:72" x14ac:dyDescent="0.25">
      <c r="BM8817" s="81"/>
      <c r="BN8817" s="81"/>
      <c r="BO8817" s="81"/>
      <c r="BP8817" s="81"/>
      <c r="BQ8817" s="81"/>
      <c r="BR8817" s="81"/>
      <c r="BS8817" s="81"/>
      <c r="BT8817" s="81"/>
    </row>
    <row r="8818" spans="65:72" x14ac:dyDescent="0.25">
      <c r="BM8818" s="81"/>
      <c r="BN8818" s="81"/>
      <c r="BO8818" s="81"/>
      <c r="BP8818" s="81"/>
      <c r="BQ8818" s="81"/>
      <c r="BR8818" s="81"/>
      <c r="BS8818" s="81"/>
      <c r="BT8818" s="81"/>
    </row>
    <row r="8819" spans="65:72" x14ac:dyDescent="0.25">
      <c r="BM8819" s="81"/>
      <c r="BN8819" s="81"/>
      <c r="BO8819" s="81"/>
      <c r="BP8819" s="81"/>
      <c r="BQ8819" s="81"/>
      <c r="BR8819" s="81"/>
      <c r="BS8819" s="81"/>
      <c r="BT8819" s="81"/>
    </row>
    <row r="8820" spans="65:72" x14ac:dyDescent="0.25">
      <c r="BM8820" s="81"/>
      <c r="BN8820" s="81"/>
      <c r="BO8820" s="81"/>
      <c r="BP8820" s="81"/>
      <c r="BQ8820" s="81"/>
      <c r="BR8820" s="81"/>
      <c r="BS8820" s="81"/>
      <c r="BT8820" s="81"/>
    </row>
    <row r="8821" spans="65:72" x14ac:dyDescent="0.25">
      <c r="BM8821" s="81"/>
      <c r="BN8821" s="81"/>
      <c r="BO8821" s="81"/>
      <c r="BP8821" s="81"/>
      <c r="BQ8821" s="81"/>
      <c r="BR8821" s="81"/>
      <c r="BS8821" s="81"/>
      <c r="BT8821" s="81"/>
    </row>
    <row r="8822" spans="65:72" x14ac:dyDescent="0.25">
      <c r="BM8822" s="81"/>
      <c r="BN8822" s="81"/>
      <c r="BO8822" s="81"/>
      <c r="BP8822" s="81"/>
      <c r="BQ8822" s="81"/>
      <c r="BR8822" s="81"/>
      <c r="BS8822" s="81"/>
      <c r="BT8822" s="81"/>
    </row>
    <row r="8823" spans="65:72" x14ac:dyDescent="0.25">
      <c r="BM8823" s="81"/>
      <c r="BN8823" s="81"/>
      <c r="BO8823" s="81"/>
      <c r="BP8823" s="81"/>
      <c r="BQ8823" s="81"/>
      <c r="BR8823" s="81"/>
      <c r="BS8823" s="81"/>
      <c r="BT8823" s="81"/>
    </row>
    <row r="8824" spans="65:72" x14ac:dyDescent="0.25">
      <c r="BM8824" s="81"/>
      <c r="BN8824" s="81"/>
      <c r="BO8824" s="81"/>
      <c r="BP8824" s="81"/>
      <c r="BQ8824" s="81"/>
      <c r="BR8824" s="81"/>
      <c r="BS8824" s="81"/>
      <c r="BT8824" s="81"/>
    </row>
    <row r="8825" spans="65:72" x14ac:dyDescent="0.25">
      <c r="BM8825" s="81"/>
      <c r="BN8825" s="81"/>
      <c r="BO8825" s="81"/>
      <c r="BP8825" s="81"/>
      <c r="BQ8825" s="81"/>
      <c r="BR8825" s="81"/>
      <c r="BS8825" s="81"/>
      <c r="BT8825" s="81"/>
    </row>
    <row r="8826" spans="65:72" x14ac:dyDescent="0.25">
      <c r="BM8826" s="81"/>
      <c r="BN8826" s="81"/>
      <c r="BO8826" s="81"/>
      <c r="BP8826" s="81"/>
      <c r="BQ8826" s="81"/>
      <c r="BR8826" s="81"/>
      <c r="BS8826" s="81"/>
      <c r="BT8826" s="81"/>
    </row>
    <row r="8827" spans="65:72" x14ac:dyDescent="0.25">
      <c r="BM8827" s="81"/>
      <c r="BN8827" s="81"/>
      <c r="BO8827" s="81"/>
      <c r="BP8827" s="81"/>
      <c r="BQ8827" s="81"/>
      <c r="BR8827" s="81"/>
      <c r="BS8827" s="81"/>
      <c r="BT8827" s="81"/>
    </row>
    <row r="8828" spans="65:72" x14ac:dyDescent="0.25">
      <c r="BM8828" s="81"/>
      <c r="BN8828" s="81"/>
      <c r="BO8828" s="81"/>
      <c r="BP8828" s="81"/>
      <c r="BQ8828" s="81"/>
      <c r="BR8828" s="81"/>
      <c r="BS8828" s="81"/>
      <c r="BT8828" s="81"/>
    </row>
    <row r="8829" spans="65:72" x14ac:dyDescent="0.25">
      <c r="BM8829" s="81"/>
      <c r="BN8829" s="81"/>
      <c r="BO8829" s="81"/>
      <c r="BP8829" s="81"/>
      <c r="BQ8829" s="81"/>
      <c r="BR8829" s="81"/>
      <c r="BS8829" s="81"/>
      <c r="BT8829" s="81"/>
    </row>
    <row r="8830" spans="65:72" x14ac:dyDescent="0.25">
      <c r="BM8830" s="81"/>
      <c r="BN8830" s="81"/>
      <c r="BO8830" s="81"/>
      <c r="BP8830" s="81"/>
      <c r="BQ8830" s="81"/>
      <c r="BR8830" s="81"/>
      <c r="BS8830" s="81"/>
      <c r="BT8830" s="81"/>
    </row>
    <row r="8831" spans="65:72" x14ac:dyDescent="0.25">
      <c r="BM8831" s="81"/>
      <c r="BN8831" s="81"/>
      <c r="BO8831" s="81"/>
      <c r="BP8831" s="81"/>
      <c r="BQ8831" s="81"/>
      <c r="BR8831" s="81"/>
      <c r="BS8831" s="81"/>
      <c r="BT8831" s="81"/>
    </row>
    <row r="8832" spans="65:72" x14ac:dyDescent="0.25">
      <c r="BM8832" s="81"/>
      <c r="BN8832" s="81"/>
      <c r="BO8832" s="81"/>
      <c r="BP8832" s="81"/>
      <c r="BQ8832" s="81"/>
      <c r="BR8832" s="81"/>
      <c r="BS8832" s="81"/>
      <c r="BT8832" s="81"/>
    </row>
    <row r="8833" spans="65:72" x14ac:dyDescent="0.25">
      <c r="BM8833" s="81"/>
      <c r="BN8833" s="81"/>
      <c r="BO8833" s="81"/>
      <c r="BP8833" s="81"/>
      <c r="BQ8833" s="81"/>
      <c r="BR8833" s="81"/>
      <c r="BS8833" s="81"/>
      <c r="BT8833" s="81"/>
    </row>
    <row r="8834" spans="65:72" x14ac:dyDescent="0.25">
      <c r="BM8834" s="81"/>
      <c r="BN8834" s="81"/>
      <c r="BO8834" s="81"/>
      <c r="BP8834" s="81"/>
      <c r="BQ8834" s="81"/>
      <c r="BR8834" s="81"/>
      <c r="BS8834" s="81"/>
      <c r="BT8834" s="81"/>
    </row>
    <row r="8835" spans="65:72" x14ac:dyDescent="0.25">
      <c r="BM8835" s="81"/>
      <c r="BN8835" s="81"/>
      <c r="BO8835" s="81"/>
      <c r="BP8835" s="81"/>
      <c r="BQ8835" s="81"/>
      <c r="BR8835" s="81"/>
      <c r="BS8835" s="81"/>
      <c r="BT8835" s="81"/>
    </row>
    <row r="8836" spans="65:72" x14ac:dyDescent="0.25">
      <c r="BM8836" s="81"/>
      <c r="BN8836" s="81"/>
      <c r="BO8836" s="81"/>
      <c r="BP8836" s="81"/>
      <c r="BQ8836" s="81"/>
      <c r="BR8836" s="81"/>
      <c r="BS8836" s="81"/>
      <c r="BT8836" s="81"/>
    </row>
    <row r="8837" spans="65:72" x14ac:dyDescent="0.25">
      <c r="BM8837" s="81"/>
      <c r="BN8837" s="81"/>
      <c r="BO8837" s="81"/>
      <c r="BP8837" s="81"/>
      <c r="BQ8837" s="81"/>
      <c r="BR8837" s="81"/>
      <c r="BS8837" s="81"/>
      <c r="BT8837" s="81"/>
    </row>
    <row r="8838" spans="65:72" x14ac:dyDescent="0.25">
      <c r="BM8838" s="81"/>
      <c r="BN8838" s="81"/>
      <c r="BO8838" s="81"/>
      <c r="BP8838" s="81"/>
      <c r="BQ8838" s="81"/>
      <c r="BR8838" s="81"/>
      <c r="BS8838" s="81"/>
      <c r="BT8838" s="81"/>
    </row>
    <row r="8839" spans="65:72" x14ac:dyDescent="0.25">
      <c r="BM8839" s="81"/>
      <c r="BN8839" s="81"/>
      <c r="BO8839" s="81"/>
      <c r="BP8839" s="81"/>
      <c r="BQ8839" s="81"/>
      <c r="BR8839" s="81"/>
      <c r="BS8839" s="81"/>
      <c r="BT8839" s="81"/>
    </row>
    <row r="8840" spans="65:72" x14ac:dyDescent="0.25">
      <c r="BM8840" s="81"/>
      <c r="BN8840" s="81"/>
      <c r="BO8840" s="81"/>
      <c r="BP8840" s="81"/>
      <c r="BQ8840" s="81"/>
      <c r="BR8840" s="81"/>
      <c r="BS8840" s="81"/>
      <c r="BT8840" s="81"/>
    </row>
    <row r="8841" spans="65:72" x14ac:dyDescent="0.25">
      <c r="BM8841" s="81"/>
      <c r="BN8841" s="81"/>
      <c r="BO8841" s="81"/>
      <c r="BP8841" s="81"/>
      <c r="BQ8841" s="81"/>
      <c r="BR8841" s="81"/>
      <c r="BS8841" s="81"/>
      <c r="BT8841" s="81"/>
    </row>
    <row r="8842" spans="65:72" x14ac:dyDescent="0.25">
      <c r="BM8842" s="81"/>
      <c r="BN8842" s="81"/>
      <c r="BO8842" s="81"/>
      <c r="BP8842" s="81"/>
      <c r="BQ8842" s="81"/>
      <c r="BR8842" s="81"/>
      <c r="BS8842" s="81"/>
      <c r="BT8842" s="81"/>
    </row>
    <row r="8843" spans="65:72" x14ac:dyDescent="0.25">
      <c r="BM8843" s="81"/>
      <c r="BN8843" s="81"/>
      <c r="BO8843" s="81"/>
      <c r="BP8843" s="81"/>
      <c r="BQ8843" s="81"/>
      <c r="BR8843" s="81"/>
      <c r="BS8843" s="81"/>
      <c r="BT8843" s="81"/>
    </row>
    <row r="8844" spans="65:72" x14ac:dyDescent="0.25">
      <c r="BM8844" s="81"/>
      <c r="BN8844" s="81"/>
      <c r="BO8844" s="81"/>
      <c r="BP8844" s="81"/>
      <c r="BQ8844" s="81"/>
      <c r="BR8844" s="81"/>
      <c r="BS8844" s="81"/>
      <c r="BT8844" s="81"/>
    </row>
    <row r="8845" spans="65:72" x14ac:dyDescent="0.25">
      <c r="BM8845" s="81"/>
      <c r="BN8845" s="81"/>
      <c r="BO8845" s="81"/>
      <c r="BP8845" s="81"/>
      <c r="BQ8845" s="81"/>
      <c r="BR8845" s="81"/>
      <c r="BS8845" s="81"/>
      <c r="BT8845" s="81"/>
    </row>
    <row r="8846" spans="65:72" x14ac:dyDescent="0.25">
      <c r="BM8846" s="81"/>
      <c r="BN8846" s="81"/>
      <c r="BO8846" s="81"/>
      <c r="BP8846" s="81"/>
      <c r="BQ8846" s="81"/>
      <c r="BR8846" s="81"/>
      <c r="BS8846" s="81"/>
      <c r="BT8846" s="81"/>
    </row>
    <row r="8847" spans="65:72" x14ac:dyDescent="0.25">
      <c r="BM8847" s="81"/>
      <c r="BN8847" s="81"/>
      <c r="BO8847" s="81"/>
      <c r="BP8847" s="81"/>
      <c r="BQ8847" s="81"/>
      <c r="BR8847" s="81"/>
      <c r="BS8847" s="81"/>
      <c r="BT8847" s="81"/>
    </row>
    <row r="8848" spans="65:72" x14ac:dyDescent="0.25">
      <c r="BM8848" s="81"/>
      <c r="BN8848" s="81"/>
      <c r="BO8848" s="81"/>
      <c r="BP8848" s="81"/>
      <c r="BQ8848" s="81"/>
      <c r="BR8848" s="81"/>
      <c r="BS8848" s="81"/>
      <c r="BT8848" s="81"/>
    </row>
    <row r="8849" spans="65:72" x14ac:dyDescent="0.25">
      <c r="BM8849" s="81"/>
      <c r="BN8849" s="81"/>
      <c r="BO8849" s="81"/>
      <c r="BP8849" s="81"/>
      <c r="BQ8849" s="81"/>
      <c r="BR8849" s="81"/>
      <c r="BS8849" s="81"/>
      <c r="BT8849" s="81"/>
    </row>
    <row r="8850" spans="65:72" x14ac:dyDescent="0.25">
      <c r="BM8850" s="81"/>
      <c r="BN8850" s="81"/>
      <c r="BO8850" s="81"/>
      <c r="BP8850" s="81"/>
      <c r="BQ8850" s="81"/>
      <c r="BR8850" s="81"/>
      <c r="BS8850" s="81"/>
      <c r="BT8850" s="81"/>
    </row>
    <row r="8851" spans="65:72" x14ac:dyDescent="0.25">
      <c r="BM8851" s="81"/>
      <c r="BN8851" s="81"/>
      <c r="BO8851" s="81"/>
      <c r="BP8851" s="81"/>
      <c r="BQ8851" s="81"/>
      <c r="BR8851" s="81"/>
      <c r="BS8851" s="81"/>
      <c r="BT8851" s="81"/>
    </row>
    <row r="8852" spans="65:72" x14ac:dyDescent="0.25">
      <c r="BM8852" s="81"/>
      <c r="BN8852" s="81"/>
      <c r="BO8852" s="81"/>
      <c r="BP8852" s="81"/>
      <c r="BQ8852" s="81"/>
      <c r="BR8852" s="81"/>
      <c r="BS8852" s="81"/>
      <c r="BT8852" s="81"/>
    </row>
    <row r="8853" spans="65:72" x14ac:dyDescent="0.25">
      <c r="BM8853" s="81"/>
      <c r="BN8853" s="81"/>
      <c r="BO8853" s="81"/>
      <c r="BP8853" s="81"/>
      <c r="BQ8853" s="81"/>
      <c r="BR8853" s="81"/>
      <c r="BS8853" s="81"/>
      <c r="BT8853" s="81"/>
    </row>
    <row r="8854" spans="65:72" x14ac:dyDescent="0.25">
      <c r="BM8854" s="81"/>
      <c r="BN8854" s="81"/>
      <c r="BO8854" s="81"/>
      <c r="BP8854" s="81"/>
      <c r="BQ8854" s="81"/>
      <c r="BR8854" s="81"/>
      <c r="BS8854" s="81"/>
      <c r="BT8854" s="81"/>
    </row>
    <row r="8855" spans="65:72" x14ac:dyDescent="0.25">
      <c r="BM8855" s="81"/>
      <c r="BN8855" s="81"/>
      <c r="BO8855" s="81"/>
      <c r="BP8855" s="81"/>
      <c r="BQ8855" s="81"/>
      <c r="BR8855" s="81"/>
      <c r="BS8855" s="81"/>
      <c r="BT8855" s="81"/>
    </row>
    <row r="8856" spans="65:72" x14ac:dyDescent="0.25">
      <c r="BM8856" s="81"/>
      <c r="BN8856" s="81"/>
      <c r="BO8856" s="81"/>
      <c r="BP8856" s="81"/>
      <c r="BQ8856" s="81"/>
      <c r="BR8856" s="81"/>
      <c r="BS8856" s="81"/>
      <c r="BT8856" s="81"/>
    </row>
    <row r="8857" spans="65:72" x14ac:dyDescent="0.25">
      <c r="BM8857" s="81"/>
      <c r="BN8857" s="81"/>
      <c r="BO8857" s="81"/>
      <c r="BP8857" s="81"/>
      <c r="BQ8857" s="81"/>
      <c r="BR8857" s="81"/>
      <c r="BS8857" s="81"/>
      <c r="BT8857" s="81"/>
    </row>
    <row r="8858" spans="65:72" x14ac:dyDescent="0.25">
      <c r="BM8858" s="81"/>
      <c r="BN8858" s="81"/>
      <c r="BO8858" s="81"/>
      <c r="BP8858" s="81"/>
      <c r="BQ8858" s="81"/>
      <c r="BR8858" s="81"/>
      <c r="BS8858" s="81"/>
      <c r="BT8858" s="81"/>
    </row>
    <row r="8859" spans="65:72" x14ac:dyDescent="0.25">
      <c r="BM8859" s="81"/>
      <c r="BN8859" s="81"/>
      <c r="BO8859" s="81"/>
      <c r="BP8859" s="81"/>
      <c r="BQ8859" s="81"/>
      <c r="BR8859" s="81"/>
      <c r="BS8859" s="81"/>
      <c r="BT8859" s="81"/>
    </row>
    <row r="8860" spans="65:72" x14ac:dyDescent="0.25">
      <c r="BM8860" s="81"/>
      <c r="BN8860" s="81"/>
      <c r="BO8860" s="81"/>
      <c r="BP8860" s="81"/>
      <c r="BQ8860" s="81"/>
      <c r="BR8860" s="81"/>
      <c r="BS8860" s="81"/>
      <c r="BT8860" s="81"/>
    </row>
    <row r="8861" spans="65:72" x14ac:dyDescent="0.25">
      <c r="BM8861" s="81"/>
      <c r="BN8861" s="81"/>
      <c r="BO8861" s="81"/>
      <c r="BP8861" s="81"/>
      <c r="BQ8861" s="81"/>
      <c r="BR8861" s="81"/>
      <c r="BS8861" s="81"/>
      <c r="BT8861" s="81"/>
    </row>
    <row r="8862" spans="65:72" x14ac:dyDescent="0.25">
      <c r="BM8862" s="81"/>
      <c r="BN8862" s="81"/>
      <c r="BO8862" s="81"/>
      <c r="BP8862" s="81"/>
      <c r="BQ8862" s="81"/>
      <c r="BR8862" s="81"/>
      <c r="BS8862" s="81"/>
      <c r="BT8862" s="81"/>
    </row>
    <row r="8863" spans="65:72" x14ac:dyDescent="0.25">
      <c r="BM8863" s="81"/>
      <c r="BN8863" s="81"/>
      <c r="BO8863" s="81"/>
      <c r="BP8863" s="81"/>
      <c r="BQ8863" s="81"/>
      <c r="BR8863" s="81"/>
      <c r="BS8863" s="81"/>
      <c r="BT8863" s="81"/>
    </row>
    <row r="8864" spans="65:72" x14ac:dyDescent="0.25">
      <c r="BM8864" s="81"/>
      <c r="BN8864" s="81"/>
      <c r="BO8864" s="81"/>
      <c r="BP8864" s="81"/>
      <c r="BQ8864" s="81"/>
      <c r="BR8864" s="81"/>
      <c r="BS8864" s="81"/>
      <c r="BT8864" s="81"/>
    </row>
    <row r="8865" spans="65:72" x14ac:dyDescent="0.25">
      <c r="BM8865" s="81"/>
      <c r="BN8865" s="81"/>
      <c r="BO8865" s="81"/>
      <c r="BP8865" s="81"/>
      <c r="BQ8865" s="81"/>
      <c r="BR8865" s="81"/>
      <c r="BS8865" s="81"/>
      <c r="BT8865" s="81"/>
    </row>
    <row r="8866" spans="65:72" x14ac:dyDescent="0.25">
      <c r="BM8866" s="81"/>
      <c r="BN8866" s="81"/>
      <c r="BO8866" s="81"/>
      <c r="BP8866" s="81"/>
      <c r="BQ8866" s="81"/>
      <c r="BR8866" s="81"/>
      <c r="BS8866" s="81"/>
      <c r="BT8866" s="81"/>
    </row>
    <row r="8867" spans="65:72" x14ac:dyDescent="0.25">
      <c r="BM8867" s="81"/>
      <c r="BN8867" s="81"/>
      <c r="BO8867" s="81"/>
      <c r="BP8867" s="81"/>
      <c r="BQ8867" s="81"/>
      <c r="BR8867" s="81"/>
      <c r="BS8867" s="81"/>
      <c r="BT8867" s="81"/>
    </row>
    <row r="8868" spans="65:72" x14ac:dyDescent="0.25">
      <c r="BM8868" s="81"/>
      <c r="BN8868" s="81"/>
      <c r="BO8868" s="81"/>
      <c r="BP8868" s="81"/>
      <c r="BQ8868" s="81"/>
      <c r="BR8868" s="81"/>
      <c r="BS8868" s="81"/>
      <c r="BT8868" s="81"/>
    </row>
    <row r="8869" spans="65:72" x14ac:dyDescent="0.25">
      <c r="BM8869" s="81"/>
      <c r="BN8869" s="81"/>
      <c r="BO8869" s="81"/>
      <c r="BP8869" s="81"/>
      <c r="BQ8869" s="81"/>
      <c r="BR8869" s="81"/>
      <c r="BS8869" s="81"/>
      <c r="BT8869" s="81"/>
    </row>
    <row r="8870" spans="65:72" x14ac:dyDescent="0.25">
      <c r="BM8870" s="81"/>
      <c r="BN8870" s="81"/>
      <c r="BO8870" s="81"/>
      <c r="BP8870" s="81"/>
      <c r="BQ8870" s="81"/>
      <c r="BR8870" s="81"/>
      <c r="BS8870" s="81"/>
      <c r="BT8870" s="81"/>
    </row>
    <row r="8871" spans="65:72" x14ac:dyDescent="0.25">
      <c r="BM8871" s="81"/>
      <c r="BN8871" s="81"/>
      <c r="BO8871" s="81"/>
      <c r="BP8871" s="81"/>
      <c r="BQ8871" s="81"/>
      <c r="BR8871" s="81"/>
      <c r="BS8871" s="81"/>
      <c r="BT8871" s="81"/>
    </row>
    <row r="8872" spans="65:72" x14ac:dyDescent="0.25">
      <c r="BM8872" s="81"/>
      <c r="BN8872" s="81"/>
      <c r="BO8872" s="81"/>
      <c r="BP8872" s="81"/>
      <c r="BQ8872" s="81"/>
      <c r="BR8872" s="81"/>
      <c r="BS8872" s="81"/>
      <c r="BT8872" s="81"/>
    </row>
    <row r="8873" spans="65:72" x14ac:dyDescent="0.25">
      <c r="BM8873" s="81"/>
      <c r="BN8873" s="81"/>
      <c r="BO8873" s="81"/>
      <c r="BP8873" s="81"/>
      <c r="BQ8873" s="81"/>
      <c r="BR8873" s="81"/>
      <c r="BS8873" s="81"/>
      <c r="BT8873" s="81"/>
    </row>
    <row r="8874" spans="65:72" x14ac:dyDescent="0.25">
      <c r="BM8874" s="81"/>
      <c r="BN8874" s="81"/>
      <c r="BO8874" s="81"/>
      <c r="BP8874" s="81"/>
      <c r="BQ8874" s="81"/>
      <c r="BR8874" s="81"/>
      <c r="BS8874" s="81"/>
      <c r="BT8874" s="81"/>
    </row>
    <row r="8875" spans="65:72" x14ac:dyDescent="0.25">
      <c r="BM8875" s="81"/>
      <c r="BN8875" s="81"/>
      <c r="BO8875" s="81"/>
      <c r="BP8875" s="81"/>
      <c r="BQ8875" s="81"/>
      <c r="BR8875" s="81"/>
      <c r="BS8875" s="81"/>
      <c r="BT8875" s="81"/>
    </row>
    <row r="8876" spans="65:72" x14ac:dyDescent="0.25">
      <c r="BM8876" s="81"/>
      <c r="BN8876" s="81"/>
      <c r="BO8876" s="81"/>
      <c r="BP8876" s="81"/>
      <c r="BQ8876" s="81"/>
      <c r="BR8876" s="81"/>
      <c r="BS8876" s="81"/>
      <c r="BT8876" s="81"/>
    </row>
    <row r="8877" spans="65:72" x14ac:dyDescent="0.25">
      <c r="BM8877" s="81"/>
      <c r="BN8877" s="81"/>
      <c r="BO8877" s="81"/>
      <c r="BP8877" s="81"/>
      <c r="BQ8877" s="81"/>
      <c r="BR8877" s="81"/>
      <c r="BS8877" s="81"/>
      <c r="BT8877" s="81"/>
    </row>
    <row r="8878" spans="65:72" x14ac:dyDescent="0.25">
      <c r="BM8878" s="81"/>
      <c r="BN8878" s="81"/>
      <c r="BO8878" s="81"/>
      <c r="BP8878" s="81"/>
      <c r="BQ8878" s="81"/>
      <c r="BR8878" s="81"/>
      <c r="BS8878" s="81"/>
      <c r="BT8878" s="81"/>
    </row>
    <row r="8879" spans="65:72" x14ac:dyDescent="0.25">
      <c r="BM8879" s="81"/>
      <c r="BN8879" s="81"/>
      <c r="BO8879" s="81"/>
      <c r="BP8879" s="81"/>
      <c r="BQ8879" s="81"/>
      <c r="BR8879" s="81"/>
      <c r="BS8879" s="81"/>
      <c r="BT8879" s="81"/>
    </row>
    <row r="8880" spans="65:72" x14ac:dyDescent="0.25">
      <c r="BM8880" s="81"/>
      <c r="BN8880" s="81"/>
      <c r="BO8880" s="81"/>
      <c r="BP8880" s="81"/>
      <c r="BQ8880" s="81"/>
      <c r="BR8880" s="81"/>
      <c r="BS8880" s="81"/>
      <c r="BT8880" s="81"/>
    </row>
    <row r="8881" spans="65:72" x14ac:dyDescent="0.25">
      <c r="BM8881" s="81"/>
      <c r="BN8881" s="81"/>
      <c r="BO8881" s="81"/>
      <c r="BP8881" s="81"/>
      <c r="BQ8881" s="81"/>
      <c r="BR8881" s="81"/>
      <c r="BS8881" s="81"/>
      <c r="BT8881" s="81"/>
    </row>
    <row r="8882" spans="65:72" x14ac:dyDescent="0.25">
      <c r="BM8882" s="81"/>
      <c r="BN8882" s="81"/>
      <c r="BO8882" s="81"/>
      <c r="BP8882" s="81"/>
      <c r="BQ8882" s="81"/>
      <c r="BR8882" s="81"/>
      <c r="BS8882" s="81"/>
      <c r="BT8882" s="81"/>
    </row>
    <row r="8883" spans="65:72" x14ac:dyDescent="0.25">
      <c r="BM8883" s="81"/>
      <c r="BN8883" s="81"/>
      <c r="BO8883" s="81"/>
      <c r="BP8883" s="81"/>
      <c r="BQ8883" s="81"/>
      <c r="BR8883" s="81"/>
      <c r="BS8883" s="81"/>
      <c r="BT8883" s="81"/>
    </row>
    <row r="8884" spans="65:72" x14ac:dyDescent="0.25">
      <c r="BM8884" s="81"/>
      <c r="BN8884" s="81"/>
      <c r="BO8884" s="81"/>
      <c r="BP8884" s="81"/>
      <c r="BQ8884" s="81"/>
      <c r="BR8884" s="81"/>
      <c r="BS8884" s="81"/>
      <c r="BT8884" s="81"/>
    </row>
    <row r="8885" spans="65:72" x14ac:dyDescent="0.25">
      <c r="BM8885" s="81"/>
      <c r="BN8885" s="81"/>
      <c r="BO8885" s="81"/>
      <c r="BP8885" s="81"/>
      <c r="BQ8885" s="81"/>
      <c r="BR8885" s="81"/>
      <c r="BS8885" s="81"/>
      <c r="BT8885" s="81"/>
    </row>
    <row r="8886" spans="65:72" x14ac:dyDescent="0.25">
      <c r="BM8886" s="81"/>
      <c r="BN8886" s="81"/>
      <c r="BO8886" s="81"/>
      <c r="BP8886" s="81"/>
      <c r="BQ8886" s="81"/>
      <c r="BR8886" s="81"/>
      <c r="BS8886" s="81"/>
      <c r="BT8886" s="81"/>
    </row>
    <row r="8887" spans="65:72" x14ac:dyDescent="0.25">
      <c r="BM8887" s="81"/>
      <c r="BN8887" s="81"/>
      <c r="BO8887" s="81"/>
      <c r="BP8887" s="81"/>
      <c r="BQ8887" s="81"/>
      <c r="BR8887" s="81"/>
      <c r="BS8887" s="81"/>
      <c r="BT8887" s="81"/>
    </row>
    <row r="8888" spans="65:72" x14ac:dyDescent="0.25">
      <c r="BM8888" s="81"/>
      <c r="BN8888" s="81"/>
      <c r="BO8888" s="81"/>
      <c r="BP8888" s="81"/>
      <c r="BQ8888" s="81"/>
      <c r="BR8888" s="81"/>
      <c r="BS8888" s="81"/>
      <c r="BT8888" s="81"/>
    </row>
    <row r="8889" spans="65:72" x14ac:dyDescent="0.25">
      <c r="BM8889" s="81"/>
      <c r="BN8889" s="81"/>
      <c r="BO8889" s="81"/>
      <c r="BP8889" s="81"/>
      <c r="BQ8889" s="81"/>
      <c r="BR8889" s="81"/>
      <c r="BS8889" s="81"/>
      <c r="BT8889" s="81"/>
    </row>
    <row r="8890" spans="65:72" x14ac:dyDescent="0.25">
      <c r="BM8890" s="81"/>
      <c r="BN8890" s="81"/>
      <c r="BO8890" s="81"/>
      <c r="BP8890" s="81"/>
      <c r="BQ8890" s="81"/>
      <c r="BR8890" s="81"/>
      <c r="BS8890" s="81"/>
      <c r="BT8890" s="81"/>
    </row>
    <row r="8891" spans="65:72" x14ac:dyDescent="0.25">
      <c r="BM8891" s="81"/>
      <c r="BN8891" s="81"/>
      <c r="BO8891" s="81"/>
      <c r="BP8891" s="81"/>
      <c r="BQ8891" s="81"/>
      <c r="BR8891" s="81"/>
      <c r="BS8891" s="81"/>
      <c r="BT8891" s="81"/>
    </row>
    <row r="8892" spans="65:72" x14ac:dyDescent="0.25">
      <c r="BM8892" s="81"/>
      <c r="BN8892" s="81"/>
      <c r="BO8892" s="81"/>
      <c r="BP8892" s="81"/>
      <c r="BQ8892" s="81"/>
      <c r="BR8892" s="81"/>
      <c r="BS8892" s="81"/>
      <c r="BT8892" s="81"/>
    </row>
    <row r="8893" spans="65:72" x14ac:dyDescent="0.25">
      <c r="BM8893" s="81"/>
      <c r="BN8893" s="81"/>
      <c r="BO8893" s="81"/>
      <c r="BP8893" s="81"/>
      <c r="BQ8893" s="81"/>
      <c r="BR8893" s="81"/>
      <c r="BS8893" s="81"/>
      <c r="BT8893" s="81"/>
    </row>
    <row r="8894" spans="65:72" x14ac:dyDescent="0.25">
      <c r="BM8894" s="81"/>
      <c r="BN8894" s="81"/>
      <c r="BO8894" s="81"/>
      <c r="BP8894" s="81"/>
      <c r="BQ8894" s="81"/>
      <c r="BR8894" s="81"/>
      <c r="BS8894" s="81"/>
      <c r="BT8894" s="81"/>
    </row>
    <row r="8895" spans="65:72" x14ac:dyDescent="0.25">
      <c r="BM8895" s="81"/>
      <c r="BN8895" s="81"/>
      <c r="BO8895" s="81"/>
      <c r="BP8895" s="81"/>
      <c r="BQ8895" s="81"/>
      <c r="BR8895" s="81"/>
      <c r="BS8895" s="81"/>
      <c r="BT8895" s="81"/>
    </row>
    <row r="8896" spans="65:72" x14ac:dyDescent="0.25">
      <c r="BM8896" s="81"/>
      <c r="BN8896" s="81"/>
      <c r="BO8896" s="81"/>
      <c r="BP8896" s="81"/>
      <c r="BQ8896" s="81"/>
      <c r="BR8896" s="81"/>
      <c r="BS8896" s="81"/>
      <c r="BT8896" s="81"/>
    </row>
    <row r="8897" spans="65:72" x14ac:dyDescent="0.25">
      <c r="BM8897" s="81"/>
      <c r="BN8897" s="81"/>
      <c r="BO8897" s="81"/>
      <c r="BP8897" s="81"/>
      <c r="BQ8897" s="81"/>
      <c r="BR8897" s="81"/>
      <c r="BS8897" s="81"/>
      <c r="BT8897" s="81"/>
    </row>
    <row r="8898" spans="65:72" x14ac:dyDescent="0.25">
      <c r="BM8898" s="81"/>
      <c r="BN8898" s="81"/>
      <c r="BO8898" s="81"/>
      <c r="BP8898" s="81"/>
      <c r="BQ8898" s="81"/>
      <c r="BR8898" s="81"/>
      <c r="BS8898" s="81"/>
      <c r="BT8898" s="81"/>
    </row>
    <row r="8899" spans="65:72" x14ac:dyDescent="0.25">
      <c r="BM8899" s="81"/>
      <c r="BN8899" s="81"/>
      <c r="BO8899" s="81"/>
      <c r="BP8899" s="81"/>
      <c r="BQ8899" s="81"/>
      <c r="BR8899" s="81"/>
      <c r="BS8899" s="81"/>
      <c r="BT8899" s="81"/>
    </row>
    <row r="8900" spans="65:72" x14ac:dyDescent="0.25">
      <c r="BM8900" s="81"/>
      <c r="BN8900" s="81"/>
      <c r="BO8900" s="81"/>
      <c r="BP8900" s="81"/>
      <c r="BQ8900" s="81"/>
      <c r="BR8900" s="81"/>
      <c r="BS8900" s="81"/>
      <c r="BT8900" s="81"/>
    </row>
    <row r="8901" spans="65:72" x14ac:dyDescent="0.25">
      <c r="BM8901" s="81"/>
      <c r="BN8901" s="81"/>
      <c r="BO8901" s="81"/>
      <c r="BP8901" s="81"/>
      <c r="BQ8901" s="81"/>
      <c r="BR8901" s="81"/>
      <c r="BS8901" s="81"/>
      <c r="BT8901" s="81"/>
    </row>
    <row r="8902" spans="65:72" x14ac:dyDescent="0.25">
      <c r="BM8902" s="81"/>
      <c r="BN8902" s="81"/>
      <c r="BO8902" s="81"/>
      <c r="BP8902" s="81"/>
      <c r="BQ8902" s="81"/>
      <c r="BR8902" s="81"/>
      <c r="BS8902" s="81"/>
      <c r="BT8902" s="81"/>
    </row>
    <row r="8903" spans="65:72" x14ac:dyDescent="0.25">
      <c r="BM8903" s="81"/>
      <c r="BN8903" s="81"/>
      <c r="BO8903" s="81"/>
      <c r="BP8903" s="81"/>
      <c r="BQ8903" s="81"/>
      <c r="BR8903" s="81"/>
      <c r="BS8903" s="81"/>
      <c r="BT8903" s="81"/>
    </row>
    <row r="8904" spans="65:72" x14ac:dyDescent="0.25">
      <c r="BM8904" s="81"/>
      <c r="BN8904" s="81"/>
      <c r="BO8904" s="81"/>
      <c r="BP8904" s="81"/>
      <c r="BQ8904" s="81"/>
      <c r="BR8904" s="81"/>
      <c r="BS8904" s="81"/>
      <c r="BT8904" s="81"/>
    </row>
    <row r="8905" spans="65:72" x14ac:dyDescent="0.25">
      <c r="BM8905" s="81"/>
      <c r="BN8905" s="81"/>
      <c r="BO8905" s="81"/>
      <c r="BP8905" s="81"/>
      <c r="BQ8905" s="81"/>
      <c r="BR8905" s="81"/>
      <c r="BS8905" s="81"/>
      <c r="BT8905" s="81"/>
    </row>
    <row r="8906" spans="65:72" x14ac:dyDescent="0.25">
      <c r="BM8906" s="81"/>
      <c r="BN8906" s="81"/>
      <c r="BO8906" s="81"/>
      <c r="BP8906" s="81"/>
      <c r="BQ8906" s="81"/>
      <c r="BR8906" s="81"/>
      <c r="BS8906" s="81"/>
      <c r="BT8906" s="81"/>
    </row>
    <row r="8907" spans="65:72" x14ac:dyDescent="0.25">
      <c r="BM8907" s="81"/>
      <c r="BN8907" s="81"/>
      <c r="BO8907" s="81"/>
      <c r="BP8907" s="81"/>
      <c r="BQ8907" s="81"/>
      <c r="BR8907" s="81"/>
      <c r="BS8907" s="81"/>
      <c r="BT8907" s="81"/>
    </row>
    <row r="8908" spans="65:72" x14ac:dyDescent="0.25">
      <c r="BM8908" s="81"/>
      <c r="BN8908" s="81"/>
      <c r="BO8908" s="81"/>
      <c r="BP8908" s="81"/>
      <c r="BQ8908" s="81"/>
      <c r="BR8908" s="81"/>
      <c r="BS8908" s="81"/>
      <c r="BT8908" s="81"/>
    </row>
    <row r="8909" spans="65:72" x14ac:dyDescent="0.25">
      <c r="BM8909" s="81"/>
      <c r="BN8909" s="81"/>
      <c r="BO8909" s="81"/>
      <c r="BP8909" s="81"/>
      <c r="BQ8909" s="81"/>
      <c r="BR8909" s="81"/>
      <c r="BS8909" s="81"/>
      <c r="BT8909" s="81"/>
    </row>
    <row r="8910" spans="65:72" x14ac:dyDescent="0.25">
      <c r="BM8910" s="81"/>
      <c r="BN8910" s="81"/>
      <c r="BO8910" s="81"/>
      <c r="BP8910" s="81"/>
      <c r="BQ8910" s="81"/>
      <c r="BR8910" s="81"/>
      <c r="BS8910" s="81"/>
      <c r="BT8910" s="81"/>
    </row>
    <row r="8911" spans="65:72" x14ac:dyDescent="0.25">
      <c r="BM8911" s="81"/>
      <c r="BN8911" s="81"/>
      <c r="BO8911" s="81"/>
      <c r="BP8911" s="81"/>
      <c r="BQ8911" s="81"/>
      <c r="BR8911" s="81"/>
      <c r="BS8911" s="81"/>
      <c r="BT8911" s="81"/>
    </row>
    <row r="8912" spans="65:72" x14ac:dyDescent="0.25">
      <c r="BM8912" s="81"/>
      <c r="BN8912" s="81"/>
      <c r="BO8912" s="81"/>
      <c r="BP8912" s="81"/>
      <c r="BQ8912" s="81"/>
      <c r="BR8912" s="81"/>
      <c r="BS8912" s="81"/>
      <c r="BT8912" s="81"/>
    </row>
    <row r="8913" spans="65:72" x14ac:dyDescent="0.25">
      <c r="BM8913" s="81"/>
      <c r="BN8913" s="81"/>
      <c r="BO8913" s="81"/>
      <c r="BP8913" s="81"/>
      <c r="BQ8913" s="81"/>
      <c r="BR8913" s="81"/>
      <c r="BS8913" s="81"/>
      <c r="BT8913" s="81"/>
    </row>
    <row r="8914" spans="65:72" x14ac:dyDescent="0.25">
      <c r="BM8914" s="81"/>
      <c r="BN8914" s="81"/>
      <c r="BO8914" s="81"/>
      <c r="BP8914" s="81"/>
      <c r="BQ8914" s="81"/>
      <c r="BR8914" s="81"/>
      <c r="BS8914" s="81"/>
      <c r="BT8914" s="81"/>
    </row>
    <row r="8915" spans="65:72" x14ac:dyDescent="0.25">
      <c r="BM8915" s="81"/>
      <c r="BN8915" s="81"/>
      <c r="BO8915" s="81"/>
      <c r="BP8915" s="81"/>
      <c r="BQ8915" s="81"/>
      <c r="BR8915" s="81"/>
      <c r="BS8915" s="81"/>
      <c r="BT8915" s="81"/>
    </row>
    <row r="8916" spans="65:72" x14ac:dyDescent="0.25">
      <c r="BM8916" s="81"/>
      <c r="BN8916" s="81"/>
      <c r="BO8916" s="81"/>
      <c r="BP8916" s="81"/>
      <c r="BQ8916" s="81"/>
      <c r="BR8916" s="81"/>
      <c r="BS8916" s="81"/>
      <c r="BT8916" s="81"/>
    </row>
    <row r="8917" spans="65:72" x14ac:dyDescent="0.25">
      <c r="BM8917" s="81"/>
      <c r="BN8917" s="81"/>
      <c r="BO8917" s="81"/>
      <c r="BP8917" s="81"/>
      <c r="BQ8917" s="81"/>
      <c r="BR8917" s="81"/>
      <c r="BS8917" s="81"/>
      <c r="BT8917" s="81"/>
    </row>
    <row r="8918" spans="65:72" x14ac:dyDescent="0.25">
      <c r="BM8918" s="81"/>
      <c r="BN8918" s="81"/>
      <c r="BO8918" s="81"/>
      <c r="BP8918" s="81"/>
      <c r="BQ8918" s="81"/>
      <c r="BR8918" s="81"/>
      <c r="BS8918" s="81"/>
      <c r="BT8918" s="81"/>
    </row>
    <row r="8919" spans="65:72" x14ac:dyDescent="0.25">
      <c r="BM8919" s="81"/>
      <c r="BN8919" s="81"/>
      <c r="BO8919" s="81"/>
      <c r="BP8919" s="81"/>
      <c r="BQ8919" s="81"/>
      <c r="BR8919" s="81"/>
      <c r="BS8919" s="81"/>
      <c r="BT8919" s="81"/>
    </row>
    <row r="8920" spans="65:72" x14ac:dyDescent="0.25">
      <c r="BM8920" s="81"/>
      <c r="BN8920" s="81"/>
      <c r="BO8920" s="81"/>
      <c r="BP8920" s="81"/>
      <c r="BQ8920" s="81"/>
      <c r="BR8920" s="81"/>
      <c r="BS8920" s="81"/>
      <c r="BT8920" s="81"/>
    </row>
    <row r="8921" spans="65:72" x14ac:dyDescent="0.25">
      <c r="BM8921" s="81"/>
      <c r="BN8921" s="81"/>
      <c r="BO8921" s="81"/>
      <c r="BP8921" s="81"/>
      <c r="BQ8921" s="81"/>
      <c r="BR8921" s="81"/>
      <c r="BS8921" s="81"/>
      <c r="BT8921" s="81"/>
    </row>
    <row r="8922" spans="65:72" x14ac:dyDescent="0.25">
      <c r="BM8922" s="81"/>
      <c r="BN8922" s="81"/>
      <c r="BO8922" s="81"/>
      <c r="BP8922" s="81"/>
      <c r="BQ8922" s="81"/>
      <c r="BR8922" s="81"/>
      <c r="BS8922" s="81"/>
      <c r="BT8922" s="81"/>
    </row>
    <row r="8923" spans="65:72" x14ac:dyDescent="0.25">
      <c r="BM8923" s="81"/>
      <c r="BN8923" s="81"/>
      <c r="BO8923" s="81"/>
      <c r="BP8923" s="81"/>
      <c r="BQ8923" s="81"/>
      <c r="BR8923" s="81"/>
      <c r="BS8923" s="81"/>
      <c r="BT8923" s="81"/>
    </row>
    <row r="8924" spans="65:72" x14ac:dyDescent="0.25">
      <c r="BM8924" s="81"/>
      <c r="BN8924" s="81"/>
      <c r="BO8924" s="81"/>
      <c r="BP8924" s="81"/>
      <c r="BQ8924" s="81"/>
      <c r="BR8924" s="81"/>
      <c r="BS8924" s="81"/>
      <c r="BT8924" s="81"/>
    </row>
    <row r="8925" spans="65:72" x14ac:dyDescent="0.25">
      <c r="BM8925" s="81"/>
      <c r="BN8925" s="81"/>
      <c r="BO8925" s="81"/>
      <c r="BP8925" s="81"/>
      <c r="BQ8925" s="81"/>
      <c r="BR8925" s="81"/>
      <c r="BS8925" s="81"/>
      <c r="BT8925" s="81"/>
    </row>
    <row r="8926" spans="65:72" x14ac:dyDescent="0.25">
      <c r="BM8926" s="81"/>
      <c r="BN8926" s="81"/>
      <c r="BO8926" s="81"/>
      <c r="BP8926" s="81"/>
      <c r="BQ8926" s="81"/>
      <c r="BR8926" s="81"/>
      <c r="BS8926" s="81"/>
      <c r="BT8926" s="81"/>
    </row>
    <row r="8927" spans="65:72" x14ac:dyDescent="0.25">
      <c r="BM8927" s="81"/>
      <c r="BN8927" s="81"/>
      <c r="BO8927" s="81"/>
      <c r="BP8927" s="81"/>
      <c r="BQ8927" s="81"/>
      <c r="BR8927" s="81"/>
      <c r="BS8927" s="81"/>
      <c r="BT8927" s="81"/>
    </row>
    <row r="8928" spans="65:72" x14ac:dyDescent="0.25">
      <c r="BM8928" s="81"/>
      <c r="BN8928" s="81"/>
      <c r="BO8928" s="81"/>
      <c r="BP8928" s="81"/>
      <c r="BQ8928" s="81"/>
      <c r="BR8928" s="81"/>
      <c r="BS8928" s="81"/>
      <c r="BT8928" s="81"/>
    </row>
    <row r="8929" spans="65:72" x14ac:dyDescent="0.25">
      <c r="BM8929" s="81"/>
      <c r="BN8929" s="81"/>
      <c r="BO8929" s="81"/>
      <c r="BP8929" s="81"/>
      <c r="BQ8929" s="81"/>
      <c r="BR8929" s="81"/>
      <c r="BS8929" s="81"/>
      <c r="BT8929" s="81"/>
    </row>
    <row r="8930" spans="65:72" x14ac:dyDescent="0.25">
      <c r="BM8930" s="81"/>
      <c r="BN8930" s="81"/>
      <c r="BO8930" s="81"/>
      <c r="BP8930" s="81"/>
      <c r="BQ8930" s="81"/>
      <c r="BR8930" s="81"/>
      <c r="BS8930" s="81"/>
      <c r="BT8930" s="81"/>
    </row>
    <row r="8931" spans="65:72" x14ac:dyDescent="0.25">
      <c r="BM8931" s="81"/>
      <c r="BN8931" s="81"/>
      <c r="BO8931" s="81"/>
      <c r="BP8931" s="81"/>
      <c r="BQ8931" s="81"/>
      <c r="BR8931" s="81"/>
      <c r="BS8931" s="81"/>
      <c r="BT8931" s="81"/>
    </row>
    <row r="8932" spans="65:72" x14ac:dyDescent="0.25">
      <c r="BM8932" s="81"/>
      <c r="BN8932" s="81"/>
      <c r="BO8932" s="81"/>
      <c r="BP8932" s="81"/>
      <c r="BQ8932" s="81"/>
      <c r="BR8932" s="81"/>
      <c r="BS8932" s="81"/>
      <c r="BT8932" s="81"/>
    </row>
    <row r="8933" spans="65:72" x14ac:dyDescent="0.25">
      <c r="BM8933" s="81"/>
      <c r="BN8933" s="81"/>
      <c r="BO8933" s="81"/>
      <c r="BP8933" s="81"/>
      <c r="BQ8933" s="81"/>
      <c r="BR8933" s="81"/>
      <c r="BS8933" s="81"/>
      <c r="BT8933" s="81"/>
    </row>
    <row r="8934" spans="65:72" x14ac:dyDescent="0.25">
      <c r="BM8934" s="81"/>
      <c r="BN8934" s="81"/>
      <c r="BO8934" s="81"/>
      <c r="BP8934" s="81"/>
      <c r="BQ8934" s="81"/>
      <c r="BR8934" s="81"/>
      <c r="BS8934" s="81"/>
      <c r="BT8934" s="81"/>
    </row>
    <row r="8935" spans="65:72" x14ac:dyDescent="0.25">
      <c r="BM8935" s="81"/>
      <c r="BN8935" s="81"/>
      <c r="BO8935" s="81"/>
      <c r="BP8935" s="81"/>
      <c r="BQ8935" s="81"/>
      <c r="BR8935" s="81"/>
      <c r="BS8935" s="81"/>
      <c r="BT8935" s="81"/>
    </row>
    <row r="8936" spans="65:72" x14ac:dyDescent="0.25">
      <c r="BM8936" s="81"/>
      <c r="BN8936" s="81"/>
      <c r="BO8936" s="81"/>
      <c r="BP8936" s="81"/>
      <c r="BQ8936" s="81"/>
      <c r="BR8936" s="81"/>
      <c r="BS8936" s="81"/>
      <c r="BT8936" s="81"/>
    </row>
    <row r="8937" spans="65:72" x14ac:dyDescent="0.25">
      <c r="BM8937" s="81"/>
      <c r="BN8937" s="81"/>
      <c r="BO8937" s="81"/>
      <c r="BP8937" s="81"/>
      <c r="BQ8937" s="81"/>
      <c r="BR8937" s="81"/>
      <c r="BS8937" s="81"/>
      <c r="BT8937" s="81"/>
    </row>
    <row r="8938" spans="65:72" x14ac:dyDescent="0.25">
      <c r="BM8938" s="81"/>
      <c r="BN8938" s="81"/>
      <c r="BO8938" s="81"/>
      <c r="BP8938" s="81"/>
      <c r="BQ8938" s="81"/>
      <c r="BR8938" s="81"/>
      <c r="BS8938" s="81"/>
      <c r="BT8938" s="81"/>
    </row>
    <row r="8939" spans="65:72" x14ac:dyDescent="0.25">
      <c r="BM8939" s="81"/>
      <c r="BN8939" s="81"/>
      <c r="BO8939" s="81"/>
      <c r="BP8939" s="81"/>
      <c r="BQ8939" s="81"/>
      <c r="BR8939" s="81"/>
      <c r="BS8939" s="81"/>
      <c r="BT8939" s="81"/>
    </row>
    <row r="8940" spans="65:72" x14ac:dyDescent="0.25">
      <c r="BM8940" s="81"/>
      <c r="BN8940" s="81"/>
      <c r="BO8940" s="81"/>
      <c r="BP8940" s="81"/>
      <c r="BQ8940" s="81"/>
      <c r="BR8940" s="81"/>
      <c r="BS8940" s="81"/>
      <c r="BT8940" s="81"/>
    </row>
    <row r="8941" spans="65:72" x14ac:dyDescent="0.25">
      <c r="BM8941" s="81"/>
      <c r="BN8941" s="81"/>
      <c r="BO8941" s="81"/>
      <c r="BP8941" s="81"/>
      <c r="BQ8941" s="81"/>
      <c r="BR8941" s="81"/>
      <c r="BS8941" s="81"/>
      <c r="BT8941" s="81"/>
    </row>
    <row r="8942" spans="65:72" x14ac:dyDescent="0.25">
      <c r="BM8942" s="81"/>
      <c r="BN8942" s="81"/>
      <c r="BO8942" s="81"/>
      <c r="BP8942" s="81"/>
      <c r="BQ8942" s="81"/>
      <c r="BR8942" s="81"/>
      <c r="BS8942" s="81"/>
      <c r="BT8942" s="81"/>
    </row>
    <row r="8943" spans="65:72" x14ac:dyDescent="0.25">
      <c r="BM8943" s="81"/>
      <c r="BN8943" s="81"/>
      <c r="BO8943" s="81"/>
      <c r="BP8943" s="81"/>
      <c r="BQ8943" s="81"/>
      <c r="BR8943" s="81"/>
      <c r="BS8943" s="81"/>
      <c r="BT8943" s="81"/>
    </row>
    <row r="8944" spans="65:72" x14ac:dyDescent="0.25">
      <c r="BM8944" s="81"/>
      <c r="BN8944" s="81"/>
      <c r="BO8944" s="81"/>
      <c r="BP8944" s="81"/>
      <c r="BQ8944" s="81"/>
      <c r="BR8944" s="81"/>
      <c r="BS8944" s="81"/>
      <c r="BT8944" s="81"/>
    </row>
    <row r="8945" spans="65:72" x14ac:dyDescent="0.25">
      <c r="BM8945" s="81"/>
      <c r="BN8945" s="81"/>
      <c r="BO8945" s="81"/>
      <c r="BP8945" s="81"/>
      <c r="BQ8945" s="81"/>
      <c r="BR8945" s="81"/>
      <c r="BS8945" s="81"/>
      <c r="BT8945" s="81"/>
    </row>
    <row r="8946" spans="65:72" x14ac:dyDescent="0.25">
      <c r="BM8946" s="81"/>
      <c r="BN8946" s="81"/>
      <c r="BO8946" s="81"/>
      <c r="BP8946" s="81"/>
      <c r="BQ8946" s="81"/>
      <c r="BR8946" s="81"/>
      <c r="BS8946" s="81"/>
      <c r="BT8946" s="81"/>
    </row>
    <row r="8947" spans="65:72" x14ac:dyDescent="0.25">
      <c r="BM8947" s="81"/>
      <c r="BN8947" s="81"/>
      <c r="BO8947" s="81"/>
      <c r="BP8947" s="81"/>
      <c r="BQ8947" s="81"/>
      <c r="BR8947" s="81"/>
      <c r="BS8947" s="81"/>
      <c r="BT8947" s="81"/>
    </row>
    <row r="8948" spans="65:72" x14ac:dyDescent="0.25">
      <c r="BM8948" s="81"/>
      <c r="BN8948" s="81"/>
      <c r="BO8948" s="81"/>
      <c r="BP8948" s="81"/>
      <c r="BQ8948" s="81"/>
      <c r="BR8948" s="81"/>
      <c r="BS8948" s="81"/>
      <c r="BT8948" s="81"/>
    </row>
    <row r="8949" spans="65:72" x14ac:dyDescent="0.25">
      <c r="BM8949" s="81"/>
      <c r="BN8949" s="81"/>
      <c r="BO8949" s="81"/>
      <c r="BP8949" s="81"/>
      <c r="BQ8949" s="81"/>
      <c r="BR8949" s="81"/>
      <c r="BS8949" s="81"/>
      <c r="BT8949" s="81"/>
    </row>
    <row r="8950" spans="65:72" x14ac:dyDescent="0.25">
      <c r="BM8950" s="81"/>
      <c r="BN8950" s="81"/>
      <c r="BO8950" s="81"/>
      <c r="BP8950" s="81"/>
      <c r="BQ8950" s="81"/>
      <c r="BR8950" s="81"/>
      <c r="BS8950" s="81"/>
      <c r="BT8950" s="81"/>
    </row>
    <row r="8951" spans="65:72" x14ac:dyDescent="0.25">
      <c r="BM8951" s="81"/>
      <c r="BN8951" s="81"/>
      <c r="BO8951" s="81"/>
      <c r="BP8951" s="81"/>
      <c r="BQ8951" s="81"/>
      <c r="BR8951" s="81"/>
      <c r="BS8951" s="81"/>
      <c r="BT8951" s="81"/>
    </row>
    <row r="8952" spans="65:72" x14ac:dyDescent="0.25">
      <c r="BM8952" s="81"/>
      <c r="BN8952" s="81"/>
      <c r="BO8952" s="81"/>
      <c r="BP8952" s="81"/>
      <c r="BQ8952" s="81"/>
      <c r="BR8952" s="81"/>
      <c r="BS8952" s="81"/>
      <c r="BT8952" s="81"/>
    </row>
    <row r="8953" spans="65:72" x14ac:dyDescent="0.25">
      <c r="BM8953" s="81"/>
      <c r="BN8953" s="81"/>
      <c r="BO8953" s="81"/>
      <c r="BP8953" s="81"/>
      <c r="BQ8953" s="81"/>
      <c r="BR8953" s="81"/>
      <c r="BS8953" s="81"/>
      <c r="BT8953" s="81"/>
    </row>
    <row r="8954" spans="65:72" x14ac:dyDescent="0.25">
      <c r="BM8954" s="81"/>
      <c r="BN8954" s="81"/>
      <c r="BO8954" s="81"/>
      <c r="BP8954" s="81"/>
      <c r="BQ8954" s="81"/>
      <c r="BR8954" s="81"/>
      <c r="BS8954" s="81"/>
      <c r="BT8954" s="81"/>
    </row>
    <row r="8955" spans="65:72" x14ac:dyDescent="0.25">
      <c r="BM8955" s="81"/>
      <c r="BN8955" s="81"/>
      <c r="BO8955" s="81"/>
      <c r="BP8955" s="81"/>
      <c r="BQ8955" s="81"/>
      <c r="BR8955" s="81"/>
      <c r="BS8955" s="81"/>
      <c r="BT8955" s="81"/>
    </row>
    <row r="8956" spans="65:72" x14ac:dyDescent="0.25">
      <c r="BM8956" s="81"/>
      <c r="BN8956" s="81"/>
      <c r="BO8956" s="81"/>
      <c r="BP8956" s="81"/>
      <c r="BQ8956" s="81"/>
      <c r="BR8956" s="81"/>
      <c r="BS8956" s="81"/>
      <c r="BT8956" s="81"/>
    </row>
    <row r="8957" spans="65:72" x14ac:dyDescent="0.25">
      <c r="BM8957" s="81"/>
      <c r="BN8957" s="81"/>
      <c r="BO8957" s="81"/>
      <c r="BP8957" s="81"/>
      <c r="BQ8957" s="81"/>
      <c r="BR8957" s="81"/>
      <c r="BS8957" s="81"/>
      <c r="BT8957" s="81"/>
    </row>
    <row r="8958" spans="65:72" x14ac:dyDescent="0.25">
      <c r="BM8958" s="81"/>
      <c r="BN8958" s="81"/>
      <c r="BO8958" s="81"/>
      <c r="BP8958" s="81"/>
      <c r="BQ8958" s="81"/>
      <c r="BR8958" s="81"/>
      <c r="BS8958" s="81"/>
      <c r="BT8958" s="81"/>
    </row>
    <row r="8959" spans="65:72" x14ac:dyDescent="0.25">
      <c r="BM8959" s="81"/>
      <c r="BN8959" s="81"/>
      <c r="BO8959" s="81"/>
      <c r="BP8959" s="81"/>
      <c r="BQ8959" s="81"/>
      <c r="BR8959" s="81"/>
      <c r="BS8959" s="81"/>
      <c r="BT8959" s="81"/>
    </row>
    <row r="8960" spans="65:72" x14ac:dyDescent="0.25">
      <c r="BM8960" s="81"/>
      <c r="BN8960" s="81"/>
      <c r="BO8960" s="81"/>
      <c r="BP8960" s="81"/>
      <c r="BQ8960" s="81"/>
      <c r="BR8960" s="81"/>
      <c r="BS8960" s="81"/>
      <c r="BT8960" s="81"/>
    </row>
    <row r="8961" spans="65:72" x14ac:dyDescent="0.25">
      <c r="BM8961" s="81"/>
      <c r="BN8961" s="81"/>
      <c r="BO8961" s="81"/>
      <c r="BP8961" s="81"/>
      <c r="BQ8961" s="81"/>
      <c r="BR8961" s="81"/>
      <c r="BS8961" s="81"/>
      <c r="BT8961" s="81"/>
    </row>
    <row r="8962" spans="65:72" x14ac:dyDescent="0.25">
      <c r="BM8962" s="81"/>
      <c r="BN8962" s="81"/>
      <c r="BO8962" s="81"/>
      <c r="BP8962" s="81"/>
      <c r="BQ8962" s="81"/>
      <c r="BR8962" s="81"/>
      <c r="BS8962" s="81"/>
      <c r="BT8962" s="81"/>
    </row>
    <row r="8963" spans="65:72" x14ac:dyDescent="0.25">
      <c r="BM8963" s="81"/>
      <c r="BN8963" s="81"/>
      <c r="BO8963" s="81"/>
      <c r="BP8963" s="81"/>
      <c r="BQ8963" s="81"/>
      <c r="BR8963" s="81"/>
      <c r="BS8963" s="81"/>
      <c r="BT8963" s="81"/>
    </row>
    <row r="8964" spans="65:72" x14ac:dyDescent="0.25">
      <c r="BM8964" s="81"/>
      <c r="BN8964" s="81"/>
      <c r="BO8964" s="81"/>
      <c r="BP8964" s="81"/>
      <c r="BQ8964" s="81"/>
      <c r="BR8964" s="81"/>
      <c r="BS8964" s="81"/>
      <c r="BT8964" s="81"/>
    </row>
    <row r="8965" spans="65:72" x14ac:dyDescent="0.25">
      <c r="BM8965" s="81"/>
      <c r="BN8965" s="81"/>
      <c r="BO8965" s="81"/>
      <c r="BP8965" s="81"/>
      <c r="BQ8965" s="81"/>
      <c r="BR8965" s="81"/>
      <c r="BS8965" s="81"/>
      <c r="BT8965" s="81"/>
    </row>
    <row r="8966" spans="65:72" x14ac:dyDescent="0.25">
      <c r="BM8966" s="81"/>
      <c r="BN8966" s="81"/>
      <c r="BO8966" s="81"/>
      <c r="BP8966" s="81"/>
      <c r="BQ8966" s="81"/>
      <c r="BR8966" s="81"/>
      <c r="BS8966" s="81"/>
      <c r="BT8966" s="81"/>
    </row>
    <row r="8967" spans="65:72" x14ac:dyDescent="0.25">
      <c r="BM8967" s="81"/>
      <c r="BN8967" s="81"/>
      <c r="BO8967" s="81"/>
      <c r="BP8967" s="81"/>
      <c r="BQ8967" s="81"/>
      <c r="BR8967" s="81"/>
      <c r="BS8967" s="81"/>
      <c r="BT8967" s="81"/>
    </row>
    <row r="8968" spans="65:72" x14ac:dyDescent="0.25">
      <c r="BM8968" s="81"/>
      <c r="BN8968" s="81"/>
      <c r="BO8968" s="81"/>
      <c r="BP8968" s="81"/>
      <c r="BQ8968" s="81"/>
      <c r="BR8968" s="81"/>
      <c r="BS8968" s="81"/>
      <c r="BT8968" s="81"/>
    </row>
    <row r="8969" spans="65:72" x14ac:dyDescent="0.25">
      <c r="BM8969" s="81"/>
      <c r="BN8969" s="81"/>
      <c r="BO8969" s="81"/>
      <c r="BP8969" s="81"/>
      <c r="BQ8969" s="81"/>
      <c r="BR8969" s="81"/>
      <c r="BS8969" s="81"/>
      <c r="BT8969" s="81"/>
    </row>
    <row r="8970" spans="65:72" x14ac:dyDescent="0.25">
      <c r="BM8970" s="81"/>
      <c r="BN8970" s="81"/>
      <c r="BO8970" s="81"/>
      <c r="BP8970" s="81"/>
      <c r="BQ8970" s="81"/>
      <c r="BR8970" s="81"/>
      <c r="BS8970" s="81"/>
      <c r="BT8970" s="81"/>
    </row>
    <row r="8971" spans="65:72" x14ac:dyDescent="0.25">
      <c r="BM8971" s="81"/>
      <c r="BN8971" s="81"/>
      <c r="BO8971" s="81"/>
      <c r="BP8971" s="81"/>
      <c r="BQ8971" s="81"/>
      <c r="BR8971" s="81"/>
      <c r="BS8971" s="81"/>
      <c r="BT8971" s="81"/>
    </row>
    <row r="8972" spans="65:72" x14ac:dyDescent="0.25">
      <c r="BM8972" s="81"/>
      <c r="BN8972" s="81"/>
      <c r="BO8972" s="81"/>
      <c r="BP8972" s="81"/>
      <c r="BQ8972" s="81"/>
      <c r="BR8972" s="81"/>
      <c r="BS8972" s="81"/>
      <c r="BT8972" s="81"/>
    </row>
    <row r="8973" spans="65:72" x14ac:dyDescent="0.25">
      <c r="BM8973" s="81"/>
      <c r="BN8973" s="81"/>
      <c r="BO8973" s="81"/>
      <c r="BP8973" s="81"/>
      <c r="BQ8973" s="81"/>
      <c r="BR8973" s="81"/>
      <c r="BS8973" s="81"/>
      <c r="BT8973" s="81"/>
    </row>
    <row r="8974" spans="65:72" x14ac:dyDescent="0.25">
      <c r="BM8974" s="81"/>
      <c r="BN8974" s="81"/>
      <c r="BO8974" s="81"/>
      <c r="BP8974" s="81"/>
      <c r="BQ8974" s="81"/>
      <c r="BR8974" s="81"/>
      <c r="BS8974" s="81"/>
      <c r="BT8974" s="81"/>
    </row>
    <row r="8975" spans="65:72" x14ac:dyDescent="0.25">
      <c r="BM8975" s="81"/>
      <c r="BN8975" s="81"/>
      <c r="BO8975" s="81"/>
      <c r="BP8975" s="81"/>
      <c r="BQ8975" s="81"/>
      <c r="BR8975" s="81"/>
      <c r="BS8975" s="81"/>
      <c r="BT8975" s="81"/>
    </row>
    <row r="8976" spans="65:72" x14ac:dyDescent="0.25">
      <c r="BM8976" s="81"/>
      <c r="BN8976" s="81"/>
      <c r="BO8976" s="81"/>
      <c r="BP8976" s="81"/>
      <c r="BQ8976" s="81"/>
      <c r="BR8976" s="81"/>
      <c r="BS8976" s="81"/>
      <c r="BT8976" s="81"/>
    </row>
    <row r="8977" spans="65:72" x14ac:dyDescent="0.25">
      <c r="BM8977" s="81"/>
      <c r="BN8977" s="81"/>
      <c r="BO8977" s="81"/>
      <c r="BP8977" s="81"/>
      <c r="BQ8977" s="81"/>
      <c r="BR8977" s="81"/>
      <c r="BS8977" s="81"/>
      <c r="BT8977" s="81"/>
    </row>
    <row r="8978" spans="65:72" x14ac:dyDescent="0.25">
      <c r="BM8978" s="81"/>
      <c r="BN8978" s="81"/>
      <c r="BO8978" s="81"/>
      <c r="BP8978" s="81"/>
      <c r="BQ8978" s="81"/>
      <c r="BR8978" s="81"/>
      <c r="BS8978" s="81"/>
      <c r="BT8978" s="81"/>
    </row>
    <row r="8979" spans="65:72" x14ac:dyDescent="0.25">
      <c r="BM8979" s="81"/>
      <c r="BN8979" s="81"/>
      <c r="BO8979" s="81"/>
      <c r="BP8979" s="81"/>
      <c r="BQ8979" s="81"/>
      <c r="BR8979" s="81"/>
      <c r="BS8979" s="81"/>
      <c r="BT8979" s="81"/>
    </row>
    <row r="8980" spans="65:72" x14ac:dyDescent="0.25">
      <c r="BM8980" s="81"/>
      <c r="BN8980" s="81"/>
      <c r="BO8980" s="81"/>
      <c r="BP8980" s="81"/>
      <c r="BQ8980" s="81"/>
      <c r="BR8980" s="81"/>
      <c r="BS8980" s="81"/>
      <c r="BT8980" s="81"/>
    </row>
    <row r="8981" spans="65:72" x14ac:dyDescent="0.25">
      <c r="BM8981" s="81"/>
      <c r="BN8981" s="81"/>
      <c r="BO8981" s="81"/>
      <c r="BP8981" s="81"/>
      <c r="BQ8981" s="81"/>
      <c r="BR8981" s="81"/>
      <c r="BS8981" s="81"/>
      <c r="BT8981" s="81"/>
    </row>
    <row r="8982" spans="65:72" x14ac:dyDescent="0.25">
      <c r="BM8982" s="81"/>
      <c r="BN8982" s="81"/>
      <c r="BO8982" s="81"/>
      <c r="BP8982" s="81"/>
      <c r="BQ8982" s="81"/>
      <c r="BR8982" s="81"/>
      <c r="BS8982" s="81"/>
      <c r="BT8982" s="81"/>
    </row>
    <row r="8983" spans="65:72" x14ac:dyDescent="0.25">
      <c r="BM8983" s="81"/>
      <c r="BN8983" s="81"/>
      <c r="BO8983" s="81"/>
      <c r="BP8983" s="81"/>
      <c r="BQ8983" s="81"/>
      <c r="BR8983" s="81"/>
      <c r="BS8983" s="81"/>
      <c r="BT8983" s="81"/>
    </row>
    <row r="8984" spans="65:72" x14ac:dyDescent="0.25">
      <c r="BM8984" s="81"/>
      <c r="BN8984" s="81"/>
      <c r="BO8984" s="81"/>
      <c r="BP8984" s="81"/>
      <c r="BQ8984" s="81"/>
      <c r="BR8984" s="81"/>
      <c r="BS8984" s="81"/>
      <c r="BT8984" s="81"/>
    </row>
    <row r="8985" spans="65:72" x14ac:dyDescent="0.25">
      <c r="BM8985" s="81"/>
      <c r="BN8985" s="81"/>
      <c r="BO8985" s="81"/>
      <c r="BP8985" s="81"/>
      <c r="BQ8985" s="81"/>
      <c r="BR8985" s="81"/>
      <c r="BS8985" s="81"/>
      <c r="BT8985" s="81"/>
    </row>
    <row r="8986" spans="65:72" x14ac:dyDescent="0.25">
      <c r="BM8986" s="81"/>
      <c r="BN8986" s="81"/>
      <c r="BO8986" s="81"/>
      <c r="BP8986" s="81"/>
      <c r="BQ8986" s="81"/>
      <c r="BR8986" s="81"/>
      <c r="BS8986" s="81"/>
      <c r="BT8986" s="81"/>
    </row>
    <row r="8987" spans="65:72" x14ac:dyDescent="0.25">
      <c r="BM8987" s="81"/>
      <c r="BN8987" s="81"/>
      <c r="BO8987" s="81"/>
      <c r="BP8987" s="81"/>
      <c r="BQ8987" s="81"/>
      <c r="BR8987" s="81"/>
      <c r="BS8987" s="81"/>
      <c r="BT8987" s="81"/>
    </row>
    <row r="8988" spans="65:72" x14ac:dyDescent="0.25">
      <c r="BM8988" s="81"/>
      <c r="BN8988" s="81"/>
      <c r="BO8988" s="81"/>
      <c r="BP8988" s="81"/>
      <c r="BQ8988" s="81"/>
      <c r="BR8988" s="81"/>
      <c r="BS8988" s="81"/>
      <c r="BT8988" s="81"/>
    </row>
    <row r="8989" spans="65:72" x14ac:dyDescent="0.25">
      <c r="BM8989" s="81"/>
      <c r="BN8989" s="81"/>
      <c r="BO8989" s="81"/>
      <c r="BP8989" s="81"/>
      <c r="BQ8989" s="81"/>
      <c r="BR8989" s="81"/>
      <c r="BS8989" s="81"/>
      <c r="BT8989" s="81"/>
    </row>
    <row r="8990" spans="65:72" x14ac:dyDescent="0.25">
      <c r="BM8990" s="81"/>
      <c r="BN8990" s="81"/>
      <c r="BO8990" s="81"/>
      <c r="BP8990" s="81"/>
      <c r="BQ8990" s="81"/>
      <c r="BR8990" s="81"/>
      <c r="BS8990" s="81"/>
      <c r="BT8990" s="81"/>
    </row>
    <row r="8991" spans="65:72" x14ac:dyDescent="0.25">
      <c r="BM8991" s="81"/>
      <c r="BN8991" s="81"/>
      <c r="BO8991" s="81"/>
      <c r="BP8991" s="81"/>
      <c r="BQ8991" s="81"/>
      <c r="BR8991" s="81"/>
      <c r="BS8991" s="81"/>
      <c r="BT8991" s="81"/>
    </row>
    <row r="8992" spans="65:72" x14ac:dyDescent="0.25">
      <c r="BM8992" s="81"/>
      <c r="BN8992" s="81"/>
      <c r="BO8992" s="81"/>
      <c r="BP8992" s="81"/>
      <c r="BQ8992" s="81"/>
      <c r="BR8992" s="81"/>
      <c r="BS8992" s="81"/>
      <c r="BT8992" s="81"/>
    </row>
    <row r="8993" spans="65:72" x14ac:dyDescent="0.25">
      <c r="BM8993" s="81"/>
      <c r="BN8993" s="81"/>
      <c r="BO8993" s="81"/>
      <c r="BP8993" s="81"/>
      <c r="BQ8993" s="81"/>
      <c r="BR8993" s="81"/>
      <c r="BS8993" s="81"/>
      <c r="BT8993" s="81"/>
    </row>
    <row r="8994" spans="65:72" x14ac:dyDescent="0.25">
      <c r="BM8994" s="81"/>
      <c r="BN8994" s="81"/>
      <c r="BO8994" s="81"/>
      <c r="BP8994" s="81"/>
      <c r="BQ8994" s="81"/>
      <c r="BR8994" s="81"/>
      <c r="BS8994" s="81"/>
      <c r="BT8994" s="81"/>
    </row>
    <row r="8995" spans="65:72" x14ac:dyDescent="0.25">
      <c r="BM8995" s="81"/>
      <c r="BN8995" s="81"/>
      <c r="BO8995" s="81"/>
      <c r="BP8995" s="81"/>
      <c r="BQ8995" s="81"/>
      <c r="BR8995" s="81"/>
      <c r="BS8995" s="81"/>
      <c r="BT8995" s="81"/>
    </row>
    <row r="8996" spans="65:72" x14ac:dyDescent="0.25">
      <c r="BM8996" s="81"/>
      <c r="BN8996" s="81"/>
      <c r="BO8996" s="81"/>
      <c r="BP8996" s="81"/>
      <c r="BQ8996" s="81"/>
      <c r="BR8996" s="81"/>
      <c r="BS8996" s="81"/>
      <c r="BT8996" s="81"/>
    </row>
    <row r="8997" spans="65:72" x14ac:dyDescent="0.25">
      <c r="BM8997" s="81"/>
      <c r="BN8997" s="81"/>
      <c r="BO8997" s="81"/>
      <c r="BP8997" s="81"/>
      <c r="BQ8997" s="81"/>
      <c r="BR8997" s="81"/>
      <c r="BS8997" s="81"/>
      <c r="BT8997" s="81"/>
    </row>
    <row r="8998" spans="65:72" x14ac:dyDescent="0.25">
      <c r="BM8998" s="81"/>
      <c r="BN8998" s="81"/>
      <c r="BO8998" s="81"/>
      <c r="BP8998" s="81"/>
      <c r="BQ8998" s="81"/>
      <c r="BR8998" s="81"/>
      <c r="BS8998" s="81"/>
      <c r="BT8998" s="81"/>
    </row>
    <row r="8999" spans="65:72" x14ac:dyDescent="0.25">
      <c r="BM8999" s="81"/>
      <c r="BN8999" s="81"/>
      <c r="BO8999" s="81"/>
      <c r="BP8999" s="81"/>
      <c r="BQ8999" s="81"/>
      <c r="BR8999" s="81"/>
      <c r="BS8999" s="81"/>
      <c r="BT8999" s="81"/>
    </row>
    <row r="9000" spans="65:72" x14ac:dyDescent="0.25">
      <c r="BM9000" s="81"/>
      <c r="BN9000" s="81"/>
      <c r="BO9000" s="81"/>
      <c r="BP9000" s="81"/>
      <c r="BQ9000" s="81"/>
      <c r="BR9000" s="81"/>
      <c r="BS9000" s="81"/>
      <c r="BT9000" s="81"/>
    </row>
    <row r="9001" spans="65:72" x14ac:dyDescent="0.25">
      <c r="BM9001" s="81"/>
      <c r="BN9001" s="81"/>
      <c r="BO9001" s="81"/>
      <c r="BP9001" s="81"/>
      <c r="BQ9001" s="81"/>
      <c r="BR9001" s="81"/>
      <c r="BS9001" s="81"/>
      <c r="BT9001" s="81"/>
    </row>
    <row r="9002" spans="65:72" x14ac:dyDescent="0.25">
      <c r="BM9002" s="81"/>
      <c r="BN9002" s="81"/>
      <c r="BO9002" s="81"/>
      <c r="BP9002" s="81"/>
      <c r="BQ9002" s="81"/>
      <c r="BR9002" s="81"/>
      <c r="BS9002" s="81"/>
      <c r="BT9002" s="81"/>
    </row>
    <row r="9003" spans="65:72" x14ac:dyDescent="0.25">
      <c r="BM9003" s="81"/>
      <c r="BN9003" s="81"/>
      <c r="BO9003" s="81"/>
      <c r="BP9003" s="81"/>
      <c r="BQ9003" s="81"/>
      <c r="BR9003" s="81"/>
      <c r="BS9003" s="81"/>
      <c r="BT9003" s="81"/>
    </row>
    <row r="9004" spans="65:72" x14ac:dyDescent="0.25">
      <c r="BM9004" s="81"/>
      <c r="BN9004" s="81"/>
      <c r="BO9004" s="81"/>
      <c r="BP9004" s="81"/>
      <c r="BQ9004" s="81"/>
      <c r="BR9004" s="81"/>
      <c r="BS9004" s="81"/>
      <c r="BT9004" s="81"/>
    </row>
    <row r="9005" spans="65:72" x14ac:dyDescent="0.25">
      <c r="BM9005" s="81"/>
      <c r="BN9005" s="81"/>
      <c r="BO9005" s="81"/>
      <c r="BP9005" s="81"/>
      <c r="BQ9005" s="81"/>
      <c r="BR9005" s="81"/>
      <c r="BS9005" s="81"/>
      <c r="BT9005" s="81"/>
    </row>
    <row r="9006" spans="65:72" x14ac:dyDescent="0.25">
      <c r="BM9006" s="81"/>
      <c r="BN9006" s="81"/>
      <c r="BO9006" s="81"/>
      <c r="BP9006" s="81"/>
      <c r="BQ9006" s="81"/>
      <c r="BR9006" s="81"/>
      <c r="BS9006" s="81"/>
      <c r="BT9006" s="81"/>
    </row>
    <row r="9007" spans="65:72" x14ac:dyDescent="0.25">
      <c r="BM9007" s="81"/>
      <c r="BN9007" s="81"/>
      <c r="BO9007" s="81"/>
      <c r="BP9007" s="81"/>
      <c r="BQ9007" s="81"/>
      <c r="BR9007" s="81"/>
      <c r="BS9007" s="81"/>
      <c r="BT9007" s="81"/>
    </row>
    <row r="9008" spans="65:72" x14ac:dyDescent="0.25">
      <c r="BM9008" s="81"/>
      <c r="BN9008" s="81"/>
      <c r="BO9008" s="81"/>
      <c r="BP9008" s="81"/>
      <c r="BQ9008" s="81"/>
      <c r="BR9008" s="81"/>
      <c r="BS9008" s="81"/>
      <c r="BT9008" s="81"/>
    </row>
    <row r="9009" spans="65:72" x14ac:dyDescent="0.25">
      <c r="BM9009" s="81"/>
      <c r="BN9009" s="81"/>
      <c r="BO9009" s="81"/>
      <c r="BP9009" s="81"/>
      <c r="BQ9009" s="81"/>
      <c r="BR9009" s="81"/>
      <c r="BS9009" s="81"/>
      <c r="BT9009" s="81"/>
    </row>
    <row r="9010" spans="65:72" x14ac:dyDescent="0.25">
      <c r="BM9010" s="81"/>
      <c r="BN9010" s="81"/>
      <c r="BO9010" s="81"/>
      <c r="BP9010" s="81"/>
      <c r="BQ9010" s="81"/>
      <c r="BR9010" s="81"/>
      <c r="BS9010" s="81"/>
      <c r="BT9010" s="81"/>
    </row>
    <row r="9011" spans="65:72" x14ac:dyDescent="0.25">
      <c r="BM9011" s="81"/>
      <c r="BN9011" s="81"/>
      <c r="BO9011" s="81"/>
      <c r="BP9011" s="81"/>
      <c r="BQ9011" s="81"/>
      <c r="BR9011" s="81"/>
      <c r="BS9011" s="81"/>
      <c r="BT9011" s="81"/>
    </row>
    <row r="9012" spans="65:72" x14ac:dyDescent="0.25">
      <c r="BM9012" s="81"/>
      <c r="BN9012" s="81"/>
      <c r="BO9012" s="81"/>
      <c r="BP9012" s="81"/>
      <c r="BQ9012" s="81"/>
      <c r="BR9012" s="81"/>
      <c r="BS9012" s="81"/>
      <c r="BT9012" s="81"/>
    </row>
    <row r="9013" spans="65:72" x14ac:dyDescent="0.25">
      <c r="BM9013" s="81"/>
      <c r="BN9013" s="81"/>
      <c r="BO9013" s="81"/>
      <c r="BP9013" s="81"/>
      <c r="BQ9013" s="81"/>
      <c r="BR9013" s="81"/>
      <c r="BS9013" s="81"/>
      <c r="BT9013" s="81"/>
    </row>
    <row r="9014" spans="65:72" x14ac:dyDescent="0.25">
      <c r="BM9014" s="81"/>
      <c r="BN9014" s="81"/>
      <c r="BO9014" s="81"/>
      <c r="BP9014" s="81"/>
      <c r="BQ9014" s="81"/>
      <c r="BR9014" s="81"/>
      <c r="BS9014" s="81"/>
      <c r="BT9014" s="81"/>
    </row>
    <row r="9015" spans="65:72" x14ac:dyDescent="0.25">
      <c r="BM9015" s="81"/>
      <c r="BN9015" s="81"/>
      <c r="BO9015" s="81"/>
      <c r="BP9015" s="81"/>
      <c r="BQ9015" s="81"/>
      <c r="BR9015" s="81"/>
      <c r="BS9015" s="81"/>
      <c r="BT9015" s="81"/>
    </row>
    <row r="9016" spans="65:72" x14ac:dyDescent="0.25">
      <c r="BM9016" s="81"/>
      <c r="BN9016" s="81"/>
      <c r="BO9016" s="81"/>
      <c r="BP9016" s="81"/>
      <c r="BQ9016" s="81"/>
      <c r="BR9016" s="81"/>
      <c r="BS9016" s="81"/>
      <c r="BT9016" s="81"/>
    </row>
    <row r="9017" spans="65:72" x14ac:dyDescent="0.25">
      <c r="BM9017" s="81"/>
      <c r="BN9017" s="81"/>
      <c r="BO9017" s="81"/>
      <c r="BP9017" s="81"/>
      <c r="BQ9017" s="81"/>
      <c r="BR9017" s="81"/>
      <c r="BS9017" s="81"/>
      <c r="BT9017" s="81"/>
    </row>
    <row r="9018" spans="65:72" x14ac:dyDescent="0.25">
      <c r="BM9018" s="81"/>
      <c r="BN9018" s="81"/>
      <c r="BO9018" s="81"/>
      <c r="BP9018" s="81"/>
      <c r="BQ9018" s="81"/>
      <c r="BR9018" s="81"/>
      <c r="BS9018" s="81"/>
      <c r="BT9018" s="81"/>
    </row>
    <row r="9019" spans="65:72" x14ac:dyDescent="0.25">
      <c r="BM9019" s="81"/>
      <c r="BN9019" s="81"/>
      <c r="BO9019" s="81"/>
      <c r="BP9019" s="81"/>
      <c r="BQ9019" s="81"/>
      <c r="BR9019" s="81"/>
      <c r="BS9019" s="81"/>
      <c r="BT9019" s="81"/>
    </row>
    <row r="9020" spans="65:72" x14ac:dyDescent="0.25">
      <c r="BM9020" s="81"/>
      <c r="BN9020" s="81"/>
      <c r="BO9020" s="81"/>
      <c r="BP9020" s="81"/>
      <c r="BQ9020" s="81"/>
      <c r="BR9020" s="81"/>
      <c r="BS9020" s="81"/>
      <c r="BT9020" s="81"/>
    </row>
    <row r="9021" spans="65:72" x14ac:dyDescent="0.25">
      <c r="BM9021" s="81"/>
      <c r="BN9021" s="81"/>
      <c r="BO9021" s="81"/>
      <c r="BP9021" s="81"/>
      <c r="BQ9021" s="81"/>
      <c r="BR9021" s="81"/>
      <c r="BS9021" s="81"/>
      <c r="BT9021" s="81"/>
    </row>
    <row r="9022" spans="65:72" x14ac:dyDescent="0.25">
      <c r="BM9022" s="81"/>
      <c r="BN9022" s="81"/>
      <c r="BO9022" s="81"/>
      <c r="BP9022" s="81"/>
      <c r="BQ9022" s="81"/>
      <c r="BR9022" s="81"/>
      <c r="BS9022" s="81"/>
      <c r="BT9022" s="81"/>
    </row>
    <row r="9023" spans="65:72" x14ac:dyDescent="0.25">
      <c r="BM9023" s="81"/>
      <c r="BN9023" s="81"/>
      <c r="BO9023" s="81"/>
      <c r="BP9023" s="81"/>
      <c r="BQ9023" s="81"/>
      <c r="BR9023" s="81"/>
      <c r="BS9023" s="81"/>
      <c r="BT9023" s="81"/>
    </row>
    <row r="9024" spans="65:72" x14ac:dyDescent="0.25">
      <c r="BM9024" s="81"/>
      <c r="BN9024" s="81"/>
      <c r="BO9024" s="81"/>
      <c r="BP9024" s="81"/>
      <c r="BQ9024" s="81"/>
      <c r="BR9024" s="81"/>
      <c r="BS9024" s="81"/>
      <c r="BT9024" s="81"/>
    </row>
    <row r="9025" spans="65:72" x14ac:dyDescent="0.25">
      <c r="BM9025" s="81"/>
      <c r="BN9025" s="81"/>
      <c r="BO9025" s="81"/>
      <c r="BP9025" s="81"/>
      <c r="BQ9025" s="81"/>
      <c r="BR9025" s="81"/>
      <c r="BS9025" s="81"/>
      <c r="BT9025" s="81"/>
    </row>
    <row r="9026" spans="65:72" x14ac:dyDescent="0.25">
      <c r="BM9026" s="81"/>
      <c r="BN9026" s="81"/>
      <c r="BO9026" s="81"/>
      <c r="BP9026" s="81"/>
      <c r="BQ9026" s="81"/>
      <c r="BR9026" s="81"/>
      <c r="BS9026" s="81"/>
      <c r="BT9026" s="81"/>
    </row>
    <row r="9027" spans="65:72" x14ac:dyDescent="0.25">
      <c r="BM9027" s="81"/>
      <c r="BN9027" s="81"/>
      <c r="BO9027" s="81"/>
      <c r="BP9027" s="81"/>
      <c r="BQ9027" s="81"/>
      <c r="BR9027" s="81"/>
      <c r="BS9027" s="81"/>
      <c r="BT9027" s="81"/>
    </row>
    <row r="9028" spans="65:72" x14ac:dyDescent="0.25">
      <c r="BM9028" s="81"/>
      <c r="BN9028" s="81"/>
      <c r="BO9028" s="81"/>
      <c r="BP9028" s="81"/>
      <c r="BQ9028" s="81"/>
      <c r="BR9028" s="81"/>
      <c r="BS9028" s="81"/>
      <c r="BT9028" s="81"/>
    </row>
    <row r="9029" spans="65:72" x14ac:dyDescent="0.25">
      <c r="BM9029" s="81"/>
      <c r="BN9029" s="81"/>
      <c r="BO9029" s="81"/>
      <c r="BP9029" s="81"/>
      <c r="BQ9029" s="81"/>
      <c r="BR9029" s="81"/>
      <c r="BS9029" s="81"/>
      <c r="BT9029" s="81"/>
    </row>
    <row r="9030" spans="65:72" x14ac:dyDescent="0.25">
      <c r="BM9030" s="81"/>
      <c r="BN9030" s="81"/>
      <c r="BO9030" s="81"/>
      <c r="BP9030" s="81"/>
      <c r="BQ9030" s="81"/>
      <c r="BR9030" s="81"/>
      <c r="BS9030" s="81"/>
      <c r="BT9030" s="81"/>
    </row>
    <row r="9031" spans="65:72" x14ac:dyDescent="0.25">
      <c r="BM9031" s="81"/>
      <c r="BN9031" s="81"/>
      <c r="BO9031" s="81"/>
      <c r="BP9031" s="81"/>
      <c r="BQ9031" s="81"/>
      <c r="BR9031" s="81"/>
      <c r="BS9031" s="81"/>
      <c r="BT9031" s="81"/>
    </row>
    <row r="9032" spans="65:72" x14ac:dyDescent="0.25">
      <c r="BM9032" s="81"/>
      <c r="BN9032" s="81"/>
      <c r="BO9032" s="81"/>
      <c r="BP9032" s="81"/>
      <c r="BQ9032" s="81"/>
      <c r="BR9032" s="81"/>
      <c r="BS9032" s="81"/>
      <c r="BT9032" s="81"/>
    </row>
    <row r="9033" spans="65:72" x14ac:dyDescent="0.25">
      <c r="BM9033" s="81"/>
      <c r="BN9033" s="81"/>
      <c r="BO9033" s="81"/>
      <c r="BP9033" s="81"/>
      <c r="BQ9033" s="81"/>
      <c r="BR9033" s="81"/>
      <c r="BS9033" s="81"/>
      <c r="BT9033" s="81"/>
    </row>
    <row r="9034" spans="65:72" x14ac:dyDescent="0.25">
      <c r="BM9034" s="81"/>
      <c r="BN9034" s="81"/>
      <c r="BO9034" s="81"/>
      <c r="BP9034" s="81"/>
      <c r="BQ9034" s="81"/>
      <c r="BR9034" s="81"/>
      <c r="BS9034" s="81"/>
      <c r="BT9034" s="81"/>
    </row>
    <row r="9035" spans="65:72" x14ac:dyDescent="0.25">
      <c r="BM9035" s="81"/>
      <c r="BN9035" s="81"/>
      <c r="BO9035" s="81"/>
      <c r="BP9035" s="81"/>
      <c r="BQ9035" s="81"/>
      <c r="BR9035" s="81"/>
      <c r="BS9035" s="81"/>
      <c r="BT9035" s="81"/>
    </row>
    <row r="9036" spans="65:72" x14ac:dyDescent="0.25">
      <c r="BM9036" s="81"/>
      <c r="BN9036" s="81"/>
      <c r="BO9036" s="81"/>
      <c r="BP9036" s="81"/>
      <c r="BQ9036" s="81"/>
      <c r="BR9036" s="81"/>
      <c r="BS9036" s="81"/>
      <c r="BT9036" s="81"/>
    </row>
    <row r="9037" spans="65:72" x14ac:dyDescent="0.25">
      <c r="BM9037" s="81"/>
      <c r="BN9037" s="81"/>
      <c r="BO9037" s="81"/>
      <c r="BP9037" s="81"/>
      <c r="BQ9037" s="81"/>
      <c r="BR9037" s="81"/>
      <c r="BS9037" s="81"/>
      <c r="BT9037" s="81"/>
    </row>
    <row r="9038" spans="65:72" x14ac:dyDescent="0.25">
      <c r="BM9038" s="81"/>
      <c r="BN9038" s="81"/>
      <c r="BO9038" s="81"/>
      <c r="BP9038" s="81"/>
      <c r="BQ9038" s="81"/>
      <c r="BR9038" s="81"/>
      <c r="BS9038" s="81"/>
      <c r="BT9038" s="81"/>
    </row>
    <row r="9039" spans="65:72" x14ac:dyDescent="0.25">
      <c r="BM9039" s="81"/>
      <c r="BN9039" s="81"/>
      <c r="BO9039" s="81"/>
      <c r="BP9039" s="81"/>
      <c r="BQ9039" s="81"/>
      <c r="BR9039" s="81"/>
      <c r="BS9039" s="81"/>
      <c r="BT9039" s="81"/>
    </row>
    <row r="9040" spans="65:72" x14ac:dyDescent="0.25">
      <c r="BM9040" s="81"/>
      <c r="BN9040" s="81"/>
      <c r="BO9040" s="81"/>
      <c r="BP9040" s="81"/>
      <c r="BQ9040" s="81"/>
      <c r="BR9040" s="81"/>
      <c r="BS9040" s="81"/>
      <c r="BT9040" s="81"/>
    </row>
    <row r="9041" spans="65:72" x14ac:dyDescent="0.25">
      <c r="BM9041" s="81"/>
      <c r="BN9041" s="81"/>
      <c r="BO9041" s="81"/>
      <c r="BP9041" s="81"/>
      <c r="BQ9041" s="81"/>
      <c r="BR9041" s="81"/>
      <c r="BS9041" s="81"/>
      <c r="BT9041" s="81"/>
    </row>
    <row r="9042" spans="65:72" x14ac:dyDescent="0.25">
      <c r="BM9042" s="81"/>
      <c r="BN9042" s="81"/>
      <c r="BO9042" s="81"/>
      <c r="BP9042" s="81"/>
      <c r="BQ9042" s="81"/>
      <c r="BR9042" s="81"/>
      <c r="BS9042" s="81"/>
      <c r="BT9042" s="81"/>
    </row>
    <row r="9043" spans="65:72" x14ac:dyDescent="0.25">
      <c r="BM9043" s="81"/>
      <c r="BN9043" s="81"/>
      <c r="BO9043" s="81"/>
      <c r="BP9043" s="81"/>
      <c r="BQ9043" s="81"/>
      <c r="BR9043" s="81"/>
      <c r="BS9043" s="81"/>
      <c r="BT9043" s="81"/>
    </row>
    <row r="9044" spans="65:72" x14ac:dyDescent="0.25">
      <c r="BM9044" s="81"/>
      <c r="BN9044" s="81"/>
      <c r="BO9044" s="81"/>
      <c r="BP9044" s="81"/>
      <c r="BQ9044" s="81"/>
      <c r="BR9044" s="81"/>
      <c r="BS9044" s="81"/>
      <c r="BT9044" s="81"/>
    </row>
    <row r="9045" spans="65:72" x14ac:dyDescent="0.25">
      <c r="BM9045" s="81"/>
      <c r="BN9045" s="81"/>
      <c r="BO9045" s="81"/>
      <c r="BP9045" s="81"/>
      <c r="BQ9045" s="81"/>
      <c r="BR9045" s="81"/>
      <c r="BS9045" s="81"/>
      <c r="BT9045" s="81"/>
    </row>
    <row r="9046" spans="65:72" x14ac:dyDescent="0.25">
      <c r="BM9046" s="81"/>
      <c r="BN9046" s="81"/>
      <c r="BO9046" s="81"/>
      <c r="BP9046" s="81"/>
      <c r="BQ9046" s="81"/>
      <c r="BR9046" s="81"/>
      <c r="BS9046" s="81"/>
      <c r="BT9046" s="81"/>
    </row>
    <row r="9047" spans="65:72" x14ac:dyDescent="0.25">
      <c r="BM9047" s="81"/>
      <c r="BN9047" s="81"/>
      <c r="BO9047" s="81"/>
      <c r="BP9047" s="81"/>
      <c r="BQ9047" s="81"/>
      <c r="BR9047" s="81"/>
      <c r="BS9047" s="81"/>
      <c r="BT9047" s="81"/>
    </row>
    <row r="9048" spans="65:72" x14ac:dyDescent="0.25">
      <c r="BM9048" s="81"/>
      <c r="BN9048" s="81"/>
      <c r="BO9048" s="81"/>
      <c r="BP9048" s="81"/>
      <c r="BQ9048" s="81"/>
      <c r="BR9048" s="81"/>
      <c r="BS9048" s="81"/>
      <c r="BT9048" s="81"/>
    </row>
    <row r="9049" spans="65:72" x14ac:dyDescent="0.25">
      <c r="BM9049" s="81"/>
      <c r="BN9049" s="81"/>
      <c r="BO9049" s="81"/>
      <c r="BP9049" s="81"/>
      <c r="BQ9049" s="81"/>
      <c r="BR9049" s="81"/>
      <c r="BS9049" s="81"/>
      <c r="BT9049" s="81"/>
    </row>
    <row r="9050" spans="65:72" x14ac:dyDescent="0.25">
      <c r="BM9050" s="81"/>
      <c r="BN9050" s="81"/>
      <c r="BO9050" s="81"/>
      <c r="BP9050" s="81"/>
      <c r="BQ9050" s="81"/>
      <c r="BR9050" s="81"/>
      <c r="BS9050" s="81"/>
      <c r="BT9050" s="81"/>
    </row>
    <row r="9051" spans="65:72" x14ac:dyDescent="0.25">
      <c r="BM9051" s="81"/>
      <c r="BN9051" s="81"/>
      <c r="BO9051" s="81"/>
      <c r="BP9051" s="81"/>
      <c r="BQ9051" s="81"/>
      <c r="BR9051" s="81"/>
      <c r="BS9051" s="81"/>
      <c r="BT9051" s="81"/>
    </row>
    <row r="9052" spans="65:72" x14ac:dyDescent="0.25">
      <c r="BM9052" s="81"/>
      <c r="BN9052" s="81"/>
      <c r="BO9052" s="81"/>
      <c r="BP9052" s="81"/>
      <c r="BQ9052" s="81"/>
      <c r="BR9052" s="81"/>
      <c r="BS9052" s="81"/>
      <c r="BT9052" s="81"/>
    </row>
    <row r="9053" spans="65:72" x14ac:dyDescent="0.25">
      <c r="BM9053" s="81"/>
      <c r="BN9053" s="81"/>
      <c r="BO9053" s="81"/>
      <c r="BP9053" s="81"/>
      <c r="BQ9053" s="81"/>
      <c r="BR9053" s="81"/>
      <c r="BS9053" s="81"/>
      <c r="BT9053" s="81"/>
    </row>
    <row r="9054" spans="65:72" x14ac:dyDescent="0.25">
      <c r="BM9054" s="81"/>
      <c r="BN9054" s="81"/>
      <c r="BO9054" s="81"/>
      <c r="BP9054" s="81"/>
      <c r="BQ9054" s="81"/>
      <c r="BR9054" s="81"/>
      <c r="BS9054" s="81"/>
      <c r="BT9054" s="81"/>
    </row>
    <row r="9055" spans="65:72" x14ac:dyDescent="0.25">
      <c r="BM9055" s="81"/>
      <c r="BN9055" s="81"/>
      <c r="BO9055" s="81"/>
      <c r="BP9055" s="81"/>
      <c r="BQ9055" s="81"/>
      <c r="BR9055" s="81"/>
      <c r="BS9055" s="81"/>
      <c r="BT9055" s="81"/>
    </row>
    <row r="9056" spans="65:72" x14ac:dyDescent="0.25">
      <c r="BM9056" s="81"/>
      <c r="BN9056" s="81"/>
      <c r="BO9056" s="81"/>
      <c r="BP9056" s="81"/>
      <c r="BQ9056" s="81"/>
      <c r="BR9056" s="81"/>
      <c r="BS9056" s="81"/>
      <c r="BT9056" s="81"/>
    </row>
    <row r="9057" spans="65:72" x14ac:dyDescent="0.25">
      <c r="BM9057" s="81"/>
      <c r="BN9057" s="81"/>
      <c r="BO9057" s="81"/>
      <c r="BP9057" s="81"/>
      <c r="BQ9057" s="81"/>
      <c r="BR9057" s="81"/>
      <c r="BS9057" s="81"/>
      <c r="BT9057" s="81"/>
    </row>
    <row r="9058" spans="65:72" x14ac:dyDescent="0.25">
      <c r="BM9058" s="81"/>
      <c r="BN9058" s="81"/>
      <c r="BO9058" s="81"/>
      <c r="BP9058" s="81"/>
      <c r="BQ9058" s="81"/>
      <c r="BR9058" s="81"/>
      <c r="BS9058" s="81"/>
      <c r="BT9058" s="81"/>
    </row>
    <row r="9059" spans="65:72" x14ac:dyDescent="0.25">
      <c r="BM9059" s="81"/>
      <c r="BN9059" s="81"/>
      <c r="BO9059" s="81"/>
      <c r="BP9059" s="81"/>
      <c r="BQ9059" s="81"/>
      <c r="BR9059" s="81"/>
      <c r="BS9059" s="81"/>
      <c r="BT9059" s="81"/>
    </row>
    <row r="9060" spans="65:72" x14ac:dyDescent="0.25">
      <c r="BM9060" s="81"/>
      <c r="BN9060" s="81"/>
      <c r="BO9060" s="81"/>
      <c r="BP9060" s="81"/>
      <c r="BQ9060" s="81"/>
      <c r="BR9060" s="81"/>
      <c r="BS9060" s="81"/>
      <c r="BT9060" s="81"/>
    </row>
    <row r="9061" spans="65:72" x14ac:dyDescent="0.25">
      <c r="BM9061" s="81"/>
      <c r="BN9061" s="81"/>
      <c r="BO9061" s="81"/>
      <c r="BP9061" s="81"/>
      <c r="BQ9061" s="81"/>
      <c r="BR9061" s="81"/>
      <c r="BS9061" s="81"/>
      <c r="BT9061" s="81"/>
    </row>
    <row r="9062" spans="65:72" x14ac:dyDescent="0.25">
      <c r="BM9062" s="81"/>
      <c r="BN9062" s="81"/>
      <c r="BO9062" s="81"/>
      <c r="BP9062" s="81"/>
      <c r="BQ9062" s="81"/>
      <c r="BR9062" s="81"/>
      <c r="BS9062" s="81"/>
      <c r="BT9062" s="81"/>
    </row>
    <row r="9063" spans="65:72" x14ac:dyDescent="0.25">
      <c r="BM9063" s="81"/>
      <c r="BN9063" s="81"/>
      <c r="BO9063" s="81"/>
      <c r="BP9063" s="81"/>
      <c r="BQ9063" s="81"/>
      <c r="BR9063" s="81"/>
      <c r="BS9063" s="81"/>
      <c r="BT9063" s="81"/>
    </row>
    <row r="9064" spans="65:72" x14ac:dyDescent="0.25">
      <c r="BM9064" s="81"/>
      <c r="BN9064" s="81"/>
      <c r="BO9064" s="81"/>
      <c r="BP9064" s="81"/>
      <c r="BQ9064" s="81"/>
      <c r="BR9064" s="81"/>
      <c r="BS9064" s="81"/>
      <c r="BT9064" s="81"/>
    </row>
    <row r="9065" spans="65:72" x14ac:dyDescent="0.25">
      <c r="BM9065" s="81"/>
      <c r="BN9065" s="81"/>
      <c r="BO9065" s="81"/>
      <c r="BP9065" s="81"/>
      <c r="BQ9065" s="81"/>
      <c r="BR9065" s="81"/>
      <c r="BS9065" s="81"/>
      <c r="BT9065" s="81"/>
    </row>
    <row r="9066" spans="65:72" x14ac:dyDescent="0.25">
      <c r="BM9066" s="81"/>
      <c r="BN9066" s="81"/>
      <c r="BO9066" s="81"/>
      <c r="BP9066" s="81"/>
      <c r="BQ9066" s="81"/>
      <c r="BR9066" s="81"/>
      <c r="BS9066" s="81"/>
      <c r="BT9066" s="81"/>
    </row>
    <row r="9067" spans="65:72" x14ac:dyDescent="0.25">
      <c r="BM9067" s="81"/>
      <c r="BN9067" s="81"/>
      <c r="BO9067" s="81"/>
      <c r="BP9067" s="81"/>
      <c r="BQ9067" s="81"/>
      <c r="BR9067" s="81"/>
      <c r="BS9067" s="81"/>
      <c r="BT9067" s="81"/>
    </row>
    <row r="9068" spans="65:72" x14ac:dyDescent="0.25">
      <c r="BM9068" s="81"/>
      <c r="BN9068" s="81"/>
      <c r="BO9068" s="81"/>
      <c r="BP9068" s="81"/>
      <c r="BQ9068" s="81"/>
      <c r="BR9068" s="81"/>
      <c r="BS9068" s="81"/>
      <c r="BT9068" s="81"/>
    </row>
    <row r="9069" spans="65:72" x14ac:dyDescent="0.25">
      <c r="BM9069" s="81"/>
      <c r="BN9069" s="81"/>
      <c r="BO9069" s="81"/>
      <c r="BP9069" s="81"/>
      <c r="BQ9069" s="81"/>
      <c r="BR9069" s="81"/>
      <c r="BS9069" s="81"/>
      <c r="BT9069" s="81"/>
    </row>
    <row r="9070" spans="65:72" x14ac:dyDescent="0.25">
      <c r="BM9070" s="81"/>
      <c r="BN9070" s="81"/>
      <c r="BO9070" s="81"/>
      <c r="BP9070" s="81"/>
      <c r="BQ9070" s="81"/>
      <c r="BR9070" s="81"/>
      <c r="BS9070" s="81"/>
      <c r="BT9070" s="81"/>
    </row>
    <row r="9071" spans="65:72" x14ac:dyDescent="0.25">
      <c r="BM9071" s="81"/>
      <c r="BN9071" s="81"/>
      <c r="BO9071" s="81"/>
      <c r="BP9071" s="81"/>
      <c r="BQ9071" s="81"/>
      <c r="BR9071" s="81"/>
      <c r="BS9071" s="81"/>
      <c r="BT9071" s="81"/>
    </row>
    <row r="9072" spans="65:72" x14ac:dyDescent="0.25">
      <c r="BM9072" s="81"/>
      <c r="BN9072" s="81"/>
      <c r="BO9072" s="81"/>
      <c r="BP9072" s="81"/>
      <c r="BQ9072" s="81"/>
      <c r="BR9072" s="81"/>
      <c r="BS9072" s="81"/>
      <c r="BT9072" s="81"/>
    </row>
    <row r="9073" spans="65:72" x14ac:dyDescent="0.25">
      <c r="BM9073" s="81"/>
      <c r="BN9073" s="81"/>
      <c r="BO9073" s="81"/>
      <c r="BP9073" s="81"/>
      <c r="BQ9073" s="81"/>
      <c r="BR9073" s="81"/>
      <c r="BS9073" s="81"/>
      <c r="BT9073" s="81"/>
    </row>
    <row r="9074" spans="65:72" x14ac:dyDescent="0.25">
      <c r="BM9074" s="81"/>
      <c r="BN9074" s="81"/>
      <c r="BO9074" s="81"/>
      <c r="BP9074" s="81"/>
      <c r="BQ9074" s="81"/>
      <c r="BR9074" s="81"/>
      <c r="BS9074" s="81"/>
      <c r="BT9074" s="81"/>
    </row>
    <row r="9075" spans="65:72" x14ac:dyDescent="0.25">
      <c r="BM9075" s="81"/>
      <c r="BN9075" s="81"/>
      <c r="BO9075" s="81"/>
      <c r="BP9075" s="81"/>
      <c r="BQ9075" s="81"/>
      <c r="BR9075" s="81"/>
      <c r="BS9075" s="81"/>
      <c r="BT9075" s="81"/>
    </row>
    <row r="9076" spans="65:72" x14ac:dyDescent="0.25">
      <c r="BM9076" s="81"/>
      <c r="BN9076" s="81"/>
      <c r="BO9076" s="81"/>
      <c r="BP9076" s="81"/>
      <c r="BQ9076" s="81"/>
      <c r="BR9076" s="81"/>
      <c r="BS9076" s="81"/>
      <c r="BT9076" s="81"/>
    </row>
    <row r="9077" spans="65:72" x14ac:dyDescent="0.25">
      <c r="BM9077" s="81"/>
      <c r="BN9077" s="81"/>
      <c r="BO9077" s="81"/>
      <c r="BP9077" s="81"/>
      <c r="BQ9077" s="81"/>
      <c r="BR9077" s="81"/>
      <c r="BS9077" s="81"/>
      <c r="BT9077" s="81"/>
    </row>
    <row r="9078" spans="65:72" x14ac:dyDescent="0.25">
      <c r="BM9078" s="81"/>
      <c r="BN9078" s="81"/>
      <c r="BO9078" s="81"/>
      <c r="BP9078" s="81"/>
      <c r="BQ9078" s="81"/>
      <c r="BR9078" s="81"/>
      <c r="BS9078" s="81"/>
      <c r="BT9078" s="81"/>
    </row>
    <row r="9079" spans="65:72" x14ac:dyDescent="0.25">
      <c r="BM9079" s="81"/>
      <c r="BN9079" s="81"/>
      <c r="BO9079" s="81"/>
      <c r="BP9079" s="81"/>
      <c r="BQ9079" s="81"/>
      <c r="BR9079" s="81"/>
      <c r="BS9079" s="81"/>
      <c r="BT9079" s="81"/>
    </row>
    <row r="9080" spans="65:72" x14ac:dyDescent="0.25">
      <c r="BM9080" s="81"/>
      <c r="BN9080" s="81"/>
      <c r="BO9080" s="81"/>
      <c r="BP9080" s="81"/>
      <c r="BQ9080" s="81"/>
      <c r="BR9080" s="81"/>
      <c r="BS9080" s="81"/>
      <c r="BT9080" s="81"/>
    </row>
    <row r="9081" spans="65:72" x14ac:dyDescent="0.25">
      <c r="BM9081" s="81"/>
      <c r="BN9081" s="81"/>
      <c r="BO9081" s="81"/>
      <c r="BP9081" s="81"/>
      <c r="BQ9081" s="81"/>
      <c r="BR9081" s="81"/>
      <c r="BS9081" s="81"/>
      <c r="BT9081" s="81"/>
    </row>
    <row r="9082" spans="65:72" x14ac:dyDescent="0.25">
      <c r="BM9082" s="81"/>
      <c r="BN9082" s="81"/>
      <c r="BO9082" s="81"/>
      <c r="BP9082" s="81"/>
      <c r="BQ9082" s="81"/>
      <c r="BR9082" s="81"/>
      <c r="BS9082" s="81"/>
      <c r="BT9082" s="81"/>
    </row>
    <row r="9083" spans="65:72" x14ac:dyDescent="0.25">
      <c r="BM9083" s="81"/>
      <c r="BN9083" s="81"/>
      <c r="BO9083" s="81"/>
      <c r="BP9083" s="81"/>
      <c r="BQ9083" s="81"/>
      <c r="BR9083" s="81"/>
      <c r="BS9083" s="81"/>
      <c r="BT9083" s="81"/>
    </row>
    <row r="9084" spans="65:72" x14ac:dyDescent="0.25">
      <c r="BM9084" s="81"/>
      <c r="BN9084" s="81"/>
      <c r="BO9084" s="81"/>
      <c r="BP9084" s="81"/>
      <c r="BQ9084" s="81"/>
      <c r="BR9084" s="81"/>
      <c r="BS9084" s="81"/>
      <c r="BT9084" s="81"/>
    </row>
    <row r="9085" spans="65:72" x14ac:dyDescent="0.25">
      <c r="BM9085" s="81"/>
      <c r="BN9085" s="81"/>
      <c r="BO9085" s="81"/>
      <c r="BP9085" s="81"/>
      <c r="BQ9085" s="81"/>
      <c r="BR9085" s="81"/>
      <c r="BS9085" s="81"/>
      <c r="BT9085" s="81"/>
    </row>
    <row r="9086" spans="65:72" x14ac:dyDescent="0.25">
      <c r="BM9086" s="81"/>
      <c r="BN9086" s="81"/>
      <c r="BO9086" s="81"/>
      <c r="BP9086" s="81"/>
      <c r="BQ9086" s="81"/>
      <c r="BR9086" s="81"/>
      <c r="BS9086" s="81"/>
      <c r="BT9086" s="81"/>
    </row>
    <row r="9087" spans="65:72" x14ac:dyDescent="0.25">
      <c r="BM9087" s="81"/>
      <c r="BN9087" s="81"/>
      <c r="BO9087" s="81"/>
      <c r="BP9087" s="81"/>
      <c r="BQ9087" s="81"/>
      <c r="BR9087" s="81"/>
      <c r="BS9087" s="81"/>
      <c r="BT9087" s="81"/>
    </row>
    <row r="9088" spans="65:72" x14ac:dyDescent="0.25">
      <c r="BM9088" s="81"/>
      <c r="BN9088" s="81"/>
      <c r="BO9088" s="81"/>
      <c r="BP9088" s="81"/>
      <c r="BQ9088" s="81"/>
      <c r="BR9088" s="81"/>
      <c r="BS9088" s="81"/>
      <c r="BT9088" s="81"/>
    </row>
    <row r="9089" spans="65:72" x14ac:dyDescent="0.25">
      <c r="BM9089" s="81"/>
      <c r="BN9089" s="81"/>
      <c r="BO9089" s="81"/>
      <c r="BP9089" s="81"/>
      <c r="BQ9089" s="81"/>
      <c r="BR9089" s="81"/>
      <c r="BS9089" s="81"/>
      <c r="BT9089" s="81"/>
    </row>
    <row r="9090" spans="65:72" x14ac:dyDescent="0.25">
      <c r="BM9090" s="81"/>
      <c r="BN9090" s="81"/>
      <c r="BO9090" s="81"/>
      <c r="BP9090" s="81"/>
      <c r="BQ9090" s="81"/>
      <c r="BR9090" s="81"/>
      <c r="BS9090" s="81"/>
      <c r="BT9090" s="81"/>
    </row>
    <row r="9091" spans="65:72" x14ac:dyDescent="0.25">
      <c r="BM9091" s="81"/>
      <c r="BN9091" s="81"/>
      <c r="BO9091" s="81"/>
      <c r="BP9091" s="81"/>
      <c r="BQ9091" s="81"/>
      <c r="BR9091" s="81"/>
      <c r="BS9091" s="81"/>
      <c r="BT9091" s="81"/>
    </row>
    <row r="9092" spans="65:72" x14ac:dyDescent="0.25">
      <c r="BM9092" s="81"/>
      <c r="BN9092" s="81"/>
      <c r="BO9092" s="81"/>
      <c r="BP9092" s="81"/>
      <c r="BQ9092" s="81"/>
      <c r="BR9092" s="81"/>
      <c r="BS9092" s="81"/>
      <c r="BT9092" s="81"/>
    </row>
    <row r="9093" spans="65:72" x14ac:dyDescent="0.25">
      <c r="BM9093" s="81"/>
      <c r="BN9093" s="81"/>
      <c r="BO9093" s="81"/>
      <c r="BP9093" s="81"/>
      <c r="BQ9093" s="81"/>
      <c r="BR9093" s="81"/>
      <c r="BS9093" s="81"/>
      <c r="BT9093" s="81"/>
    </row>
    <row r="9094" spans="65:72" x14ac:dyDescent="0.25">
      <c r="BM9094" s="81"/>
      <c r="BN9094" s="81"/>
      <c r="BO9094" s="81"/>
      <c r="BP9094" s="81"/>
      <c r="BQ9094" s="81"/>
      <c r="BR9094" s="81"/>
      <c r="BS9094" s="81"/>
      <c r="BT9094" s="81"/>
    </row>
    <row r="9095" spans="65:72" x14ac:dyDescent="0.25">
      <c r="BM9095" s="81"/>
      <c r="BN9095" s="81"/>
      <c r="BO9095" s="81"/>
      <c r="BP9095" s="81"/>
      <c r="BQ9095" s="81"/>
      <c r="BR9095" s="81"/>
      <c r="BS9095" s="81"/>
      <c r="BT9095" s="81"/>
    </row>
    <row r="9096" spans="65:72" x14ac:dyDescent="0.25">
      <c r="BM9096" s="81"/>
      <c r="BN9096" s="81"/>
      <c r="BO9096" s="81"/>
      <c r="BP9096" s="81"/>
      <c r="BQ9096" s="81"/>
      <c r="BR9096" s="81"/>
      <c r="BS9096" s="81"/>
      <c r="BT9096" s="81"/>
    </row>
    <row r="9097" spans="65:72" x14ac:dyDescent="0.25">
      <c r="BM9097" s="81"/>
      <c r="BN9097" s="81"/>
      <c r="BO9097" s="81"/>
      <c r="BP9097" s="81"/>
      <c r="BQ9097" s="81"/>
      <c r="BR9097" s="81"/>
      <c r="BS9097" s="81"/>
      <c r="BT9097" s="81"/>
    </row>
    <row r="9098" spans="65:72" x14ac:dyDescent="0.25">
      <c r="BM9098" s="81"/>
      <c r="BN9098" s="81"/>
      <c r="BO9098" s="81"/>
      <c r="BP9098" s="81"/>
      <c r="BQ9098" s="81"/>
      <c r="BR9098" s="81"/>
      <c r="BS9098" s="81"/>
      <c r="BT9098" s="81"/>
    </row>
    <row r="9099" spans="65:72" x14ac:dyDescent="0.25">
      <c r="BM9099" s="81"/>
      <c r="BN9099" s="81"/>
      <c r="BO9099" s="81"/>
      <c r="BP9099" s="81"/>
      <c r="BQ9099" s="81"/>
      <c r="BR9099" s="81"/>
      <c r="BS9099" s="81"/>
      <c r="BT9099" s="81"/>
    </row>
    <row r="9100" spans="65:72" x14ac:dyDescent="0.25">
      <c r="BM9100" s="81"/>
      <c r="BN9100" s="81"/>
      <c r="BO9100" s="81"/>
      <c r="BP9100" s="81"/>
      <c r="BQ9100" s="81"/>
      <c r="BR9100" s="81"/>
      <c r="BS9100" s="81"/>
      <c r="BT9100" s="81"/>
    </row>
    <row r="9101" spans="65:72" x14ac:dyDescent="0.25">
      <c r="BM9101" s="81"/>
      <c r="BN9101" s="81"/>
      <c r="BO9101" s="81"/>
      <c r="BP9101" s="81"/>
      <c r="BQ9101" s="81"/>
      <c r="BR9101" s="81"/>
      <c r="BS9101" s="81"/>
      <c r="BT9101" s="81"/>
    </row>
    <row r="9102" spans="65:72" x14ac:dyDescent="0.25">
      <c r="BM9102" s="81"/>
      <c r="BN9102" s="81"/>
      <c r="BO9102" s="81"/>
      <c r="BP9102" s="81"/>
      <c r="BQ9102" s="81"/>
      <c r="BR9102" s="81"/>
      <c r="BS9102" s="81"/>
      <c r="BT9102" s="81"/>
    </row>
    <row r="9103" spans="65:72" x14ac:dyDescent="0.25">
      <c r="BM9103" s="81"/>
      <c r="BN9103" s="81"/>
      <c r="BO9103" s="81"/>
      <c r="BP9103" s="81"/>
      <c r="BQ9103" s="81"/>
      <c r="BR9103" s="81"/>
      <c r="BS9103" s="81"/>
      <c r="BT9103" s="81"/>
    </row>
    <row r="9104" spans="65:72" x14ac:dyDescent="0.25">
      <c r="BM9104" s="81"/>
      <c r="BN9104" s="81"/>
      <c r="BO9104" s="81"/>
      <c r="BP9104" s="81"/>
      <c r="BQ9104" s="81"/>
      <c r="BR9104" s="81"/>
      <c r="BS9104" s="81"/>
      <c r="BT9104" s="81"/>
    </row>
    <row r="9105" spans="65:72" x14ac:dyDescent="0.25">
      <c r="BM9105" s="81"/>
      <c r="BN9105" s="81"/>
      <c r="BO9105" s="81"/>
      <c r="BP9105" s="81"/>
      <c r="BQ9105" s="81"/>
      <c r="BR9105" s="81"/>
      <c r="BS9105" s="81"/>
      <c r="BT9105" s="81"/>
    </row>
    <row r="9106" spans="65:72" x14ac:dyDescent="0.25">
      <c r="BM9106" s="81"/>
      <c r="BN9106" s="81"/>
      <c r="BO9106" s="81"/>
      <c r="BP9106" s="81"/>
      <c r="BQ9106" s="81"/>
      <c r="BR9106" s="81"/>
      <c r="BS9106" s="81"/>
      <c r="BT9106" s="81"/>
    </row>
    <row r="9107" spans="65:72" x14ac:dyDescent="0.25">
      <c r="BM9107" s="81"/>
      <c r="BN9107" s="81"/>
      <c r="BO9107" s="81"/>
      <c r="BP9107" s="81"/>
      <c r="BQ9107" s="81"/>
      <c r="BR9107" s="81"/>
      <c r="BS9107" s="81"/>
      <c r="BT9107" s="81"/>
    </row>
    <row r="9108" spans="65:72" x14ac:dyDescent="0.25">
      <c r="BM9108" s="81"/>
      <c r="BN9108" s="81"/>
      <c r="BO9108" s="81"/>
      <c r="BP9108" s="81"/>
      <c r="BQ9108" s="81"/>
      <c r="BR9108" s="81"/>
      <c r="BS9108" s="81"/>
      <c r="BT9108" s="81"/>
    </row>
    <row r="9109" spans="65:72" x14ac:dyDescent="0.25">
      <c r="BM9109" s="81"/>
      <c r="BN9109" s="81"/>
      <c r="BO9109" s="81"/>
      <c r="BP9109" s="81"/>
      <c r="BQ9109" s="81"/>
      <c r="BR9109" s="81"/>
      <c r="BS9109" s="81"/>
      <c r="BT9109" s="81"/>
    </row>
    <row r="9110" spans="65:72" x14ac:dyDescent="0.25">
      <c r="BM9110" s="81"/>
      <c r="BN9110" s="81"/>
      <c r="BO9110" s="81"/>
      <c r="BP9110" s="81"/>
      <c r="BQ9110" s="81"/>
      <c r="BR9110" s="81"/>
      <c r="BS9110" s="81"/>
      <c r="BT9110" s="81"/>
    </row>
    <row r="9111" spans="65:72" x14ac:dyDescent="0.25">
      <c r="BM9111" s="81"/>
      <c r="BN9111" s="81"/>
      <c r="BO9111" s="81"/>
      <c r="BP9111" s="81"/>
      <c r="BQ9111" s="81"/>
      <c r="BR9111" s="81"/>
      <c r="BS9111" s="81"/>
      <c r="BT9111" s="81"/>
    </row>
    <row r="9112" spans="65:72" x14ac:dyDescent="0.25">
      <c r="BM9112" s="81"/>
      <c r="BN9112" s="81"/>
      <c r="BO9112" s="81"/>
      <c r="BP9112" s="81"/>
      <c r="BQ9112" s="81"/>
      <c r="BR9112" s="81"/>
      <c r="BS9112" s="81"/>
      <c r="BT9112" s="81"/>
    </row>
    <row r="9113" spans="65:72" x14ac:dyDescent="0.25">
      <c r="BM9113" s="81"/>
      <c r="BN9113" s="81"/>
      <c r="BO9113" s="81"/>
      <c r="BP9113" s="81"/>
      <c r="BQ9113" s="81"/>
      <c r="BR9113" s="81"/>
      <c r="BS9113" s="81"/>
      <c r="BT9113" s="81"/>
    </row>
    <row r="9114" spans="65:72" x14ac:dyDescent="0.25">
      <c r="BM9114" s="81"/>
      <c r="BN9114" s="81"/>
      <c r="BO9114" s="81"/>
      <c r="BP9114" s="81"/>
      <c r="BQ9114" s="81"/>
      <c r="BR9114" s="81"/>
      <c r="BS9114" s="81"/>
      <c r="BT9114" s="81"/>
    </row>
    <row r="9115" spans="65:72" x14ac:dyDescent="0.25">
      <c r="BM9115" s="81"/>
      <c r="BN9115" s="81"/>
      <c r="BO9115" s="81"/>
      <c r="BP9115" s="81"/>
      <c r="BQ9115" s="81"/>
      <c r="BR9115" s="81"/>
      <c r="BS9115" s="81"/>
      <c r="BT9115" s="81"/>
    </row>
    <row r="9116" spans="65:72" x14ac:dyDescent="0.25">
      <c r="BM9116" s="81"/>
      <c r="BN9116" s="81"/>
      <c r="BO9116" s="81"/>
      <c r="BP9116" s="81"/>
      <c r="BQ9116" s="81"/>
      <c r="BR9116" s="81"/>
      <c r="BS9116" s="81"/>
      <c r="BT9116" s="81"/>
    </row>
    <row r="9117" spans="65:72" x14ac:dyDescent="0.25">
      <c r="BM9117" s="81"/>
      <c r="BN9117" s="81"/>
      <c r="BO9117" s="81"/>
      <c r="BP9117" s="81"/>
      <c r="BQ9117" s="81"/>
      <c r="BR9117" s="81"/>
      <c r="BS9117" s="81"/>
      <c r="BT9117" s="81"/>
    </row>
    <row r="9118" spans="65:72" x14ac:dyDescent="0.25">
      <c r="BM9118" s="81"/>
      <c r="BN9118" s="81"/>
      <c r="BO9118" s="81"/>
      <c r="BP9118" s="81"/>
      <c r="BQ9118" s="81"/>
      <c r="BR9118" s="81"/>
      <c r="BS9118" s="81"/>
      <c r="BT9118" s="81"/>
    </row>
    <row r="9119" spans="65:72" x14ac:dyDescent="0.25">
      <c r="BM9119" s="81"/>
      <c r="BN9119" s="81"/>
      <c r="BO9119" s="81"/>
      <c r="BP9119" s="81"/>
      <c r="BQ9119" s="81"/>
      <c r="BR9119" s="81"/>
      <c r="BS9119" s="81"/>
      <c r="BT9119" s="81"/>
    </row>
    <row r="9120" spans="65:72" x14ac:dyDescent="0.25">
      <c r="BM9120" s="81"/>
      <c r="BN9120" s="81"/>
      <c r="BO9120" s="81"/>
      <c r="BP9120" s="81"/>
      <c r="BQ9120" s="81"/>
      <c r="BR9120" s="81"/>
      <c r="BS9120" s="81"/>
      <c r="BT9120" s="81"/>
    </row>
    <row r="9121" spans="65:72" x14ac:dyDescent="0.25">
      <c r="BM9121" s="81"/>
      <c r="BN9121" s="81"/>
      <c r="BO9121" s="81"/>
      <c r="BP9121" s="81"/>
      <c r="BQ9121" s="81"/>
      <c r="BR9121" s="81"/>
      <c r="BS9121" s="81"/>
      <c r="BT9121" s="81"/>
    </row>
    <row r="9122" spans="65:72" x14ac:dyDescent="0.25">
      <c r="BM9122" s="81"/>
      <c r="BN9122" s="81"/>
      <c r="BO9122" s="81"/>
      <c r="BP9122" s="81"/>
      <c r="BQ9122" s="81"/>
      <c r="BR9122" s="81"/>
      <c r="BS9122" s="81"/>
      <c r="BT9122" s="81"/>
    </row>
    <row r="9123" spans="65:72" x14ac:dyDescent="0.25">
      <c r="BM9123" s="81"/>
      <c r="BN9123" s="81"/>
      <c r="BO9123" s="81"/>
      <c r="BP9123" s="81"/>
      <c r="BQ9123" s="81"/>
      <c r="BR9123" s="81"/>
      <c r="BS9123" s="81"/>
      <c r="BT9123" s="81"/>
    </row>
    <row r="9124" spans="65:72" x14ac:dyDescent="0.25">
      <c r="BM9124" s="81"/>
      <c r="BN9124" s="81"/>
      <c r="BO9124" s="81"/>
      <c r="BP9124" s="81"/>
      <c r="BQ9124" s="81"/>
      <c r="BR9124" s="81"/>
      <c r="BS9124" s="81"/>
      <c r="BT9124" s="81"/>
    </row>
    <row r="9125" spans="65:72" x14ac:dyDescent="0.25">
      <c r="BM9125" s="81"/>
      <c r="BN9125" s="81"/>
      <c r="BO9125" s="81"/>
      <c r="BP9125" s="81"/>
      <c r="BQ9125" s="81"/>
      <c r="BR9125" s="81"/>
      <c r="BS9125" s="81"/>
      <c r="BT9125" s="81"/>
    </row>
    <row r="9126" spans="65:72" x14ac:dyDescent="0.25">
      <c r="BM9126" s="81"/>
      <c r="BN9126" s="81"/>
      <c r="BO9126" s="81"/>
      <c r="BP9126" s="81"/>
      <c r="BQ9126" s="81"/>
      <c r="BR9126" s="81"/>
      <c r="BS9126" s="81"/>
      <c r="BT9126" s="81"/>
    </row>
    <row r="9127" spans="65:72" x14ac:dyDescent="0.25">
      <c r="BM9127" s="81"/>
      <c r="BN9127" s="81"/>
      <c r="BO9127" s="81"/>
      <c r="BP9127" s="81"/>
      <c r="BQ9127" s="81"/>
      <c r="BR9127" s="81"/>
      <c r="BS9127" s="81"/>
      <c r="BT9127" s="81"/>
    </row>
    <row r="9128" spans="65:72" x14ac:dyDescent="0.25">
      <c r="BM9128" s="81"/>
      <c r="BN9128" s="81"/>
      <c r="BO9128" s="81"/>
      <c r="BP9128" s="81"/>
      <c r="BQ9128" s="81"/>
      <c r="BR9128" s="81"/>
      <c r="BS9128" s="81"/>
      <c r="BT9128" s="81"/>
    </row>
    <row r="9129" spans="65:72" x14ac:dyDescent="0.25">
      <c r="BM9129" s="81"/>
      <c r="BN9129" s="81"/>
      <c r="BO9129" s="81"/>
      <c r="BP9129" s="81"/>
      <c r="BQ9129" s="81"/>
      <c r="BR9129" s="81"/>
      <c r="BS9129" s="81"/>
      <c r="BT9129" s="81"/>
    </row>
    <row r="9130" spans="65:72" x14ac:dyDescent="0.25">
      <c r="BM9130" s="81"/>
      <c r="BN9130" s="81"/>
      <c r="BO9130" s="81"/>
      <c r="BP9130" s="81"/>
      <c r="BQ9130" s="81"/>
      <c r="BR9130" s="81"/>
      <c r="BS9130" s="81"/>
      <c r="BT9130" s="81"/>
    </row>
    <row r="9131" spans="65:72" x14ac:dyDescent="0.25">
      <c r="BM9131" s="81"/>
      <c r="BN9131" s="81"/>
      <c r="BO9131" s="81"/>
      <c r="BP9131" s="81"/>
      <c r="BQ9131" s="81"/>
      <c r="BR9131" s="81"/>
      <c r="BS9131" s="81"/>
      <c r="BT9131" s="81"/>
    </row>
    <row r="9132" spans="65:72" x14ac:dyDescent="0.25">
      <c r="BM9132" s="81"/>
      <c r="BN9132" s="81"/>
      <c r="BO9132" s="81"/>
      <c r="BP9132" s="81"/>
      <c r="BQ9132" s="81"/>
      <c r="BR9132" s="81"/>
      <c r="BS9132" s="81"/>
      <c r="BT9132" s="81"/>
    </row>
    <row r="9133" spans="65:72" x14ac:dyDescent="0.25">
      <c r="BM9133" s="81"/>
      <c r="BN9133" s="81"/>
      <c r="BO9133" s="81"/>
      <c r="BP9133" s="81"/>
      <c r="BQ9133" s="81"/>
      <c r="BR9133" s="81"/>
      <c r="BS9133" s="81"/>
      <c r="BT9133" s="81"/>
    </row>
    <row r="9134" spans="65:72" x14ac:dyDescent="0.25">
      <c r="BM9134" s="81"/>
      <c r="BN9134" s="81"/>
      <c r="BO9134" s="81"/>
      <c r="BP9134" s="81"/>
      <c r="BQ9134" s="81"/>
      <c r="BR9134" s="81"/>
      <c r="BS9134" s="81"/>
      <c r="BT9134" s="81"/>
    </row>
    <row r="9135" spans="65:72" x14ac:dyDescent="0.25">
      <c r="BM9135" s="81"/>
      <c r="BN9135" s="81"/>
      <c r="BO9135" s="81"/>
      <c r="BP9135" s="81"/>
      <c r="BQ9135" s="81"/>
      <c r="BR9135" s="81"/>
      <c r="BS9135" s="81"/>
      <c r="BT9135" s="81"/>
    </row>
    <row r="9136" spans="65:72" x14ac:dyDescent="0.25">
      <c r="BM9136" s="81"/>
      <c r="BN9136" s="81"/>
      <c r="BO9136" s="81"/>
      <c r="BP9136" s="81"/>
      <c r="BQ9136" s="81"/>
      <c r="BR9136" s="81"/>
      <c r="BS9136" s="81"/>
      <c r="BT9136" s="81"/>
    </row>
    <row r="9137" spans="65:72" x14ac:dyDescent="0.25">
      <c r="BM9137" s="81"/>
      <c r="BN9137" s="81"/>
      <c r="BO9137" s="81"/>
      <c r="BP9137" s="81"/>
      <c r="BQ9137" s="81"/>
      <c r="BR9137" s="81"/>
      <c r="BS9137" s="81"/>
      <c r="BT9137" s="81"/>
    </row>
    <row r="9138" spans="65:72" x14ac:dyDescent="0.25">
      <c r="BM9138" s="81"/>
      <c r="BN9138" s="81"/>
      <c r="BO9138" s="81"/>
      <c r="BP9138" s="81"/>
      <c r="BQ9138" s="81"/>
      <c r="BR9138" s="81"/>
      <c r="BS9138" s="81"/>
      <c r="BT9138" s="81"/>
    </row>
    <row r="9139" spans="65:72" x14ac:dyDescent="0.25">
      <c r="BM9139" s="81"/>
      <c r="BN9139" s="81"/>
      <c r="BO9139" s="81"/>
      <c r="BP9139" s="81"/>
      <c r="BQ9139" s="81"/>
      <c r="BR9139" s="81"/>
      <c r="BS9139" s="81"/>
      <c r="BT9139" s="81"/>
    </row>
    <row r="9140" spans="65:72" x14ac:dyDescent="0.25">
      <c r="BM9140" s="81"/>
      <c r="BN9140" s="81"/>
      <c r="BO9140" s="81"/>
      <c r="BP9140" s="81"/>
      <c r="BQ9140" s="81"/>
      <c r="BR9140" s="81"/>
      <c r="BS9140" s="81"/>
      <c r="BT9140" s="81"/>
    </row>
    <row r="9141" spans="65:72" x14ac:dyDescent="0.25">
      <c r="BM9141" s="81"/>
      <c r="BN9141" s="81"/>
      <c r="BO9141" s="81"/>
      <c r="BP9141" s="81"/>
      <c r="BQ9141" s="81"/>
      <c r="BR9141" s="81"/>
      <c r="BS9141" s="81"/>
      <c r="BT9141" s="81"/>
    </row>
    <row r="9142" spans="65:72" x14ac:dyDescent="0.25">
      <c r="BM9142" s="81"/>
      <c r="BN9142" s="81"/>
      <c r="BO9142" s="81"/>
      <c r="BP9142" s="81"/>
      <c r="BQ9142" s="81"/>
      <c r="BR9142" s="81"/>
      <c r="BS9142" s="81"/>
      <c r="BT9142" s="81"/>
    </row>
    <row r="9143" spans="65:72" x14ac:dyDescent="0.25">
      <c r="BM9143" s="81"/>
      <c r="BN9143" s="81"/>
      <c r="BO9143" s="81"/>
      <c r="BP9143" s="81"/>
      <c r="BQ9143" s="81"/>
      <c r="BR9143" s="81"/>
      <c r="BS9143" s="81"/>
      <c r="BT9143" s="81"/>
    </row>
    <row r="9144" spans="65:72" x14ac:dyDescent="0.25">
      <c r="BM9144" s="81"/>
      <c r="BN9144" s="81"/>
      <c r="BO9144" s="81"/>
      <c r="BP9144" s="81"/>
      <c r="BQ9144" s="81"/>
      <c r="BR9144" s="81"/>
      <c r="BS9144" s="81"/>
      <c r="BT9144" s="81"/>
    </row>
    <row r="9145" spans="65:72" x14ac:dyDescent="0.25">
      <c r="BM9145" s="81"/>
      <c r="BN9145" s="81"/>
      <c r="BO9145" s="81"/>
      <c r="BP9145" s="81"/>
      <c r="BQ9145" s="81"/>
      <c r="BR9145" s="81"/>
      <c r="BS9145" s="81"/>
      <c r="BT9145" s="81"/>
    </row>
    <row r="9146" spans="65:72" x14ac:dyDescent="0.25">
      <c r="BM9146" s="81"/>
      <c r="BN9146" s="81"/>
      <c r="BO9146" s="81"/>
      <c r="BP9146" s="81"/>
      <c r="BQ9146" s="81"/>
      <c r="BR9146" s="81"/>
      <c r="BS9146" s="81"/>
      <c r="BT9146" s="81"/>
    </row>
    <row r="9147" spans="65:72" x14ac:dyDescent="0.25">
      <c r="BM9147" s="81"/>
      <c r="BN9147" s="81"/>
      <c r="BO9147" s="81"/>
      <c r="BP9147" s="81"/>
      <c r="BQ9147" s="81"/>
      <c r="BR9147" s="81"/>
      <c r="BS9147" s="81"/>
      <c r="BT9147" s="81"/>
    </row>
    <row r="9148" spans="65:72" x14ac:dyDescent="0.25">
      <c r="BM9148" s="81"/>
      <c r="BN9148" s="81"/>
      <c r="BO9148" s="81"/>
      <c r="BP9148" s="81"/>
      <c r="BQ9148" s="81"/>
      <c r="BR9148" s="81"/>
      <c r="BS9148" s="81"/>
      <c r="BT9148" s="81"/>
    </row>
    <row r="9149" spans="65:72" x14ac:dyDescent="0.25">
      <c r="BM9149" s="81"/>
      <c r="BN9149" s="81"/>
      <c r="BO9149" s="81"/>
      <c r="BP9149" s="81"/>
      <c r="BQ9149" s="81"/>
      <c r="BR9149" s="81"/>
      <c r="BS9149" s="81"/>
      <c r="BT9149" s="81"/>
    </row>
    <row r="9150" spans="65:72" x14ac:dyDescent="0.25">
      <c r="BM9150" s="81"/>
      <c r="BN9150" s="81"/>
      <c r="BO9150" s="81"/>
      <c r="BP9150" s="81"/>
      <c r="BQ9150" s="81"/>
      <c r="BR9150" s="81"/>
      <c r="BS9150" s="81"/>
      <c r="BT9150" s="81"/>
    </row>
    <row r="9151" spans="65:72" x14ac:dyDescent="0.25">
      <c r="BM9151" s="81"/>
      <c r="BN9151" s="81"/>
      <c r="BO9151" s="81"/>
      <c r="BP9151" s="81"/>
      <c r="BQ9151" s="81"/>
      <c r="BR9151" s="81"/>
      <c r="BS9151" s="81"/>
      <c r="BT9151" s="81"/>
    </row>
    <row r="9152" spans="65:72" x14ac:dyDescent="0.25">
      <c r="BM9152" s="81"/>
      <c r="BN9152" s="81"/>
      <c r="BO9152" s="81"/>
      <c r="BP9152" s="81"/>
      <c r="BQ9152" s="81"/>
      <c r="BR9152" s="81"/>
      <c r="BS9152" s="81"/>
      <c r="BT9152" s="81"/>
    </row>
    <row r="9153" spans="65:72" x14ac:dyDescent="0.25">
      <c r="BM9153" s="81"/>
      <c r="BN9153" s="81"/>
      <c r="BO9153" s="81"/>
      <c r="BP9153" s="81"/>
      <c r="BQ9153" s="81"/>
      <c r="BR9153" s="81"/>
      <c r="BS9153" s="81"/>
      <c r="BT9153" s="81"/>
    </row>
    <row r="9154" spans="65:72" x14ac:dyDescent="0.25">
      <c r="BM9154" s="81"/>
      <c r="BN9154" s="81"/>
      <c r="BO9154" s="81"/>
      <c r="BP9154" s="81"/>
      <c r="BQ9154" s="81"/>
      <c r="BR9154" s="81"/>
      <c r="BS9154" s="81"/>
      <c r="BT9154" s="81"/>
    </row>
    <row r="9155" spans="65:72" x14ac:dyDescent="0.25">
      <c r="BM9155" s="81"/>
      <c r="BN9155" s="81"/>
      <c r="BO9155" s="81"/>
      <c r="BP9155" s="81"/>
      <c r="BQ9155" s="81"/>
      <c r="BR9155" s="81"/>
      <c r="BS9155" s="81"/>
      <c r="BT9155" s="81"/>
    </row>
    <row r="9156" spans="65:72" x14ac:dyDescent="0.25">
      <c r="BM9156" s="81"/>
      <c r="BN9156" s="81"/>
      <c r="BO9156" s="81"/>
      <c r="BP9156" s="81"/>
      <c r="BQ9156" s="81"/>
      <c r="BR9156" s="81"/>
      <c r="BS9156" s="81"/>
      <c r="BT9156" s="81"/>
    </row>
    <row r="9157" spans="65:72" x14ac:dyDescent="0.25">
      <c r="BM9157" s="81"/>
      <c r="BN9157" s="81"/>
      <c r="BO9157" s="81"/>
      <c r="BP9157" s="81"/>
      <c r="BQ9157" s="81"/>
      <c r="BR9157" s="81"/>
      <c r="BS9157" s="81"/>
      <c r="BT9157" s="81"/>
    </row>
    <row r="9158" spans="65:72" x14ac:dyDescent="0.25">
      <c r="BM9158" s="81"/>
      <c r="BN9158" s="81"/>
      <c r="BO9158" s="81"/>
      <c r="BP9158" s="81"/>
      <c r="BQ9158" s="81"/>
      <c r="BR9158" s="81"/>
      <c r="BS9158" s="81"/>
      <c r="BT9158" s="81"/>
    </row>
    <row r="9159" spans="65:72" x14ac:dyDescent="0.25">
      <c r="BM9159" s="81"/>
      <c r="BN9159" s="81"/>
      <c r="BO9159" s="81"/>
      <c r="BP9159" s="81"/>
      <c r="BQ9159" s="81"/>
      <c r="BR9159" s="81"/>
      <c r="BS9159" s="81"/>
      <c r="BT9159" s="81"/>
    </row>
    <row r="9160" spans="65:72" x14ac:dyDescent="0.25">
      <c r="BM9160" s="81"/>
      <c r="BN9160" s="81"/>
      <c r="BO9160" s="81"/>
      <c r="BP9160" s="81"/>
      <c r="BQ9160" s="81"/>
      <c r="BR9160" s="81"/>
      <c r="BS9160" s="81"/>
      <c r="BT9160" s="81"/>
    </row>
    <row r="9161" spans="65:72" x14ac:dyDescent="0.25">
      <c r="BM9161" s="81"/>
      <c r="BN9161" s="81"/>
      <c r="BO9161" s="81"/>
      <c r="BP9161" s="81"/>
      <c r="BQ9161" s="81"/>
      <c r="BR9161" s="81"/>
      <c r="BS9161" s="81"/>
      <c r="BT9161" s="81"/>
    </row>
    <row r="9162" spans="65:72" x14ac:dyDescent="0.25">
      <c r="BM9162" s="81"/>
      <c r="BN9162" s="81"/>
      <c r="BO9162" s="81"/>
      <c r="BP9162" s="81"/>
      <c r="BQ9162" s="81"/>
      <c r="BR9162" s="81"/>
      <c r="BS9162" s="81"/>
      <c r="BT9162" s="81"/>
    </row>
    <row r="9163" spans="65:72" x14ac:dyDescent="0.25">
      <c r="BM9163" s="81"/>
      <c r="BN9163" s="81"/>
      <c r="BO9163" s="81"/>
      <c r="BP9163" s="81"/>
      <c r="BQ9163" s="81"/>
      <c r="BR9163" s="81"/>
      <c r="BS9163" s="81"/>
      <c r="BT9163" s="81"/>
    </row>
    <row r="9164" spans="65:72" x14ac:dyDescent="0.25">
      <c r="BM9164" s="81"/>
      <c r="BN9164" s="81"/>
      <c r="BO9164" s="81"/>
      <c r="BP9164" s="81"/>
      <c r="BQ9164" s="81"/>
      <c r="BR9164" s="81"/>
      <c r="BS9164" s="81"/>
      <c r="BT9164" s="81"/>
    </row>
    <row r="9165" spans="65:72" x14ac:dyDescent="0.25">
      <c r="BM9165" s="81"/>
      <c r="BN9165" s="81"/>
      <c r="BO9165" s="81"/>
      <c r="BP9165" s="81"/>
      <c r="BQ9165" s="81"/>
      <c r="BR9165" s="81"/>
      <c r="BS9165" s="81"/>
      <c r="BT9165" s="81"/>
    </row>
    <row r="9166" spans="65:72" x14ac:dyDescent="0.25">
      <c r="BM9166" s="81"/>
      <c r="BN9166" s="81"/>
      <c r="BO9166" s="81"/>
      <c r="BP9166" s="81"/>
      <c r="BQ9166" s="81"/>
      <c r="BR9166" s="81"/>
      <c r="BS9166" s="81"/>
      <c r="BT9166" s="81"/>
    </row>
    <row r="9167" spans="65:72" x14ac:dyDescent="0.25">
      <c r="BM9167" s="81"/>
      <c r="BN9167" s="81"/>
      <c r="BO9167" s="81"/>
      <c r="BP9167" s="81"/>
      <c r="BQ9167" s="81"/>
      <c r="BR9167" s="81"/>
      <c r="BS9167" s="81"/>
      <c r="BT9167" s="81"/>
    </row>
    <row r="9168" spans="65:72" x14ac:dyDescent="0.25">
      <c r="BM9168" s="81"/>
      <c r="BN9168" s="81"/>
      <c r="BO9168" s="81"/>
      <c r="BP9168" s="81"/>
      <c r="BQ9168" s="81"/>
      <c r="BR9168" s="81"/>
      <c r="BS9168" s="81"/>
      <c r="BT9168" s="81"/>
    </row>
    <row r="9169" spans="65:72" x14ac:dyDescent="0.25">
      <c r="BM9169" s="81"/>
      <c r="BN9169" s="81"/>
      <c r="BO9169" s="81"/>
      <c r="BP9169" s="81"/>
      <c r="BQ9169" s="81"/>
      <c r="BR9169" s="81"/>
      <c r="BS9169" s="81"/>
      <c r="BT9169" s="81"/>
    </row>
    <row r="9170" spans="65:72" x14ac:dyDescent="0.25">
      <c r="BM9170" s="81"/>
      <c r="BN9170" s="81"/>
      <c r="BO9170" s="81"/>
      <c r="BP9170" s="81"/>
      <c r="BQ9170" s="81"/>
      <c r="BR9170" s="81"/>
      <c r="BS9170" s="81"/>
      <c r="BT9170" s="81"/>
    </row>
    <row r="9171" spans="65:72" x14ac:dyDescent="0.25">
      <c r="BM9171" s="81"/>
      <c r="BN9171" s="81"/>
      <c r="BO9171" s="81"/>
      <c r="BP9171" s="81"/>
      <c r="BQ9171" s="81"/>
      <c r="BR9171" s="81"/>
      <c r="BS9171" s="81"/>
      <c r="BT9171" s="81"/>
    </row>
    <row r="9172" spans="65:72" x14ac:dyDescent="0.25">
      <c r="BM9172" s="81"/>
      <c r="BN9172" s="81"/>
      <c r="BO9172" s="81"/>
      <c r="BP9172" s="81"/>
      <c r="BQ9172" s="81"/>
      <c r="BR9172" s="81"/>
      <c r="BS9172" s="81"/>
      <c r="BT9172" s="81"/>
    </row>
    <row r="9173" spans="65:72" x14ac:dyDescent="0.25">
      <c r="BM9173" s="81"/>
      <c r="BN9173" s="81"/>
      <c r="BO9173" s="81"/>
      <c r="BP9173" s="81"/>
      <c r="BQ9173" s="81"/>
      <c r="BR9173" s="81"/>
      <c r="BS9173" s="81"/>
      <c r="BT9173" s="81"/>
    </row>
    <row r="9174" spans="65:72" x14ac:dyDescent="0.25">
      <c r="BM9174" s="81"/>
      <c r="BN9174" s="81"/>
      <c r="BO9174" s="81"/>
      <c r="BP9174" s="81"/>
      <c r="BQ9174" s="81"/>
      <c r="BR9174" s="81"/>
      <c r="BS9174" s="81"/>
      <c r="BT9174" s="81"/>
    </row>
    <row r="9175" spans="65:72" x14ac:dyDescent="0.25">
      <c r="BM9175" s="81"/>
      <c r="BN9175" s="81"/>
      <c r="BO9175" s="81"/>
      <c r="BP9175" s="81"/>
      <c r="BQ9175" s="81"/>
      <c r="BR9175" s="81"/>
      <c r="BS9175" s="81"/>
      <c r="BT9175" s="81"/>
    </row>
    <row r="9176" spans="65:72" x14ac:dyDescent="0.25">
      <c r="BM9176" s="81"/>
      <c r="BN9176" s="81"/>
      <c r="BO9176" s="81"/>
      <c r="BP9176" s="81"/>
      <c r="BQ9176" s="81"/>
      <c r="BR9176" s="81"/>
      <c r="BS9176" s="81"/>
      <c r="BT9176" s="81"/>
    </row>
    <row r="9177" spans="65:72" x14ac:dyDescent="0.25">
      <c r="BM9177" s="81"/>
      <c r="BN9177" s="81"/>
      <c r="BO9177" s="81"/>
      <c r="BP9177" s="81"/>
      <c r="BQ9177" s="81"/>
      <c r="BR9177" s="81"/>
      <c r="BS9177" s="81"/>
      <c r="BT9177" s="81"/>
    </row>
    <row r="9178" spans="65:72" x14ac:dyDescent="0.25">
      <c r="BM9178" s="81"/>
      <c r="BN9178" s="81"/>
      <c r="BO9178" s="81"/>
      <c r="BP9178" s="81"/>
      <c r="BQ9178" s="81"/>
      <c r="BR9178" s="81"/>
      <c r="BS9178" s="81"/>
      <c r="BT9178" s="81"/>
    </row>
    <row r="9179" spans="65:72" x14ac:dyDescent="0.25">
      <c r="BM9179" s="81"/>
      <c r="BN9179" s="81"/>
      <c r="BO9179" s="81"/>
      <c r="BP9179" s="81"/>
      <c r="BQ9179" s="81"/>
      <c r="BR9179" s="81"/>
      <c r="BS9179" s="81"/>
      <c r="BT9179" s="81"/>
    </row>
    <row r="9180" spans="65:72" x14ac:dyDescent="0.25">
      <c r="BM9180" s="81"/>
      <c r="BN9180" s="81"/>
      <c r="BO9180" s="81"/>
      <c r="BP9180" s="81"/>
      <c r="BQ9180" s="81"/>
      <c r="BR9180" s="81"/>
      <c r="BS9180" s="81"/>
      <c r="BT9180" s="81"/>
    </row>
    <row r="9181" spans="65:72" x14ac:dyDescent="0.25">
      <c r="BM9181" s="81"/>
      <c r="BN9181" s="81"/>
      <c r="BO9181" s="81"/>
      <c r="BP9181" s="81"/>
      <c r="BQ9181" s="81"/>
      <c r="BR9181" s="81"/>
      <c r="BS9181" s="81"/>
      <c r="BT9181" s="81"/>
    </row>
    <row r="9182" spans="65:72" x14ac:dyDescent="0.25">
      <c r="BM9182" s="81"/>
      <c r="BN9182" s="81"/>
      <c r="BO9182" s="81"/>
      <c r="BP9182" s="81"/>
      <c r="BQ9182" s="81"/>
      <c r="BR9182" s="81"/>
      <c r="BS9182" s="81"/>
      <c r="BT9182" s="81"/>
    </row>
    <row r="9183" spans="65:72" x14ac:dyDescent="0.25">
      <c r="BM9183" s="81"/>
      <c r="BN9183" s="81"/>
      <c r="BO9183" s="81"/>
      <c r="BP9183" s="81"/>
      <c r="BQ9183" s="81"/>
      <c r="BR9183" s="81"/>
      <c r="BS9183" s="81"/>
      <c r="BT9183" s="81"/>
    </row>
    <row r="9184" spans="65:72" x14ac:dyDescent="0.25">
      <c r="BM9184" s="81"/>
      <c r="BN9184" s="81"/>
      <c r="BO9184" s="81"/>
      <c r="BP9184" s="81"/>
      <c r="BQ9184" s="81"/>
      <c r="BR9184" s="81"/>
      <c r="BS9184" s="81"/>
      <c r="BT9184" s="81"/>
    </row>
    <row r="9185" spans="65:72" x14ac:dyDescent="0.25">
      <c r="BM9185" s="81"/>
      <c r="BN9185" s="81"/>
      <c r="BO9185" s="81"/>
      <c r="BP9185" s="81"/>
      <c r="BQ9185" s="81"/>
      <c r="BR9185" s="81"/>
      <c r="BS9185" s="81"/>
      <c r="BT9185" s="81"/>
    </row>
    <row r="9186" spans="65:72" x14ac:dyDescent="0.25">
      <c r="BM9186" s="81"/>
      <c r="BN9186" s="81"/>
      <c r="BO9186" s="81"/>
      <c r="BP9186" s="81"/>
      <c r="BQ9186" s="81"/>
      <c r="BR9186" s="81"/>
      <c r="BS9186" s="81"/>
      <c r="BT9186" s="81"/>
    </row>
    <row r="9187" spans="65:72" x14ac:dyDescent="0.25">
      <c r="BM9187" s="81"/>
      <c r="BN9187" s="81"/>
      <c r="BO9187" s="81"/>
      <c r="BP9187" s="81"/>
      <c r="BQ9187" s="81"/>
      <c r="BR9187" s="81"/>
      <c r="BS9187" s="81"/>
      <c r="BT9187" s="81"/>
    </row>
    <row r="9188" spans="65:72" x14ac:dyDescent="0.25">
      <c r="BM9188" s="81"/>
      <c r="BN9188" s="81"/>
      <c r="BO9188" s="81"/>
      <c r="BP9188" s="81"/>
      <c r="BQ9188" s="81"/>
      <c r="BR9188" s="81"/>
      <c r="BS9188" s="81"/>
      <c r="BT9188" s="81"/>
    </row>
    <row r="9189" spans="65:72" x14ac:dyDescent="0.25">
      <c r="BM9189" s="81"/>
      <c r="BN9189" s="81"/>
      <c r="BO9189" s="81"/>
      <c r="BP9189" s="81"/>
      <c r="BQ9189" s="81"/>
      <c r="BR9189" s="81"/>
      <c r="BS9189" s="81"/>
      <c r="BT9189" s="81"/>
    </row>
    <row r="9190" spans="65:72" x14ac:dyDescent="0.25">
      <c r="BM9190" s="81"/>
      <c r="BN9190" s="81"/>
      <c r="BO9190" s="81"/>
      <c r="BP9190" s="81"/>
      <c r="BQ9190" s="81"/>
      <c r="BR9190" s="81"/>
      <c r="BS9190" s="81"/>
      <c r="BT9190" s="81"/>
    </row>
    <row r="9191" spans="65:72" x14ac:dyDescent="0.25">
      <c r="BM9191" s="81"/>
      <c r="BN9191" s="81"/>
      <c r="BO9191" s="81"/>
      <c r="BP9191" s="81"/>
      <c r="BQ9191" s="81"/>
      <c r="BR9191" s="81"/>
      <c r="BS9191" s="81"/>
      <c r="BT9191" s="81"/>
    </row>
    <row r="9192" spans="65:72" x14ac:dyDescent="0.25">
      <c r="BM9192" s="81"/>
      <c r="BN9192" s="81"/>
      <c r="BO9192" s="81"/>
      <c r="BP9192" s="81"/>
      <c r="BQ9192" s="81"/>
      <c r="BR9192" s="81"/>
      <c r="BS9192" s="81"/>
      <c r="BT9192" s="81"/>
    </row>
    <row r="9193" spans="65:72" x14ac:dyDescent="0.25">
      <c r="BM9193" s="81"/>
      <c r="BN9193" s="81"/>
      <c r="BO9193" s="81"/>
      <c r="BP9193" s="81"/>
      <c r="BQ9193" s="81"/>
      <c r="BR9193" s="81"/>
      <c r="BS9193" s="81"/>
      <c r="BT9193" s="81"/>
    </row>
    <row r="9194" spans="65:72" x14ac:dyDescent="0.25">
      <c r="BM9194" s="81"/>
      <c r="BN9194" s="81"/>
      <c r="BO9194" s="81"/>
      <c r="BP9194" s="81"/>
      <c r="BQ9194" s="81"/>
      <c r="BR9194" s="81"/>
      <c r="BS9194" s="81"/>
      <c r="BT9194" s="81"/>
    </row>
    <row r="9195" spans="65:72" x14ac:dyDescent="0.25">
      <c r="BM9195" s="81"/>
      <c r="BN9195" s="81"/>
      <c r="BO9195" s="81"/>
      <c r="BP9195" s="81"/>
      <c r="BQ9195" s="81"/>
      <c r="BR9195" s="81"/>
      <c r="BS9195" s="81"/>
      <c r="BT9195" s="81"/>
    </row>
    <row r="9196" spans="65:72" x14ac:dyDescent="0.25">
      <c r="BM9196" s="81"/>
      <c r="BN9196" s="81"/>
      <c r="BO9196" s="81"/>
      <c r="BP9196" s="81"/>
      <c r="BQ9196" s="81"/>
      <c r="BR9196" s="81"/>
      <c r="BS9196" s="81"/>
      <c r="BT9196" s="81"/>
    </row>
    <row r="9197" spans="65:72" x14ac:dyDescent="0.25">
      <c r="BM9197" s="81"/>
      <c r="BN9197" s="81"/>
      <c r="BO9197" s="81"/>
      <c r="BP9197" s="81"/>
      <c r="BQ9197" s="81"/>
      <c r="BR9197" s="81"/>
      <c r="BS9197" s="81"/>
      <c r="BT9197" s="81"/>
    </row>
    <row r="9198" spans="65:72" x14ac:dyDescent="0.25">
      <c r="BM9198" s="81"/>
      <c r="BN9198" s="81"/>
      <c r="BO9198" s="81"/>
      <c r="BP9198" s="81"/>
      <c r="BQ9198" s="81"/>
      <c r="BR9198" s="81"/>
      <c r="BS9198" s="81"/>
      <c r="BT9198" s="81"/>
    </row>
    <row r="9199" spans="65:72" x14ac:dyDescent="0.25">
      <c r="BM9199" s="81"/>
      <c r="BN9199" s="81"/>
      <c r="BO9199" s="81"/>
      <c r="BP9199" s="81"/>
      <c r="BQ9199" s="81"/>
      <c r="BR9199" s="81"/>
      <c r="BS9199" s="81"/>
      <c r="BT9199" s="81"/>
    </row>
    <row r="9200" spans="65:72" x14ac:dyDescent="0.25">
      <c r="BM9200" s="81"/>
      <c r="BN9200" s="81"/>
      <c r="BO9200" s="81"/>
      <c r="BP9200" s="81"/>
      <c r="BQ9200" s="81"/>
      <c r="BR9200" s="81"/>
      <c r="BS9200" s="81"/>
      <c r="BT9200" s="81"/>
    </row>
    <row r="9201" spans="65:72" x14ac:dyDescent="0.25">
      <c r="BM9201" s="81"/>
      <c r="BN9201" s="81"/>
      <c r="BO9201" s="81"/>
      <c r="BP9201" s="81"/>
      <c r="BQ9201" s="81"/>
      <c r="BR9201" s="81"/>
      <c r="BS9201" s="81"/>
      <c r="BT9201" s="81"/>
    </row>
    <row r="9202" spans="65:72" x14ac:dyDescent="0.25">
      <c r="BM9202" s="81"/>
      <c r="BN9202" s="81"/>
      <c r="BO9202" s="81"/>
      <c r="BP9202" s="81"/>
      <c r="BQ9202" s="81"/>
      <c r="BR9202" s="81"/>
      <c r="BS9202" s="81"/>
      <c r="BT9202" s="81"/>
    </row>
    <row r="9203" spans="65:72" x14ac:dyDescent="0.25">
      <c r="BM9203" s="81"/>
      <c r="BN9203" s="81"/>
      <c r="BO9203" s="81"/>
      <c r="BP9203" s="81"/>
      <c r="BQ9203" s="81"/>
      <c r="BR9203" s="81"/>
      <c r="BS9203" s="81"/>
      <c r="BT9203" s="81"/>
    </row>
    <row r="9204" spans="65:72" x14ac:dyDescent="0.25">
      <c r="BM9204" s="81"/>
      <c r="BN9204" s="81"/>
      <c r="BO9204" s="81"/>
      <c r="BP9204" s="81"/>
      <c r="BQ9204" s="81"/>
      <c r="BR9204" s="81"/>
      <c r="BS9204" s="81"/>
      <c r="BT9204" s="81"/>
    </row>
    <row r="9205" spans="65:72" x14ac:dyDescent="0.25">
      <c r="BM9205" s="81"/>
      <c r="BN9205" s="81"/>
      <c r="BO9205" s="81"/>
      <c r="BP9205" s="81"/>
      <c r="BQ9205" s="81"/>
      <c r="BR9205" s="81"/>
      <c r="BS9205" s="81"/>
      <c r="BT9205" s="81"/>
    </row>
    <row r="9206" spans="65:72" x14ac:dyDescent="0.25">
      <c r="BM9206" s="81"/>
      <c r="BN9206" s="81"/>
      <c r="BO9206" s="81"/>
      <c r="BP9206" s="81"/>
      <c r="BQ9206" s="81"/>
      <c r="BR9206" s="81"/>
      <c r="BS9206" s="81"/>
      <c r="BT9206" s="81"/>
    </row>
    <row r="9207" spans="65:72" x14ac:dyDescent="0.25">
      <c r="BM9207" s="81"/>
      <c r="BN9207" s="81"/>
      <c r="BO9207" s="81"/>
      <c r="BP9207" s="81"/>
      <c r="BQ9207" s="81"/>
      <c r="BR9207" s="81"/>
      <c r="BS9207" s="81"/>
      <c r="BT9207" s="81"/>
    </row>
    <row r="9208" spans="65:72" x14ac:dyDescent="0.25">
      <c r="BM9208" s="81"/>
      <c r="BN9208" s="81"/>
      <c r="BO9208" s="81"/>
      <c r="BP9208" s="81"/>
      <c r="BQ9208" s="81"/>
      <c r="BR9208" s="81"/>
      <c r="BS9208" s="81"/>
      <c r="BT9208" s="81"/>
    </row>
    <row r="9209" spans="65:72" x14ac:dyDescent="0.25">
      <c r="BM9209" s="81"/>
      <c r="BN9209" s="81"/>
      <c r="BO9209" s="81"/>
      <c r="BP9209" s="81"/>
      <c r="BQ9209" s="81"/>
      <c r="BR9209" s="81"/>
      <c r="BS9209" s="81"/>
      <c r="BT9209" s="81"/>
    </row>
    <row r="9210" spans="65:72" x14ac:dyDescent="0.25">
      <c r="BM9210" s="81"/>
      <c r="BN9210" s="81"/>
      <c r="BO9210" s="81"/>
      <c r="BP9210" s="81"/>
      <c r="BQ9210" s="81"/>
      <c r="BR9210" s="81"/>
      <c r="BS9210" s="81"/>
      <c r="BT9210" s="81"/>
    </row>
    <row r="9211" spans="65:72" x14ac:dyDescent="0.25">
      <c r="BM9211" s="81"/>
      <c r="BN9211" s="81"/>
      <c r="BO9211" s="81"/>
      <c r="BP9211" s="81"/>
      <c r="BQ9211" s="81"/>
      <c r="BR9211" s="81"/>
      <c r="BS9211" s="81"/>
      <c r="BT9211" s="81"/>
    </row>
    <row r="9212" spans="65:72" x14ac:dyDescent="0.25">
      <c r="BM9212" s="81"/>
      <c r="BN9212" s="81"/>
      <c r="BO9212" s="81"/>
      <c r="BP9212" s="81"/>
      <c r="BQ9212" s="81"/>
      <c r="BR9212" s="81"/>
      <c r="BS9212" s="81"/>
      <c r="BT9212" s="81"/>
    </row>
    <row r="9213" spans="65:72" x14ac:dyDescent="0.25">
      <c r="BM9213" s="81"/>
      <c r="BN9213" s="81"/>
      <c r="BO9213" s="81"/>
      <c r="BP9213" s="81"/>
      <c r="BQ9213" s="81"/>
      <c r="BR9213" s="81"/>
      <c r="BS9213" s="81"/>
      <c r="BT9213" s="81"/>
    </row>
    <row r="9214" spans="65:72" x14ac:dyDescent="0.25">
      <c r="BM9214" s="81"/>
      <c r="BN9214" s="81"/>
      <c r="BO9214" s="81"/>
      <c r="BP9214" s="81"/>
      <c r="BQ9214" s="81"/>
      <c r="BR9214" s="81"/>
      <c r="BS9214" s="81"/>
      <c r="BT9214" s="81"/>
    </row>
    <row r="9215" spans="65:72" x14ac:dyDescent="0.25">
      <c r="BM9215" s="81"/>
      <c r="BN9215" s="81"/>
      <c r="BO9215" s="81"/>
      <c r="BP9215" s="81"/>
      <c r="BQ9215" s="81"/>
      <c r="BR9215" s="81"/>
      <c r="BS9215" s="81"/>
      <c r="BT9215" s="81"/>
    </row>
    <row r="9216" spans="65:72" x14ac:dyDescent="0.25">
      <c r="BM9216" s="81"/>
      <c r="BN9216" s="81"/>
      <c r="BO9216" s="81"/>
      <c r="BP9216" s="81"/>
      <c r="BQ9216" s="81"/>
      <c r="BR9216" s="81"/>
      <c r="BS9216" s="81"/>
      <c r="BT9216" s="81"/>
    </row>
    <row r="9217" spans="65:72" x14ac:dyDescent="0.25">
      <c r="BM9217" s="81"/>
      <c r="BN9217" s="81"/>
      <c r="BO9217" s="81"/>
      <c r="BP9217" s="81"/>
      <c r="BQ9217" s="81"/>
      <c r="BR9217" s="81"/>
      <c r="BS9217" s="81"/>
      <c r="BT9217" s="81"/>
    </row>
    <row r="9218" spans="65:72" x14ac:dyDescent="0.25">
      <c r="BM9218" s="81"/>
      <c r="BN9218" s="81"/>
      <c r="BO9218" s="81"/>
      <c r="BP9218" s="81"/>
      <c r="BQ9218" s="81"/>
      <c r="BR9218" s="81"/>
      <c r="BS9218" s="81"/>
      <c r="BT9218" s="81"/>
    </row>
    <row r="9219" spans="65:72" x14ac:dyDescent="0.25">
      <c r="BM9219" s="81"/>
      <c r="BN9219" s="81"/>
      <c r="BO9219" s="81"/>
      <c r="BP9219" s="81"/>
      <c r="BQ9219" s="81"/>
      <c r="BR9219" s="81"/>
      <c r="BS9219" s="81"/>
      <c r="BT9219" s="81"/>
    </row>
    <row r="9220" spans="65:72" x14ac:dyDescent="0.25">
      <c r="BM9220" s="81"/>
      <c r="BN9220" s="81"/>
      <c r="BO9220" s="81"/>
      <c r="BP9220" s="81"/>
      <c r="BQ9220" s="81"/>
      <c r="BR9220" s="81"/>
      <c r="BS9220" s="81"/>
      <c r="BT9220" s="81"/>
    </row>
    <row r="9221" spans="65:72" x14ac:dyDescent="0.25">
      <c r="BM9221" s="81"/>
      <c r="BN9221" s="81"/>
      <c r="BO9221" s="81"/>
      <c r="BP9221" s="81"/>
      <c r="BQ9221" s="81"/>
      <c r="BR9221" s="81"/>
      <c r="BS9221" s="81"/>
      <c r="BT9221" s="81"/>
    </row>
    <row r="9222" spans="65:72" x14ac:dyDescent="0.25">
      <c r="BM9222" s="81"/>
      <c r="BN9222" s="81"/>
      <c r="BO9222" s="81"/>
      <c r="BP9222" s="81"/>
      <c r="BQ9222" s="81"/>
      <c r="BR9222" s="81"/>
      <c r="BS9222" s="81"/>
      <c r="BT9222" s="81"/>
    </row>
    <row r="9223" spans="65:72" x14ac:dyDescent="0.25">
      <c r="BM9223" s="81"/>
      <c r="BN9223" s="81"/>
      <c r="BO9223" s="81"/>
      <c r="BP9223" s="81"/>
      <c r="BQ9223" s="81"/>
      <c r="BR9223" s="81"/>
      <c r="BS9223" s="81"/>
      <c r="BT9223" s="81"/>
    </row>
    <row r="9224" spans="65:72" x14ac:dyDescent="0.25">
      <c r="BM9224" s="81"/>
      <c r="BN9224" s="81"/>
      <c r="BO9224" s="81"/>
      <c r="BP9224" s="81"/>
      <c r="BQ9224" s="81"/>
      <c r="BR9224" s="81"/>
      <c r="BS9224" s="81"/>
      <c r="BT9224" s="81"/>
    </row>
    <row r="9225" spans="65:72" x14ac:dyDescent="0.25">
      <c r="BM9225" s="81"/>
      <c r="BN9225" s="81"/>
      <c r="BO9225" s="81"/>
      <c r="BP9225" s="81"/>
      <c r="BQ9225" s="81"/>
      <c r="BR9225" s="81"/>
      <c r="BS9225" s="81"/>
      <c r="BT9225" s="81"/>
    </row>
    <row r="9226" spans="65:72" x14ac:dyDescent="0.25">
      <c r="BM9226" s="81"/>
      <c r="BN9226" s="81"/>
      <c r="BO9226" s="81"/>
      <c r="BP9226" s="81"/>
      <c r="BQ9226" s="81"/>
      <c r="BR9226" s="81"/>
      <c r="BS9226" s="81"/>
      <c r="BT9226" s="81"/>
    </row>
    <row r="9227" spans="65:72" x14ac:dyDescent="0.25">
      <c r="BM9227" s="81"/>
      <c r="BN9227" s="81"/>
      <c r="BO9227" s="81"/>
      <c r="BP9227" s="81"/>
      <c r="BQ9227" s="81"/>
      <c r="BR9227" s="81"/>
      <c r="BS9227" s="81"/>
      <c r="BT9227" s="81"/>
    </row>
    <row r="9228" spans="65:72" x14ac:dyDescent="0.25">
      <c r="BM9228" s="81"/>
      <c r="BN9228" s="81"/>
      <c r="BO9228" s="81"/>
      <c r="BP9228" s="81"/>
      <c r="BQ9228" s="81"/>
      <c r="BR9228" s="81"/>
      <c r="BS9228" s="81"/>
      <c r="BT9228" s="81"/>
    </row>
    <row r="9229" spans="65:72" x14ac:dyDescent="0.25">
      <c r="BM9229" s="81"/>
      <c r="BN9229" s="81"/>
      <c r="BO9229" s="81"/>
      <c r="BP9229" s="81"/>
      <c r="BQ9229" s="81"/>
      <c r="BR9229" s="81"/>
      <c r="BS9229" s="81"/>
      <c r="BT9229" s="81"/>
    </row>
    <row r="9230" spans="65:72" x14ac:dyDescent="0.25">
      <c r="BM9230" s="81"/>
      <c r="BN9230" s="81"/>
      <c r="BO9230" s="81"/>
      <c r="BP9230" s="81"/>
      <c r="BQ9230" s="81"/>
      <c r="BR9230" s="81"/>
      <c r="BS9230" s="81"/>
      <c r="BT9230" s="81"/>
    </row>
    <row r="9231" spans="65:72" x14ac:dyDescent="0.25">
      <c r="BM9231" s="81"/>
      <c r="BN9231" s="81"/>
      <c r="BO9231" s="81"/>
      <c r="BP9231" s="81"/>
      <c r="BQ9231" s="81"/>
      <c r="BR9231" s="81"/>
      <c r="BS9231" s="81"/>
      <c r="BT9231" s="81"/>
    </row>
    <row r="9232" spans="65:72" x14ac:dyDescent="0.25">
      <c r="BM9232" s="81"/>
      <c r="BN9232" s="81"/>
      <c r="BO9232" s="81"/>
      <c r="BP9232" s="81"/>
      <c r="BQ9232" s="81"/>
      <c r="BR9232" s="81"/>
      <c r="BS9232" s="81"/>
      <c r="BT9232" s="81"/>
    </row>
    <row r="9233" spans="65:72" x14ac:dyDescent="0.25">
      <c r="BM9233" s="81"/>
      <c r="BN9233" s="81"/>
      <c r="BO9233" s="81"/>
      <c r="BP9233" s="81"/>
      <c r="BQ9233" s="81"/>
      <c r="BR9233" s="81"/>
      <c r="BS9233" s="81"/>
      <c r="BT9233" s="81"/>
    </row>
    <row r="9234" spans="65:72" x14ac:dyDescent="0.25">
      <c r="BM9234" s="81"/>
      <c r="BN9234" s="81"/>
      <c r="BO9234" s="81"/>
      <c r="BP9234" s="81"/>
      <c r="BQ9234" s="81"/>
      <c r="BR9234" s="81"/>
      <c r="BS9234" s="81"/>
      <c r="BT9234" s="81"/>
    </row>
    <row r="9235" spans="65:72" x14ac:dyDescent="0.25">
      <c r="BM9235" s="81"/>
      <c r="BN9235" s="81"/>
      <c r="BO9235" s="81"/>
      <c r="BP9235" s="81"/>
      <c r="BQ9235" s="81"/>
      <c r="BR9235" s="81"/>
      <c r="BS9235" s="81"/>
      <c r="BT9235" s="81"/>
    </row>
    <row r="9236" spans="65:72" x14ac:dyDescent="0.25">
      <c r="BM9236" s="81"/>
      <c r="BN9236" s="81"/>
      <c r="BO9236" s="81"/>
      <c r="BP9236" s="81"/>
      <c r="BQ9236" s="81"/>
      <c r="BR9236" s="81"/>
      <c r="BS9236" s="81"/>
      <c r="BT9236" s="81"/>
    </row>
    <row r="9237" spans="65:72" x14ac:dyDescent="0.25">
      <c r="BM9237" s="81"/>
      <c r="BN9237" s="81"/>
      <c r="BO9237" s="81"/>
      <c r="BP9237" s="81"/>
      <c r="BQ9237" s="81"/>
      <c r="BR9237" s="81"/>
      <c r="BS9237" s="81"/>
      <c r="BT9237" s="81"/>
    </row>
    <row r="9238" spans="65:72" x14ac:dyDescent="0.25">
      <c r="BM9238" s="81"/>
      <c r="BN9238" s="81"/>
      <c r="BO9238" s="81"/>
      <c r="BP9238" s="81"/>
      <c r="BQ9238" s="81"/>
      <c r="BR9238" s="81"/>
      <c r="BS9238" s="81"/>
      <c r="BT9238" s="81"/>
    </row>
    <row r="9239" spans="65:72" x14ac:dyDescent="0.25">
      <c r="BM9239" s="81"/>
      <c r="BN9239" s="81"/>
      <c r="BO9239" s="81"/>
      <c r="BP9239" s="81"/>
      <c r="BQ9239" s="81"/>
      <c r="BR9239" s="81"/>
      <c r="BS9239" s="81"/>
      <c r="BT9239" s="81"/>
    </row>
    <row r="9240" spans="65:72" x14ac:dyDescent="0.25">
      <c r="BM9240" s="81"/>
      <c r="BN9240" s="81"/>
      <c r="BO9240" s="81"/>
      <c r="BP9240" s="81"/>
      <c r="BQ9240" s="81"/>
      <c r="BR9240" s="81"/>
      <c r="BS9240" s="81"/>
      <c r="BT9240" s="81"/>
    </row>
    <row r="9241" spans="65:72" x14ac:dyDescent="0.25">
      <c r="BM9241" s="81"/>
      <c r="BN9241" s="81"/>
      <c r="BO9241" s="81"/>
      <c r="BP9241" s="81"/>
      <c r="BQ9241" s="81"/>
      <c r="BR9241" s="81"/>
      <c r="BS9241" s="81"/>
      <c r="BT9241" s="81"/>
    </row>
    <row r="9242" spans="65:72" x14ac:dyDescent="0.25">
      <c r="BM9242" s="81"/>
      <c r="BN9242" s="81"/>
      <c r="BO9242" s="81"/>
      <c r="BP9242" s="81"/>
      <c r="BQ9242" s="81"/>
      <c r="BR9242" s="81"/>
      <c r="BS9242" s="81"/>
      <c r="BT9242" s="81"/>
    </row>
    <row r="9243" spans="65:72" x14ac:dyDescent="0.25">
      <c r="BM9243" s="81"/>
      <c r="BN9243" s="81"/>
      <c r="BO9243" s="81"/>
      <c r="BP9243" s="81"/>
      <c r="BQ9243" s="81"/>
      <c r="BR9243" s="81"/>
      <c r="BS9243" s="81"/>
      <c r="BT9243" s="81"/>
    </row>
    <row r="9244" spans="65:72" x14ac:dyDescent="0.25">
      <c r="BM9244" s="81"/>
      <c r="BN9244" s="81"/>
      <c r="BO9244" s="81"/>
      <c r="BP9244" s="81"/>
      <c r="BQ9244" s="81"/>
      <c r="BR9244" s="81"/>
      <c r="BS9244" s="81"/>
      <c r="BT9244" s="81"/>
    </row>
    <row r="9245" spans="65:72" x14ac:dyDescent="0.25">
      <c r="BM9245" s="81"/>
      <c r="BN9245" s="81"/>
      <c r="BO9245" s="81"/>
      <c r="BP9245" s="81"/>
      <c r="BQ9245" s="81"/>
      <c r="BR9245" s="81"/>
      <c r="BS9245" s="81"/>
      <c r="BT9245" s="81"/>
    </row>
    <row r="9246" spans="65:72" x14ac:dyDescent="0.25">
      <c r="BM9246" s="81"/>
      <c r="BN9246" s="81"/>
      <c r="BO9246" s="81"/>
      <c r="BP9246" s="81"/>
      <c r="BQ9246" s="81"/>
      <c r="BR9246" s="81"/>
      <c r="BS9246" s="81"/>
      <c r="BT9246" s="81"/>
    </row>
    <row r="9247" spans="65:72" x14ac:dyDescent="0.25">
      <c r="BM9247" s="81"/>
      <c r="BN9247" s="81"/>
      <c r="BO9247" s="81"/>
      <c r="BP9247" s="81"/>
      <c r="BQ9247" s="81"/>
      <c r="BR9247" s="81"/>
      <c r="BS9247" s="81"/>
      <c r="BT9247" s="81"/>
    </row>
    <row r="9248" spans="65:72" x14ac:dyDescent="0.25">
      <c r="BM9248" s="81"/>
      <c r="BN9248" s="81"/>
      <c r="BO9248" s="81"/>
      <c r="BP9248" s="81"/>
      <c r="BQ9248" s="81"/>
      <c r="BR9248" s="81"/>
      <c r="BS9248" s="81"/>
      <c r="BT9248" s="81"/>
    </row>
    <row r="9249" spans="65:72" x14ac:dyDescent="0.25">
      <c r="BM9249" s="81"/>
      <c r="BN9249" s="81"/>
      <c r="BO9249" s="81"/>
      <c r="BP9249" s="81"/>
      <c r="BQ9249" s="81"/>
      <c r="BR9249" s="81"/>
      <c r="BS9249" s="81"/>
      <c r="BT9249" s="81"/>
    </row>
    <row r="9250" spans="65:72" x14ac:dyDescent="0.25">
      <c r="BM9250" s="81"/>
      <c r="BN9250" s="81"/>
      <c r="BO9250" s="81"/>
      <c r="BP9250" s="81"/>
      <c r="BQ9250" s="81"/>
      <c r="BR9250" s="81"/>
      <c r="BS9250" s="81"/>
      <c r="BT9250" s="81"/>
    </row>
    <row r="9251" spans="65:72" x14ac:dyDescent="0.25">
      <c r="BM9251" s="81"/>
      <c r="BN9251" s="81"/>
      <c r="BO9251" s="81"/>
      <c r="BP9251" s="81"/>
      <c r="BQ9251" s="81"/>
      <c r="BR9251" s="81"/>
      <c r="BS9251" s="81"/>
      <c r="BT9251" s="81"/>
    </row>
    <row r="9252" spans="65:72" x14ac:dyDescent="0.25">
      <c r="BM9252" s="81"/>
      <c r="BN9252" s="81"/>
      <c r="BO9252" s="81"/>
      <c r="BP9252" s="81"/>
      <c r="BQ9252" s="81"/>
      <c r="BR9252" s="81"/>
      <c r="BS9252" s="81"/>
      <c r="BT9252" s="81"/>
    </row>
    <row r="9253" spans="65:72" x14ac:dyDescent="0.25">
      <c r="BM9253" s="81"/>
      <c r="BN9253" s="81"/>
      <c r="BO9253" s="81"/>
      <c r="BP9253" s="81"/>
      <c r="BQ9253" s="81"/>
      <c r="BR9253" s="81"/>
      <c r="BS9253" s="81"/>
      <c r="BT9253" s="81"/>
    </row>
    <row r="9254" spans="65:72" x14ac:dyDescent="0.25">
      <c r="BM9254" s="81"/>
      <c r="BN9254" s="81"/>
      <c r="BO9254" s="81"/>
      <c r="BP9254" s="81"/>
      <c r="BQ9254" s="81"/>
      <c r="BR9254" s="81"/>
      <c r="BS9254" s="81"/>
      <c r="BT9254" s="81"/>
    </row>
    <row r="9255" spans="65:72" x14ac:dyDescent="0.25">
      <c r="BM9255" s="81"/>
      <c r="BN9255" s="81"/>
      <c r="BO9255" s="81"/>
      <c r="BP9255" s="81"/>
      <c r="BQ9255" s="81"/>
      <c r="BR9255" s="81"/>
      <c r="BS9255" s="81"/>
      <c r="BT9255" s="81"/>
    </row>
    <row r="9256" spans="65:72" x14ac:dyDescent="0.25">
      <c r="BM9256" s="81"/>
      <c r="BN9256" s="81"/>
      <c r="BO9256" s="81"/>
      <c r="BP9256" s="81"/>
      <c r="BQ9256" s="81"/>
      <c r="BR9256" s="81"/>
      <c r="BS9256" s="81"/>
      <c r="BT9256" s="81"/>
    </row>
    <row r="9257" spans="65:72" x14ac:dyDescent="0.25">
      <c r="BM9257" s="81"/>
      <c r="BN9257" s="81"/>
      <c r="BO9257" s="81"/>
      <c r="BP9257" s="81"/>
      <c r="BQ9257" s="81"/>
      <c r="BR9257" s="81"/>
      <c r="BS9257" s="81"/>
      <c r="BT9257" s="81"/>
    </row>
    <row r="9258" spans="65:72" x14ac:dyDescent="0.25">
      <c r="BM9258" s="81"/>
      <c r="BN9258" s="81"/>
      <c r="BO9258" s="81"/>
      <c r="BP9258" s="81"/>
      <c r="BQ9258" s="81"/>
      <c r="BR9258" s="81"/>
      <c r="BS9258" s="81"/>
      <c r="BT9258" s="81"/>
    </row>
    <row r="9259" spans="65:72" x14ac:dyDescent="0.25">
      <c r="BM9259" s="81"/>
      <c r="BN9259" s="81"/>
      <c r="BO9259" s="81"/>
      <c r="BP9259" s="81"/>
      <c r="BQ9259" s="81"/>
      <c r="BR9259" s="81"/>
      <c r="BS9259" s="81"/>
      <c r="BT9259" s="81"/>
    </row>
    <row r="9260" spans="65:72" x14ac:dyDescent="0.25">
      <c r="BM9260" s="81"/>
      <c r="BN9260" s="81"/>
      <c r="BO9260" s="81"/>
      <c r="BP9260" s="81"/>
      <c r="BQ9260" s="81"/>
      <c r="BR9260" s="81"/>
      <c r="BS9260" s="81"/>
      <c r="BT9260" s="81"/>
    </row>
    <row r="9261" spans="65:72" x14ac:dyDescent="0.25">
      <c r="BM9261" s="81"/>
      <c r="BN9261" s="81"/>
      <c r="BO9261" s="81"/>
      <c r="BP9261" s="81"/>
      <c r="BQ9261" s="81"/>
      <c r="BR9261" s="81"/>
      <c r="BS9261" s="81"/>
      <c r="BT9261" s="81"/>
    </row>
    <row r="9262" spans="65:72" x14ac:dyDescent="0.25">
      <c r="BM9262" s="81"/>
      <c r="BN9262" s="81"/>
      <c r="BO9262" s="81"/>
      <c r="BP9262" s="81"/>
      <c r="BQ9262" s="81"/>
      <c r="BR9262" s="81"/>
      <c r="BS9262" s="81"/>
      <c r="BT9262" s="81"/>
    </row>
    <row r="9263" spans="65:72" x14ac:dyDescent="0.25">
      <c r="BM9263" s="81"/>
      <c r="BN9263" s="81"/>
      <c r="BO9263" s="81"/>
      <c r="BP9263" s="81"/>
      <c r="BQ9263" s="81"/>
      <c r="BR9263" s="81"/>
      <c r="BS9263" s="81"/>
      <c r="BT9263" s="81"/>
    </row>
    <row r="9264" spans="65:72" x14ac:dyDescent="0.25">
      <c r="BM9264" s="81"/>
      <c r="BN9264" s="81"/>
      <c r="BO9264" s="81"/>
      <c r="BP9264" s="81"/>
      <c r="BQ9264" s="81"/>
      <c r="BR9264" s="81"/>
      <c r="BS9264" s="81"/>
      <c r="BT9264" s="81"/>
    </row>
    <row r="9265" spans="65:72" x14ac:dyDescent="0.25">
      <c r="BM9265" s="81"/>
      <c r="BN9265" s="81"/>
      <c r="BO9265" s="81"/>
      <c r="BP9265" s="81"/>
      <c r="BQ9265" s="81"/>
      <c r="BR9265" s="81"/>
      <c r="BS9265" s="81"/>
      <c r="BT9265" s="81"/>
    </row>
    <row r="9266" spans="65:72" x14ac:dyDescent="0.25">
      <c r="BM9266" s="81"/>
      <c r="BN9266" s="81"/>
      <c r="BO9266" s="81"/>
      <c r="BP9266" s="81"/>
      <c r="BQ9266" s="81"/>
      <c r="BR9266" s="81"/>
      <c r="BS9266" s="81"/>
      <c r="BT9266" s="81"/>
    </row>
    <row r="9267" spans="65:72" x14ac:dyDescent="0.25">
      <c r="BM9267" s="81"/>
      <c r="BN9267" s="81"/>
      <c r="BO9267" s="81"/>
      <c r="BP9267" s="81"/>
      <c r="BQ9267" s="81"/>
      <c r="BR9267" s="81"/>
      <c r="BS9267" s="81"/>
      <c r="BT9267" s="81"/>
    </row>
    <row r="9268" spans="65:72" x14ac:dyDescent="0.25">
      <c r="BM9268" s="81"/>
      <c r="BN9268" s="81"/>
      <c r="BO9268" s="81"/>
      <c r="BP9268" s="81"/>
      <c r="BQ9268" s="81"/>
      <c r="BR9268" s="81"/>
      <c r="BS9268" s="81"/>
      <c r="BT9268" s="81"/>
    </row>
    <row r="9269" spans="65:72" x14ac:dyDescent="0.25">
      <c r="BM9269" s="81"/>
      <c r="BN9269" s="81"/>
      <c r="BO9269" s="81"/>
      <c r="BP9269" s="81"/>
      <c r="BQ9269" s="81"/>
      <c r="BR9269" s="81"/>
      <c r="BS9269" s="81"/>
      <c r="BT9269" s="81"/>
    </row>
    <row r="9270" spans="65:72" x14ac:dyDescent="0.25">
      <c r="BM9270" s="81"/>
      <c r="BN9270" s="81"/>
      <c r="BO9270" s="81"/>
      <c r="BP9270" s="81"/>
      <c r="BQ9270" s="81"/>
      <c r="BR9270" s="81"/>
      <c r="BS9270" s="81"/>
      <c r="BT9270" s="81"/>
    </row>
    <row r="9271" spans="65:72" x14ac:dyDescent="0.25">
      <c r="BM9271" s="81"/>
      <c r="BN9271" s="81"/>
      <c r="BO9271" s="81"/>
      <c r="BP9271" s="81"/>
      <c r="BQ9271" s="81"/>
      <c r="BR9271" s="81"/>
      <c r="BS9271" s="81"/>
      <c r="BT9271" s="81"/>
    </row>
    <row r="9272" spans="65:72" x14ac:dyDescent="0.25">
      <c r="BM9272" s="81"/>
      <c r="BN9272" s="81"/>
      <c r="BO9272" s="81"/>
      <c r="BP9272" s="81"/>
      <c r="BQ9272" s="81"/>
      <c r="BR9272" s="81"/>
      <c r="BS9272" s="81"/>
      <c r="BT9272" s="81"/>
    </row>
    <row r="9273" spans="65:72" x14ac:dyDescent="0.25">
      <c r="BM9273" s="81"/>
      <c r="BN9273" s="81"/>
      <c r="BO9273" s="81"/>
      <c r="BP9273" s="81"/>
      <c r="BQ9273" s="81"/>
      <c r="BR9273" s="81"/>
      <c r="BS9273" s="81"/>
      <c r="BT9273" s="81"/>
    </row>
    <row r="9274" spans="65:72" x14ac:dyDescent="0.25">
      <c r="BM9274" s="81"/>
      <c r="BN9274" s="81"/>
      <c r="BO9274" s="81"/>
      <c r="BP9274" s="81"/>
      <c r="BQ9274" s="81"/>
      <c r="BR9274" s="81"/>
      <c r="BS9274" s="81"/>
      <c r="BT9274" s="81"/>
    </row>
    <row r="9275" spans="65:72" x14ac:dyDescent="0.25">
      <c r="BM9275" s="81"/>
      <c r="BN9275" s="81"/>
      <c r="BO9275" s="81"/>
      <c r="BP9275" s="81"/>
      <c r="BQ9275" s="81"/>
      <c r="BR9275" s="81"/>
      <c r="BS9275" s="81"/>
      <c r="BT9275" s="81"/>
    </row>
    <row r="9276" spans="65:72" x14ac:dyDescent="0.25">
      <c r="BM9276" s="81"/>
      <c r="BN9276" s="81"/>
      <c r="BO9276" s="81"/>
      <c r="BP9276" s="81"/>
      <c r="BQ9276" s="81"/>
      <c r="BR9276" s="81"/>
      <c r="BS9276" s="81"/>
      <c r="BT9276" s="81"/>
    </row>
    <row r="9277" spans="65:72" x14ac:dyDescent="0.25">
      <c r="BM9277" s="81"/>
      <c r="BN9277" s="81"/>
      <c r="BO9277" s="81"/>
      <c r="BP9277" s="81"/>
      <c r="BQ9277" s="81"/>
      <c r="BR9277" s="81"/>
      <c r="BS9277" s="81"/>
      <c r="BT9277" s="81"/>
    </row>
    <row r="9278" spans="65:72" x14ac:dyDescent="0.25">
      <c r="BM9278" s="81"/>
      <c r="BN9278" s="81"/>
      <c r="BO9278" s="81"/>
      <c r="BP9278" s="81"/>
      <c r="BQ9278" s="81"/>
      <c r="BR9278" s="81"/>
      <c r="BS9278" s="81"/>
      <c r="BT9278" s="81"/>
    </row>
    <row r="9279" spans="65:72" x14ac:dyDescent="0.25">
      <c r="BM9279" s="81"/>
      <c r="BN9279" s="81"/>
      <c r="BO9279" s="81"/>
      <c r="BP9279" s="81"/>
      <c r="BQ9279" s="81"/>
      <c r="BR9279" s="81"/>
      <c r="BS9279" s="81"/>
      <c r="BT9279" s="81"/>
    </row>
    <row r="9280" spans="65:72" x14ac:dyDescent="0.25">
      <c r="BM9280" s="81"/>
      <c r="BN9280" s="81"/>
      <c r="BO9280" s="81"/>
      <c r="BP9280" s="81"/>
      <c r="BQ9280" s="81"/>
      <c r="BR9280" s="81"/>
      <c r="BS9280" s="81"/>
      <c r="BT9280" s="81"/>
    </row>
    <row r="9281" spans="65:72" x14ac:dyDescent="0.25">
      <c r="BM9281" s="81"/>
      <c r="BN9281" s="81"/>
      <c r="BO9281" s="81"/>
      <c r="BP9281" s="81"/>
      <c r="BQ9281" s="81"/>
      <c r="BR9281" s="81"/>
      <c r="BS9281" s="81"/>
      <c r="BT9281" s="81"/>
    </row>
    <row r="9282" spans="65:72" x14ac:dyDescent="0.25">
      <c r="BM9282" s="81"/>
      <c r="BN9282" s="81"/>
      <c r="BO9282" s="81"/>
      <c r="BP9282" s="81"/>
      <c r="BQ9282" s="81"/>
      <c r="BR9282" s="81"/>
      <c r="BS9282" s="81"/>
      <c r="BT9282" s="81"/>
    </row>
    <row r="9283" spans="65:72" x14ac:dyDescent="0.25">
      <c r="BM9283" s="81"/>
      <c r="BN9283" s="81"/>
      <c r="BO9283" s="81"/>
      <c r="BP9283" s="81"/>
      <c r="BQ9283" s="81"/>
      <c r="BR9283" s="81"/>
      <c r="BS9283" s="81"/>
      <c r="BT9283" s="81"/>
    </row>
    <row r="9284" spans="65:72" x14ac:dyDescent="0.25">
      <c r="BM9284" s="81"/>
      <c r="BN9284" s="81"/>
      <c r="BO9284" s="81"/>
      <c r="BP9284" s="81"/>
      <c r="BQ9284" s="81"/>
      <c r="BR9284" s="81"/>
      <c r="BS9284" s="81"/>
      <c r="BT9284" s="81"/>
    </row>
    <row r="9285" spans="65:72" x14ac:dyDescent="0.25">
      <c r="BM9285" s="81"/>
      <c r="BN9285" s="81"/>
      <c r="BO9285" s="81"/>
      <c r="BP9285" s="81"/>
      <c r="BQ9285" s="81"/>
      <c r="BR9285" s="81"/>
      <c r="BS9285" s="81"/>
      <c r="BT9285" s="81"/>
    </row>
    <row r="9286" spans="65:72" x14ac:dyDescent="0.25">
      <c r="BM9286" s="81"/>
      <c r="BN9286" s="81"/>
      <c r="BO9286" s="81"/>
      <c r="BP9286" s="81"/>
      <c r="BQ9286" s="81"/>
      <c r="BR9286" s="81"/>
      <c r="BS9286" s="81"/>
      <c r="BT9286" s="81"/>
    </row>
    <row r="9287" spans="65:72" x14ac:dyDescent="0.25">
      <c r="BM9287" s="81"/>
      <c r="BN9287" s="81"/>
      <c r="BO9287" s="81"/>
      <c r="BP9287" s="81"/>
      <c r="BQ9287" s="81"/>
      <c r="BR9287" s="81"/>
      <c r="BS9287" s="81"/>
      <c r="BT9287" s="81"/>
    </row>
    <row r="9288" spans="65:72" x14ac:dyDescent="0.25">
      <c r="BM9288" s="81"/>
      <c r="BN9288" s="81"/>
      <c r="BO9288" s="81"/>
      <c r="BP9288" s="81"/>
      <c r="BQ9288" s="81"/>
      <c r="BR9288" s="81"/>
      <c r="BS9288" s="81"/>
      <c r="BT9288" s="81"/>
    </row>
    <row r="9289" spans="65:72" x14ac:dyDescent="0.25">
      <c r="BM9289" s="81"/>
      <c r="BN9289" s="81"/>
      <c r="BO9289" s="81"/>
      <c r="BP9289" s="81"/>
      <c r="BQ9289" s="81"/>
      <c r="BR9289" s="81"/>
      <c r="BS9289" s="81"/>
      <c r="BT9289" s="81"/>
    </row>
    <row r="9290" spans="65:72" x14ac:dyDescent="0.25">
      <c r="BM9290" s="81"/>
      <c r="BN9290" s="81"/>
      <c r="BO9290" s="81"/>
      <c r="BP9290" s="81"/>
      <c r="BQ9290" s="81"/>
      <c r="BR9290" s="81"/>
      <c r="BS9290" s="81"/>
      <c r="BT9290" s="81"/>
    </row>
    <row r="9291" spans="65:72" x14ac:dyDescent="0.25">
      <c r="BM9291" s="81"/>
      <c r="BN9291" s="81"/>
      <c r="BO9291" s="81"/>
      <c r="BP9291" s="81"/>
      <c r="BQ9291" s="81"/>
      <c r="BR9291" s="81"/>
      <c r="BS9291" s="81"/>
      <c r="BT9291" s="81"/>
    </row>
    <row r="9292" spans="65:72" x14ac:dyDescent="0.25">
      <c r="BM9292" s="81"/>
      <c r="BN9292" s="81"/>
      <c r="BO9292" s="81"/>
      <c r="BP9292" s="81"/>
      <c r="BQ9292" s="81"/>
      <c r="BR9292" s="81"/>
      <c r="BS9292" s="81"/>
      <c r="BT9292" s="81"/>
    </row>
    <row r="9293" spans="65:72" x14ac:dyDescent="0.25">
      <c r="BM9293" s="81"/>
      <c r="BN9293" s="81"/>
      <c r="BO9293" s="81"/>
      <c r="BP9293" s="81"/>
      <c r="BQ9293" s="81"/>
      <c r="BR9293" s="81"/>
      <c r="BS9293" s="81"/>
      <c r="BT9293" s="81"/>
    </row>
    <row r="9294" spans="65:72" x14ac:dyDescent="0.25">
      <c r="BM9294" s="81"/>
      <c r="BN9294" s="81"/>
      <c r="BO9294" s="81"/>
      <c r="BP9294" s="81"/>
      <c r="BQ9294" s="81"/>
      <c r="BR9294" s="81"/>
      <c r="BS9294" s="81"/>
      <c r="BT9294" s="81"/>
    </row>
    <row r="9295" spans="65:72" x14ac:dyDescent="0.25">
      <c r="BM9295" s="81"/>
      <c r="BN9295" s="81"/>
      <c r="BO9295" s="81"/>
      <c r="BP9295" s="81"/>
      <c r="BQ9295" s="81"/>
      <c r="BR9295" s="81"/>
      <c r="BS9295" s="81"/>
      <c r="BT9295" s="81"/>
    </row>
    <row r="9296" spans="65:72" x14ac:dyDescent="0.25">
      <c r="BM9296" s="81"/>
      <c r="BN9296" s="81"/>
      <c r="BO9296" s="81"/>
      <c r="BP9296" s="81"/>
      <c r="BQ9296" s="81"/>
      <c r="BR9296" s="81"/>
      <c r="BS9296" s="81"/>
      <c r="BT9296" s="81"/>
    </row>
    <row r="9297" spans="65:72" x14ac:dyDescent="0.25">
      <c r="BM9297" s="81"/>
      <c r="BN9297" s="81"/>
      <c r="BO9297" s="81"/>
      <c r="BP9297" s="81"/>
      <c r="BQ9297" s="81"/>
      <c r="BR9297" s="81"/>
      <c r="BS9297" s="81"/>
      <c r="BT9297" s="81"/>
    </row>
    <row r="9298" spans="65:72" x14ac:dyDescent="0.25">
      <c r="BM9298" s="81"/>
      <c r="BN9298" s="81"/>
      <c r="BO9298" s="81"/>
      <c r="BP9298" s="81"/>
      <c r="BQ9298" s="81"/>
      <c r="BR9298" s="81"/>
      <c r="BS9298" s="81"/>
      <c r="BT9298" s="81"/>
    </row>
    <row r="9299" spans="65:72" x14ac:dyDescent="0.25">
      <c r="BM9299" s="81"/>
      <c r="BN9299" s="81"/>
      <c r="BO9299" s="81"/>
      <c r="BP9299" s="81"/>
      <c r="BQ9299" s="81"/>
      <c r="BR9299" s="81"/>
      <c r="BS9299" s="81"/>
      <c r="BT9299" s="81"/>
    </row>
    <row r="9300" spans="65:72" x14ac:dyDescent="0.25">
      <c r="BM9300" s="81"/>
      <c r="BN9300" s="81"/>
      <c r="BO9300" s="81"/>
      <c r="BP9300" s="81"/>
      <c r="BQ9300" s="81"/>
      <c r="BR9300" s="81"/>
      <c r="BS9300" s="81"/>
      <c r="BT9300" s="81"/>
    </row>
    <row r="9301" spans="65:72" x14ac:dyDescent="0.25">
      <c r="BM9301" s="81"/>
      <c r="BN9301" s="81"/>
      <c r="BO9301" s="81"/>
      <c r="BP9301" s="81"/>
      <c r="BQ9301" s="81"/>
      <c r="BR9301" s="81"/>
      <c r="BS9301" s="81"/>
      <c r="BT9301" s="81"/>
    </row>
    <row r="9302" spans="65:72" x14ac:dyDescent="0.25">
      <c r="BM9302" s="81"/>
      <c r="BN9302" s="81"/>
      <c r="BO9302" s="81"/>
      <c r="BP9302" s="81"/>
      <c r="BQ9302" s="81"/>
      <c r="BR9302" s="81"/>
      <c r="BS9302" s="81"/>
      <c r="BT9302" s="81"/>
    </row>
    <row r="9303" spans="65:72" x14ac:dyDescent="0.25">
      <c r="BM9303" s="81"/>
      <c r="BN9303" s="81"/>
      <c r="BO9303" s="81"/>
      <c r="BP9303" s="81"/>
      <c r="BQ9303" s="81"/>
      <c r="BR9303" s="81"/>
      <c r="BS9303" s="81"/>
      <c r="BT9303" s="81"/>
    </row>
    <row r="9304" spans="65:72" x14ac:dyDescent="0.25">
      <c r="BM9304" s="81"/>
      <c r="BN9304" s="81"/>
      <c r="BO9304" s="81"/>
      <c r="BP9304" s="81"/>
      <c r="BQ9304" s="81"/>
      <c r="BR9304" s="81"/>
      <c r="BS9304" s="81"/>
      <c r="BT9304" s="81"/>
    </row>
    <row r="9305" spans="65:72" x14ac:dyDescent="0.25">
      <c r="BM9305" s="81"/>
      <c r="BN9305" s="81"/>
      <c r="BO9305" s="81"/>
      <c r="BP9305" s="81"/>
      <c r="BQ9305" s="81"/>
      <c r="BR9305" s="81"/>
      <c r="BS9305" s="81"/>
      <c r="BT9305" s="81"/>
    </row>
    <row r="9306" spans="65:72" x14ac:dyDescent="0.25">
      <c r="BM9306" s="81"/>
      <c r="BN9306" s="81"/>
      <c r="BO9306" s="81"/>
      <c r="BP9306" s="81"/>
      <c r="BQ9306" s="81"/>
      <c r="BR9306" s="81"/>
      <c r="BS9306" s="81"/>
      <c r="BT9306" s="81"/>
    </row>
    <row r="9307" spans="65:72" x14ac:dyDescent="0.25">
      <c r="BM9307" s="81"/>
      <c r="BN9307" s="81"/>
      <c r="BO9307" s="81"/>
      <c r="BP9307" s="81"/>
      <c r="BQ9307" s="81"/>
      <c r="BR9307" s="81"/>
      <c r="BS9307" s="81"/>
      <c r="BT9307" s="81"/>
    </row>
    <row r="9308" spans="65:72" x14ac:dyDescent="0.25">
      <c r="BM9308" s="81"/>
      <c r="BN9308" s="81"/>
      <c r="BO9308" s="81"/>
      <c r="BP9308" s="81"/>
      <c r="BQ9308" s="81"/>
      <c r="BR9308" s="81"/>
      <c r="BS9308" s="81"/>
      <c r="BT9308" s="81"/>
    </row>
    <row r="9309" spans="65:72" x14ac:dyDescent="0.25">
      <c r="BM9309" s="81"/>
      <c r="BN9309" s="81"/>
      <c r="BO9309" s="81"/>
      <c r="BP9309" s="81"/>
      <c r="BQ9309" s="81"/>
      <c r="BR9309" s="81"/>
      <c r="BS9309" s="81"/>
      <c r="BT9309" s="81"/>
    </row>
    <row r="9310" spans="65:72" x14ac:dyDescent="0.25">
      <c r="BM9310" s="81"/>
      <c r="BN9310" s="81"/>
      <c r="BO9310" s="81"/>
      <c r="BP9310" s="81"/>
      <c r="BQ9310" s="81"/>
      <c r="BR9310" s="81"/>
      <c r="BS9310" s="81"/>
      <c r="BT9310" s="81"/>
    </row>
    <row r="9311" spans="65:72" x14ac:dyDescent="0.25">
      <c r="BM9311" s="81"/>
      <c r="BN9311" s="81"/>
      <c r="BO9311" s="81"/>
      <c r="BP9311" s="81"/>
      <c r="BQ9311" s="81"/>
      <c r="BR9311" s="81"/>
      <c r="BS9311" s="81"/>
      <c r="BT9311" s="81"/>
    </row>
    <row r="9312" spans="65:72" x14ac:dyDescent="0.25">
      <c r="BM9312" s="81"/>
      <c r="BN9312" s="81"/>
      <c r="BO9312" s="81"/>
      <c r="BP9312" s="81"/>
      <c r="BQ9312" s="81"/>
      <c r="BR9312" s="81"/>
      <c r="BS9312" s="81"/>
      <c r="BT9312" s="81"/>
    </row>
    <row r="9313" spans="65:72" x14ac:dyDescent="0.25">
      <c r="BM9313" s="81"/>
      <c r="BN9313" s="81"/>
      <c r="BO9313" s="81"/>
      <c r="BP9313" s="81"/>
      <c r="BQ9313" s="81"/>
      <c r="BR9313" s="81"/>
      <c r="BS9313" s="81"/>
      <c r="BT9313" s="81"/>
    </row>
    <row r="9314" spans="65:72" x14ac:dyDescent="0.25">
      <c r="BM9314" s="81"/>
      <c r="BN9314" s="81"/>
      <c r="BO9314" s="81"/>
      <c r="BP9314" s="81"/>
      <c r="BQ9314" s="81"/>
      <c r="BR9314" s="81"/>
      <c r="BS9314" s="81"/>
      <c r="BT9314" s="81"/>
    </row>
    <row r="9315" spans="65:72" x14ac:dyDescent="0.25">
      <c r="BM9315" s="81"/>
      <c r="BN9315" s="81"/>
      <c r="BO9315" s="81"/>
      <c r="BP9315" s="81"/>
      <c r="BQ9315" s="81"/>
      <c r="BR9315" s="81"/>
      <c r="BS9315" s="81"/>
      <c r="BT9315" s="81"/>
    </row>
    <row r="9316" spans="65:72" x14ac:dyDescent="0.25">
      <c r="BM9316" s="81"/>
      <c r="BN9316" s="81"/>
      <c r="BO9316" s="81"/>
      <c r="BP9316" s="81"/>
      <c r="BQ9316" s="81"/>
      <c r="BR9316" s="81"/>
      <c r="BS9316" s="81"/>
      <c r="BT9316" s="81"/>
    </row>
    <row r="9317" spans="65:72" x14ac:dyDescent="0.25">
      <c r="BM9317" s="81"/>
      <c r="BN9317" s="81"/>
      <c r="BO9317" s="81"/>
      <c r="BP9317" s="81"/>
      <c r="BQ9317" s="81"/>
      <c r="BR9317" s="81"/>
      <c r="BS9317" s="81"/>
      <c r="BT9317" s="81"/>
    </row>
    <row r="9318" spans="65:72" x14ac:dyDescent="0.25">
      <c r="BM9318" s="81"/>
      <c r="BN9318" s="81"/>
      <c r="BO9318" s="81"/>
      <c r="BP9318" s="81"/>
      <c r="BQ9318" s="81"/>
      <c r="BR9318" s="81"/>
      <c r="BS9318" s="81"/>
      <c r="BT9318" s="81"/>
    </row>
    <row r="9319" spans="65:72" x14ac:dyDescent="0.25">
      <c r="BM9319" s="81"/>
      <c r="BN9319" s="81"/>
      <c r="BO9319" s="81"/>
      <c r="BP9319" s="81"/>
      <c r="BQ9319" s="81"/>
      <c r="BR9319" s="81"/>
      <c r="BS9319" s="81"/>
      <c r="BT9319" s="81"/>
    </row>
    <row r="9320" spans="65:72" x14ac:dyDescent="0.25">
      <c r="BM9320" s="81"/>
      <c r="BN9320" s="81"/>
      <c r="BO9320" s="81"/>
      <c r="BP9320" s="81"/>
      <c r="BQ9320" s="81"/>
      <c r="BR9320" s="81"/>
      <c r="BS9320" s="81"/>
      <c r="BT9320" s="81"/>
    </row>
    <row r="9321" spans="65:72" x14ac:dyDescent="0.25">
      <c r="BM9321" s="81"/>
      <c r="BN9321" s="81"/>
      <c r="BO9321" s="81"/>
      <c r="BP9321" s="81"/>
      <c r="BQ9321" s="81"/>
      <c r="BR9321" s="81"/>
      <c r="BS9321" s="81"/>
      <c r="BT9321" s="81"/>
    </row>
    <row r="9322" spans="65:72" x14ac:dyDescent="0.25">
      <c r="BM9322" s="81"/>
      <c r="BN9322" s="81"/>
      <c r="BO9322" s="81"/>
      <c r="BP9322" s="81"/>
      <c r="BQ9322" s="81"/>
      <c r="BR9322" s="81"/>
      <c r="BS9322" s="81"/>
      <c r="BT9322" s="81"/>
    </row>
    <row r="9323" spans="65:72" x14ac:dyDescent="0.25">
      <c r="BM9323" s="81"/>
      <c r="BN9323" s="81"/>
      <c r="BO9323" s="81"/>
      <c r="BP9323" s="81"/>
      <c r="BQ9323" s="81"/>
      <c r="BR9323" s="81"/>
      <c r="BS9323" s="81"/>
      <c r="BT9323" s="81"/>
    </row>
    <row r="9324" spans="65:72" x14ac:dyDescent="0.25">
      <c r="BM9324" s="81"/>
      <c r="BN9324" s="81"/>
      <c r="BO9324" s="81"/>
      <c r="BP9324" s="81"/>
      <c r="BQ9324" s="81"/>
      <c r="BR9324" s="81"/>
      <c r="BS9324" s="81"/>
      <c r="BT9324" s="81"/>
    </row>
    <row r="9325" spans="65:72" x14ac:dyDescent="0.25">
      <c r="BM9325" s="81"/>
      <c r="BN9325" s="81"/>
      <c r="BO9325" s="81"/>
      <c r="BP9325" s="81"/>
      <c r="BQ9325" s="81"/>
      <c r="BR9325" s="81"/>
      <c r="BS9325" s="81"/>
      <c r="BT9325" s="81"/>
    </row>
    <row r="9326" spans="65:72" x14ac:dyDescent="0.25">
      <c r="BM9326" s="81"/>
      <c r="BN9326" s="81"/>
      <c r="BO9326" s="81"/>
      <c r="BP9326" s="81"/>
      <c r="BQ9326" s="81"/>
      <c r="BR9326" s="81"/>
      <c r="BS9326" s="81"/>
      <c r="BT9326" s="81"/>
    </row>
    <row r="9327" spans="65:72" x14ac:dyDescent="0.25">
      <c r="BM9327" s="81"/>
      <c r="BN9327" s="81"/>
      <c r="BO9327" s="81"/>
      <c r="BP9327" s="81"/>
      <c r="BQ9327" s="81"/>
      <c r="BR9327" s="81"/>
      <c r="BS9327" s="81"/>
      <c r="BT9327" s="81"/>
    </row>
    <row r="9328" spans="65:72" x14ac:dyDescent="0.25">
      <c r="BM9328" s="81"/>
      <c r="BN9328" s="81"/>
      <c r="BO9328" s="81"/>
      <c r="BP9328" s="81"/>
      <c r="BQ9328" s="81"/>
      <c r="BR9328" s="81"/>
      <c r="BS9328" s="81"/>
      <c r="BT9328" s="81"/>
    </row>
    <row r="9329" spans="65:72" x14ac:dyDescent="0.25">
      <c r="BM9329" s="81"/>
      <c r="BN9329" s="81"/>
      <c r="BO9329" s="81"/>
      <c r="BP9329" s="81"/>
      <c r="BQ9329" s="81"/>
      <c r="BR9329" s="81"/>
      <c r="BS9329" s="81"/>
      <c r="BT9329" s="81"/>
    </row>
    <row r="9330" spans="65:72" x14ac:dyDescent="0.25">
      <c r="BM9330" s="81"/>
      <c r="BN9330" s="81"/>
      <c r="BO9330" s="81"/>
      <c r="BP9330" s="81"/>
      <c r="BQ9330" s="81"/>
      <c r="BR9330" s="81"/>
      <c r="BS9330" s="81"/>
      <c r="BT9330" s="81"/>
    </row>
    <row r="9331" spans="65:72" x14ac:dyDescent="0.25">
      <c r="BM9331" s="81"/>
      <c r="BN9331" s="81"/>
      <c r="BO9331" s="81"/>
      <c r="BP9331" s="81"/>
      <c r="BQ9331" s="81"/>
      <c r="BR9331" s="81"/>
      <c r="BS9331" s="81"/>
      <c r="BT9331" s="81"/>
    </row>
    <row r="9332" spans="65:72" x14ac:dyDescent="0.25">
      <c r="BM9332" s="81"/>
      <c r="BN9332" s="81"/>
      <c r="BO9332" s="81"/>
      <c r="BP9332" s="81"/>
      <c r="BQ9332" s="81"/>
      <c r="BR9332" s="81"/>
      <c r="BS9332" s="81"/>
      <c r="BT9332" s="81"/>
    </row>
    <row r="9333" spans="65:72" x14ac:dyDescent="0.25">
      <c r="BM9333" s="81"/>
      <c r="BN9333" s="81"/>
      <c r="BO9333" s="81"/>
      <c r="BP9333" s="81"/>
      <c r="BQ9333" s="81"/>
      <c r="BR9333" s="81"/>
      <c r="BS9333" s="81"/>
      <c r="BT9333" s="81"/>
    </row>
    <row r="9334" spans="65:72" x14ac:dyDescent="0.25">
      <c r="BM9334" s="81"/>
      <c r="BN9334" s="81"/>
      <c r="BO9334" s="81"/>
      <c r="BP9334" s="81"/>
      <c r="BQ9334" s="81"/>
      <c r="BR9334" s="81"/>
      <c r="BS9334" s="81"/>
      <c r="BT9334" s="81"/>
    </row>
    <row r="9335" spans="65:72" x14ac:dyDescent="0.25">
      <c r="BM9335" s="81"/>
      <c r="BN9335" s="81"/>
      <c r="BO9335" s="81"/>
      <c r="BP9335" s="81"/>
      <c r="BQ9335" s="81"/>
      <c r="BR9335" s="81"/>
      <c r="BS9335" s="81"/>
      <c r="BT9335" s="81"/>
    </row>
    <row r="9336" spans="65:72" x14ac:dyDescent="0.25">
      <c r="BM9336" s="81"/>
      <c r="BN9336" s="81"/>
      <c r="BO9336" s="81"/>
      <c r="BP9336" s="81"/>
      <c r="BQ9336" s="81"/>
      <c r="BR9336" s="81"/>
      <c r="BS9336" s="81"/>
      <c r="BT9336" s="81"/>
    </row>
    <row r="9337" spans="65:72" x14ac:dyDescent="0.25">
      <c r="BM9337" s="81"/>
      <c r="BN9337" s="81"/>
      <c r="BO9337" s="81"/>
      <c r="BP9337" s="81"/>
      <c r="BQ9337" s="81"/>
      <c r="BR9337" s="81"/>
      <c r="BS9337" s="81"/>
      <c r="BT9337" s="81"/>
    </row>
    <row r="9338" spans="65:72" x14ac:dyDescent="0.25">
      <c r="BM9338" s="81"/>
      <c r="BN9338" s="81"/>
      <c r="BO9338" s="81"/>
      <c r="BP9338" s="81"/>
      <c r="BQ9338" s="81"/>
      <c r="BR9338" s="81"/>
      <c r="BS9338" s="81"/>
      <c r="BT9338" s="81"/>
    </row>
    <row r="9339" spans="65:72" x14ac:dyDescent="0.25">
      <c r="BM9339" s="81"/>
      <c r="BN9339" s="81"/>
      <c r="BO9339" s="81"/>
      <c r="BP9339" s="81"/>
      <c r="BQ9339" s="81"/>
      <c r="BR9339" s="81"/>
      <c r="BS9339" s="81"/>
      <c r="BT9339" s="81"/>
    </row>
    <row r="9340" spans="65:72" x14ac:dyDescent="0.25">
      <c r="BM9340" s="81"/>
      <c r="BN9340" s="81"/>
      <c r="BO9340" s="81"/>
      <c r="BP9340" s="81"/>
      <c r="BQ9340" s="81"/>
      <c r="BR9340" s="81"/>
      <c r="BS9340" s="81"/>
      <c r="BT9340" s="81"/>
    </row>
    <row r="9341" spans="65:72" x14ac:dyDescent="0.25">
      <c r="BM9341" s="81"/>
      <c r="BN9341" s="81"/>
      <c r="BO9341" s="81"/>
      <c r="BP9341" s="81"/>
      <c r="BQ9341" s="81"/>
      <c r="BR9341" s="81"/>
      <c r="BS9341" s="81"/>
      <c r="BT9341" s="81"/>
    </row>
    <row r="9342" spans="65:72" x14ac:dyDescent="0.25">
      <c r="BM9342" s="81"/>
      <c r="BN9342" s="81"/>
      <c r="BO9342" s="81"/>
      <c r="BP9342" s="81"/>
      <c r="BQ9342" s="81"/>
      <c r="BR9342" s="81"/>
      <c r="BS9342" s="81"/>
      <c r="BT9342" s="81"/>
    </row>
    <row r="9343" spans="65:72" x14ac:dyDescent="0.25">
      <c r="BM9343" s="81"/>
      <c r="BN9343" s="81"/>
      <c r="BO9343" s="81"/>
      <c r="BP9343" s="81"/>
      <c r="BQ9343" s="81"/>
      <c r="BR9343" s="81"/>
      <c r="BS9343" s="81"/>
      <c r="BT9343" s="81"/>
    </row>
    <row r="9344" spans="65:72" x14ac:dyDescent="0.25">
      <c r="BM9344" s="81"/>
      <c r="BN9344" s="81"/>
      <c r="BO9344" s="81"/>
      <c r="BP9344" s="81"/>
      <c r="BQ9344" s="81"/>
      <c r="BR9344" s="81"/>
      <c r="BS9344" s="81"/>
      <c r="BT9344" s="81"/>
    </row>
    <row r="9345" spans="65:72" x14ac:dyDescent="0.25">
      <c r="BM9345" s="81"/>
      <c r="BN9345" s="81"/>
      <c r="BO9345" s="81"/>
      <c r="BP9345" s="81"/>
      <c r="BQ9345" s="81"/>
      <c r="BR9345" s="81"/>
      <c r="BS9345" s="81"/>
      <c r="BT9345" s="81"/>
    </row>
    <row r="9346" spans="65:72" x14ac:dyDescent="0.25">
      <c r="BM9346" s="81"/>
      <c r="BN9346" s="81"/>
      <c r="BO9346" s="81"/>
      <c r="BP9346" s="81"/>
      <c r="BQ9346" s="81"/>
      <c r="BR9346" s="81"/>
      <c r="BS9346" s="81"/>
      <c r="BT9346" s="81"/>
    </row>
    <row r="9347" spans="65:72" x14ac:dyDescent="0.25">
      <c r="BM9347" s="81"/>
      <c r="BN9347" s="81"/>
      <c r="BO9347" s="81"/>
      <c r="BP9347" s="81"/>
      <c r="BQ9347" s="81"/>
      <c r="BR9347" s="81"/>
      <c r="BS9347" s="81"/>
      <c r="BT9347" s="81"/>
    </row>
    <row r="9348" spans="65:72" x14ac:dyDescent="0.25">
      <c r="BM9348" s="81"/>
      <c r="BN9348" s="81"/>
      <c r="BO9348" s="81"/>
      <c r="BP9348" s="81"/>
      <c r="BQ9348" s="81"/>
      <c r="BR9348" s="81"/>
      <c r="BS9348" s="81"/>
      <c r="BT9348" s="81"/>
    </row>
    <row r="9349" spans="65:72" x14ac:dyDescent="0.25">
      <c r="BM9349" s="81"/>
      <c r="BN9349" s="81"/>
      <c r="BO9349" s="81"/>
      <c r="BP9349" s="81"/>
      <c r="BQ9349" s="81"/>
      <c r="BR9349" s="81"/>
      <c r="BS9349" s="81"/>
      <c r="BT9349" s="81"/>
    </row>
    <row r="9350" spans="65:72" x14ac:dyDescent="0.25">
      <c r="BM9350" s="81"/>
      <c r="BN9350" s="81"/>
      <c r="BO9350" s="81"/>
      <c r="BP9350" s="81"/>
      <c r="BQ9350" s="81"/>
      <c r="BR9350" s="81"/>
      <c r="BS9350" s="81"/>
      <c r="BT9350" s="81"/>
    </row>
    <row r="9351" spans="65:72" x14ac:dyDescent="0.25">
      <c r="BM9351" s="81"/>
      <c r="BN9351" s="81"/>
      <c r="BO9351" s="81"/>
      <c r="BP9351" s="81"/>
      <c r="BQ9351" s="81"/>
      <c r="BR9351" s="81"/>
      <c r="BS9351" s="81"/>
      <c r="BT9351" s="81"/>
    </row>
    <row r="9352" spans="65:72" x14ac:dyDescent="0.25">
      <c r="BM9352" s="81"/>
      <c r="BN9352" s="81"/>
      <c r="BO9352" s="81"/>
      <c r="BP9352" s="81"/>
      <c r="BQ9352" s="81"/>
      <c r="BR9352" s="81"/>
      <c r="BS9352" s="81"/>
      <c r="BT9352" s="81"/>
    </row>
    <row r="9353" spans="65:72" x14ac:dyDescent="0.25">
      <c r="BM9353" s="81"/>
      <c r="BN9353" s="81"/>
      <c r="BO9353" s="81"/>
      <c r="BP9353" s="81"/>
      <c r="BQ9353" s="81"/>
      <c r="BR9353" s="81"/>
      <c r="BS9353" s="81"/>
      <c r="BT9353" s="81"/>
    </row>
    <row r="9354" spans="65:72" x14ac:dyDescent="0.25">
      <c r="BM9354" s="81"/>
      <c r="BN9354" s="81"/>
      <c r="BO9354" s="81"/>
      <c r="BP9354" s="81"/>
      <c r="BQ9354" s="81"/>
      <c r="BR9354" s="81"/>
      <c r="BS9354" s="81"/>
      <c r="BT9354" s="81"/>
    </row>
    <row r="9355" spans="65:72" x14ac:dyDescent="0.25">
      <c r="BM9355" s="81"/>
      <c r="BN9355" s="81"/>
      <c r="BO9355" s="81"/>
      <c r="BP9355" s="81"/>
      <c r="BQ9355" s="81"/>
      <c r="BR9355" s="81"/>
      <c r="BS9355" s="81"/>
      <c r="BT9355" s="81"/>
    </row>
    <row r="9356" spans="65:72" x14ac:dyDescent="0.25">
      <c r="BM9356" s="81"/>
      <c r="BN9356" s="81"/>
      <c r="BO9356" s="81"/>
      <c r="BP9356" s="81"/>
      <c r="BQ9356" s="81"/>
      <c r="BR9356" s="81"/>
      <c r="BS9356" s="81"/>
      <c r="BT9356" s="81"/>
    </row>
    <row r="9357" spans="65:72" x14ac:dyDescent="0.25">
      <c r="BM9357" s="81"/>
      <c r="BN9357" s="81"/>
      <c r="BO9357" s="81"/>
      <c r="BP9357" s="81"/>
      <c r="BQ9357" s="81"/>
      <c r="BR9357" s="81"/>
      <c r="BS9357" s="81"/>
      <c r="BT9357" s="81"/>
    </row>
    <row r="9358" spans="65:72" x14ac:dyDescent="0.25">
      <c r="BM9358" s="81"/>
      <c r="BN9358" s="81"/>
      <c r="BO9358" s="81"/>
      <c r="BP9358" s="81"/>
      <c r="BQ9358" s="81"/>
      <c r="BR9358" s="81"/>
      <c r="BS9358" s="81"/>
      <c r="BT9358" s="81"/>
    </row>
    <row r="9359" spans="65:72" x14ac:dyDescent="0.25">
      <c r="BM9359" s="81"/>
      <c r="BN9359" s="81"/>
      <c r="BO9359" s="81"/>
      <c r="BP9359" s="81"/>
      <c r="BQ9359" s="81"/>
      <c r="BR9359" s="81"/>
      <c r="BS9359" s="81"/>
      <c r="BT9359" s="81"/>
    </row>
    <row r="9360" spans="65:72" x14ac:dyDescent="0.25">
      <c r="BM9360" s="81"/>
      <c r="BN9360" s="81"/>
      <c r="BO9360" s="81"/>
      <c r="BP9360" s="81"/>
      <c r="BQ9360" s="81"/>
      <c r="BR9360" s="81"/>
      <c r="BS9360" s="81"/>
      <c r="BT9360" s="81"/>
    </row>
    <row r="9361" spans="65:72" x14ac:dyDescent="0.25">
      <c r="BM9361" s="81"/>
      <c r="BN9361" s="81"/>
      <c r="BO9361" s="81"/>
      <c r="BP9361" s="81"/>
      <c r="BQ9361" s="81"/>
      <c r="BR9361" s="81"/>
      <c r="BS9361" s="81"/>
      <c r="BT9361" s="81"/>
    </row>
    <row r="9362" spans="65:72" x14ac:dyDescent="0.25">
      <c r="BM9362" s="81"/>
      <c r="BN9362" s="81"/>
      <c r="BO9362" s="81"/>
      <c r="BP9362" s="81"/>
      <c r="BQ9362" s="81"/>
      <c r="BR9362" s="81"/>
      <c r="BS9362" s="81"/>
      <c r="BT9362" s="81"/>
    </row>
    <row r="9363" spans="65:72" x14ac:dyDescent="0.25">
      <c r="BM9363" s="81"/>
      <c r="BN9363" s="81"/>
      <c r="BO9363" s="81"/>
      <c r="BP9363" s="81"/>
      <c r="BQ9363" s="81"/>
      <c r="BR9363" s="81"/>
      <c r="BS9363" s="81"/>
      <c r="BT9363" s="81"/>
    </row>
    <row r="9364" spans="65:72" x14ac:dyDescent="0.25">
      <c r="BM9364" s="81"/>
      <c r="BN9364" s="81"/>
      <c r="BO9364" s="81"/>
      <c r="BP9364" s="81"/>
      <c r="BQ9364" s="81"/>
      <c r="BR9364" s="81"/>
      <c r="BS9364" s="81"/>
      <c r="BT9364" s="81"/>
    </row>
    <row r="9365" spans="65:72" x14ac:dyDescent="0.25">
      <c r="BM9365" s="81"/>
      <c r="BN9365" s="81"/>
      <c r="BO9365" s="81"/>
      <c r="BP9365" s="81"/>
      <c r="BQ9365" s="81"/>
      <c r="BR9365" s="81"/>
      <c r="BS9365" s="81"/>
      <c r="BT9365" s="81"/>
    </row>
    <row r="9366" spans="65:72" x14ac:dyDescent="0.25">
      <c r="BM9366" s="81"/>
      <c r="BN9366" s="81"/>
      <c r="BO9366" s="81"/>
      <c r="BP9366" s="81"/>
      <c r="BQ9366" s="81"/>
      <c r="BR9366" s="81"/>
      <c r="BS9366" s="81"/>
      <c r="BT9366" s="81"/>
    </row>
    <row r="9367" spans="65:72" x14ac:dyDescent="0.25">
      <c r="BM9367" s="81"/>
      <c r="BN9367" s="81"/>
      <c r="BO9367" s="81"/>
      <c r="BP9367" s="81"/>
      <c r="BQ9367" s="81"/>
      <c r="BR9367" s="81"/>
      <c r="BS9367" s="81"/>
      <c r="BT9367" s="81"/>
    </row>
    <row r="9368" spans="65:72" x14ac:dyDescent="0.25">
      <c r="BM9368" s="81"/>
      <c r="BN9368" s="81"/>
      <c r="BO9368" s="81"/>
      <c r="BP9368" s="81"/>
      <c r="BQ9368" s="81"/>
      <c r="BR9368" s="81"/>
      <c r="BS9368" s="81"/>
      <c r="BT9368" s="81"/>
    </row>
    <row r="9369" spans="65:72" x14ac:dyDescent="0.25">
      <c r="BM9369" s="81"/>
      <c r="BN9369" s="81"/>
      <c r="BO9369" s="81"/>
      <c r="BP9369" s="81"/>
      <c r="BQ9369" s="81"/>
      <c r="BR9369" s="81"/>
      <c r="BS9369" s="81"/>
      <c r="BT9369" s="81"/>
    </row>
    <row r="9370" spans="65:72" x14ac:dyDescent="0.25">
      <c r="BM9370" s="81"/>
      <c r="BN9370" s="81"/>
      <c r="BO9370" s="81"/>
      <c r="BP9370" s="81"/>
      <c r="BQ9370" s="81"/>
      <c r="BR9370" s="81"/>
      <c r="BS9370" s="81"/>
      <c r="BT9370" s="81"/>
    </row>
    <row r="9371" spans="65:72" x14ac:dyDescent="0.25">
      <c r="BM9371" s="81"/>
      <c r="BN9371" s="81"/>
      <c r="BO9371" s="81"/>
      <c r="BP9371" s="81"/>
      <c r="BQ9371" s="81"/>
      <c r="BR9371" s="81"/>
      <c r="BS9371" s="81"/>
      <c r="BT9371" s="81"/>
    </row>
    <row r="9372" spans="65:72" x14ac:dyDescent="0.25">
      <c r="BM9372" s="81"/>
      <c r="BN9372" s="81"/>
      <c r="BO9372" s="81"/>
      <c r="BP9372" s="81"/>
      <c r="BQ9372" s="81"/>
      <c r="BR9372" s="81"/>
      <c r="BS9372" s="81"/>
      <c r="BT9372" s="81"/>
    </row>
    <row r="9373" spans="65:72" x14ac:dyDescent="0.25">
      <c r="BM9373" s="81"/>
      <c r="BN9373" s="81"/>
      <c r="BO9373" s="81"/>
      <c r="BP9373" s="81"/>
      <c r="BQ9373" s="81"/>
      <c r="BR9373" s="81"/>
      <c r="BS9373" s="81"/>
      <c r="BT9373" s="81"/>
    </row>
    <row r="9374" spans="65:72" x14ac:dyDescent="0.25">
      <c r="BM9374" s="81"/>
      <c r="BN9374" s="81"/>
      <c r="BO9374" s="81"/>
      <c r="BP9374" s="81"/>
      <c r="BQ9374" s="81"/>
      <c r="BR9374" s="81"/>
      <c r="BS9374" s="81"/>
      <c r="BT9374" s="81"/>
    </row>
    <row r="9375" spans="65:72" x14ac:dyDescent="0.25">
      <c r="BM9375" s="81"/>
      <c r="BN9375" s="81"/>
      <c r="BO9375" s="81"/>
      <c r="BP9375" s="81"/>
      <c r="BQ9375" s="81"/>
      <c r="BR9375" s="81"/>
      <c r="BS9375" s="81"/>
      <c r="BT9375" s="81"/>
    </row>
    <row r="9376" spans="65:72" x14ac:dyDescent="0.25">
      <c r="BM9376" s="81"/>
      <c r="BN9376" s="81"/>
      <c r="BO9376" s="81"/>
      <c r="BP9376" s="81"/>
      <c r="BQ9376" s="81"/>
      <c r="BR9376" s="81"/>
      <c r="BS9376" s="81"/>
      <c r="BT9376" s="81"/>
    </row>
    <row r="9377" spans="65:72" x14ac:dyDescent="0.25">
      <c r="BM9377" s="81"/>
      <c r="BN9377" s="81"/>
      <c r="BO9377" s="81"/>
      <c r="BP9377" s="81"/>
      <c r="BQ9377" s="81"/>
      <c r="BR9377" s="81"/>
      <c r="BS9377" s="81"/>
      <c r="BT9377" s="81"/>
    </row>
    <row r="9378" spans="65:72" x14ac:dyDescent="0.25">
      <c r="BM9378" s="81"/>
      <c r="BN9378" s="81"/>
      <c r="BO9378" s="81"/>
      <c r="BP9378" s="81"/>
      <c r="BQ9378" s="81"/>
      <c r="BR9378" s="81"/>
      <c r="BS9378" s="81"/>
      <c r="BT9378" s="81"/>
    </row>
    <row r="9379" spans="65:72" x14ac:dyDescent="0.25">
      <c r="BM9379" s="81"/>
      <c r="BN9379" s="81"/>
      <c r="BO9379" s="81"/>
      <c r="BP9379" s="81"/>
      <c r="BQ9379" s="81"/>
      <c r="BR9379" s="81"/>
      <c r="BS9379" s="81"/>
      <c r="BT9379" s="81"/>
    </row>
    <row r="9380" spans="65:72" x14ac:dyDescent="0.25">
      <c r="BM9380" s="81"/>
      <c r="BN9380" s="81"/>
      <c r="BO9380" s="81"/>
      <c r="BP9380" s="81"/>
      <c r="BQ9380" s="81"/>
      <c r="BR9380" s="81"/>
      <c r="BS9380" s="81"/>
      <c r="BT9380" s="81"/>
    </row>
    <row r="9381" spans="65:72" x14ac:dyDescent="0.25">
      <c r="BM9381" s="81"/>
      <c r="BN9381" s="81"/>
      <c r="BO9381" s="81"/>
      <c r="BP9381" s="81"/>
      <c r="BQ9381" s="81"/>
      <c r="BR9381" s="81"/>
      <c r="BS9381" s="81"/>
      <c r="BT9381" s="81"/>
    </row>
    <row r="9382" spans="65:72" x14ac:dyDescent="0.25">
      <c r="BM9382" s="81"/>
      <c r="BN9382" s="81"/>
      <c r="BO9382" s="81"/>
      <c r="BP9382" s="81"/>
      <c r="BQ9382" s="81"/>
      <c r="BR9382" s="81"/>
      <c r="BS9382" s="81"/>
      <c r="BT9382" s="81"/>
    </row>
    <row r="9383" spans="65:72" x14ac:dyDescent="0.25">
      <c r="BM9383" s="81"/>
      <c r="BN9383" s="81"/>
      <c r="BO9383" s="81"/>
      <c r="BP9383" s="81"/>
      <c r="BQ9383" s="81"/>
      <c r="BR9383" s="81"/>
      <c r="BS9383" s="81"/>
      <c r="BT9383" s="81"/>
    </row>
    <row r="9384" spans="65:72" x14ac:dyDescent="0.25">
      <c r="BM9384" s="81"/>
      <c r="BN9384" s="81"/>
      <c r="BO9384" s="81"/>
      <c r="BP9384" s="81"/>
      <c r="BQ9384" s="81"/>
      <c r="BR9384" s="81"/>
      <c r="BS9384" s="81"/>
      <c r="BT9384" s="81"/>
    </row>
    <row r="9385" spans="65:72" x14ac:dyDescent="0.25">
      <c r="BM9385" s="81"/>
      <c r="BN9385" s="81"/>
      <c r="BO9385" s="81"/>
      <c r="BP9385" s="81"/>
      <c r="BQ9385" s="81"/>
      <c r="BR9385" s="81"/>
      <c r="BS9385" s="81"/>
      <c r="BT9385" s="81"/>
    </row>
    <row r="9386" spans="65:72" x14ac:dyDescent="0.25">
      <c r="BM9386" s="81"/>
      <c r="BN9386" s="81"/>
      <c r="BO9386" s="81"/>
      <c r="BP9386" s="81"/>
      <c r="BQ9386" s="81"/>
      <c r="BR9386" s="81"/>
      <c r="BS9386" s="81"/>
      <c r="BT9386" s="81"/>
    </row>
    <row r="9387" spans="65:72" x14ac:dyDescent="0.25">
      <c r="BM9387" s="81"/>
      <c r="BN9387" s="81"/>
      <c r="BO9387" s="81"/>
      <c r="BP9387" s="81"/>
      <c r="BQ9387" s="81"/>
      <c r="BR9387" s="81"/>
      <c r="BS9387" s="81"/>
      <c r="BT9387" s="81"/>
    </row>
    <row r="9388" spans="65:72" x14ac:dyDescent="0.25">
      <c r="BM9388" s="81"/>
      <c r="BN9388" s="81"/>
      <c r="BO9388" s="81"/>
      <c r="BP9388" s="81"/>
      <c r="BQ9388" s="81"/>
      <c r="BR9388" s="81"/>
      <c r="BS9388" s="81"/>
      <c r="BT9388" s="81"/>
    </row>
    <row r="9389" spans="65:72" x14ac:dyDescent="0.25">
      <c r="BM9389" s="81"/>
      <c r="BN9389" s="81"/>
      <c r="BO9389" s="81"/>
      <c r="BP9389" s="81"/>
      <c r="BQ9389" s="81"/>
      <c r="BR9389" s="81"/>
      <c r="BS9389" s="81"/>
      <c r="BT9389" s="81"/>
    </row>
    <row r="9390" spans="65:72" x14ac:dyDescent="0.25">
      <c r="BM9390" s="81"/>
      <c r="BN9390" s="81"/>
      <c r="BO9390" s="81"/>
      <c r="BP9390" s="81"/>
      <c r="BQ9390" s="81"/>
      <c r="BR9390" s="81"/>
      <c r="BS9390" s="81"/>
      <c r="BT9390" s="81"/>
    </row>
    <row r="9391" spans="65:72" x14ac:dyDescent="0.25">
      <c r="BM9391" s="81"/>
      <c r="BN9391" s="81"/>
      <c r="BO9391" s="81"/>
      <c r="BP9391" s="81"/>
      <c r="BQ9391" s="81"/>
      <c r="BR9391" s="81"/>
      <c r="BS9391" s="81"/>
      <c r="BT9391" s="81"/>
    </row>
    <row r="9392" spans="65:72" x14ac:dyDescent="0.25">
      <c r="BM9392" s="81"/>
      <c r="BN9392" s="81"/>
      <c r="BO9392" s="81"/>
      <c r="BP9392" s="81"/>
      <c r="BQ9392" s="81"/>
      <c r="BR9392" s="81"/>
      <c r="BS9392" s="81"/>
      <c r="BT9392" s="81"/>
    </row>
    <row r="9393" spans="65:72" x14ac:dyDescent="0.25">
      <c r="BM9393" s="81"/>
      <c r="BN9393" s="81"/>
      <c r="BO9393" s="81"/>
      <c r="BP9393" s="81"/>
      <c r="BQ9393" s="81"/>
      <c r="BR9393" s="81"/>
      <c r="BS9393" s="81"/>
      <c r="BT9393" s="81"/>
    </row>
    <row r="9394" spans="65:72" x14ac:dyDescent="0.25">
      <c r="BM9394" s="81"/>
      <c r="BN9394" s="81"/>
      <c r="BO9394" s="81"/>
      <c r="BP9394" s="81"/>
      <c r="BQ9394" s="81"/>
      <c r="BR9394" s="81"/>
      <c r="BS9394" s="81"/>
      <c r="BT9394" s="81"/>
    </row>
    <row r="9395" spans="65:72" x14ac:dyDescent="0.25">
      <c r="BM9395" s="81"/>
      <c r="BN9395" s="81"/>
      <c r="BO9395" s="81"/>
      <c r="BP9395" s="81"/>
      <c r="BQ9395" s="81"/>
      <c r="BR9395" s="81"/>
      <c r="BS9395" s="81"/>
      <c r="BT9395" s="81"/>
    </row>
    <row r="9396" spans="65:72" x14ac:dyDescent="0.25">
      <c r="BM9396" s="81"/>
      <c r="BN9396" s="81"/>
      <c r="BO9396" s="81"/>
      <c r="BP9396" s="81"/>
      <c r="BQ9396" s="81"/>
      <c r="BR9396" s="81"/>
      <c r="BS9396" s="81"/>
      <c r="BT9396" s="81"/>
    </row>
    <row r="9397" spans="65:72" x14ac:dyDescent="0.25">
      <c r="BM9397" s="81"/>
      <c r="BN9397" s="81"/>
      <c r="BO9397" s="81"/>
      <c r="BP9397" s="81"/>
      <c r="BQ9397" s="81"/>
      <c r="BR9397" s="81"/>
      <c r="BS9397" s="81"/>
      <c r="BT9397" s="81"/>
    </row>
    <row r="9398" spans="65:72" x14ac:dyDescent="0.25">
      <c r="BM9398" s="81"/>
      <c r="BN9398" s="81"/>
      <c r="BO9398" s="81"/>
      <c r="BP9398" s="81"/>
      <c r="BQ9398" s="81"/>
      <c r="BR9398" s="81"/>
      <c r="BS9398" s="81"/>
      <c r="BT9398" s="81"/>
    </row>
    <row r="9399" spans="65:72" x14ac:dyDescent="0.25">
      <c r="BM9399" s="81"/>
      <c r="BN9399" s="81"/>
      <c r="BO9399" s="81"/>
      <c r="BP9399" s="81"/>
      <c r="BQ9399" s="81"/>
      <c r="BR9399" s="81"/>
      <c r="BS9399" s="81"/>
      <c r="BT9399" s="81"/>
    </row>
    <row r="9400" spans="65:72" x14ac:dyDescent="0.25">
      <c r="BM9400" s="81"/>
      <c r="BN9400" s="81"/>
      <c r="BO9400" s="81"/>
      <c r="BP9400" s="81"/>
      <c r="BQ9400" s="81"/>
      <c r="BR9400" s="81"/>
      <c r="BS9400" s="81"/>
      <c r="BT9400" s="81"/>
    </row>
    <row r="9401" spans="65:72" x14ac:dyDescent="0.25">
      <c r="BM9401" s="81"/>
      <c r="BN9401" s="81"/>
      <c r="BO9401" s="81"/>
      <c r="BP9401" s="81"/>
      <c r="BQ9401" s="81"/>
      <c r="BR9401" s="81"/>
      <c r="BS9401" s="81"/>
      <c r="BT9401" s="81"/>
    </row>
    <row r="9402" spans="65:72" x14ac:dyDescent="0.25">
      <c r="BM9402" s="81"/>
      <c r="BN9402" s="81"/>
      <c r="BO9402" s="81"/>
      <c r="BP9402" s="81"/>
      <c r="BQ9402" s="81"/>
      <c r="BR9402" s="81"/>
      <c r="BS9402" s="81"/>
      <c r="BT9402" s="81"/>
    </row>
    <row r="9403" spans="65:72" x14ac:dyDescent="0.25">
      <c r="BM9403" s="81"/>
      <c r="BN9403" s="81"/>
      <c r="BO9403" s="81"/>
      <c r="BP9403" s="81"/>
      <c r="BQ9403" s="81"/>
      <c r="BR9403" s="81"/>
      <c r="BS9403" s="81"/>
      <c r="BT9403" s="81"/>
    </row>
    <row r="9404" spans="65:72" x14ac:dyDescent="0.25">
      <c r="BM9404" s="81"/>
      <c r="BN9404" s="81"/>
      <c r="BO9404" s="81"/>
      <c r="BP9404" s="81"/>
      <c r="BQ9404" s="81"/>
      <c r="BR9404" s="81"/>
      <c r="BS9404" s="81"/>
      <c r="BT9404" s="81"/>
    </row>
    <row r="9405" spans="65:72" x14ac:dyDescent="0.25">
      <c r="BM9405" s="81"/>
      <c r="BN9405" s="81"/>
      <c r="BO9405" s="81"/>
      <c r="BP9405" s="81"/>
      <c r="BQ9405" s="81"/>
      <c r="BR9405" s="81"/>
      <c r="BS9405" s="81"/>
      <c r="BT9405" s="81"/>
    </row>
    <row r="9406" spans="65:72" x14ac:dyDescent="0.25">
      <c r="BM9406" s="81"/>
      <c r="BN9406" s="81"/>
      <c r="BO9406" s="81"/>
      <c r="BP9406" s="81"/>
      <c r="BQ9406" s="81"/>
      <c r="BR9406" s="81"/>
      <c r="BS9406" s="81"/>
      <c r="BT9406" s="81"/>
    </row>
    <row r="9407" spans="65:72" x14ac:dyDescent="0.25">
      <c r="BM9407" s="81"/>
      <c r="BN9407" s="81"/>
      <c r="BO9407" s="81"/>
      <c r="BP9407" s="81"/>
      <c r="BQ9407" s="81"/>
      <c r="BR9407" s="81"/>
      <c r="BS9407" s="81"/>
      <c r="BT9407" s="81"/>
    </row>
    <row r="9408" spans="65:72" x14ac:dyDescent="0.25">
      <c r="BM9408" s="81"/>
      <c r="BN9408" s="81"/>
      <c r="BO9408" s="81"/>
      <c r="BP9408" s="81"/>
      <c r="BQ9408" s="81"/>
      <c r="BR9408" s="81"/>
      <c r="BS9408" s="81"/>
      <c r="BT9408" s="81"/>
    </row>
    <row r="9409" spans="65:72" x14ac:dyDescent="0.25">
      <c r="BM9409" s="81"/>
      <c r="BN9409" s="81"/>
      <c r="BO9409" s="81"/>
      <c r="BP9409" s="81"/>
      <c r="BQ9409" s="81"/>
      <c r="BR9409" s="81"/>
      <c r="BS9409" s="81"/>
      <c r="BT9409" s="81"/>
    </row>
    <row r="9410" spans="65:72" x14ac:dyDescent="0.25">
      <c r="BM9410" s="81"/>
      <c r="BN9410" s="81"/>
      <c r="BO9410" s="81"/>
      <c r="BP9410" s="81"/>
      <c r="BQ9410" s="81"/>
      <c r="BR9410" s="81"/>
      <c r="BS9410" s="81"/>
      <c r="BT9410" s="81"/>
    </row>
    <row r="9411" spans="65:72" x14ac:dyDescent="0.25">
      <c r="BM9411" s="81"/>
      <c r="BN9411" s="81"/>
      <c r="BO9411" s="81"/>
      <c r="BP9411" s="81"/>
      <c r="BQ9411" s="81"/>
      <c r="BR9411" s="81"/>
      <c r="BS9411" s="81"/>
      <c r="BT9411" s="81"/>
    </row>
    <row r="9412" spans="65:72" x14ac:dyDescent="0.25">
      <c r="BM9412" s="81"/>
      <c r="BN9412" s="81"/>
      <c r="BO9412" s="81"/>
      <c r="BP9412" s="81"/>
      <c r="BQ9412" s="81"/>
      <c r="BR9412" s="81"/>
      <c r="BS9412" s="81"/>
      <c r="BT9412" s="81"/>
    </row>
    <row r="9413" spans="65:72" x14ac:dyDescent="0.25">
      <c r="BM9413" s="81"/>
      <c r="BN9413" s="81"/>
      <c r="BO9413" s="81"/>
      <c r="BP9413" s="81"/>
      <c r="BQ9413" s="81"/>
      <c r="BR9413" s="81"/>
      <c r="BS9413" s="81"/>
      <c r="BT9413" s="81"/>
    </row>
    <row r="9414" spans="65:72" x14ac:dyDescent="0.25">
      <c r="BM9414" s="81"/>
      <c r="BN9414" s="81"/>
      <c r="BO9414" s="81"/>
      <c r="BP9414" s="81"/>
      <c r="BQ9414" s="81"/>
      <c r="BR9414" s="81"/>
      <c r="BS9414" s="81"/>
      <c r="BT9414" s="81"/>
    </row>
    <row r="9415" spans="65:72" x14ac:dyDescent="0.25">
      <c r="BM9415" s="81"/>
      <c r="BN9415" s="81"/>
      <c r="BO9415" s="81"/>
      <c r="BP9415" s="81"/>
      <c r="BQ9415" s="81"/>
      <c r="BR9415" s="81"/>
      <c r="BS9415" s="81"/>
      <c r="BT9415" s="81"/>
    </row>
    <row r="9416" spans="65:72" x14ac:dyDescent="0.25">
      <c r="BM9416" s="81"/>
      <c r="BN9416" s="81"/>
      <c r="BO9416" s="81"/>
      <c r="BP9416" s="81"/>
      <c r="BQ9416" s="81"/>
      <c r="BR9416" s="81"/>
      <c r="BS9416" s="81"/>
      <c r="BT9416" s="81"/>
    </row>
    <row r="9417" spans="65:72" x14ac:dyDescent="0.25">
      <c r="BM9417" s="81"/>
      <c r="BN9417" s="81"/>
      <c r="BO9417" s="81"/>
      <c r="BP9417" s="81"/>
      <c r="BQ9417" s="81"/>
      <c r="BR9417" s="81"/>
      <c r="BS9417" s="81"/>
      <c r="BT9417" s="81"/>
    </row>
    <row r="9418" spans="65:72" x14ac:dyDescent="0.25">
      <c r="BM9418" s="81"/>
      <c r="BN9418" s="81"/>
      <c r="BO9418" s="81"/>
      <c r="BP9418" s="81"/>
      <c r="BQ9418" s="81"/>
      <c r="BR9418" s="81"/>
      <c r="BS9418" s="81"/>
      <c r="BT9418" s="81"/>
    </row>
    <row r="9419" spans="65:72" x14ac:dyDescent="0.25">
      <c r="BM9419" s="81"/>
      <c r="BN9419" s="81"/>
      <c r="BO9419" s="81"/>
      <c r="BP9419" s="81"/>
      <c r="BQ9419" s="81"/>
      <c r="BR9419" s="81"/>
      <c r="BS9419" s="81"/>
      <c r="BT9419" s="81"/>
    </row>
    <row r="9420" spans="65:72" x14ac:dyDescent="0.25">
      <c r="BM9420" s="81"/>
      <c r="BN9420" s="81"/>
      <c r="BO9420" s="81"/>
      <c r="BP9420" s="81"/>
      <c r="BQ9420" s="81"/>
      <c r="BR9420" s="81"/>
      <c r="BS9420" s="81"/>
      <c r="BT9420" s="81"/>
    </row>
    <row r="9421" spans="65:72" x14ac:dyDescent="0.25">
      <c r="BM9421" s="81"/>
      <c r="BN9421" s="81"/>
      <c r="BO9421" s="81"/>
      <c r="BP9421" s="81"/>
      <c r="BQ9421" s="81"/>
      <c r="BR9421" s="81"/>
      <c r="BS9421" s="81"/>
      <c r="BT9421" s="81"/>
    </row>
    <row r="9422" spans="65:72" x14ac:dyDescent="0.25">
      <c r="BM9422" s="81"/>
      <c r="BN9422" s="81"/>
      <c r="BO9422" s="81"/>
      <c r="BP9422" s="81"/>
      <c r="BQ9422" s="81"/>
      <c r="BR9422" s="81"/>
      <c r="BS9422" s="81"/>
      <c r="BT9422" s="81"/>
    </row>
    <row r="9423" spans="65:72" x14ac:dyDescent="0.25">
      <c r="BM9423" s="81"/>
      <c r="BN9423" s="81"/>
      <c r="BO9423" s="81"/>
      <c r="BP9423" s="81"/>
      <c r="BQ9423" s="81"/>
      <c r="BR9423" s="81"/>
      <c r="BS9423" s="81"/>
      <c r="BT9423" s="81"/>
    </row>
    <row r="9424" spans="65:72" x14ac:dyDescent="0.25">
      <c r="BM9424" s="81"/>
      <c r="BN9424" s="81"/>
      <c r="BO9424" s="81"/>
      <c r="BP9424" s="81"/>
      <c r="BQ9424" s="81"/>
      <c r="BR9424" s="81"/>
      <c r="BS9424" s="81"/>
      <c r="BT9424" s="81"/>
    </row>
    <row r="9425" spans="65:72" x14ac:dyDescent="0.25">
      <c r="BM9425" s="81"/>
      <c r="BN9425" s="81"/>
      <c r="BO9425" s="81"/>
      <c r="BP9425" s="81"/>
      <c r="BQ9425" s="81"/>
      <c r="BR9425" s="81"/>
      <c r="BS9425" s="81"/>
      <c r="BT9425" s="81"/>
    </row>
    <row r="9426" spans="65:72" x14ac:dyDescent="0.25">
      <c r="BM9426" s="81"/>
      <c r="BN9426" s="81"/>
      <c r="BO9426" s="81"/>
      <c r="BP9426" s="81"/>
      <c r="BQ9426" s="81"/>
      <c r="BR9426" s="81"/>
      <c r="BS9426" s="81"/>
      <c r="BT9426" s="81"/>
    </row>
    <row r="9427" spans="65:72" x14ac:dyDescent="0.25">
      <c r="BM9427" s="81"/>
      <c r="BN9427" s="81"/>
      <c r="BO9427" s="81"/>
      <c r="BP9427" s="81"/>
      <c r="BQ9427" s="81"/>
      <c r="BR9427" s="81"/>
      <c r="BS9427" s="81"/>
      <c r="BT9427" s="81"/>
    </row>
    <row r="9428" spans="65:72" x14ac:dyDescent="0.25">
      <c r="BM9428" s="81"/>
      <c r="BN9428" s="81"/>
      <c r="BO9428" s="81"/>
      <c r="BP9428" s="81"/>
      <c r="BQ9428" s="81"/>
      <c r="BR9428" s="81"/>
      <c r="BS9428" s="81"/>
      <c r="BT9428" s="81"/>
    </row>
    <row r="9429" spans="65:72" x14ac:dyDescent="0.25">
      <c r="BM9429" s="81"/>
      <c r="BN9429" s="81"/>
      <c r="BO9429" s="81"/>
      <c r="BP9429" s="81"/>
      <c r="BQ9429" s="81"/>
      <c r="BR9429" s="81"/>
      <c r="BS9429" s="81"/>
      <c r="BT9429" s="81"/>
    </row>
    <row r="9430" spans="65:72" x14ac:dyDescent="0.25">
      <c r="BM9430" s="81"/>
      <c r="BN9430" s="81"/>
      <c r="BO9430" s="81"/>
      <c r="BP9430" s="81"/>
      <c r="BQ9430" s="81"/>
      <c r="BR9430" s="81"/>
      <c r="BS9430" s="81"/>
      <c r="BT9430" s="81"/>
    </row>
    <row r="9431" spans="65:72" x14ac:dyDescent="0.25">
      <c r="BM9431" s="81"/>
      <c r="BN9431" s="81"/>
      <c r="BO9431" s="81"/>
      <c r="BP9431" s="81"/>
      <c r="BQ9431" s="81"/>
      <c r="BR9431" s="81"/>
      <c r="BS9431" s="81"/>
      <c r="BT9431" s="81"/>
    </row>
    <row r="9432" spans="65:72" x14ac:dyDescent="0.25">
      <c r="BM9432" s="81"/>
      <c r="BN9432" s="81"/>
      <c r="BO9432" s="81"/>
      <c r="BP9432" s="81"/>
      <c r="BQ9432" s="81"/>
      <c r="BR9432" s="81"/>
      <c r="BS9432" s="81"/>
      <c r="BT9432" s="81"/>
    </row>
    <row r="9433" spans="65:72" x14ac:dyDescent="0.25">
      <c r="BM9433" s="81"/>
      <c r="BN9433" s="81"/>
      <c r="BO9433" s="81"/>
      <c r="BP9433" s="81"/>
      <c r="BQ9433" s="81"/>
      <c r="BR9433" s="81"/>
      <c r="BS9433" s="81"/>
      <c r="BT9433" s="81"/>
    </row>
    <row r="9434" spans="65:72" x14ac:dyDescent="0.25">
      <c r="BM9434" s="81"/>
      <c r="BN9434" s="81"/>
      <c r="BO9434" s="81"/>
      <c r="BP9434" s="81"/>
      <c r="BQ9434" s="81"/>
      <c r="BR9434" s="81"/>
      <c r="BS9434" s="81"/>
      <c r="BT9434" s="81"/>
    </row>
    <row r="9435" spans="65:72" x14ac:dyDescent="0.25">
      <c r="BM9435" s="81"/>
      <c r="BN9435" s="81"/>
      <c r="BO9435" s="81"/>
      <c r="BP9435" s="81"/>
      <c r="BQ9435" s="81"/>
      <c r="BR9435" s="81"/>
      <c r="BS9435" s="81"/>
      <c r="BT9435" s="81"/>
    </row>
    <row r="9436" spans="65:72" x14ac:dyDescent="0.25">
      <c r="BM9436" s="81"/>
      <c r="BN9436" s="81"/>
      <c r="BO9436" s="81"/>
      <c r="BP9436" s="81"/>
      <c r="BQ9436" s="81"/>
      <c r="BR9436" s="81"/>
      <c r="BS9436" s="81"/>
      <c r="BT9436" s="81"/>
    </row>
    <row r="9437" spans="65:72" x14ac:dyDescent="0.25">
      <c r="BM9437" s="81"/>
      <c r="BN9437" s="81"/>
      <c r="BO9437" s="81"/>
      <c r="BP9437" s="81"/>
      <c r="BQ9437" s="81"/>
      <c r="BR9437" s="81"/>
      <c r="BS9437" s="81"/>
      <c r="BT9437" s="81"/>
    </row>
    <row r="9438" spans="65:72" x14ac:dyDescent="0.25">
      <c r="BM9438" s="81"/>
      <c r="BN9438" s="81"/>
      <c r="BO9438" s="81"/>
      <c r="BP9438" s="81"/>
      <c r="BQ9438" s="81"/>
      <c r="BR9438" s="81"/>
      <c r="BS9438" s="81"/>
      <c r="BT9438" s="81"/>
    </row>
    <row r="9439" spans="65:72" x14ac:dyDescent="0.25">
      <c r="BM9439" s="81"/>
      <c r="BN9439" s="81"/>
      <c r="BO9439" s="81"/>
      <c r="BP9439" s="81"/>
      <c r="BQ9439" s="81"/>
      <c r="BR9439" s="81"/>
      <c r="BS9439" s="81"/>
      <c r="BT9439" s="81"/>
    </row>
    <row r="9440" spans="65:72" x14ac:dyDescent="0.25">
      <c r="BM9440" s="81"/>
      <c r="BN9440" s="81"/>
      <c r="BO9440" s="81"/>
      <c r="BP9440" s="81"/>
      <c r="BQ9440" s="81"/>
      <c r="BR9440" s="81"/>
      <c r="BS9440" s="81"/>
      <c r="BT9440" s="81"/>
    </row>
    <row r="9441" spans="65:72" x14ac:dyDescent="0.25">
      <c r="BM9441" s="81"/>
      <c r="BN9441" s="81"/>
      <c r="BO9441" s="81"/>
      <c r="BP9441" s="81"/>
      <c r="BQ9441" s="81"/>
      <c r="BR9441" s="81"/>
      <c r="BS9441" s="81"/>
      <c r="BT9441" s="81"/>
    </row>
    <row r="9442" spans="65:72" x14ac:dyDescent="0.25">
      <c r="BM9442" s="81"/>
      <c r="BN9442" s="81"/>
      <c r="BO9442" s="81"/>
      <c r="BP9442" s="81"/>
      <c r="BQ9442" s="81"/>
      <c r="BR9442" s="81"/>
      <c r="BS9442" s="81"/>
      <c r="BT9442" s="81"/>
    </row>
    <row r="9443" spans="65:72" x14ac:dyDescent="0.25">
      <c r="BM9443" s="81"/>
      <c r="BN9443" s="81"/>
      <c r="BO9443" s="81"/>
      <c r="BP9443" s="81"/>
      <c r="BQ9443" s="81"/>
      <c r="BR9443" s="81"/>
      <c r="BS9443" s="81"/>
      <c r="BT9443" s="81"/>
    </row>
    <row r="9444" spans="65:72" x14ac:dyDescent="0.25">
      <c r="BM9444" s="81"/>
      <c r="BN9444" s="81"/>
      <c r="BO9444" s="81"/>
      <c r="BP9444" s="81"/>
      <c r="BQ9444" s="81"/>
      <c r="BR9444" s="81"/>
      <c r="BS9444" s="81"/>
      <c r="BT9444" s="81"/>
    </row>
    <row r="9445" spans="65:72" x14ac:dyDescent="0.25">
      <c r="BM9445" s="81"/>
      <c r="BN9445" s="81"/>
      <c r="BO9445" s="81"/>
      <c r="BP9445" s="81"/>
      <c r="BQ9445" s="81"/>
      <c r="BR9445" s="81"/>
      <c r="BS9445" s="81"/>
      <c r="BT9445" s="81"/>
    </row>
    <row r="9446" spans="65:72" x14ac:dyDescent="0.25">
      <c r="BM9446" s="81"/>
      <c r="BN9446" s="81"/>
      <c r="BO9446" s="81"/>
      <c r="BP9446" s="81"/>
      <c r="BQ9446" s="81"/>
      <c r="BR9446" s="81"/>
      <c r="BS9446" s="81"/>
      <c r="BT9446" s="81"/>
    </row>
    <row r="9447" spans="65:72" x14ac:dyDescent="0.25">
      <c r="BM9447" s="81"/>
      <c r="BN9447" s="81"/>
      <c r="BO9447" s="81"/>
      <c r="BP9447" s="81"/>
      <c r="BQ9447" s="81"/>
      <c r="BR9447" s="81"/>
      <c r="BS9447" s="81"/>
      <c r="BT9447" s="81"/>
    </row>
    <row r="9448" spans="65:72" x14ac:dyDescent="0.25">
      <c r="BM9448" s="81"/>
      <c r="BN9448" s="81"/>
      <c r="BO9448" s="81"/>
      <c r="BP9448" s="81"/>
      <c r="BQ9448" s="81"/>
      <c r="BR9448" s="81"/>
      <c r="BS9448" s="81"/>
      <c r="BT9448" s="81"/>
    </row>
    <row r="9449" spans="65:72" x14ac:dyDescent="0.25">
      <c r="BM9449" s="81"/>
      <c r="BN9449" s="81"/>
      <c r="BO9449" s="81"/>
      <c r="BP9449" s="81"/>
      <c r="BQ9449" s="81"/>
      <c r="BR9449" s="81"/>
      <c r="BS9449" s="81"/>
      <c r="BT9449" s="81"/>
    </row>
    <row r="9450" spans="65:72" x14ac:dyDescent="0.25">
      <c r="BM9450" s="81"/>
      <c r="BN9450" s="81"/>
      <c r="BO9450" s="81"/>
      <c r="BP9450" s="81"/>
      <c r="BQ9450" s="81"/>
      <c r="BR9450" s="81"/>
      <c r="BS9450" s="81"/>
      <c r="BT9450" s="81"/>
    </row>
    <row r="9451" spans="65:72" x14ac:dyDescent="0.25">
      <c r="BM9451" s="81"/>
      <c r="BN9451" s="81"/>
      <c r="BO9451" s="81"/>
      <c r="BP9451" s="81"/>
      <c r="BQ9451" s="81"/>
      <c r="BR9451" s="81"/>
      <c r="BS9451" s="81"/>
      <c r="BT9451" s="81"/>
    </row>
    <row r="9452" spans="65:72" x14ac:dyDescent="0.25">
      <c r="BM9452" s="81"/>
      <c r="BN9452" s="81"/>
      <c r="BO9452" s="81"/>
      <c r="BP9452" s="81"/>
      <c r="BQ9452" s="81"/>
      <c r="BR9452" s="81"/>
      <c r="BS9452" s="81"/>
      <c r="BT9452" s="81"/>
    </row>
    <row r="9453" spans="65:72" x14ac:dyDescent="0.25">
      <c r="BM9453" s="81"/>
      <c r="BN9453" s="81"/>
      <c r="BO9453" s="81"/>
      <c r="BP9453" s="81"/>
      <c r="BQ9453" s="81"/>
      <c r="BR9453" s="81"/>
      <c r="BS9453" s="81"/>
      <c r="BT9453" s="81"/>
    </row>
    <row r="9454" spans="65:72" x14ac:dyDescent="0.25">
      <c r="BM9454" s="81"/>
      <c r="BN9454" s="81"/>
      <c r="BO9454" s="81"/>
      <c r="BP9454" s="81"/>
      <c r="BQ9454" s="81"/>
      <c r="BR9454" s="81"/>
      <c r="BS9454" s="81"/>
      <c r="BT9454" s="81"/>
    </row>
    <row r="9455" spans="65:72" x14ac:dyDescent="0.25">
      <c r="BM9455" s="81"/>
      <c r="BN9455" s="81"/>
      <c r="BO9455" s="81"/>
      <c r="BP9455" s="81"/>
      <c r="BQ9455" s="81"/>
      <c r="BR9455" s="81"/>
      <c r="BS9455" s="81"/>
      <c r="BT9455" s="81"/>
    </row>
    <row r="9456" spans="65:72" x14ac:dyDescent="0.25">
      <c r="BM9456" s="81"/>
      <c r="BN9456" s="81"/>
      <c r="BO9456" s="81"/>
      <c r="BP9456" s="81"/>
      <c r="BQ9456" s="81"/>
      <c r="BR9456" s="81"/>
      <c r="BS9456" s="81"/>
      <c r="BT9456" s="81"/>
    </row>
    <row r="9457" spans="65:72" x14ac:dyDescent="0.25">
      <c r="BM9457" s="81"/>
      <c r="BN9457" s="81"/>
      <c r="BO9457" s="81"/>
      <c r="BP9457" s="81"/>
      <c r="BQ9457" s="81"/>
      <c r="BR9457" s="81"/>
      <c r="BS9457" s="81"/>
      <c r="BT9457" s="81"/>
    </row>
    <row r="9458" spans="65:72" x14ac:dyDescent="0.25">
      <c r="BM9458" s="81"/>
      <c r="BN9458" s="81"/>
      <c r="BO9458" s="81"/>
      <c r="BP9458" s="81"/>
      <c r="BQ9458" s="81"/>
      <c r="BR9458" s="81"/>
      <c r="BS9458" s="81"/>
      <c r="BT9458" s="81"/>
    </row>
    <row r="9459" spans="65:72" x14ac:dyDescent="0.25">
      <c r="BM9459" s="81"/>
      <c r="BN9459" s="81"/>
      <c r="BO9459" s="81"/>
      <c r="BP9459" s="81"/>
      <c r="BQ9459" s="81"/>
      <c r="BR9459" s="81"/>
      <c r="BS9459" s="81"/>
      <c r="BT9459" s="81"/>
    </row>
    <row r="9460" spans="65:72" x14ac:dyDescent="0.25">
      <c r="BM9460" s="81"/>
      <c r="BN9460" s="81"/>
      <c r="BO9460" s="81"/>
      <c r="BP9460" s="81"/>
      <c r="BQ9460" s="81"/>
      <c r="BR9460" s="81"/>
      <c r="BS9460" s="81"/>
      <c r="BT9460" s="81"/>
    </row>
    <row r="9461" spans="65:72" x14ac:dyDescent="0.25">
      <c r="BM9461" s="81"/>
      <c r="BN9461" s="81"/>
      <c r="BO9461" s="81"/>
      <c r="BP9461" s="81"/>
      <c r="BQ9461" s="81"/>
      <c r="BR9461" s="81"/>
      <c r="BS9461" s="81"/>
      <c r="BT9461" s="81"/>
    </row>
    <row r="9462" spans="65:72" x14ac:dyDescent="0.25">
      <c r="BM9462" s="81"/>
      <c r="BN9462" s="81"/>
      <c r="BO9462" s="81"/>
      <c r="BP9462" s="81"/>
      <c r="BQ9462" s="81"/>
      <c r="BR9462" s="81"/>
      <c r="BS9462" s="81"/>
      <c r="BT9462" s="81"/>
    </row>
    <row r="9463" spans="65:72" x14ac:dyDescent="0.25">
      <c r="BM9463" s="81"/>
      <c r="BN9463" s="81"/>
      <c r="BO9463" s="81"/>
      <c r="BP9463" s="81"/>
      <c r="BQ9463" s="81"/>
      <c r="BR9463" s="81"/>
      <c r="BS9463" s="81"/>
      <c r="BT9463" s="81"/>
    </row>
    <row r="9464" spans="65:72" x14ac:dyDescent="0.25">
      <c r="BM9464" s="81"/>
      <c r="BN9464" s="81"/>
      <c r="BO9464" s="81"/>
      <c r="BP9464" s="81"/>
      <c r="BQ9464" s="81"/>
      <c r="BR9464" s="81"/>
      <c r="BS9464" s="81"/>
      <c r="BT9464" s="81"/>
    </row>
    <row r="9465" spans="65:72" x14ac:dyDescent="0.25">
      <c r="BM9465" s="81"/>
      <c r="BN9465" s="81"/>
      <c r="BO9465" s="81"/>
      <c r="BP9465" s="81"/>
      <c r="BQ9465" s="81"/>
      <c r="BR9465" s="81"/>
      <c r="BS9465" s="81"/>
      <c r="BT9465" s="81"/>
    </row>
    <row r="9466" spans="65:72" x14ac:dyDescent="0.25">
      <c r="BM9466" s="81"/>
      <c r="BN9466" s="81"/>
      <c r="BO9466" s="81"/>
      <c r="BP9466" s="81"/>
      <c r="BQ9466" s="81"/>
      <c r="BR9466" s="81"/>
      <c r="BS9466" s="81"/>
      <c r="BT9466" s="81"/>
    </row>
    <row r="9467" spans="65:72" x14ac:dyDescent="0.25">
      <c r="BM9467" s="81"/>
      <c r="BN9467" s="81"/>
      <c r="BO9467" s="81"/>
      <c r="BP9467" s="81"/>
      <c r="BQ9467" s="81"/>
      <c r="BR9467" s="81"/>
      <c r="BS9467" s="81"/>
      <c r="BT9467" s="81"/>
    </row>
    <row r="9468" spans="65:72" x14ac:dyDescent="0.25">
      <c r="BM9468" s="81"/>
      <c r="BN9468" s="81"/>
      <c r="BO9468" s="81"/>
      <c r="BP9468" s="81"/>
      <c r="BQ9468" s="81"/>
      <c r="BR9468" s="81"/>
      <c r="BS9468" s="81"/>
      <c r="BT9468" s="81"/>
    </row>
    <row r="9469" spans="65:72" x14ac:dyDescent="0.25">
      <c r="BM9469" s="81"/>
      <c r="BN9469" s="81"/>
      <c r="BO9469" s="81"/>
      <c r="BP9469" s="81"/>
      <c r="BQ9469" s="81"/>
      <c r="BR9469" s="81"/>
      <c r="BS9469" s="81"/>
      <c r="BT9469" s="81"/>
    </row>
    <row r="9470" spans="65:72" x14ac:dyDescent="0.25">
      <c r="BM9470" s="81"/>
      <c r="BN9470" s="81"/>
      <c r="BO9470" s="81"/>
      <c r="BP9470" s="81"/>
      <c r="BQ9470" s="81"/>
      <c r="BR9470" s="81"/>
      <c r="BS9470" s="81"/>
      <c r="BT9470" s="81"/>
    </row>
    <row r="9471" spans="65:72" x14ac:dyDescent="0.25">
      <c r="BM9471" s="81"/>
      <c r="BN9471" s="81"/>
      <c r="BO9471" s="81"/>
      <c r="BP9471" s="81"/>
      <c r="BQ9471" s="81"/>
      <c r="BR9471" s="81"/>
      <c r="BS9471" s="81"/>
      <c r="BT9471" s="81"/>
    </row>
    <row r="9472" spans="65:72" x14ac:dyDescent="0.25">
      <c r="BM9472" s="81"/>
      <c r="BN9472" s="81"/>
      <c r="BO9472" s="81"/>
      <c r="BP9472" s="81"/>
      <c r="BQ9472" s="81"/>
      <c r="BR9472" s="81"/>
      <c r="BS9472" s="81"/>
      <c r="BT9472" s="81"/>
    </row>
    <row r="9473" spans="65:72" x14ac:dyDescent="0.25">
      <c r="BM9473" s="81"/>
      <c r="BN9473" s="81"/>
      <c r="BO9473" s="81"/>
      <c r="BP9473" s="81"/>
      <c r="BQ9473" s="81"/>
      <c r="BR9473" s="81"/>
      <c r="BS9473" s="81"/>
      <c r="BT9473" s="81"/>
    </row>
    <row r="9474" spans="65:72" x14ac:dyDescent="0.25">
      <c r="BM9474" s="81"/>
      <c r="BN9474" s="81"/>
      <c r="BO9474" s="81"/>
      <c r="BP9474" s="81"/>
      <c r="BQ9474" s="81"/>
      <c r="BR9474" s="81"/>
      <c r="BS9474" s="81"/>
      <c r="BT9474" s="81"/>
    </row>
    <row r="9475" spans="65:72" x14ac:dyDescent="0.25">
      <c r="BM9475" s="81"/>
      <c r="BN9475" s="81"/>
      <c r="BO9475" s="81"/>
      <c r="BP9475" s="81"/>
      <c r="BQ9475" s="81"/>
      <c r="BR9475" s="81"/>
      <c r="BS9475" s="81"/>
      <c r="BT9475" s="81"/>
    </row>
    <row r="9476" spans="65:72" x14ac:dyDescent="0.25">
      <c r="BM9476" s="81"/>
      <c r="BN9476" s="81"/>
      <c r="BO9476" s="81"/>
      <c r="BP9476" s="81"/>
      <c r="BQ9476" s="81"/>
      <c r="BR9476" s="81"/>
      <c r="BS9476" s="81"/>
      <c r="BT9476" s="81"/>
    </row>
    <row r="9477" spans="65:72" x14ac:dyDescent="0.25">
      <c r="BM9477" s="81"/>
      <c r="BN9477" s="81"/>
      <c r="BO9477" s="81"/>
      <c r="BP9477" s="81"/>
      <c r="BQ9477" s="81"/>
      <c r="BR9477" s="81"/>
      <c r="BS9477" s="81"/>
      <c r="BT9477" s="81"/>
    </row>
    <row r="9478" spans="65:72" x14ac:dyDescent="0.25">
      <c r="BM9478" s="81"/>
      <c r="BN9478" s="81"/>
      <c r="BO9478" s="81"/>
      <c r="BP9478" s="81"/>
      <c r="BQ9478" s="81"/>
      <c r="BR9478" s="81"/>
      <c r="BS9478" s="81"/>
      <c r="BT9478" s="81"/>
    </row>
    <row r="9479" spans="65:72" x14ac:dyDescent="0.25">
      <c r="BM9479" s="81"/>
      <c r="BN9479" s="81"/>
      <c r="BO9479" s="81"/>
      <c r="BP9479" s="81"/>
      <c r="BQ9479" s="81"/>
      <c r="BR9479" s="81"/>
      <c r="BS9479" s="81"/>
      <c r="BT9479" s="81"/>
    </row>
    <row r="9480" spans="65:72" x14ac:dyDescent="0.25">
      <c r="BM9480" s="81"/>
      <c r="BN9480" s="81"/>
      <c r="BO9480" s="81"/>
      <c r="BP9480" s="81"/>
      <c r="BQ9480" s="81"/>
      <c r="BR9480" s="81"/>
      <c r="BS9480" s="81"/>
      <c r="BT9480" s="81"/>
    </row>
    <row r="9481" spans="65:72" x14ac:dyDescent="0.25">
      <c r="BM9481" s="81"/>
      <c r="BN9481" s="81"/>
      <c r="BO9481" s="81"/>
      <c r="BP9481" s="81"/>
      <c r="BQ9481" s="81"/>
      <c r="BR9481" s="81"/>
      <c r="BS9481" s="81"/>
      <c r="BT9481" s="81"/>
    </row>
    <row r="9482" spans="65:72" x14ac:dyDescent="0.25">
      <c r="BM9482" s="81"/>
      <c r="BN9482" s="81"/>
      <c r="BO9482" s="81"/>
      <c r="BP9482" s="81"/>
      <c r="BQ9482" s="81"/>
      <c r="BR9482" s="81"/>
      <c r="BS9482" s="81"/>
      <c r="BT9482" s="81"/>
    </row>
    <row r="9483" spans="65:72" x14ac:dyDescent="0.25">
      <c r="BM9483" s="81"/>
      <c r="BN9483" s="81"/>
      <c r="BO9483" s="81"/>
      <c r="BP9483" s="81"/>
      <c r="BQ9483" s="81"/>
      <c r="BR9483" s="81"/>
      <c r="BS9483" s="81"/>
      <c r="BT9483" s="81"/>
    </row>
    <row r="9484" spans="65:72" x14ac:dyDescent="0.25">
      <c r="BM9484" s="81"/>
      <c r="BN9484" s="81"/>
      <c r="BO9484" s="81"/>
      <c r="BP9484" s="81"/>
      <c r="BQ9484" s="81"/>
      <c r="BR9484" s="81"/>
      <c r="BS9484" s="81"/>
      <c r="BT9484" s="81"/>
    </row>
    <row r="9485" spans="65:72" x14ac:dyDescent="0.25">
      <c r="BM9485" s="81"/>
      <c r="BN9485" s="81"/>
      <c r="BO9485" s="81"/>
      <c r="BP9485" s="81"/>
      <c r="BQ9485" s="81"/>
      <c r="BR9485" s="81"/>
      <c r="BS9485" s="81"/>
      <c r="BT9485" s="81"/>
    </row>
    <row r="9486" spans="65:72" x14ac:dyDescent="0.25">
      <c r="BM9486" s="81"/>
      <c r="BN9486" s="81"/>
      <c r="BO9486" s="81"/>
      <c r="BP9486" s="81"/>
      <c r="BQ9486" s="81"/>
      <c r="BR9486" s="81"/>
      <c r="BS9486" s="81"/>
      <c r="BT9486" s="81"/>
    </row>
    <row r="9487" spans="65:72" x14ac:dyDescent="0.25">
      <c r="BM9487" s="81"/>
      <c r="BN9487" s="81"/>
      <c r="BO9487" s="81"/>
      <c r="BP9487" s="81"/>
      <c r="BQ9487" s="81"/>
      <c r="BR9487" s="81"/>
      <c r="BS9487" s="81"/>
      <c r="BT9487" s="81"/>
    </row>
    <row r="9488" spans="65:72" x14ac:dyDescent="0.25">
      <c r="BM9488" s="81"/>
      <c r="BN9488" s="81"/>
      <c r="BO9488" s="81"/>
      <c r="BP9488" s="81"/>
      <c r="BQ9488" s="81"/>
      <c r="BR9488" s="81"/>
      <c r="BS9488" s="81"/>
      <c r="BT9488" s="81"/>
    </row>
    <row r="9489" spans="65:72" x14ac:dyDescent="0.25">
      <c r="BM9489" s="81"/>
      <c r="BN9489" s="81"/>
      <c r="BO9489" s="81"/>
      <c r="BP9489" s="81"/>
      <c r="BQ9489" s="81"/>
      <c r="BR9489" s="81"/>
      <c r="BS9489" s="81"/>
      <c r="BT9489" s="81"/>
    </row>
    <row r="9490" spans="65:72" x14ac:dyDescent="0.25">
      <c r="BM9490" s="81"/>
      <c r="BN9490" s="81"/>
      <c r="BO9490" s="81"/>
      <c r="BP9490" s="81"/>
      <c r="BQ9490" s="81"/>
      <c r="BR9490" s="81"/>
      <c r="BS9490" s="81"/>
      <c r="BT9490" s="81"/>
    </row>
    <row r="9491" spans="65:72" x14ac:dyDescent="0.25">
      <c r="BM9491" s="81"/>
      <c r="BN9491" s="81"/>
      <c r="BO9491" s="81"/>
      <c r="BP9491" s="81"/>
      <c r="BQ9491" s="81"/>
      <c r="BR9491" s="81"/>
      <c r="BS9491" s="81"/>
      <c r="BT9491" s="81"/>
    </row>
    <row r="9492" spans="65:72" x14ac:dyDescent="0.25">
      <c r="BM9492" s="81"/>
      <c r="BN9492" s="81"/>
      <c r="BO9492" s="81"/>
      <c r="BP9492" s="81"/>
      <c r="BQ9492" s="81"/>
      <c r="BR9492" s="81"/>
      <c r="BS9492" s="81"/>
      <c r="BT9492" s="81"/>
    </row>
    <row r="9493" spans="65:72" x14ac:dyDescent="0.25">
      <c r="BM9493" s="81"/>
      <c r="BN9493" s="81"/>
      <c r="BO9493" s="81"/>
      <c r="BP9493" s="81"/>
      <c r="BQ9493" s="81"/>
      <c r="BR9493" s="81"/>
      <c r="BS9493" s="81"/>
      <c r="BT9493" s="81"/>
    </row>
    <row r="9494" spans="65:72" x14ac:dyDescent="0.25">
      <c r="BM9494" s="81"/>
      <c r="BN9494" s="81"/>
      <c r="BO9494" s="81"/>
      <c r="BP9494" s="81"/>
      <c r="BQ9494" s="81"/>
      <c r="BR9494" s="81"/>
      <c r="BS9494" s="81"/>
      <c r="BT9494" s="81"/>
    </row>
    <row r="9495" spans="65:72" x14ac:dyDescent="0.25">
      <c r="BM9495" s="81"/>
      <c r="BN9495" s="81"/>
      <c r="BO9495" s="81"/>
      <c r="BP9495" s="81"/>
      <c r="BQ9495" s="81"/>
      <c r="BR9495" s="81"/>
      <c r="BS9495" s="81"/>
      <c r="BT9495" s="81"/>
    </row>
    <row r="9496" spans="65:72" x14ac:dyDescent="0.25">
      <c r="BM9496" s="81"/>
      <c r="BN9496" s="81"/>
      <c r="BO9496" s="81"/>
      <c r="BP9496" s="81"/>
      <c r="BQ9496" s="81"/>
      <c r="BR9496" s="81"/>
      <c r="BS9496" s="81"/>
      <c r="BT9496" s="81"/>
    </row>
    <row r="9497" spans="65:72" x14ac:dyDescent="0.25">
      <c r="BM9497" s="81"/>
      <c r="BN9497" s="81"/>
      <c r="BO9497" s="81"/>
      <c r="BP9497" s="81"/>
      <c r="BQ9497" s="81"/>
      <c r="BR9497" s="81"/>
      <c r="BS9497" s="81"/>
      <c r="BT9497" s="81"/>
    </row>
    <row r="9498" spans="65:72" x14ac:dyDescent="0.25">
      <c r="BM9498" s="81"/>
      <c r="BN9498" s="81"/>
      <c r="BO9498" s="81"/>
      <c r="BP9498" s="81"/>
      <c r="BQ9498" s="81"/>
      <c r="BR9498" s="81"/>
      <c r="BS9498" s="81"/>
      <c r="BT9498" s="81"/>
    </row>
    <row r="9499" spans="65:72" x14ac:dyDescent="0.25">
      <c r="BM9499" s="81"/>
      <c r="BN9499" s="81"/>
      <c r="BO9499" s="81"/>
      <c r="BP9499" s="81"/>
      <c r="BQ9499" s="81"/>
      <c r="BR9499" s="81"/>
      <c r="BS9499" s="81"/>
      <c r="BT9499" s="81"/>
    </row>
    <row r="9500" spans="65:72" x14ac:dyDescent="0.25">
      <c r="BM9500" s="81"/>
      <c r="BN9500" s="81"/>
      <c r="BO9500" s="81"/>
      <c r="BP9500" s="81"/>
      <c r="BQ9500" s="81"/>
      <c r="BR9500" s="81"/>
      <c r="BS9500" s="81"/>
      <c r="BT9500" s="81"/>
    </row>
    <row r="9501" spans="65:72" x14ac:dyDescent="0.25">
      <c r="BM9501" s="81"/>
      <c r="BN9501" s="81"/>
      <c r="BO9501" s="81"/>
      <c r="BP9501" s="81"/>
      <c r="BQ9501" s="81"/>
      <c r="BR9501" s="81"/>
      <c r="BS9501" s="81"/>
      <c r="BT9501" s="81"/>
    </row>
    <row r="9502" spans="65:72" x14ac:dyDescent="0.25">
      <c r="BM9502" s="81"/>
      <c r="BN9502" s="81"/>
      <c r="BO9502" s="81"/>
      <c r="BP9502" s="81"/>
      <c r="BQ9502" s="81"/>
      <c r="BR9502" s="81"/>
      <c r="BS9502" s="81"/>
      <c r="BT9502" s="81"/>
    </row>
    <row r="9503" spans="65:72" x14ac:dyDescent="0.25">
      <c r="BM9503" s="81"/>
      <c r="BN9503" s="81"/>
      <c r="BO9503" s="81"/>
      <c r="BP9503" s="81"/>
      <c r="BQ9503" s="81"/>
      <c r="BR9503" s="81"/>
      <c r="BS9503" s="81"/>
      <c r="BT9503" s="81"/>
    </row>
    <row r="9504" spans="65:72" x14ac:dyDescent="0.25">
      <c r="BM9504" s="81"/>
      <c r="BN9504" s="81"/>
      <c r="BO9504" s="81"/>
      <c r="BP9504" s="81"/>
      <c r="BQ9504" s="81"/>
      <c r="BR9504" s="81"/>
      <c r="BS9504" s="81"/>
      <c r="BT9504" s="81"/>
    </row>
    <row r="9505" spans="65:72" x14ac:dyDescent="0.25">
      <c r="BM9505" s="81"/>
      <c r="BN9505" s="81"/>
      <c r="BO9505" s="81"/>
      <c r="BP9505" s="81"/>
      <c r="BQ9505" s="81"/>
      <c r="BR9505" s="81"/>
      <c r="BS9505" s="81"/>
      <c r="BT9505" s="81"/>
    </row>
    <row r="9506" spans="65:72" x14ac:dyDescent="0.25">
      <c r="BM9506" s="81"/>
      <c r="BN9506" s="81"/>
      <c r="BO9506" s="81"/>
      <c r="BP9506" s="81"/>
      <c r="BQ9506" s="81"/>
      <c r="BR9506" s="81"/>
      <c r="BS9506" s="81"/>
      <c r="BT9506" s="81"/>
    </row>
    <row r="9507" spans="65:72" x14ac:dyDescent="0.25">
      <c r="BM9507" s="81"/>
      <c r="BN9507" s="81"/>
      <c r="BO9507" s="81"/>
      <c r="BP9507" s="81"/>
      <c r="BQ9507" s="81"/>
      <c r="BR9507" s="81"/>
      <c r="BS9507" s="81"/>
      <c r="BT9507" s="81"/>
    </row>
    <row r="9508" spans="65:72" x14ac:dyDescent="0.25">
      <c r="BM9508" s="81"/>
      <c r="BN9508" s="81"/>
      <c r="BO9508" s="81"/>
      <c r="BP9508" s="81"/>
      <c r="BQ9508" s="81"/>
      <c r="BR9508" s="81"/>
      <c r="BS9508" s="81"/>
      <c r="BT9508" s="81"/>
    </row>
    <row r="9509" spans="65:72" x14ac:dyDescent="0.25">
      <c r="BM9509" s="81"/>
      <c r="BN9509" s="81"/>
      <c r="BO9509" s="81"/>
      <c r="BP9509" s="81"/>
      <c r="BQ9509" s="81"/>
      <c r="BR9509" s="81"/>
      <c r="BS9509" s="81"/>
      <c r="BT9509" s="81"/>
    </row>
    <row r="9510" spans="65:72" x14ac:dyDescent="0.25">
      <c r="BM9510" s="81"/>
      <c r="BN9510" s="81"/>
      <c r="BO9510" s="81"/>
      <c r="BP9510" s="81"/>
      <c r="BQ9510" s="81"/>
      <c r="BR9510" s="81"/>
      <c r="BS9510" s="81"/>
      <c r="BT9510" s="81"/>
    </row>
    <row r="9511" spans="65:72" x14ac:dyDescent="0.25">
      <c r="BM9511" s="81"/>
      <c r="BN9511" s="81"/>
      <c r="BO9511" s="81"/>
      <c r="BP9511" s="81"/>
      <c r="BQ9511" s="81"/>
      <c r="BR9511" s="81"/>
      <c r="BS9511" s="81"/>
      <c r="BT9511" s="81"/>
    </row>
    <row r="9512" spans="65:72" x14ac:dyDescent="0.25">
      <c r="BM9512" s="81"/>
      <c r="BN9512" s="81"/>
      <c r="BO9512" s="81"/>
      <c r="BP9512" s="81"/>
      <c r="BQ9512" s="81"/>
      <c r="BR9512" s="81"/>
      <c r="BS9512" s="81"/>
      <c r="BT9512" s="81"/>
    </row>
    <row r="9513" spans="65:72" x14ac:dyDescent="0.25">
      <c r="BM9513" s="81"/>
      <c r="BN9513" s="81"/>
      <c r="BO9513" s="81"/>
      <c r="BP9513" s="81"/>
      <c r="BQ9513" s="81"/>
      <c r="BR9513" s="81"/>
      <c r="BS9513" s="81"/>
      <c r="BT9513" s="81"/>
    </row>
    <row r="9514" spans="65:72" x14ac:dyDescent="0.25">
      <c r="BM9514" s="81"/>
      <c r="BN9514" s="81"/>
      <c r="BO9514" s="81"/>
      <c r="BP9514" s="81"/>
      <c r="BQ9514" s="81"/>
      <c r="BR9514" s="81"/>
      <c r="BS9514" s="81"/>
      <c r="BT9514" s="81"/>
    </row>
    <row r="9515" spans="65:72" x14ac:dyDescent="0.25">
      <c r="BM9515" s="81"/>
      <c r="BN9515" s="81"/>
      <c r="BO9515" s="81"/>
      <c r="BP9515" s="81"/>
      <c r="BQ9515" s="81"/>
      <c r="BR9515" s="81"/>
      <c r="BS9515" s="81"/>
      <c r="BT9515" s="81"/>
    </row>
    <row r="9516" spans="65:72" x14ac:dyDescent="0.25">
      <c r="BM9516" s="81"/>
      <c r="BN9516" s="81"/>
      <c r="BO9516" s="81"/>
      <c r="BP9516" s="81"/>
      <c r="BQ9516" s="81"/>
      <c r="BR9516" s="81"/>
      <c r="BS9516" s="81"/>
      <c r="BT9516" s="81"/>
    </row>
    <row r="9517" spans="65:72" x14ac:dyDescent="0.25">
      <c r="BM9517" s="81"/>
      <c r="BN9517" s="81"/>
      <c r="BO9517" s="81"/>
      <c r="BP9517" s="81"/>
      <c r="BQ9517" s="81"/>
      <c r="BR9517" s="81"/>
      <c r="BS9517" s="81"/>
      <c r="BT9517" s="81"/>
    </row>
    <row r="9518" spans="65:72" x14ac:dyDescent="0.25">
      <c r="BM9518" s="81"/>
      <c r="BN9518" s="81"/>
      <c r="BO9518" s="81"/>
      <c r="BP9518" s="81"/>
      <c r="BQ9518" s="81"/>
      <c r="BR9518" s="81"/>
      <c r="BS9518" s="81"/>
      <c r="BT9518" s="81"/>
    </row>
    <row r="9519" spans="65:72" x14ac:dyDescent="0.25">
      <c r="BM9519" s="81"/>
      <c r="BN9519" s="81"/>
      <c r="BO9519" s="81"/>
      <c r="BP9519" s="81"/>
      <c r="BQ9519" s="81"/>
      <c r="BR9519" s="81"/>
      <c r="BS9519" s="81"/>
      <c r="BT9519" s="81"/>
    </row>
    <row r="9520" spans="65:72" x14ac:dyDescent="0.25">
      <c r="BM9520" s="81"/>
      <c r="BN9520" s="81"/>
      <c r="BO9520" s="81"/>
      <c r="BP9520" s="81"/>
      <c r="BQ9520" s="81"/>
      <c r="BR9520" s="81"/>
      <c r="BS9520" s="81"/>
      <c r="BT9520" s="81"/>
    </row>
    <row r="9521" spans="65:72" x14ac:dyDescent="0.25">
      <c r="BM9521" s="81"/>
      <c r="BN9521" s="81"/>
      <c r="BO9521" s="81"/>
      <c r="BP9521" s="81"/>
      <c r="BQ9521" s="81"/>
      <c r="BR9521" s="81"/>
      <c r="BS9521" s="81"/>
      <c r="BT9521" s="81"/>
    </row>
    <row r="9522" spans="65:72" x14ac:dyDescent="0.25">
      <c r="BM9522" s="81"/>
      <c r="BN9522" s="81"/>
      <c r="BO9522" s="81"/>
      <c r="BP9522" s="81"/>
      <c r="BQ9522" s="81"/>
      <c r="BR9522" s="81"/>
      <c r="BS9522" s="81"/>
      <c r="BT9522" s="81"/>
    </row>
    <row r="9523" spans="65:72" x14ac:dyDescent="0.25">
      <c r="BM9523" s="81"/>
      <c r="BN9523" s="81"/>
      <c r="BO9523" s="81"/>
      <c r="BP9523" s="81"/>
      <c r="BQ9523" s="81"/>
      <c r="BR9523" s="81"/>
      <c r="BS9523" s="81"/>
      <c r="BT9523" s="81"/>
    </row>
    <row r="9524" spans="65:72" x14ac:dyDescent="0.25">
      <c r="BM9524" s="81"/>
      <c r="BN9524" s="81"/>
      <c r="BO9524" s="81"/>
      <c r="BP9524" s="81"/>
      <c r="BQ9524" s="81"/>
      <c r="BR9524" s="81"/>
      <c r="BS9524" s="81"/>
      <c r="BT9524" s="81"/>
    </row>
    <row r="9525" spans="65:72" x14ac:dyDescent="0.25">
      <c r="BM9525" s="81"/>
      <c r="BN9525" s="81"/>
      <c r="BO9525" s="81"/>
      <c r="BP9525" s="81"/>
      <c r="BQ9525" s="81"/>
      <c r="BR9525" s="81"/>
      <c r="BS9525" s="81"/>
      <c r="BT9525" s="81"/>
    </row>
    <row r="9526" spans="65:72" x14ac:dyDescent="0.25">
      <c r="BM9526" s="81"/>
      <c r="BN9526" s="81"/>
      <c r="BO9526" s="81"/>
      <c r="BP9526" s="81"/>
      <c r="BQ9526" s="81"/>
      <c r="BR9526" s="81"/>
      <c r="BS9526" s="81"/>
      <c r="BT9526" s="81"/>
    </row>
    <row r="9527" spans="65:72" x14ac:dyDescent="0.25">
      <c r="BM9527" s="81"/>
      <c r="BN9527" s="81"/>
      <c r="BO9527" s="81"/>
      <c r="BP9527" s="81"/>
      <c r="BQ9527" s="81"/>
      <c r="BR9527" s="81"/>
      <c r="BS9527" s="81"/>
      <c r="BT9527" s="81"/>
    </row>
    <row r="9528" spans="65:72" x14ac:dyDescent="0.25">
      <c r="BM9528" s="81"/>
      <c r="BN9528" s="81"/>
      <c r="BO9528" s="81"/>
      <c r="BP9528" s="81"/>
      <c r="BQ9528" s="81"/>
      <c r="BR9528" s="81"/>
      <c r="BS9528" s="81"/>
      <c r="BT9528" s="81"/>
    </row>
    <row r="9529" spans="65:72" x14ac:dyDescent="0.25">
      <c r="BM9529" s="81"/>
      <c r="BN9529" s="81"/>
      <c r="BO9529" s="81"/>
      <c r="BP9529" s="81"/>
      <c r="BQ9529" s="81"/>
      <c r="BR9529" s="81"/>
      <c r="BS9529" s="81"/>
      <c r="BT9529" s="81"/>
    </row>
    <row r="9530" spans="65:72" x14ac:dyDescent="0.25">
      <c r="BM9530" s="81"/>
      <c r="BN9530" s="81"/>
      <c r="BO9530" s="81"/>
      <c r="BP9530" s="81"/>
      <c r="BQ9530" s="81"/>
      <c r="BR9530" s="81"/>
      <c r="BS9530" s="81"/>
      <c r="BT9530" s="81"/>
    </row>
    <row r="9531" spans="65:72" x14ac:dyDescent="0.25">
      <c r="BM9531" s="81"/>
      <c r="BN9531" s="81"/>
      <c r="BO9531" s="81"/>
      <c r="BP9531" s="81"/>
      <c r="BQ9531" s="81"/>
      <c r="BR9531" s="81"/>
      <c r="BS9531" s="81"/>
      <c r="BT9531" s="81"/>
    </row>
    <row r="9532" spans="65:72" x14ac:dyDescent="0.25">
      <c r="BM9532" s="81"/>
      <c r="BN9532" s="81"/>
      <c r="BO9532" s="81"/>
      <c r="BP9532" s="81"/>
      <c r="BQ9532" s="81"/>
      <c r="BR9532" s="81"/>
      <c r="BS9532" s="81"/>
      <c r="BT9532" s="81"/>
    </row>
    <row r="9533" spans="65:72" x14ac:dyDescent="0.25">
      <c r="BM9533" s="81"/>
      <c r="BN9533" s="81"/>
      <c r="BO9533" s="81"/>
      <c r="BP9533" s="81"/>
      <c r="BQ9533" s="81"/>
      <c r="BR9533" s="81"/>
      <c r="BS9533" s="81"/>
      <c r="BT9533" s="81"/>
    </row>
    <row r="9534" spans="65:72" x14ac:dyDescent="0.25">
      <c r="BM9534" s="81"/>
      <c r="BN9534" s="81"/>
      <c r="BO9534" s="81"/>
      <c r="BP9534" s="81"/>
      <c r="BQ9534" s="81"/>
      <c r="BR9534" s="81"/>
      <c r="BS9534" s="81"/>
      <c r="BT9534" s="81"/>
    </row>
    <row r="9535" spans="65:72" x14ac:dyDescent="0.25">
      <c r="BM9535" s="81"/>
      <c r="BN9535" s="81"/>
      <c r="BO9535" s="81"/>
      <c r="BP9535" s="81"/>
      <c r="BQ9535" s="81"/>
      <c r="BR9535" s="81"/>
      <c r="BS9535" s="81"/>
      <c r="BT9535" s="81"/>
    </row>
    <row r="9536" spans="65:72" x14ac:dyDescent="0.25">
      <c r="BM9536" s="81"/>
      <c r="BN9536" s="81"/>
      <c r="BO9536" s="81"/>
      <c r="BP9536" s="81"/>
      <c r="BQ9536" s="81"/>
      <c r="BR9536" s="81"/>
      <c r="BS9536" s="81"/>
      <c r="BT9536" s="81"/>
    </row>
    <row r="9537" spans="65:72" x14ac:dyDescent="0.25">
      <c r="BM9537" s="81"/>
      <c r="BN9537" s="81"/>
      <c r="BO9537" s="81"/>
      <c r="BP9537" s="81"/>
      <c r="BQ9537" s="81"/>
      <c r="BR9537" s="81"/>
      <c r="BS9537" s="81"/>
      <c r="BT9537" s="81"/>
    </row>
    <row r="9538" spans="65:72" x14ac:dyDescent="0.25">
      <c r="BM9538" s="81"/>
      <c r="BN9538" s="81"/>
      <c r="BO9538" s="81"/>
      <c r="BP9538" s="81"/>
      <c r="BQ9538" s="81"/>
      <c r="BR9538" s="81"/>
      <c r="BS9538" s="81"/>
      <c r="BT9538" s="81"/>
    </row>
    <row r="9539" spans="65:72" x14ac:dyDescent="0.25">
      <c r="BM9539" s="81"/>
      <c r="BN9539" s="81"/>
      <c r="BO9539" s="81"/>
      <c r="BP9539" s="81"/>
      <c r="BQ9539" s="81"/>
      <c r="BR9539" s="81"/>
      <c r="BS9539" s="81"/>
      <c r="BT9539" s="81"/>
    </row>
    <row r="9540" spans="65:72" x14ac:dyDescent="0.25">
      <c r="BM9540" s="81"/>
      <c r="BN9540" s="81"/>
      <c r="BO9540" s="81"/>
      <c r="BP9540" s="81"/>
      <c r="BQ9540" s="81"/>
      <c r="BR9540" s="81"/>
      <c r="BS9540" s="81"/>
      <c r="BT9540" s="81"/>
    </row>
    <row r="9541" spans="65:72" x14ac:dyDescent="0.25">
      <c r="BM9541" s="81"/>
      <c r="BN9541" s="81"/>
      <c r="BO9541" s="81"/>
      <c r="BP9541" s="81"/>
      <c r="BQ9541" s="81"/>
      <c r="BR9541" s="81"/>
      <c r="BS9541" s="81"/>
      <c r="BT9541" s="81"/>
    </row>
    <row r="9542" spans="65:72" x14ac:dyDescent="0.25">
      <c r="BM9542" s="81"/>
      <c r="BN9542" s="81"/>
      <c r="BO9542" s="81"/>
      <c r="BP9542" s="81"/>
      <c r="BQ9542" s="81"/>
      <c r="BR9542" s="81"/>
      <c r="BS9542" s="81"/>
      <c r="BT9542" s="81"/>
    </row>
    <row r="9543" spans="65:72" x14ac:dyDescent="0.25">
      <c r="BM9543" s="81"/>
      <c r="BN9543" s="81"/>
      <c r="BO9543" s="81"/>
      <c r="BP9543" s="81"/>
      <c r="BQ9543" s="81"/>
      <c r="BR9543" s="81"/>
      <c r="BS9543" s="81"/>
      <c r="BT9543" s="81"/>
    </row>
    <row r="9544" spans="65:72" x14ac:dyDescent="0.25">
      <c r="BM9544" s="81"/>
      <c r="BN9544" s="81"/>
      <c r="BO9544" s="81"/>
      <c r="BP9544" s="81"/>
      <c r="BQ9544" s="81"/>
      <c r="BR9544" s="81"/>
      <c r="BS9544" s="81"/>
      <c r="BT9544" s="81"/>
    </row>
    <row r="9545" spans="65:72" x14ac:dyDescent="0.25">
      <c r="BM9545" s="81"/>
      <c r="BN9545" s="81"/>
      <c r="BO9545" s="81"/>
      <c r="BP9545" s="81"/>
      <c r="BQ9545" s="81"/>
      <c r="BR9545" s="81"/>
      <c r="BS9545" s="81"/>
      <c r="BT9545" s="81"/>
    </row>
    <row r="9546" spans="65:72" x14ac:dyDescent="0.25">
      <c r="BM9546" s="81"/>
      <c r="BN9546" s="81"/>
      <c r="BO9546" s="81"/>
      <c r="BP9546" s="81"/>
      <c r="BQ9546" s="81"/>
      <c r="BR9546" s="81"/>
      <c r="BS9546" s="81"/>
      <c r="BT9546" s="81"/>
    </row>
    <row r="9547" spans="65:72" x14ac:dyDescent="0.25">
      <c r="BM9547" s="81"/>
      <c r="BN9547" s="81"/>
      <c r="BO9547" s="81"/>
      <c r="BP9547" s="81"/>
      <c r="BQ9547" s="81"/>
      <c r="BR9547" s="81"/>
      <c r="BS9547" s="81"/>
      <c r="BT9547" s="81"/>
    </row>
    <row r="9548" spans="65:72" x14ac:dyDescent="0.25">
      <c r="BM9548" s="81"/>
      <c r="BN9548" s="81"/>
      <c r="BO9548" s="81"/>
      <c r="BP9548" s="81"/>
      <c r="BQ9548" s="81"/>
      <c r="BR9548" s="81"/>
      <c r="BS9548" s="81"/>
      <c r="BT9548" s="81"/>
    </row>
    <row r="9549" spans="65:72" x14ac:dyDescent="0.25">
      <c r="BM9549" s="81"/>
      <c r="BN9549" s="81"/>
      <c r="BO9549" s="81"/>
      <c r="BP9549" s="81"/>
      <c r="BQ9549" s="81"/>
      <c r="BR9549" s="81"/>
      <c r="BS9549" s="81"/>
      <c r="BT9549" s="81"/>
    </row>
    <row r="9550" spans="65:72" x14ac:dyDescent="0.25">
      <c r="BM9550" s="81"/>
      <c r="BN9550" s="81"/>
      <c r="BO9550" s="81"/>
      <c r="BP9550" s="81"/>
      <c r="BQ9550" s="81"/>
      <c r="BR9550" s="81"/>
      <c r="BS9550" s="81"/>
      <c r="BT9550" s="81"/>
    </row>
    <row r="9551" spans="65:72" x14ac:dyDescent="0.25">
      <c r="BM9551" s="81"/>
      <c r="BN9551" s="81"/>
      <c r="BO9551" s="81"/>
      <c r="BP9551" s="81"/>
      <c r="BQ9551" s="81"/>
      <c r="BR9551" s="81"/>
      <c r="BS9551" s="81"/>
      <c r="BT9551" s="81"/>
    </row>
    <row r="9552" spans="65:72" x14ac:dyDescent="0.25">
      <c r="BM9552" s="81"/>
      <c r="BN9552" s="81"/>
      <c r="BO9552" s="81"/>
      <c r="BP9552" s="81"/>
      <c r="BQ9552" s="81"/>
      <c r="BR9552" s="81"/>
      <c r="BS9552" s="81"/>
      <c r="BT9552" s="81"/>
    </row>
    <row r="9553" spans="65:72" x14ac:dyDescent="0.25">
      <c r="BM9553" s="81"/>
      <c r="BN9553" s="81"/>
      <c r="BO9553" s="81"/>
      <c r="BP9553" s="81"/>
      <c r="BQ9553" s="81"/>
      <c r="BR9553" s="81"/>
      <c r="BS9553" s="81"/>
      <c r="BT9553" s="81"/>
    </row>
    <row r="9554" spans="65:72" x14ac:dyDescent="0.25">
      <c r="BM9554" s="81"/>
      <c r="BN9554" s="81"/>
      <c r="BO9554" s="81"/>
      <c r="BP9554" s="81"/>
      <c r="BQ9554" s="81"/>
      <c r="BR9554" s="81"/>
      <c r="BS9554" s="81"/>
      <c r="BT9554" s="81"/>
    </row>
    <row r="9555" spans="65:72" x14ac:dyDescent="0.25">
      <c r="BM9555" s="81"/>
      <c r="BN9555" s="81"/>
      <c r="BO9555" s="81"/>
      <c r="BP9555" s="81"/>
      <c r="BQ9555" s="81"/>
      <c r="BR9555" s="81"/>
      <c r="BS9555" s="81"/>
      <c r="BT9555" s="81"/>
    </row>
    <row r="9556" spans="65:72" x14ac:dyDescent="0.25">
      <c r="BM9556" s="81"/>
      <c r="BN9556" s="81"/>
      <c r="BO9556" s="81"/>
      <c r="BP9556" s="81"/>
      <c r="BQ9556" s="81"/>
      <c r="BR9556" s="81"/>
      <c r="BS9556" s="81"/>
      <c r="BT9556" s="81"/>
    </row>
    <row r="9557" spans="65:72" x14ac:dyDescent="0.25">
      <c r="BM9557" s="81"/>
      <c r="BN9557" s="81"/>
      <c r="BO9557" s="81"/>
      <c r="BP9557" s="81"/>
      <c r="BQ9557" s="81"/>
      <c r="BR9557" s="81"/>
      <c r="BS9557" s="81"/>
      <c r="BT9557" s="81"/>
    </row>
    <row r="9558" spans="65:72" x14ac:dyDescent="0.25">
      <c r="BM9558" s="81"/>
      <c r="BN9558" s="81"/>
      <c r="BO9558" s="81"/>
      <c r="BP9558" s="81"/>
      <c r="BQ9558" s="81"/>
      <c r="BR9558" s="81"/>
      <c r="BS9558" s="81"/>
      <c r="BT9558" s="81"/>
    </row>
    <row r="9559" spans="65:72" x14ac:dyDescent="0.25">
      <c r="BM9559" s="81"/>
      <c r="BN9559" s="81"/>
      <c r="BO9559" s="81"/>
      <c r="BP9559" s="81"/>
      <c r="BQ9559" s="81"/>
      <c r="BR9559" s="81"/>
      <c r="BS9559" s="81"/>
      <c r="BT9559" s="81"/>
    </row>
    <row r="9560" spans="65:72" x14ac:dyDescent="0.25">
      <c r="BM9560" s="81"/>
      <c r="BN9560" s="81"/>
      <c r="BO9560" s="81"/>
      <c r="BP9560" s="81"/>
      <c r="BQ9560" s="81"/>
      <c r="BR9560" s="81"/>
      <c r="BS9560" s="81"/>
      <c r="BT9560" s="81"/>
    </row>
    <row r="9561" spans="65:72" x14ac:dyDescent="0.25">
      <c r="BM9561" s="81"/>
      <c r="BN9561" s="81"/>
      <c r="BO9561" s="81"/>
      <c r="BP9561" s="81"/>
      <c r="BQ9561" s="81"/>
      <c r="BR9561" s="81"/>
      <c r="BS9561" s="81"/>
      <c r="BT9561" s="81"/>
    </row>
    <row r="9562" spans="65:72" x14ac:dyDescent="0.25">
      <c r="BM9562" s="81"/>
      <c r="BN9562" s="81"/>
      <c r="BO9562" s="81"/>
      <c r="BP9562" s="81"/>
      <c r="BQ9562" s="81"/>
      <c r="BR9562" s="81"/>
      <c r="BS9562" s="81"/>
      <c r="BT9562" s="81"/>
    </row>
    <row r="9563" spans="65:72" x14ac:dyDescent="0.25">
      <c r="BM9563" s="81"/>
      <c r="BN9563" s="81"/>
      <c r="BO9563" s="81"/>
      <c r="BP9563" s="81"/>
      <c r="BQ9563" s="81"/>
      <c r="BR9563" s="81"/>
      <c r="BS9563" s="81"/>
      <c r="BT9563" s="81"/>
    </row>
    <row r="9564" spans="65:72" x14ac:dyDescent="0.25">
      <c r="BM9564" s="81"/>
      <c r="BN9564" s="81"/>
      <c r="BO9564" s="81"/>
      <c r="BP9564" s="81"/>
      <c r="BQ9564" s="81"/>
      <c r="BR9564" s="81"/>
      <c r="BS9564" s="81"/>
      <c r="BT9564" s="81"/>
    </row>
    <row r="9565" spans="65:72" x14ac:dyDescent="0.25">
      <c r="BM9565" s="81"/>
      <c r="BN9565" s="81"/>
      <c r="BO9565" s="81"/>
      <c r="BP9565" s="81"/>
      <c r="BQ9565" s="81"/>
      <c r="BR9565" s="81"/>
      <c r="BS9565" s="81"/>
      <c r="BT9565" s="81"/>
    </row>
    <row r="9566" spans="65:72" x14ac:dyDescent="0.25">
      <c r="BM9566" s="81"/>
      <c r="BN9566" s="81"/>
      <c r="BO9566" s="81"/>
      <c r="BP9566" s="81"/>
      <c r="BQ9566" s="81"/>
      <c r="BR9566" s="81"/>
      <c r="BS9566" s="81"/>
      <c r="BT9566" s="81"/>
    </row>
    <row r="9567" spans="65:72" x14ac:dyDescent="0.25">
      <c r="BM9567" s="81"/>
      <c r="BN9567" s="81"/>
      <c r="BO9567" s="81"/>
      <c r="BP9567" s="81"/>
      <c r="BQ9567" s="81"/>
      <c r="BR9567" s="81"/>
      <c r="BS9567" s="81"/>
      <c r="BT9567" s="81"/>
    </row>
    <row r="9568" spans="65:72" x14ac:dyDescent="0.25">
      <c r="BM9568" s="81"/>
      <c r="BN9568" s="81"/>
      <c r="BO9568" s="81"/>
      <c r="BP9568" s="81"/>
      <c r="BQ9568" s="81"/>
      <c r="BR9568" s="81"/>
      <c r="BS9568" s="81"/>
      <c r="BT9568" s="81"/>
    </row>
    <row r="9569" spans="65:72" x14ac:dyDescent="0.25">
      <c r="BM9569" s="81"/>
      <c r="BN9569" s="81"/>
      <c r="BO9569" s="81"/>
      <c r="BP9569" s="81"/>
      <c r="BQ9569" s="81"/>
      <c r="BR9569" s="81"/>
      <c r="BS9569" s="81"/>
      <c r="BT9569" s="81"/>
    </row>
    <row r="9570" spans="65:72" x14ac:dyDescent="0.25">
      <c r="BM9570" s="81"/>
      <c r="BN9570" s="81"/>
      <c r="BO9570" s="81"/>
      <c r="BP9570" s="81"/>
      <c r="BQ9570" s="81"/>
      <c r="BR9570" s="81"/>
      <c r="BS9570" s="81"/>
      <c r="BT9570" s="81"/>
    </row>
    <row r="9571" spans="65:72" x14ac:dyDescent="0.25">
      <c r="BM9571" s="81"/>
      <c r="BN9571" s="81"/>
      <c r="BO9571" s="81"/>
      <c r="BP9571" s="81"/>
      <c r="BQ9571" s="81"/>
      <c r="BR9571" s="81"/>
      <c r="BS9571" s="81"/>
      <c r="BT9571" s="81"/>
    </row>
    <row r="9572" spans="65:72" x14ac:dyDescent="0.25">
      <c r="BM9572" s="81"/>
      <c r="BN9572" s="81"/>
      <c r="BO9572" s="81"/>
      <c r="BP9572" s="81"/>
      <c r="BQ9572" s="81"/>
      <c r="BR9572" s="81"/>
      <c r="BS9572" s="81"/>
      <c r="BT9572" s="81"/>
    </row>
    <row r="9573" spans="65:72" x14ac:dyDescent="0.25">
      <c r="BM9573" s="81"/>
      <c r="BN9573" s="81"/>
      <c r="BO9573" s="81"/>
      <c r="BP9573" s="81"/>
      <c r="BQ9573" s="81"/>
      <c r="BR9573" s="81"/>
      <c r="BS9573" s="81"/>
      <c r="BT9573" s="81"/>
    </row>
    <row r="9574" spans="65:72" x14ac:dyDescent="0.25">
      <c r="BM9574" s="81"/>
      <c r="BN9574" s="81"/>
      <c r="BO9574" s="81"/>
      <c r="BP9574" s="81"/>
      <c r="BQ9574" s="81"/>
      <c r="BR9574" s="81"/>
      <c r="BS9574" s="81"/>
      <c r="BT9574" s="81"/>
    </row>
    <row r="9575" spans="65:72" x14ac:dyDescent="0.25">
      <c r="BM9575" s="81"/>
      <c r="BN9575" s="81"/>
      <c r="BO9575" s="81"/>
      <c r="BP9575" s="81"/>
      <c r="BQ9575" s="81"/>
      <c r="BR9575" s="81"/>
      <c r="BS9575" s="81"/>
      <c r="BT9575" s="81"/>
    </row>
    <row r="9576" spans="65:72" x14ac:dyDescent="0.25">
      <c r="BM9576" s="81"/>
      <c r="BN9576" s="81"/>
      <c r="BO9576" s="81"/>
      <c r="BP9576" s="81"/>
      <c r="BQ9576" s="81"/>
      <c r="BR9576" s="81"/>
      <c r="BS9576" s="81"/>
      <c r="BT9576" s="81"/>
    </row>
    <row r="9577" spans="65:72" x14ac:dyDescent="0.25">
      <c r="BM9577" s="81"/>
      <c r="BN9577" s="81"/>
      <c r="BO9577" s="81"/>
      <c r="BP9577" s="81"/>
      <c r="BQ9577" s="81"/>
      <c r="BR9577" s="81"/>
      <c r="BS9577" s="81"/>
      <c r="BT9577" s="81"/>
    </row>
    <row r="9578" spans="65:72" x14ac:dyDescent="0.25">
      <c r="BM9578" s="81"/>
      <c r="BN9578" s="81"/>
      <c r="BO9578" s="81"/>
      <c r="BP9578" s="81"/>
      <c r="BQ9578" s="81"/>
      <c r="BR9578" s="81"/>
      <c r="BS9578" s="81"/>
      <c r="BT9578" s="81"/>
    </row>
    <row r="9579" spans="65:72" x14ac:dyDescent="0.25">
      <c r="BM9579" s="81"/>
      <c r="BN9579" s="81"/>
      <c r="BO9579" s="81"/>
      <c r="BP9579" s="81"/>
      <c r="BQ9579" s="81"/>
      <c r="BR9579" s="81"/>
      <c r="BS9579" s="81"/>
      <c r="BT9579" s="81"/>
    </row>
    <row r="9580" spans="65:72" x14ac:dyDescent="0.25">
      <c r="BM9580" s="81"/>
      <c r="BN9580" s="81"/>
      <c r="BO9580" s="81"/>
      <c r="BP9580" s="81"/>
      <c r="BQ9580" s="81"/>
      <c r="BR9580" s="81"/>
      <c r="BS9580" s="81"/>
      <c r="BT9580" s="81"/>
    </row>
    <row r="9581" spans="65:72" x14ac:dyDescent="0.25">
      <c r="BM9581" s="81"/>
      <c r="BN9581" s="81"/>
      <c r="BO9581" s="81"/>
      <c r="BP9581" s="81"/>
      <c r="BQ9581" s="81"/>
      <c r="BR9581" s="81"/>
      <c r="BS9581" s="81"/>
      <c r="BT9581" s="81"/>
    </row>
    <row r="9582" spans="65:72" x14ac:dyDescent="0.25">
      <c r="BM9582" s="81"/>
      <c r="BN9582" s="81"/>
      <c r="BO9582" s="81"/>
      <c r="BP9582" s="81"/>
      <c r="BQ9582" s="81"/>
      <c r="BR9582" s="81"/>
      <c r="BS9582" s="81"/>
      <c r="BT9582" s="81"/>
    </row>
    <row r="9583" spans="65:72" x14ac:dyDescent="0.25">
      <c r="BM9583" s="81"/>
      <c r="BN9583" s="81"/>
      <c r="BO9583" s="81"/>
      <c r="BP9583" s="81"/>
      <c r="BQ9583" s="81"/>
      <c r="BR9583" s="81"/>
      <c r="BS9583" s="81"/>
      <c r="BT9583" s="81"/>
    </row>
    <row r="9584" spans="65:72" x14ac:dyDescent="0.25">
      <c r="BM9584" s="81"/>
      <c r="BN9584" s="81"/>
      <c r="BO9584" s="81"/>
      <c r="BP9584" s="81"/>
      <c r="BQ9584" s="81"/>
      <c r="BR9584" s="81"/>
      <c r="BS9584" s="81"/>
      <c r="BT9584" s="81"/>
    </row>
    <row r="9585" spans="65:72" x14ac:dyDescent="0.25">
      <c r="BM9585" s="81"/>
      <c r="BN9585" s="81"/>
      <c r="BO9585" s="81"/>
      <c r="BP9585" s="81"/>
      <c r="BQ9585" s="81"/>
      <c r="BR9585" s="81"/>
      <c r="BS9585" s="81"/>
      <c r="BT9585" s="81"/>
    </row>
    <row r="9586" spans="65:72" x14ac:dyDescent="0.25">
      <c r="BM9586" s="81"/>
      <c r="BN9586" s="81"/>
      <c r="BO9586" s="81"/>
      <c r="BP9586" s="81"/>
      <c r="BQ9586" s="81"/>
      <c r="BR9586" s="81"/>
      <c r="BS9586" s="81"/>
      <c r="BT9586" s="81"/>
    </row>
    <row r="9587" spans="65:72" x14ac:dyDescent="0.25">
      <c r="BM9587" s="81"/>
      <c r="BN9587" s="81"/>
      <c r="BO9587" s="81"/>
      <c r="BP9587" s="81"/>
      <c r="BQ9587" s="81"/>
      <c r="BR9587" s="81"/>
      <c r="BS9587" s="81"/>
      <c r="BT9587" s="81"/>
    </row>
    <row r="9588" spans="65:72" x14ac:dyDescent="0.25">
      <c r="BM9588" s="81"/>
      <c r="BN9588" s="81"/>
      <c r="BO9588" s="81"/>
      <c r="BP9588" s="81"/>
      <c r="BQ9588" s="81"/>
      <c r="BR9588" s="81"/>
      <c r="BS9588" s="81"/>
      <c r="BT9588" s="81"/>
    </row>
    <row r="9589" spans="65:72" x14ac:dyDescent="0.25">
      <c r="BM9589" s="81"/>
      <c r="BN9589" s="81"/>
      <c r="BO9589" s="81"/>
      <c r="BP9589" s="81"/>
      <c r="BQ9589" s="81"/>
      <c r="BR9589" s="81"/>
      <c r="BS9589" s="81"/>
      <c r="BT9589" s="81"/>
    </row>
    <row r="9590" spans="65:72" x14ac:dyDescent="0.25">
      <c r="BM9590" s="81"/>
      <c r="BN9590" s="81"/>
      <c r="BO9590" s="81"/>
      <c r="BP9590" s="81"/>
      <c r="BQ9590" s="81"/>
      <c r="BR9590" s="81"/>
      <c r="BS9590" s="81"/>
      <c r="BT9590" s="81"/>
    </row>
    <row r="9591" spans="65:72" x14ac:dyDescent="0.25">
      <c r="BM9591" s="81"/>
      <c r="BN9591" s="81"/>
      <c r="BO9591" s="81"/>
      <c r="BP9591" s="81"/>
      <c r="BQ9591" s="81"/>
      <c r="BR9591" s="81"/>
      <c r="BS9591" s="81"/>
      <c r="BT9591" s="81"/>
    </row>
    <row r="9592" spans="65:72" x14ac:dyDescent="0.25">
      <c r="BM9592" s="81"/>
      <c r="BN9592" s="81"/>
      <c r="BO9592" s="81"/>
      <c r="BP9592" s="81"/>
      <c r="BQ9592" s="81"/>
      <c r="BR9592" s="81"/>
      <c r="BS9592" s="81"/>
      <c r="BT9592" s="81"/>
    </row>
    <row r="9593" spans="65:72" x14ac:dyDescent="0.25">
      <c r="BM9593" s="81"/>
      <c r="BN9593" s="81"/>
      <c r="BO9593" s="81"/>
      <c r="BP9593" s="81"/>
      <c r="BQ9593" s="81"/>
      <c r="BR9593" s="81"/>
      <c r="BS9593" s="81"/>
      <c r="BT9593" s="81"/>
    </row>
    <row r="9594" spans="65:72" x14ac:dyDescent="0.25">
      <c r="BM9594" s="81"/>
      <c r="BN9594" s="81"/>
      <c r="BO9594" s="81"/>
      <c r="BP9594" s="81"/>
      <c r="BQ9594" s="81"/>
      <c r="BR9594" s="81"/>
      <c r="BS9594" s="81"/>
      <c r="BT9594" s="81"/>
    </row>
    <row r="9595" spans="65:72" x14ac:dyDescent="0.25">
      <c r="BM9595" s="81"/>
      <c r="BN9595" s="81"/>
      <c r="BO9595" s="81"/>
      <c r="BP9595" s="81"/>
      <c r="BQ9595" s="81"/>
      <c r="BR9595" s="81"/>
      <c r="BS9595" s="81"/>
      <c r="BT9595" s="81"/>
    </row>
    <row r="9596" spans="65:72" x14ac:dyDescent="0.25">
      <c r="BM9596" s="81"/>
      <c r="BN9596" s="81"/>
      <c r="BO9596" s="81"/>
      <c r="BP9596" s="81"/>
      <c r="BQ9596" s="81"/>
      <c r="BR9596" s="81"/>
      <c r="BS9596" s="81"/>
      <c r="BT9596" s="81"/>
    </row>
    <row r="9597" spans="65:72" x14ac:dyDescent="0.25">
      <c r="BM9597" s="81"/>
      <c r="BN9597" s="81"/>
      <c r="BO9597" s="81"/>
      <c r="BP9597" s="81"/>
      <c r="BQ9597" s="81"/>
      <c r="BR9597" s="81"/>
      <c r="BS9597" s="81"/>
      <c r="BT9597" s="81"/>
    </row>
    <row r="9598" spans="65:72" x14ac:dyDescent="0.25">
      <c r="BM9598" s="81"/>
      <c r="BN9598" s="81"/>
      <c r="BO9598" s="81"/>
      <c r="BP9598" s="81"/>
      <c r="BQ9598" s="81"/>
      <c r="BR9598" s="81"/>
      <c r="BS9598" s="81"/>
      <c r="BT9598" s="81"/>
    </row>
    <row r="9599" spans="65:72" x14ac:dyDescent="0.25">
      <c r="BM9599" s="81"/>
      <c r="BN9599" s="81"/>
      <c r="BO9599" s="81"/>
      <c r="BP9599" s="81"/>
      <c r="BQ9599" s="81"/>
      <c r="BR9599" s="81"/>
      <c r="BS9599" s="81"/>
      <c r="BT9599" s="81"/>
    </row>
    <row r="9600" spans="65:72" x14ac:dyDescent="0.25">
      <c r="BM9600" s="81"/>
      <c r="BN9600" s="81"/>
      <c r="BO9600" s="81"/>
      <c r="BP9600" s="81"/>
      <c r="BQ9600" s="81"/>
      <c r="BR9600" s="81"/>
      <c r="BS9600" s="81"/>
      <c r="BT9600" s="81"/>
    </row>
    <row r="9601" spans="65:72" x14ac:dyDescent="0.25">
      <c r="BM9601" s="81"/>
      <c r="BN9601" s="81"/>
      <c r="BO9601" s="81"/>
      <c r="BP9601" s="81"/>
      <c r="BQ9601" s="81"/>
      <c r="BR9601" s="81"/>
      <c r="BS9601" s="81"/>
      <c r="BT9601" s="81"/>
    </row>
    <row r="9602" spans="65:72" x14ac:dyDescent="0.25">
      <c r="BM9602" s="81"/>
      <c r="BN9602" s="81"/>
      <c r="BO9602" s="81"/>
      <c r="BP9602" s="81"/>
      <c r="BQ9602" s="81"/>
      <c r="BR9602" s="81"/>
      <c r="BS9602" s="81"/>
      <c r="BT9602" s="81"/>
    </row>
    <row r="9603" spans="65:72" x14ac:dyDescent="0.25">
      <c r="BM9603" s="81"/>
      <c r="BN9603" s="81"/>
      <c r="BO9603" s="81"/>
      <c r="BP9603" s="81"/>
      <c r="BQ9603" s="81"/>
      <c r="BR9603" s="81"/>
      <c r="BS9603" s="81"/>
      <c r="BT9603" s="81"/>
    </row>
    <row r="9604" spans="65:72" x14ac:dyDescent="0.25">
      <c r="BM9604" s="81"/>
      <c r="BN9604" s="81"/>
      <c r="BO9604" s="81"/>
      <c r="BP9604" s="81"/>
      <c r="BQ9604" s="81"/>
      <c r="BR9604" s="81"/>
      <c r="BS9604" s="81"/>
      <c r="BT9604" s="81"/>
    </row>
    <row r="9605" spans="65:72" x14ac:dyDescent="0.25">
      <c r="BM9605" s="81"/>
      <c r="BN9605" s="81"/>
      <c r="BO9605" s="81"/>
      <c r="BP9605" s="81"/>
      <c r="BQ9605" s="81"/>
      <c r="BR9605" s="81"/>
      <c r="BS9605" s="81"/>
      <c r="BT9605" s="81"/>
    </row>
    <row r="9606" spans="65:72" x14ac:dyDescent="0.25">
      <c r="BM9606" s="81"/>
      <c r="BN9606" s="81"/>
      <c r="BO9606" s="81"/>
      <c r="BP9606" s="81"/>
      <c r="BQ9606" s="81"/>
      <c r="BR9606" s="81"/>
      <c r="BS9606" s="81"/>
      <c r="BT9606" s="81"/>
    </row>
    <row r="9607" spans="65:72" x14ac:dyDescent="0.25">
      <c r="BM9607" s="81"/>
      <c r="BN9607" s="81"/>
      <c r="BO9607" s="81"/>
      <c r="BP9607" s="81"/>
      <c r="BQ9607" s="81"/>
      <c r="BR9607" s="81"/>
      <c r="BS9607" s="81"/>
      <c r="BT9607" s="81"/>
    </row>
    <row r="9608" spans="65:72" x14ac:dyDescent="0.25">
      <c r="BM9608" s="81"/>
      <c r="BN9608" s="81"/>
      <c r="BO9608" s="81"/>
      <c r="BP9608" s="81"/>
      <c r="BQ9608" s="81"/>
      <c r="BR9608" s="81"/>
      <c r="BS9608" s="81"/>
      <c r="BT9608" s="81"/>
    </row>
    <row r="9609" spans="65:72" x14ac:dyDescent="0.25">
      <c r="BM9609" s="81"/>
      <c r="BN9609" s="81"/>
      <c r="BO9609" s="81"/>
      <c r="BP9609" s="81"/>
      <c r="BQ9609" s="81"/>
      <c r="BR9609" s="81"/>
      <c r="BS9609" s="81"/>
      <c r="BT9609" s="81"/>
    </row>
    <row r="9610" spans="65:72" x14ac:dyDescent="0.25">
      <c r="BM9610" s="81"/>
      <c r="BN9610" s="81"/>
      <c r="BO9610" s="81"/>
      <c r="BP9610" s="81"/>
      <c r="BQ9610" s="81"/>
      <c r="BR9610" s="81"/>
      <c r="BS9610" s="81"/>
      <c r="BT9610" s="81"/>
    </row>
    <row r="9611" spans="65:72" x14ac:dyDescent="0.25">
      <c r="BM9611" s="81"/>
      <c r="BN9611" s="81"/>
      <c r="BO9611" s="81"/>
      <c r="BP9611" s="81"/>
      <c r="BQ9611" s="81"/>
      <c r="BR9611" s="81"/>
      <c r="BS9611" s="81"/>
      <c r="BT9611" s="81"/>
    </row>
    <row r="9612" spans="65:72" x14ac:dyDescent="0.25">
      <c r="BM9612" s="81"/>
      <c r="BN9612" s="81"/>
      <c r="BO9612" s="81"/>
      <c r="BP9612" s="81"/>
      <c r="BQ9612" s="81"/>
      <c r="BR9612" s="81"/>
      <c r="BS9612" s="81"/>
      <c r="BT9612" s="81"/>
    </row>
    <row r="9613" spans="65:72" x14ac:dyDescent="0.25">
      <c r="BM9613" s="81"/>
      <c r="BN9613" s="81"/>
      <c r="BO9613" s="81"/>
      <c r="BP9613" s="81"/>
      <c r="BQ9613" s="81"/>
      <c r="BR9613" s="81"/>
      <c r="BS9613" s="81"/>
      <c r="BT9613" s="81"/>
    </row>
    <row r="9614" spans="65:72" x14ac:dyDescent="0.25">
      <c r="BM9614" s="81"/>
      <c r="BN9614" s="81"/>
      <c r="BO9614" s="81"/>
      <c r="BP9614" s="81"/>
      <c r="BQ9614" s="81"/>
      <c r="BR9614" s="81"/>
      <c r="BS9614" s="81"/>
      <c r="BT9614" s="81"/>
    </row>
    <row r="9615" spans="65:72" x14ac:dyDescent="0.25">
      <c r="BM9615" s="81"/>
      <c r="BN9615" s="81"/>
      <c r="BO9615" s="81"/>
      <c r="BP9615" s="81"/>
      <c r="BQ9615" s="81"/>
      <c r="BR9615" s="81"/>
      <c r="BS9615" s="81"/>
      <c r="BT9615" s="81"/>
    </row>
    <row r="9616" spans="65:72" x14ac:dyDescent="0.25">
      <c r="BM9616" s="81"/>
      <c r="BN9616" s="81"/>
      <c r="BO9616" s="81"/>
      <c r="BP9616" s="81"/>
      <c r="BQ9616" s="81"/>
      <c r="BR9616" s="81"/>
      <c r="BS9616" s="81"/>
      <c r="BT9616" s="81"/>
    </row>
    <row r="9617" spans="65:72" x14ac:dyDescent="0.25">
      <c r="BM9617" s="81"/>
      <c r="BN9617" s="81"/>
      <c r="BO9617" s="81"/>
      <c r="BP9617" s="81"/>
      <c r="BQ9617" s="81"/>
      <c r="BR9617" s="81"/>
      <c r="BS9617" s="81"/>
      <c r="BT9617" s="81"/>
    </row>
    <row r="9618" spans="65:72" x14ac:dyDescent="0.25">
      <c r="BM9618" s="81"/>
      <c r="BN9618" s="81"/>
      <c r="BO9618" s="81"/>
      <c r="BP9618" s="81"/>
      <c r="BQ9618" s="81"/>
      <c r="BR9618" s="81"/>
      <c r="BS9618" s="81"/>
      <c r="BT9618" s="81"/>
    </row>
    <row r="9619" spans="65:72" x14ac:dyDescent="0.25">
      <c r="BM9619" s="81"/>
      <c r="BN9619" s="81"/>
      <c r="BO9619" s="81"/>
      <c r="BP9619" s="81"/>
      <c r="BQ9619" s="81"/>
      <c r="BR9619" s="81"/>
      <c r="BS9619" s="81"/>
      <c r="BT9619" s="81"/>
    </row>
    <row r="9620" spans="65:72" x14ac:dyDescent="0.25">
      <c r="BM9620" s="81"/>
      <c r="BN9620" s="81"/>
      <c r="BO9620" s="81"/>
      <c r="BP9620" s="81"/>
      <c r="BQ9620" s="81"/>
      <c r="BR9620" s="81"/>
      <c r="BS9620" s="81"/>
      <c r="BT9620" s="81"/>
    </row>
    <row r="9621" spans="65:72" x14ac:dyDescent="0.25">
      <c r="BM9621" s="81"/>
      <c r="BN9621" s="81"/>
      <c r="BO9621" s="81"/>
      <c r="BP9621" s="81"/>
      <c r="BQ9621" s="81"/>
      <c r="BR9621" s="81"/>
      <c r="BS9621" s="81"/>
      <c r="BT9621" s="81"/>
    </row>
    <row r="9622" spans="65:72" x14ac:dyDescent="0.25">
      <c r="BM9622" s="81"/>
      <c r="BN9622" s="81"/>
      <c r="BO9622" s="81"/>
      <c r="BP9622" s="81"/>
      <c r="BQ9622" s="81"/>
      <c r="BR9622" s="81"/>
      <c r="BS9622" s="81"/>
      <c r="BT9622" s="81"/>
    </row>
    <row r="9623" spans="65:72" x14ac:dyDescent="0.25">
      <c r="BM9623" s="81"/>
      <c r="BN9623" s="81"/>
      <c r="BO9623" s="81"/>
      <c r="BP9623" s="81"/>
      <c r="BQ9623" s="81"/>
      <c r="BR9623" s="81"/>
      <c r="BS9623" s="81"/>
      <c r="BT9623" s="81"/>
    </row>
    <row r="9624" spans="65:72" x14ac:dyDescent="0.25">
      <c r="BM9624" s="81"/>
      <c r="BN9624" s="81"/>
      <c r="BO9624" s="81"/>
      <c r="BP9624" s="81"/>
      <c r="BQ9624" s="81"/>
      <c r="BR9624" s="81"/>
      <c r="BS9624" s="81"/>
      <c r="BT9624" s="81"/>
    </row>
    <row r="9625" spans="65:72" x14ac:dyDescent="0.25">
      <c r="BM9625" s="81"/>
      <c r="BN9625" s="81"/>
      <c r="BO9625" s="81"/>
      <c r="BP9625" s="81"/>
      <c r="BQ9625" s="81"/>
      <c r="BR9625" s="81"/>
      <c r="BS9625" s="81"/>
      <c r="BT9625" s="81"/>
    </row>
    <row r="9626" spans="65:72" x14ac:dyDescent="0.25">
      <c r="BM9626" s="81"/>
      <c r="BN9626" s="81"/>
      <c r="BO9626" s="81"/>
      <c r="BP9626" s="81"/>
      <c r="BQ9626" s="81"/>
      <c r="BR9626" s="81"/>
      <c r="BS9626" s="81"/>
      <c r="BT9626" s="81"/>
    </row>
    <row r="9627" spans="65:72" x14ac:dyDescent="0.25">
      <c r="BM9627" s="81"/>
      <c r="BN9627" s="81"/>
      <c r="BO9627" s="81"/>
      <c r="BP9627" s="81"/>
      <c r="BQ9627" s="81"/>
      <c r="BR9627" s="81"/>
      <c r="BS9627" s="81"/>
      <c r="BT9627" s="81"/>
    </row>
    <row r="9628" spans="65:72" x14ac:dyDescent="0.25">
      <c r="BM9628" s="81"/>
      <c r="BN9628" s="81"/>
      <c r="BO9628" s="81"/>
      <c r="BP9628" s="81"/>
      <c r="BQ9628" s="81"/>
      <c r="BR9628" s="81"/>
      <c r="BS9628" s="81"/>
      <c r="BT9628" s="81"/>
    </row>
    <row r="9629" spans="65:72" x14ac:dyDescent="0.25">
      <c r="BM9629" s="81"/>
      <c r="BN9629" s="81"/>
      <c r="BO9629" s="81"/>
      <c r="BP9629" s="81"/>
      <c r="BQ9629" s="81"/>
      <c r="BR9629" s="81"/>
      <c r="BS9629" s="81"/>
      <c r="BT9629" s="81"/>
    </row>
    <row r="9630" spans="65:72" x14ac:dyDescent="0.25">
      <c r="BM9630" s="81"/>
      <c r="BN9630" s="81"/>
      <c r="BO9630" s="81"/>
      <c r="BP9630" s="81"/>
      <c r="BQ9630" s="81"/>
      <c r="BR9630" s="81"/>
      <c r="BS9630" s="81"/>
      <c r="BT9630" s="81"/>
    </row>
    <row r="9631" spans="65:72" x14ac:dyDescent="0.25">
      <c r="BM9631" s="81"/>
      <c r="BN9631" s="81"/>
      <c r="BO9631" s="81"/>
      <c r="BP9631" s="81"/>
      <c r="BQ9631" s="81"/>
      <c r="BR9631" s="81"/>
      <c r="BS9631" s="81"/>
      <c r="BT9631" s="81"/>
    </row>
    <row r="9632" spans="65:72" x14ac:dyDescent="0.25">
      <c r="BM9632" s="81"/>
      <c r="BN9632" s="81"/>
      <c r="BO9632" s="81"/>
      <c r="BP9632" s="81"/>
      <c r="BQ9632" s="81"/>
      <c r="BR9632" s="81"/>
      <c r="BS9632" s="81"/>
      <c r="BT9632" s="81"/>
    </row>
    <row r="9633" spans="65:72" x14ac:dyDescent="0.25">
      <c r="BM9633" s="81"/>
      <c r="BN9633" s="81"/>
      <c r="BO9633" s="81"/>
      <c r="BP9633" s="81"/>
      <c r="BQ9633" s="81"/>
      <c r="BR9633" s="81"/>
      <c r="BS9633" s="81"/>
      <c r="BT9633" s="81"/>
    </row>
    <row r="9634" spans="65:72" x14ac:dyDescent="0.25">
      <c r="BM9634" s="81"/>
      <c r="BN9634" s="81"/>
      <c r="BO9634" s="81"/>
      <c r="BP9634" s="81"/>
      <c r="BQ9634" s="81"/>
      <c r="BR9634" s="81"/>
      <c r="BS9634" s="81"/>
      <c r="BT9634" s="81"/>
    </row>
    <row r="9635" spans="65:72" x14ac:dyDescent="0.25">
      <c r="BM9635" s="81"/>
      <c r="BN9635" s="81"/>
      <c r="BO9635" s="81"/>
      <c r="BP9635" s="81"/>
      <c r="BQ9635" s="81"/>
      <c r="BR9635" s="81"/>
      <c r="BS9635" s="81"/>
      <c r="BT9635" s="81"/>
    </row>
    <row r="9636" spans="65:72" x14ac:dyDescent="0.25">
      <c r="BM9636" s="81"/>
      <c r="BN9636" s="81"/>
      <c r="BO9636" s="81"/>
      <c r="BP9636" s="81"/>
      <c r="BQ9636" s="81"/>
      <c r="BR9636" s="81"/>
      <c r="BS9636" s="81"/>
      <c r="BT9636" s="81"/>
    </row>
    <row r="9637" spans="65:72" x14ac:dyDescent="0.25">
      <c r="BM9637" s="81"/>
      <c r="BN9637" s="81"/>
      <c r="BO9637" s="81"/>
      <c r="BP9637" s="81"/>
      <c r="BQ9637" s="81"/>
      <c r="BR9637" s="81"/>
      <c r="BS9637" s="81"/>
      <c r="BT9637" s="81"/>
    </row>
    <row r="9638" spans="65:72" x14ac:dyDescent="0.25">
      <c r="BM9638" s="81"/>
      <c r="BN9638" s="81"/>
      <c r="BO9638" s="81"/>
      <c r="BP9638" s="81"/>
      <c r="BQ9638" s="81"/>
      <c r="BR9638" s="81"/>
      <c r="BS9638" s="81"/>
      <c r="BT9638" s="81"/>
    </row>
    <row r="9639" spans="65:72" x14ac:dyDescent="0.25">
      <c r="BM9639" s="81"/>
      <c r="BN9639" s="81"/>
      <c r="BO9639" s="81"/>
      <c r="BP9639" s="81"/>
      <c r="BQ9639" s="81"/>
      <c r="BR9639" s="81"/>
      <c r="BS9639" s="81"/>
      <c r="BT9639" s="81"/>
    </row>
    <row r="9640" spans="65:72" x14ac:dyDescent="0.25">
      <c r="BM9640" s="81"/>
      <c r="BN9640" s="81"/>
      <c r="BO9640" s="81"/>
      <c r="BP9640" s="81"/>
      <c r="BQ9640" s="81"/>
      <c r="BR9640" s="81"/>
      <c r="BS9640" s="81"/>
      <c r="BT9640" s="81"/>
    </row>
    <row r="9641" spans="65:72" x14ac:dyDescent="0.25">
      <c r="BM9641" s="81"/>
      <c r="BN9641" s="81"/>
      <c r="BO9641" s="81"/>
      <c r="BP9641" s="81"/>
      <c r="BQ9641" s="81"/>
      <c r="BR9641" s="81"/>
      <c r="BS9641" s="81"/>
      <c r="BT9641" s="81"/>
    </row>
    <row r="9642" spans="65:72" x14ac:dyDescent="0.25">
      <c r="BM9642" s="81"/>
      <c r="BN9642" s="81"/>
      <c r="BO9642" s="81"/>
      <c r="BP9642" s="81"/>
      <c r="BQ9642" s="81"/>
      <c r="BR9642" s="81"/>
      <c r="BS9642" s="81"/>
      <c r="BT9642" s="81"/>
    </row>
    <row r="9643" spans="65:72" x14ac:dyDescent="0.25">
      <c r="BM9643" s="81"/>
      <c r="BN9643" s="81"/>
      <c r="BO9643" s="81"/>
      <c r="BP9643" s="81"/>
      <c r="BQ9643" s="81"/>
      <c r="BR9643" s="81"/>
      <c r="BS9643" s="81"/>
      <c r="BT9643" s="81"/>
    </row>
    <row r="9644" spans="65:72" x14ac:dyDescent="0.25">
      <c r="BM9644" s="81"/>
      <c r="BN9644" s="81"/>
      <c r="BO9644" s="81"/>
      <c r="BP9644" s="81"/>
      <c r="BQ9644" s="81"/>
      <c r="BR9644" s="81"/>
      <c r="BS9644" s="81"/>
      <c r="BT9644" s="81"/>
    </row>
    <row r="9645" spans="65:72" x14ac:dyDescent="0.25">
      <c r="BM9645" s="81"/>
      <c r="BN9645" s="81"/>
      <c r="BO9645" s="81"/>
      <c r="BP9645" s="81"/>
      <c r="BQ9645" s="81"/>
      <c r="BR9645" s="81"/>
      <c r="BS9645" s="81"/>
      <c r="BT9645" s="81"/>
    </row>
    <row r="9646" spans="65:72" x14ac:dyDescent="0.25">
      <c r="BM9646" s="81"/>
      <c r="BN9646" s="81"/>
      <c r="BO9646" s="81"/>
      <c r="BP9646" s="81"/>
      <c r="BQ9646" s="81"/>
      <c r="BR9646" s="81"/>
      <c r="BS9646" s="81"/>
      <c r="BT9646" s="81"/>
    </row>
    <row r="9647" spans="65:72" x14ac:dyDescent="0.25">
      <c r="BM9647" s="81"/>
      <c r="BN9647" s="81"/>
      <c r="BO9647" s="81"/>
      <c r="BP9647" s="81"/>
      <c r="BQ9647" s="81"/>
      <c r="BR9647" s="81"/>
      <c r="BS9647" s="81"/>
      <c r="BT9647" s="81"/>
    </row>
    <row r="9648" spans="65:72" x14ac:dyDescent="0.25">
      <c r="BM9648" s="81"/>
      <c r="BN9648" s="81"/>
      <c r="BO9648" s="81"/>
      <c r="BP9648" s="81"/>
      <c r="BQ9648" s="81"/>
      <c r="BR9648" s="81"/>
      <c r="BS9648" s="81"/>
      <c r="BT9648" s="81"/>
    </row>
    <row r="9649" spans="65:72" x14ac:dyDescent="0.25">
      <c r="BM9649" s="81"/>
      <c r="BN9649" s="81"/>
      <c r="BO9649" s="81"/>
      <c r="BP9649" s="81"/>
      <c r="BQ9649" s="81"/>
      <c r="BR9649" s="81"/>
      <c r="BS9649" s="81"/>
      <c r="BT9649" s="81"/>
    </row>
    <row r="9650" spans="65:72" x14ac:dyDescent="0.25">
      <c r="BM9650" s="81"/>
      <c r="BN9650" s="81"/>
      <c r="BO9650" s="81"/>
      <c r="BP9650" s="81"/>
      <c r="BQ9650" s="81"/>
      <c r="BR9650" s="81"/>
      <c r="BS9650" s="81"/>
      <c r="BT9650" s="81"/>
    </row>
    <row r="9651" spans="65:72" x14ac:dyDescent="0.25">
      <c r="BM9651" s="81"/>
      <c r="BN9651" s="81"/>
      <c r="BO9651" s="81"/>
      <c r="BP9651" s="81"/>
      <c r="BQ9651" s="81"/>
      <c r="BR9651" s="81"/>
      <c r="BS9651" s="81"/>
      <c r="BT9651" s="81"/>
    </row>
    <row r="9652" spans="65:72" x14ac:dyDescent="0.25">
      <c r="BM9652" s="81"/>
      <c r="BN9652" s="81"/>
      <c r="BO9652" s="81"/>
      <c r="BP9652" s="81"/>
      <c r="BQ9652" s="81"/>
      <c r="BR9652" s="81"/>
      <c r="BS9652" s="81"/>
      <c r="BT9652" s="81"/>
    </row>
    <row r="9653" spans="65:72" x14ac:dyDescent="0.25">
      <c r="BM9653" s="81"/>
      <c r="BN9653" s="81"/>
      <c r="BO9653" s="81"/>
      <c r="BP9653" s="81"/>
      <c r="BQ9653" s="81"/>
      <c r="BR9653" s="81"/>
      <c r="BS9653" s="81"/>
      <c r="BT9653" s="81"/>
    </row>
    <row r="9654" spans="65:72" x14ac:dyDescent="0.25">
      <c r="BM9654" s="81"/>
      <c r="BN9654" s="81"/>
      <c r="BO9654" s="81"/>
      <c r="BP9654" s="81"/>
      <c r="BQ9654" s="81"/>
      <c r="BR9654" s="81"/>
      <c r="BS9654" s="81"/>
      <c r="BT9654" s="81"/>
    </row>
    <row r="9655" spans="65:72" x14ac:dyDescent="0.25">
      <c r="BM9655" s="81"/>
      <c r="BN9655" s="81"/>
      <c r="BO9655" s="81"/>
      <c r="BP9655" s="81"/>
      <c r="BQ9655" s="81"/>
      <c r="BR9655" s="81"/>
      <c r="BS9655" s="81"/>
      <c r="BT9655" s="81"/>
    </row>
    <row r="9656" spans="65:72" x14ac:dyDescent="0.25">
      <c r="BM9656" s="81"/>
      <c r="BN9656" s="81"/>
      <c r="BO9656" s="81"/>
      <c r="BP9656" s="81"/>
      <c r="BQ9656" s="81"/>
      <c r="BR9656" s="81"/>
      <c r="BS9656" s="81"/>
      <c r="BT9656" s="81"/>
    </row>
    <row r="9657" spans="65:72" x14ac:dyDescent="0.25">
      <c r="BM9657" s="81"/>
      <c r="BN9657" s="81"/>
      <c r="BO9657" s="81"/>
      <c r="BP9657" s="81"/>
      <c r="BQ9657" s="81"/>
      <c r="BR9657" s="81"/>
      <c r="BS9657" s="81"/>
      <c r="BT9657" s="81"/>
    </row>
    <row r="9658" spans="65:72" x14ac:dyDescent="0.25">
      <c r="BM9658" s="81"/>
      <c r="BN9658" s="81"/>
      <c r="BO9658" s="81"/>
      <c r="BP9658" s="81"/>
      <c r="BQ9658" s="81"/>
      <c r="BR9658" s="81"/>
      <c r="BS9658" s="81"/>
      <c r="BT9658" s="81"/>
    </row>
    <row r="9659" spans="65:72" x14ac:dyDescent="0.25">
      <c r="BM9659" s="81"/>
      <c r="BN9659" s="81"/>
      <c r="BO9659" s="81"/>
      <c r="BP9659" s="81"/>
      <c r="BQ9659" s="81"/>
      <c r="BR9659" s="81"/>
      <c r="BS9659" s="81"/>
      <c r="BT9659" s="81"/>
    </row>
    <row r="9660" spans="65:72" x14ac:dyDescent="0.25">
      <c r="BM9660" s="81"/>
      <c r="BN9660" s="81"/>
      <c r="BO9660" s="81"/>
      <c r="BP9660" s="81"/>
      <c r="BQ9660" s="81"/>
      <c r="BR9660" s="81"/>
      <c r="BS9660" s="81"/>
      <c r="BT9660" s="81"/>
    </row>
    <row r="9661" spans="65:72" x14ac:dyDescent="0.25">
      <c r="BM9661" s="81"/>
      <c r="BN9661" s="81"/>
      <c r="BO9661" s="81"/>
      <c r="BP9661" s="81"/>
      <c r="BQ9661" s="81"/>
      <c r="BR9661" s="81"/>
      <c r="BS9661" s="81"/>
      <c r="BT9661" s="81"/>
    </row>
    <row r="9662" spans="65:72" x14ac:dyDescent="0.25">
      <c r="BM9662" s="81"/>
      <c r="BN9662" s="81"/>
      <c r="BO9662" s="81"/>
      <c r="BP9662" s="81"/>
      <c r="BQ9662" s="81"/>
      <c r="BR9662" s="81"/>
      <c r="BS9662" s="81"/>
      <c r="BT9662" s="81"/>
    </row>
    <row r="9663" spans="65:72" x14ac:dyDescent="0.25">
      <c r="BM9663" s="81"/>
      <c r="BN9663" s="81"/>
      <c r="BO9663" s="81"/>
      <c r="BP9663" s="81"/>
      <c r="BQ9663" s="81"/>
      <c r="BR9663" s="81"/>
      <c r="BS9663" s="81"/>
      <c r="BT9663" s="81"/>
    </row>
    <row r="9664" spans="65:72" x14ac:dyDescent="0.25">
      <c r="BM9664" s="81"/>
      <c r="BN9664" s="81"/>
      <c r="BO9664" s="81"/>
      <c r="BP9664" s="81"/>
      <c r="BQ9664" s="81"/>
      <c r="BR9664" s="81"/>
      <c r="BS9664" s="81"/>
      <c r="BT9664" s="81"/>
    </row>
    <row r="9665" spans="65:72" x14ac:dyDescent="0.25">
      <c r="BM9665" s="81"/>
      <c r="BN9665" s="81"/>
      <c r="BO9665" s="81"/>
      <c r="BP9665" s="81"/>
      <c r="BQ9665" s="81"/>
      <c r="BR9665" s="81"/>
      <c r="BS9665" s="81"/>
      <c r="BT9665" s="81"/>
    </row>
    <row r="9666" spans="65:72" x14ac:dyDescent="0.25">
      <c r="BM9666" s="81"/>
      <c r="BN9666" s="81"/>
      <c r="BO9666" s="81"/>
      <c r="BP9666" s="81"/>
      <c r="BQ9666" s="81"/>
      <c r="BR9666" s="81"/>
      <c r="BS9666" s="81"/>
      <c r="BT9666" s="81"/>
    </row>
    <row r="9667" spans="65:72" x14ac:dyDescent="0.25">
      <c r="BM9667" s="81"/>
      <c r="BN9667" s="81"/>
      <c r="BO9667" s="81"/>
      <c r="BP9667" s="81"/>
      <c r="BQ9667" s="81"/>
      <c r="BR9667" s="81"/>
      <c r="BS9667" s="81"/>
      <c r="BT9667" s="81"/>
    </row>
    <row r="9668" spans="65:72" x14ac:dyDescent="0.25">
      <c r="BM9668" s="81"/>
      <c r="BN9668" s="81"/>
      <c r="BO9668" s="81"/>
      <c r="BP9668" s="81"/>
      <c r="BQ9668" s="81"/>
      <c r="BR9668" s="81"/>
      <c r="BS9668" s="81"/>
      <c r="BT9668" s="81"/>
    </row>
    <row r="9669" spans="65:72" x14ac:dyDescent="0.25">
      <c r="BM9669" s="81"/>
      <c r="BN9669" s="81"/>
      <c r="BO9669" s="81"/>
      <c r="BP9669" s="81"/>
      <c r="BQ9669" s="81"/>
      <c r="BR9669" s="81"/>
      <c r="BS9669" s="81"/>
      <c r="BT9669" s="81"/>
    </row>
    <row r="9670" spans="65:72" x14ac:dyDescent="0.25">
      <c r="BM9670" s="81"/>
      <c r="BN9670" s="81"/>
      <c r="BO9670" s="81"/>
      <c r="BP9670" s="81"/>
      <c r="BQ9670" s="81"/>
      <c r="BR9670" s="81"/>
      <c r="BS9670" s="81"/>
      <c r="BT9670" s="81"/>
    </row>
    <row r="9671" spans="65:72" x14ac:dyDescent="0.25">
      <c r="BM9671" s="81"/>
      <c r="BN9671" s="81"/>
      <c r="BO9671" s="81"/>
      <c r="BP9671" s="81"/>
      <c r="BQ9671" s="81"/>
      <c r="BR9671" s="81"/>
      <c r="BS9671" s="81"/>
      <c r="BT9671" s="81"/>
    </row>
    <row r="9672" spans="65:72" x14ac:dyDescent="0.25">
      <c r="BM9672" s="81"/>
      <c r="BN9672" s="81"/>
      <c r="BO9672" s="81"/>
      <c r="BP9672" s="81"/>
      <c r="BQ9672" s="81"/>
      <c r="BR9672" s="81"/>
      <c r="BS9672" s="81"/>
      <c r="BT9672" s="81"/>
    </row>
    <row r="9673" spans="65:72" x14ac:dyDescent="0.25">
      <c r="BM9673" s="81"/>
      <c r="BN9673" s="81"/>
      <c r="BO9673" s="81"/>
      <c r="BP9673" s="81"/>
      <c r="BQ9673" s="81"/>
      <c r="BR9673" s="81"/>
      <c r="BS9673" s="81"/>
      <c r="BT9673" s="81"/>
    </row>
    <row r="9674" spans="65:72" x14ac:dyDescent="0.25">
      <c r="BM9674" s="81"/>
      <c r="BN9674" s="81"/>
      <c r="BO9674" s="81"/>
      <c r="BP9674" s="81"/>
      <c r="BQ9674" s="81"/>
      <c r="BR9674" s="81"/>
      <c r="BS9674" s="81"/>
      <c r="BT9674" s="81"/>
    </row>
    <row r="9675" spans="65:72" x14ac:dyDescent="0.25">
      <c r="BM9675" s="81"/>
      <c r="BN9675" s="81"/>
      <c r="BO9675" s="81"/>
      <c r="BP9675" s="81"/>
      <c r="BQ9675" s="81"/>
      <c r="BR9675" s="81"/>
      <c r="BS9675" s="81"/>
      <c r="BT9675" s="81"/>
    </row>
    <row r="9676" spans="65:72" x14ac:dyDescent="0.25">
      <c r="BM9676" s="81"/>
      <c r="BN9676" s="81"/>
      <c r="BO9676" s="81"/>
      <c r="BP9676" s="81"/>
      <c r="BQ9676" s="81"/>
      <c r="BR9676" s="81"/>
      <c r="BS9676" s="81"/>
      <c r="BT9676" s="81"/>
    </row>
    <row r="9677" spans="65:72" x14ac:dyDescent="0.25">
      <c r="BM9677" s="81"/>
      <c r="BN9677" s="81"/>
      <c r="BO9677" s="81"/>
      <c r="BP9677" s="81"/>
      <c r="BQ9677" s="81"/>
      <c r="BR9677" s="81"/>
      <c r="BS9677" s="81"/>
      <c r="BT9677" s="81"/>
    </row>
    <row r="9678" spans="65:72" x14ac:dyDescent="0.25">
      <c r="BM9678" s="81"/>
      <c r="BN9678" s="81"/>
      <c r="BO9678" s="81"/>
      <c r="BP9678" s="81"/>
      <c r="BQ9678" s="81"/>
      <c r="BR9678" s="81"/>
      <c r="BS9678" s="81"/>
      <c r="BT9678" s="81"/>
    </row>
    <row r="9679" spans="65:72" x14ac:dyDescent="0.25">
      <c r="BM9679" s="81"/>
      <c r="BN9679" s="81"/>
      <c r="BO9679" s="81"/>
      <c r="BP9679" s="81"/>
      <c r="BQ9679" s="81"/>
      <c r="BR9679" s="81"/>
      <c r="BS9679" s="81"/>
      <c r="BT9679" s="81"/>
    </row>
    <row r="9680" spans="65:72" x14ac:dyDescent="0.25">
      <c r="BM9680" s="81"/>
      <c r="BN9680" s="81"/>
      <c r="BO9680" s="81"/>
      <c r="BP9680" s="81"/>
      <c r="BQ9680" s="81"/>
      <c r="BR9680" s="81"/>
      <c r="BS9680" s="81"/>
      <c r="BT9680" s="81"/>
    </row>
    <row r="9681" spans="65:72" x14ac:dyDescent="0.25">
      <c r="BM9681" s="81"/>
      <c r="BN9681" s="81"/>
      <c r="BO9681" s="81"/>
      <c r="BP9681" s="81"/>
      <c r="BQ9681" s="81"/>
      <c r="BR9681" s="81"/>
      <c r="BS9681" s="81"/>
      <c r="BT9681" s="81"/>
    </row>
    <row r="9682" spans="65:72" x14ac:dyDescent="0.25">
      <c r="BM9682" s="81"/>
      <c r="BN9682" s="81"/>
      <c r="BO9682" s="81"/>
      <c r="BP9682" s="81"/>
      <c r="BQ9682" s="81"/>
      <c r="BR9682" s="81"/>
      <c r="BS9682" s="81"/>
      <c r="BT9682" s="81"/>
    </row>
    <row r="9683" spans="65:72" x14ac:dyDescent="0.25">
      <c r="BM9683" s="81"/>
      <c r="BN9683" s="81"/>
      <c r="BO9683" s="81"/>
      <c r="BP9683" s="81"/>
      <c r="BQ9683" s="81"/>
      <c r="BR9683" s="81"/>
      <c r="BS9683" s="81"/>
      <c r="BT9683" s="81"/>
    </row>
    <row r="9684" spans="65:72" x14ac:dyDescent="0.25">
      <c r="BM9684" s="81"/>
      <c r="BN9684" s="81"/>
      <c r="BO9684" s="81"/>
      <c r="BP9684" s="81"/>
      <c r="BQ9684" s="81"/>
      <c r="BR9684" s="81"/>
      <c r="BS9684" s="81"/>
      <c r="BT9684" s="81"/>
    </row>
    <row r="9685" spans="65:72" x14ac:dyDescent="0.25">
      <c r="BM9685" s="81"/>
      <c r="BN9685" s="81"/>
      <c r="BO9685" s="81"/>
      <c r="BP9685" s="81"/>
      <c r="BQ9685" s="81"/>
      <c r="BR9685" s="81"/>
      <c r="BS9685" s="81"/>
      <c r="BT9685" s="81"/>
    </row>
    <row r="9686" spans="65:72" x14ac:dyDescent="0.25">
      <c r="BM9686" s="81"/>
      <c r="BN9686" s="81"/>
      <c r="BO9686" s="81"/>
      <c r="BP9686" s="81"/>
      <c r="BQ9686" s="81"/>
      <c r="BR9686" s="81"/>
      <c r="BS9686" s="81"/>
      <c r="BT9686" s="81"/>
    </row>
    <row r="9687" spans="65:72" x14ac:dyDescent="0.25">
      <c r="BM9687" s="81"/>
      <c r="BN9687" s="81"/>
      <c r="BO9687" s="81"/>
      <c r="BP9687" s="81"/>
      <c r="BQ9687" s="81"/>
      <c r="BR9687" s="81"/>
      <c r="BS9687" s="81"/>
      <c r="BT9687" s="81"/>
    </row>
    <row r="9688" spans="65:72" x14ac:dyDescent="0.25">
      <c r="BM9688" s="81"/>
      <c r="BN9688" s="81"/>
      <c r="BO9688" s="81"/>
      <c r="BP9688" s="81"/>
      <c r="BQ9688" s="81"/>
      <c r="BR9688" s="81"/>
      <c r="BS9688" s="81"/>
      <c r="BT9688" s="81"/>
    </row>
    <row r="9689" spans="65:72" x14ac:dyDescent="0.25">
      <c r="BM9689" s="81"/>
      <c r="BN9689" s="81"/>
      <c r="BO9689" s="81"/>
      <c r="BP9689" s="81"/>
      <c r="BQ9689" s="81"/>
      <c r="BR9689" s="81"/>
      <c r="BS9689" s="81"/>
      <c r="BT9689" s="81"/>
    </row>
    <row r="9690" spans="65:72" x14ac:dyDescent="0.25">
      <c r="BM9690" s="81"/>
      <c r="BN9690" s="81"/>
      <c r="BO9690" s="81"/>
      <c r="BP9690" s="81"/>
      <c r="BQ9690" s="81"/>
      <c r="BR9690" s="81"/>
      <c r="BS9690" s="81"/>
      <c r="BT9690" s="81"/>
    </row>
    <row r="9691" spans="65:72" x14ac:dyDescent="0.25">
      <c r="BM9691" s="81"/>
      <c r="BN9691" s="81"/>
      <c r="BO9691" s="81"/>
      <c r="BP9691" s="81"/>
      <c r="BQ9691" s="81"/>
      <c r="BR9691" s="81"/>
      <c r="BS9691" s="81"/>
      <c r="BT9691" s="81"/>
    </row>
    <row r="9692" spans="65:72" x14ac:dyDescent="0.25">
      <c r="BM9692" s="81"/>
      <c r="BN9692" s="81"/>
      <c r="BO9692" s="81"/>
      <c r="BP9692" s="81"/>
      <c r="BQ9692" s="81"/>
      <c r="BR9692" s="81"/>
      <c r="BS9692" s="81"/>
      <c r="BT9692" s="81"/>
    </row>
    <row r="9693" spans="65:72" x14ac:dyDescent="0.25">
      <c r="BM9693" s="81"/>
      <c r="BN9693" s="81"/>
      <c r="BO9693" s="81"/>
      <c r="BP9693" s="81"/>
      <c r="BQ9693" s="81"/>
      <c r="BR9693" s="81"/>
      <c r="BS9693" s="81"/>
      <c r="BT9693" s="81"/>
    </row>
    <row r="9694" spans="65:72" x14ac:dyDescent="0.25">
      <c r="BM9694" s="81"/>
      <c r="BN9694" s="81"/>
      <c r="BO9694" s="81"/>
      <c r="BP9694" s="81"/>
      <c r="BQ9694" s="81"/>
      <c r="BR9694" s="81"/>
      <c r="BS9694" s="81"/>
      <c r="BT9694" s="81"/>
    </row>
    <row r="9695" spans="65:72" x14ac:dyDescent="0.25">
      <c r="BM9695" s="81"/>
      <c r="BN9695" s="81"/>
      <c r="BO9695" s="81"/>
      <c r="BP9695" s="81"/>
      <c r="BQ9695" s="81"/>
      <c r="BR9695" s="81"/>
      <c r="BS9695" s="81"/>
      <c r="BT9695" s="81"/>
    </row>
    <row r="9696" spans="65:72" x14ac:dyDescent="0.25">
      <c r="BM9696" s="81"/>
      <c r="BN9696" s="81"/>
      <c r="BO9696" s="81"/>
      <c r="BP9696" s="81"/>
      <c r="BQ9696" s="81"/>
      <c r="BR9696" s="81"/>
      <c r="BS9696" s="81"/>
      <c r="BT9696" s="81"/>
    </row>
    <row r="9697" spans="65:72" x14ac:dyDescent="0.25">
      <c r="BM9697" s="81"/>
      <c r="BN9697" s="81"/>
      <c r="BO9697" s="81"/>
      <c r="BP9697" s="81"/>
      <c r="BQ9697" s="81"/>
      <c r="BR9697" s="81"/>
      <c r="BS9697" s="81"/>
      <c r="BT9697" s="81"/>
    </row>
    <row r="9698" spans="65:72" x14ac:dyDescent="0.25">
      <c r="BM9698" s="81"/>
      <c r="BN9698" s="81"/>
      <c r="BO9698" s="81"/>
      <c r="BP9698" s="81"/>
      <c r="BQ9698" s="81"/>
      <c r="BR9698" s="81"/>
      <c r="BS9698" s="81"/>
      <c r="BT9698" s="81"/>
    </row>
    <row r="9699" spans="65:72" x14ac:dyDescent="0.25">
      <c r="BM9699" s="81"/>
      <c r="BN9699" s="81"/>
      <c r="BO9699" s="81"/>
      <c r="BP9699" s="81"/>
      <c r="BQ9699" s="81"/>
      <c r="BR9699" s="81"/>
      <c r="BS9699" s="81"/>
      <c r="BT9699" s="81"/>
    </row>
    <row r="9700" spans="65:72" x14ac:dyDescent="0.25">
      <c r="BM9700" s="81"/>
      <c r="BN9700" s="81"/>
      <c r="BO9700" s="81"/>
      <c r="BP9700" s="81"/>
      <c r="BQ9700" s="81"/>
      <c r="BR9700" s="81"/>
      <c r="BS9700" s="81"/>
      <c r="BT9700" s="81"/>
    </row>
    <row r="9701" spans="65:72" x14ac:dyDescent="0.25">
      <c r="BM9701" s="81"/>
      <c r="BN9701" s="81"/>
      <c r="BO9701" s="81"/>
      <c r="BP9701" s="81"/>
      <c r="BQ9701" s="81"/>
      <c r="BR9701" s="81"/>
      <c r="BS9701" s="81"/>
      <c r="BT9701" s="81"/>
    </row>
    <row r="9702" spans="65:72" x14ac:dyDescent="0.25">
      <c r="BM9702" s="81"/>
      <c r="BN9702" s="81"/>
      <c r="BO9702" s="81"/>
      <c r="BP9702" s="81"/>
      <c r="BQ9702" s="81"/>
      <c r="BR9702" s="81"/>
      <c r="BS9702" s="81"/>
      <c r="BT9702" s="81"/>
    </row>
    <row r="9703" spans="65:72" x14ac:dyDescent="0.25">
      <c r="BM9703" s="81"/>
      <c r="BN9703" s="81"/>
      <c r="BO9703" s="81"/>
      <c r="BP9703" s="81"/>
      <c r="BQ9703" s="81"/>
      <c r="BR9703" s="81"/>
      <c r="BS9703" s="81"/>
      <c r="BT9703" s="81"/>
    </row>
    <row r="9704" spans="65:72" x14ac:dyDescent="0.25">
      <c r="BM9704" s="81"/>
      <c r="BN9704" s="81"/>
      <c r="BO9704" s="81"/>
      <c r="BP9704" s="81"/>
      <c r="BQ9704" s="81"/>
      <c r="BR9704" s="81"/>
      <c r="BS9704" s="81"/>
      <c r="BT9704" s="81"/>
    </row>
    <row r="9705" spans="65:72" x14ac:dyDescent="0.25">
      <c r="BM9705" s="81"/>
      <c r="BN9705" s="81"/>
      <c r="BO9705" s="81"/>
      <c r="BP9705" s="81"/>
      <c r="BQ9705" s="81"/>
      <c r="BR9705" s="81"/>
      <c r="BS9705" s="81"/>
      <c r="BT9705" s="81"/>
    </row>
    <row r="9706" spans="65:72" x14ac:dyDescent="0.25">
      <c r="BM9706" s="81"/>
      <c r="BN9706" s="81"/>
      <c r="BO9706" s="81"/>
      <c r="BP9706" s="81"/>
      <c r="BQ9706" s="81"/>
      <c r="BR9706" s="81"/>
      <c r="BS9706" s="81"/>
      <c r="BT9706" s="81"/>
    </row>
    <row r="9707" spans="65:72" x14ac:dyDescent="0.25">
      <c r="BM9707" s="81"/>
      <c r="BN9707" s="81"/>
      <c r="BO9707" s="81"/>
      <c r="BP9707" s="81"/>
      <c r="BQ9707" s="81"/>
      <c r="BR9707" s="81"/>
      <c r="BS9707" s="81"/>
      <c r="BT9707" s="81"/>
    </row>
    <row r="9708" spans="65:72" x14ac:dyDescent="0.25">
      <c r="BM9708" s="81"/>
      <c r="BN9708" s="81"/>
      <c r="BO9708" s="81"/>
      <c r="BP9708" s="81"/>
      <c r="BQ9708" s="81"/>
      <c r="BR9708" s="81"/>
      <c r="BS9708" s="81"/>
      <c r="BT9708" s="81"/>
    </row>
    <row r="9709" spans="65:72" x14ac:dyDescent="0.25">
      <c r="BM9709" s="81"/>
      <c r="BN9709" s="81"/>
      <c r="BO9709" s="81"/>
      <c r="BP9709" s="81"/>
      <c r="BQ9709" s="81"/>
      <c r="BR9709" s="81"/>
      <c r="BS9709" s="81"/>
      <c r="BT9709" s="81"/>
    </row>
    <row r="9710" spans="65:72" x14ac:dyDescent="0.25">
      <c r="BM9710" s="81"/>
      <c r="BN9710" s="81"/>
      <c r="BO9710" s="81"/>
      <c r="BP9710" s="81"/>
      <c r="BQ9710" s="81"/>
      <c r="BR9710" s="81"/>
      <c r="BS9710" s="81"/>
      <c r="BT9710" s="81"/>
    </row>
    <row r="9711" spans="65:72" x14ac:dyDescent="0.25">
      <c r="BM9711" s="81"/>
      <c r="BN9711" s="81"/>
      <c r="BO9711" s="81"/>
      <c r="BP9711" s="81"/>
      <c r="BQ9711" s="81"/>
      <c r="BR9711" s="81"/>
      <c r="BS9711" s="81"/>
      <c r="BT9711" s="81"/>
    </row>
    <row r="9712" spans="65:72" x14ac:dyDescent="0.25">
      <c r="BM9712" s="81"/>
      <c r="BN9712" s="81"/>
      <c r="BO9712" s="81"/>
      <c r="BP9712" s="81"/>
      <c r="BQ9712" s="81"/>
      <c r="BR9712" s="81"/>
      <c r="BS9712" s="81"/>
      <c r="BT9712" s="81"/>
    </row>
    <row r="9713" spans="65:72" x14ac:dyDescent="0.25">
      <c r="BM9713" s="81"/>
      <c r="BN9713" s="81"/>
      <c r="BO9713" s="81"/>
      <c r="BP9713" s="81"/>
      <c r="BQ9713" s="81"/>
      <c r="BR9713" s="81"/>
      <c r="BS9713" s="81"/>
      <c r="BT9713" s="81"/>
    </row>
    <row r="9714" spans="65:72" x14ac:dyDescent="0.25">
      <c r="BM9714" s="81"/>
      <c r="BN9714" s="81"/>
      <c r="BO9714" s="81"/>
      <c r="BP9714" s="81"/>
      <c r="BQ9714" s="81"/>
      <c r="BR9714" s="81"/>
      <c r="BS9714" s="81"/>
      <c r="BT9714" s="81"/>
    </row>
    <row r="9715" spans="65:72" x14ac:dyDescent="0.25">
      <c r="BM9715" s="81"/>
      <c r="BN9715" s="81"/>
      <c r="BO9715" s="81"/>
      <c r="BP9715" s="81"/>
      <c r="BQ9715" s="81"/>
      <c r="BR9715" s="81"/>
      <c r="BS9715" s="81"/>
      <c r="BT9715" s="81"/>
    </row>
    <row r="9716" spans="65:72" x14ac:dyDescent="0.25">
      <c r="BM9716" s="81"/>
      <c r="BN9716" s="81"/>
      <c r="BO9716" s="81"/>
      <c r="BP9716" s="81"/>
      <c r="BQ9716" s="81"/>
      <c r="BR9716" s="81"/>
      <c r="BS9716" s="81"/>
      <c r="BT9716" s="81"/>
    </row>
    <row r="9717" spans="65:72" x14ac:dyDescent="0.25">
      <c r="BM9717" s="81"/>
      <c r="BN9717" s="81"/>
      <c r="BO9717" s="81"/>
      <c r="BP9717" s="81"/>
      <c r="BQ9717" s="81"/>
      <c r="BR9717" s="81"/>
      <c r="BS9717" s="81"/>
      <c r="BT9717" s="81"/>
    </row>
    <row r="9718" spans="65:72" x14ac:dyDescent="0.25">
      <c r="BM9718" s="81"/>
      <c r="BN9718" s="81"/>
      <c r="BO9718" s="81"/>
      <c r="BP9718" s="81"/>
      <c r="BQ9718" s="81"/>
      <c r="BR9718" s="81"/>
      <c r="BS9718" s="81"/>
      <c r="BT9718" s="81"/>
    </row>
    <row r="9719" spans="65:72" x14ac:dyDescent="0.25">
      <c r="BM9719" s="81"/>
      <c r="BN9719" s="81"/>
      <c r="BO9719" s="81"/>
      <c r="BP9719" s="81"/>
      <c r="BQ9719" s="81"/>
      <c r="BR9719" s="81"/>
      <c r="BS9719" s="81"/>
      <c r="BT9719" s="81"/>
    </row>
    <row r="9720" spans="65:72" x14ac:dyDescent="0.25">
      <c r="BM9720" s="81"/>
      <c r="BN9720" s="81"/>
      <c r="BO9720" s="81"/>
      <c r="BP9720" s="81"/>
      <c r="BQ9720" s="81"/>
      <c r="BR9720" s="81"/>
      <c r="BS9720" s="81"/>
      <c r="BT9720" s="81"/>
    </row>
    <row r="9721" spans="65:72" x14ac:dyDescent="0.25">
      <c r="BM9721" s="81"/>
      <c r="BN9721" s="81"/>
      <c r="BO9721" s="81"/>
      <c r="BP9721" s="81"/>
      <c r="BQ9721" s="81"/>
      <c r="BR9721" s="81"/>
      <c r="BS9721" s="81"/>
      <c r="BT9721" s="81"/>
    </row>
    <row r="9722" spans="65:72" x14ac:dyDescent="0.25">
      <c r="BM9722" s="81"/>
      <c r="BN9722" s="81"/>
      <c r="BO9722" s="81"/>
      <c r="BP9722" s="81"/>
      <c r="BQ9722" s="81"/>
      <c r="BR9722" s="81"/>
      <c r="BS9722" s="81"/>
      <c r="BT9722" s="81"/>
    </row>
    <row r="9723" spans="65:72" x14ac:dyDescent="0.25">
      <c r="BM9723" s="81"/>
      <c r="BN9723" s="81"/>
      <c r="BO9723" s="81"/>
      <c r="BP9723" s="81"/>
      <c r="BQ9723" s="81"/>
      <c r="BR9723" s="81"/>
      <c r="BS9723" s="81"/>
      <c r="BT9723" s="81"/>
    </row>
    <row r="9724" spans="65:72" x14ac:dyDescent="0.25">
      <c r="BM9724" s="81"/>
      <c r="BN9724" s="81"/>
      <c r="BO9724" s="81"/>
      <c r="BP9724" s="81"/>
      <c r="BQ9724" s="81"/>
      <c r="BR9724" s="81"/>
      <c r="BS9724" s="81"/>
      <c r="BT9724" s="81"/>
    </row>
    <row r="9725" spans="65:72" x14ac:dyDescent="0.25">
      <c r="BM9725" s="81"/>
      <c r="BN9725" s="81"/>
      <c r="BO9725" s="81"/>
      <c r="BP9725" s="81"/>
      <c r="BQ9725" s="81"/>
      <c r="BR9725" s="81"/>
      <c r="BS9725" s="81"/>
      <c r="BT9725" s="81"/>
    </row>
    <row r="9726" spans="65:72" x14ac:dyDescent="0.25">
      <c r="BM9726" s="81"/>
      <c r="BN9726" s="81"/>
      <c r="BO9726" s="81"/>
      <c r="BP9726" s="81"/>
      <c r="BQ9726" s="81"/>
      <c r="BR9726" s="81"/>
      <c r="BS9726" s="81"/>
      <c r="BT9726" s="81"/>
    </row>
    <row r="9727" spans="65:72" x14ac:dyDescent="0.25">
      <c r="BM9727" s="81"/>
      <c r="BN9727" s="81"/>
      <c r="BO9727" s="81"/>
      <c r="BP9727" s="81"/>
      <c r="BQ9727" s="81"/>
      <c r="BR9727" s="81"/>
      <c r="BS9727" s="81"/>
      <c r="BT9727" s="81"/>
    </row>
    <row r="9728" spans="65:72" x14ac:dyDescent="0.25">
      <c r="BM9728" s="81"/>
      <c r="BN9728" s="81"/>
      <c r="BO9728" s="81"/>
      <c r="BP9728" s="81"/>
      <c r="BQ9728" s="81"/>
      <c r="BR9728" s="81"/>
      <c r="BS9728" s="81"/>
      <c r="BT9728" s="81"/>
    </row>
    <row r="9729" spans="65:72" x14ac:dyDescent="0.25">
      <c r="BM9729" s="81"/>
      <c r="BN9729" s="81"/>
      <c r="BO9729" s="81"/>
      <c r="BP9729" s="81"/>
      <c r="BQ9729" s="81"/>
      <c r="BR9729" s="81"/>
      <c r="BS9729" s="81"/>
      <c r="BT9729" s="81"/>
    </row>
    <row r="9730" spans="65:72" x14ac:dyDescent="0.25">
      <c r="BM9730" s="81"/>
      <c r="BN9730" s="81"/>
      <c r="BO9730" s="81"/>
      <c r="BP9730" s="81"/>
      <c r="BQ9730" s="81"/>
      <c r="BR9730" s="81"/>
      <c r="BS9730" s="81"/>
      <c r="BT9730" s="81"/>
    </row>
    <row r="9731" spans="65:72" x14ac:dyDescent="0.25">
      <c r="BM9731" s="81"/>
      <c r="BN9731" s="81"/>
      <c r="BO9731" s="81"/>
      <c r="BP9731" s="81"/>
      <c r="BQ9731" s="81"/>
      <c r="BR9731" s="81"/>
      <c r="BS9731" s="81"/>
      <c r="BT9731" s="81"/>
    </row>
    <row r="9732" spans="65:72" x14ac:dyDescent="0.25">
      <c r="BM9732" s="81"/>
      <c r="BN9732" s="81"/>
      <c r="BO9732" s="81"/>
      <c r="BP9732" s="81"/>
      <c r="BQ9732" s="81"/>
      <c r="BR9732" s="81"/>
      <c r="BS9732" s="81"/>
      <c r="BT9732" s="81"/>
    </row>
    <row r="9733" spans="65:72" x14ac:dyDescent="0.25">
      <c r="BM9733" s="81"/>
      <c r="BN9733" s="81"/>
      <c r="BO9733" s="81"/>
      <c r="BP9733" s="81"/>
      <c r="BQ9733" s="81"/>
      <c r="BR9733" s="81"/>
      <c r="BS9733" s="81"/>
      <c r="BT9733" s="81"/>
    </row>
    <row r="9734" spans="65:72" x14ac:dyDescent="0.25">
      <c r="BM9734" s="81"/>
      <c r="BN9734" s="81"/>
      <c r="BO9734" s="81"/>
      <c r="BP9734" s="81"/>
      <c r="BQ9734" s="81"/>
      <c r="BR9734" s="81"/>
      <c r="BS9734" s="81"/>
      <c r="BT9734" s="81"/>
    </row>
    <row r="9735" spans="65:72" x14ac:dyDescent="0.25">
      <c r="BM9735" s="81"/>
      <c r="BN9735" s="81"/>
      <c r="BO9735" s="81"/>
      <c r="BP9735" s="81"/>
      <c r="BQ9735" s="81"/>
      <c r="BR9735" s="81"/>
      <c r="BS9735" s="81"/>
      <c r="BT9735" s="81"/>
    </row>
    <row r="9736" spans="65:72" x14ac:dyDescent="0.25">
      <c r="BM9736" s="81"/>
      <c r="BN9736" s="81"/>
      <c r="BO9736" s="81"/>
      <c r="BP9736" s="81"/>
      <c r="BQ9736" s="81"/>
      <c r="BR9736" s="81"/>
      <c r="BS9736" s="81"/>
      <c r="BT9736" s="81"/>
    </row>
    <row r="9737" spans="65:72" x14ac:dyDescent="0.25">
      <c r="BM9737" s="81"/>
      <c r="BN9737" s="81"/>
      <c r="BO9737" s="81"/>
      <c r="BP9737" s="81"/>
      <c r="BQ9737" s="81"/>
      <c r="BR9737" s="81"/>
      <c r="BS9737" s="81"/>
      <c r="BT9737" s="81"/>
    </row>
    <row r="9738" spans="65:72" x14ac:dyDescent="0.25">
      <c r="BM9738" s="81"/>
      <c r="BN9738" s="81"/>
      <c r="BO9738" s="81"/>
      <c r="BP9738" s="81"/>
      <c r="BQ9738" s="81"/>
      <c r="BR9738" s="81"/>
      <c r="BS9738" s="81"/>
      <c r="BT9738" s="81"/>
    </row>
    <row r="9739" spans="65:72" x14ac:dyDescent="0.25">
      <c r="BM9739" s="81"/>
      <c r="BN9739" s="81"/>
      <c r="BO9739" s="81"/>
      <c r="BP9739" s="81"/>
      <c r="BQ9739" s="81"/>
      <c r="BR9739" s="81"/>
      <c r="BS9739" s="81"/>
      <c r="BT9739" s="81"/>
    </row>
    <row r="9740" spans="65:72" x14ac:dyDescent="0.25">
      <c r="BM9740" s="81"/>
      <c r="BN9740" s="81"/>
      <c r="BO9740" s="81"/>
      <c r="BP9740" s="81"/>
      <c r="BQ9740" s="81"/>
      <c r="BR9740" s="81"/>
      <c r="BS9740" s="81"/>
      <c r="BT9740" s="81"/>
    </row>
    <row r="9741" spans="65:72" x14ac:dyDescent="0.25">
      <c r="BM9741" s="81"/>
      <c r="BN9741" s="81"/>
      <c r="BO9741" s="81"/>
      <c r="BP9741" s="81"/>
      <c r="BQ9741" s="81"/>
      <c r="BR9741" s="81"/>
      <c r="BS9741" s="81"/>
      <c r="BT9741" s="81"/>
    </row>
    <row r="9742" spans="65:72" x14ac:dyDescent="0.25">
      <c r="BM9742" s="81"/>
      <c r="BN9742" s="81"/>
      <c r="BO9742" s="81"/>
      <c r="BP9742" s="81"/>
      <c r="BQ9742" s="81"/>
      <c r="BR9742" s="81"/>
      <c r="BS9742" s="81"/>
      <c r="BT9742" s="81"/>
    </row>
    <row r="9743" spans="65:72" x14ac:dyDescent="0.25">
      <c r="BM9743" s="81"/>
      <c r="BN9743" s="81"/>
      <c r="BO9743" s="81"/>
      <c r="BP9743" s="81"/>
      <c r="BQ9743" s="81"/>
      <c r="BR9743" s="81"/>
      <c r="BS9743" s="81"/>
      <c r="BT9743" s="81"/>
    </row>
    <row r="9744" spans="65:72" x14ac:dyDescent="0.25">
      <c r="BM9744" s="81"/>
      <c r="BN9744" s="81"/>
      <c r="BO9744" s="81"/>
      <c r="BP9744" s="81"/>
      <c r="BQ9744" s="81"/>
      <c r="BR9744" s="81"/>
      <c r="BS9744" s="81"/>
      <c r="BT9744" s="81"/>
    </row>
    <row r="9745" spans="65:72" x14ac:dyDescent="0.25">
      <c r="BM9745" s="81"/>
      <c r="BN9745" s="81"/>
      <c r="BO9745" s="81"/>
      <c r="BP9745" s="81"/>
      <c r="BQ9745" s="81"/>
      <c r="BR9745" s="81"/>
      <c r="BS9745" s="81"/>
      <c r="BT9745" s="81"/>
    </row>
    <row r="9746" spans="65:72" x14ac:dyDescent="0.25">
      <c r="BM9746" s="81"/>
      <c r="BN9746" s="81"/>
      <c r="BO9746" s="81"/>
      <c r="BP9746" s="81"/>
      <c r="BQ9746" s="81"/>
      <c r="BR9746" s="81"/>
      <c r="BS9746" s="81"/>
      <c r="BT9746" s="81"/>
    </row>
    <row r="9747" spans="65:72" x14ac:dyDescent="0.25">
      <c r="BM9747" s="81"/>
      <c r="BN9747" s="81"/>
      <c r="BO9747" s="81"/>
      <c r="BP9747" s="81"/>
      <c r="BQ9747" s="81"/>
      <c r="BR9747" s="81"/>
      <c r="BS9747" s="81"/>
      <c r="BT9747" s="81"/>
    </row>
    <row r="9748" spans="65:72" x14ac:dyDescent="0.25">
      <c r="BM9748" s="81"/>
      <c r="BN9748" s="81"/>
      <c r="BO9748" s="81"/>
      <c r="BP9748" s="81"/>
      <c r="BQ9748" s="81"/>
      <c r="BR9748" s="81"/>
      <c r="BS9748" s="81"/>
      <c r="BT9748" s="81"/>
    </row>
    <row r="9749" spans="65:72" x14ac:dyDescent="0.25">
      <c r="BM9749" s="81"/>
      <c r="BN9749" s="81"/>
      <c r="BO9749" s="81"/>
      <c r="BP9749" s="81"/>
      <c r="BQ9749" s="81"/>
      <c r="BR9749" s="81"/>
      <c r="BS9749" s="81"/>
      <c r="BT9749" s="81"/>
    </row>
    <row r="9750" spans="65:72" x14ac:dyDescent="0.25">
      <c r="BM9750" s="81"/>
      <c r="BN9750" s="81"/>
      <c r="BO9750" s="81"/>
      <c r="BP9750" s="81"/>
      <c r="BQ9750" s="81"/>
      <c r="BR9750" s="81"/>
      <c r="BS9750" s="81"/>
      <c r="BT9750" s="81"/>
    </row>
    <row r="9751" spans="65:72" x14ac:dyDescent="0.25">
      <c r="BM9751" s="81"/>
      <c r="BN9751" s="81"/>
      <c r="BO9751" s="81"/>
      <c r="BP9751" s="81"/>
      <c r="BQ9751" s="81"/>
      <c r="BR9751" s="81"/>
      <c r="BS9751" s="81"/>
      <c r="BT9751" s="81"/>
    </row>
    <row r="9752" spans="65:72" x14ac:dyDescent="0.25">
      <c r="BM9752" s="81"/>
      <c r="BN9752" s="81"/>
      <c r="BO9752" s="81"/>
      <c r="BP9752" s="81"/>
      <c r="BQ9752" s="81"/>
      <c r="BR9752" s="81"/>
      <c r="BS9752" s="81"/>
      <c r="BT9752" s="81"/>
    </row>
    <row r="9753" spans="65:72" x14ac:dyDescent="0.25">
      <c r="BM9753" s="81"/>
      <c r="BN9753" s="81"/>
      <c r="BO9753" s="81"/>
      <c r="BP9753" s="81"/>
      <c r="BQ9753" s="81"/>
      <c r="BR9753" s="81"/>
      <c r="BS9753" s="81"/>
      <c r="BT9753" s="81"/>
    </row>
    <row r="9754" spans="65:72" x14ac:dyDescent="0.25">
      <c r="BM9754" s="81"/>
      <c r="BN9754" s="81"/>
      <c r="BO9754" s="81"/>
      <c r="BP9754" s="81"/>
      <c r="BQ9754" s="81"/>
      <c r="BR9754" s="81"/>
      <c r="BS9754" s="81"/>
      <c r="BT9754" s="81"/>
    </row>
    <row r="9755" spans="65:72" x14ac:dyDescent="0.25">
      <c r="BM9755" s="81"/>
      <c r="BN9755" s="81"/>
      <c r="BO9755" s="81"/>
      <c r="BP9755" s="81"/>
      <c r="BQ9755" s="81"/>
      <c r="BR9755" s="81"/>
      <c r="BS9755" s="81"/>
      <c r="BT9755" s="81"/>
    </row>
    <row r="9756" spans="65:72" x14ac:dyDescent="0.25">
      <c r="BM9756" s="81"/>
      <c r="BN9756" s="81"/>
      <c r="BO9756" s="81"/>
      <c r="BP9756" s="81"/>
      <c r="BQ9756" s="81"/>
      <c r="BR9756" s="81"/>
      <c r="BS9756" s="81"/>
      <c r="BT9756" s="81"/>
    </row>
    <row r="9757" spans="65:72" x14ac:dyDescent="0.25">
      <c r="BM9757" s="81"/>
      <c r="BN9757" s="81"/>
      <c r="BO9757" s="81"/>
      <c r="BP9757" s="81"/>
      <c r="BQ9757" s="81"/>
      <c r="BR9757" s="81"/>
      <c r="BS9757" s="81"/>
      <c r="BT9757" s="81"/>
    </row>
    <row r="9758" spans="65:72" x14ac:dyDescent="0.25">
      <c r="BM9758" s="81"/>
      <c r="BN9758" s="81"/>
      <c r="BO9758" s="81"/>
      <c r="BP9758" s="81"/>
      <c r="BQ9758" s="81"/>
      <c r="BR9758" s="81"/>
      <c r="BS9758" s="81"/>
      <c r="BT9758" s="81"/>
    </row>
    <row r="9759" spans="65:72" x14ac:dyDescent="0.25">
      <c r="BM9759" s="81"/>
      <c r="BN9759" s="81"/>
      <c r="BO9759" s="81"/>
      <c r="BP9759" s="81"/>
      <c r="BQ9759" s="81"/>
      <c r="BR9759" s="81"/>
      <c r="BS9759" s="81"/>
      <c r="BT9759" s="81"/>
    </row>
    <row r="9760" spans="65:72" x14ac:dyDescent="0.25">
      <c r="BM9760" s="81"/>
      <c r="BN9760" s="81"/>
      <c r="BO9760" s="81"/>
      <c r="BP9760" s="81"/>
      <c r="BQ9760" s="81"/>
      <c r="BR9760" s="81"/>
      <c r="BS9760" s="81"/>
      <c r="BT9760" s="81"/>
    </row>
    <row r="9761" spans="65:72" x14ac:dyDescent="0.25">
      <c r="BM9761" s="81"/>
      <c r="BN9761" s="81"/>
      <c r="BO9761" s="81"/>
      <c r="BP9761" s="81"/>
      <c r="BQ9761" s="81"/>
      <c r="BR9761" s="81"/>
      <c r="BS9761" s="81"/>
      <c r="BT9761" s="81"/>
    </row>
    <row r="9762" spans="65:72" x14ac:dyDescent="0.25">
      <c r="BM9762" s="81"/>
      <c r="BN9762" s="81"/>
      <c r="BO9762" s="81"/>
      <c r="BP9762" s="81"/>
      <c r="BQ9762" s="81"/>
      <c r="BR9762" s="81"/>
      <c r="BS9762" s="81"/>
      <c r="BT9762" s="81"/>
    </row>
    <row r="9763" spans="65:72" x14ac:dyDescent="0.25">
      <c r="BM9763" s="81"/>
      <c r="BN9763" s="81"/>
      <c r="BO9763" s="81"/>
      <c r="BP9763" s="81"/>
      <c r="BQ9763" s="81"/>
      <c r="BR9763" s="81"/>
      <c r="BS9763" s="81"/>
      <c r="BT9763" s="81"/>
    </row>
    <row r="9764" spans="65:72" x14ac:dyDescent="0.25">
      <c r="BM9764" s="81"/>
      <c r="BN9764" s="81"/>
      <c r="BO9764" s="81"/>
      <c r="BP9764" s="81"/>
      <c r="BQ9764" s="81"/>
      <c r="BR9764" s="81"/>
      <c r="BS9764" s="81"/>
      <c r="BT9764" s="81"/>
    </row>
    <row r="9765" spans="65:72" x14ac:dyDescent="0.25">
      <c r="BM9765" s="81"/>
      <c r="BN9765" s="81"/>
      <c r="BO9765" s="81"/>
      <c r="BP9765" s="81"/>
      <c r="BQ9765" s="81"/>
      <c r="BR9765" s="81"/>
      <c r="BS9765" s="81"/>
      <c r="BT9765" s="81"/>
    </row>
    <row r="9766" spans="65:72" x14ac:dyDescent="0.25">
      <c r="BM9766" s="81"/>
      <c r="BN9766" s="81"/>
      <c r="BO9766" s="81"/>
      <c r="BP9766" s="81"/>
      <c r="BQ9766" s="81"/>
      <c r="BR9766" s="81"/>
      <c r="BS9766" s="81"/>
      <c r="BT9766" s="81"/>
    </row>
    <row r="9767" spans="65:72" x14ac:dyDescent="0.25">
      <c r="BM9767" s="81"/>
      <c r="BN9767" s="81"/>
      <c r="BO9767" s="81"/>
      <c r="BP9767" s="81"/>
      <c r="BQ9767" s="81"/>
      <c r="BR9767" s="81"/>
      <c r="BS9767" s="81"/>
      <c r="BT9767" s="81"/>
    </row>
    <row r="9768" spans="65:72" x14ac:dyDescent="0.25">
      <c r="BM9768" s="81"/>
      <c r="BN9768" s="81"/>
      <c r="BO9768" s="81"/>
      <c r="BP9768" s="81"/>
      <c r="BQ9768" s="81"/>
      <c r="BR9768" s="81"/>
      <c r="BS9768" s="81"/>
      <c r="BT9768" s="81"/>
    </row>
    <row r="9769" spans="65:72" x14ac:dyDescent="0.25">
      <c r="BM9769" s="81"/>
      <c r="BN9769" s="81"/>
      <c r="BO9769" s="81"/>
      <c r="BP9769" s="81"/>
      <c r="BQ9769" s="81"/>
      <c r="BR9769" s="81"/>
      <c r="BS9769" s="81"/>
      <c r="BT9769" s="81"/>
    </row>
    <row r="9770" spans="65:72" x14ac:dyDescent="0.25">
      <c r="BM9770" s="81"/>
      <c r="BN9770" s="81"/>
      <c r="BO9770" s="81"/>
      <c r="BP9770" s="81"/>
      <c r="BQ9770" s="81"/>
      <c r="BR9770" s="81"/>
      <c r="BS9770" s="81"/>
      <c r="BT9770" s="81"/>
    </row>
    <row r="9771" spans="65:72" x14ac:dyDescent="0.25">
      <c r="BM9771" s="81"/>
      <c r="BN9771" s="81"/>
      <c r="BO9771" s="81"/>
      <c r="BP9771" s="81"/>
      <c r="BQ9771" s="81"/>
      <c r="BR9771" s="81"/>
      <c r="BS9771" s="81"/>
      <c r="BT9771" s="81"/>
    </row>
    <row r="9772" spans="65:72" x14ac:dyDescent="0.25">
      <c r="BM9772" s="81"/>
      <c r="BN9772" s="81"/>
      <c r="BO9772" s="81"/>
      <c r="BP9772" s="81"/>
      <c r="BQ9772" s="81"/>
      <c r="BR9772" s="81"/>
      <c r="BS9772" s="81"/>
      <c r="BT9772" s="81"/>
    </row>
    <row r="9773" spans="65:72" x14ac:dyDescent="0.25">
      <c r="BM9773" s="81"/>
      <c r="BN9773" s="81"/>
      <c r="BO9773" s="81"/>
      <c r="BP9773" s="81"/>
      <c r="BQ9773" s="81"/>
      <c r="BR9773" s="81"/>
      <c r="BS9773" s="81"/>
      <c r="BT9773" s="81"/>
    </row>
    <row r="9774" spans="65:72" x14ac:dyDescent="0.25">
      <c r="BM9774" s="81"/>
      <c r="BN9774" s="81"/>
      <c r="BO9774" s="81"/>
      <c r="BP9774" s="81"/>
      <c r="BQ9774" s="81"/>
      <c r="BR9774" s="81"/>
      <c r="BS9774" s="81"/>
      <c r="BT9774" s="81"/>
    </row>
    <row r="9775" spans="65:72" x14ac:dyDescent="0.25">
      <c r="BM9775" s="81"/>
      <c r="BN9775" s="81"/>
      <c r="BO9775" s="81"/>
      <c r="BP9775" s="81"/>
      <c r="BQ9775" s="81"/>
      <c r="BR9775" s="81"/>
      <c r="BS9775" s="81"/>
      <c r="BT9775" s="81"/>
    </row>
    <row r="9776" spans="65:72" x14ac:dyDescent="0.25">
      <c r="BM9776" s="81"/>
      <c r="BN9776" s="81"/>
      <c r="BO9776" s="81"/>
      <c r="BP9776" s="81"/>
      <c r="BQ9776" s="81"/>
      <c r="BR9776" s="81"/>
      <c r="BS9776" s="81"/>
      <c r="BT9776" s="81"/>
    </row>
    <row r="9777" spans="65:72" x14ac:dyDescent="0.25">
      <c r="BM9777" s="81"/>
      <c r="BN9777" s="81"/>
      <c r="BO9777" s="81"/>
      <c r="BP9777" s="81"/>
      <c r="BQ9777" s="81"/>
      <c r="BR9777" s="81"/>
      <c r="BS9777" s="81"/>
      <c r="BT9777" s="81"/>
    </row>
    <row r="9778" spans="65:72" x14ac:dyDescent="0.25">
      <c r="BM9778" s="81"/>
      <c r="BN9778" s="81"/>
      <c r="BO9778" s="81"/>
      <c r="BP9778" s="81"/>
      <c r="BQ9778" s="81"/>
      <c r="BR9778" s="81"/>
      <c r="BS9778" s="81"/>
      <c r="BT9778" s="81"/>
    </row>
    <row r="9779" spans="65:72" x14ac:dyDescent="0.25">
      <c r="BM9779" s="81"/>
      <c r="BN9779" s="81"/>
      <c r="BO9779" s="81"/>
      <c r="BP9779" s="81"/>
      <c r="BQ9779" s="81"/>
      <c r="BR9779" s="81"/>
      <c r="BS9779" s="81"/>
      <c r="BT9779" s="81"/>
    </row>
    <row r="9780" spans="65:72" x14ac:dyDescent="0.25">
      <c r="BM9780" s="81"/>
      <c r="BN9780" s="81"/>
      <c r="BO9780" s="81"/>
      <c r="BP9780" s="81"/>
      <c r="BQ9780" s="81"/>
      <c r="BR9780" s="81"/>
      <c r="BS9780" s="81"/>
      <c r="BT9780" s="81"/>
    </row>
    <row r="9781" spans="65:72" x14ac:dyDescent="0.25">
      <c r="BM9781" s="81"/>
      <c r="BN9781" s="81"/>
      <c r="BO9781" s="81"/>
      <c r="BP9781" s="81"/>
      <c r="BQ9781" s="81"/>
      <c r="BR9781" s="81"/>
      <c r="BS9781" s="81"/>
      <c r="BT9781" s="81"/>
    </row>
    <row r="9782" spans="65:72" x14ac:dyDescent="0.25">
      <c r="BM9782" s="81"/>
      <c r="BN9782" s="81"/>
      <c r="BO9782" s="81"/>
      <c r="BP9782" s="81"/>
      <c r="BQ9782" s="81"/>
      <c r="BR9782" s="81"/>
      <c r="BS9782" s="81"/>
      <c r="BT9782" s="81"/>
    </row>
    <row r="9783" spans="65:72" x14ac:dyDescent="0.25">
      <c r="BM9783" s="81"/>
      <c r="BN9783" s="81"/>
      <c r="BO9783" s="81"/>
      <c r="BP9783" s="81"/>
      <c r="BQ9783" s="81"/>
      <c r="BR9783" s="81"/>
      <c r="BS9783" s="81"/>
      <c r="BT9783" s="81"/>
    </row>
    <row r="9784" spans="65:72" x14ac:dyDescent="0.25">
      <c r="BM9784" s="81"/>
      <c r="BN9784" s="81"/>
      <c r="BO9784" s="81"/>
      <c r="BP9784" s="81"/>
      <c r="BQ9784" s="81"/>
      <c r="BR9784" s="81"/>
      <c r="BS9784" s="81"/>
      <c r="BT9784" s="81"/>
    </row>
    <row r="9785" spans="65:72" x14ac:dyDescent="0.25">
      <c r="BM9785" s="81"/>
      <c r="BN9785" s="81"/>
      <c r="BO9785" s="81"/>
      <c r="BP9785" s="81"/>
      <c r="BQ9785" s="81"/>
      <c r="BR9785" s="81"/>
      <c r="BS9785" s="81"/>
      <c r="BT9785" s="81"/>
    </row>
    <row r="9786" spans="65:72" x14ac:dyDescent="0.25">
      <c r="BM9786" s="81"/>
      <c r="BN9786" s="81"/>
      <c r="BO9786" s="81"/>
      <c r="BP9786" s="81"/>
      <c r="BQ9786" s="81"/>
      <c r="BR9786" s="81"/>
      <c r="BS9786" s="81"/>
      <c r="BT9786" s="81"/>
    </row>
    <row r="9787" spans="65:72" x14ac:dyDescent="0.25">
      <c r="BM9787" s="81"/>
      <c r="BN9787" s="81"/>
      <c r="BO9787" s="81"/>
      <c r="BP9787" s="81"/>
      <c r="BQ9787" s="81"/>
      <c r="BR9787" s="81"/>
      <c r="BS9787" s="81"/>
      <c r="BT9787" s="81"/>
    </row>
    <row r="9788" spans="65:72" x14ac:dyDescent="0.25">
      <c r="BM9788" s="81"/>
      <c r="BN9788" s="81"/>
      <c r="BO9788" s="81"/>
      <c r="BP9788" s="81"/>
      <c r="BQ9788" s="81"/>
      <c r="BR9788" s="81"/>
      <c r="BS9788" s="81"/>
      <c r="BT9788" s="81"/>
    </row>
    <row r="9789" spans="65:72" x14ac:dyDescent="0.25">
      <c r="BM9789" s="81"/>
      <c r="BN9789" s="81"/>
      <c r="BO9789" s="81"/>
      <c r="BP9789" s="81"/>
      <c r="BQ9789" s="81"/>
      <c r="BR9789" s="81"/>
      <c r="BS9789" s="81"/>
      <c r="BT9789" s="81"/>
    </row>
    <row r="9790" spans="65:72" x14ac:dyDescent="0.25">
      <c r="BM9790" s="81"/>
      <c r="BN9790" s="81"/>
      <c r="BO9790" s="81"/>
      <c r="BP9790" s="81"/>
      <c r="BQ9790" s="81"/>
      <c r="BR9790" s="81"/>
      <c r="BS9790" s="81"/>
      <c r="BT9790" s="81"/>
    </row>
    <row r="9791" spans="65:72" x14ac:dyDescent="0.25">
      <c r="BM9791" s="81"/>
      <c r="BN9791" s="81"/>
      <c r="BO9791" s="81"/>
      <c r="BP9791" s="81"/>
      <c r="BQ9791" s="81"/>
      <c r="BR9791" s="81"/>
      <c r="BS9791" s="81"/>
      <c r="BT9791" s="81"/>
    </row>
    <row r="9792" spans="65:72" x14ac:dyDescent="0.25">
      <c r="BM9792" s="81"/>
      <c r="BN9792" s="81"/>
      <c r="BO9792" s="81"/>
      <c r="BP9792" s="81"/>
      <c r="BQ9792" s="81"/>
      <c r="BR9792" s="81"/>
      <c r="BS9792" s="81"/>
      <c r="BT9792" s="81"/>
    </row>
    <row r="9793" spans="65:72" x14ac:dyDescent="0.25">
      <c r="BM9793" s="81"/>
      <c r="BN9793" s="81"/>
      <c r="BO9793" s="81"/>
      <c r="BP9793" s="81"/>
      <c r="BQ9793" s="81"/>
      <c r="BR9793" s="81"/>
      <c r="BS9793" s="81"/>
      <c r="BT9793" s="81"/>
    </row>
    <row r="9794" spans="65:72" x14ac:dyDescent="0.25">
      <c r="BM9794" s="81"/>
      <c r="BN9794" s="81"/>
      <c r="BO9794" s="81"/>
      <c r="BP9794" s="81"/>
      <c r="BQ9794" s="81"/>
      <c r="BR9794" s="81"/>
      <c r="BS9794" s="81"/>
      <c r="BT9794" s="81"/>
    </row>
    <row r="9795" spans="65:72" x14ac:dyDescent="0.25">
      <c r="BM9795" s="81"/>
      <c r="BN9795" s="81"/>
      <c r="BO9795" s="81"/>
      <c r="BP9795" s="81"/>
      <c r="BQ9795" s="81"/>
      <c r="BR9795" s="81"/>
      <c r="BS9795" s="81"/>
      <c r="BT9795" s="81"/>
    </row>
    <row r="9796" spans="65:72" x14ac:dyDescent="0.25">
      <c r="BM9796" s="81"/>
      <c r="BN9796" s="81"/>
      <c r="BO9796" s="81"/>
      <c r="BP9796" s="81"/>
      <c r="BQ9796" s="81"/>
      <c r="BR9796" s="81"/>
      <c r="BS9796" s="81"/>
      <c r="BT9796" s="81"/>
    </row>
    <row r="9797" spans="65:72" x14ac:dyDescent="0.25">
      <c r="BM9797" s="81"/>
      <c r="BN9797" s="81"/>
      <c r="BO9797" s="81"/>
      <c r="BP9797" s="81"/>
      <c r="BQ9797" s="81"/>
      <c r="BR9797" s="81"/>
      <c r="BS9797" s="81"/>
      <c r="BT9797" s="81"/>
    </row>
    <row r="9798" spans="65:72" x14ac:dyDescent="0.25">
      <c r="BM9798" s="81"/>
      <c r="BN9798" s="81"/>
      <c r="BO9798" s="81"/>
      <c r="BP9798" s="81"/>
      <c r="BQ9798" s="81"/>
      <c r="BR9798" s="81"/>
      <c r="BS9798" s="81"/>
      <c r="BT9798" s="81"/>
    </row>
    <row r="9799" spans="65:72" x14ac:dyDescent="0.25">
      <c r="BM9799" s="81"/>
      <c r="BN9799" s="81"/>
      <c r="BO9799" s="81"/>
      <c r="BP9799" s="81"/>
      <c r="BQ9799" s="81"/>
      <c r="BR9799" s="81"/>
      <c r="BS9799" s="81"/>
      <c r="BT9799" s="81"/>
    </row>
    <row r="9800" spans="65:72" x14ac:dyDescent="0.25">
      <c r="BM9800" s="81"/>
      <c r="BN9800" s="81"/>
      <c r="BO9800" s="81"/>
      <c r="BP9800" s="81"/>
      <c r="BQ9800" s="81"/>
      <c r="BR9800" s="81"/>
      <c r="BS9800" s="81"/>
      <c r="BT9800" s="81"/>
    </row>
    <row r="9801" spans="65:72" x14ac:dyDescent="0.25">
      <c r="BM9801" s="81"/>
      <c r="BN9801" s="81"/>
      <c r="BO9801" s="81"/>
      <c r="BP9801" s="81"/>
      <c r="BQ9801" s="81"/>
      <c r="BR9801" s="81"/>
      <c r="BS9801" s="81"/>
      <c r="BT9801" s="81"/>
    </row>
    <row r="9802" spans="65:72" x14ac:dyDescent="0.25">
      <c r="BM9802" s="81"/>
      <c r="BN9802" s="81"/>
      <c r="BO9802" s="81"/>
      <c r="BP9802" s="81"/>
      <c r="BQ9802" s="81"/>
      <c r="BR9802" s="81"/>
      <c r="BS9802" s="81"/>
      <c r="BT9802" s="81"/>
    </row>
    <row r="9803" spans="65:72" x14ac:dyDescent="0.25">
      <c r="BM9803" s="81"/>
      <c r="BN9803" s="81"/>
      <c r="BO9803" s="81"/>
      <c r="BP9803" s="81"/>
      <c r="BQ9803" s="81"/>
      <c r="BR9803" s="81"/>
      <c r="BS9803" s="81"/>
      <c r="BT9803" s="81"/>
    </row>
    <row r="9804" spans="65:72" x14ac:dyDescent="0.25">
      <c r="BM9804" s="81"/>
      <c r="BN9804" s="81"/>
      <c r="BO9804" s="81"/>
      <c r="BP9804" s="81"/>
      <c r="BQ9804" s="81"/>
      <c r="BR9804" s="81"/>
      <c r="BS9804" s="81"/>
      <c r="BT9804" s="81"/>
    </row>
    <row r="9805" spans="65:72" x14ac:dyDescent="0.25">
      <c r="BM9805" s="81"/>
      <c r="BN9805" s="81"/>
      <c r="BO9805" s="81"/>
      <c r="BP9805" s="81"/>
      <c r="BQ9805" s="81"/>
      <c r="BR9805" s="81"/>
      <c r="BS9805" s="81"/>
      <c r="BT9805" s="81"/>
    </row>
    <row r="9806" spans="65:72" x14ac:dyDescent="0.25">
      <c r="BM9806" s="81"/>
      <c r="BN9806" s="81"/>
      <c r="BO9806" s="81"/>
      <c r="BP9806" s="81"/>
      <c r="BQ9806" s="81"/>
      <c r="BR9806" s="81"/>
      <c r="BS9806" s="81"/>
      <c r="BT9806" s="81"/>
    </row>
    <row r="9807" spans="65:72" x14ac:dyDescent="0.25">
      <c r="BM9807" s="81"/>
      <c r="BN9807" s="81"/>
      <c r="BO9807" s="81"/>
      <c r="BP9807" s="81"/>
      <c r="BQ9807" s="81"/>
      <c r="BR9807" s="81"/>
      <c r="BS9807" s="81"/>
      <c r="BT9807" s="81"/>
    </row>
    <row r="9808" spans="65:72" x14ac:dyDescent="0.25">
      <c r="BM9808" s="81"/>
      <c r="BN9808" s="81"/>
      <c r="BO9808" s="81"/>
      <c r="BP9808" s="81"/>
      <c r="BQ9808" s="81"/>
      <c r="BR9808" s="81"/>
      <c r="BS9808" s="81"/>
      <c r="BT9808" s="81"/>
    </row>
    <row r="9809" spans="65:72" x14ac:dyDescent="0.25">
      <c r="BM9809" s="81"/>
      <c r="BN9809" s="81"/>
      <c r="BO9809" s="81"/>
      <c r="BP9809" s="81"/>
      <c r="BQ9809" s="81"/>
      <c r="BR9809" s="81"/>
      <c r="BS9809" s="81"/>
      <c r="BT9809" s="81"/>
    </row>
    <row r="9810" spans="65:72" x14ac:dyDescent="0.25">
      <c r="BM9810" s="81"/>
      <c r="BN9810" s="81"/>
      <c r="BO9810" s="81"/>
      <c r="BP9810" s="81"/>
      <c r="BQ9810" s="81"/>
      <c r="BR9810" s="81"/>
      <c r="BS9810" s="81"/>
      <c r="BT9810" s="81"/>
    </row>
    <row r="9811" spans="65:72" x14ac:dyDescent="0.25">
      <c r="BM9811" s="81"/>
      <c r="BN9811" s="81"/>
      <c r="BO9811" s="81"/>
      <c r="BP9811" s="81"/>
      <c r="BQ9811" s="81"/>
      <c r="BR9811" s="81"/>
      <c r="BS9811" s="81"/>
      <c r="BT9811" s="81"/>
    </row>
    <row r="9812" spans="65:72" x14ac:dyDescent="0.25">
      <c r="BM9812" s="81"/>
      <c r="BN9812" s="81"/>
      <c r="BO9812" s="81"/>
      <c r="BP9812" s="81"/>
      <c r="BQ9812" s="81"/>
      <c r="BR9812" s="81"/>
      <c r="BS9812" s="81"/>
      <c r="BT9812" s="81"/>
    </row>
    <row r="9813" spans="65:72" x14ac:dyDescent="0.25">
      <c r="BM9813" s="81"/>
      <c r="BN9813" s="81"/>
      <c r="BO9813" s="81"/>
      <c r="BP9813" s="81"/>
      <c r="BQ9813" s="81"/>
      <c r="BR9813" s="81"/>
      <c r="BS9813" s="81"/>
      <c r="BT9813" s="81"/>
    </row>
    <row r="9814" spans="65:72" x14ac:dyDescent="0.25">
      <c r="BM9814" s="81"/>
      <c r="BN9814" s="81"/>
      <c r="BO9814" s="81"/>
      <c r="BP9814" s="81"/>
      <c r="BQ9814" s="81"/>
      <c r="BR9814" s="81"/>
      <c r="BS9814" s="81"/>
      <c r="BT9814" s="81"/>
    </row>
    <row r="9815" spans="65:72" x14ac:dyDescent="0.25">
      <c r="BM9815" s="81"/>
      <c r="BN9815" s="81"/>
      <c r="BO9815" s="81"/>
      <c r="BP9815" s="81"/>
      <c r="BQ9815" s="81"/>
      <c r="BR9815" s="81"/>
      <c r="BS9815" s="81"/>
      <c r="BT9815" s="81"/>
    </row>
    <row r="9816" spans="65:72" x14ac:dyDescent="0.25">
      <c r="BM9816" s="81"/>
      <c r="BN9816" s="81"/>
      <c r="BO9816" s="81"/>
      <c r="BP9816" s="81"/>
      <c r="BQ9816" s="81"/>
      <c r="BR9816" s="81"/>
      <c r="BS9816" s="81"/>
      <c r="BT9816" s="81"/>
    </row>
    <row r="9817" spans="65:72" x14ac:dyDescent="0.25">
      <c r="BM9817" s="81"/>
      <c r="BN9817" s="81"/>
      <c r="BO9817" s="81"/>
      <c r="BP9817" s="81"/>
      <c r="BQ9817" s="81"/>
      <c r="BR9817" s="81"/>
      <c r="BS9817" s="81"/>
      <c r="BT9817" s="81"/>
    </row>
    <row r="9818" spans="65:72" x14ac:dyDescent="0.25">
      <c r="BM9818" s="81"/>
      <c r="BN9818" s="81"/>
      <c r="BO9818" s="81"/>
      <c r="BP9818" s="81"/>
      <c r="BQ9818" s="81"/>
      <c r="BR9818" s="81"/>
      <c r="BS9818" s="81"/>
      <c r="BT9818" s="81"/>
    </row>
    <row r="9819" spans="65:72" x14ac:dyDescent="0.25">
      <c r="BM9819" s="81"/>
      <c r="BN9819" s="81"/>
      <c r="BO9819" s="81"/>
      <c r="BP9819" s="81"/>
      <c r="BQ9819" s="81"/>
      <c r="BR9819" s="81"/>
      <c r="BS9819" s="81"/>
      <c r="BT9819" s="81"/>
    </row>
    <row r="9820" spans="65:72" x14ac:dyDescent="0.25">
      <c r="BM9820" s="81"/>
      <c r="BN9820" s="81"/>
      <c r="BO9820" s="81"/>
      <c r="BP9820" s="81"/>
      <c r="BQ9820" s="81"/>
      <c r="BR9820" s="81"/>
      <c r="BS9820" s="81"/>
      <c r="BT9820" s="81"/>
    </row>
    <row r="9821" spans="65:72" x14ac:dyDescent="0.25">
      <c r="BM9821" s="81"/>
      <c r="BN9821" s="81"/>
      <c r="BO9821" s="81"/>
      <c r="BP9821" s="81"/>
      <c r="BQ9821" s="81"/>
      <c r="BR9821" s="81"/>
      <c r="BS9821" s="81"/>
      <c r="BT9821" s="81"/>
    </row>
    <row r="9822" spans="65:72" x14ac:dyDescent="0.25">
      <c r="BM9822" s="81"/>
      <c r="BN9822" s="81"/>
      <c r="BO9822" s="81"/>
      <c r="BP9822" s="81"/>
      <c r="BQ9822" s="81"/>
      <c r="BR9822" s="81"/>
      <c r="BS9822" s="81"/>
      <c r="BT9822" s="81"/>
    </row>
    <row r="9823" spans="65:72" x14ac:dyDescent="0.25">
      <c r="BM9823" s="81"/>
      <c r="BN9823" s="81"/>
      <c r="BO9823" s="81"/>
      <c r="BP9823" s="81"/>
      <c r="BQ9823" s="81"/>
      <c r="BR9823" s="81"/>
      <c r="BS9823" s="81"/>
      <c r="BT9823" s="81"/>
    </row>
    <row r="9824" spans="65:72" x14ac:dyDescent="0.25">
      <c r="BM9824" s="81"/>
      <c r="BN9824" s="81"/>
      <c r="BO9824" s="81"/>
      <c r="BP9824" s="81"/>
      <c r="BQ9824" s="81"/>
      <c r="BR9824" s="81"/>
      <c r="BS9824" s="81"/>
      <c r="BT9824" s="81"/>
    </row>
    <row r="9825" spans="65:72" x14ac:dyDescent="0.25">
      <c r="BM9825" s="81"/>
      <c r="BN9825" s="81"/>
      <c r="BO9825" s="81"/>
      <c r="BP9825" s="81"/>
      <c r="BQ9825" s="81"/>
      <c r="BR9825" s="81"/>
      <c r="BS9825" s="81"/>
      <c r="BT9825" s="81"/>
    </row>
    <row r="9826" spans="65:72" x14ac:dyDescent="0.25">
      <c r="BM9826" s="81"/>
      <c r="BN9826" s="81"/>
      <c r="BO9826" s="81"/>
      <c r="BP9826" s="81"/>
      <c r="BQ9826" s="81"/>
      <c r="BR9826" s="81"/>
      <c r="BS9826" s="81"/>
      <c r="BT9826" s="81"/>
    </row>
    <row r="9827" spans="65:72" x14ac:dyDescent="0.25">
      <c r="BM9827" s="81"/>
      <c r="BN9827" s="81"/>
      <c r="BO9827" s="81"/>
      <c r="BP9827" s="81"/>
      <c r="BQ9827" s="81"/>
      <c r="BR9827" s="81"/>
      <c r="BS9827" s="81"/>
      <c r="BT9827" s="81"/>
    </row>
    <row r="9828" spans="65:72" x14ac:dyDescent="0.25">
      <c r="BM9828" s="81"/>
      <c r="BN9828" s="81"/>
      <c r="BO9828" s="81"/>
      <c r="BP9828" s="81"/>
      <c r="BQ9828" s="81"/>
      <c r="BR9828" s="81"/>
      <c r="BS9828" s="81"/>
      <c r="BT9828" s="81"/>
    </row>
    <row r="9829" spans="65:72" x14ac:dyDescent="0.25">
      <c r="BM9829" s="81"/>
      <c r="BN9829" s="81"/>
      <c r="BO9829" s="81"/>
      <c r="BP9829" s="81"/>
      <c r="BQ9829" s="81"/>
      <c r="BR9829" s="81"/>
      <c r="BS9829" s="81"/>
      <c r="BT9829" s="81"/>
    </row>
    <row r="9830" spans="65:72" x14ac:dyDescent="0.25">
      <c r="BM9830" s="81"/>
      <c r="BN9830" s="81"/>
      <c r="BO9830" s="81"/>
      <c r="BP9830" s="81"/>
      <c r="BQ9830" s="81"/>
      <c r="BR9830" s="81"/>
      <c r="BS9830" s="81"/>
      <c r="BT9830" s="81"/>
    </row>
    <row r="9831" spans="65:72" x14ac:dyDescent="0.25">
      <c r="BM9831" s="81"/>
      <c r="BN9831" s="81"/>
      <c r="BO9831" s="81"/>
      <c r="BP9831" s="81"/>
      <c r="BQ9831" s="81"/>
      <c r="BR9831" s="81"/>
      <c r="BS9831" s="81"/>
      <c r="BT9831" s="81"/>
    </row>
    <row r="9832" spans="65:72" x14ac:dyDescent="0.25">
      <c r="BM9832" s="81"/>
      <c r="BN9832" s="81"/>
      <c r="BO9832" s="81"/>
      <c r="BP9832" s="81"/>
      <c r="BQ9832" s="81"/>
      <c r="BR9832" s="81"/>
      <c r="BS9832" s="81"/>
      <c r="BT9832" s="81"/>
    </row>
    <row r="9833" spans="65:72" x14ac:dyDescent="0.25">
      <c r="BM9833" s="81"/>
      <c r="BN9833" s="81"/>
      <c r="BO9833" s="81"/>
      <c r="BP9833" s="81"/>
      <c r="BQ9833" s="81"/>
      <c r="BR9833" s="81"/>
      <c r="BS9833" s="81"/>
      <c r="BT9833" s="81"/>
    </row>
    <row r="9834" spans="65:72" x14ac:dyDescent="0.25">
      <c r="BM9834" s="81"/>
      <c r="BN9834" s="81"/>
      <c r="BO9834" s="81"/>
      <c r="BP9834" s="81"/>
      <c r="BQ9834" s="81"/>
      <c r="BR9834" s="81"/>
      <c r="BS9834" s="81"/>
      <c r="BT9834" s="81"/>
    </row>
    <row r="9835" spans="65:72" x14ac:dyDescent="0.25">
      <c r="BM9835" s="81"/>
      <c r="BN9835" s="81"/>
      <c r="BO9835" s="81"/>
      <c r="BP9835" s="81"/>
      <c r="BQ9835" s="81"/>
      <c r="BR9835" s="81"/>
      <c r="BS9835" s="81"/>
      <c r="BT9835" s="81"/>
    </row>
    <row r="9836" spans="65:72" x14ac:dyDescent="0.25">
      <c r="BM9836" s="81"/>
      <c r="BN9836" s="81"/>
      <c r="BO9836" s="81"/>
      <c r="BP9836" s="81"/>
      <c r="BQ9836" s="81"/>
      <c r="BR9836" s="81"/>
      <c r="BS9836" s="81"/>
      <c r="BT9836" s="81"/>
    </row>
    <row r="9837" spans="65:72" x14ac:dyDescent="0.25">
      <c r="BM9837" s="81"/>
      <c r="BN9837" s="81"/>
      <c r="BO9837" s="81"/>
      <c r="BP9837" s="81"/>
      <c r="BQ9837" s="81"/>
      <c r="BR9837" s="81"/>
      <c r="BS9837" s="81"/>
      <c r="BT9837" s="81"/>
    </row>
    <row r="9838" spans="65:72" x14ac:dyDescent="0.25">
      <c r="BM9838" s="81"/>
      <c r="BN9838" s="81"/>
      <c r="BO9838" s="81"/>
      <c r="BP9838" s="81"/>
      <c r="BQ9838" s="81"/>
      <c r="BR9838" s="81"/>
      <c r="BS9838" s="81"/>
      <c r="BT9838" s="81"/>
    </row>
    <row r="9839" spans="65:72" x14ac:dyDescent="0.25">
      <c r="BM9839" s="81"/>
      <c r="BN9839" s="81"/>
      <c r="BO9839" s="81"/>
      <c r="BP9839" s="81"/>
      <c r="BQ9839" s="81"/>
      <c r="BR9839" s="81"/>
      <c r="BS9839" s="81"/>
      <c r="BT9839" s="81"/>
    </row>
    <row r="9840" spans="65:72" x14ac:dyDescent="0.25">
      <c r="BM9840" s="81"/>
      <c r="BN9840" s="81"/>
      <c r="BO9840" s="81"/>
      <c r="BP9840" s="81"/>
      <c r="BQ9840" s="81"/>
      <c r="BR9840" s="81"/>
      <c r="BS9840" s="81"/>
      <c r="BT9840" s="81"/>
    </row>
    <row r="9841" spans="65:72" x14ac:dyDescent="0.25">
      <c r="BM9841" s="81"/>
      <c r="BN9841" s="81"/>
      <c r="BO9841" s="81"/>
      <c r="BP9841" s="81"/>
      <c r="BQ9841" s="81"/>
      <c r="BR9841" s="81"/>
      <c r="BS9841" s="81"/>
      <c r="BT9841" s="81"/>
    </row>
    <row r="9842" spans="65:72" x14ac:dyDescent="0.25">
      <c r="BM9842" s="81"/>
      <c r="BN9842" s="81"/>
      <c r="BO9842" s="81"/>
      <c r="BP9842" s="81"/>
      <c r="BQ9842" s="81"/>
      <c r="BR9842" s="81"/>
      <c r="BS9842" s="81"/>
      <c r="BT9842" s="81"/>
    </row>
    <row r="9843" spans="65:72" x14ac:dyDescent="0.25">
      <c r="BM9843" s="81"/>
      <c r="BN9843" s="81"/>
      <c r="BO9843" s="81"/>
      <c r="BP9843" s="81"/>
      <c r="BQ9843" s="81"/>
      <c r="BR9843" s="81"/>
      <c r="BS9843" s="81"/>
      <c r="BT9843" s="81"/>
    </row>
    <row r="9844" spans="65:72" x14ac:dyDescent="0.25">
      <c r="BM9844" s="81"/>
      <c r="BN9844" s="81"/>
      <c r="BO9844" s="81"/>
      <c r="BP9844" s="81"/>
      <c r="BQ9844" s="81"/>
      <c r="BR9844" s="81"/>
      <c r="BS9844" s="81"/>
      <c r="BT9844" s="81"/>
    </row>
    <row r="9845" spans="65:72" x14ac:dyDescent="0.25">
      <c r="BM9845" s="81"/>
      <c r="BN9845" s="81"/>
      <c r="BO9845" s="81"/>
      <c r="BP9845" s="81"/>
      <c r="BQ9845" s="81"/>
      <c r="BR9845" s="81"/>
      <c r="BS9845" s="81"/>
      <c r="BT9845" s="81"/>
    </row>
    <row r="9846" spans="65:72" x14ac:dyDescent="0.25">
      <c r="BM9846" s="81"/>
      <c r="BN9846" s="81"/>
      <c r="BO9846" s="81"/>
      <c r="BP9846" s="81"/>
      <c r="BQ9846" s="81"/>
      <c r="BR9846" s="81"/>
      <c r="BS9846" s="81"/>
      <c r="BT9846" s="81"/>
    </row>
    <row r="9847" spans="65:72" x14ac:dyDescent="0.25">
      <c r="BM9847" s="81"/>
      <c r="BN9847" s="81"/>
      <c r="BO9847" s="81"/>
      <c r="BP9847" s="81"/>
      <c r="BQ9847" s="81"/>
      <c r="BR9847" s="81"/>
      <c r="BS9847" s="81"/>
      <c r="BT9847" s="81"/>
    </row>
    <row r="9848" spans="65:72" x14ac:dyDescent="0.25">
      <c r="BM9848" s="81"/>
      <c r="BN9848" s="81"/>
      <c r="BO9848" s="81"/>
      <c r="BP9848" s="81"/>
      <c r="BQ9848" s="81"/>
      <c r="BR9848" s="81"/>
      <c r="BS9848" s="81"/>
      <c r="BT9848" s="81"/>
    </row>
    <row r="9849" spans="65:72" x14ac:dyDescent="0.25">
      <c r="BM9849" s="81"/>
      <c r="BN9849" s="81"/>
      <c r="BO9849" s="81"/>
      <c r="BP9849" s="81"/>
      <c r="BQ9849" s="81"/>
      <c r="BR9849" s="81"/>
      <c r="BS9849" s="81"/>
      <c r="BT9849" s="81"/>
    </row>
    <row r="9850" spans="65:72" x14ac:dyDescent="0.25">
      <c r="BM9850" s="81"/>
      <c r="BN9850" s="81"/>
      <c r="BO9850" s="81"/>
      <c r="BP9850" s="81"/>
      <c r="BQ9850" s="81"/>
      <c r="BR9850" s="81"/>
      <c r="BS9850" s="81"/>
      <c r="BT9850" s="81"/>
    </row>
    <row r="9851" spans="65:72" x14ac:dyDescent="0.25">
      <c r="BM9851" s="81"/>
      <c r="BN9851" s="81"/>
      <c r="BO9851" s="81"/>
      <c r="BP9851" s="81"/>
      <c r="BQ9851" s="81"/>
      <c r="BR9851" s="81"/>
      <c r="BS9851" s="81"/>
      <c r="BT9851" s="81"/>
    </row>
    <row r="9852" spans="65:72" x14ac:dyDescent="0.25">
      <c r="BM9852" s="81"/>
      <c r="BN9852" s="81"/>
      <c r="BO9852" s="81"/>
      <c r="BP9852" s="81"/>
      <c r="BQ9852" s="81"/>
      <c r="BR9852" s="81"/>
      <c r="BS9852" s="81"/>
      <c r="BT9852" s="81"/>
    </row>
    <row r="9853" spans="65:72" x14ac:dyDescent="0.25">
      <c r="BM9853" s="81"/>
      <c r="BN9853" s="81"/>
      <c r="BO9853" s="81"/>
      <c r="BP9853" s="81"/>
      <c r="BQ9853" s="81"/>
      <c r="BR9853" s="81"/>
      <c r="BS9853" s="81"/>
      <c r="BT9853" s="81"/>
    </row>
    <row r="9854" spans="65:72" x14ac:dyDescent="0.25">
      <c r="BM9854" s="81"/>
      <c r="BN9854" s="81"/>
      <c r="BO9854" s="81"/>
      <c r="BP9854" s="81"/>
      <c r="BQ9854" s="81"/>
      <c r="BR9854" s="81"/>
      <c r="BS9854" s="81"/>
      <c r="BT9854" s="81"/>
    </row>
    <row r="9855" spans="65:72" x14ac:dyDescent="0.25">
      <c r="BM9855" s="81"/>
      <c r="BN9855" s="81"/>
      <c r="BO9855" s="81"/>
      <c r="BP9855" s="81"/>
      <c r="BQ9855" s="81"/>
      <c r="BR9855" s="81"/>
      <c r="BS9855" s="81"/>
      <c r="BT9855" s="81"/>
    </row>
    <row r="9856" spans="65:72" x14ac:dyDescent="0.25">
      <c r="BM9856" s="81"/>
      <c r="BN9856" s="81"/>
      <c r="BO9856" s="81"/>
      <c r="BP9856" s="81"/>
      <c r="BQ9856" s="81"/>
      <c r="BR9856" s="81"/>
      <c r="BS9856" s="81"/>
      <c r="BT9856" s="81"/>
    </row>
    <row r="9857" spans="65:72" x14ac:dyDescent="0.25">
      <c r="BM9857" s="81"/>
      <c r="BN9857" s="81"/>
      <c r="BO9857" s="81"/>
      <c r="BP9857" s="81"/>
      <c r="BQ9857" s="81"/>
      <c r="BR9857" s="81"/>
      <c r="BS9857" s="81"/>
      <c r="BT9857" s="81"/>
    </row>
    <row r="9858" spans="65:72" x14ac:dyDescent="0.25">
      <c r="BM9858" s="81"/>
      <c r="BN9858" s="81"/>
      <c r="BO9858" s="81"/>
      <c r="BP9858" s="81"/>
      <c r="BQ9858" s="81"/>
      <c r="BR9858" s="81"/>
      <c r="BS9858" s="81"/>
      <c r="BT9858" s="81"/>
    </row>
    <row r="9859" spans="65:72" x14ac:dyDescent="0.25">
      <c r="BM9859" s="81"/>
      <c r="BN9859" s="81"/>
      <c r="BO9859" s="81"/>
      <c r="BP9859" s="81"/>
      <c r="BQ9859" s="81"/>
      <c r="BR9859" s="81"/>
      <c r="BS9859" s="81"/>
      <c r="BT9859" s="81"/>
    </row>
    <row r="9860" spans="65:72" x14ac:dyDescent="0.25">
      <c r="BM9860" s="81"/>
      <c r="BN9860" s="81"/>
      <c r="BO9860" s="81"/>
      <c r="BP9860" s="81"/>
      <c r="BQ9860" s="81"/>
      <c r="BR9860" s="81"/>
      <c r="BS9860" s="81"/>
      <c r="BT9860" s="81"/>
    </row>
    <row r="9861" spans="65:72" x14ac:dyDescent="0.25">
      <c r="BM9861" s="81"/>
      <c r="BN9861" s="81"/>
      <c r="BO9861" s="81"/>
      <c r="BP9861" s="81"/>
      <c r="BQ9861" s="81"/>
      <c r="BR9861" s="81"/>
      <c r="BS9861" s="81"/>
      <c r="BT9861" s="81"/>
    </row>
    <row r="9862" spans="65:72" x14ac:dyDescent="0.25">
      <c r="BM9862" s="81"/>
      <c r="BN9862" s="81"/>
      <c r="BO9862" s="81"/>
      <c r="BP9862" s="81"/>
      <c r="BQ9862" s="81"/>
      <c r="BR9862" s="81"/>
      <c r="BS9862" s="81"/>
      <c r="BT9862" s="81"/>
    </row>
    <row r="9863" spans="65:72" x14ac:dyDescent="0.25">
      <c r="BM9863" s="81"/>
      <c r="BN9863" s="81"/>
      <c r="BO9863" s="81"/>
      <c r="BP9863" s="81"/>
      <c r="BQ9863" s="81"/>
      <c r="BR9863" s="81"/>
      <c r="BS9863" s="81"/>
      <c r="BT9863" s="81"/>
    </row>
    <row r="9864" spans="65:72" x14ac:dyDescent="0.25">
      <c r="BM9864" s="81"/>
      <c r="BN9864" s="81"/>
      <c r="BO9864" s="81"/>
      <c r="BP9864" s="81"/>
      <c r="BQ9864" s="81"/>
      <c r="BR9864" s="81"/>
      <c r="BS9864" s="81"/>
      <c r="BT9864" s="81"/>
    </row>
    <row r="9865" spans="65:72" x14ac:dyDescent="0.25">
      <c r="BM9865" s="81"/>
      <c r="BN9865" s="81"/>
      <c r="BO9865" s="81"/>
      <c r="BP9865" s="81"/>
      <c r="BQ9865" s="81"/>
      <c r="BR9865" s="81"/>
      <c r="BS9865" s="81"/>
      <c r="BT9865" s="81"/>
    </row>
    <row r="9866" spans="65:72" x14ac:dyDescent="0.25">
      <c r="BM9866" s="81"/>
      <c r="BN9866" s="81"/>
      <c r="BO9866" s="81"/>
      <c r="BP9866" s="81"/>
      <c r="BQ9866" s="81"/>
      <c r="BR9866" s="81"/>
      <c r="BS9866" s="81"/>
      <c r="BT9866" s="81"/>
    </row>
    <row r="9867" spans="65:72" x14ac:dyDescent="0.25">
      <c r="BM9867" s="81"/>
      <c r="BN9867" s="81"/>
      <c r="BO9867" s="81"/>
      <c r="BP9867" s="81"/>
      <c r="BQ9867" s="81"/>
      <c r="BR9867" s="81"/>
      <c r="BS9867" s="81"/>
      <c r="BT9867" s="81"/>
    </row>
    <row r="9868" spans="65:72" x14ac:dyDescent="0.25">
      <c r="BM9868" s="81"/>
      <c r="BN9868" s="81"/>
      <c r="BO9868" s="81"/>
      <c r="BP9868" s="81"/>
      <c r="BQ9868" s="81"/>
      <c r="BR9868" s="81"/>
      <c r="BS9868" s="81"/>
      <c r="BT9868" s="81"/>
    </row>
    <row r="9869" spans="65:72" x14ac:dyDescent="0.25">
      <c r="BM9869" s="81"/>
      <c r="BN9869" s="81"/>
      <c r="BO9869" s="81"/>
      <c r="BP9869" s="81"/>
      <c r="BQ9869" s="81"/>
      <c r="BR9869" s="81"/>
      <c r="BS9869" s="81"/>
      <c r="BT9869" s="81"/>
    </row>
    <row r="9870" spans="65:72" x14ac:dyDescent="0.25">
      <c r="BM9870" s="81"/>
      <c r="BN9870" s="81"/>
      <c r="BO9870" s="81"/>
      <c r="BP9870" s="81"/>
      <c r="BQ9870" s="81"/>
      <c r="BR9870" s="81"/>
      <c r="BS9870" s="81"/>
      <c r="BT9870" s="81"/>
    </row>
    <row r="9871" spans="65:72" x14ac:dyDescent="0.25">
      <c r="BM9871" s="81"/>
      <c r="BN9871" s="81"/>
      <c r="BO9871" s="81"/>
      <c r="BP9871" s="81"/>
      <c r="BQ9871" s="81"/>
      <c r="BR9871" s="81"/>
      <c r="BS9871" s="81"/>
      <c r="BT9871" s="81"/>
    </row>
    <row r="9872" spans="65:72" x14ac:dyDescent="0.25">
      <c r="BM9872" s="81"/>
      <c r="BN9872" s="81"/>
      <c r="BO9872" s="81"/>
      <c r="BP9872" s="81"/>
      <c r="BQ9872" s="81"/>
      <c r="BR9872" s="81"/>
      <c r="BS9872" s="81"/>
      <c r="BT9872" s="81"/>
    </row>
    <row r="9873" spans="65:72" x14ac:dyDescent="0.25">
      <c r="BM9873" s="81"/>
      <c r="BN9873" s="81"/>
      <c r="BO9873" s="81"/>
      <c r="BP9873" s="81"/>
      <c r="BQ9873" s="81"/>
      <c r="BR9873" s="81"/>
      <c r="BS9873" s="81"/>
      <c r="BT9873" s="81"/>
    </row>
    <row r="9874" spans="65:72" x14ac:dyDescent="0.25">
      <c r="BM9874" s="81"/>
      <c r="BN9874" s="81"/>
      <c r="BO9874" s="81"/>
      <c r="BP9874" s="81"/>
      <c r="BQ9874" s="81"/>
      <c r="BR9874" s="81"/>
      <c r="BS9874" s="81"/>
      <c r="BT9874" s="81"/>
    </row>
    <row r="9875" spans="65:72" x14ac:dyDescent="0.25">
      <c r="BM9875" s="81"/>
      <c r="BN9875" s="81"/>
      <c r="BO9875" s="81"/>
      <c r="BP9875" s="81"/>
      <c r="BQ9875" s="81"/>
      <c r="BR9875" s="81"/>
      <c r="BS9875" s="81"/>
      <c r="BT9875" s="81"/>
    </row>
    <row r="9876" spans="65:72" x14ac:dyDescent="0.25">
      <c r="BM9876" s="81"/>
      <c r="BN9876" s="81"/>
      <c r="BO9876" s="81"/>
      <c r="BP9876" s="81"/>
      <c r="BQ9876" s="81"/>
      <c r="BR9876" s="81"/>
      <c r="BS9876" s="81"/>
      <c r="BT9876" s="81"/>
    </row>
    <row r="9877" spans="65:72" x14ac:dyDescent="0.25">
      <c r="BM9877" s="81"/>
      <c r="BN9877" s="81"/>
      <c r="BO9877" s="81"/>
      <c r="BP9877" s="81"/>
      <c r="BQ9877" s="81"/>
      <c r="BR9877" s="81"/>
      <c r="BS9877" s="81"/>
      <c r="BT9877" s="81"/>
    </row>
    <row r="9878" spans="65:72" x14ac:dyDescent="0.25">
      <c r="BM9878" s="81"/>
      <c r="BN9878" s="81"/>
      <c r="BO9878" s="81"/>
      <c r="BP9878" s="81"/>
      <c r="BQ9878" s="81"/>
      <c r="BR9878" s="81"/>
      <c r="BS9878" s="81"/>
      <c r="BT9878" s="81"/>
    </row>
    <row r="9879" spans="65:72" x14ac:dyDescent="0.25">
      <c r="BM9879" s="81"/>
      <c r="BN9879" s="81"/>
      <c r="BO9879" s="81"/>
      <c r="BP9879" s="81"/>
      <c r="BQ9879" s="81"/>
      <c r="BR9879" s="81"/>
      <c r="BS9879" s="81"/>
      <c r="BT9879" s="81"/>
    </row>
    <row r="9880" spans="65:72" x14ac:dyDescent="0.25">
      <c r="BM9880" s="81"/>
      <c r="BN9880" s="81"/>
      <c r="BO9880" s="81"/>
      <c r="BP9880" s="81"/>
      <c r="BQ9880" s="81"/>
      <c r="BR9880" s="81"/>
      <c r="BS9880" s="81"/>
      <c r="BT9880" s="81"/>
    </row>
    <row r="9881" spans="65:72" x14ac:dyDescent="0.25">
      <c r="BM9881" s="81"/>
      <c r="BN9881" s="81"/>
      <c r="BO9881" s="81"/>
      <c r="BP9881" s="81"/>
      <c r="BQ9881" s="81"/>
      <c r="BR9881" s="81"/>
      <c r="BS9881" s="81"/>
      <c r="BT9881" s="81"/>
    </row>
    <row r="9882" spans="65:72" x14ac:dyDescent="0.25">
      <c r="BM9882" s="81"/>
      <c r="BN9882" s="81"/>
      <c r="BO9882" s="81"/>
      <c r="BP9882" s="81"/>
      <c r="BQ9882" s="81"/>
      <c r="BR9882" s="81"/>
      <c r="BS9882" s="81"/>
      <c r="BT9882" s="81"/>
    </row>
    <row r="9883" spans="65:72" x14ac:dyDescent="0.25">
      <c r="BM9883" s="81"/>
      <c r="BN9883" s="81"/>
      <c r="BO9883" s="81"/>
      <c r="BP9883" s="81"/>
      <c r="BQ9883" s="81"/>
      <c r="BR9883" s="81"/>
      <c r="BS9883" s="81"/>
      <c r="BT9883" s="81"/>
    </row>
    <row r="9884" spans="65:72" x14ac:dyDescent="0.25">
      <c r="BM9884" s="81"/>
      <c r="BN9884" s="81"/>
      <c r="BO9884" s="81"/>
      <c r="BP9884" s="81"/>
      <c r="BQ9884" s="81"/>
      <c r="BR9884" s="81"/>
      <c r="BS9884" s="81"/>
      <c r="BT9884" s="81"/>
    </row>
    <row r="9885" spans="65:72" x14ac:dyDescent="0.25">
      <c r="BM9885" s="81"/>
      <c r="BN9885" s="81"/>
      <c r="BO9885" s="81"/>
      <c r="BP9885" s="81"/>
      <c r="BQ9885" s="81"/>
      <c r="BR9885" s="81"/>
      <c r="BS9885" s="81"/>
      <c r="BT9885" s="81"/>
    </row>
    <row r="9886" spans="65:72" x14ac:dyDescent="0.25">
      <c r="BM9886" s="81"/>
      <c r="BN9886" s="81"/>
      <c r="BO9886" s="81"/>
      <c r="BP9886" s="81"/>
      <c r="BQ9886" s="81"/>
      <c r="BR9886" s="81"/>
      <c r="BS9886" s="81"/>
      <c r="BT9886" s="81"/>
    </row>
    <row r="9887" spans="65:72" x14ac:dyDescent="0.25">
      <c r="BM9887" s="81"/>
      <c r="BN9887" s="81"/>
      <c r="BO9887" s="81"/>
      <c r="BP9887" s="81"/>
      <c r="BQ9887" s="81"/>
      <c r="BR9887" s="81"/>
      <c r="BS9887" s="81"/>
      <c r="BT9887" s="81"/>
    </row>
    <row r="9888" spans="65:72" x14ac:dyDescent="0.25">
      <c r="BM9888" s="81"/>
      <c r="BN9888" s="81"/>
      <c r="BO9888" s="81"/>
      <c r="BP9888" s="81"/>
      <c r="BQ9888" s="81"/>
      <c r="BR9888" s="81"/>
      <c r="BS9888" s="81"/>
      <c r="BT9888" s="81"/>
    </row>
    <row r="9889" spans="65:72" x14ac:dyDescent="0.25">
      <c r="BM9889" s="81"/>
      <c r="BN9889" s="81"/>
      <c r="BO9889" s="81"/>
      <c r="BP9889" s="81"/>
      <c r="BQ9889" s="81"/>
      <c r="BR9889" s="81"/>
      <c r="BS9889" s="81"/>
      <c r="BT9889" s="81"/>
    </row>
    <row r="9890" spans="65:72" x14ac:dyDescent="0.25">
      <c r="BM9890" s="81"/>
      <c r="BN9890" s="81"/>
      <c r="BO9890" s="81"/>
      <c r="BP9890" s="81"/>
      <c r="BQ9890" s="81"/>
      <c r="BR9890" s="81"/>
      <c r="BS9890" s="81"/>
      <c r="BT9890" s="81"/>
    </row>
    <row r="9891" spans="65:72" x14ac:dyDescent="0.25">
      <c r="BM9891" s="81"/>
      <c r="BN9891" s="81"/>
      <c r="BO9891" s="81"/>
      <c r="BP9891" s="81"/>
      <c r="BQ9891" s="81"/>
      <c r="BR9891" s="81"/>
      <c r="BS9891" s="81"/>
      <c r="BT9891" s="81"/>
    </row>
    <row r="9892" spans="65:72" x14ac:dyDescent="0.25">
      <c r="BM9892" s="81"/>
      <c r="BN9892" s="81"/>
      <c r="BO9892" s="81"/>
      <c r="BP9892" s="81"/>
      <c r="BQ9892" s="81"/>
      <c r="BR9892" s="81"/>
      <c r="BS9892" s="81"/>
      <c r="BT9892" s="81"/>
    </row>
    <row r="9893" spans="65:72" x14ac:dyDescent="0.25">
      <c r="BM9893" s="81"/>
      <c r="BN9893" s="81"/>
      <c r="BO9893" s="81"/>
      <c r="BP9893" s="81"/>
      <c r="BQ9893" s="81"/>
      <c r="BR9893" s="81"/>
      <c r="BS9893" s="81"/>
      <c r="BT9893" s="81"/>
    </row>
    <row r="9894" spans="65:72" x14ac:dyDescent="0.25">
      <c r="BM9894" s="81"/>
      <c r="BN9894" s="81"/>
      <c r="BO9894" s="81"/>
      <c r="BP9894" s="81"/>
      <c r="BQ9894" s="81"/>
      <c r="BR9894" s="81"/>
      <c r="BS9894" s="81"/>
      <c r="BT9894" s="81"/>
    </row>
    <row r="9895" spans="65:72" x14ac:dyDescent="0.25">
      <c r="BM9895" s="81"/>
      <c r="BN9895" s="81"/>
      <c r="BO9895" s="81"/>
      <c r="BP9895" s="81"/>
      <c r="BQ9895" s="81"/>
      <c r="BR9895" s="81"/>
      <c r="BS9895" s="81"/>
      <c r="BT9895" s="81"/>
    </row>
    <row r="9896" spans="65:72" x14ac:dyDescent="0.25">
      <c r="BM9896" s="81"/>
      <c r="BN9896" s="81"/>
      <c r="BO9896" s="81"/>
      <c r="BP9896" s="81"/>
      <c r="BQ9896" s="81"/>
      <c r="BR9896" s="81"/>
      <c r="BS9896" s="81"/>
      <c r="BT9896" s="81"/>
    </row>
    <row r="9897" spans="65:72" x14ac:dyDescent="0.25">
      <c r="BM9897" s="81"/>
      <c r="BN9897" s="81"/>
      <c r="BO9897" s="81"/>
      <c r="BP9897" s="81"/>
      <c r="BQ9897" s="81"/>
      <c r="BR9897" s="81"/>
      <c r="BS9897" s="81"/>
      <c r="BT9897" s="81"/>
    </row>
    <row r="9898" spans="65:72" x14ac:dyDescent="0.25">
      <c r="BM9898" s="81"/>
      <c r="BN9898" s="81"/>
      <c r="BO9898" s="81"/>
      <c r="BP9898" s="81"/>
      <c r="BQ9898" s="81"/>
      <c r="BR9898" s="81"/>
      <c r="BS9898" s="81"/>
      <c r="BT9898" s="81"/>
    </row>
    <row r="9899" spans="65:72" x14ac:dyDescent="0.25">
      <c r="BM9899" s="81"/>
      <c r="BN9899" s="81"/>
      <c r="BO9899" s="81"/>
      <c r="BP9899" s="81"/>
      <c r="BQ9899" s="81"/>
      <c r="BR9899" s="81"/>
      <c r="BS9899" s="81"/>
      <c r="BT9899" s="81"/>
    </row>
    <row r="9900" spans="65:72" x14ac:dyDescent="0.25">
      <c r="BM9900" s="81"/>
      <c r="BN9900" s="81"/>
      <c r="BO9900" s="81"/>
      <c r="BP9900" s="81"/>
      <c r="BQ9900" s="81"/>
      <c r="BR9900" s="81"/>
      <c r="BS9900" s="81"/>
      <c r="BT9900" s="81"/>
    </row>
    <row r="9901" spans="65:72" x14ac:dyDescent="0.25">
      <c r="BM9901" s="81"/>
      <c r="BN9901" s="81"/>
      <c r="BO9901" s="81"/>
      <c r="BP9901" s="81"/>
      <c r="BQ9901" s="81"/>
      <c r="BR9901" s="81"/>
      <c r="BS9901" s="81"/>
      <c r="BT9901" s="81"/>
    </row>
    <row r="9902" spans="65:72" x14ac:dyDescent="0.25">
      <c r="BM9902" s="81"/>
      <c r="BN9902" s="81"/>
      <c r="BO9902" s="81"/>
      <c r="BP9902" s="81"/>
      <c r="BQ9902" s="81"/>
      <c r="BR9902" s="81"/>
      <c r="BS9902" s="81"/>
      <c r="BT9902" s="81"/>
    </row>
    <row r="9903" spans="65:72" x14ac:dyDescent="0.25">
      <c r="BM9903" s="81"/>
      <c r="BN9903" s="81"/>
      <c r="BO9903" s="81"/>
      <c r="BP9903" s="81"/>
      <c r="BQ9903" s="81"/>
      <c r="BR9903" s="81"/>
      <c r="BS9903" s="81"/>
      <c r="BT9903" s="81"/>
    </row>
    <row r="9904" spans="65:72" x14ac:dyDescent="0.25">
      <c r="BM9904" s="81"/>
      <c r="BN9904" s="81"/>
      <c r="BO9904" s="81"/>
      <c r="BP9904" s="81"/>
      <c r="BQ9904" s="81"/>
      <c r="BR9904" s="81"/>
      <c r="BS9904" s="81"/>
      <c r="BT9904" s="81"/>
    </row>
    <row r="9905" spans="65:72" x14ac:dyDescent="0.25">
      <c r="BM9905" s="81"/>
      <c r="BN9905" s="81"/>
      <c r="BO9905" s="81"/>
      <c r="BP9905" s="81"/>
      <c r="BQ9905" s="81"/>
      <c r="BR9905" s="81"/>
      <c r="BS9905" s="81"/>
      <c r="BT9905" s="81"/>
    </row>
    <row r="9906" spans="65:72" x14ac:dyDescent="0.25">
      <c r="BM9906" s="81"/>
      <c r="BN9906" s="81"/>
      <c r="BO9906" s="81"/>
      <c r="BP9906" s="81"/>
      <c r="BQ9906" s="81"/>
      <c r="BR9906" s="81"/>
      <c r="BS9906" s="81"/>
      <c r="BT9906" s="81"/>
    </row>
    <row r="9907" spans="65:72" x14ac:dyDescent="0.25">
      <c r="BM9907" s="81"/>
      <c r="BN9907" s="81"/>
      <c r="BO9907" s="81"/>
      <c r="BP9907" s="81"/>
      <c r="BQ9907" s="81"/>
      <c r="BR9907" s="81"/>
      <c r="BS9907" s="81"/>
      <c r="BT9907" s="81"/>
    </row>
    <row r="9908" spans="65:72" x14ac:dyDescent="0.25">
      <c r="BM9908" s="81"/>
      <c r="BN9908" s="81"/>
      <c r="BO9908" s="81"/>
      <c r="BP9908" s="81"/>
      <c r="BQ9908" s="81"/>
      <c r="BR9908" s="81"/>
      <c r="BS9908" s="81"/>
      <c r="BT9908" s="81"/>
    </row>
    <row r="9909" spans="65:72" x14ac:dyDescent="0.25">
      <c r="BM9909" s="81"/>
      <c r="BN9909" s="81"/>
      <c r="BO9909" s="81"/>
      <c r="BP9909" s="81"/>
      <c r="BQ9909" s="81"/>
      <c r="BR9909" s="81"/>
      <c r="BS9909" s="81"/>
      <c r="BT9909" s="81"/>
    </row>
    <row r="9910" spans="65:72" x14ac:dyDescent="0.25">
      <c r="BM9910" s="81"/>
      <c r="BN9910" s="81"/>
      <c r="BO9910" s="81"/>
      <c r="BP9910" s="81"/>
      <c r="BQ9910" s="81"/>
      <c r="BR9910" s="81"/>
      <c r="BS9910" s="81"/>
      <c r="BT9910" s="81"/>
    </row>
    <row r="9911" spans="65:72" x14ac:dyDescent="0.25">
      <c r="BM9911" s="81"/>
      <c r="BN9911" s="81"/>
      <c r="BO9911" s="81"/>
      <c r="BP9911" s="81"/>
      <c r="BQ9911" s="81"/>
      <c r="BR9911" s="81"/>
      <c r="BS9911" s="81"/>
      <c r="BT9911" s="81"/>
    </row>
    <row r="9912" spans="65:72" x14ac:dyDescent="0.25">
      <c r="BM9912" s="81"/>
      <c r="BN9912" s="81"/>
      <c r="BO9912" s="81"/>
      <c r="BP9912" s="81"/>
      <c r="BQ9912" s="81"/>
      <c r="BR9912" s="81"/>
      <c r="BS9912" s="81"/>
      <c r="BT9912" s="81"/>
    </row>
    <row r="9913" spans="65:72" x14ac:dyDescent="0.25">
      <c r="BM9913" s="81"/>
      <c r="BN9913" s="81"/>
      <c r="BO9913" s="81"/>
      <c r="BP9913" s="81"/>
      <c r="BQ9913" s="81"/>
      <c r="BR9913" s="81"/>
      <c r="BS9913" s="81"/>
      <c r="BT9913" s="81"/>
    </row>
    <row r="9914" spans="65:72" x14ac:dyDescent="0.25">
      <c r="BM9914" s="81"/>
      <c r="BN9914" s="81"/>
      <c r="BO9914" s="81"/>
      <c r="BP9914" s="81"/>
      <c r="BQ9914" s="81"/>
      <c r="BR9914" s="81"/>
      <c r="BS9914" s="81"/>
      <c r="BT9914" s="81"/>
    </row>
    <row r="9915" spans="65:72" x14ac:dyDescent="0.25">
      <c r="BM9915" s="81"/>
      <c r="BN9915" s="81"/>
      <c r="BO9915" s="81"/>
      <c r="BP9915" s="81"/>
      <c r="BQ9915" s="81"/>
      <c r="BR9915" s="81"/>
      <c r="BS9915" s="81"/>
      <c r="BT9915" s="81"/>
    </row>
    <row r="9916" spans="65:72" x14ac:dyDescent="0.25">
      <c r="BM9916" s="81"/>
      <c r="BN9916" s="81"/>
      <c r="BO9916" s="81"/>
      <c r="BP9916" s="81"/>
      <c r="BQ9916" s="81"/>
      <c r="BR9916" s="81"/>
      <c r="BS9916" s="81"/>
      <c r="BT9916" s="81"/>
    </row>
    <row r="9917" spans="65:72" x14ac:dyDescent="0.25">
      <c r="BM9917" s="81"/>
      <c r="BN9917" s="81"/>
      <c r="BO9917" s="81"/>
      <c r="BP9917" s="81"/>
      <c r="BQ9917" s="81"/>
      <c r="BR9917" s="81"/>
      <c r="BS9917" s="81"/>
      <c r="BT9917" s="81"/>
    </row>
    <row r="9918" spans="65:72" x14ac:dyDescent="0.25">
      <c r="BM9918" s="81"/>
      <c r="BN9918" s="81"/>
      <c r="BO9918" s="81"/>
      <c r="BP9918" s="81"/>
      <c r="BQ9918" s="81"/>
      <c r="BR9918" s="81"/>
      <c r="BS9918" s="81"/>
      <c r="BT9918" s="81"/>
    </row>
    <row r="9919" spans="65:72" x14ac:dyDescent="0.25">
      <c r="BM9919" s="81"/>
      <c r="BN9919" s="81"/>
      <c r="BO9919" s="81"/>
      <c r="BP9919" s="81"/>
      <c r="BQ9919" s="81"/>
      <c r="BR9919" s="81"/>
      <c r="BS9919" s="81"/>
      <c r="BT9919" s="81"/>
    </row>
    <row r="9920" spans="65:72" x14ac:dyDescent="0.25">
      <c r="BM9920" s="81"/>
      <c r="BN9920" s="81"/>
      <c r="BO9920" s="81"/>
      <c r="BP9920" s="81"/>
      <c r="BQ9920" s="81"/>
      <c r="BR9920" s="81"/>
      <c r="BS9920" s="81"/>
      <c r="BT9920" s="81"/>
    </row>
    <row r="9921" spans="65:72" x14ac:dyDescent="0.25">
      <c r="BM9921" s="81"/>
      <c r="BN9921" s="81"/>
      <c r="BO9921" s="81"/>
      <c r="BP9921" s="81"/>
      <c r="BQ9921" s="81"/>
      <c r="BR9921" s="81"/>
      <c r="BS9921" s="81"/>
      <c r="BT9921" s="81"/>
    </row>
    <row r="9922" spans="65:72" x14ac:dyDescent="0.25">
      <c r="BM9922" s="81"/>
      <c r="BN9922" s="81"/>
      <c r="BO9922" s="81"/>
      <c r="BP9922" s="81"/>
      <c r="BQ9922" s="81"/>
      <c r="BR9922" s="81"/>
      <c r="BS9922" s="81"/>
      <c r="BT9922" s="81"/>
    </row>
    <row r="9923" spans="65:72" x14ac:dyDescent="0.25">
      <c r="BM9923" s="81"/>
      <c r="BN9923" s="81"/>
      <c r="BO9923" s="81"/>
      <c r="BP9923" s="81"/>
      <c r="BQ9923" s="81"/>
      <c r="BR9923" s="81"/>
      <c r="BS9923" s="81"/>
      <c r="BT9923" s="81"/>
    </row>
    <row r="9924" spans="65:72" x14ac:dyDescent="0.25">
      <c r="BM9924" s="81"/>
      <c r="BN9924" s="81"/>
      <c r="BO9924" s="81"/>
      <c r="BP9924" s="81"/>
      <c r="BQ9924" s="81"/>
      <c r="BR9924" s="81"/>
      <c r="BS9924" s="81"/>
      <c r="BT9924" s="81"/>
    </row>
    <row r="9925" spans="65:72" x14ac:dyDescent="0.25">
      <c r="BM9925" s="81"/>
      <c r="BN9925" s="81"/>
      <c r="BO9925" s="81"/>
      <c r="BP9925" s="81"/>
      <c r="BQ9925" s="81"/>
      <c r="BR9925" s="81"/>
      <c r="BS9925" s="81"/>
      <c r="BT9925" s="81"/>
    </row>
    <row r="9926" spans="65:72" x14ac:dyDescent="0.25">
      <c r="BM9926" s="81"/>
      <c r="BN9926" s="81"/>
      <c r="BO9926" s="81"/>
      <c r="BP9926" s="81"/>
      <c r="BQ9926" s="81"/>
      <c r="BR9926" s="81"/>
      <c r="BS9926" s="81"/>
      <c r="BT9926" s="81"/>
    </row>
    <row r="9927" spans="65:72" x14ac:dyDescent="0.25">
      <c r="BM9927" s="81"/>
      <c r="BN9927" s="81"/>
      <c r="BO9927" s="81"/>
      <c r="BP9927" s="81"/>
      <c r="BQ9927" s="81"/>
      <c r="BR9927" s="81"/>
      <c r="BS9927" s="81"/>
      <c r="BT9927" s="81"/>
    </row>
    <row r="9928" spans="65:72" x14ac:dyDescent="0.25">
      <c r="BM9928" s="81"/>
      <c r="BN9928" s="81"/>
      <c r="BO9928" s="81"/>
      <c r="BP9928" s="81"/>
      <c r="BQ9928" s="81"/>
      <c r="BR9928" s="81"/>
      <c r="BS9928" s="81"/>
      <c r="BT9928" s="81"/>
    </row>
    <row r="9929" spans="65:72" x14ac:dyDescent="0.25">
      <c r="BM9929" s="81"/>
      <c r="BN9929" s="81"/>
      <c r="BO9929" s="81"/>
      <c r="BP9929" s="81"/>
      <c r="BQ9929" s="81"/>
      <c r="BR9929" s="81"/>
      <c r="BS9929" s="81"/>
      <c r="BT9929" s="81"/>
    </row>
    <row r="9930" spans="65:72" x14ac:dyDescent="0.25">
      <c r="BM9930" s="81"/>
      <c r="BN9930" s="81"/>
      <c r="BO9930" s="81"/>
      <c r="BP9930" s="81"/>
      <c r="BQ9930" s="81"/>
      <c r="BR9930" s="81"/>
      <c r="BS9930" s="81"/>
      <c r="BT9930" s="81"/>
    </row>
    <row r="9931" spans="65:72" x14ac:dyDescent="0.25">
      <c r="BM9931" s="81"/>
      <c r="BN9931" s="81"/>
      <c r="BO9931" s="81"/>
      <c r="BP9931" s="81"/>
      <c r="BQ9931" s="81"/>
      <c r="BR9931" s="81"/>
      <c r="BS9931" s="81"/>
      <c r="BT9931" s="81"/>
    </row>
    <row r="9932" spans="65:72" x14ac:dyDescent="0.25">
      <c r="BM9932" s="81"/>
      <c r="BN9932" s="81"/>
      <c r="BO9932" s="81"/>
      <c r="BP9932" s="81"/>
      <c r="BQ9932" s="81"/>
      <c r="BR9932" s="81"/>
      <c r="BS9932" s="81"/>
      <c r="BT9932" s="81"/>
    </row>
    <row r="9933" spans="65:72" x14ac:dyDescent="0.25">
      <c r="BM9933" s="81"/>
      <c r="BN9933" s="81"/>
      <c r="BO9933" s="81"/>
      <c r="BP9933" s="81"/>
      <c r="BQ9933" s="81"/>
      <c r="BR9933" s="81"/>
      <c r="BS9933" s="81"/>
      <c r="BT9933" s="81"/>
    </row>
    <row r="9934" spans="65:72" x14ac:dyDescent="0.25">
      <c r="BM9934" s="81"/>
      <c r="BN9934" s="81"/>
      <c r="BO9934" s="81"/>
      <c r="BP9934" s="81"/>
      <c r="BQ9934" s="81"/>
      <c r="BR9934" s="81"/>
      <c r="BS9934" s="81"/>
      <c r="BT9934" s="81"/>
    </row>
    <row r="9935" spans="65:72" x14ac:dyDescent="0.25">
      <c r="BM9935" s="81"/>
      <c r="BN9935" s="81"/>
      <c r="BO9935" s="81"/>
      <c r="BP9935" s="81"/>
      <c r="BQ9935" s="81"/>
      <c r="BR9935" s="81"/>
      <c r="BS9935" s="81"/>
      <c r="BT9935" s="81"/>
    </row>
    <row r="9936" spans="65:72" x14ac:dyDescent="0.25">
      <c r="BM9936" s="81"/>
      <c r="BN9936" s="81"/>
      <c r="BO9936" s="81"/>
      <c r="BP9936" s="81"/>
      <c r="BQ9936" s="81"/>
      <c r="BR9936" s="81"/>
      <c r="BS9936" s="81"/>
      <c r="BT9936" s="81"/>
    </row>
    <row r="9937" spans="65:72" x14ac:dyDescent="0.25">
      <c r="BM9937" s="81"/>
      <c r="BN9937" s="81"/>
      <c r="BO9937" s="81"/>
      <c r="BP9937" s="81"/>
      <c r="BQ9937" s="81"/>
      <c r="BR9937" s="81"/>
      <c r="BS9937" s="81"/>
      <c r="BT9937" s="81"/>
    </row>
    <row r="9938" spans="65:72" x14ac:dyDescent="0.25">
      <c r="BM9938" s="81"/>
      <c r="BN9938" s="81"/>
      <c r="BO9938" s="81"/>
      <c r="BP9938" s="81"/>
      <c r="BQ9938" s="81"/>
      <c r="BR9938" s="81"/>
      <c r="BS9938" s="81"/>
      <c r="BT9938" s="81"/>
    </row>
    <row r="9939" spans="65:72" x14ac:dyDescent="0.25">
      <c r="BM9939" s="81"/>
      <c r="BN9939" s="81"/>
      <c r="BO9939" s="81"/>
      <c r="BP9939" s="81"/>
      <c r="BQ9939" s="81"/>
      <c r="BR9939" s="81"/>
      <c r="BS9939" s="81"/>
      <c r="BT9939" s="81"/>
    </row>
    <row r="9940" spans="65:72" x14ac:dyDescent="0.25">
      <c r="BM9940" s="81"/>
      <c r="BN9940" s="81"/>
      <c r="BO9940" s="81"/>
      <c r="BP9940" s="81"/>
      <c r="BQ9940" s="81"/>
      <c r="BR9940" s="81"/>
      <c r="BS9940" s="81"/>
      <c r="BT9940" s="81"/>
    </row>
    <row r="9941" spans="65:72" x14ac:dyDescent="0.25">
      <c r="BM9941" s="81"/>
      <c r="BN9941" s="81"/>
      <c r="BO9941" s="81"/>
      <c r="BP9941" s="81"/>
      <c r="BQ9941" s="81"/>
      <c r="BR9941" s="81"/>
      <c r="BS9941" s="81"/>
      <c r="BT9941" s="81"/>
    </row>
    <row r="9942" spans="65:72" x14ac:dyDescent="0.25">
      <c r="BM9942" s="81"/>
      <c r="BN9942" s="81"/>
      <c r="BO9942" s="81"/>
      <c r="BP9942" s="81"/>
      <c r="BQ9942" s="81"/>
      <c r="BR9942" s="81"/>
      <c r="BS9942" s="81"/>
      <c r="BT9942" s="81"/>
    </row>
    <row r="9943" spans="65:72" x14ac:dyDescent="0.25">
      <c r="BM9943" s="81"/>
      <c r="BN9943" s="81"/>
      <c r="BO9943" s="81"/>
      <c r="BP9943" s="81"/>
      <c r="BQ9943" s="81"/>
      <c r="BR9943" s="81"/>
      <c r="BS9943" s="81"/>
      <c r="BT9943" s="81"/>
    </row>
    <row r="9944" spans="65:72" x14ac:dyDescent="0.25">
      <c r="BM9944" s="81"/>
      <c r="BN9944" s="81"/>
      <c r="BO9944" s="81"/>
      <c r="BP9944" s="81"/>
      <c r="BQ9944" s="81"/>
      <c r="BR9944" s="81"/>
      <c r="BS9944" s="81"/>
      <c r="BT9944" s="81"/>
    </row>
    <row r="9945" spans="65:72" x14ac:dyDescent="0.25">
      <c r="BM9945" s="81"/>
      <c r="BN9945" s="81"/>
      <c r="BO9945" s="81"/>
      <c r="BP9945" s="81"/>
      <c r="BQ9945" s="81"/>
      <c r="BR9945" s="81"/>
      <c r="BS9945" s="81"/>
      <c r="BT9945" s="81"/>
    </row>
    <row r="9946" spans="65:72" x14ac:dyDescent="0.25">
      <c r="BM9946" s="81"/>
      <c r="BN9946" s="81"/>
      <c r="BO9946" s="81"/>
      <c r="BP9946" s="81"/>
      <c r="BQ9946" s="81"/>
      <c r="BR9946" s="81"/>
      <c r="BS9946" s="81"/>
      <c r="BT9946" s="81"/>
    </row>
    <row r="9947" spans="65:72" x14ac:dyDescent="0.25">
      <c r="BM9947" s="81"/>
      <c r="BN9947" s="81"/>
      <c r="BO9947" s="81"/>
      <c r="BP9947" s="81"/>
      <c r="BQ9947" s="81"/>
      <c r="BR9947" s="81"/>
      <c r="BS9947" s="81"/>
      <c r="BT9947" s="81"/>
    </row>
    <row r="9948" spans="65:72" x14ac:dyDescent="0.25">
      <c r="BM9948" s="81"/>
      <c r="BN9948" s="81"/>
      <c r="BO9948" s="81"/>
      <c r="BP9948" s="81"/>
      <c r="BQ9948" s="81"/>
      <c r="BR9948" s="81"/>
      <c r="BS9948" s="81"/>
      <c r="BT9948" s="81"/>
    </row>
    <row r="9949" spans="65:72" x14ac:dyDescent="0.25">
      <c r="BM9949" s="81"/>
      <c r="BN9949" s="81"/>
      <c r="BO9949" s="81"/>
      <c r="BP9949" s="81"/>
      <c r="BQ9949" s="81"/>
      <c r="BR9949" s="81"/>
      <c r="BS9949" s="81"/>
      <c r="BT9949" s="81"/>
    </row>
    <row r="9950" spans="65:72" x14ac:dyDescent="0.25">
      <c r="BM9950" s="81"/>
      <c r="BN9950" s="81"/>
      <c r="BO9950" s="81"/>
      <c r="BP9950" s="81"/>
      <c r="BQ9950" s="81"/>
      <c r="BR9950" s="81"/>
      <c r="BS9950" s="81"/>
      <c r="BT9950" s="81"/>
    </row>
    <row r="9951" spans="65:72" x14ac:dyDescent="0.25">
      <c r="BM9951" s="81"/>
      <c r="BN9951" s="81"/>
      <c r="BO9951" s="81"/>
      <c r="BP9951" s="81"/>
      <c r="BQ9951" s="81"/>
      <c r="BR9951" s="81"/>
      <c r="BS9951" s="81"/>
      <c r="BT9951" s="81"/>
    </row>
    <row r="9952" spans="65:72" x14ac:dyDescent="0.25">
      <c r="BM9952" s="81"/>
      <c r="BN9952" s="81"/>
      <c r="BO9952" s="81"/>
      <c r="BP9952" s="81"/>
      <c r="BQ9952" s="81"/>
      <c r="BR9952" s="81"/>
      <c r="BS9952" s="81"/>
      <c r="BT9952" s="81"/>
    </row>
    <row r="9953" spans="65:72" x14ac:dyDescent="0.25">
      <c r="BM9953" s="81"/>
      <c r="BN9953" s="81"/>
      <c r="BO9953" s="81"/>
      <c r="BP9953" s="81"/>
      <c r="BQ9953" s="81"/>
      <c r="BR9953" s="81"/>
      <c r="BS9953" s="81"/>
      <c r="BT9953" s="81"/>
    </row>
    <row r="9954" spans="65:72" x14ac:dyDescent="0.25">
      <c r="BM9954" s="81"/>
      <c r="BN9954" s="81"/>
      <c r="BO9954" s="81"/>
      <c r="BP9954" s="81"/>
      <c r="BQ9954" s="81"/>
      <c r="BR9954" s="81"/>
      <c r="BS9954" s="81"/>
      <c r="BT9954" s="81"/>
    </row>
    <row r="9955" spans="65:72" x14ac:dyDescent="0.25">
      <c r="BM9955" s="81"/>
      <c r="BN9955" s="81"/>
      <c r="BO9955" s="81"/>
      <c r="BP9955" s="81"/>
      <c r="BQ9955" s="81"/>
      <c r="BR9955" s="81"/>
      <c r="BS9955" s="81"/>
      <c r="BT9955" s="81"/>
    </row>
    <row r="9956" spans="65:72" x14ac:dyDescent="0.25">
      <c r="BM9956" s="81"/>
      <c r="BN9956" s="81"/>
      <c r="BO9956" s="81"/>
      <c r="BP9956" s="81"/>
      <c r="BQ9956" s="81"/>
      <c r="BR9956" s="81"/>
      <c r="BS9956" s="81"/>
      <c r="BT9956" s="81"/>
    </row>
    <row r="9957" spans="65:72" x14ac:dyDescent="0.25">
      <c r="BM9957" s="81"/>
      <c r="BN9957" s="81"/>
      <c r="BO9957" s="81"/>
      <c r="BP9957" s="81"/>
      <c r="BQ9957" s="81"/>
      <c r="BR9957" s="81"/>
      <c r="BS9957" s="81"/>
      <c r="BT9957" s="81"/>
    </row>
    <row r="9958" spans="65:72" x14ac:dyDescent="0.25">
      <c r="BM9958" s="81"/>
      <c r="BN9958" s="81"/>
      <c r="BO9958" s="81"/>
      <c r="BP9958" s="81"/>
      <c r="BQ9958" s="81"/>
      <c r="BR9958" s="81"/>
      <c r="BS9958" s="81"/>
      <c r="BT9958" s="81"/>
    </row>
    <row r="9959" spans="65:72" x14ac:dyDescent="0.25">
      <c r="BM9959" s="81"/>
      <c r="BN9959" s="81"/>
      <c r="BO9959" s="81"/>
      <c r="BP9959" s="81"/>
      <c r="BQ9959" s="81"/>
      <c r="BR9959" s="81"/>
      <c r="BS9959" s="81"/>
      <c r="BT9959" s="81"/>
    </row>
    <row r="9960" spans="65:72" x14ac:dyDescent="0.25">
      <c r="BM9960" s="81"/>
      <c r="BN9960" s="81"/>
      <c r="BO9960" s="81"/>
      <c r="BP9960" s="81"/>
      <c r="BQ9960" s="81"/>
      <c r="BR9960" s="81"/>
      <c r="BS9960" s="81"/>
      <c r="BT9960" s="81"/>
    </row>
    <row r="9961" spans="65:72" x14ac:dyDescent="0.25">
      <c r="BM9961" s="81"/>
      <c r="BN9961" s="81"/>
      <c r="BO9961" s="81"/>
      <c r="BP9961" s="81"/>
      <c r="BQ9961" s="81"/>
      <c r="BR9961" s="81"/>
      <c r="BS9961" s="81"/>
      <c r="BT9961" s="81"/>
    </row>
    <row r="9962" spans="65:72" x14ac:dyDescent="0.25">
      <c r="BM9962" s="81"/>
      <c r="BN9962" s="81"/>
      <c r="BO9962" s="81"/>
      <c r="BP9962" s="81"/>
      <c r="BQ9962" s="81"/>
      <c r="BR9962" s="81"/>
      <c r="BS9962" s="81"/>
      <c r="BT9962" s="81"/>
    </row>
    <row r="9963" spans="65:72" x14ac:dyDescent="0.25">
      <c r="BM9963" s="81"/>
      <c r="BN9963" s="81"/>
      <c r="BO9963" s="81"/>
      <c r="BP9963" s="81"/>
      <c r="BQ9963" s="81"/>
      <c r="BR9963" s="81"/>
      <c r="BS9963" s="81"/>
      <c r="BT9963" s="81"/>
    </row>
    <row r="9964" spans="65:72" x14ac:dyDescent="0.25">
      <c r="BM9964" s="81"/>
      <c r="BN9964" s="81"/>
      <c r="BO9964" s="81"/>
      <c r="BP9964" s="81"/>
      <c r="BQ9964" s="81"/>
      <c r="BR9964" s="81"/>
      <c r="BS9964" s="81"/>
      <c r="BT9964" s="81"/>
    </row>
    <row r="9965" spans="65:72" x14ac:dyDescent="0.25">
      <c r="BM9965" s="81"/>
      <c r="BN9965" s="81"/>
      <c r="BO9965" s="81"/>
      <c r="BP9965" s="81"/>
      <c r="BQ9965" s="81"/>
      <c r="BR9965" s="81"/>
      <c r="BS9965" s="81"/>
      <c r="BT9965" s="81"/>
    </row>
    <row r="9966" spans="65:72" x14ac:dyDescent="0.25">
      <c r="BM9966" s="81"/>
      <c r="BN9966" s="81"/>
      <c r="BO9966" s="81"/>
      <c r="BP9966" s="81"/>
      <c r="BQ9966" s="81"/>
      <c r="BR9966" s="81"/>
      <c r="BS9966" s="81"/>
      <c r="BT9966" s="81"/>
    </row>
    <row r="9967" spans="65:72" x14ac:dyDescent="0.25">
      <c r="BM9967" s="81"/>
      <c r="BN9967" s="81"/>
      <c r="BO9967" s="81"/>
      <c r="BP9967" s="81"/>
      <c r="BQ9967" s="81"/>
      <c r="BR9967" s="81"/>
      <c r="BS9967" s="81"/>
      <c r="BT9967" s="81"/>
    </row>
    <row r="9968" spans="65:72" x14ac:dyDescent="0.25">
      <c r="BM9968" s="81"/>
      <c r="BN9968" s="81"/>
      <c r="BO9968" s="81"/>
      <c r="BP9968" s="81"/>
      <c r="BQ9968" s="81"/>
      <c r="BR9968" s="81"/>
      <c r="BS9968" s="81"/>
      <c r="BT9968" s="81"/>
    </row>
    <row r="9969" spans="65:72" x14ac:dyDescent="0.25">
      <c r="BM9969" s="81"/>
      <c r="BN9969" s="81"/>
      <c r="BO9969" s="81"/>
      <c r="BP9969" s="81"/>
      <c r="BQ9969" s="81"/>
      <c r="BR9969" s="81"/>
      <c r="BS9969" s="81"/>
      <c r="BT9969" s="81"/>
    </row>
    <row r="9970" spans="65:72" x14ac:dyDescent="0.25">
      <c r="BM9970" s="81"/>
      <c r="BN9970" s="81"/>
      <c r="BO9970" s="81"/>
      <c r="BP9970" s="81"/>
      <c r="BQ9970" s="81"/>
      <c r="BR9970" s="81"/>
      <c r="BS9970" s="81"/>
      <c r="BT9970" s="81"/>
    </row>
    <row r="9971" spans="65:72" x14ac:dyDescent="0.25">
      <c r="BM9971" s="81"/>
      <c r="BN9971" s="81"/>
      <c r="BO9971" s="81"/>
      <c r="BP9971" s="81"/>
      <c r="BQ9971" s="81"/>
      <c r="BR9971" s="81"/>
      <c r="BS9971" s="81"/>
      <c r="BT9971" s="81"/>
    </row>
    <row r="9972" spans="65:72" x14ac:dyDescent="0.25">
      <c r="BM9972" s="81"/>
      <c r="BN9972" s="81"/>
      <c r="BO9972" s="81"/>
      <c r="BP9972" s="81"/>
      <c r="BQ9972" s="81"/>
      <c r="BR9972" s="81"/>
      <c r="BS9972" s="81"/>
      <c r="BT9972" s="81"/>
    </row>
    <row r="9973" spans="65:72" x14ac:dyDescent="0.25">
      <c r="BM9973" s="81"/>
      <c r="BN9973" s="81"/>
      <c r="BO9973" s="81"/>
      <c r="BP9973" s="81"/>
      <c r="BQ9973" s="81"/>
      <c r="BR9973" s="81"/>
      <c r="BS9973" s="81"/>
      <c r="BT9973" s="81"/>
    </row>
    <row r="9974" spans="65:72" x14ac:dyDescent="0.25">
      <c r="BM9974" s="81"/>
      <c r="BN9974" s="81"/>
      <c r="BO9974" s="81"/>
      <c r="BP9974" s="81"/>
      <c r="BQ9974" s="81"/>
      <c r="BR9974" s="81"/>
      <c r="BS9974" s="81"/>
      <c r="BT9974" s="81"/>
    </row>
    <row r="9975" spans="65:72" x14ac:dyDescent="0.25">
      <c r="BM9975" s="81"/>
      <c r="BN9975" s="81"/>
      <c r="BO9975" s="81"/>
      <c r="BP9975" s="81"/>
      <c r="BQ9975" s="81"/>
      <c r="BR9975" s="81"/>
      <c r="BS9975" s="81"/>
      <c r="BT9975" s="81"/>
    </row>
    <row r="9976" spans="65:72" x14ac:dyDescent="0.25">
      <c r="BM9976" s="81"/>
      <c r="BN9976" s="81"/>
      <c r="BO9976" s="81"/>
      <c r="BP9976" s="81"/>
      <c r="BQ9976" s="81"/>
      <c r="BR9976" s="81"/>
      <c r="BS9976" s="81"/>
      <c r="BT9976" s="81"/>
    </row>
    <row r="9977" spans="65:72" x14ac:dyDescent="0.25">
      <c r="BM9977" s="81"/>
      <c r="BN9977" s="81"/>
      <c r="BO9977" s="81"/>
      <c r="BP9977" s="81"/>
      <c r="BQ9977" s="81"/>
      <c r="BR9977" s="81"/>
      <c r="BS9977" s="81"/>
      <c r="BT9977" s="81"/>
    </row>
    <row r="9978" spans="65:72" x14ac:dyDescent="0.25">
      <c r="BM9978" s="81"/>
      <c r="BN9978" s="81"/>
      <c r="BO9978" s="81"/>
      <c r="BP9978" s="81"/>
      <c r="BQ9978" s="81"/>
      <c r="BR9978" s="81"/>
      <c r="BS9978" s="81"/>
      <c r="BT9978" s="81"/>
    </row>
    <row r="9979" spans="65:72" x14ac:dyDescent="0.25">
      <c r="BM9979" s="81"/>
      <c r="BN9979" s="81"/>
      <c r="BO9979" s="81"/>
      <c r="BP9979" s="81"/>
      <c r="BQ9979" s="81"/>
      <c r="BR9979" s="81"/>
      <c r="BS9979" s="81"/>
      <c r="BT9979" s="81"/>
    </row>
    <row r="9980" spans="65:72" x14ac:dyDescent="0.25">
      <c r="BM9980" s="81"/>
      <c r="BN9980" s="81"/>
      <c r="BO9980" s="81"/>
      <c r="BP9980" s="81"/>
      <c r="BQ9980" s="81"/>
      <c r="BR9980" s="81"/>
      <c r="BS9980" s="81"/>
      <c r="BT9980" s="81"/>
    </row>
    <row r="9981" spans="65:72" x14ac:dyDescent="0.25">
      <c r="BM9981" s="81"/>
      <c r="BN9981" s="81"/>
      <c r="BO9981" s="81"/>
      <c r="BP9981" s="81"/>
      <c r="BQ9981" s="81"/>
      <c r="BR9981" s="81"/>
      <c r="BS9981" s="81"/>
      <c r="BT9981" s="81"/>
    </row>
    <row r="9982" spans="65:72" x14ac:dyDescent="0.25">
      <c r="BM9982" s="81"/>
      <c r="BN9982" s="81"/>
      <c r="BO9982" s="81"/>
      <c r="BP9982" s="81"/>
      <c r="BQ9982" s="81"/>
      <c r="BR9982" s="81"/>
      <c r="BS9982" s="81"/>
      <c r="BT9982" s="81"/>
    </row>
    <row r="9983" spans="65:72" x14ac:dyDescent="0.25">
      <c r="BM9983" s="81"/>
      <c r="BN9983" s="81"/>
      <c r="BO9983" s="81"/>
      <c r="BP9983" s="81"/>
      <c r="BQ9983" s="81"/>
      <c r="BR9983" s="81"/>
      <c r="BS9983" s="81"/>
      <c r="BT9983" s="81"/>
    </row>
    <row r="9984" spans="65:72" x14ac:dyDescent="0.25">
      <c r="BM9984" s="81"/>
      <c r="BN9984" s="81"/>
      <c r="BO9984" s="81"/>
      <c r="BP9984" s="81"/>
      <c r="BQ9984" s="81"/>
      <c r="BR9984" s="81"/>
      <c r="BS9984" s="81"/>
      <c r="BT9984" s="81"/>
    </row>
    <row r="9985" spans="65:72" x14ac:dyDescent="0.25">
      <c r="BM9985" s="81"/>
      <c r="BN9985" s="81"/>
      <c r="BO9985" s="81"/>
      <c r="BP9985" s="81"/>
      <c r="BQ9985" s="81"/>
      <c r="BR9985" s="81"/>
      <c r="BS9985" s="81"/>
      <c r="BT9985" s="81"/>
    </row>
    <row r="9986" spans="65:72" x14ac:dyDescent="0.25">
      <c r="BM9986" s="81"/>
      <c r="BN9986" s="81"/>
      <c r="BO9986" s="81"/>
      <c r="BP9986" s="81"/>
      <c r="BQ9986" s="81"/>
      <c r="BR9986" s="81"/>
      <c r="BS9986" s="81"/>
      <c r="BT9986" s="81"/>
    </row>
    <row r="9987" spans="65:72" x14ac:dyDescent="0.25">
      <c r="BM9987" s="81"/>
      <c r="BN9987" s="81"/>
      <c r="BO9987" s="81"/>
      <c r="BP9987" s="81"/>
      <c r="BQ9987" s="81"/>
      <c r="BR9987" s="81"/>
      <c r="BS9987" s="81"/>
      <c r="BT9987" s="81"/>
    </row>
    <row r="9988" spans="65:72" x14ac:dyDescent="0.25">
      <c r="BM9988" s="81"/>
      <c r="BN9988" s="81"/>
      <c r="BO9988" s="81"/>
      <c r="BP9988" s="81"/>
      <c r="BQ9988" s="81"/>
      <c r="BR9988" s="81"/>
      <c r="BS9988" s="81"/>
      <c r="BT9988" s="81"/>
    </row>
    <row r="9989" spans="65:72" x14ac:dyDescent="0.25">
      <c r="BM9989" s="81"/>
      <c r="BN9989" s="81"/>
      <c r="BO9989" s="81"/>
      <c r="BP9989" s="81"/>
      <c r="BQ9989" s="81"/>
      <c r="BR9989" s="81"/>
      <c r="BS9989" s="81"/>
      <c r="BT9989" s="81"/>
    </row>
    <row r="9990" spans="65:72" x14ac:dyDescent="0.25">
      <c r="BM9990" s="81"/>
      <c r="BN9990" s="81"/>
      <c r="BO9990" s="81"/>
      <c r="BP9990" s="81"/>
      <c r="BQ9990" s="81"/>
      <c r="BR9990" s="81"/>
      <c r="BS9990" s="81"/>
      <c r="BT9990" s="81"/>
    </row>
    <row r="9991" spans="65:72" x14ac:dyDescent="0.25">
      <c r="BM9991" s="81"/>
      <c r="BN9991" s="81"/>
      <c r="BO9991" s="81"/>
      <c r="BP9991" s="81"/>
      <c r="BQ9991" s="81"/>
      <c r="BR9991" s="81"/>
      <c r="BS9991" s="81"/>
      <c r="BT9991" s="81"/>
    </row>
    <row r="9992" spans="65:72" x14ac:dyDescent="0.25">
      <c r="BM9992" s="81"/>
      <c r="BN9992" s="81"/>
      <c r="BO9992" s="81"/>
      <c r="BP9992" s="81"/>
      <c r="BQ9992" s="81"/>
      <c r="BR9992" s="81"/>
      <c r="BS9992" s="81"/>
      <c r="BT9992" s="81"/>
    </row>
    <row r="9993" spans="65:72" x14ac:dyDescent="0.25">
      <c r="BM9993" s="81"/>
      <c r="BN9993" s="81"/>
      <c r="BO9993" s="81"/>
      <c r="BP9993" s="81"/>
      <c r="BQ9993" s="81"/>
      <c r="BR9993" s="81"/>
      <c r="BS9993" s="81"/>
      <c r="BT9993" s="81"/>
    </row>
    <row r="9994" spans="65:72" x14ac:dyDescent="0.25">
      <c r="BM9994" s="81"/>
      <c r="BN9994" s="81"/>
      <c r="BO9994" s="81"/>
      <c r="BP9994" s="81"/>
      <c r="BQ9994" s="81"/>
      <c r="BR9994" s="81"/>
      <c r="BS9994" s="81"/>
      <c r="BT9994" s="81"/>
    </row>
    <row r="9995" spans="65:72" x14ac:dyDescent="0.25">
      <c r="BM9995" s="81"/>
      <c r="BN9995" s="81"/>
      <c r="BO9995" s="81"/>
      <c r="BP9995" s="81"/>
      <c r="BQ9995" s="81"/>
      <c r="BR9995" s="81"/>
      <c r="BS9995" s="81"/>
      <c r="BT9995" s="81"/>
    </row>
    <row r="9996" spans="65:72" x14ac:dyDescent="0.25">
      <c r="BM9996" s="81"/>
      <c r="BN9996" s="81"/>
      <c r="BO9996" s="81"/>
      <c r="BP9996" s="81"/>
      <c r="BQ9996" s="81"/>
      <c r="BR9996" s="81"/>
      <c r="BS9996" s="81"/>
      <c r="BT9996" s="81"/>
    </row>
    <row r="9997" spans="65:72" x14ac:dyDescent="0.25">
      <c r="BM9997" s="81"/>
      <c r="BN9997" s="81"/>
      <c r="BO9997" s="81"/>
      <c r="BP9997" s="81"/>
      <c r="BQ9997" s="81"/>
      <c r="BR9997" s="81"/>
      <c r="BS9997" s="81"/>
      <c r="BT9997" s="81"/>
    </row>
    <row r="9998" spans="65:72" x14ac:dyDescent="0.25">
      <c r="BM9998" s="81"/>
      <c r="BN9998" s="81"/>
      <c r="BO9998" s="81"/>
      <c r="BP9998" s="81"/>
      <c r="BQ9998" s="81"/>
      <c r="BR9998" s="81"/>
      <c r="BS9998" s="81"/>
      <c r="BT9998" s="81"/>
    </row>
    <row r="9999" spans="65:72" x14ac:dyDescent="0.25">
      <c r="BM9999" s="81"/>
      <c r="BN9999" s="81"/>
      <c r="BO9999" s="81"/>
      <c r="BP9999" s="81"/>
      <c r="BQ9999" s="81"/>
      <c r="BR9999" s="81"/>
      <c r="BS9999" s="81"/>
      <c r="BT9999" s="81"/>
    </row>
    <row r="10000" spans="65:72" x14ac:dyDescent="0.25">
      <c r="BM10000" s="81"/>
      <c r="BN10000" s="81"/>
      <c r="BO10000" s="81"/>
      <c r="BP10000" s="81"/>
      <c r="BQ10000" s="81"/>
      <c r="BR10000" s="81"/>
      <c r="BS10000" s="81"/>
      <c r="BT10000" s="81"/>
    </row>
  </sheetData>
  <autoFilter ref="BM2:BS2"/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43132</xdr:colOff>
                <xdr:row>35</xdr:row>
                <xdr:rowOff>172528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51758</xdr:colOff>
                <xdr:row>45</xdr:row>
                <xdr:rowOff>34506</xdr:rowOff>
              </from>
              <to>
                <xdr:col>12</xdr:col>
                <xdr:colOff>17253</xdr:colOff>
                <xdr:row>46</xdr:row>
                <xdr:rowOff>146649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12</xdr:col>
                <xdr:colOff>86264</xdr:colOff>
                <xdr:row>45</xdr:row>
                <xdr:rowOff>17253</xdr:rowOff>
              </from>
              <to>
                <xdr:col>18</xdr:col>
                <xdr:colOff>86264</xdr:colOff>
                <xdr:row>46</xdr:row>
                <xdr:rowOff>129396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8626</xdr:colOff>
                <xdr:row>30</xdr:row>
                <xdr:rowOff>43132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17253</xdr:colOff>
                <xdr:row>32</xdr:row>
                <xdr:rowOff>129396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86264</xdr:colOff>
                <xdr:row>27</xdr:row>
                <xdr:rowOff>94891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77638</xdr:colOff>
                <xdr:row>25</xdr:row>
                <xdr:rowOff>51758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r:id="rId19">
            <anchor moveWithCells="1">
              <from>
                <xdr:col>59</xdr:col>
                <xdr:colOff>552091</xdr:colOff>
                <xdr:row>0</xdr:row>
                <xdr:rowOff>69011</xdr:rowOff>
              </from>
              <to>
                <xdr:col>63</xdr:col>
                <xdr:colOff>77638</xdr:colOff>
                <xdr:row>1</xdr:row>
                <xdr:rowOff>146649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1</v>
      </c>
      <c r="B1" t="s">
        <v>30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521"/>
  <sheetViews>
    <sheetView workbookViewId="0">
      <selection activeCell="N23" sqref="N23"/>
    </sheetView>
  </sheetViews>
  <sheetFormatPr defaultRowHeight="14.3" x14ac:dyDescent="0.25"/>
  <cols>
    <col min="1" max="1" width="10.125" style="1" bestFit="1" customWidth="1"/>
    <col min="2" max="5" width="9.375" style="76" bestFit="1" customWidth="1"/>
    <col min="6" max="6" width="8.625" style="76" bestFit="1" customWidth="1"/>
    <col min="7" max="7" width="7.875" style="79" bestFit="1" customWidth="1"/>
    <col min="8" max="8" width="3.125" customWidth="1"/>
    <col min="9" max="9" width="0.75" customWidth="1"/>
  </cols>
  <sheetData>
    <row r="1" spans="1:14" x14ac:dyDescent="0.25">
      <c r="A1" s="73" t="s">
        <v>119</v>
      </c>
      <c r="B1" s="74" t="s">
        <v>0</v>
      </c>
      <c r="C1" s="74" t="s">
        <v>120</v>
      </c>
      <c r="D1" s="74" t="s">
        <v>121</v>
      </c>
      <c r="E1" s="74" t="s">
        <v>122</v>
      </c>
      <c r="F1" s="74" t="s">
        <v>123</v>
      </c>
      <c r="G1" s="77" t="s">
        <v>126</v>
      </c>
    </row>
    <row r="2" spans="1:14" x14ac:dyDescent="0.25">
      <c r="A2" s="70" t="s">
        <v>124</v>
      </c>
      <c r="B2" s="75">
        <v>24.325990999999998</v>
      </c>
      <c r="C2" s="75">
        <v>24.691794999999999</v>
      </c>
      <c r="D2" s="75">
        <v>23.777284999999999</v>
      </c>
      <c r="E2" s="75">
        <v>23.777284999999999</v>
      </c>
      <c r="F2" s="75">
        <v>10.611907</v>
      </c>
      <c r="G2" s="78">
        <v>87800</v>
      </c>
    </row>
    <row r="3" spans="1:14" x14ac:dyDescent="0.25">
      <c r="A3" s="1" t="s">
        <v>127</v>
      </c>
      <c r="B3" s="76">
        <v>23.868734</v>
      </c>
      <c r="C3" s="76">
        <v>24.508891999999999</v>
      </c>
      <c r="D3" s="76">
        <v>23.777284999999999</v>
      </c>
      <c r="E3" s="76">
        <v>24.417442000000001</v>
      </c>
      <c r="F3" s="76">
        <v>10.897611999999899</v>
      </c>
      <c r="G3" s="79">
        <v>289200</v>
      </c>
    </row>
    <row r="4" spans="1:14" x14ac:dyDescent="0.25">
      <c r="A4" s="1" t="s">
        <v>128</v>
      </c>
      <c r="B4" s="76">
        <v>24.234539000000002</v>
      </c>
      <c r="C4" s="76">
        <v>24.508891999999999</v>
      </c>
      <c r="D4" s="76">
        <v>24.143087000000001</v>
      </c>
      <c r="E4" s="76">
        <v>24.417442000000001</v>
      </c>
      <c r="F4" s="76">
        <v>10.897611999999899</v>
      </c>
      <c r="G4" s="79">
        <v>294500</v>
      </c>
      <c r="M4" t="s">
        <v>108</v>
      </c>
    </row>
    <row r="5" spans="1:14" x14ac:dyDescent="0.25">
      <c r="A5" s="1" t="s">
        <v>129</v>
      </c>
      <c r="B5" s="76">
        <v>24.188814000000001</v>
      </c>
      <c r="C5" s="76">
        <v>25.057597999999999</v>
      </c>
      <c r="D5" s="76">
        <v>24.097363000000001</v>
      </c>
      <c r="E5" s="76">
        <v>25.057597999999999</v>
      </c>
      <c r="F5" s="76">
        <v>11.18332</v>
      </c>
      <c r="G5" s="79">
        <v>191200</v>
      </c>
      <c r="M5" t="s">
        <v>109</v>
      </c>
      <c r="N5" t="s">
        <v>111</v>
      </c>
    </row>
    <row r="6" spans="1:14" x14ac:dyDescent="0.25">
      <c r="A6" s="1" t="s">
        <v>130</v>
      </c>
      <c r="B6" s="76">
        <v>24.966148</v>
      </c>
      <c r="C6" s="76">
        <v>25.423403</v>
      </c>
      <c r="D6" s="76">
        <v>24.828972</v>
      </c>
      <c r="E6" s="76">
        <v>25.377678</v>
      </c>
      <c r="F6" s="76">
        <v>11.326174</v>
      </c>
      <c r="G6" s="79">
        <v>185600</v>
      </c>
      <c r="M6" t="s">
        <v>110</v>
      </c>
      <c r="N6">
        <v>0</v>
      </c>
    </row>
    <row r="7" spans="1:14" x14ac:dyDescent="0.25">
      <c r="A7" s="1" t="s">
        <v>131</v>
      </c>
      <c r="B7" s="76">
        <v>25.240500999999998</v>
      </c>
      <c r="C7" s="76">
        <v>25.697755999999998</v>
      </c>
      <c r="D7" s="76">
        <v>25.240500999999998</v>
      </c>
      <c r="E7" s="76">
        <v>25.560579000000001</v>
      </c>
      <c r="F7" s="76">
        <v>11.407797</v>
      </c>
      <c r="G7" s="79">
        <v>1521100</v>
      </c>
      <c r="M7" t="s">
        <v>112</v>
      </c>
    </row>
    <row r="8" spans="1:14" x14ac:dyDescent="0.25">
      <c r="A8" s="1" t="s">
        <v>132</v>
      </c>
      <c r="B8" s="76">
        <v>25.560579000000001</v>
      </c>
      <c r="C8" s="76">
        <v>26.337914000000001</v>
      </c>
      <c r="D8" s="76">
        <v>25.423403</v>
      </c>
      <c r="E8" s="76">
        <v>25.789207000000001</v>
      </c>
      <c r="F8" s="76">
        <v>11.509836</v>
      </c>
      <c r="G8" s="79">
        <v>354600</v>
      </c>
    </row>
    <row r="9" spans="1:14" x14ac:dyDescent="0.25">
      <c r="A9" s="1" t="s">
        <v>133</v>
      </c>
      <c r="B9" s="76">
        <v>25.880659000000001</v>
      </c>
      <c r="C9" s="76">
        <v>25.880659000000001</v>
      </c>
      <c r="D9" s="76">
        <v>25.423403</v>
      </c>
      <c r="E9" s="76">
        <v>25.514854</v>
      </c>
      <c r="F9" s="76">
        <v>11.387390999999999</v>
      </c>
      <c r="G9" s="79">
        <v>259900</v>
      </c>
    </row>
    <row r="10" spans="1:14" x14ac:dyDescent="0.25">
      <c r="A10" s="1" t="s">
        <v>134</v>
      </c>
      <c r="B10" s="76">
        <v>25.331952999999999</v>
      </c>
      <c r="C10" s="76">
        <v>25.423403</v>
      </c>
      <c r="D10" s="76">
        <v>25.194776999999998</v>
      </c>
      <c r="E10" s="76">
        <v>25.240500999999998</v>
      </c>
      <c r="F10" s="76">
        <v>11.264948</v>
      </c>
      <c r="G10" s="79">
        <v>92000</v>
      </c>
    </row>
    <row r="11" spans="1:14" x14ac:dyDescent="0.25">
      <c r="A11" s="1" t="s">
        <v>135</v>
      </c>
      <c r="B11" s="76">
        <v>25.240500999999998</v>
      </c>
      <c r="C11" s="76">
        <v>25.286225999999999</v>
      </c>
      <c r="D11" s="76">
        <v>25.103325000000002</v>
      </c>
      <c r="E11" s="76">
        <v>25.194776999999998</v>
      </c>
      <c r="F11" s="76">
        <v>11.244539999999899</v>
      </c>
      <c r="G11" s="79">
        <v>88900</v>
      </c>
    </row>
    <row r="12" spans="1:14" x14ac:dyDescent="0.25">
      <c r="A12" s="1" t="s">
        <v>136</v>
      </c>
      <c r="B12" s="76">
        <v>25.194776999999998</v>
      </c>
      <c r="C12" s="76">
        <v>25.194776999999998</v>
      </c>
      <c r="D12" s="76">
        <v>24.783245000000001</v>
      </c>
      <c r="E12" s="76">
        <v>24.783245000000001</v>
      </c>
      <c r="F12" s="76">
        <v>11.060871000000001</v>
      </c>
      <c r="G12" s="79">
        <v>170800</v>
      </c>
    </row>
    <row r="13" spans="1:14" x14ac:dyDescent="0.25">
      <c r="A13" s="1" t="s">
        <v>137</v>
      </c>
      <c r="B13" s="76">
        <v>24.691794999999999</v>
      </c>
      <c r="C13" s="76">
        <v>25.331952999999999</v>
      </c>
      <c r="D13" s="76">
        <v>24.691794999999999</v>
      </c>
      <c r="E13" s="76">
        <v>25.103325000000002</v>
      </c>
      <c r="F13" s="76">
        <v>11.203727000000001</v>
      </c>
      <c r="G13" s="79">
        <v>128800</v>
      </c>
    </row>
    <row r="14" spans="1:14" x14ac:dyDescent="0.25">
      <c r="A14" s="1" t="s">
        <v>138</v>
      </c>
      <c r="B14" s="76">
        <v>25.103325000000002</v>
      </c>
      <c r="C14" s="76">
        <v>25.149049999999999</v>
      </c>
      <c r="D14" s="76">
        <v>24.874697000000001</v>
      </c>
      <c r="E14" s="76">
        <v>24.966148</v>
      </c>
      <c r="F14" s="76">
        <v>11.142503999999899</v>
      </c>
      <c r="G14" s="79">
        <v>179700</v>
      </c>
    </row>
    <row r="15" spans="1:14" x14ac:dyDescent="0.25">
      <c r="A15" s="1" t="s">
        <v>139</v>
      </c>
      <c r="B15" s="76">
        <v>24.874697000000001</v>
      </c>
      <c r="C15" s="76">
        <v>24.966148</v>
      </c>
      <c r="D15" s="76">
        <v>24.691794999999999</v>
      </c>
      <c r="E15" s="76">
        <v>24.73752</v>
      </c>
      <c r="F15" s="76">
        <v>11.040464999999999</v>
      </c>
      <c r="G15" s="79">
        <v>81600</v>
      </c>
    </row>
    <row r="16" spans="1:14" x14ac:dyDescent="0.25">
      <c r="A16" s="1" t="s">
        <v>140</v>
      </c>
      <c r="B16" s="76">
        <v>24.783245000000001</v>
      </c>
      <c r="C16" s="76">
        <v>24.828972</v>
      </c>
      <c r="D16" s="76">
        <v>24.554618999999999</v>
      </c>
      <c r="E16" s="76">
        <v>24.554618999999999</v>
      </c>
      <c r="F16" s="76">
        <v>10.9588369999999</v>
      </c>
      <c r="G16" s="79">
        <v>205200</v>
      </c>
    </row>
    <row r="17" spans="1:7" x14ac:dyDescent="0.25">
      <c r="A17" s="1" t="s">
        <v>141</v>
      </c>
      <c r="B17" s="76">
        <v>24.371715999999999</v>
      </c>
      <c r="C17" s="76">
        <v>24.508891999999999</v>
      </c>
      <c r="D17" s="76">
        <v>23.548656000000001</v>
      </c>
      <c r="E17" s="76">
        <v>23.731558</v>
      </c>
      <c r="F17" s="76">
        <v>10.591500999999999</v>
      </c>
      <c r="G17" s="79">
        <v>482800</v>
      </c>
    </row>
    <row r="18" spans="1:7" x14ac:dyDescent="0.25">
      <c r="A18" s="1" t="s">
        <v>142</v>
      </c>
      <c r="B18" s="76">
        <v>23.731558</v>
      </c>
      <c r="C18" s="76">
        <v>23.731558</v>
      </c>
      <c r="D18" s="76">
        <v>23.320028000000001</v>
      </c>
      <c r="E18" s="76">
        <v>23.411479999999901</v>
      </c>
      <c r="F18" s="76">
        <v>10.448651</v>
      </c>
      <c r="G18" s="79">
        <v>648900</v>
      </c>
    </row>
    <row r="19" spans="1:7" x14ac:dyDescent="0.25">
      <c r="A19" s="1" t="s">
        <v>143</v>
      </c>
      <c r="B19" s="76">
        <v>23.411479999999901</v>
      </c>
      <c r="C19" s="76">
        <v>23.502929999999999</v>
      </c>
      <c r="D19" s="76">
        <v>22.954224</v>
      </c>
      <c r="E19" s="76">
        <v>23.457204999999998</v>
      </c>
      <c r="F19" s="76">
        <v>10.469059</v>
      </c>
      <c r="G19" s="79">
        <v>174800</v>
      </c>
    </row>
    <row r="20" spans="1:7" x14ac:dyDescent="0.25">
      <c r="A20" s="1" t="s">
        <v>144</v>
      </c>
      <c r="B20" s="76">
        <v>23.274303</v>
      </c>
      <c r="C20" s="76">
        <v>23.502929999999999</v>
      </c>
      <c r="D20" s="76">
        <v>23.137127</v>
      </c>
      <c r="E20" s="76">
        <v>23.365753000000002</v>
      </c>
      <c r="F20" s="76">
        <v>10.428238</v>
      </c>
      <c r="G20" s="79">
        <v>161300</v>
      </c>
    </row>
    <row r="21" spans="1:7" x14ac:dyDescent="0.25">
      <c r="A21" s="1" t="s">
        <v>145</v>
      </c>
      <c r="B21" s="76">
        <v>23.365753000000002</v>
      </c>
      <c r="C21" s="76">
        <v>23.365753000000002</v>
      </c>
      <c r="D21" s="76">
        <v>23.182852</v>
      </c>
      <c r="E21" s="76">
        <v>23.365753000000002</v>
      </c>
      <c r="F21" s="76">
        <v>10.428238</v>
      </c>
      <c r="G21" s="79">
        <v>114800</v>
      </c>
    </row>
    <row r="22" spans="1:7" x14ac:dyDescent="0.25">
      <c r="A22" s="1" t="s">
        <v>146</v>
      </c>
      <c r="B22" s="76">
        <v>23.365753000000002</v>
      </c>
      <c r="C22" s="76">
        <v>23.411479999999901</v>
      </c>
      <c r="D22" s="76">
        <v>22.908498999999999</v>
      </c>
      <c r="E22" s="76">
        <v>22.908498999999999</v>
      </c>
      <c r="F22" s="76">
        <v>10.224164999999999</v>
      </c>
      <c r="G22" s="79">
        <v>305700</v>
      </c>
    </row>
    <row r="23" spans="1:7" x14ac:dyDescent="0.25">
      <c r="A23" s="1" t="s">
        <v>147</v>
      </c>
      <c r="B23" s="76">
        <v>23.0914</v>
      </c>
      <c r="C23" s="76">
        <v>23.365753000000002</v>
      </c>
      <c r="D23" s="76">
        <v>22.954224</v>
      </c>
      <c r="E23" s="76">
        <v>23.228576999999898</v>
      </c>
      <c r="F23" s="76">
        <v>10.367016</v>
      </c>
      <c r="G23" s="79">
        <v>724500</v>
      </c>
    </row>
    <row r="24" spans="1:7" x14ac:dyDescent="0.25">
      <c r="A24" s="1" t="s">
        <v>148</v>
      </c>
      <c r="B24" s="76">
        <v>23.228576999999898</v>
      </c>
      <c r="C24" s="76">
        <v>23.274303</v>
      </c>
      <c r="D24" s="76">
        <v>22.954224</v>
      </c>
      <c r="E24" s="76">
        <v>23.228576999999898</v>
      </c>
      <c r="F24" s="76">
        <v>10.367016</v>
      </c>
      <c r="G24" s="79">
        <v>490100</v>
      </c>
    </row>
    <row r="25" spans="1:7" x14ac:dyDescent="0.25">
      <c r="A25" s="1" t="s">
        <v>149</v>
      </c>
      <c r="B25" s="76">
        <v>22.862772</v>
      </c>
      <c r="C25" s="76">
        <v>22.862772</v>
      </c>
      <c r="D25" s="76">
        <v>22.725594999999998</v>
      </c>
      <c r="E25" s="76">
        <v>22.862772</v>
      </c>
      <c r="F25" s="76">
        <v>10.360386</v>
      </c>
      <c r="G25" s="79">
        <v>233900</v>
      </c>
    </row>
    <row r="26" spans="1:7" x14ac:dyDescent="0.25">
      <c r="A26" s="1" t="s">
        <v>150</v>
      </c>
      <c r="B26" s="76">
        <v>22.862772</v>
      </c>
      <c r="C26" s="76">
        <v>22.908498999999999</v>
      </c>
      <c r="D26" s="76">
        <v>22.314066</v>
      </c>
      <c r="E26" s="76">
        <v>22.405518000000001</v>
      </c>
      <c r="F26" s="76">
        <v>10.153174999999999</v>
      </c>
      <c r="G26" s="79">
        <v>2278900</v>
      </c>
    </row>
    <row r="27" spans="1:7" x14ac:dyDescent="0.25">
      <c r="A27" s="1" t="s">
        <v>151</v>
      </c>
      <c r="B27" s="76">
        <v>22.314066</v>
      </c>
      <c r="C27" s="76">
        <v>22.679870999999999</v>
      </c>
      <c r="D27" s="76">
        <v>22.314066</v>
      </c>
      <c r="E27" s="76">
        <v>22.679870999999999</v>
      </c>
      <c r="F27" s="76">
        <v>10.277505999999899</v>
      </c>
      <c r="G27" s="79">
        <v>205300</v>
      </c>
    </row>
    <row r="28" spans="1:7" x14ac:dyDescent="0.25">
      <c r="A28" s="1" t="s">
        <v>152</v>
      </c>
      <c r="B28" s="76">
        <v>22.679870999999999</v>
      </c>
      <c r="C28" s="76">
        <v>22.679870999999999</v>
      </c>
      <c r="D28" s="76">
        <v>22.496969</v>
      </c>
      <c r="E28" s="76">
        <v>22.634145999999902</v>
      </c>
      <c r="F28" s="76">
        <v>10.256779999999999</v>
      </c>
      <c r="G28" s="79">
        <v>248500</v>
      </c>
    </row>
    <row r="29" spans="1:7" x14ac:dyDescent="0.25">
      <c r="A29" s="1" t="s">
        <v>153</v>
      </c>
      <c r="B29" s="76">
        <v>22.634145999999902</v>
      </c>
      <c r="C29" s="76">
        <v>22.679870999999999</v>
      </c>
      <c r="D29" s="76">
        <v>22.496969</v>
      </c>
      <c r="E29" s="76">
        <v>22.634145999999902</v>
      </c>
      <c r="F29" s="76">
        <v>10.256779999999999</v>
      </c>
      <c r="G29" s="79">
        <v>342600</v>
      </c>
    </row>
    <row r="30" spans="1:7" x14ac:dyDescent="0.25">
      <c r="A30" s="1" t="s">
        <v>154</v>
      </c>
      <c r="B30" s="76">
        <v>22.679870999999999</v>
      </c>
      <c r="C30" s="76">
        <v>22.679870999999999</v>
      </c>
      <c r="D30" s="76">
        <v>22.451242000000001</v>
      </c>
      <c r="E30" s="76">
        <v>22.496969</v>
      </c>
      <c r="F30" s="76">
        <v>10.194622000000001</v>
      </c>
      <c r="G30" s="79">
        <v>229600</v>
      </c>
    </row>
    <row r="31" spans="1:7" x14ac:dyDescent="0.25">
      <c r="A31" s="1" t="s">
        <v>155</v>
      </c>
      <c r="B31" s="76">
        <v>22.496969</v>
      </c>
      <c r="C31" s="76">
        <v>22.679870999999999</v>
      </c>
      <c r="D31" s="76">
        <v>22.451242000000001</v>
      </c>
      <c r="E31" s="76">
        <v>22.496969</v>
      </c>
      <c r="F31" s="76">
        <v>10.194622000000001</v>
      </c>
      <c r="G31" s="79">
        <v>139800</v>
      </c>
    </row>
    <row r="32" spans="1:7" x14ac:dyDescent="0.25">
      <c r="A32" s="1" t="s">
        <v>156</v>
      </c>
      <c r="B32" s="76">
        <v>22.496969</v>
      </c>
      <c r="C32" s="76">
        <v>22.496969</v>
      </c>
      <c r="D32" s="76">
        <v>22.314066</v>
      </c>
      <c r="E32" s="76">
        <v>22.359793</v>
      </c>
      <c r="F32" s="76">
        <v>10.1324589999999</v>
      </c>
      <c r="G32" s="79">
        <v>385900</v>
      </c>
    </row>
    <row r="33" spans="1:7" x14ac:dyDescent="0.25">
      <c r="A33" s="1" t="s">
        <v>157</v>
      </c>
      <c r="B33" s="76">
        <v>22.451242000000001</v>
      </c>
      <c r="C33" s="76">
        <v>22.771322000000001</v>
      </c>
      <c r="D33" s="76">
        <v>22.314066</v>
      </c>
      <c r="E33" s="76">
        <v>22.679870999999999</v>
      </c>
      <c r="F33" s="76">
        <v>10.277505999999899</v>
      </c>
      <c r="G33" s="79">
        <v>231100</v>
      </c>
    </row>
    <row r="34" spans="1:7" x14ac:dyDescent="0.25">
      <c r="A34" s="1" t="s">
        <v>158</v>
      </c>
      <c r="B34" s="76">
        <v>22.542694000000001</v>
      </c>
      <c r="C34" s="76">
        <v>22.588418999999998</v>
      </c>
      <c r="D34" s="76">
        <v>22.359793</v>
      </c>
      <c r="E34" s="76">
        <v>22.405518000000001</v>
      </c>
      <c r="F34" s="76">
        <v>10.153174999999999</v>
      </c>
      <c r="G34" s="79">
        <v>182100</v>
      </c>
    </row>
    <row r="35" spans="1:7" x14ac:dyDescent="0.25">
      <c r="A35" s="1" t="s">
        <v>159</v>
      </c>
      <c r="B35" s="76">
        <v>22.451242000000001</v>
      </c>
      <c r="C35" s="76">
        <v>22.588418999999998</v>
      </c>
      <c r="D35" s="76">
        <v>22.359793</v>
      </c>
      <c r="E35" s="76">
        <v>22.588418999999998</v>
      </c>
      <c r="F35" s="76">
        <v>10.236058999999999</v>
      </c>
      <c r="G35" s="79">
        <v>102500</v>
      </c>
    </row>
    <row r="36" spans="1:7" x14ac:dyDescent="0.25">
      <c r="A36" s="1" t="s">
        <v>160</v>
      </c>
      <c r="B36" s="76">
        <v>22.588418999999998</v>
      </c>
      <c r="C36" s="76">
        <v>22.679870999999999</v>
      </c>
      <c r="D36" s="76">
        <v>22.314066</v>
      </c>
      <c r="E36" s="76">
        <v>22.405518000000001</v>
      </c>
      <c r="F36" s="76">
        <v>10.153174999999999</v>
      </c>
      <c r="G36" s="79">
        <v>159700</v>
      </c>
    </row>
    <row r="37" spans="1:7" x14ac:dyDescent="0.25">
      <c r="A37" s="1" t="s">
        <v>161</v>
      </c>
      <c r="B37" s="76">
        <v>22.222614</v>
      </c>
      <c r="C37" s="76">
        <v>22.542694000000001</v>
      </c>
      <c r="D37" s="76">
        <v>22.222614</v>
      </c>
      <c r="E37" s="76">
        <v>22.451242000000001</v>
      </c>
      <c r="F37" s="76">
        <v>10.173899</v>
      </c>
      <c r="G37" s="79">
        <v>316400</v>
      </c>
    </row>
    <row r="38" spans="1:7" x14ac:dyDescent="0.25">
      <c r="A38" s="1" t="s">
        <v>162</v>
      </c>
      <c r="B38" s="76">
        <v>22.496969</v>
      </c>
      <c r="C38" s="76">
        <v>22.588418999999998</v>
      </c>
      <c r="D38" s="76">
        <v>22.039712999999999</v>
      </c>
      <c r="E38" s="76">
        <v>22.314066</v>
      </c>
      <c r="F38" s="76">
        <v>10.111734999999999</v>
      </c>
      <c r="G38" s="79">
        <v>333400</v>
      </c>
    </row>
    <row r="39" spans="1:7" x14ac:dyDescent="0.25">
      <c r="A39" s="1" t="s">
        <v>163</v>
      </c>
      <c r="B39" s="76">
        <v>22.496969</v>
      </c>
      <c r="C39" s="76">
        <v>22.496969</v>
      </c>
      <c r="D39" s="76">
        <v>22.131164999999999</v>
      </c>
      <c r="E39" s="76">
        <v>22.222614</v>
      </c>
      <c r="F39" s="76">
        <v>10.070290999999999</v>
      </c>
      <c r="G39" s="79">
        <v>155700</v>
      </c>
    </row>
    <row r="40" spans="1:7" x14ac:dyDescent="0.25">
      <c r="A40" s="1" t="s">
        <v>164</v>
      </c>
      <c r="B40" s="76">
        <v>22.131164999999999</v>
      </c>
      <c r="C40" s="76">
        <v>22.222614</v>
      </c>
      <c r="D40" s="76">
        <v>22.039712999999999</v>
      </c>
      <c r="E40" s="76">
        <v>22.039712999999999</v>
      </c>
      <c r="F40" s="76">
        <v>9.9874109999999998</v>
      </c>
      <c r="G40" s="79">
        <v>79000</v>
      </c>
    </row>
    <row r="41" spans="1:7" x14ac:dyDescent="0.25">
      <c r="A41" s="1" t="s">
        <v>165</v>
      </c>
      <c r="B41" s="76">
        <v>22.039712999999999</v>
      </c>
      <c r="C41" s="76">
        <v>22.222614</v>
      </c>
      <c r="D41" s="76">
        <v>21.948260999999999</v>
      </c>
      <c r="E41" s="76">
        <v>22.176888999999999</v>
      </c>
      <c r="F41" s="76">
        <v>10.049572999999899</v>
      </c>
      <c r="G41" s="79">
        <v>179200</v>
      </c>
    </row>
    <row r="42" spans="1:7" x14ac:dyDescent="0.25">
      <c r="A42" s="1" t="s">
        <v>166</v>
      </c>
      <c r="B42" s="76">
        <v>22.268340999999999</v>
      </c>
      <c r="C42" s="76">
        <v>22.405518000000001</v>
      </c>
      <c r="D42" s="76">
        <v>22.131164999999999</v>
      </c>
      <c r="E42" s="76">
        <v>22.382618000000001</v>
      </c>
      <c r="F42" s="76">
        <v>10.142799</v>
      </c>
      <c r="G42" s="79">
        <v>144400</v>
      </c>
    </row>
    <row r="43" spans="1:7" x14ac:dyDescent="0.25">
      <c r="A43" s="1" t="s">
        <v>167</v>
      </c>
      <c r="B43" s="76">
        <v>22.222614</v>
      </c>
      <c r="C43" s="76">
        <v>22.634145999999902</v>
      </c>
      <c r="D43" s="76">
        <v>22.176888999999999</v>
      </c>
      <c r="E43" s="76">
        <v>22.542694000000001</v>
      </c>
      <c r="F43" s="76">
        <v>10.215336000000001</v>
      </c>
      <c r="G43" s="79">
        <v>138800</v>
      </c>
    </row>
    <row r="44" spans="1:7" x14ac:dyDescent="0.25">
      <c r="A44" s="1" t="s">
        <v>168</v>
      </c>
      <c r="B44" s="76">
        <v>22.451242000000001</v>
      </c>
      <c r="C44" s="76">
        <v>22.725594999999998</v>
      </c>
      <c r="D44" s="76">
        <v>22.314066</v>
      </c>
      <c r="E44" s="76">
        <v>22.588418999999998</v>
      </c>
      <c r="F44" s="76">
        <v>10.236058999999999</v>
      </c>
      <c r="G44" s="79">
        <v>109800</v>
      </c>
    </row>
    <row r="45" spans="1:7" x14ac:dyDescent="0.25">
      <c r="A45" s="1" t="s">
        <v>169</v>
      </c>
      <c r="B45" s="76">
        <v>22.451242000000001</v>
      </c>
      <c r="C45" s="76">
        <v>22.588418999999998</v>
      </c>
      <c r="D45" s="76">
        <v>22.405518000000001</v>
      </c>
      <c r="E45" s="76">
        <v>22.451242000000001</v>
      </c>
      <c r="F45" s="76">
        <v>10.173899</v>
      </c>
      <c r="G45" s="79">
        <v>194700</v>
      </c>
    </row>
    <row r="46" spans="1:7" x14ac:dyDescent="0.25">
      <c r="A46" s="1" t="s">
        <v>170</v>
      </c>
      <c r="B46" s="76">
        <v>22.542694000000001</v>
      </c>
      <c r="C46" s="76">
        <v>22.862772</v>
      </c>
      <c r="D46" s="76">
        <v>22.451242000000001</v>
      </c>
      <c r="E46" s="76">
        <v>22.634145999999902</v>
      </c>
      <c r="F46" s="76">
        <v>10.256779999999999</v>
      </c>
      <c r="G46" s="79">
        <v>129300</v>
      </c>
    </row>
    <row r="47" spans="1:7" x14ac:dyDescent="0.25">
      <c r="A47" s="1" t="s">
        <v>171</v>
      </c>
      <c r="B47" s="76">
        <v>22.634145999999902</v>
      </c>
      <c r="C47" s="76">
        <v>22.817046999999999</v>
      </c>
      <c r="D47" s="76">
        <v>22.542694000000001</v>
      </c>
      <c r="E47" s="76">
        <v>22.679870999999999</v>
      </c>
      <c r="F47" s="76">
        <v>10.277505999999899</v>
      </c>
      <c r="G47" s="79">
        <v>378200</v>
      </c>
    </row>
    <row r="48" spans="1:7" x14ac:dyDescent="0.25">
      <c r="A48" s="1" t="s">
        <v>172</v>
      </c>
      <c r="B48" s="76">
        <v>22.588418999999998</v>
      </c>
      <c r="C48" s="76">
        <v>22.679870999999999</v>
      </c>
      <c r="D48" s="76">
        <v>22.359793</v>
      </c>
      <c r="E48" s="76">
        <v>22.542694000000001</v>
      </c>
      <c r="F48" s="76">
        <v>10.215336000000001</v>
      </c>
      <c r="G48" s="79">
        <v>120200</v>
      </c>
    </row>
    <row r="49" spans="1:7" x14ac:dyDescent="0.25">
      <c r="A49" s="1" t="s">
        <v>173</v>
      </c>
      <c r="B49" s="76">
        <v>22.542694000000001</v>
      </c>
      <c r="C49" s="76">
        <v>22.542694000000001</v>
      </c>
      <c r="D49" s="76">
        <v>22.268340999999999</v>
      </c>
      <c r="E49" s="76">
        <v>22.314066</v>
      </c>
      <c r="F49" s="76">
        <v>10.111734999999999</v>
      </c>
      <c r="G49" s="79">
        <v>169000</v>
      </c>
    </row>
    <row r="50" spans="1:7" x14ac:dyDescent="0.25">
      <c r="A50" s="1" t="s">
        <v>174</v>
      </c>
      <c r="B50" s="76">
        <v>22.314066</v>
      </c>
      <c r="C50" s="76">
        <v>22.359793</v>
      </c>
      <c r="D50" s="76">
        <v>22.268340999999999</v>
      </c>
      <c r="E50" s="76">
        <v>22.314066</v>
      </c>
      <c r="F50" s="76">
        <v>10.111734999999999</v>
      </c>
      <c r="G50" s="79">
        <v>202500</v>
      </c>
    </row>
    <row r="51" spans="1:7" x14ac:dyDescent="0.25">
      <c r="A51" s="1" t="s">
        <v>175</v>
      </c>
      <c r="B51" s="76">
        <v>22.451242000000001</v>
      </c>
      <c r="C51" s="76">
        <v>22.451242000000001</v>
      </c>
      <c r="D51" s="76">
        <v>21.856811999999898</v>
      </c>
      <c r="E51" s="76">
        <v>21.856811999999898</v>
      </c>
      <c r="F51" s="76">
        <v>9.9045279999999902</v>
      </c>
      <c r="G51" s="79">
        <v>119600</v>
      </c>
    </row>
    <row r="52" spans="1:7" x14ac:dyDescent="0.25">
      <c r="A52" s="1" t="s">
        <v>176</v>
      </c>
      <c r="B52" s="76">
        <v>21.948260999999999</v>
      </c>
      <c r="C52" s="76">
        <v>22.314066</v>
      </c>
      <c r="D52" s="76">
        <v>21.902535999999898</v>
      </c>
      <c r="E52" s="76">
        <v>22.222614</v>
      </c>
      <c r="F52" s="76">
        <v>10.070290999999999</v>
      </c>
      <c r="G52" s="79">
        <v>230900</v>
      </c>
    </row>
    <row r="53" spans="1:7" x14ac:dyDescent="0.25">
      <c r="A53" s="1" t="s">
        <v>177</v>
      </c>
      <c r="B53" s="76">
        <v>22.268340999999999</v>
      </c>
      <c r="C53" s="76">
        <v>22.496969</v>
      </c>
      <c r="D53" s="76">
        <v>22.222614</v>
      </c>
      <c r="E53" s="76">
        <v>22.496969</v>
      </c>
      <c r="F53" s="76">
        <v>10.194622000000001</v>
      </c>
      <c r="G53" s="79">
        <v>526800</v>
      </c>
    </row>
    <row r="54" spans="1:7" x14ac:dyDescent="0.25">
      <c r="A54" s="1" t="s">
        <v>178</v>
      </c>
      <c r="B54" s="76">
        <v>22.405518000000001</v>
      </c>
      <c r="C54" s="76">
        <v>23.411479999999901</v>
      </c>
      <c r="D54" s="76">
        <v>22.405518000000001</v>
      </c>
      <c r="E54" s="76">
        <v>23.274303</v>
      </c>
      <c r="F54" s="76">
        <v>10.546872</v>
      </c>
      <c r="G54" s="79">
        <v>346400</v>
      </c>
    </row>
    <row r="55" spans="1:7" x14ac:dyDescent="0.25">
      <c r="A55" s="1" t="s">
        <v>179</v>
      </c>
      <c r="B55" s="76">
        <v>23.365753000000002</v>
      </c>
      <c r="C55" s="76">
        <v>23.502929999999999</v>
      </c>
      <c r="D55" s="76">
        <v>22.679870999999999</v>
      </c>
      <c r="E55" s="76">
        <v>23.274303</v>
      </c>
      <c r="F55" s="76">
        <v>10.546872</v>
      </c>
      <c r="G55" s="79">
        <v>824700</v>
      </c>
    </row>
    <row r="56" spans="1:7" x14ac:dyDescent="0.25">
      <c r="A56" s="1" t="s">
        <v>180</v>
      </c>
      <c r="B56" s="76">
        <v>23.548656000000001</v>
      </c>
      <c r="C56" s="76">
        <v>23.777284999999999</v>
      </c>
      <c r="D56" s="76">
        <v>22.954224</v>
      </c>
      <c r="E56" s="76">
        <v>23.411479999999901</v>
      </c>
      <c r="F56" s="76">
        <v>10.609033</v>
      </c>
      <c r="G56" s="79">
        <v>890900</v>
      </c>
    </row>
    <row r="57" spans="1:7" x14ac:dyDescent="0.25">
      <c r="A57" s="1" t="s">
        <v>181</v>
      </c>
      <c r="B57" s="76">
        <v>23.365753000000002</v>
      </c>
      <c r="C57" s="76">
        <v>23.685832999999999</v>
      </c>
      <c r="D57" s="76">
        <v>23.182852</v>
      </c>
      <c r="E57" s="76">
        <v>23.685832999999999</v>
      </c>
      <c r="F57" s="76">
        <v>10.733357</v>
      </c>
      <c r="G57" s="79">
        <v>104700</v>
      </c>
    </row>
    <row r="58" spans="1:7" x14ac:dyDescent="0.25">
      <c r="A58" s="1" t="s">
        <v>182</v>
      </c>
      <c r="B58" s="76">
        <v>23.868734</v>
      </c>
      <c r="C58" s="76">
        <v>23.914460999999999</v>
      </c>
      <c r="D58" s="76">
        <v>23.594380999999998</v>
      </c>
      <c r="E58" s="76">
        <v>23.914460999999999</v>
      </c>
      <c r="F58" s="76">
        <v>10.836964999999999</v>
      </c>
      <c r="G58" s="79">
        <v>122100</v>
      </c>
    </row>
    <row r="59" spans="1:7" x14ac:dyDescent="0.25">
      <c r="A59" s="1" t="s">
        <v>183</v>
      </c>
      <c r="B59" s="76">
        <v>23.914460999999999</v>
      </c>
      <c r="C59" s="76">
        <v>24.646069000000001</v>
      </c>
      <c r="D59" s="76">
        <v>23.868734</v>
      </c>
      <c r="E59" s="76">
        <v>24.325990999999998</v>
      </c>
      <c r="F59" s="76">
        <v>11.023452000000001</v>
      </c>
      <c r="G59" s="79">
        <v>449500</v>
      </c>
    </row>
    <row r="60" spans="1:7" x14ac:dyDescent="0.25">
      <c r="A60" s="1" t="s">
        <v>184</v>
      </c>
      <c r="B60" s="76">
        <v>24.325990999999998</v>
      </c>
      <c r="C60" s="76">
        <v>24.325990999999998</v>
      </c>
      <c r="D60" s="76">
        <v>23.594380999999998</v>
      </c>
      <c r="E60" s="76">
        <v>23.685832999999999</v>
      </c>
      <c r="F60" s="76">
        <v>10.733357</v>
      </c>
      <c r="G60" s="79">
        <v>128800</v>
      </c>
    </row>
    <row r="61" spans="1:7" x14ac:dyDescent="0.25">
      <c r="A61" s="1" t="s">
        <v>185</v>
      </c>
      <c r="B61" s="76">
        <v>23.868734</v>
      </c>
      <c r="C61" s="76">
        <v>24.417442000000001</v>
      </c>
      <c r="D61" s="76">
        <v>23.823008999999999</v>
      </c>
      <c r="E61" s="76">
        <v>24.097363000000001</v>
      </c>
      <c r="F61" s="76">
        <v>10.919843999999999</v>
      </c>
      <c r="G61" s="79">
        <v>809600</v>
      </c>
    </row>
    <row r="62" spans="1:7" x14ac:dyDescent="0.25">
      <c r="A62" s="1" t="s">
        <v>186</v>
      </c>
      <c r="B62" s="76">
        <v>24.097363000000001</v>
      </c>
      <c r="C62" s="76">
        <v>24.325990999999998</v>
      </c>
      <c r="D62" s="76">
        <v>23.777284999999999</v>
      </c>
      <c r="E62" s="76">
        <v>24.143087000000001</v>
      </c>
      <c r="F62" s="76">
        <v>10.940564999999999</v>
      </c>
      <c r="G62" s="79">
        <v>128800</v>
      </c>
    </row>
    <row r="63" spans="1:7" x14ac:dyDescent="0.25">
      <c r="A63" s="1" t="s">
        <v>187</v>
      </c>
      <c r="B63" s="76">
        <v>24.234539000000002</v>
      </c>
      <c r="C63" s="76">
        <v>24.325990999999998</v>
      </c>
      <c r="D63" s="76">
        <v>23.914460999999999</v>
      </c>
      <c r="E63" s="76">
        <v>24.234539000000002</v>
      </c>
      <c r="F63" s="76">
        <v>10.982006</v>
      </c>
      <c r="G63" s="79">
        <v>48500</v>
      </c>
    </row>
    <row r="64" spans="1:7" x14ac:dyDescent="0.25">
      <c r="A64" s="1" t="s">
        <v>188</v>
      </c>
      <c r="B64" s="76">
        <v>24.417442000000001</v>
      </c>
      <c r="C64" s="76">
        <v>24.600344</v>
      </c>
      <c r="D64" s="76">
        <v>24.234539000000002</v>
      </c>
      <c r="E64" s="76">
        <v>24.554618999999999</v>
      </c>
      <c r="F64" s="76">
        <v>11.127051</v>
      </c>
      <c r="G64" s="79">
        <v>208900</v>
      </c>
    </row>
    <row r="65" spans="1:7" x14ac:dyDescent="0.25">
      <c r="A65" s="1" t="s">
        <v>189</v>
      </c>
      <c r="B65" s="76">
        <v>24.600344</v>
      </c>
      <c r="C65" s="76">
        <v>24.874697000000001</v>
      </c>
      <c r="D65" s="76">
        <v>24.508891999999999</v>
      </c>
      <c r="E65" s="76">
        <v>24.508891999999999</v>
      </c>
      <c r="F65" s="76">
        <v>11.106336000000001</v>
      </c>
      <c r="G65" s="79">
        <v>299200</v>
      </c>
    </row>
    <row r="66" spans="1:7" x14ac:dyDescent="0.25">
      <c r="A66" s="1" t="s">
        <v>190</v>
      </c>
      <c r="B66" s="76">
        <v>24.508891999999999</v>
      </c>
      <c r="C66" s="76">
        <v>24.783245000000001</v>
      </c>
      <c r="D66" s="76">
        <v>24.508891999999999</v>
      </c>
      <c r="E66" s="76">
        <v>24.646069000000001</v>
      </c>
      <c r="F66" s="76">
        <v>11.168495999999999</v>
      </c>
      <c r="G66" s="79">
        <v>80800</v>
      </c>
    </row>
    <row r="67" spans="1:7" x14ac:dyDescent="0.25">
      <c r="A67" s="1" t="s">
        <v>191</v>
      </c>
      <c r="B67" s="76">
        <v>24.600344</v>
      </c>
      <c r="C67" s="76">
        <v>24.783245000000001</v>
      </c>
      <c r="D67" s="76">
        <v>24.325990999999998</v>
      </c>
      <c r="E67" s="76">
        <v>24.691794999999999</v>
      </c>
      <c r="F67" s="76">
        <v>11.189216</v>
      </c>
      <c r="G67" s="79">
        <v>117300</v>
      </c>
    </row>
    <row r="68" spans="1:7" x14ac:dyDescent="0.25">
      <c r="A68" s="1" t="s">
        <v>192</v>
      </c>
      <c r="B68" s="76">
        <v>24.508891999999999</v>
      </c>
      <c r="C68" s="76">
        <v>25.149049999999999</v>
      </c>
      <c r="D68" s="76">
        <v>23.868734</v>
      </c>
      <c r="E68" s="76">
        <v>24.966148</v>
      </c>
      <c r="F68" s="76">
        <v>11.313542</v>
      </c>
      <c r="G68" s="79">
        <v>174000</v>
      </c>
    </row>
    <row r="69" spans="1:7" x14ac:dyDescent="0.25">
      <c r="A69" s="1" t="s">
        <v>193</v>
      </c>
      <c r="B69" s="76">
        <v>25.057597999999999</v>
      </c>
      <c r="C69" s="76">
        <v>25.240500999999998</v>
      </c>
      <c r="D69" s="76">
        <v>24.691794999999999</v>
      </c>
      <c r="E69" s="76">
        <v>24.920421999999999</v>
      </c>
      <c r="F69" s="76">
        <v>11.292817999999899</v>
      </c>
      <c r="G69" s="79">
        <v>150300</v>
      </c>
    </row>
    <row r="70" spans="1:7" x14ac:dyDescent="0.25">
      <c r="A70" s="1" t="s">
        <v>194</v>
      </c>
      <c r="B70" s="76">
        <v>25.011873000000001</v>
      </c>
      <c r="C70" s="76">
        <v>25.331952999999999</v>
      </c>
      <c r="D70" s="76">
        <v>24.73752</v>
      </c>
      <c r="E70" s="76">
        <v>25.149049999999999</v>
      </c>
      <c r="F70" s="76">
        <v>11.396423</v>
      </c>
      <c r="G70" s="79">
        <v>163200</v>
      </c>
    </row>
    <row r="71" spans="1:7" x14ac:dyDescent="0.25">
      <c r="A71" s="1" t="s">
        <v>195</v>
      </c>
      <c r="B71" s="76">
        <v>25.149049999999999</v>
      </c>
      <c r="C71" s="76">
        <v>25.606306</v>
      </c>
      <c r="D71" s="76">
        <v>25.149049999999999</v>
      </c>
      <c r="E71" s="76">
        <v>25.240500999999998</v>
      </c>
      <c r="F71" s="76">
        <v>11.437863999999999</v>
      </c>
      <c r="G71" s="79">
        <v>63600</v>
      </c>
    </row>
    <row r="72" spans="1:7" x14ac:dyDescent="0.25">
      <c r="A72" s="1" t="s">
        <v>196</v>
      </c>
      <c r="B72" s="76">
        <v>25.240500999999998</v>
      </c>
      <c r="C72" s="76">
        <v>26.063559999999999</v>
      </c>
      <c r="D72" s="76">
        <v>25.240500999999998</v>
      </c>
      <c r="E72" s="76">
        <v>25.789207000000001</v>
      </c>
      <c r="F72" s="76">
        <v>11.686515</v>
      </c>
      <c r="G72" s="79">
        <v>300200</v>
      </c>
    </row>
    <row r="73" spans="1:7" x14ac:dyDescent="0.25">
      <c r="A73" s="1" t="s">
        <v>197</v>
      </c>
      <c r="B73" s="76">
        <v>25.606306</v>
      </c>
      <c r="C73" s="76">
        <v>26.109286999999998</v>
      </c>
      <c r="D73" s="76">
        <v>25.606306</v>
      </c>
      <c r="E73" s="76">
        <v>26.063559999999999</v>
      </c>
      <c r="F73" s="76">
        <v>11.810834</v>
      </c>
      <c r="G73" s="79">
        <v>640900</v>
      </c>
    </row>
    <row r="74" spans="1:7" x14ac:dyDescent="0.25">
      <c r="A74" s="1" t="s">
        <v>198</v>
      </c>
      <c r="B74" s="76">
        <v>25.880659000000001</v>
      </c>
      <c r="C74" s="76">
        <v>25.880659000000001</v>
      </c>
      <c r="D74" s="76">
        <v>24.73752</v>
      </c>
      <c r="E74" s="76">
        <v>25.331952999999999</v>
      </c>
      <c r="F74" s="76">
        <v>11.479305</v>
      </c>
      <c r="G74" s="79">
        <v>552200</v>
      </c>
    </row>
    <row r="75" spans="1:7" x14ac:dyDescent="0.25">
      <c r="A75" s="1" t="s">
        <v>199</v>
      </c>
      <c r="B75" s="76">
        <v>25.149049999999999</v>
      </c>
      <c r="C75" s="76">
        <v>25.377678</v>
      </c>
      <c r="D75" s="76">
        <v>24.508891999999999</v>
      </c>
      <c r="E75" s="76">
        <v>25.377678</v>
      </c>
      <c r="F75" s="76">
        <v>11.500029</v>
      </c>
      <c r="G75" s="79">
        <v>608100</v>
      </c>
    </row>
    <row r="76" spans="1:7" x14ac:dyDescent="0.25">
      <c r="A76" s="1" t="s">
        <v>200</v>
      </c>
      <c r="B76" s="76">
        <v>25.377678</v>
      </c>
      <c r="C76" s="76">
        <v>25.377678</v>
      </c>
      <c r="D76" s="76">
        <v>24.691794999999999</v>
      </c>
      <c r="E76" s="76">
        <v>25.240500999999998</v>
      </c>
      <c r="F76" s="76">
        <v>11.437863999999999</v>
      </c>
      <c r="G76" s="79">
        <v>158200</v>
      </c>
    </row>
    <row r="77" spans="1:7" x14ac:dyDescent="0.25">
      <c r="A77" s="1" t="s">
        <v>201</v>
      </c>
      <c r="B77" s="76">
        <v>25.240500999999998</v>
      </c>
      <c r="C77" s="76">
        <v>25.240500999999998</v>
      </c>
      <c r="D77" s="76">
        <v>25.011873000000001</v>
      </c>
      <c r="E77" s="76">
        <v>25.240500999999998</v>
      </c>
      <c r="F77" s="76">
        <v>11.437863999999999</v>
      </c>
      <c r="G77" s="79">
        <v>138700</v>
      </c>
    </row>
    <row r="78" spans="1:7" x14ac:dyDescent="0.25">
      <c r="A78" s="1" t="s">
        <v>202</v>
      </c>
      <c r="B78" s="76">
        <v>25.286225999999999</v>
      </c>
      <c r="C78" s="76">
        <v>25.331952999999999</v>
      </c>
      <c r="D78" s="76">
        <v>25.194776999999998</v>
      </c>
      <c r="E78" s="76">
        <v>25.240500999999998</v>
      </c>
      <c r="F78" s="76">
        <v>11.437863999999999</v>
      </c>
      <c r="G78" s="79">
        <v>177300</v>
      </c>
    </row>
    <row r="79" spans="1:7" x14ac:dyDescent="0.25">
      <c r="A79" s="1" t="s">
        <v>203</v>
      </c>
      <c r="B79" s="76">
        <v>25.331952999999999</v>
      </c>
      <c r="C79" s="76">
        <v>25.377678</v>
      </c>
      <c r="D79" s="76">
        <v>25.240500999999998</v>
      </c>
      <c r="E79" s="76">
        <v>25.286225999999999</v>
      </c>
      <c r="F79" s="76">
        <v>11.458584999999999</v>
      </c>
      <c r="G79" s="79">
        <v>121300</v>
      </c>
    </row>
    <row r="80" spans="1:7" x14ac:dyDescent="0.25">
      <c r="A80" s="1" t="s">
        <v>204</v>
      </c>
      <c r="B80" s="76">
        <v>25.377678</v>
      </c>
      <c r="C80" s="76">
        <v>25.697755999999998</v>
      </c>
      <c r="D80" s="76">
        <v>25.377678</v>
      </c>
      <c r="E80" s="76">
        <v>25.514854</v>
      </c>
      <c r="F80" s="76">
        <v>11.562188000000001</v>
      </c>
      <c r="G80" s="79">
        <v>141600</v>
      </c>
    </row>
    <row r="81" spans="1:7" x14ac:dyDescent="0.25">
      <c r="A81" s="1" t="s">
        <v>205</v>
      </c>
      <c r="B81" s="76">
        <v>25.514854</v>
      </c>
      <c r="C81" s="76">
        <v>25.514854</v>
      </c>
      <c r="D81" s="76">
        <v>24.966148</v>
      </c>
      <c r="E81" s="76">
        <v>25.286225999999999</v>
      </c>
      <c r="F81" s="76">
        <v>11.458584999999999</v>
      </c>
      <c r="G81" s="79">
        <v>271200</v>
      </c>
    </row>
    <row r="82" spans="1:7" x14ac:dyDescent="0.25">
      <c r="A82" s="1" t="s">
        <v>206</v>
      </c>
      <c r="B82" s="76">
        <v>25.377678</v>
      </c>
      <c r="C82" s="76">
        <v>25.834934000000001</v>
      </c>
      <c r="D82" s="76">
        <v>25.286225999999999</v>
      </c>
      <c r="E82" s="76">
        <v>25.606306</v>
      </c>
      <c r="F82" s="76">
        <v>11.603629</v>
      </c>
      <c r="G82" s="79">
        <v>466700</v>
      </c>
    </row>
    <row r="83" spans="1:7" x14ac:dyDescent="0.25">
      <c r="A83" s="1" t="s">
        <v>207</v>
      </c>
      <c r="B83" s="76">
        <v>25.514854</v>
      </c>
      <c r="C83" s="76">
        <v>25.514854</v>
      </c>
      <c r="D83" s="76">
        <v>25.240500999999998</v>
      </c>
      <c r="E83" s="76">
        <v>25.46913</v>
      </c>
      <c r="F83" s="76">
        <v>11.541466</v>
      </c>
      <c r="G83" s="79">
        <v>193500</v>
      </c>
    </row>
    <row r="84" spans="1:7" x14ac:dyDescent="0.25">
      <c r="A84" s="1" t="s">
        <v>208</v>
      </c>
      <c r="B84" s="76">
        <v>25.423403</v>
      </c>
      <c r="C84" s="76">
        <v>25.514854</v>
      </c>
      <c r="D84" s="76">
        <v>25.240500999999998</v>
      </c>
      <c r="E84" s="76">
        <v>25.240500999999998</v>
      </c>
      <c r="F84" s="76">
        <v>11.437863999999999</v>
      </c>
      <c r="G84" s="79">
        <v>372100</v>
      </c>
    </row>
    <row r="85" spans="1:7" x14ac:dyDescent="0.25">
      <c r="A85" s="1" t="s">
        <v>209</v>
      </c>
      <c r="B85" s="76">
        <v>25.331952999999999</v>
      </c>
      <c r="C85" s="76">
        <v>25.972110999999899</v>
      </c>
      <c r="D85" s="76">
        <v>25.286225999999999</v>
      </c>
      <c r="E85" s="76">
        <v>25.926383999999999</v>
      </c>
      <c r="F85" s="76">
        <v>11.748678</v>
      </c>
      <c r="G85" s="79">
        <v>301200</v>
      </c>
    </row>
    <row r="86" spans="1:7" x14ac:dyDescent="0.25">
      <c r="A86" s="1" t="s">
        <v>210</v>
      </c>
      <c r="B86" s="76">
        <v>26.109286999999998</v>
      </c>
      <c r="C86" s="76">
        <v>26.978071</v>
      </c>
      <c r="D86" s="76">
        <v>25.926383999999999</v>
      </c>
      <c r="E86" s="76">
        <v>26.703717999999999</v>
      </c>
      <c r="F86" s="76">
        <v>12.100928</v>
      </c>
      <c r="G86" s="79">
        <v>549000</v>
      </c>
    </row>
    <row r="87" spans="1:7" x14ac:dyDescent="0.25">
      <c r="A87" s="1" t="s">
        <v>211</v>
      </c>
      <c r="B87" s="76">
        <v>26.566541999999998</v>
      </c>
      <c r="C87" s="76">
        <v>26.703717999999999</v>
      </c>
      <c r="D87" s="76">
        <v>26.292189</v>
      </c>
      <c r="E87" s="76">
        <v>26.612268</v>
      </c>
      <c r="F87" s="76">
        <v>12.059488</v>
      </c>
      <c r="G87" s="79">
        <v>552800</v>
      </c>
    </row>
    <row r="88" spans="1:7" x14ac:dyDescent="0.25">
      <c r="A88" s="1" t="s">
        <v>212</v>
      </c>
      <c r="B88" s="76">
        <v>26.109286999999998</v>
      </c>
      <c r="C88" s="76">
        <v>26.337914000000001</v>
      </c>
      <c r="D88" s="76">
        <v>26.063559999999999</v>
      </c>
      <c r="E88" s="76">
        <v>26.337914000000001</v>
      </c>
      <c r="F88" s="76">
        <v>12.094764999999899</v>
      </c>
      <c r="G88" s="79">
        <v>165000</v>
      </c>
    </row>
    <row r="89" spans="1:7" x14ac:dyDescent="0.25">
      <c r="A89" s="1" t="s">
        <v>213</v>
      </c>
      <c r="B89" s="76">
        <v>26.337914000000001</v>
      </c>
      <c r="C89" s="76">
        <v>26.475090000000002</v>
      </c>
      <c r="D89" s="76">
        <v>26.109286999999998</v>
      </c>
      <c r="E89" s="76">
        <v>26.109286999999998</v>
      </c>
      <c r="F89" s="76">
        <v>11.98977</v>
      </c>
      <c r="G89" s="79">
        <v>275400</v>
      </c>
    </row>
    <row r="90" spans="1:7" x14ac:dyDescent="0.25">
      <c r="A90" s="1" t="s">
        <v>214</v>
      </c>
      <c r="B90" s="76">
        <v>26.246464</v>
      </c>
      <c r="C90" s="76">
        <v>26.429365000000001</v>
      </c>
      <c r="D90" s="76">
        <v>26.109286999999998</v>
      </c>
      <c r="E90" s="76">
        <v>26.200737</v>
      </c>
      <c r="F90" s="76">
        <v>12.031769000000001</v>
      </c>
      <c r="G90" s="79">
        <v>112800</v>
      </c>
    </row>
    <row r="91" spans="1:7" x14ac:dyDescent="0.25">
      <c r="A91" s="1" t="s">
        <v>215</v>
      </c>
      <c r="B91" s="76">
        <v>26.155011999999999</v>
      </c>
      <c r="C91" s="76">
        <v>26.292189</v>
      </c>
      <c r="D91" s="76">
        <v>26.063559999999999</v>
      </c>
      <c r="E91" s="76">
        <v>26.246464</v>
      </c>
      <c r="F91" s="76">
        <v>12.0527649999999</v>
      </c>
      <c r="G91" s="79">
        <v>109700</v>
      </c>
    </row>
    <row r="92" spans="1:7" x14ac:dyDescent="0.25">
      <c r="A92" s="1" t="s">
        <v>216</v>
      </c>
      <c r="B92" s="76">
        <v>26.063559999999999</v>
      </c>
      <c r="C92" s="76">
        <v>26.292189</v>
      </c>
      <c r="D92" s="76">
        <v>25.972110999999899</v>
      </c>
      <c r="E92" s="76">
        <v>26.246464</v>
      </c>
      <c r="F92" s="76">
        <v>12.0527649999999</v>
      </c>
      <c r="G92" s="79">
        <v>170700</v>
      </c>
    </row>
    <row r="93" spans="1:7" x14ac:dyDescent="0.25">
      <c r="A93" s="1" t="s">
        <v>217</v>
      </c>
      <c r="B93" s="76">
        <v>26.246464</v>
      </c>
      <c r="C93" s="76">
        <v>26.429365000000001</v>
      </c>
      <c r="D93" s="76">
        <v>26.246464</v>
      </c>
      <c r="E93" s="76">
        <v>26.292189</v>
      </c>
      <c r="F93" s="76">
        <v>12.073767</v>
      </c>
      <c r="G93" s="79">
        <v>371100</v>
      </c>
    </row>
    <row r="94" spans="1:7" x14ac:dyDescent="0.25">
      <c r="A94" s="1" t="s">
        <v>218</v>
      </c>
      <c r="B94" s="76">
        <v>26.200737</v>
      </c>
      <c r="C94" s="76">
        <v>26.292189</v>
      </c>
      <c r="D94" s="76">
        <v>26.063559999999999</v>
      </c>
      <c r="E94" s="76">
        <v>26.292189</v>
      </c>
      <c r="F94" s="76">
        <v>12.073767</v>
      </c>
      <c r="G94" s="79">
        <v>79700</v>
      </c>
    </row>
    <row r="95" spans="1:7" x14ac:dyDescent="0.25">
      <c r="A95" s="1" t="s">
        <v>219</v>
      </c>
      <c r="B95" s="76">
        <v>26.292189</v>
      </c>
      <c r="C95" s="76">
        <v>26.292189</v>
      </c>
      <c r="D95" s="76">
        <v>25.972110999999899</v>
      </c>
      <c r="E95" s="76">
        <v>26.246464</v>
      </c>
      <c r="F95" s="76">
        <v>12.0527649999999</v>
      </c>
      <c r="G95" s="79">
        <v>120500</v>
      </c>
    </row>
    <row r="96" spans="1:7" x14ac:dyDescent="0.25">
      <c r="A96" s="1" t="s">
        <v>220</v>
      </c>
      <c r="B96" s="76">
        <v>26.246464</v>
      </c>
      <c r="C96" s="76">
        <v>26.337914000000001</v>
      </c>
      <c r="D96" s="76">
        <v>26.155011999999999</v>
      </c>
      <c r="E96" s="76">
        <v>26.292189</v>
      </c>
      <c r="F96" s="76">
        <v>12.073767</v>
      </c>
      <c r="G96" s="79">
        <v>135800</v>
      </c>
    </row>
    <row r="97" spans="1:7" x14ac:dyDescent="0.25">
      <c r="A97" s="1" t="s">
        <v>221</v>
      </c>
      <c r="B97" s="76">
        <v>26.292189</v>
      </c>
      <c r="C97" s="76">
        <v>26.429365000000001</v>
      </c>
      <c r="D97" s="76">
        <v>26.109286999999998</v>
      </c>
      <c r="E97" s="76">
        <v>26.200737</v>
      </c>
      <c r="F97" s="76">
        <v>12.031769000000001</v>
      </c>
      <c r="G97" s="79">
        <v>315900</v>
      </c>
    </row>
    <row r="98" spans="1:7" x14ac:dyDescent="0.25">
      <c r="A98" s="1" t="s">
        <v>222</v>
      </c>
      <c r="B98" s="76">
        <v>26.292189</v>
      </c>
      <c r="C98" s="76">
        <v>26.429365000000001</v>
      </c>
      <c r="D98" s="76">
        <v>25.789207000000001</v>
      </c>
      <c r="E98" s="76">
        <v>26.109286999999998</v>
      </c>
      <c r="F98" s="76">
        <v>11.98977</v>
      </c>
      <c r="G98" s="79">
        <v>252700</v>
      </c>
    </row>
    <row r="99" spans="1:7" x14ac:dyDescent="0.25">
      <c r="A99" s="1" t="s">
        <v>223</v>
      </c>
      <c r="B99" s="76">
        <v>25.926383999999999</v>
      </c>
      <c r="C99" s="76">
        <v>26.200737</v>
      </c>
      <c r="D99" s="76">
        <v>25.926383999999999</v>
      </c>
      <c r="E99" s="76">
        <v>26.017835999999999</v>
      </c>
      <c r="F99" s="76">
        <v>11.947778</v>
      </c>
      <c r="G99" s="79">
        <v>76300</v>
      </c>
    </row>
    <row r="100" spans="1:7" x14ac:dyDescent="0.25">
      <c r="A100" s="1" t="s">
        <v>224</v>
      </c>
      <c r="B100" s="76">
        <v>25.972110999999899</v>
      </c>
      <c r="C100" s="76">
        <v>26.109286999999998</v>
      </c>
      <c r="D100" s="76">
        <v>25.926383999999999</v>
      </c>
      <c r="E100" s="76">
        <v>25.926383999999999</v>
      </c>
      <c r="F100" s="76">
        <v>11.905782</v>
      </c>
      <c r="G100" s="79">
        <v>253200</v>
      </c>
    </row>
    <row r="101" spans="1:7" x14ac:dyDescent="0.25">
      <c r="A101" s="1" t="s">
        <v>225</v>
      </c>
      <c r="B101" s="76">
        <v>25.972110999999899</v>
      </c>
      <c r="C101" s="76">
        <v>25.972110999999899</v>
      </c>
      <c r="D101" s="76">
        <v>25.606306</v>
      </c>
      <c r="E101" s="76">
        <v>25.606306</v>
      </c>
      <c r="F101" s="76">
        <v>11.758801</v>
      </c>
      <c r="G101" s="79">
        <v>916200</v>
      </c>
    </row>
    <row r="102" spans="1:7" x14ac:dyDescent="0.25">
      <c r="A102" s="1" t="s">
        <v>226</v>
      </c>
      <c r="B102" s="76">
        <v>25.606306</v>
      </c>
      <c r="C102" s="76">
        <v>25.606306</v>
      </c>
      <c r="D102" s="76">
        <v>25.423403</v>
      </c>
      <c r="E102" s="76">
        <v>25.46913</v>
      </c>
      <c r="F102" s="76">
        <v>11.695805999999999</v>
      </c>
      <c r="G102" s="79">
        <v>477200</v>
      </c>
    </row>
    <row r="103" spans="1:7" x14ac:dyDescent="0.25">
      <c r="A103" s="1" t="s">
        <v>227</v>
      </c>
      <c r="B103" s="76">
        <v>25.560579000000001</v>
      </c>
      <c r="C103" s="76">
        <v>25.697755999999998</v>
      </c>
      <c r="D103" s="76">
        <v>25.423403</v>
      </c>
      <c r="E103" s="76">
        <v>25.514854</v>
      </c>
      <c r="F103" s="76">
        <v>11.716804</v>
      </c>
      <c r="G103" s="79">
        <v>620600</v>
      </c>
    </row>
    <row r="104" spans="1:7" x14ac:dyDescent="0.25">
      <c r="A104" s="1" t="s">
        <v>228</v>
      </c>
      <c r="B104" s="76">
        <v>25.697755999999998</v>
      </c>
      <c r="C104" s="76">
        <v>25.789207000000001</v>
      </c>
      <c r="D104" s="76">
        <v>25.560579000000001</v>
      </c>
      <c r="E104" s="76">
        <v>25.789207000000001</v>
      </c>
      <c r="F104" s="76">
        <v>11.842784</v>
      </c>
      <c r="G104" s="79">
        <v>502200</v>
      </c>
    </row>
    <row r="105" spans="1:7" x14ac:dyDescent="0.25">
      <c r="A105" s="1" t="s">
        <v>229</v>
      </c>
      <c r="B105" s="76">
        <v>25.743482999999902</v>
      </c>
      <c r="C105" s="76">
        <v>25.789207000000001</v>
      </c>
      <c r="D105" s="76">
        <v>25.423403</v>
      </c>
      <c r="E105" s="76">
        <v>25.606306</v>
      </c>
      <c r="F105" s="76">
        <v>11.758801</v>
      </c>
      <c r="G105" s="79">
        <v>128200</v>
      </c>
    </row>
    <row r="106" spans="1:7" x14ac:dyDescent="0.25">
      <c r="A106" s="1" t="s">
        <v>230</v>
      </c>
      <c r="B106" s="76">
        <v>25.46913</v>
      </c>
      <c r="C106" s="76">
        <v>25.652031000000001</v>
      </c>
      <c r="D106" s="76">
        <v>25.423403</v>
      </c>
      <c r="E106" s="76">
        <v>25.560579000000001</v>
      </c>
      <c r="F106" s="76">
        <v>11.737797</v>
      </c>
      <c r="G106" s="79">
        <v>127900</v>
      </c>
    </row>
    <row r="107" spans="1:7" x14ac:dyDescent="0.25">
      <c r="A107" s="1" t="s">
        <v>231</v>
      </c>
      <c r="B107" s="76">
        <v>25.606306</v>
      </c>
      <c r="C107" s="76">
        <v>25.606306</v>
      </c>
      <c r="D107" s="76">
        <v>25.423403</v>
      </c>
      <c r="E107" s="76">
        <v>25.606306</v>
      </c>
      <c r="F107" s="76">
        <v>11.758801</v>
      </c>
      <c r="G107" s="79">
        <v>58300</v>
      </c>
    </row>
    <row r="108" spans="1:7" x14ac:dyDescent="0.25">
      <c r="A108" s="1" t="s">
        <v>232</v>
      </c>
      <c r="B108" s="76">
        <v>25.606306</v>
      </c>
      <c r="C108" s="76">
        <v>25.972110999999899</v>
      </c>
      <c r="D108" s="76">
        <v>25.606306</v>
      </c>
      <c r="E108" s="76">
        <v>25.652031000000001</v>
      </c>
      <c r="F108" s="76">
        <v>11.779795999999999</v>
      </c>
      <c r="G108" s="79">
        <v>95500</v>
      </c>
    </row>
    <row r="109" spans="1:7" x14ac:dyDescent="0.25">
      <c r="A109" s="1" t="s">
        <v>233</v>
      </c>
      <c r="B109" s="76">
        <v>25.652031000000001</v>
      </c>
      <c r="C109" s="76">
        <v>25.834934000000001</v>
      </c>
      <c r="D109" s="76">
        <v>25.652031000000001</v>
      </c>
      <c r="E109" s="76">
        <v>25.743482999999902</v>
      </c>
      <c r="F109" s="76">
        <v>11.821795</v>
      </c>
      <c r="G109" s="79">
        <v>53400</v>
      </c>
    </row>
    <row r="110" spans="1:7" x14ac:dyDescent="0.25">
      <c r="A110" s="1" t="s">
        <v>234</v>
      </c>
      <c r="B110" s="76">
        <v>25.743482999999902</v>
      </c>
      <c r="C110" s="76">
        <v>25.972110999999899</v>
      </c>
      <c r="D110" s="76">
        <v>25.697755999999998</v>
      </c>
      <c r="E110" s="76">
        <v>25.880659000000001</v>
      </c>
      <c r="F110" s="76">
        <v>11.884779999999999</v>
      </c>
      <c r="G110" s="79">
        <v>143200</v>
      </c>
    </row>
    <row r="111" spans="1:7" x14ac:dyDescent="0.25">
      <c r="A111" s="1" t="s">
        <v>235</v>
      </c>
      <c r="B111" s="76">
        <v>25.789207000000001</v>
      </c>
      <c r="C111" s="76">
        <v>26.017835999999999</v>
      </c>
      <c r="D111" s="76">
        <v>25.789207000000001</v>
      </c>
      <c r="E111" s="76">
        <v>25.926383999999999</v>
      </c>
      <c r="F111" s="76">
        <v>11.905782</v>
      </c>
      <c r="G111" s="79">
        <v>107500</v>
      </c>
    </row>
    <row r="112" spans="1:7" x14ac:dyDescent="0.25">
      <c r="A112" s="1" t="s">
        <v>236</v>
      </c>
      <c r="B112" s="76">
        <v>25.926383999999999</v>
      </c>
      <c r="C112" s="76">
        <v>26.063559999999999</v>
      </c>
      <c r="D112" s="76">
        <v>25.880659000000001</v>
      </c>
      <c r="E112" s="76">
        <v>25.926383999999999</v>
      </c>
      <c r="F112" s="76">
        <v>11.905782</v>
      </c>
      <c r="G112" s="79">
        <v>112700</v>
      </c>
    </row>
    <row r="113" spans="1:7" x14ac:dyDescent="0.25">
      <c r="A113" s="1" t="s">
        <v>237</v>
      </c>
      <c r="B113" s="76">
        <v>25.972110999999899</v>
      </c>
      <c r="C113" s="76">
        <v>26.246464</v>
      </c>
      <c r="D113" s="76">
        <v>25.834934000000001</v>
      </c>
      <c r="E113" s="76">
        <v>26.246464</v>
      </c>
      <c r="F113" s="76">
        <v>12.0527649999999</v>
      </c>
      <c r="G113" s="79">
        <v>104400</v>
      </c>
    </row>
    <row r="114" spans="1:7" x14ac:dyDescent="0.25">
      <c r="A114" s="1" t="s">
        <v>238</v>
      </c>
      <c r="B114" s="76">
        <v>26.200737</v>
      </c>
      <c r="C114" s="76">
        <v>26.292189</v>
      </c>
      <c r="D114" s="76">
        <v>26.155011999999999</v>
      </c>
      <c r="E114" s="76">
        <v>26.200737</v>
      </c>
      <c r="F114" s="76">
        <v>12.031769000000001</v>
      </c>
      <c r="G114" s="79">
        <v>145300</v>
      </c>
    </row>
    <row r="115" spans="1:7" x14ac:dyDescent="0.25">
      <c r="A115" s="1" t="s">
        <v>239</v>
      </c>
      <c r="B115" s="76">
        <v>26.337914000000001</v>
      </c>
      <c r="C115" s="76">
        <v>26.337914000000001</v>
      </c>
      <c r="D115" s="76">
        <v>26.200737</v>
      </c>
      <c r="E115" s="76">
        <v>26.246464</v>
      </c>
      <c r="F115" s="76">
        <v>12.0527649999999</v>
      </c>
      <c r="G115" s="79">
        <v>151300</v>
      </c>
    </row>
    <row r="116" spans="1:7" x14ac:dyDescent="0.25">
      <c r="A116" s="1" t="s">
        <v>240</v>
      </c>
      <c r="B116" s="76">
        <v>26.292189</v>
      </c>
      <c r="C116" s="76">
        <v>26.703717999999999</v>
      </c>
      <c r="D116" s="76">
        <v>25.926383999999999</v>
      </c>
      <c r="E116" s="76">
        <v>26.657992999999902</v>
      </c>
      <c r="F116" s="76">
        <v>12.24175</v>
      </c>
      <c r="G116" s="79">
        <v>814800</v>
      </c>
    </row>
    <row r="117" spans="1:7" x14ac:dyDescent="0.25">
      <c r="A117" s="1" t="s">
        <v>241</v>
      </c>
      <c r="B117" s="76">
        <v>26.566541999999998</v>
      </c>
      <c r="C117" s="76">
        <v>26.657992999999902</v>
      </c>
      <c r="D117" s="76">
        <v>26.520816999999901</v>
      </c>
      <c r="E117" s="76">
        <v>26.612268</v>
      </c>
      <c r="F117" s="76">
        <v>12.220750000000001</v>
      </c>
      <c r="G117" s="79">
        <v>138000</v>
      </c>
    </row>
    <row r="118" spans="1:7" x14ac:dyDescent="0.25">
      <c r="A118" s="1" t="s">
        <v>242</v>
      </c>
      <c r="B118" s="76">
        <v>26.612268</v>
      </c>
      <c r="C118" s="76">
        <v>26.703717999999999</v>
      </c>
      <c r="D118" s="76">
        <v>26.475090000000002</v>
      </c>
      <c r="E118" s="76">
        <v>26.566541999999998</v>
      </c>
      <c r="F118" s="76">
        <v>12.199752</v>
      </c>
      <c r="G118" s="79">
        <v>898100</v>
      </c>
    </row>
    <row r="119" spans="1:7" x14ac:dyDescent="0.25">
      <c r="A119" s="1" t="s">
        <v>243</v>
      </c>
      <c r="B119" s="76">
        <v>26.566541999999998</v>
      </c>
      <c r="C119" s="76">
        <v>26.657992999999902</v>
      </c>
      <c r="D119" s="76">
        <v>26.292189</v>
      </c>
      <c r="E119" s="76">
        <v>26.292189</v>
      </c>
      <c r="F119" s="76">
        <v>12.073767</v>
      </c>
      <c r="G119" s="79">
        <v>180800</v>
      </c>
    </row>
    <row r="120" spans="1:7" x14ac:dyDescent="0.25">
      <c r="A120" s="1" t="s">
        <v>244</v>
      </c>
      <c r="B120" s="76">
        <v>26.292189</v>
      </c>
      <c r="C120" s="76">
        <v>26.337914000000001</v>
      </c>
      <c r="D120" s="76">
        <v>26.246464</v>
      </c>
      <c r="E120" s="76">
        <v>26.337914000000001</v>
      </c>
      <c r="F120" s="76">
        <v>12.094764999999899</v>
      </c>
      <c r="G120" s="79">
        <v>1132100</v>
      </c>
    </row>
    <row r="121" spans="1:7" x14ac:dyDescent="0.25">
      <c r="A121" s="1" t="s">
        <v>245</v>
      </c>
      <c r="B121" s="76">
        <v>26.200737</v>
      </c>
      <c r="C121" s="76">
        <v>26.429365000000001</v>
      </c>
      <c r="D121" s="76">
        <v>26.200737</v>
      </c>
      <c r="E121" s="76">
        <v>26.38364</v>
      </c>
      <c r="F121" s="76">
        <v>12.115764</v>
      </c>
      <c r="G121" s="79">
        <v>215700</v>
      </c>
    </row>
    <row r="122" spans="1:7" x14ac:dyDescent="0.25">
      <c r="A122" s="1" t="s">
        <v>246</v>
      </c>
      <c r="B122" s="76">
        <v>26.337914000000001</v>
      </c>
      <c r="C122" s="76">
        <v>26.566541999999998</v>
      </c>
      <c r="D122" s="76">
        <v>26.337914000000001</v>
      </c>
      <c r="E122" s="76">
        <v>26.566541999999998</v>
      </c>
      <c r="F122" s="76">
        <v>12.199752</v>
      </c>
      <c r="G122" s="79">
        <v>294500</v>
      </c>
    </row>
    <row r="123" spans="1:7" x14ac:dyDescent="0.25">
      <c r="A123" s="1" t="s">
        <v>247</v>
      </c>
      <c r="B123" s="76">
        <v>26.475090000000002</v>
      </c>
      <c r="C123" s="76">
        <v>26.520816999999901</v>
      </c>
      <c r="D123" s="76">
        <v>26.337914000000001</v>
      </c>
      <c r="E123" s="76">
        <v>26.38364</v>
      </c>
      <c r="F123" s="76">
        <v>12.115764</v>
      </c>
      <c r="G123" s="79">
        <v>413700</v>
      </c>
    </row>
    <row r="124" spans="1:7" x14ac:dyDescent="0.25">
      <c r="A124" s="1" t="s">
        <v>248</v>
      </c>
      <c r="B124" s="76">
        <v>26.38364</v>
      </c>
      <c r="C124" s="76">
        <v>26.520816999999901</v>
      </c>
      <c r="D124" s="76">
        <v>26.063559999999999</v>
      </c>
      <c r="E124" s="76">
        <v>26.38364</v>
      </c>
      <c r="F124" s="76">
        <v>12.115764</v>
      </c>
      <c r="G124" s="79">
        <v>160200</v>
      </c>
    </row>
    <row r="125" spans="1:7" x14ac:dyDescent="0.25">
      <c r="A125" s="1" t="s">
        <v>249</v>
      </c>
      <c r="B125" s="76">
        <v>26.292189</v>
      </c>
      <c r="C125" s="76">
        <v>26.429365000000001</v>
      </c>
      <c r="D125" s="76">
        <v>26.246464</v>
      </c>
      <c r="E125" s="76">
        <v>26.292189</v>
      </c>
      <c r="F125" s="76">
        <v>12.073767</v>
      </c>
      <c r="G125" s="79">
        <v>151500</v>
      </c>
    </row>
    <row r="126" spans="1:7" x14ac:dyDescent="0.25">
      <c r="A126" s="1" t="s">
        <v>250</v>
      </c>
      <c r="B126" s="76">
        <v>26.337914000000001</v>
      </c>
      <c r="C126" s="76">
        <v>26.566541999999998</v>
      </c>
      <c r="D126" s="76">
        <v>26.292189</v>
      </c>
      <c r="E126" s="76">
        <v>26.337914000000001</v>
      </c>
      <c r="F126" s="76">
        <v>12.094764999999899</v>
      </c>
      <c r="G126" s="79">
        <v>463900</v>
      </c>
    </row>
    <row r="127" spans="1:7" x14ac:dyDescent="0.25">
      <c r="A127" s="1" t="s">
        <v>251</v>
      </c>
      <c r="B127" s="76">
        <v>26.337914000000001</v>
      </c>
      <c r="C127" s="76">
        <v>26.429365000000001</v>
      </c>
      <c r="D127" s="76">
        <v>26.223564</v>
      </c>
      <c r="E127" s="76">
        <v>26.429365000000001</v>
      </c>
      <c r="F127" s="76">
        <v>12.136759</v>
      </c>
      <c r="G127" s="79">
        <v>377900</v>
      </c>
    </row>
    <row r="128" spans="1:7" x14ac:dyDescent="0.25">
      <c r="A128" s="1" t="s">
        <v>252</v>
      </c>
      <c r="B128" s="76">
        <v>26.337914000000001</v>
      </c>
      <c r="C128" s="76">
        <v>26.795169999999999</v>
      </c>
      <c r="D128" s="76">
        <v>25.057597999999999</v>
      </c>
      <c r="E128" s="76">
        <v>25.423403</v>
      </c>
      <c r="F128" s="76">
        <v>11.674804999999999</v>
      </c>
      <c r="G128" s="79">
        <v>951600</v>
      </c>
    </row>
    <row r="129" spans="1:7" x14ac:dyDescent="0.25">
      <c r="A129" s="1" t="s">
        <v>253</v>
      </c>
      <c r="B129" s="76">
        <v>25.697755999999998</v>
      </c>
      <c r="C129" s="76">
        <v>26.017835999999999</v>
      </c>
      <c r="D129" s="76">
        <v>25.697755999999998</v>
      </c>
      <c r="E129" s="76">
        <v>25.972110999999899</v>
      </c>
      <c r="F129" s="76">
        <v>11.926780000000001</v>
      </c>
      <c r="G129" s="79">
        <v>199000</v>
      </c>
    </row>
    <row r="130" spans="1:7" x14ac:dyDescent="0.25">
      <c r="A130" s="1" t="s">
        <v>254</v>
      </c>
      <c r="B130" s="76">
        <v>25.834934000000001</v>
      </c>
      <c r="C130" s="76">
        <v>26.566541999999998</v>
      </c>
      <c r="D130" s="76">
        <v>25.789207000000001</v>
      </c>
      <c r="E130" s="76">
        <v>26.520816999999901</v>
      </c>
      <c r="F130" s="76">
        <v>12.178756999999999</v>
      </c>
      <c r="G130" s="79">
        <v>208200</v>
      </c>
    </row>
    <row r="131" spans="1:7" x14ac:dyDescent="0.25">
      <c r="A131" s="1" t="s">
        <v>255</v>
      </c>
      <c r="B131" s="76">
        <v>26.38364</v>
      </c>
      <c r="C131" s="76">
        <v>27.115247999999902</v>
      </c>
      <c r="D131" s="76">
        <v>26.38364</v>
      </c>
      <c r="E131" s="76">
        <v>27.115247999999902</v>
      </c>
      <c r="F131" s="76">
        <v>12.451727</v>
      </c>
      <c r="G131" s="79">
        <v>359800</v>
      </c>
    </row>
    <row r="132" spans="1:7" x14ac:dyDescent="0.25">
      <c r="A132" s="1" t="s">
        <v>256</v>
      </c>
      <c r="B132" s="76">
        <v>26.978071</v>
      </c>
      <c r="C132" s="76">
        <v>27.343876000000002</v>
      </c>
      <c r="D132" s="76">
        <v>26.932345999999999</v>
      </c>
      <c r="E132" s="76">
        <v>27.069522999999901</v>
      </c>
      <c r="F132" s="76">
        <v>12.430728999999999</v>
      </c>
      <c r="G132" s="79">
        <v>229300</v>
      </c>
    </row>
    <row r="133" spans="1:7" x14ac:dyDescent="0.25">
      <c r="A133" s="1" t="s">
        <v>257</v>
      </c>
      <c r="B133" s="76">
        <v>27.206699</v>
      </c>
      <c r="C133" s="76">
        <v>27.389603000000001</v>
      </c>
      <c r="D133" s="76">
        <v>26.978071</v>
      </c>
      <c r="E133" s="76">
        <v>27.069522999999901</v>
      </c>
      <c r="F133" s="76">
        <v>12.430728999999999</v>
      </c>
      <c r="G133" s="79">
        <v>131200</v>
      </c>
    </row>
    <row r="134" spans="1:7" x14ac:dyDescent="0.25">
      <c r="A134" s="1" t="s">
        <v>258</v>
      </c>
      <c r="B134" s="76">
        <v>27.069522999999901</v>
      </c>
      <c r="C134" s="76">
        <v>27.115247999999902</v>
      </c>
      <c r="D134" s="76">
        <v>26.932345999999999</v>
      </c>
      <c r="E134" s="76">
        <v>26.978071</v>
      </c>
      <c r="F134" s="76">
        <v>12.388735</v>
      </c>
      <c r="G134" s="79">
        <v>192400</v>
      </c>
    </row>
    <row r="135" spans="1:7" x14ac:dyDescent="0.25">
      <c r="A135" s="1" t="s">
        <v>259</v>
      </c>
      <c r="B135" s="76">
        <v>26.978071</v>
      </c>
      <c r="C135" s="76">
        <v>27.069522999999901</v>
      </c>
      <c r="D135" s="76">
        <v>26.932345999999999</v>
      </c>
      <c r="E135" s="76">
        <v>26.978071</v>
      </c>
      <c r="F135" s="76">
        <v>12.388735</v>
      </c>
      <c r="G135" s="79">
        <v>139500</v>
      </c>
    </row>
    <row r="136" spans="1:7" x14ac:dyDescent="0.25">
      <c r="A136" s="1" t="s">
        <v>260</v>
      </c>
      <c r="B136" s="76">
        <v>26.978071</v>
      </c>
      <c r="C136" s="76">
        <v>27.069522999999901</v>
      </c>
      <c r="D136" s="76">
        <v>26.909446999999901</v>
      </c>
      <c r="E136" s="76">
        <v>26.909446999999901</v>
      </c>
      <c r="F136" s="76">
        <v>12.357217</v>
      </c>
      <c r="G136" s="79">
        <v>200100</v>
      </c>
    </row>
    <row r="137" spans="1:7" x14ac:dyDescent="0.25">
      <c r="A137" s="1" t="s">
        <v>261</v>
      </c>
      <c r="B137" s="76">
        <v>26.932345999999999</v>
      </c>
      <c r="C137" s="76">
        <v>27.160975000000001</v>
      </c>
      <c r="D137" s="76">
        <v>26.932345999999999</v>
      </c>
      <c r="E137" s="76">
        <v>26.955172999999998</v>
      </c>
      <c r="F137" s="76">
        <v>12.378221999999999</v>
      </c>
      <c r="G137" s="79">
        <v>100600</v>
      </c>
    </row>
    <row r="138" spans="1:7" x14ac:dyDescent="0.25">
      <c r="A138" s="1" t="s">
        <v>262</v>
      </c>
      <c r="B138" s="76">
        <v>27.115247999999902</v>
      </c>
      <c r="C138" s="76">
        <v>27.115247999999902</v>
      </c>
      <c r="D138" s="76">
        <v>26.886621000000002</v>
      </c>
      <c r="E138" s="76">
        <v>27.023797999999999</v>
      </c>
      <c r="F138" s="76">
        <v>12.409730999999899</v>
      </c>
      <c r="G138" s="79">
        <v>122700</v>
      </c>
    </row>
    <row r="139" spans="1:7" x14ac:dyDescent="0.25">
      <c r="A139" s="1" t="s">
        <v>263</v>
      </c>
      <c r="B139" s="76">
        <v>26.978071</v>
      </c>
      <c r="C139" s="76">
        <v>27.206699</v>
      </c>
      <c r="D139" s="76">
        <v>26.978071</v>
      </c>
      <c r="E139" s="76">
        <v>27.160975000000001</v>
      </c>
      <c r="F139" s="76">
        <v>12.472723999999999</v>
      </c>
      <c r="G139" s="79">
        <v>119000</v>
      </c>
    </row>
    <row r="140" spans="1:7" x14ac:dyDescent="0.25">
      <c r="A140" s="1" t="s">
        <v>264</v>
      </c>
      <c r="B140" s="76">
        <v>27.115247999999902</v>
      </c>
      <c r="C140" s="76">
        <v>27.298151000000001</v>
      </c>
      <c r="D140" s="76">
        <v>27.115247999999902</v>
      </c>
      <c r="E140" s="76">
        <v>27.160975000000001</v>
      </c>
      <c r="F140" s="76">
        <v>12.472723999999999</v>
      </c>
      <c r="G140" s="79">
        <v>55000</v>
      </c>
    </row>
    <row r="141" spans="1:7" x14ac:dyDescent="0.25">
      <c r="A141" s="1" t="s">
        <v>265</v>
      </c>
      <c r="B141" s="76">
        <v>27.298151000000001</v>
      </c>
      <c r="C141" s="76">
        <v>27.526778999999902</v>
      </c>
      <c r="D141" s="76">
        <v>27.206699</v>
      </c>
      <c r="E141" s="76">
        <v>27.526778999999902</v>
      </c>
      <c r="F141" s="76">
        <v>12.640707000000001</v>
      </c>
      <c r="G141" s="79">
        <v>190400</v>
      </c>
    </row>
    <row r="142" spans="1:7" x14ac:dyDescent="0.25">
      <c r="A142" s="1" t="s">
        <v>266</v>
      </c>
      <c r="B142" s="76">
        <v>27.435327999999998</v>
      </c>
      <c r="C142" s="76">
        <v>27.801131999999999</v>
      </c>
      <c r="D142" s="76">
        <v>27.435327999999998</v>
      </c>
      <c r="E142" s="76">
        <v>27.801131999999999</v>
      </c>
      <c r="F142" s="76">
        <v>12.766697000000001</v>
      </c>
      <c r="G142" s="79">
        <v>161200</v>
      </c>
    </row>
    <row r="143" spans="1:7" x14ac:dyDescent="0.25">
      <c r="A143" s="1" t="s">
        <v>267</v>
      </c>
      <c r="B143" s="76">
        <v>27.801131999999999</v>
      </c>
      <c r="C143" s="76">
        <v>27.984034000000001</v>
      </c>
      <c r="D143" s="76">
        <v>27.755405</v>
      </c>
      <c r="E143" s="76">
        <v>27.892582000000001</v>
      </c>
      <c r="F143" s="76">
        <v>12.808693999999999</v>
      </c>
      <c r="G143" s="79">
        <v>130900</v>
      </c>
    </row>
    <row r="144" spans="1:7" x14ac:dyDescent="0.25">
      <c r="A144" s="1" t="s">
        <v>268</v>
      </c>
      <c r="B144" s="76">
        <v>28.0297599999999</v>
      </c>
      <c r="C144" s="76">
        <v>28.258386999999999</v>
      </c>
      <c r="D144" s="76">
        <v>28.0297599999999</v>
      </c>
      <c r="E144" s="76">
        <v>28.189761999999899</v>
      </c>
      <c r="F144" s="76">
        <v>12.9451559999999</v>
      </c>
      <c r="G144" s="79">
        <v>216600</v>
      </c>
    </row>
    <row r="145" spans="1:7" x14ac:dyDescent="0.25">
      <c r="A145" s="1" t="s">
        <v>269</v>
      </c>
      <c r="B145" s="76">
        <v>28.212661999999899</v>
      </c>
      <c r="C145" s="76">
        <v>28.715643</v>
      </c>
      <c r="D145" s="76">
        <v>28.212661999999899</v>
      </c>
      <c r="E145" s="76">
        <v>28.692743</v>
      </c>
      <c r="F145" s="76">
        <v>13.1761359999999</v>
      </c>
      <c r="G145" s="79">
        <v>375400</v>
      </c>
    </row>
    <row r="146" spans="1:7" x14ac:dyDescent="0.25">
      <c r="A146" s="1" t="s">
        <v>270</v>
      </c>
      <c r="B146" s="76">
        <v>28.715643</v>
      </c>
      <c r="C146" s="76">
        <v>28.989996000000001</v>
      </c>
      <c r="D146" s="76">
        <v>28.669917999999999</v>
      </c>
      <c r="E146" s="76">
        <v>28.875644999999999</v>
      </c>
      <c r="F146" s="76">
        <v>13.260128999999999</v>
      </c>
      <c r="G146" s="79">
        <v>181200</v>
      </c>
    </row>
    <row r="147" spans="1:7" x14ac:dyDescent="0.25">
      <c r="A147" s="1" t="s">
        <v>271</v>
      </c>
      <c r="B147" s="76">
        <v>28.944271000000001</v>
      </c>
      <c r="C147" s="76">
        <v>29.035720999999999</v>
      </c>
      <c r="D147" s="76">
        <v>28.669917999999999</v>
      </c>
      <c r="E147" s="76">
        <v>28.784195</v>
      </c>
      <c r="F147" s="76">
        <v>13.2181269999999</v>
      </c>
      <c r="G147" s="79">
        <v>343100</v>
      </c>
    </row>
    <row r="148" spans="1:7" x14ac:dyDescent="0.25">
      <c r="A148" s="1" t="s">
        <v>272</v>
      </c>
      <c r="B148" s="76">
        <v>28.761368000000001</v>
      </c>
      <c r="C148" s="76">
        <v>28.852819</v>
      </c>
      <c r="D148" s="76">
        <v>28.53274</v>
      </c>
      <c r="E148" s="76">
        <v>28.601291999999901</v>
      </c>
      <c r="F148" s="76">
        <v>13.1341369999999</v>
      </c>
      <c r="G148" s="79">
        <v>202500</v>
      </c>
    </row>
    <row r="149" spans="1:7" x14ac:dyDescent="0.25">
      <c r="A149" s="1" t="s">
        <v>273</v>
      </c>
      <c r="B149" s="76">
        <v>28.53274</v>
      </c>
      <c r="C149" s="76">
        <v>29.813054999999999</v>
      </c>
      <c r="D149" s="76">
        <v>28.53274</v>
      </c>
      <c r="E149" s="76">
        <v>29.813054999999999</v>
      </c>
      <c r="F149" s="76">
        <v>13.690598999999899</v>
      </c>
      <c r="G149" s="79">
        <v>761400</v>
      </c>
    </row>
    <row r="150" spans="1:7" x14ac:dyDescent="0.25">
      <c r="A150" s="1" t="s">
        <v>274</v>
      </c>
      <c r="B150" s="76">
        <v>29.721605</v>
      </c>
      <c r="C150" s="76">
        <v>29.813054999999999</v>
      </c>
      <c r="D150" s="76">
        <v>29.401524999999999</v>
      </c>
      <c r="E150" s="76">
        <v>29.790157000000001</v>
      </c>
      <c r="F150" s="76">
        <v>13.6800829999999</v>
      </c>
      <c r="G150" s="79">
        <v>204200</v>
      </c>
    </row>
    <row r="151" spans="1:7" x14ac:dyDescent="0.25">
      <c r="A151" s="1" t="s">
        <v>275</v>
      </c>
      <c r="B151" s="76">
        <v>29.355801</v>
      </c>
      <c r="C151" s="76">
        <v>29.675878999999998</v>
      </c>
      <c r="D151" s="76">
        <v>29.355801</v>
      </c>
      <c r="E151" s="76">
        <v>29.538702000000001</v>
      </c>
      <c r="F151" s="76">
        <v>13.726426999999999</v>
      </c>
      <c r="G151" s="79">
        <v>462600</v>
      </c>
    </row>
    <row r="152" spans="1:7" x14ac:dyDescent="0.25">
      <c r="A152" s="1" t="s">
        <v>276</v>
      </c>
      <c r="B152" s="76">
        <v>29.584428999999901</v>
      </c>
      <c r="C152" s="76">
        <v>29.630153999999902</v>
      </c>
      <c r="D152" s="76">
        <v>28.989996000000001</v>
      </c>
      <c r="E152" s="76">
        <v>29.15</v>
      </c>
      <c r="F152" s="76">
        <v>13.545797</v>
      </c>
      <c r="G152" s="79">
        <v>343900</v>
      </c>
    </row>
    <row r="153" spans="1:7" x14ac:dyDescent="0.25">
      <c r="A153" s="1" t="s">
        <v>277</v>
      </c>
      <c r="B153" s="76">
        <v>29.447251999999999</v>
      </c>
      <c r="C153" s="76">
        <v>29.447251999999999</v>
      </c>
      <c r="D153" s="76">
        <v>29.127171999999899</v>
      </c>
      <c r="E153" s="76">
        <v>29.15</v>
      </c>
      <c r="F153" s="76">
        <v>13.545797</v>
      </c>
      <c r="G153" s="79">
        <v>218900</v>
      </c>
    </row>
    <row r="154" spans="1:7" x14ac:dyDescent="0.25">
      <c r="A154" s="1" t="s">
        <v>278</v>
      </c>
      <c r="B154" s="76">
        <v>28.989996000000001</v>
      </c>
      <c r="C154" s="76">
        <v>29.538702000000001</v>
      </c>
      <c r="D154" s="76">
        <v>28.989996000000001</v>
      </c>
      <c r="E154" s="76">
        <v>29.355801</v>
      </c>
      <c r="F154" s="76">
        <v>13.641429</v>
      </c>
      <c r="G154" s="79">
        <v>122800</v>
      </c>
    </row>
    <row r="155" spans="1:7" x14ac:dyDescent="0.25">
      <c r="A155" s="1" t="s">
        <v>279</v>
      </c>
      <c r="B155" s="76">
        <v>29.264348999999999</v>
      </c>
      <c r="C155" s="76">
        <v>29.401524999999999</v>
      </c>
      <c r="D155" s="76">
        <v>29.264348999999999</v>
      </c>
      <c r="E155" s="76">
        <v>29.355801</v>
      </c>
      <c r="F155" s="76">
        <v>13.641429</v>
      </c>
      <c r="G155" s="79">
        <v>63300</v>
      </c>
    </row>
    <row r="156" spans="1:7" x14ac:dyDescent="0.25">
      <c r="A156" s="1" t="s">
        <v>280</v>
      </c>
      <c r="B156" s="76">
        <v>29.264348999999999</v>
      </c>
      <c r="C156" s="76">
        <v>29.447251999999999</v>
      </c>
      <c r="D156" s="76">
        <v>29.127171999999899</v>
      </c>
      <c r="E156" s="76">
        <v>29.355801</v>
      </c>
      <c r="F156" s="76">
        <v>13.641429</v>
      </c>
      <c r="G156" s="79">
        <v>99600</v>
      </c>
    </row>
    <row r="157" spans="1:7" x14ac:dyDescent="0.25">
      <c r="A157" s="1" t="s">
        <v>281</v>
      </c>
      <c r="B157" s="76">
        <v>29.492977</v>
      </c>
      <c r="C157" s="76">
        <v>29.538702000000001</v>
      </c>
      <c r="D157" s="76">
        <v>29.355801</v>
      </c>
      <c r="E157" s="76">
        <v>29.538702000000001</v>
      </c>
      <c r="F157" s="76">
        <v>13.726426999999999</v>
      </c>
      <c r="G157" s="79">
        <v>82600</v>
      </c>
    </row>
    <row r="158" spans="1:7" x14ac:dyDescent="0.25">
      <c r="A158" s="1" t="s">
        <v>282</v>
      </c>
      <c r="B158" s="76">
        <v>29.447251999999999</v>
      </c>
      <c r="C158" s="76">
        <v>29.630153999999902</v>
      </c>
      <c r="D158" s="76">
        <v>29.355801</v>
      </c>
      <c r="E158" s="76">
        <v>29.447251999999999</v>
      </c>
      <c r="F158" s="76">
        <v>13.683928</v>
      </c>
      <c r="G158" s="79">
        <v>64100</v>
      </c>
    </row>
    <row r="159" spans="1:7" x14ac:dyDescent="0.25">
      <c r="A159" s="1" t="s">
        <v>283</v>
      </c>
      <c r="B159" s="76">
        <v>29.447251999999999</v>
      </c>
      <c r="C159" s="76">
        <v>29.492977</v>
      </c>
      <c r="D159" s="76">
        <v>29.218623999999998</v>
      </c>
      <c r="E159" s="76">
        <v>29.355801</v>
      </c>
      <c r="F159" s="76">
        <v>13.641429</v>
      </c>
      <c r="G159" s="79">
        <v>128600</v>
      </c>
    </row>
    <row r="160" spans="1:7" x14ac:dyDescent="0.25">
      <c r="A160" s="1" t="s">
        <v>284</v>
      </c>
      <c r="B160" s="76">
        <v>29.264348999999999</v>
      </c>
      <c r="C160" s="76">
        <v>29.310074</v>
      </c>
      <c r="D160" s="76">
        <v>29.172896999999999</v>
      </c>
      <c r="E160" s="76">
        <v>29.264348999999999</v>
      </c>
      <c r="F160" s="76">
        <v>13.598926000000001</v>
      </c>
      <c r="G160" s="79">
        <v>265100</v>
      </c>
    </row>
    <row r="161" spans="1:7" x14ac:dyDescent="0.25">
      <c r="A161" s="1" t="s">
        <v>285</v>
      </c>
      <c r="B161" s="76">
        <v>29.218623999999998</v>
      </c>
      <c r="C161" s="76">
        <v>29.218623999999998</v>
      </c>
      <c r="D161" s="76">
        <v>28.989996000000001</v>
      </c>
      <c r="E161" s="76">
        <v>29.127171999999899</v>
      </c>
      <c r="F161" s="76">
        <v>13.535183999999999</v>
      </c>
      <c r="G161" s="79">
        <v>157300</v>
      </c>
    </row>
    <row r="162" spans="1:7" x14ac:dyDescent="0.25">
      <c r="A162" s="1" t="s">
        <v>286</v>
      </c>
      <c r="B162" s="76">
        <v>29.172896999999999</v>
      </c>
      <c r="C162" s="76">
        <v>29.172896999999999</v>
      </c>
      <c r="D162" s="76">
        <v>28.807095</v>
      </c>
      <c r="E162" s="76">
        <v>28.852819</v>
      </c>
      <c r="F162" s="76">
        <v>13.4077</v>
      </c>
      <c r="G162" s="79">
        <v>236100</v>
      </c>
    </row>
    <row r="163" spans="1:7" x14ac:dyDescent="0.25">
      <c r="A163" s="1" t="s">
        <v>287</v>
      </c>
      <c r="B163" s="76">
        <v>28.898544000000001</v>
      </c>
      <c r="C163" s="76">
        <v>29.127171999999899</v>
      </c>
      <c r="D163" s="76">
        <v>28.852819</v>
      </c>
      <c r="E163" s="76">
        <v>28.852819</v>
      </c>
      <c r="F163" s="76">
        <v>13.4077</v>
      </c>
      <c r="G163" s="79">
        <v>143500</v>
      </c>
    </row>
    <row r="164" spans="1:7" x14ac:dyDescent="0.25">
      <c r="A164" s="1" t="s">
        <v>288</v>
      </c>
      <c r="B164" s="76">
        <v>28.852819</v>
      </c>
      <c r="C164" s="76">
        <v>28.898544000000001</v>
      </c>
      <c r="D164" s="76">
        <v>28.6241909999999</v>
      </c>
      <c r="E164" s="76">
        <v>28.761368000000001</v>
      </c>
      <c r="F164" s="76">
        <v>13.365197999999999</v>
      </c>
      <c r="G164" s="79">
        <v>253700</v>
      </c>
    </row>
    <row r="165" spans="1:7" x14ac:dyDescent="0.25">
      <c r="A165" s="1" t="s">
        <v>289</v>
      </c>
      <c r="B165" s="76">
        <v>28.761368000000001</v>
      </c>
      <c r="C165" s="76">
        <v>28.807095</v>
      </c>
      <c r="D165" s="76">
        <v>28.441289999999999</v>
      </c>
      <c r="E165" s="76">
        <v>28.441289999999999</v>
      </c>
      <c r="F165" s="76">
        <v>13.216466</v>
      </c>
      <c r="G165" s="79">
        <v>365000</v>
      </c>
    </row>
    <row r="166" spans="1:7" x14ac:dyDescent="0.25">
      <c r="A166" s="1" t="s">
        <v>290</v>
      </c>
      <c r="B166" s="76">
        <v>28.441289999999999</v>
      </c>
      <c r="C166" s="76">
        <v>28.487015</v>
      </c>
      <c r="D166" s="76">
        <v>27.801131999999999</v>
      </c>
      <c r="E166" s="76">
        <v>27.846857</v>
      </c>
      <c r="F166" s="76">
        <v>12.940234</v>
      </c>
      <c r="G166" s="79">
        <v>353900</v>
      </c>
    </row>
    <row r="167" spans="1:7" x14ac:dyDescent="0.25">
      <c r="A167" s="1" t="s">
        <v>291</v>
      </c>
      <c r="B167" s="76">
        <v>27.938309</v>
      </c>
      <c r="C167" s="76">
        <v>28.0297599999999</v>
      </c>
      <c r="D167" s="76">
        <v>27.618228999999999</v>
      </c>
      <c r="E167" s="76">
        <v>27.801131999999999</v>
      </c>
      <c r="F167" s="76">
        <v>12.918988000000001</v>
      </c>
      <c r="G167" s="79">
        <v>478200</v>
      </c>
    </row>
    <row r="168" spans="1:7" x14ac:dyDescent="0.25">
      <c r="A168" s="1" t="s">
        <v>292</v>
      </c>
      <c r="B168" s="76">
        <v>27.938309</v>
      </c>
      <c r="C168" s="76">
        <v>28.0297599999999</v>
      </c>
      <c r="D168" s="76">
        <v>27.709681</v>
      </c>
      <c r="E168" s="76">
        <v>27.846857</v>
      </c>
      <c r="F168" s="76">
        <v>12.940234</v>
      </c>
      <c r="G168" s="79">
        <v>85600</v>
      </c>
    </row>
    <row r="169" spans="1:7" x14ac:dyDescent="0.25">
      <c r="A169" s="1" t="s">
        <v>293</v>
      </c>
      <c r="B169" s="76">
        <v>27.801131999999999</v>
      </c>
      <c r="C169" s="76">
        <v>27.938309</v>
      </c>
      <c r="D169" s="76">
        <v>27.389603000000001</v>
      </c>
      <c r="E169" s="76">
        <v>27.435327999999998</v>
      </c>
      <c r="F169" s="76">
        <v>12.748998</v>
      </c>
      <c r="G169" s="79">
        <v>412500</v>
      </c>
    </row>
    <row r="170" spans="1:7" x14ac:dyDescent="0.25">
      <c r="A170" s="1" t="s">
        <v>294</v>
      </c>
      <c r="B170" s="76">
        <v>27.435327999999998</v>
      </c>
      <c r="C170" s="76">
        <v>27.572503999999999</v>
      </c>
      <c r="D170" s="76">
        <v>26.703717999999999</v>
      </c>
      <c r="E170" s="76">
        <v>27.206699</v>
      </c>
      <c r="F170" s="76">
        <v>12.642756</v>
      </c>
      <c r="G170" s="79">
        <v>540000</v>
      </c>
    </row>
    <row r="171" spans="1:7" x14ac:dyDescent="0.25">
      <c r="A171" s="1" t="s">
        <v>295</v>
      </c>
      <c r="B171" s="76">
        <v>27.343876000000002</v>
      </c>
      <c r="C171" s="76">
        <v>27.435327999999998</v>
      </c>
      <c r="D171" s="76">
        <v>27.069522999999901</v>
      </c>
      <c r="E171" s="76">
        <v>27.069522999999901</v>
      </c>
      <c r="F171" s="76">
        <v>12.579014000000001</v>
      </c>
      <c r="G171" s="79">
        <v>456200</v>
      </c>
    </row>
    <row r="172" spans="1:7" x14ac:dyDescent="0.25">
      <c r="A172" s="1" t="s">
        <v>296</v>
      </c>
      <c r="B172" s="76">
        <v>27.160975000000001</v>
      </c>
      <c r="C172" s="76">
        <v>27.206699</v>
      </c>
      <c r="D172" s="76">
        <v>26.337914000000001</v>
      </c>
      <c r="E172" s="76">
        <v>26.657992999999902</v>
      </c>
      <c r="F172" s="76">
        <v>12.387781</v>
      </c>
      <c r="G172" s="79">
        <v>2740700</v>
      </c>
    </row>
    <row r="173" spans="1:7" x14ac:dyDescent="0.25">
      <c r="A173" s="1" t="s">
        <v>297</v>
      </c>
      <c r="B173" s="76">
        <v>26.840895</v>
      </c>
      <c r="C173" s="76">
        <v>27.389603000000001</v>
      </c>
      <c r="D173" s="76">
        <v>26.612268</v>
      </c>
      <c r="E173" s="76">
        <v>27.138075000000001</v>
      </c>
      <c r="F173" s="76">
        <v>12.610861999999999</v>
      </c>
      <c r="G173" s="79">
        <v>421200</v>
      </c>
    </row>
    <row r="174" spans="1:7" x14ac:dyDescent="0.25">
      <c r="A174" s="1" t="s">
        <v>298</v>
      </c>
      <c r="B174" s="76">
        <v>27.069522999999901</v>
      </c>
      <c r="C174" s="76">
        <v>27.069522999999901</v>
      </c>
      <c r="D174" s="76">
        <v>26.886621000000002</v>
      </c>
      <c r="E174" s="76">
        <v>27.069522999999901</v>
      </c>
      <c r="F174" s="76">
        <v>12.579014000000001</v>
      </c>
      <c r="G174" s="79">
        <v>177100</v>
      </c>
    </row>
    <row r="175" spans="1:7" x14ac:dyDescent="0.25">
      <c r="A175" s="1" t="s">
        <v>299</v>
      </c>
      <c r="B175" s="76">
        <v>27.069522999999901</v>
      </c>
      <c r="C175" s="76">
        <v>27.526778999999902</v>
      </c>
      <c r="D175" s="76">
        <v>26.978071</v>
      </c>
      <c r="E175" s="76">
        <v>27.526778999999902</v>
      </c>
      <c r="F175" s="76">
        <v>12.791503000000001</v>
      </c>
      <c r="G175" s="79">
        <v>146500</v>
      </c>
    </row>
    <row r="176" spans="1:7" x14ac:dyDescent="0.25">
      <c r="A176" s="1" t="s">
        <v>300</v>
      </c>
      <c r="B176" s="76">
        <v>27.709681</v>
      </c>
      <c r="C176" s="76">
        <v>28.487015</v>
      </c>
      <c r="D176" s="76">
        <v>27.526778999999902</v>
      </c>
      <c r="E176" s="76">
        <v>28.464115</v>
      </c>
      <c r="F176" s="76">
        <v>13.227069</v>
      </c>
      <c r="G176" s="79">
        <v>306800</v>
      </c>
    </row>
    <row r="177" spans="1:7" x14ac:dyDescent="0.25">
      <c r="A177" s="1" t="s">
        <v>301</v>
      </c>
      <c r="B177" s="76">
        <v>28.669917999999999</v>
      </c>
      <c r="C177" s="76">
        <v>29.035720999999999</v>
      </c>
      <c r="D177" s="76">
        <v>28.258386999999999</v>
      </c>
      <c r="E177" s="76">
        <v>28.509841999999999</v>
      </c>
      <c r="F177" s="76">
        <v>13.248316000000001</v>
      </c>
      <c r="G177" s="79">
        <v>385400</v>
      </c>
    </row>
    <row r="178" spans="1:7" x14ac:dyDescent="0.25">
      <c r="A178" s="1" t="s">
        <v>302</v>
      </c>
      <c r="B178" s="76">
        <v>28.53274</v>
      </c>
      <c r="C178" s="76">
        <v>28.53274</v>
      </c>
      <c r="D178" s="76">
        <v>28.212661999999899</v>
      </c>
      <c r="E178" s="76">
        <v>28.418389999999999</v>
      </c>
      <c r="F178" s="76">
        <v>13.205822</v>
      </c>
      <c r="G178" s="79">
        <v>158600</v>
      </c>
    </row>
    <row r="179" spans="1:7" x14ac:dyDescent="0.25">
      <c r="A179" s="1" t="s">
        <v>303</v>
      </c>
      <c r="B179" s="76">
        <v>28.441289999999999</v>
      </c>
      <c r="C179" s="76">
        <v>28.441289999999999</v>
      </c>
      <c r="D179" s="76">
        <v>28.212661999999899</v>
      </c>
      <c r="E179" s="76">
        <v>28.304113000000001</v>
      </c>
      <c r="F179" s="76">
        <v>13.152725</v>
      </c>
      <c r="G179" s="79">
        <v>239600</v>
      </c>
    </row>
    <row r="180" spans="1:7" x14ac:dyDescent="0.25">
      <c r="A180" s="1" t="s">
        <v>304</v>
      </c>
      <c r="B180" s="76">
        <v>28.349837999999998</v>
      </c>
      <c r="C180" s="76">
        <v>28.53274</v>
      </c>
      <c r="D180" s="76">
        <v>27.846857</v>
      </c>
      <c r="E180" s="76">
        <v>28.075484999999901</v>
      </c>
      <c r="F180" s="76">
        <v>13.046476</v>
      </c>
      <c r="G180" s="79">
        <v>196100</v>
      </c>
    </row>
    <row r="181" spans="1:7" x14ac:dyDescent="0.25">
      <c r="A181" s="1" t="s">
        <v>305</v>
      </c>
      <c r="B181" s="76">
        <v>28.166937000000001</v>
      </c>
      <c r="C181" s="76">
        <v>28.258386999999999</v>
      </c>
      <c r="D181" s="76">
        <v>28.075484999999901</v>
      </c>
      <c r="E181" s="76">
        <v>28.258386999999999</v>
      </c>
      <c r="F181" s="76">
        <v>13.131464999999899</v>
      </c>
      <c r="G181" s="79">
        <v>1064400</v>
      </c>
    </row>
    <row r="182" spans="1:7" x14ac:dyDescent="0.25">
      <c r="A182" s="1" t="s">
        <v>306</v>
      </c>
      <c r="B182" s="76">
        <v>28.258386999999999</v>
      </c>
      <c r="C182" s="76">
        <v>28.304113000000001</v>
      </c>
      <c r="D182" s="76">
        <v>27.526778999999902</v>
      </c>
      <c r="E182" s="76">
        <v>27.572503999999999</v>
      </c>
      <c r="F182" s="76">
        <v>12.812746000000001</v>
      </c>
      <c r="G182" s="79">
        <v>1256300</v>
      </c>
    </row>
    <row r="183" spans="1:7" x14ac:dyDescent="0.25">
      <c r="A183" s="1" t="s">
        <v>307</v>
      </c>
      <c r="B183" s="76">
        <v>27.663955999999999</v>
      </c>
      <c r="C183" s="76">
        <v>27.846857</v>
      </c>
      <c r="D183" s="76">
        <v>27.481051999999998</v>
      </c>
      <c r="E183" s="76">
        <v>27.663955999999999</v>
      </c>
      <c r="F183" s="76">
        <v>12.855240999999999</v>
      </c>
      <c r="G183" s="79">
        <v>155500</v>
      </c>
    </row>
    <row r="184" spans="1:7" x14ac:dyDescent="0.25">
      <c r="A184" s="1" t="s">
        <v>308</v>
      </c>
      <c r="B184" s="76">
        <v>27.663955999999999</v>
      </c>
      <c r="C184" s="76">
        <v>27.755405</v>
      </c>
      <c r="D184" s="76">
        <v>27.435327999999998</v>
      </c>
      <c r="E184" s="76">
        <v>27.663955999999999</v>
      </c>
      <c r="F184" s="76">
        <v>12.855240999999999</v>
      </c>
      <c r="G184" s="79">
        <v>53700</v>
      </c>
    </row>
    <row r="185" spans="1:7" x14ac:dyDescent="0.25">
      <c r="A185" s="1" t="s">
        <v>309</v>
      </c>
      <c r="B185" s="76">
        <v>27.755405</v>
      </c>
      <c r="C185" s="76">
        <v>27.801131999999999</v>
      </c>
      <c r="D185" s="76">
        <v>27.298151000000001</v>
      </c>
      <c r="E185" s="76">
        <v>27.481051999999998</v>
      </c>
      <c r="F185" s="76">
        <v>12.770242999999899</v>
      </c>
      <c r="G185" s="79">
        <v>116600</v>
      </c>
    </row>
    <row r="186" spans="1:7" x14ac:dyDescent="0.25">
      <c r="A186" s="1" t="s">
        <v>310</v>
      </c>
      <c r="B186" s="76">
        <v>27.572503999999999</v>
      </c>
      <c r="C186" s="76">
        <v>27.892582000000001</v>
      </c>
      <c r="D186" s="76">
        <v>27.115247999999902</v>
      </c>
      <c r="E186" s="76">
        <v>27.846857</v>
      </c>
      <c r="F186" s="76">
        <v>12.940234</v>
      </c>
      <c r="G186" s="79">
        <v>379600</v>
      </c>
    </row>
    <row r="187" spans="1:7" x14ac:dyDescent="0.25">
      <c r="A187" s="1" t="s">
        <v>311</v>
      </c>
      <c r="B187" s="76">
        <v>27.801131999999999</v>
      </c>
      <c r="C187" s="76">
        <v>27.801131999999999</v>
      </c>
      <c r="D187" s="76">
        <v>27.023797999999999</v>
      </c>
      <c r="E187" s="76">
        <v>27.343876000000002</v>
      </c>
      <c r="F187" s="76">
        <v>12.706500999999999</v>
      </c>
      <c r="G187" s="79">
        <v>364700</v>
      </c>
    </row>
    <row r="188" spans="1:7" x14ac:dyDescent="0.25">
      <c r="A188" s="1" t="s">
        <v>312</v>
      </c>
      <c r="B188" s="76">
        <v>27.252426</v>
      </c>
      <c r="C188" s="76">
        <v>27.343876000000002</v>
      </c>
      <c r="D188" s="76">
        <v>27.023797999999999</v>
      </c>
      <c r="E188" s="76">
        <v>27.160975000000001</v>
      </c>
      <c r="F188" s="76">
        <v>12.621513999999999</v>
      </c>
      <c r="G188" s="79">
        <v>269800</v>
      </c>
    </row>
    <row r="189" spans="1:7" x14ac:dyDescent="0.25">
      <c r="A189" s="1" t="s">
        <v>313</v>
      </c>
      <c r="B189" s="76">
        <v>27.206699</v>
      </c>
      <c r="C189" s="76">
        <v>27.846857</v>
      </c>
      <c r="D189" s="76">
        <v>27.160975000000001</v>
      </c>
      <c r="E189" s="76">
        <v>27.778233</v>
      </c>
      <c r="F189" s="76">
        <v>12.9083399999999</v>
      </c>
      <c r="G189" s="79">
        <v>320800</v>
      </c>
    </row>
    <row r="190" spans="1:7" x14ac:dyDescent="0.25">
      <c r="A190" s="1" t="s">
        <v>314</v>
      </c>
      <c r="B190" s="76">
        <v>27.801131999999999</v>
      </c>
      <c r="C190" s="76">
        <v>28.212661999999899</v>
      </c>
      <c r="D190" s="76">
        <v>27.618228999999999</v>
      </c>
      <c r="E190" s="76">
        <v>27.618228999999999</v>
      </c>
      <c r="F190" s="76">
        <v>12.833993</v>
      </c>
      <c r="G190" s="79">
        <v>129100</v>
      </c>
    </row>
    <row r="191" spans="1:7" x14ac:dyDescent="0.25">
      <c r="A191" s="1" t="s">
        <v>315</v>
      </c>
      <c r="B191" s="76">
        <v>27.618228999999999</v>
      </c>
      <c r="C191" s="76">
        <v>27.618228999999999</v>
      </c>
      <c r="D191" s="76">
        <v>26.703717999999999</v>
      </c>
      <c r="E191" s="76">
        <v>27.160975000000001</v>
      </c>
      <c r="F191" s="76">
        <v>12.621513999999999</v>
      </c>
      <c r="G191" s="79">
        <v>2353100</v>
      </c>
    </row>
    <row r="192" spans="1:7" x14ac:dyDescent="0.25">
      <c r="A192" s="1" t="s">
        <v>316</v>
      </c>
      <c r="B192" s="76">
        <v>27.115247999999902</v>
      </c>
      <c r="C192" s="76">
        <v>27.160975000000001</v>
      </c>
      <c r="D192" s="76">
        <v>25.972110999999899</v>
      </c>
      <c r="E192" s="76">
        <v>25.972110999999899</v>
      </c>
      <c r="F192" s="76">
        <v>12.069057000000001</v>
      </c>
      <c r="G192" s="79">
        <v>310500</v>
      </c>
    </row>
    <row r="193" spans="1:7" x14ac:dyDescent="0.25">
      <c r="A193" s="1" t="s">
        <v>317</v>
      </c>
      <c r="B193" s="76">
        <v>26.155011999999999</v>
      </c>
      <c r="C193" s="76">
        <v>26.429365000000001</v>
      </c>
      <c r="D193" s="76">
        <v>25.789207000000001</v>
      </c>
      <c r="E193" s="76">
        <v>25.834934000000001</v>
      </c>
      <c r="F193" s="76">
        <v>12.005312</v>
      </c>
      <c r="G193" s="79">
        <v>444200</v>
      </c>
    </row>
    <row r="194" spans="1:7" x14ac:dyDescent="0.25">
      <c r="A194" s="1" t="s">
        <v>318</v>
      </c>
      <c r="B194" s="76">
        <v>25.834934000000001</v>
      </c>
      <c r="C194" s="76">
        <v>25.834934000000001</v>
      </c>
      <c r="D194" s="76">
        <v>25.331952999999999</v>
      </c>
      <c r="E194" s="76">
        <v>25.331952999999999</v>
      </c>
      <c r="F194" s="76">
        <v>11.771578999999999</v>
      </c>
      <c r="G194" s="79">
        <v>677900</v>
      </c>
    </row>
    <row r="195" spans="1:7" x14ac:dyDescent="0.25">
      <c r="A195" s="1" t="s">
        <v>319</v>
      </c>
      <c r="B195" s="76">
        <v>25.697755999999998</v>
      </c>
      <c r="C195" s="76">
        <v>25.697755999999998</v>
      </c>
      <c r="D195" s="76">
        <v>24.508891999999999</v>
      </c>
      <c r="E195" s="76">
        <v>24.73752</v>
      </c>
      <c r="F195" s="76">
        <v>11.495348</v>
      </c>
      <c r="G195" s="79">
        <v>2923900</v>
      </c>
    </row>
    <row r="196" spans="1:7" x14ac:dyDescent="0.25">
      <c r="A196" s="1" t="s">
        <v>320</v>
      </c>
      <c r="B196" s="76">
        <v>25.240500999999998</v>
      </c>
      <c r="C196" s="76">
        <v>25.789207000000001</v>
      </c>
      <c r="D196" s="76">
        <v>25.240500999999998</v>
      </c>
      <c r="E196" s="76">
        <v>25.560579000000001</v>
      </c>
      <c r="F196" s="76">
        <v>11.877810999999999</v>
      </c>
      <c r="G196" s="79">
        <v>1002500</v>
      </c>
    </row>
    <row r="197" spans="1:7" x14ac:dyDescent="0.25">
      <c r="A197" s="1" t="s">
        <v>321</v>
      </c>
      <c r="B197" s="76">
        <v>25.514854</v>
      </c>
      <c r="C197" s="76">
        <v>25.834934000000001</v>
      </c>
      <c r="D197" s="76">
        <v>25.423403</v>
      </c>
      <c r="E197" s="76">
        <v>25.743482999999902</v>
      </c>
      <c r="F197" s="76">
        <v>11.962811</v>
      </c>
      <c r="G197" s="79">
        <v>346900</v>
      </c>
    </row>
    <row r="198" spans="1:7" x14ac:dyDescent="0.25">
      <c r="A198" s="1" t="s">
        <v>322</v>
      </c>
      <c r="B198" s="76">
        <v>25.880659000000001</v>
      </c>
      <c r="C198" s="76">
        <v>25.880659000000001</v>
      </c>
      <c r="D198" s="76">
        <v>25.331952999999999</v>
      </c>
      <c r="E198" s="76">
        <v>25.377678</v>
      </c>
      <c r="F198" s="76">
        <v>11.792823</v>
      </c>
      <c r="G198" s="79">
        <v>74700</v>
      </c>
    </row>
    <row r="199" spans="1:7" x14ac:dyDescent="0.25">
      <c r="A199" s="1" t="s">
        <v>323</v>
      </c>
      <c r="B199" s="76">
        <v>25.46913</v>
      </c>
      <c r="C199" s="76">
        <v>25.697755999999998</v>
      </c>
      <c r="D199" s="76">
        <v>25.149049999999999</v>
      </c>
      <c r="E199" s="76">
        <v>25.194776999999998</v>
      </c>
      <c r="F199" s="76">
        <v>11.707831000000001</v>
      </c>
      <c r="G199" s="79">
        <v>333000</v>
      </c>
    </row>
    <row r="200" spans="1:7" x14ac:dyDescent="0.25">
      <c r="A200" s="1" t="s">
        <v>125</v>
      </c>
      <c r="B200" s="76">
        <v>25.240500999999998</v>
      </c>
      <c r="C200" s="76">
        <v>25.972110999999899</v>
      </c>
      <c r="D200" s="76">
        <v>24.874697000000001</v>
      </c>
      <c r="E200" s="76">
        <v>25.149049999999999</v>
      </c>
      <c r="F200" s="76">
        <v>11.686575999999899</v>
      </c>
      <c r="G200" s="79">
        <v>543400</v>
      </c>
    </row>
    <row r="201" spans="1:7" x14ac:dyDescent="0.25">
      <c r="A201" s="1" t="s">
        <v>324</v>
      </c>
      <c r="B201" s="76">
        <v>25.331952999999999</v>
      </c>
      <c r="C201" s="76">
        <v>25.423403</v>
      </c>
      <c r="D201" s="76">
        <v>24.966148</v>
      </c>
      <c r="E201" s="76">
        <v>25.149049999999999</v>
      </c>
      <c r="F201" s="76">
        <v>11.686575999999899</v>
      </c>
      <c r="G201" s="79">
        <v>213400</v>
      </c>
    </row>
    <row r="202" spans="1:7" x14ac:dyDescent="0.25">
      <c r="A202" s="1" t="s">
        <v>325</v>
      </c>
      <c r="B202" s="76">
        <v>25.331952999999999</v>
      </c>
      <c r="C202" s="76">
        <v>25.606306</v>
      </c>
      <c r="D202" s="76">
        <v>25.240500999999998</v>
      </c>
      <c r="E202" s="76">
        <v>25.331952999999999</v>
      </c>
      <c r="F202" s="76">
        <v>11.771578999999999</v>
      </c>
      <c r="G202" s="79">
        <v>244600</v>
      </c>
    </row>
    <row r="203" spans="1:7" x14ac:dyDescent="0.25">
      <c r="A203" s="1" t="s">
        <v>326</v>
      </c>
      <c r="B203" s="76">
        <v>25.286225999999999</v>
      </c>
      <c r="C203" s="76">
        <v>25.743482999999902</v>
      </c>
      <c r="D203" s="76">
        <v>25.286225999999999</v>
      </c>
      <c r="E203" s="76">
        <v>25.606306</v>
      </c>
      <c r="F203" s="76">
        <v>11.899067000000001</v>
      </c>
      <c r="G203" s="79">
        <v>284800</v>
      </c>
    </row>
    <row r="204" spans="1:7" x14ac:dyDescent="0.25">
      <c r="A204" s="1" t="s">
        <v>327</v>
      </c>
      <c r="B204" s="76">
        <v>25.46913</v>
      </c>
      <c r="C204" s="76">
        <v>25.743482999999902</v>
      </c>
      <c r="D204" s="76">
        <v>25.46913</v>
      </c>
      <c r="E204" s="76">
        <v>25.652031000000001</v>
      </c>
      <c r="F204" s="76">
        <v>11.920314999999899</v>
      </c>
      <c r="G204" s="79">
        <v>272300</v>
      </c>
    </row>
    <row r="205" spans="1:7" x14ac:dyDescent="0.25">
      <c r="A205" s="1" t="s">
        <v>328</v>
      </c>
      <c r="B205" s="76">
        <v>25.652031000000001</v>
      </c>
      <c r="C205" s="76">
        <v>25.880659000000001</v>
      </c>
      <c r="D205" s="76">
        <v>25.331952999999999</v>
      </c>
      <c r="E205" s="76">
        <v>25.46913</v>
      </c>
      <c r="F205" s="76">
        <v>11.835319999999999</v>
      </c>
      <c r="G205" s="79">
        <v>193000</v>
      </c>
    </row>
    <row r="206" spans="1:7" x14ac:dyDescent="0.25">
      <c r="A206" s="1" t="s">
        <v>329</v>
      </c>
      <c r="B206" s="76">
        <v>25.377678</v>
      </c>
      <c r="C206" s="76">
        <v>25.652031000000001</v>
      </c>
      <c r="D206" s="76">
        <v>25.011873000000001</v>
      </c>
      <c r="E206" s="76">
        <v>25.194776999999998</v>
      </c>
      <c r="F206" s="76">
        <v>11.707831000000001</v>
      </c>
      <c r="G206" s="79">
        <v>171900</v>
      </c>
    </row>
    <row r="207" spans="1:7" x14ac:dyDescent="0.25">
      <c r="A207" s="1" t="s">
        <v>330</v>
      </c>
      <c r="B207" s="76">
        <v>25.377678</v>
      </c>
      <c r="C207" s="76">
        <v>25.606306</v>
      </c>
      <c r="D207" s="76">
        <v>25.057597999999999</v>
      </c>
      <c r="E207" s="76">
        <v>25.286225999999999</v>
      </c>
      <c r="F207" s="76">
        <v>11.750327</v>
      </c>
      <c r="G207" s="79">
        <v>96900</v>
      </c>
    </row>
    <row r="208" spans="1:7" x14ac:dyDescent="0.25">
      <c r="A208" s="1" t="s">
        <v>331</v>
      </c>
      <c r="B208" s="76">
        <v>25.194776999999998</v>
      </c>
      <c r="C208" s="76">
        <v>25.240500999999998</v>
      </c>
      <c r="D208" s="76">
        <v>24.508891999999999</v>
      </c>
      <c r="E208" s="76">
        <v>24.966148</v>
      </c>
      <c r="F208" s="76">
        <v>11.601585999999999</v>
      </c>
      <c r="G208" s="79">
        <v>277100</v>
      </c>
    </row>
    <row r="209" spans="1:7" x14ac:dyDescent="0.25">
      <c r="A209" s="1" t="s">
        <v>332</v>
      </c>
      <c r="B209" s="76">
        <v>24.920421999999999</v>
      </c>
      <c r="C209" s="76">
        <v>24.920421999999999</v>
      </c>
      <c r="D209" s="76">
        <v>24.325990999999998</v>
      </c>
      <c r="E209" s="76">
        <v>24.417442000000001</v>
      </c>
      <c r="F209" s="76">
        <v>11.346610999999999</v>
      </c>
      <c r="G209" s="79">
        <v>214600</v>
      </c>
    </row>
    <row r="210" spans="1:7" x14ac:dyDescent="0.25">
      <c r="A210" s="1" t="s">
        <v>333</v>
      </c>
      <c r="B210" s="76">
        <v>24.280263999999999</v>
      </c>
      <c r="C210" s="76">
        <v>24.783245000000001</v>
      </c>
      <c r="D210" s="76">
        <v>24.188814000000001</v>
      </c>
      <c r="E210" s="76">
        <v>24.646069000000001</v>
      </c>
      <c r="F210" s="76">
        <v>11.452852999999999</v>
      </c>
      <c r="G210" s="79">
        <v>181700</v>
      </c>
    </row>
    <row r="211" spans="1:7" x14ac:dyDescent="0.25">
      <c r="A211" s="1" t="s">
        <v>334</v>
      </c>
      <c r="B211" s="76">
        <v>24.554618999999999</v>
      </c>
      <c r="C211" s="76">
        <v>25.103325000000002</v>
      </c>
      <c r="D211" s="76">
        <v>24.554618999999999</v>
      </c>
      <c r="E211" s="76">
        <v>25.011873000000001</v>
      </c>
      <c r="F211" s="76">
        <v>11.622838</v>
      </c>
      <c r="G211" s="79">
        <v>263200</v>
      </c>
    </row>
    <row r="212" spans="1:7" x14ac:dyDescent="0.25">
      <c r="A212" s="1" t="s">
        <v>335</v>
      </c>
      <c r="B212" s="76">
        <v>25.149049999999999</v>
      </c>
      <c r="C212" s="76">
        <v>25.286225999999999</v>
      </c>
      <c r="D212" s="76">
        <v>24.966148</v>
      </c>
      <c r="E212" s="76">
        <v>25.149049999999999</v>
      </c>
      <c r="F212" s="76">
        <v>11.686575999999899</v>
      </c>
      <c r="G212" s="79">
        <v>271900</v>
      </c>
    </row>
    <row r="213" spans="1:7" x14ac:dyDescent="0.25">
      <c r="A213" s="1" t="s">
        <v>336</v>
      </c>
      <c r="B213" s="76">
        <v>25.149049999999999</v>
      </c>
      <c r="C213" s="76">
        <v>25.652031000000001</v>
      </c>
      <c r="D213" s="76">
        <v>25.149049999999999</v>
      </c>
      <c r="E213" s="76">
        <v>25.46913</v>
      </c>
      <c r="F213" s="76">
        <v>11.835319999999999</v>
      </c>
      <c r="G213" s="79">
        <v>272800</v>
      </c>
    </row>
    <row r="214" spans="1:7" x14ac:dyDescent="0.25">
      <c r="A214" s="1" t="s">
        <v>337</v>
      </c>
      <c r="B214" s="76">
        <v>25.423403</v>
      </c>
      <c r="C214" s="76">
        <v>25.880659000000001</v>
      </c>
      <c r="D214" s="76">
        <v>25.377678</v>
      </c>
      <c r="E214" s="76">
        <v>25.834934000000001</v>
      </c>
      <c r="F214" s="76">
        <v>12.005312</v>
      </c>
      <c r="G214" s="79">
        <v>1037000</v>
      </c>
    </row>
    <row r="215" spans="1:7" x14ac:dyDescent="0.25">
      <c r="A215" s="1" t="s">
        <v>338</v>
      </c>
      <c r="B215" s="76">
        <v>25.514854</v>
      </c>
      <c r="C215" s="76">
        <v>25.834934000000001</v>
      </c>
      <c r="D215" s="76">
        <v>25.46913</v>
      </c>
      <c r="E215" s="76">
        <v>25.606306</v>
      </c>
      <c r="F215" s="76">
        <v>12.080378999999899</v>
      </c>
      <c r="G215" s="79">
        <v>171000</v>
      </c>
    </row>
    <row r="216" spans="1:7" x14ac:dyDescent="0.25">
      <c r="A216" s="1" t="s">
        <v>339</v>
      </c>
      <c r="B216" s="76">
        <v>25.331952999999999</v>
      </c>
      <c r="C216" s="76">
        <v>25.560579000000001</v>
      </c>
      <c r="D216" s="76">
        <v>25.331952999999999</v>
      </c>
      <c r="E216" s="76">
        <v>25.46913</v>
      </c>
      <c r="F216" s="76">
        <v>12.015661999999899</v>
      </c>
      <c r="G216" s="79">
        <v>108900</v>
      </c>
    </row>
    <row r="217" spans="1:7" x14ac:dyDescent="0.25">
      <c r="A217" s="1" t="s">
        <v>340</v>
      </c>
      <c r="B217" s="76">
        <v>25.377678</v>
      </c>
      <c r="C217" s="76">
        <v>25.606306</v>
      </c>
      <c r="D217" s="76">
        <v>25.377678</v>
      </c>
      <c r="E217" s="76">
        <v>25.514854</v>
      </c>
      <c r="F217" s="76">
        <v>12.037236</v>
      </c>
      <c r="G217" s="79">
        <v>118800</v>
      </c>
    </row>
    <row r="218" spans="1:7" x14ac:dyDescent="0.25">
      <c r="A218" s="1" t="s">
        <v>341</v>
      </c>
      <c r="B218" s="76">
        <v>25.606306</v>
      </c>
      <c r="C218" s="76">
        <v>25.606306</v>
      </c>
      <c r="D218" s="76">
        <v>25.331952999999999</v>
      </c>
      <c r="E218" s="76">
        <v>25.514854</v>
      </c>
      <c r="F218" s="76">
        <v>12.037236</v>
      </c>
      <c r="G218" s="79">
        <v>121200</v>
      </c>
    </row>
    <row r="219" spans="1:7" x14ac:dyDescent="0.25">
      <c r="A219" s="1" t="s">
        <v>342</v>
      </c>
      <c r="B219" s="76">
        <v>25.46913</v>
      </c>
      <c r="C219" s="76">
        <v>25.789207000000001</v>
      </c>
      <c r="D219" s="76">
        <v>25.46913</v>
      </c>
      <c r="E219" s="76">
        <v>25.652031000000001</v>
      </c>
      <c r="F219" s="76">
        <v>12.101951</v>
      </c>
      <c r="G219" s="79">
        <v>120500</v>
      </c>
    </row>
    <row r="220" spans="1:7" x14ac:dyDescent="0.25">
      <c r="A220" s="1" t="s">
        <v>343</v>
      </c>
      <c r="B220" s="76">
        <v>25.697755999999998</v>
      </c>
      <c r="C220" s="76">
        <v>25.697755999999998</v>
      </c>
      <c r="D220" s="76">
        <v>25.606306</v>
      </c>
      <c r="E220" s="76">
        <v>25.606306</v>
      </c>
      <c r="F220" s="76">
        <v>12.080378999999899</v>
      </c>
      <c r="G220" s="79">
        <v>203200</v>
      </c>
    </row>
    <row r="221" spans="1:7" x14ac:dyDescent="0.25">
      <c r="A221" s="1" t="s">
        <v>344</v>
      </c>
      <c r="B221" s="76">
        <v>25.697755999999998</v>
      </c>
      <c r="C221" s="76">
        <v>25.789207000000001</v>
      </c>
      <c r="D221" s="76">
        <v>25.606306</v>
      </c>
      <c r="E221" s="76">
        <v>25.606306</v>
      </c>
      <c r="F221" s="76">
        <v>12.080378999999899</v>
      </c>
      <c r="G221" s="79">
        <v>166100</v>
      </c>
    </row>
    <row r="222" spans="1:7" x14ac:dyDescent="0.25">
      <c r="A222" s="1" t="s">
        <v>345</v>
      </c>
      <c r="B222" s="76">
        <v>25.606306</v>
      </c>
      <c r="C222" s="76">
        <v>25.697755999999998</v>
      </c>
      <c r="D222" s="76">
        <v>25.606306</v>
      </c>
      <c r="E222" s="76">
        <v>25.697755999999998</v>
      </c>
      <c r="F222" s="76">
        <v>12.123525000000001</v>
      </c>
      <c r="G222" s="79">
        <v>137400</v>
      </c>
    </row>
    <row r="223" spans="1:7" x14ac:dyDescent="0.25">
      <c r="A223" s="1" t="s">
        <v>346</v>
      </c>
      <c r="B223" s="76">
        <v>25.652031000000001</v>
      </c>
      <c r="C223" s="76">
        <v>25.697755999999998</v>
      </c>
      <c r="D223" s="76">
        <v>25.606306</v>
      </c>
      <c r="E223" s="76">
        <v>25.697755999999998</v>
      </c>
      <c r="F223" s="76">
        <v>12.123525000000001</v>
      </c>
      <c r="G223" s="79">
        <v>82500</v>
      </c>
    </row>
    <row r="224" spans="1:7" x14ac:dyDescent="0.25">
      <c r="A224" s="1" t="s">
        <v>347</v>
      </c>
      <c r="B224" s="76">
        <v>25.697755999999998</v>
      </c>
      <c r="C224" s="76">
        <v>25.880659000000001</v>
      </c>
      <c r="D224" s="76">
        <v>25.514854</v>
      </c>
      <c r="E224" s="76">
        <v>25.834934000000001</v>
      </c>
      <c r="F224" s="76">
        <v>12.1882369999999</v>
      </c>
      <c r="G224" s="79">
        <v>200000</v>
      </c>
    </row>
    <row r="225" spans="1:7" x14ac:dyDescent="0.25">
      <c r="A225" s="1" t="s">
        <v>348</v>
      </c>
      <c r="B225" s="76">
        <v>25.880659000000001</v>
      </c>
      <c r="C225" s="76">
        <v>26.063559999999999</v>
      </c>
      <c r="D225" s="76">
        <v>25.789207000000001</v>
      </c>
      <c r="E225" s="76">
        <v>25.834934000000001</v>
      </c>
      <c r="F225" s="76">
        <v>12.1882369999999</v>
      </c>
      <c r="G225" s="79">
        <v>81900</v>
      </c>
    </row>
    <row r="226" spans="1:7" x14ac:dyDescent="0.25">
      <c r="A226" s="1" t="s">
        <v>349</v>
      </c>
      <c r="B226" s="76">
        <v>25.789207000000001</v>
      </c>
      <c r="C226" s="76">
        <v>25.972110999999899</v>
      </c>
      <c r="D226" s="76">
        <v>25.789207000000001</v>
      </c>
      <c r="E226" s="76">
        <v>25.834934000000001</v>
      </c>
      <c r="F226" s="76">
        <v>12.1882369999999</v>
      </c>
      <c r="G226" s="79">
        <v>68800</v>
      </c>
    </row>
    <row r="227" spans="1:7" x14ac:dyDescent="0.25">
      <c r="A227" s="1" t="s">
        <v>350</v>
      </c>
      <c r="B227" s="76">
        <v>25.743482999999902</v>
      </c>
      <c r="C227" s="76">
        <v>26.200737</v>
      </c>
      <c r="D227" s="76">
        <v>25.743482999999902</v>
      </c>
      <c r="E227" s="76">
        <v>26.200737</v>
      </c>
      <c r="F227" s="76">
        <v>12.360814999999899</v>
      </c>
      <c r="G227" s="79">
        <v>248900</v>
      </c>
    </row>
    <row r="228" spans="1:7" x14ac:dyDescent="0.25">
      <c r="A228" s="1" t="s">
        <v>351</v>
      </c>
      <c r="B228" s="76">
        <v>26.109286999999998</v>
      </c>
      <c r="C228" s="76">
        <v>26.246464</v>
      </c>
      <c r="D228" s="76">
        <v>26.109286999999998</v>
      </c>
      <c r="E228" s="76">
        <v>26.155011999999999</v>
      </c>
      <c r="F228" s="76">
        <v>12.339245</v>
      </c>
      <c r="G228" s="79">
        <v>62300</v>
      </c>
    </row>
    <row r="229" spans="1:7" x14ac:dyDescent="0.25">
      <c r="A229" s="1" t="s">
        <v>352</v>
      </c>
      <c r="B229" s="76">
        <v>26.200737</v>
      </c>
      <c r="C229" s="76">
        <v>26.200737</v>
      </c>
      <c r="D229" s="76">
        <v>26.063559999999999</v>
      </c>
      <c r="E229" s="76">
        <v>26.155011999999999</v>
      </c>
      <c r="F229" s="76">
        <v>12.339245</v>
      </c>
      <c r="G229" s="79">
        <v>104400</v>
      </c>
    </row>
    <row r="230" spans="1:7" x14ac:dyDescent="0.25">
      <c r="A230" s="1" t="s">
        <v>353</v>
      </c>
      <c r="B230" s="76">
        <v>26.292189</v>
      </c>
      <c r="C230" s="76">
        <v>26.38364</v>
      </c>
      <c r="D230" s="76">
        <v>26.155011999999999</v>
      </c>
      <c r="E230" s="76">
        <v>26.155011999999999</v>
      </c>
      <c r="F230" s="76">
        <v>12.339245</v>
      </c>
      <c r="G230" s="79">
        <v>36500</v>
      </c>
    </row>
    <row r="231" spans="1:7" x14ac:dyDescent="0.25">
      <c r="A231" s="1" t="s">
        <v>354</v>
      </c>
      <c r="B231" s="76">
        <v>26.292189</v>
      </c>
      <c r="C231" s="76">
        <v>26.475090000000002</v>
      </c>
      <c r="D231" s="76">
        <v>26.200737</v>
      </c>
      <c r="E231" s="76">
        <v>26.246464</v>
      </c>
      <c r="F231" s="76">
        <v>12.382389</v>
      </c>
      <c r="G231" s="79">
        <v>70900</v>
      </c>
    </row>
    <row r="232" spans="1:7" x14ac:dyDescent="0.25">
      <c r="A232" s="1" t="s">
        <v>355</v>
      </c>
      <c r="B232" s="76">
        <v>26.292189</v>
      </c>
      <c r="C232" s="76">
        <v>26.520816999999901</v>
      </c>
      <c r="D232" s="76">
        <v>26.200737</v>
      </c>
      <c r="E232" s="76">
        <v>26.429365000000001</v>
      </c>
      <c r="F232" s="76">
        <v>12.4686729999999</v>
      </c>
      <c r="G232" s="79">
        <v>199400</v>
      </c>
    </row>
    <row r="233" spans="1:7" x14ac:dyDescent="0.25">
      <c r="A233" s="1" t="s">
        <v>356</v>
      </c>
      <c r="B233" s="76">
        <v>26.475090000000002</v>
      </c>
      <c r="C233" s="76">
        <v>26.612268</v>
      </c>
      <c r="D233" s="76">
        <v>26.429365000000001</v>
      </c>
      <c r="E233" s="76">
        <v>26.612268</v>
      </c>
      <c r="F233" s="76">
        <v>12.554963000000001</v>
      </c>
      <c r="G233" s="79">
        <v>85200</v>
      </c>
    </row>
    <row r="234" spans="1:7" x14ac:dyDescent="0.25">
      <c r="A234" s="1" t="s">
        <v>357</v>
      </c>
      <c r="B234" s="76">
        <v>26.657992999999902</v>
      </c>
      <c r="C234" s="76">
        <v>27.069522999999901</v>
      </c>
      <c r="D234" s="76">
        <v>26.657992999999902</v>
      </c>
      <c r="E234" s="76">
        <v>27.023797999999999</v>
      </c>
      <c r="F234" s="76">
        <v>12.749108999999899</v>
      </c>
      <c r="G234" s="79">
        <v>208900</v>
      </c>
    </row>
    <row r="235" spans="1:7" x14ac:dyDescent="0.25">
      <c r="A235" s="1" t="s">
        <v>358</v>
      </c>
      <c r="B235" s="76">
        <v>26.932345999999999</v>
      </c>
      <c r="C235" s="76">
        <v>27.252426</v>
      </c>
      <c r="D235" s="76">
        <v>26.932345999999999</v>
      </c>
      <c r="E235" s="76">
        <v>26.978071</v>
      </c>
      <c r="F235" s="76">
        <v>12.727542999999899</v>
      </c>
      <c r="G235" s="79">
        <v>127300</v>
      </c>
    </row>
    <row r="236" spans="1:7" x14ac:dyDescent="0.25">
      <c r="A236" s="1" t="s">
        <v>359</v>
      </c>
      <c r="B236" s="76">
        <v>26.886621000000002</v>
      </c>
      <c r="C236" s="76">
        <v>27.160975000000001</v>
      </c>
      <c r="D236" s="76">
        <v>26.749445000000001</v>
      </c>
      <c r="E236" s="76">
        <v>27.115247999999902</v>
      </c>
      <c r="F236" s="76">
        <v>12.792255000000001</v>
      </c>
      <c r="G236" s="79">
        <v>139800</v>
      </c>
    </row>
    <row r="237" spans="1:7" x14ac:dyDescent="0.25">
      <c r="A237" s="1" t="s">
        <v>360</v>
      </c>
      <c r="B237" s="76">
        <v>27.206699</v>
      </c>
      <c r="C237" s="76">
        <v>27.572503999999999</v>
      </c>
      <c r="D237" s="76">
        <v>27.206699</v>
      </c>
      <c r="E237" s="76">
        <v>27.572503999999999</v>
      </c>
      <c r="F237" s="76">
        <v>13.007977</v>
      </c>
      <c r="G237" s="79">
        <v>320400</v>
      </c>
    </row>
    <row r="238" spans="1:7" x14ac:dyDescent="0.25">
      <c r="A238" s="1" t="s">
        <v>361</v>
      </c>
      <c r="B238" s="76">
        <v>27.481051999999998</v>
      </c>
      <c r="C238" s="76">
        <v>27.801131999999999</v>
      </c>
      <c r="D238" s="76">
        <v>27.389603000000001</v>
      </c>
      <c r="E238" s="76">
        <v>27.755405</v>
      </c>
      <c r="F238" s="76">
        <v>13.094267</v>
      </c>
      <c r="G238" s="79">
        <v>333900</v>
      </c>
    </row>
    <row r="239" spans="1:7" x14ac:dyDescent="0.25">
      <c r="A239" s="1" t="s">
        <v>362</v>
      </c>
      <c r="B239" s="76">
        <v>27.663955999999999</v>
      </c>
      <c r="C239" s="76">
        <v>27.892582000000001</v>
      </c>
      <c r="D239" s="76">
        <v>27.526778999999902</v>
      </c>
      <c r="E239" s="76">
        <v>27.801131999999999</v>
      </c>
      <c r="F239" s="76">
        <v>13.115831999999999</v>
      </c>
      <c r="G239" s="79">
        <v>411300</v>
      </c>
    </row>
    <row r="240" spans="1:7" x14ac:dyDescent="0.25">
      <c r="A240" s="1" t="s">
        <v>363</v>
      </c>
      <c r="B240" s="76">
        <v>27.801131999999999</v>
      </c>
      <c r="C240" s="76">
        <v>27.892582000000001</v>
      </c>
      <c r="D240" s="76">
        <v>27.618228999999999</v>
      </c>
      <c r="E240" s="76">
        <v>27.663955999999999</v>
      </c>
      <c r="F240" s="76">
        <v>13.051121999999999</v>
      </c>
      <c r="G240" s="79">
        <v>212500</v>
      </c>
    </row>
    <row r="241" spans="1:7" x14ac:dyDescent="0.25">
      <c r="A241" s="1" t="s">
        <v>364</v>
      </c>
      <c r="B241" s="76">
        <v>27.801131999999999</v>
      </c>
      <c r="C241" s="76">
        <v>27.801131999999999</v>
      </c>
      <c r="D241" s="76">
        <v>27.435327999999998</v>
      </c>
      <c r="E241" s="76">
        <v>27.755405</v>
      </c>
      <c r="F241" s="76">
        <v>13.094267</v>
      </c>
      <c r="G241" s="79">
        <v>556000</v>
      </c>
    </row>
    <row r="242" spans="1:7" x14ac:dyDescent="0.25">
      <c r="A242" s="1" t="s">
        <v>365</v>
      </c>
      <c r="B242" s="76">
        <v>27.481051999999998</v>
      </c>
      <c r="C242" s="76">
        <v>27.801131999999999</v>
      </c>
      <c r="D242" s="76">
        <v>27.435327999999998</v>
      </c>
      <c r="E242" s="76">
        <v>27.618228999999999</v>
      </c>
      <c r="F242" s="76">
        <v>13.02955</v>
      </c>
      <c r="G242" s="79">
        <v>606500</v>
      </c>
    </row>
    <row r="243" spans="1:7" x14ac:dyDescent="0.25">
      <c r="A243" s="1" t="s">
        <v>366</v>
      </c>
      <c r="B243" s="76">
        <v>27.618228999999999</v>
      </c>
      <c r="C243" s="76">
        <v>27.938309</v>
      </c>
      <c r="D243" s="76">
        <v>27.481051999999998</v>
      </c>
      <c r="E243" s="76">
        <v>27.846857</v>
      </c>
      <c r="F243" s="76">
        <v>13.137409</v>
      </c>
      <c r="G243" s="79">
        <v>225600</v>
      </c>
    </row>
    <row r="244" spans="1:7" x14ac:dyDescent="0.25">
      <c r="A244" s="1" t="s">
        <v>367</v>
      </c>
      <c r="B244" s="76">
        <v>27.709681</v>
      </c>
      <c r="C244" s="76">
        <v>27.755405</v>
      </c>
      <c r="D244" s="76">
        <v>27.526778999999902</v>
      </c>
      <c r="E244" s="76">
        <v>27.709681</v>
      </c>
      <c r="F244" s="76">
        <v>13.072691000000001</v>
      </c>
      <c r="G244" s="79">
        <v>113300</v>
      </c>
    </row>
    <row r="245" spans="1:7" x14ac:dyDescent="0.25">
      <c r="A245" s="1" t="s">
        <v>368</v>
      </c>
      <c r="B245" s="76">
        <v>27.435327999999998</v>
      </c>
      <c r="C245" s="76">
        <v>27.938309</v>
      </c>
      <c r="D245" s="76">
        <v>27.298151000000001</v>
      </c>
      <c r="E245" s="76">
        <v>27.938309</v>
      </c>
      <c r="F245" s="76">
        <v>13.180551999999899</v>
      </c>
      <c r="G245" s="79">
        <v>2413900</v>
      </c>
    </row>
    <row r="246" spans="1:7" x14ac:dyDescent="0.25">
      <c r="A246" s="1" t="s">
        <v>369</v>
      </c>
      <c r="B246" s="76">
        <v>27.801131999999999</v>
      </c>
      <c r="C246" s="76">
        <v>28.441289999999999</v>
      </c>
      <c r="D246" s="76">
        <v>27.618228999999999</v>
      </c>
      <c r="E246" s="76">
        <v>28.304113000000001</v>
      </c>
      <c r="F246" s="76">
        <v>13.353132</v>
      </c>
      <c r="G246" s="79">
        <v>1271400</v>
      </c>
    </row>
    <row r="247" spans="1:7" x14ac:dyDescent="0.25">
      <c r="A247" s="1" t="s">
        <v>370</v>
      </c>
      <c r="B247" s="76">
        <v>28.121209999999898</v>
      </c>
      <c r="C247" s="76">
        <v>28.441289999999999</v>
      </c>
      <c r="D247" s="76">
        <v>28.121209999999898</v>
      </c>
      <c r="E247" s="76">
        <v>28.349837999999998</v>
      </c>
      <c r="F247" s="76">
        <v>13.374703</v>
      </c>
      <c r="G247" s="79">
        <v>97400</v>
      </c>
    </row>
    <row r="248" spans="1:7" x14ac:dyDescent="0.25">
      <c r="A248" s="1" t="s">
        <v>371</v>
      </c>
      <c r="B248" s="76">
        <v>28.349837999999998</v>
      </c>
      <c r="C248" s="76">
        <v>28.349837999999998</v>
      </c>
      <c r="D248" s="76">
        <v>27.984034000000001</v>
      </c>
      <c r="E248" s="76">
        <v>28.258386999999999</v>
      </c>
      <c r="F248" s="76">
        <v>13.33156</v>
      </c>
      <c r="G248" s="79">
        <v>88800</v>
      </c>
    </row>
    <row r="249" spans="1:7" x14ac:dyDescent="0.25">
      <c r="A249" s="1" t="s">
        <v>372</v>
      </c>
      <c r="B249" s="76">
        <v>28.166937000000001</v>
      </c>
      <c r="C249" s="76">
        <v>28.349837999999998</v>
      </c>
      <c r="D249" s="76">
        <v>27.846857</v>
      </c>
      <c r="E249" s="76">
        <v>27.892582000000001</v>
      </c>
      <c r="F249" s="76">
        <v>13.158977999999999</v>
      </c>
      <c r="G249" s="79">
        <v>95700</v>
      </c>
    </row>
    <row r="250" spans="1:7" x14ac:dyDescent="0.25">
      <c r="A250" s="1" t="s">
        <v>373</v>
      </c>
      <c r="B250" s="76">
        <v>27.801131999999999</v>
      </c>
      <c r="C250" s="76">
        <v>27.892582000000001</v>
      </c>
      <c r="D250" s="76">
        <v>27.526778999999902</v>
      </c>
      <c r="E250" s="76">
        <v>27.801131999999999</v>
      </c>
      <c r="F250" s="76">
        <v>13.115831999999999</v>
      </c>
      <c r="G250" s="79">
        <v>139200</v>
      </c>
    </row>
    <row r="251" spans="1:7" x14ac:dyDescent="0.25">
      <c r="A251" s="1" t="s">
        <v>374</v>
      </c>
      <c r="B251" s="76">
        <v>27.709681</v>
      </c>
      <c r="C251" s="76">
        <v>27.801131999999999</v>
      </c>
      <c r="D251" s="76">
        <v>27.709681</v>
      </c>
      <c r="E251" s="76">
        <v>27.801131999999999</v>
      </c>
      <c r="F251" s="76">
        <v>13.115831999999999</v>
      </c>
      <c r="G251" s="79">
        <v>28500</v>
      </c>
    </row>
    <row r="252" spans="1:7" x14ac:dyDescent="0.25">
      <c r="A252" s="1" t="s">
        <v>375</v>
      </c>
      <c r="B252" s="76">
        <v>27.801131999999999</v>
      </c>
      <c r="C252" s="76">
        <v>27.938309</v>
      </c>
      <c r="D252" s="76">
        <v>27.801131999999999</v>
      </c>
      <c r="E252" s="76">
        <v>27.892582000000001</v>
      </c>
      <c r="F252" s="76">
        <v>13.158977999999999</v>
      </c>
      <c r="G252" s="79">
        <v>246400</v>
      </c>
    </row>
    <row r="253" spans="1:7" x14ac:dyDescent="0.25">
      <c r="A253" s="1" t="s">
        <v>376</v>
      </c>
      <c r="B253" s="76">
        <v>27.801131999999999</v>
      </c>
      <c r="C253" s="76">
        <v>28.53274</v>
      </c>
      <c r="D253" s="76">
        <v>27.755405</v>
      </c>
      <c r="E253" s="76">
        <v>28.487015</v>
      </c>
      <c r="F253" s="76">
        <v>13.439416</v>
      </c>
      <c r="G253" s="79">
        <v>212300</v>
      </c>
    </row>
    <row r="254" spans="1:7" x14ac:dyDescent="0.25">
      <c r="A254" s="1" t="s">
        <v>377</v>
      </c>
      <c r="B254" s="76">
        <v>28.395562999999999</v>
      </c>
      <c r="C254" s="76">
        <v>28.395562999999999</v>
      </c>
      <c r="D254" s="76">
        <v>27.984034000000001</v>
      </c>
      <c r="E254" s="76">
        <v>28.0297599999999</v>
      </c>
      <c r="F254" s="76">
        <v>13.223701</v>
      </c>
      <c r="G254" s="79">
        <v>117400</v>
      </c>
    </row>
    <row r="255" spans="1:7" x14ac:dyDescent="0.25">
      <c r="A255" s="1" t="s">
        <v>378</v>
      </c>
      <c r="B255" s="76">
        <v>27.984034000000001</v>
      </c>
      <c r="C255" s="76">
        <v>28.075484999999901</v>
      </c>
      <c r="D255" s="76">
        <v>27.526778999999902</v>
      </c>
      <c r="E255" s="76">
        <v>27.572503999999999</v>
      </c>
      <c r="F255" s="76">
        <v>13.007977</v>
      </c>
      <c r="G255" s="79">
        <v>449000</v>
      </c>
    </row>
    <row r="256" spans="1:7" x14ac:dyDescent="0.25">
      <c r="A256" s="1" t="s">
        <v>379</v>
      </c>
      <c r="B256" s="76">
        <v>27.572503999999999</v>
      </c>
      <c r="C256" s="76">
        <v>27.892582000000001</v>
      </c>
      <c r="D256" s="76">
        <v>27.526778999999902</v>
      </c>
      <c r="E256" s="76">
        <v>27.663955999999999</v>
      </c>
      <c r="F256" s="76">
        <v>13.051121999999999</v>
      </c>
      <c r="G256" s="79">
        <v>272300</v>
      </c>
    </row>
    <row r="257" spans="1:7" x14ac:dyDescent="0.25">
      <c r="A257" s="1" t="s">
        <v>380</v>
      </c>
      <c r="B257" s="76">
        <v>27.663955999999999</v>
      </c>
      <c r="C257" s="76">
        <v>27.709681</v>
      </c>
      <c r="D257" s="76">
        <v>27.435327999999998</v>
      </c>
      <c r="E257" s="76">
        <v>27.572503999999999</v>
      </c>
      <c r="F257" s="76">
        <v>13.007977</v>
      </c>
      <c r="G257" s="79">
        <v>220100</v>
      </c>
    </row>
    <row r="258" spans="1:7" x14ac:dyDescent="0.25">
      <c r="A258" s="1" t="s">
        <v>381</v>
      </c>
      <c r="B258" s="76">
        <v>27.618228999999999</v>
      </c>
      <c r="C258" s="76">
        <v>27.618228999999999</v>
      </c>
      <c r="D258" s="76">
        <v>27.252426</v>
      </c>
      <c r="E258" s="76">
        <v>27.298151000000001</v>
      </c>
      <c r="F258" s="76">
        <v>12.878546</v>
      </c>
      <c r="G258" s="79">
        <v>74500</v>
      </c>
    </row>
    <row r="259" spans="1:7" x14ac:dyDescent="0.25">
      <c r="A259" s="1" t="s">
        <v>382</v>
      </c>
      <c r="B259" s="76">
        <v>27.343876000000002</v>
      </c>
      <c r="C259" s="76">
        <v>27.481051999999998</v>
      </c>
      <c r="D259" s="76">
        <v>27.115247999999902</v>
      </c>
      <c r="E259" s="76">
        <v>27.298151000000001</v>
      </c>
      <c r="F259" s="76">
        <v>12.878546</v>
      </c>
      <c r="G259" s="79">
        <v>159300</v>
      </c>
    </row>
    <row r="260" spans="1:7" x14ac:dyDescent="0.25">
      <c r="A260" s="1" t="s">
        <v>383</v>
      </c>
      <c r="B260" s="76">
        <v>27.115247999999902</v>
      </c>
      <c r="C260" s="76">
        <v>27.343876000000002</v>
      </c>
      <c r="D260" s="76">
        <v>27.069522999999901</v>
      </c>
      <c r="E260" s="76">
        <v>27.115247999999902</v>
      </c>
      <c r="F260" s="76">
        <v>12.792255000000001</v>
      </c>
      <c r="G260" s="79">
        <v>64400</v>
      </c>
    </row>
    <row r="261" spans="1:7" x14ac:dyDescent="0.25">
      <c r="A261" s="1" t="s">
        <v>384</v>
      </c>
      <c r="B261" s="76">
        <v>27.115247999999902</v>
      </c>
      <c r="C261" s="76">
        <v>27.115247999999902</v>
      </c>
      <c r="D261" s="76">
        <v>26.795169999999999</v>
      </c>
      <c r="E261" s="76">
        <v>26.886621000000002</v>
      </c>
      <c r="F261" s="76">
        <v>12.684395</v>
      </c>
      <c r="G261" s="79">
        <v>278700</v>
      </c>
    </row>
    <row r="262" spans="1:7" x14ac:dyDescent="0.25">
      <c r="A262" s="1" t="s">
        <v>385</v>
      </c>
      <c r="B262" s="76">
        <v>26.840895</v>
      </c>
      <c r="C262" s="76">
        <v>26.840895</v>
      </c>
      <c r="D262" s="76">
        <v>26.429365000000001</v>
      </c>
      <c r="E262" s="76">
        <v>26.475090000000002</v>
      </c>
      <c r="F262" s="76">
        <v>12.490246000000001</v>
      </c>
      <c r="G262" s="79">
        <v>269000</v>
      </c>
    </row>
    <row r="263" spans="1:7" x14ac:dyDescent="0.25">
      <c r="A263" s="1" t="s">
        <v>386</v>
      </c>
      <c r="B263" s="76">
        <v>26.292189</v>
      </c>
      <c r="C263" s="76">
        <v>26.520816999999901</v>
      </c>
      <c r="D263" s="76">
        <v>26.246464</v>
      </c>
      <c r="E263" s="76">
        <v>26.246464</v>
      </c>
      <c r="F263" s="76">
        <v>12.382389</v>
      </c>
      <c r="G263" s="79">
        <v>220800</v>
      </c>
    </row>
    <row r="264" spans="1:7" x14ac:dyDescent="0.25">
      <c r="A264" s="1" t="s">
        <v>387</v>
      </c>
      <c r="B264" s="76">
        <v>26.703717999999999</v>
      </c>
      <c r="C264" s="76">
        <v>26.703717999999999</v>
      </c>
      <c r="D264" s="76">
        <v>26.063559999999999</v>
      </c>
      <c r="E264" s="76">
        <v>26.155011999999999</v>
      </c>
      <c r="F264" s="76">
        <v>12.339245</v>
      </c>
      <c r="G264" s="79">
        <v>188400</v>
      </c>
    </row>
    <row r="265" spans="1:7" x14ac:dyDescent="0.25">
      <c r="A265" s="1" t="s">
        <v>388</v>
      </c>
      <c r="B265" s="76">
        <v>26.155011999999999</v>
      </c>
      <c r="C265" s="76">
        <v>26.155011999999999</v>
      </c>
      <c r="D265" s="76">
        <v>25.834934000000001</v>
      </c>
      <c r="E265" s="76">
        <v>25.926383999999999</v>
      </c>
      <c r="F265" s="76">
        <v>12.231382</v>
      </c>
      <c r="G265" s="79">
        <v>284500</v>
      </c>
    </row>
    <row r="266" spans="1:7" x14ac:dyDescent="0.25">
      <c r="A266" s="1" t="s">
        <v>389</v>
      </c>
      <c r="B266" s="76">
        <v>26.109286999999998</v>
      </c>
      <c r="C266" s="76">
        <v>26.475090000000002</v>
      </c>
      <c r="D266" s="76">
        <v>25.743482999999902</v>
      </c>
      <c r="E266" s="76">
        <v>26.475090000000002</v>
      </c>
      <c r="F266" s="76">
        <v>12.490246000000001</v>
      </c>
      <c r="G266" s="79">
        <v>609600</v>
      </c>
    </row>
    <row r="267" spans="1:7" x14ac:dyDescent="0.25">
      <c r="A267" s="1" t="s">
        <v>390</v>
      </c>
      <c r="B267" s="76">
        <v>26.38364</v>
      </c>
      <c r="C267" s="76">
        <v>26.703717999999999</v>
      </c>
      <c r="D267" s="76">
        <v>26.337914000000001</v>
      </c>
      <c r="E267" s="76">
        <v>26.429365000000001</v>
      </c>
      <c r="F267" s="76">
        <v>12.4686729999999</v>
      </c>
      <c r="G267" s="79">
        <v>134000</v>
      </c>
    </row>
    <row r="268" spans="1:7" x14ac:dyDescent="0.25">
      <c r="A268" s="1" t="s">
        <v>391</v>
      </c>
      <c r="B268" s="76">
        <v>26.429365000000001</v>
      </c>
      <c r="C268" s="76">
        <v>26.612268</v>
      </c>
      <c r="D268" s="76">
        <v>26.292189</v>
      </c>
      <c r="E268" s="76">
        <v>26.612268</v>
      </c>
      <c r="F268" s="76">
        <v>12.554963000000001</v>
      </c>
      <c r="G268" s="79">
        <v>466300</v>
      </c>
    </row>
    <row r="269" spans="1:7" x14ac:dyDescent="0.25">
      <c r="A269" s="1" t="s">
        <v>392</v>
      </c>
      <c r="B269" s="76">
        <v>26.520816999999901</v>
      </c>
      <c r="C269" s="76">
        <v>26.657992999999902</v>
      </c>
      <c r="D269" s="76">
        <v>26.520816999999901</v>
      </c>
      <c r="E269" s="76">
        <v>26.566541999999998</v>
      </c>
      <c r="F269" s="76">
        <v>12.533395000000001</v>
      </c>
      <c r="G269" s="79">
        <v>139500</v>
      </c>
    </row>
    <row r="270" spans="1:7" x14ac:dyDescent="0.25">
      <c r="A270" s="1" t="s">
        <v>393</v>
      </c>
      <c r="B270" s="76">
        <v>26.566541999999998</v>
      </c>
      <c r="C270" s="76">
        <v>26.566541999999998</v>
      </c>
      <c r="D270" s="76">
        <v>26.337914000000001</v>
      </c>
      <c r="E270" s="76">
        <v>26.520816999999901</v>
      </c>
      <c r="F270" s="76">
        <v>12.51182</v>
      </c>
      <c r="G270" s="79">
        <v>98600</v>
      </c>
    </row>
    <row r="271" spans="1:7" x14ac:dyDescent="0.25">
      <c r="A271" s="1" t="s">
        <v>394</v>
      </c>
      <c r="B271" s="76">
        <v>26.520816999999901</v>
      </c>
      <c r="C271" s="76">
        <v>26.520816999999901</v>
      </c>
      <c r="D271" s="76">
        <v>26.337914000000001</v>
      </c>
      <c r="E271" s="76">
        <v>26.475090000000002</v>
      </c>
      <c r="F271" s="76">
        <v>12.490246000000001</v>
      </c>
      <c r="G271" s="79">
        <v>128300</v>
      </c>
    </row>
    <row r="272" spans="1:7" x14ac:dyDescent="0.25">
      <c r="A272" s="1" t="s">
        <v>395</v>
      </c>
      <c r="B272" s="76">
        <v>26.475090000000002</v>
      </c>
      <c r="C272" s="76">
        <v>26.475090000000002</v>
      </c>
      <c r="D272" s="76">
        <v>26.38364</v>
      </c>
      <c r="E272" s="76">
        <v>26.475090000000002</v>
      </c>
      <c r="F272" s="76">
        <v>12.490246000000001</v>
      </c>
      <c r="G272" s="79">
        <v>222900</v>
      </c>
    </row>
    <row r="273" spans="1:7" x14ac:dyDescent="0.25">
      <c r="A273" s="1" t="s">
        <v>396</v>
      </c>
      <c r="B273" s="76">
        <v>26.476918999999999</v>
      </c>
      <c r="C273" s="76">
        <v>26.557397999999999</v>
      </c>
      <c r="D273" s="76">
        <v>26.418391999999901</v>
      </c>
      <c r="E273" s="76">
        <v>26.557397999999999</v>
      </c>
      <c r="F273" s="76">
        <v>12.52908</v>
      </c>
      <c r="G273" s="79">
        <v>271800</v>
      </c>
    </row>
    <row r="274" spans="1:7" x14ac:dyDescent="0.25">
      <c r="A274" s="1" t="s">
        <v>397</v>
      </c>
      <c r="B274" s="76">
        <v>26.535447999999999</v>
      </c>
      <c r="C274" s="76">
        <v>26.630558000000001</v>
      </c>
      <c r="D274" s="76">
        <v>26.528133</v>
      </c>
      <c r="E274" s="76">
        <v>26.623240999999901</v>
      </c>
      <c r="F274" s="76">
        <v>12.5601419999999</v>
      </c>
      <c r="G274" s="79">
        <v>616800</v>
      </c>
    </row>
    <row r="275" spans="1:7" x14ac:dyDescent="0.25">
      <c r="A275" s="1" t="s">
        <v>398</v>
      </c>
      <c r="B275" s="76">
        <v>26.630558000000001</v>
      </c>
      <c r="C275" s="76">
        <v>26.996362999999999</v>
      </c>
      <c r="D275" s="76">
        <v>26.535447999999999</v>
      </c>
      <c r="E275" s="76">
        <v>26.630558000000001</v>
      </c>
      <c r="F275" s="76">
        <v>12.56359</v>
      </c>
      <c r="G275" s="79">
        <v>277200</v>
      </c>
    </row>
    <row r="276" spans="1:7" x14ac:dyDescent="0.25">
      <c r="A276" s="1" t="s">
        <v>399</v>
      </c>
      <c r="B276" s="76">
        <v>26.250121999999902</v>
      </c>
      <c r="C276" s="76">
        <v>26.557397999999999</v>
      </c>
      <c r="D276" s="76">
        <v>26.250121999999902</v>
      </c>
      <c r="E276" s="76">
        <v>26.520816999999901</v>
      </c>
      <c r="F276" s="76">
        <v>12.696692000000001</v>
      </c>
      <c r="G276" s="79">
        <v>236500</v>
      </c>
    </row>
    <row r="277" spans="1:7" x14ac:dyDescent="0.25">
      <c r="A277" s="1" t="s">
        <v>400</v>
      </c>
      <c r="B277" s="76">
        <v>26.411076000000001</v>
      </c>
      <c r="C277" s="76">
        <v>27.069522999999901</v>
      </c>
      <c r="D277" s="76">
        <v>26.411076000000001</v>
      </c>
      <c r="E277" s="76">
        <v>26.857357</v>
      </c>
      <c r="F277" s="76">
        <v>12.857802</v>
      </c>
      <c r="G277" s="79">
        <v>282700</v>
      </c>
    </row>
    <row r="278" spans="1:7" x14ac:dyDescent="0.25">
      <c r="A278" s="1" t="s">
        <v>401</v>
      </c>
      <c r="B278" s="76">
        <v>26.842724</v>
      </c>
      <c r="C278" s="76">
        <v>26.842724</v>
      </c>
      <c r="D278" s="76">
        <v>26.637875000000001</v>
      </c>
      <c r="E278" s="76">
        <v>26.703717999999999</v>
      </c>
      <c r="F278" s="76">
        <v>12.784250999999999</v>
      </c>
      <c r="G278" s="79">
        <v>341800</v>
      </c>
    </row>
    <row r="279" spans="1:7" x14ac:dyDescent="0.25">
      <c r="A279" s="1" t="s">
        <v>402</v>
      </c>
      <c r="B279" s="76">
        <v>26.703717999999999</v>
      </c>
      <c r="C279" s="76">
        <v>26.703717999999999</v>
      </c>
      <c r="D279" s="76">
        <v>26.418391999999901</v>
      </c>
      <c r="E279" s="76">
        <v>26.572028999999901</v>
      </c>
      <c r="F279" s="76">
        <v>12.721206</v>
      </c>
      <c r="G279" s="79">
        <v>166500</v>
      </c>
    </row>
    <row r="280" spans="1:7" x14ac:dyDescent="0.25">
      <c r="A280" s="1" t="s">
        <v>403</v>
      </c>
      <c r="B280" s="76">
        <v>26.484235999999999</v>
      </c>
      <c r="C280" s="76">
        <v>26.740299</v>
      </c>
      <c r="D280" s="76">
        <v>26.484235999999999</v>
      </c>
      <c r="E280" s="76">
        <v>26.601293999999999</v>
      </c>
      <c r="F280" s="76">
        <v>12.735215999999999</v>
      </c>
      <c r="G280" s="79">
        <v>441600</v>
      </c>
    </row>
    <row r="281" spans="1:7" x14ac:dyDescent="0.25">
      <c r="A281" s="1" t="s">
        <v>404</v>
      </c>
      <c r="B281" s="76">
        <v>26.586659999999998</v>
      </c>
      <c r="C281" s="76">
        <v>26.601293999999999</v>
      </c>
      <c r="D281" s="76">
        <v>26.337914000000001</v>
      </c>
      <c r="E281" s="76">
        <v>26.528133</v>
      </c>
      <c r="F281" s="76">
        <v>12.700188000000001</v>
      </c>
      <c r="G281" s="79">
        <v>97000</v>
      </c>
    </row>
    <row r="282" spans="1:7" x14ac:dyDescent="0.25">
      <c r="A282" s="1" t="s">
        <v>405</v>
      </c>
      <c r="B282" s="76">
        <v>26.557397999999999</v>
      </c>
      <c r="C282" s="76">
        <v>26.623240999999901</v>
      </c>
      <c r="D282" s="76">
        <v>26.345229999999901</v>
      </c>
      <c r="E282" s="76">
        <v>26.411076000000001</v>
      </c>
      <c r="F282" s="76">
        <v>12.644152</v>
      </c>
      <c r="G282" s="79">
        <v>104700</v>
      </c>
    </row>
    <row r="283" spans="1:7" x14ac:dyDescent="0.25">
      <c r="A283" s="1" t="s">
        <v>406</v>
      </c>
      <c r="B283" s="76">
        <v>26.520816999999901</v>
      </c>
      <c r="C283" s="76">
        <v>26.557397999999999</v>
      </c>
      <c r="D283" s="76">
        <v>26.337914000000001</v>
      </c>
      <c r="E283" s="76">
        <v>26.396441999999901</v>
      </c>
      <c r="F283" s="76">
        <v>12.637147000000001</v>
      </c>
      <c r="G283" s="79">
        <v>115700</v>
      </c>
    </row>
    <row r="284" spans="1:7" x14ac:dyDescent="0.25">
      <c r="A284" s="1" t="s">
        <v>407</v>
      </c>
      <c r="B284" s="76">
        <v>26.374495</v>
      </c>
      <c r="C284" s="76">
        <v>26.484235999999999</v>
      </c>
      <c r="D284" s="76">
        <v>26.337914000000001</v>
      </c>
      <c r="E284" s="76">
        <v>26.374495</v>
      </c>
      <c r="F284" s="76">
        <v>12.626638</v>
      </c>
      <c r="G284" s="79">
        <v>271800</v>
      </c>
    </row>
    <row r="285" spans="1:7" x14ac:dyDescent="0.25">
      <c r="A285" s="1" t="s">
        <v>408</v>
      </c>
      <c r="B285" s="76">
        <v>26.374495</v>
      </c>
      <c r="C285" s="76">
        <v>26.454971</v>
      </c>
      <c r="D285" s="76">
        <v>26.337914000000001</v>
      </c>
      <c r="E285" s="76">
        <v>26.425706999999999</v>
      </c>
      <c r="F285" s="76">
        <v>12.651154999999999</v>
      </c>
      <c r="G285" s="79">
        <v>1797100</v>
      </c>
    </row>
    <row r="286" spans="1:7" x14ac:dyDescent="0.25">
      <c r="A286" s="1" t="s">
        <v>409</v>
      </c>
      <c r="B286" s="76">
        <v>26.425706999999999</v>
      </c>
      <c r="C286" s="76">
        <v>26.425706999999999</v>
      </c>
      <c r="D286" s="76">
        <v>26.162329</v>
      </c>
      <c r="E286" s="76">
        <v>26.337914000000001</v>
      </c>
      <c r="F286" s="76">
        <v>12.609125000000001</v>
      </c>
      <c r="G286" s="79">
        <v>922100</v>
      </c>
    </row>
    <row r="287" spans="1:7" x14ac:dyDescent="0.25">
      <c r="A287" s="1" t="s">
        <v>410</v>
      </c>
      <c r="B287" s="76">
        <v>26.411076000000001</v>
      </c>
      <c r="C287" s="76">
        <v>26.557397999999999</v>
      </c>
      <c r="D287" s="76">
        <v>26.294017999999902</v>
      </c>
      <c r="E287" s="76">
        <v>26.337914000000001</v>
      </c>
      <c r="F287" s="76">
        <v>12.609125000000001</v>
      </c>
      <c r="G287" s="79">
        <v>709900</v>
      </c>
    </row>
    <row r="288" spans="1:7" x14ac:dyDescent="0.25">
      <c r="A288" s="1" t="s">
        <v>411</v>
      </c>
      <c r="B288" s="76">
        <v>26.411076000000001</v>
      </c>
      <c r="C288" s="76">
        <v>26.411076000000001</v>
      </c>
      <c r="D288" s="76">
        <v>26.118431000000001</v>
      </c>
      <c r="E288" s="76">
        <v>26.301334000000001</v>
      </c>
      <c r="F288" s="76">
        <v>12.591616</v>
      </c>
      <c r="G288" s="79">
        <v>1575800</v>
      </c>
    </row>
    <row r="289" spans="1:7" x14ac:dyDescent="0.25">
      <c r="A289" s="1" t="s">
        <v>412</v>
      </c>
      <c r="B289" s="76">
        <v>26.228171999999901</v>
      </c>
      <c r="C289" s="76">
        <v>26.301334000000001</v>
      </c>
      <c r="D289" s="76">
        <v>25.716047</v>
      </c>
      <c r="E289" s="76">
        <v>25.986742</v>
      </c>
      <c r="F289" s="76">
        <v>12.441001999999999</v>
      </c>
      <c r="G289" s="79">
        <v>232700</v>
      </c>
    </row>
    <row r="290" spans="1:7" x14ac:dyDescent="0.25">
      <c r="A290" s="1" t="s">
        <v>413</v>
      </c>
      <c r="B290" s="76">
        <v>25.825787999999999</v>
      </c>
      <c r="C290" s="76">
        <v>25.898948999999899</v>
      </c>
      <c r="D290" s="76">
        <v>25.218554000000001</v>
      </c>
      <c r="E290" s="76">
        <v>25.291713999999999</v>
      </c>
      <c r="F290" s="76">
        <v>12.108266</v>
      </c>
      <c r="G290" s="79">
        <v>360500</v>
      </c>
    </row>
    <row r="291" spans="1:7" x14ac:dyDescent="0.25">
      <c r="A291" s="1" t="s">
        <v>414</v>
      </c>
      <c r="B291" s="76">
        <v>25.291713999999999</v>
      </c>
      <c r="C291" s="76">
        <v>26.528133</v>
      </c>
      <c r="D291" s="76">
        <v>25.291713999999999</v>
      </c>
      <c r="E291" s="76">
        <v>25.716047</v>
      </c>
      <c r="F291" s="76">
        <v>12.311413999999999</v>
      </c>
      <c r="G291" s="79">
        <v>1236500</v>
      </c>
    </row>
    <row r="292" spans="1:7" x14ac:dyDescent="0.25">
      <c r="A292" s="1" t="s">
        <v>415</v>
      </c>
      <c r="B292" s="76">
        <v>25.716047</v>
      </c>
      <c r="C292" s="76">
        <v>26.776879999999998</v>
      </c>
      <c r="D292" s="76">
        <v>25.716047</v>
      </c>
      <c r="E292" s="76">
        <v>26.667138999999999</v>
      </c>
      <c r="F292" s="76">
        <v>12.766741</v>
      </c>
      <c r="G292" s="79">
        <v>394400</v>
      </c>
    </row>
    <row r="293" spans="1:7" x14ac:dyDescent="0.25">
      <c r="A293" s="1" t="s">
        <v>416</v>
      </c>
      <c r="B293" s="76">
        <v>26.667138999999999</v>
      </c>
      <c r="C293" s="76">
        <v>27.1719469999999</v>
      </c>
      <c r="D293" s="76">
        <v>26.645188999999998</v>
      </c>
      <c r="E293" s="76">
        <v>27.113420000000001</v>
      </c>
      <c r="F293" s="76">
        <v>12.980389000000001</v>
      </c>
      <c r="G293" s="79">
        <v>1108200</v>
      </c>
    </row>
    <row r="294" spans="1:7" x14ac:dyDescent="0.25">
      <c r="A294" s="1" t="s">
        <v>417</v>
      </c>
      <c r="B294" s="76">
        <v>27.113420000000001</v>
      </c>
      <c r="C294" s="76">
        <v>28.057196000000001</v>
      </c>
      <c r="D294" s="76">
        <v>27.106103999999998</v>
      </c>
      <c r="E294" s="76">
        <v>27.662127000000002</v>
      </c>
      <c r="F294" s="76">
        <v>13.243086999999999</v>
      </c>
      <c r="G294" s="79">
        <v>544500</v>
      </c>
    </row>
    <row r="295" spans="1:7" x14ac:dyDescent="0.25">
      <c r="A295" s="1" t="s">
        <v>418</v>
      </c>
      <c r="B295" s="76">
        <v>27.662127000000002</v>
      </c>
      <c r="C295" s="76">
        <v>27.910872999999999</v>
      </c>
      <c r="D295" s="76">
        <v>27.435327999999998</v>
      </c>
      <c r="E295" s="76">
        <v>27.764551000000001</v>
      </c>
      <c r="F295" s="76">
        <v>13.292119</v>
      </c>
      <c r="G295" s="79">
        <v>246300</v>
      </c>
    </row>
    <row r="296" spans="1:7" x14ac:dyDescent="0.25">
      <c r="A296" s="1" t="s">
        <v>419</v>
      </c>
      <c r="B296" s="76">
        <v>27.910872999999999</v>
      </c>
      <c r="C296" s="76">
        <v>28.679061999999998</v>
      </c>
      <c r="D296" s="76">
        <v>27.910872999999999</v>
      </c>
      <c r="E296" s="76">
        <v>28.203515999999901</v>
      </c>
      <c r="F296" s="76">
        <v>13.502270999999901</v>
      </c>
      <c r="G296" s="79">
        <v>633500</v>
      </c>
    </row>
    <row r="297" spans="1:7" x14ac:dyDescent="0.25">
      <c r="A297" s="1" t="s">
        <v>420</v>
      </c>
      <c r="B297" s="76">
        <v>28.196200999999999</v>
      </c>
      <c r="C297" s="76">
        <v>28.422998</v>
      </c>
      <c r="D297" s="76">
        <v>28.196200999999999</v>
      </c>
      <c r="E297" s="76">
        <v>28.357154999999999</v>
      </c>
      <c r="F297" s="76">
        <v>13.575825</v>
      </c>
      <c r="G297" s="79">
        <v>589900</v>
      </c>
    </row>
    <row r="298" spans="1:7" x14ac:dyDescent="0.25">
      <c r="A298" s="1" t="s">
        <v>421</v>
      </c>
      <c r="B298" s="76">
        <v>28.357154999999999</v>
      </c>
      <c r="C298" s="76">
        <v>28.386419</v>
      </c>
      <c r="D298" s="76">
        <v>28.174251999999999</v>
      </c>
      <c r="E298" s="76">
        <v>28.196200999999999</v>
      </c>
      <c r="F298" s="76">
        <v>13.498775</v>
      </c>
      <c r="G298" s="79">
        <v>275000</v>
      </c>
    </row>
    <row r="299" spans="1:7" x14ac:dyDescent="0.25">
      <c r="A299" s="1" t="s">
        <v>422</v>
      </c>
      <c r="B299" s="76">
        <v>28.196200999999999</v>
      </c>
      <c r="C299" s="76">
        <v>28.196200999999999</v>
      </c>
      <c r="D299" s="76">
        <v>27.727969999999999</v>
      </c>
      <c r="E299" s="76">
        <v>27.801131999999999</v>
      </c>
      <c r="F299" s="76">
        <v>13.3096339999999</v>
      </c>
      <c r="G299" s="79">
        <v>913600</v>
      </c>
    </row>
    <row r="300" spans="1:7" x14ac:dyDescent="0.25">
      <c r="A300" s="1" t="s">
        <v>423</v>
      </c>
      <c r="B300" s="76">
        <v>27.801131999999999</v>
      </c>
      <c r="C300" s="76">
        <v>27.801131999999999</v>
      </c>
      <c r="D300" s="76">
        <v>27.713339000000001</v>
      </c>
      <c r="E300" s="76">
        <v>27.801131999999999</v>
      </c>
      <c r="F300" s="76">
        <v>13.3096339999999</v>
      </c>
      <c r="G300" s="79">
        <v>99500</v>
      </c>
    </row>
    <row r="301" spans="1:7" x14ac:dyDescent="0.25">
      <c r="A301" s="1" t="s">
        <v>424</v>
      </c>
      <c r="B301" s="76">
        <v>27.801131999999999</v>
      </c>
      <c r="C301" s="76">
        <v>27.801131999999999</v>
      </c>
      <c r="D301" s="76">
        <v>27.435327999999998</v>
      </c>
      <c r="E301" s="76">
        <v>27.545069000000002</v>
      </c>
      <c r="F301" s="76">
        <v>13.187039</v>
      </c>
      <c r="G301" s="79">
        <v>220900</v>
      </c>
    </row>
    <row r="302" spans="1:7" x14ac:dyDescent="0.25">
      <c r="A302" s="1" t="s">
        <v>425</v>
      </c>
      <c r="B302" s="76">
        <v>27.588964000000001</v>
      </c>
      <c r="C302" s="76">
        <v>27.618228999999999</v>
      </c>
      <c r="D302" s="76">
        <v>27.215845000000002</v>
      </c>
      <c r="E302" s="76">
        <v>27.369482000000001</v>
      </c>
      <c r="F302" s="76">
        <v>13.102980000000001</v>
      </c>
      <c r="G302" s="79">
        <v>175500</v>
      </c>
    </row>
    <row r="303" spans="1:7" x14ac:dyDescent="0.25">
      <c r="A303" s="1" t="s">
        <v>426</v>
      </c>
      <c r="B303" s="76">
        <v>27.362166999999999</v>
      </c>
      <c r="C303" s="76">
        <v>27.662127000000002</v>
      </c>
      <c r="D303" s="76">
        <v>27.362166999999999</v>
      </c>
      <c r="E303" s="76">
        <v>27.58165</v>
      </c>
      <c r="F303" s="76">
        <v>13.204554999999999</v>
      </c>
      <c r="G303" s="79">
        <v>132900</v>
      </c>
    </row>
    <row r="304" spans="1:7" x14ac:dyDescent="0.25">
      <c r="A304" s="1" t="s">
        <v>427</v>
      </c>
      <c r="B304" s="76">
        <v>27.406063</v>
      </c>
      <c r="C304" s="76">
        <v>27.435327999999998</v>
      </c>
      <c r="D304" s="76">
        <v>27.054891999999999</v>
      </c>
      <c r="E304" s="76">
        <v>27.069522999999901</v>
      </c>
      <c r="F304" s="76">
        <v>12.959379999999999</v>
      </c>
      <c r="G304" s="79">
        <v>284800</v>
      </c>
    </row>
    <row r="305" spans="1:7" x14ac:dyDescent="0.25">
      <c r="A305" s="1" t="s">
        <v>428</v>
      </c>
      <c r="B305" s="76">
        <v>26.740299</v>
      </c>
      <c r="C305" s="76">
        <v>27.054891999999999</v>
      </c>
      <c r="D305" s="76">
        <v>26.484235999999999</v>
      </c>
      <c r="E305" s="76">
        <v>26.740299</v>
      </c>
      <c r="F305" s="76">
        <v>12.801765</v>
      </c>
      <c r="G305" s="79">
        <v>164500</v>
      </c>
    </row>
    <row r="306" spans="1:7" x14ac:dyDescent="0.25">
      <c r="A306" s="1" t="s">
        <v>429</v>
      </c>
      <c r="B306" s="76">
        <v>26.337914000000001</v>
      </c>
      <c r="C306" s="76">
        <v>26.703717999999999</v>
      </c>
      <c r="D306" s="76">
        <v>26.337914000000001</v>
      </c>
      <c r="E306" s="76">
        <v>26.623240999999901</v>
      </c>
      <c r="F306" s="76">
        <v>12.74572</v>
      </c>
      <c r="G306" s="79">
        <v>2934300</v>
      </c>
    </row>
    <row r="307" spans="1:7" x14ac:dyDescent="0.25">
      <c r="A307" s="1" t="s">
        <v>430</v>
      </c>
      <c r="B307" s="76">
        <v>26.630558000000001</v>
      </c>
      <c r="C307" s="76">
        <v>27.208528999999999</v>
      </c>
      <c r="D307" s="76">
        <v>26.593976999999999</v>
      </c>
      <c r="E307" s="76">
        <v>27.106103999999998</v>
      </c>
      <c r="F307" s="76">
        <v>12.976888000000001</v>
      </c>
      <c r="G307" s="79">
        <v>2705900</v>
      </c>
    </row>
    <row r="308" spans="1:7" x14ac:dyDescent="0.25">
      <c r="A308" s="1" t="s">
        <v>431</v>
      </c>
      <c r="B308" s="76">
        <v>27.106103999999998</v>
      </c>
      <c r="C308" s="76">
        <v>27.6913909999999</v>
      </c>
      <c r="D308" s="76">
        <v>27.032941999999998</v>
      </c>
      <c r="E308" s="76">
        <v>27.047574999999998</v>
      </c>
      <c r="F308" s="76">
        <v>12.948871</v>
      </c>
      <c r="G308" s="79">
        <v>153400</v>
      </c>
    </row>
    <row r="309" spans="1:7" x14ac:dyDescent="0.25">
      <c r="A309" s="1" t="s">
        <v>432</v>
      </c>
      <c r="B309" s="76">
        <v>27.054891999999999</v>
      </c>
      <c r="C309" s="76">
        <v>27.215845000000002</v>
      </c>
      <c r="D309" s="76">
        <v>26.337914000000001</v>
      </c>
      <c r="E309" s="76">
        <v>26.389127999999999</v>
      </c>
      <c r="F309" s="76">
        <v>12.633639000000001</v>
      </c>
      <c r="G309" s="79">
        <v>300600</v>
      </c>
    </row>
    <row r="310" spans="1:7" x14ac:dyDescent="0.25">
      <c r="A310" s="1" t="s">
        <v>433</v>
      </c>
      <c r="B310" s="76">
        <v>26.411076000000001</v>
      </c>
      <c r="C310" s="76">
        <v>26.484235999999999</v>
      </c>
      <c r="D310" s="76">
        <v>25.533144</v>
      </c>
      <c r="E310" s="76">
        <v>25.972110999999899</v>
      </c>
      <c r="F310" s="76">
        <v>12.4339979999999</v>
      </c>
      <c r="G310" s="79">
        <v>207600</v>
      </c>
    </row>
    <row r="311" spans="1:7" x14ac:dyDescent="0.25">
      <c r="A311" s="1" t="s">
        <v>434</v>
      </c>
      <c r="B311" s="76">
        <v>25.972110999999899</v>
      </c>
      <c r="C311" s="76">
        <v>26.630558000000001</v>
      </c>
      <c r="D311" s="76">
        <v>25.789207000000001</v>
      </c>
      <c r="E311" s="76">
        <v>25.825787999999999</v>
      </c>
      <c r="F311" s="76">
        <v>12.363944999999999</v>
      </c>
      <c r="G311" s="79">
        <v>278000</v>
      </c>
    </row>
    <row r="312" spans="1:7" x14ac:dyDescent="0.25">
      <c r="A312" s="1" t="s">
        <v>435</v>
      </c>
      <c r="B312" s="76">
        <v>25.789207000000001</v>
      </c>
      <c r="C312" s="76">
        <v>26.557397999999999</v>
      </c>
      <c r="D312" s="76">
        <v>25.789207000000001</v>
      </c>
      <c r="E312" s="76">
        <v>26.557397999999999</v>
      </c>
      <c r="F312" s="76">
        <v>12.714202999999999</v>
      </c>
      <c r="G312" s="79">
        <v>331400</v>
      </c>
    </row>
    <row r="313" spans="1:7" x14ac:dyDescent="0.25">
      <c r="A313" s="1" t="s">
        <v>436</v>
      </c>
      <c r="B313" s="76">
        <v>26.411076000000001</v>
      </c>
      <c r="C313" s="76">
        <v>26.557397999999999</v>
      </c>
      <c r="D313" s="76">
        <v>25.972110999999899</v>
      </c>
      <c r="E313" s="76">
        <v>26.520816999999901</v>
      </c>
      <c r="F313" s="76">
        <v>12.696692000000001</v>
      </c>
      <c r="G313" s="79">
        <v>139900</v>
      </c>
    </row>
    <row r="314" spans="1:7" x14ac:dyDescent="0.25">
      <c r="A314" s="1" t="s">
        <v>437</v>
      </c>
      <c r="B314" s="76">
        <v>26.447654999999902</v>
      </c>
      <c r="C314" s="76">
        <v>26.447654999999902</v>
      </c>
      <c r="D314" s="76">
        <v>25.862369999999999</v>
      </c>
      <c r="E314" s="76">
        <v>25.913582000000002</v>
      </c>
      <c r="F314" s="76">
        <v>12.405977</v>
      </c>
      <c r="G314" s="79">
        <v>217100</v>
      </c>
    </row>
    <row r="315" spans="1:7" x14ac:dyDescent="0.25">
      <c r="A315" s="1" t="s">
        <v>438</v>
      </c>
      <c r="B315" s="76">
        <v>25.93553</v>
      </c>
      <c r="C315" s="76">
        <v>26.337914000000001</v>
      </c>
      <c r="D315" s="76">
        <v>25.869683999999999</v>
      </c>
      <c r="E315" s="76">
        <v>26.228171999999901</v>
      </c>
      <c r="F315" s="76">
        <v>12.556585</v>
      </c>
      <c r="G315" s="79">
        <v>229600</v>
      </c>
    </row>
    <row r="316" spans="1:7" x14ac:dyDescent="0.25">
      <c r="A316" s="1" t="s">
        <v>439</v>
      </c>
      <c r="B316" s="76">
        <v>26.228171999999901</v>
      </c>
      <c r="C316" s="76">
        <v>26.703717999999999</v>
      </c>
      <c r="D316" s="76">
        <v>26.206223999999999</v>
      </c>
      <c r="E316" s="76">
        <v>26.213540999999999</v>
      </c>
      <c r="F316" s="76">
        <v>12.549581999999999</v>
      </c>
      <c r="G316" s="79">
        <v>236400</v>
      </c>
    </row>
    <row r="317" spans="1:7" x14ac:dyDescent="0.25">
      <c r="A317" s="1" t="s">
        <v>440</v>
      </c>
      <c r="B317" s="76">
        <v>26.506184000000001</v>
      </c>
      <c r="C317" s="76">
        <v>26.886621000000002</v>
      </c>
      <c r="D317" s="76">
        <v>26.506184000000001</v>
      </c>
      <c r="E317" s="76">
        <v>26.85004</v>
      </c>
      <c r="F317" s="76">
        <v>12.854298999999999</v>
      </c>
      <c r="G317" s="79">
        <v>282900</v>
      </c>
    </row>
    <row r="318" spans="1:7" x14ac:dyDescent="0.25">
      <c r="A318" s="1" t="s">
        <v>441</v>
      </c>
      <c r="B318" s="76">
        <v>26.776879999999998</v>
      </c>
      <c r="C318" s="76">
        <v>26.798828</v>
      </c>
      <c r="D318" s="76">
        <v>26.074535000000001</v>
      </c>
      <c r="E318" s="76">
        <v>26.118431000000001</v>
      </c>
      <c r="F318" s="76">
        <v>12.504047999999999</v>
      </c>
      <c r="G318" s="79">
        <v>117000</v>
      </c>
    </row>
    <row r="319" spans="1:7" x14ac:dyDescent="0.25">
      <c r="A319" s="1" t="s">
        <v>442</v>
      </c>
      <c r="B319" s="76">
        <v>26.264752999999999</v>
      </c>
      <c r="C319" s="76">
        <v>26.513500000000001</v>
      </c>
      <c r="D319" s="76">
        <v>26.081851999999898</v>
      </c>
      <c r="E319" s="76">
        <v>26.213540999999999</v>
      </c>
      <c r="F319" s="76">
        <v>12.549581999999999</v>
      </c>
      <c r="G319" s="79">
        <v>133300</v>
      </c>
    </row>
    <row r="320" spans="1:7" x14ac:dyDescent="0.25">
      <c r="A320" s="1" t="s">
        <v>443</v>
      </c>
      <c r="B320" s="76">
        <v>26.191593000000001</v>
      </c>
      <c r="C320" s="76">
        <v>26.740299</v>
      </c>
      <c r="D320" s="76">
        <v>26.191593000000001</v>
      </c>
      <c r="E320" s="76">
        <v>26.623240999999901</v>
      </c>
      <c r="F320" s="76">
        <v>12.74572</v>
      </c>
      <c r="G320" s="79">
        <v>135500</v>
      </c>
    </row>
    <row r="321" spans="1:7" x14ac:dyDescent="0.25">
      <c r="A321" s="1" t="s">
        <v>444</v>
      </c>
      <c r="B321" s="76">
        <v>26.667138999999999</v>
      </c>
      <c r="C321" s="76">
        <v>26.667138999999999</v>
      </c>
      <c r="D321" s="76">
        <v>26.111115999999999</v>
      </c>
      <c r="E321" s="76">
        <v>26.155011999999999</v>
      </c>
      <c r="F321" s="76">
        <v>12.521563</v>
      </c>
      <c r="G321" s="79">
        <v>90700</v>
      </c>
    </row>
    <row r="322" spans="1:7" x14ac:dyDescent="0.25">
      <c r="A322" s="1" t="s">
        <v>445</v>
      </c>
      <c r="B322" s="76">
        <v>26.155011999999999</v>
      </c>
      <c r="C322" s="76">
        <v>26.484235999999999</v>
      </c>
      <c r="D322" s="76">
        <v>26.030638</v>
      </c>
      <c r="E322" s="76">
        <v>26.045271</v>
      </c>
      <c r="F322" s="76">
        <v>12.469018999999999</v>
      </c>
      <c r="G322" s="79">
        <v>88900</v>
      </c>
    </row>
    <row r="323" spans="1:7" x14ac:dyDescent="0.25">
      <c r="A323" s="1" t="s">
        <v>446</v>
      </c>
      <c r="B323" s="76">
        <v>26.045271</v>
      </c>
      <c r="C323" s="76">
        <v>26.191593000000001</v>
      </c>
      <c r="D323" s="76">
        <v>25.891632000000001</v>
      </c>
      <c r="E323" s="76">
        <v>25.913582000000002</v>
      </c>
      <c r="F323" s="76">
        <v>12.405977</v>
      </c>
      <c r="G323" s="79">
        <v>180700</v>
      </c>
    </row>
    <row r="324" spans="1:7" x14ac:dyDescent="0.25">
      <c r="A324" s="1" t="s">
        <v>447</v>
      </c>
      <c r="B324" s="76">
        <v>26.008689999999898</v>
      </c>
      <c r="C324" s="76">
        <v>26.030638</v>
      </c>
      <c r="D324" s="76">
        <v>25.511195999999899</v>
      </c>
      <c r="E324" s="76">
        <v>25.591673</v>
      </c>
      <c r="F324" s="76">
        <v>12.251868</v>
      </c>
      <c r="G324" s="79">
        <v>241700</v>
      </c>
    </row>
    <row r="325" spans="1:7" x14ac:dyDescent="0.25">
      <c r="A325" s="1" t="s">
        <v>448</v>
      </c>
      <c r="B325" s="76">
        <v>25.591673</v>
      </c>
      <c r="C325" s="76">
        <v>25.591673</v>
      </c>
      <c r="D325" s="76">
        <v>25.277082</v>
      </c>
      <c r="E325" s="76">
        <v>25.445353000000001</v>
      </c>
      <c r="F325" s="76">
        <v>12.181816</v>
      </c>
      <c r="G325" s="79">
        <v>252300</v>
      </c>
    </row>
    <row r="326" spans="1:7" x14ac:dyDescent="0.25">
      <c r="A326" s="1" t="s">
        <v>449</v>
      </c>
      <c r="B326" s="76">
        <v>25.445353000000001</v>
      </c>
      <c r="C326" s="76">
        <v>25.606306</v>
      </c>
      <c r="D326" s="76">
        <v>25.284396999999998</v>
      </c>
      <c r="E326" s="76">
        <v>25.284396999999998</v>
      </c>
      <c r="F326" s="76">
        <v>12.104754</v>
      </c>
      <c r="G326" s="79">
        <v>183800</v>
      </c>
    </row>
    <row r="327" spans="1:7" x14ac:dyDescent="0.25">
      <c r="A327" s="1" t="s">
        <v>450</v>
      </c>
      <c r="B327" s="76">
        <v>25.350242999999999</v>
      </c>
      <c r="C327" s="76">
        <v>25.679466000000001</v>
      </c>
      <c r="D327" s="76">
        <v>25.240500999999998</v>
      </c>
      <c r="E327" s="76">
        <v>25.606306</v>
      </c>
      <c r="F327" s="76">
        <v>12.258870999999999</v>
      </c>
      <c r="G327" s="79">
        <v>139700</v>
      </c>
    </row>
    <row r="328" spans="1:7" x14ac:dyDescent="0.25">
      <c r="A328" s="1" t="s">
        <v>451</v>
      </c>
      <c r="B328" s="76">
        <v>25.606306</v>
      </c>
      <c r="C328" s="76">
        <v>25.825787999999999</v>
      </c>
      <c r="D328" s="76">
        <v>25.313662000000001</v>
      </c>
      <c r="E328" s="76">
        <v>25.774576</v>
      </c>
      <c r="F328" s="76">
        <v>12.339428</v>
      </c>
      <c r="G328" s="79">
        <v>443600</v>
      </c>
    </row>
    <row r="329" spans="1:7" x14ac:dyDescent="0.25">
      <c r="A329" s="1" t="s">
        <v>452</v>
      </c>
      <c r="B329" s="76">
        <v>25.774576</v>
      </c>
      <c r="C329" s="76">
        <v>25.825787999999999</v>
      </c>
      <c r="D329" s="76">
        <v>25.606306</v>
      </c>
      <c r="E329" s="76">
        <v>25.789207000000001</v>
      </c>
      <c r="F329" s="76">
        <v>12.3464309999999</v>
      </c>
      <c r="G329" s="79">
        <v>120700</v>
      </c>
    </row>
    <row r="330" spans="1:7" x14ac:dyDescent="0.25">
      <c r="A330" s="1" t="s">
        <v>453</v>
      </c>
      <c r="B330" s="76">
        <v>25.825787999999999</v>
      </c>
      <c r="C330" s="76">
        <v>25.972110999999899</v>
      </c>
      <c r="D330" s="76">
        <v>25.620936999999898</v>
      </c>
      <c r="E330" s="76">
        <v>25.701414</v>
      </c>
      <c r="F330" s="76">
        <v>12.304404</v>
      </c>
      <c r="G330" s="79">
        <v>257200</v>
      </c>
    </row>
    <row r="331" spans="1:7" x14ac:dyDescent="0.25">
      <c r="A331" s="1" t="s">
        <v>454</v>
      </c>
      <c r="B331" s="76">
        <v>25.825787999999999</v>
      </c>
      <c r="C331" s="76">
        <v>25.884316999999999</v>
      </c>
      <c r="D331" s="76">
        <v>25.496565</v>
      </c>
      <c r="E331" s="76">
        <v>25.664835</v>
      </c>
      <c r="F331" s="76">
        <v>12.28689</v>
      </c>
      <c r="G331" s="79">
        <v>144400</v>
      </c>
    </row>
    <row r="332" spans="1:7" x14ac:dyDescent="0.25">
      <c r="A332" s="1" t="s">
        <v>455</v>
      </c>
      <c r="B332" s="76">
        <v>25.664835</v>
      </c>
      <c r="C332" s="76">
        <v>25.825787999999999</v>
      </c>
      <c r="D332" s="76">
        <v>25.489248</v>
      </c>
      <c r="E332" s="76">
        <v>25.679466000000001</v>
      </c>
      <c r="F332" s="76">
        <v>12.293901</v>
      </c>
      <c r="G332" s="79">
        <v>291400</v>
      </c>
    </row>
    <row r="333" spans="1:7" x14ac:dyDescent="0.25">
      <c r="A333" s="1" t="s">
        <v>456</v>
      </c>
      <c r="B333" s="76">
        <v>25.752625999999999</v>
      </c>
      <c r="C333" s="76">
        <v>25.877001</v>
      </c>
      <c r="D333" s="76">
        <v>25.620936999999898</v>
      </c>
      <c r="E333" s="76">
        <v>25.716047</v>
      </c>
      <c r="F333" s="76">
        <v>12.311413999999999</v>
      </c>
      <c r="G333" s="79">
        <v>72600</v>
      </c>
    </row>
    <row r="334" spans="1:7" x14ac:dyDescent="0.25">
      <c r="A334" s="1" t="s">
        <v>457</v>
      </c>
      <c r="B334" s="76">
        <v>25.723364</v>
      </c>
      <c r="C334" s="76">
        <v>26.169643000000001</v>
      </c>
      <c r="D334" s="76">
        <v>25.723364</v>
      </c>
      <c r="E334" s="76">
        <v>26.052588</v>
      </c>
      <c r="F334" s="76">
        <v>12.472528000000001</v>
      </c>
      <c r="G334" s="79">
        <v>248300</v>
      </c>
    </row>
    <row r="335" spans="1:7" x14ac:dyDescent="0.25">
      <c r="A335" s="1" t="s">
        <v>458</v>
      </c>
      <c r="B335" s="76">
        <v>26.374495</v>
      </c>
      <c r="C335" s="76">
        <v>26.85004</v>
      </c>
      <c r="D335" s="76">
        <v>26.250121999999902</v>
      </c>
      <c r="E335" s="76">
        <v>26.740299</v>
      </c>
      <c r="F335" s="76">
        <v>12.801765</v>
      </c>
      <c r="G335" s="79">
        <v>545900</v>
      </c>
    </row>
    <row r="336" spans="1:7" x14ac:dyDescent="0.25">
      <c r="A336" s="1" t="s">
        <v>459</v>
      </c>
      <c r="B336" s="76">
        <v>26.776879999999998</v>
      </c>
      <c r="C336" s="76">
        <v>26.923200999999999</v>
      </c>
      <c r="D336" s="76">
        <v>26.696403999999902</v>
      </c>
      <c r="E336" s="76">
        <v>26.864671999999999</v>
      </c>
      <c r="F336" s="76">
        <v>12.861303999999899</v>
      </c>
      <c r="G336" s="79">
        <v>81300</v>
      </c>
    </row>
    <row r="337" spans="1:7" x14ac:dyDescent="0.25">
      <c r="A337" s="1" t="s">
        <v>460</v>
      </c>
      <c r="B337" s="76">
        <v>26.871988000000002</v>
      </c>
      <c r="C337" s="76">
        <v>27.040258000000001</v>
      </c>
      <c r="D337" s="76">
        <v>26.740299</v>
      </c>
      <c r="E337" s="76">
        <v>27.018310999999901</v>
      </c>
      <c r="F337" s="76">
        <v>12.934858999999999</v>
      </c>
      <c r="G337" s="79">
        <v>169000</v>
      </c>
    </row>
    <row r="338" spans="1:7" x14ac:dyDescent="0.25">
      <c r="A338" s="1" t="s">
        <v>461</v>
      </c>
      <c r="B338" s="76">
        <v>27.032941999999998</v>
      </c>
      <c r="C338" s="76">
        <v>27.069522999999901</v>
      </c>
      <c r="D338" s="76">
        <v>26.886621000000002</v>
      </c>
      <c r="E338" s="76">
        <v>27.069522999999901</v>
      </c>
      <c r="F338" s="76">
        <v>12.959379999999999</v>
      </c>
      <c r="G338" s="79">
        <v>269700</v>
      </c>
    </row>
    <row r="339" spans="1:7" x14ac:dyDescent="0.25">
      <c r="A339" s="1" t="s">
        <v>462</v>
      </c>
      <c r="B339" s="76">
        <v>26.842724</v>
      </c>
      <c r="C339" s="76">
        <v>26.996362999999999</v>
      </c>
      <c r="D339" s="76">
        <v>26.667138999999999</v>
      </c>
      <c r="E339" s="76">
        <v>26.893936</v>
      </c>
      <c r="F339" s="76">
        <v>13.0624229999999</v>
      </c>
      <c r="G339" s="79">
        <v>517900</v>
      </c>
    </row>
    <row r="340" spans="1:7" x14ac:dyDescent="0.25">
      <c r="A340" s="1" t="s">
        <v>463</v>
      </c>
      <c r="B340" s="76">
        <v>26.703717999999999</v>
      </c>
      <c r="C340" s="76">
        <v>26.835408999999999</v>
      </c>
      <c r="D340" s="76">
        <v>26.396441999999901</v>
      </c>
      <c r="E340" s="76">
        <v>26.732983000000001</v>
      </c>
      <c r="F340" s="76">
        <v>12.984254</v>
      </c>
      <c r="G340" s="79">
        <v>217700</v>
      </c>
    </row>
    <row r="341" spans="1:7" x14ac:dyDescent="0.25">
      <c r="A341" s="1" t="s">
        <v>464</v>
      </c>
      <c r="B341" s="76">
        <v>26.630558000000001</v>
      </c>
      <c r="C341" s="76">
        <v>26.769563999999999</v>
      </c>
      <c r="D341" s="76">
        <v>26.542764999999999</v>
      </c>
      <c r="E341" s="76">
        <v>26.630558000000001</v>
      </c>
      <c r="F341" s="76">
        <v>12.934505</v>
      </c>
      <c r="G341" s="79">
        <v>246400</v>
      </c>
    </row>
    <row r="342" spans="1:7" x14ac:dyDescent="0.25">
      <c r="A342" s="1" t="s">
        <v>465</v>
      </c>
      <c r="B342" s="76">
        <v>26.667138999999999</v>
      </c>
      <c r="C342" s="76">
        <v>26.667138999999999</v>
      </c>
      <c r="D342" s="76">
        <v>26.264752999999999</v>
      </c>
      <c r="E342" s="76">
        <v>26.513500000000001</v>
      </c>
      <c r="F342" s="76">
        <v>12.877647999999899</v>
      </c>
      <c r="G342" s="79">
        <v>263600</v>
      </c>
    </row>
    <row r="343" spans="1:7" x14ac:dyDescent="0.25">
      <c r="A343" s="1" t="s">
        <v>466</v>
      </c>
      <c r="B343" s="76">
        <v>26.447654999999902</v>
      </c>
      <c r="C343" s="76">
        <v>26.447654999999902</v>
      </c>
      <c r="D343" s="76">
        <v>26.279387</v>
      </c>
      <c r="E343" s="76">
        <v>26.359863000000001</v>
      </c>
      <c r="F343" s="76">
        <v>12.803025</v>
      </c>
      <c r="G343" s="79">
        <v>105000</v>
      </c>
    </row>
    <row r="344" spans="1:7" x14ac:dyDescent="0.25">
      <c r="A344" s="1" t="s">
        <v>467</v>
      </c>
      <c r="B344" s="76">
        <v>26.374495</v>
      </c>
      <c r="C344" s="76">
        <v>26.447654999999902</v>
      </c>
      <c r="D344" s="76">
        <v>26.337914000000001</v>
      </c>
      <c r="E344" s="76">
        <v>26.381810999999999</v>
      </c>
      <c r="F344" s="76">
        <v>12.813687</v>
      </c>
      <c r="G344" s="79">
        <v>69300</v>
      </c>
    </row>
    <row r="345" spans="1:7" x14ac:dyDescent="0.25">
      <c r="A345" s="1" t="s">
        <v>468</v>
      </c>
      <c r="B345" s="76">
        <v>26.337914000000001</v>
      </c>
      <c r="C345" s="76">
        <v>26.374495</v>
      </c>
      <c r="D345" s="76">
        <v>26.228171999999901</v>
      </c>
      <c r="E345" s="76">
        <v>26.308648999999999</v>
      </c>
      <c r="F345" s="76">
        <v>12.778152</v>
      </c>
      <c r="G345" s="79">
        <v>57100</v>
      </c>
    </row>
    <row r="346" spans="1:7" x14ac:dyDescent="0.25">
      <c r="A346" s="1" t="s">
        <v>469</v>
      </c>
      <c r="B346" s="76">
        <v>26.323281999999999</v>
      </c>
      <c r="C346" s="76">
        <v>26.337914000000001</v>
      </c>
      <c r="D346" s="76">
        <v>26.162329</v>
      </c>
      <c r="E346" s="76">
        <v>26.337914000000001</v>
      </c>
      <c r="F346" s="76">
        <v>12.792367</v>
      </c>
      <c r="G346" s="79">
        <v>94900</v>
      </c>
    </row>
    <row r="347" spans="1:7" x14ac:dyDescent="0.25">
      <c r="A347" s="1" t="s">
        <v>470</v>
      </c>
      <c r="B347" s="76">
        <v>26.337914000000001</v>
      </c>
      <c r="C347" s="76">
        <v>26.513500000000001</v>
      </c>
      <c r="D347" s="76">
        <v>26.257436999999999</v>
      </c>
      <c r="E347" s="76">
        <v>26.411076000000001</v>
      </c>
      <c r="F347" s="76">
        <v>12.827897999999999</v>
      </c>
      <c r="G347" s="79">
        <v>102200</v>
      </c>
    </row>
    <row r="348" spans="1:7" x14ac:dyDescent="0.25">
      <c r="A348" s="1" t="s">
        <v>471</v>
      </c>
      <c r="B348" s="76">
        <v>26.411076000000001</v>
      </c>
      <c r="C348" s="76">
        <v>26.754929999999899</v>
      </c>
      <c r="D348" s="76">
        <v>26.411076000000001</v>
      </c>
      <c r="E348" s="76">
        <v>26.754929999999899</v>
      </c>
      <c r="F348" s="76">
        <v>12.994904999999999</v>
      </c>
      <c r="G348" s="79">
        <v>207200</v>
      </c>
    </row>
    <row r="349" spans="1:7" x14ac:dyDescent="0.25">
      <c r="A349" s="1" t="s">
        <v>472</v>
      </c>
      <c r="B349" s="76">
        <v>26.776879999999998</v>
      </c>
      <c r="C349" s="76">
        <v>26.85004</v>
      </c>
      <c r="D349" s="76">
        <v>26.608609999999999</v>
      </c>
      <c r="E349" s="76">
        <v>26.798828</v>
      </c>
      <c r="F349" s="76">
        <v>13.016237</v>
      </c>
      <c r="G349" s="79">
        <v>127300</v>
      </c>
    </row>
    <row r="350" spans="1:7" x14ac:dyDescent="0.25">
      <c r="A350" s="1" t="s">
        <v>473</v>
      </c>
      <c r="B350" s="76">
        <v>26.776879999999998</v>
      </c>
      <c r="C350" s="76">
        <v>26.776879999999998</v>
      </c>
      <c r="D350" s="76">
        <v>26.542764999999999</v>
      </c>
      <c r="E350" s="76">
        <v>26.652505999999999</v>
      </c>
      <c r="F350" s="76">
        <v>12.945159</v>
      </c>
      <c r="G350" s="79">
        <v>243900</v>
      </c>
    </row>
    <row r="351" spans="1:7" x14ac:dyDescent="0.25">
      <c r="A351" s="1" t="s">
        <v>474</v>
      </c>
      <c r="B351" s="76">
        <v>26.593976999999999</v>
      </c>
      <c r="C351" s="76">
        <v>26.630558000000001</v>
      </c>
      <c r="D351" s="76">
        <v>26.403759000000001</v>
      </c>
      <c r="E351" s="76">
        <v>26.513500000000001</v>
      </c>
      <c r="F351" s="76">
        <v>12.877647999999899</v>
      </c>
      <c r="G351" s="79">
        <v>251400</v>
      </c>
    </row>
    <row r="352" spans="1:7" x14ac:dyDescent="0.25">
      <c r="A352" s="1" t="s">
        <v>475</v>
      </c>
      <c r="B352" s="76">
        <v>26.586659999999998</v>
      </c>
      <c r="C352" s="76">
        <v>27.069522999999901</v>
      </c>
      <c r="D352" s="76">
        <v>26.550080999999999</v>
      </c>
      <c r="E352" s="76">
        <v>26.85004</v>
      </c>
      <c r="F352" s="76">
        <v>13.041111000000001</v>
      </c>
      <c r="G352" s="79">
        <v>334500</v>
      </c>
    </row>
    <row r="353" spans="1:7" x14ac:dyDescent="0.25">
      <c r="A353" s="1" t="s">
        <v>476</v>
      </c>
      <c r="B353" s="76">
        <v>26.879304999999999</v>
      </c>
      <c r="C353" s="76">
        <v>27.325585999999898</v>
      </c>
      <c r="D353" s="76">
        <v>26.747615999999901</v>
      </c>
      <c r="E353" s="76">
        <v>27.201211999999899</v>
      </c>
      <c r="F353" s="76">
        <v>13.211679</v>
      </c>
      <c r="G353" s="79">
        <v>226900</v>
      </c>
    </row>
    <row r="354" spans="1:7" x14ac:dyDescent="0.25">
      <c r="A354" s="1" t="s">
        <v>477</v>
      </c>
      <c r="B354" s="76">
        <v>27.201211999999899</v>
      </c>
      <c r="C354" s="76">
        <v>27.479222999999902</v>
      </c>
      <c r="D354" s="76">
        <v>27.142683000000002</v>
      </c>
      <c r="E354" s="76">
        <v>27.457274999999999</v>
      </c>
      <c r="F354" s="76">
        <v>13.336043</v>
      </c>
      <c r="G354" s="79">
        <v>319300</v>
      </c>
    </row>
    <row r="355" spans="1:7" x14ac:dyDescent="0.25">
      <c r="A355" s="1" t="s">
        <v>478</v>
      </c>
      <c r="B355" s="76">
        <v>27.435327999999998</v>
      </c>
      <c r="C355" s="76">
        <v>27.435327999999998</v>
      </c>
      <c r="D355" s="76">
        <v>27.069522999999901</v>
      </c>
      <c r="E355" s="76">
        <v>27.252426</v>
      </c>
      <c r="F355" s="76">
        <v>13.236545999999899</v>
      </c>
      <c r="G355" s="79">
        <v>294000</v>
      </c>
    </row>
    <row r="356" spans="1:7" x14ac:dyDescent="0.25">
      <c r="A356" s="1" t="s">
        <v>479</v>
      </c>
      <c r="B356" s="76">
        <v>27.325585999999898</v>
      </c>
      <c r="C356" s="76">
        <v>27.6913909999999</v>
      </c>
      <c r="D356" s="76">
        <v>27.252426</v>
      </c>
      <c r="E356" s="76">
        <v>27.552384999999902</v>
      </c>
      <c r="F356" s="76">
        <v>13.3822299999999</v>
      </c>
      <c r="G356" s="79">
        <v>181500</v>
      </c>
    </row>
    <row r="357" spans="1:7" x14ac:dyDescent="0.25">
      <c r="A357" s="1" t="s">
        <v>480</v>
      </c>
      <c r="B357" s="76">
        <v>27.552384999999902</v>
      </c>
      <c r="C357" s="76">
        <v>27.552384999999902</v>
      </c>
      <c r="D357" s="76">
        <v>27.362166999999999</v>
      </c>
      <c r="E357" s="76">
        <v>27.362166999999999</v>
      </c>
      <c r="F357" s="76">
        <v>13.289847</v>
      </c>
      <c r="G357" s="79">
        <v>111700</v>
      </c>
    </row>
    <row r="358" spans="1:7" x14ac:dyDescent="0.25">
      <c r="A358" s="1" t="s">
        <v>481</v>
      </c>
      <c r="B358" s="76">
        <v>27.362166999999999</v>
      </c>
      <c r="C358" s="76">
        <v>27.574332999999999</v>
      </c>
      <c r="D358" s="76">
        <v>27.354851</v>
      </c>
      <c r="E358" s="76">
        <v>27.435327999999998</v>
      </c>
      <c r="F358" s="76">
        <v>13.325378000000001</v>
      </c>
      <c r="G358" s="79">
        <v>259800</v>
      </c>
    </row>
    <row r="359" spans="1:7" x14ac:dyDescent="0.25">
      <c r="A359" s="1" t="s">
        <v>482</v>
      </c>
      <c r="B359" s="76">
        <v>27.435327999999998</v>
      </c>
      <c r="C359" s="76">
        <v>27.435327999999998</v>
      </c>
      <c r="D359" s="76">
        <v>27.398745999999999</v>
      </c>
      <c r="E359" s="76">
        <v>27.435327999999998</v>
      </c>
      <c r="F359" s="76">
        <v>13.325378000000001</v>
      </c>
      <c r="G359" s="79">
        <v>95600</v>
      </c>
    </row>
    <row r="360" spans="1:7" x14ac:dyDescent="0.25">
      <c r="A360" s="1" t="s">
        <v>483</v>
      </c>
      <c r="B360" s="76">
        <v>27.420694000000001</v>
      </c>
      <c r="C360" s="76">
        <v>27.801131999999999</v>
      </c>
      <c r="D360" s="76">
        <v>27.325585999999898</v>
      </c>
      <c r="E360" s="76">
        <v>27.801131999999999</v>
      </c>
      <c r="F360" s="76">
        <v>13.5030559999999</v>
      </c>
      <c r="G360" s="79">
        <v>418000</v>
      </c>
    </row>
    <row r="361" spans="1:7" x14ac:dyDescent="0.25">
      <c r="A361" s="1" t="s">
        <v>484</v>
      </c>
      <c r="B361" s="76">
        <v>27.7938159999999</v>
      </c>
      <c r="C361" s="76">
        <v>28.166937000000001</v>
      </c>
      <c r="D361" s="76">
        <v>27.7938159999999</v>
      </c>
      <c r="E361" s="76">
        <v>28.137671999999998</v>
      </c>
      <c r="F361" s="76">
        <v>13.666503000000001</v>
      </c>
      <c r="G361" s="79">
        <v>165000</v>
      </c>
    </row>
    <row r="362" spans="1:7" x14ac:dyDescent="0.25">
      <c r="A362" s="1" t="s">
        <v>485</v>
      </c>
      <c r="B362" s="76">
        <v>28.137671999999998</v>
      </c>
      <c r="C362" s="76">
        <v>28.269361</v>
      </c>
      <c r="D362" s="76">
        <v>28.137671999999998</v>
      </c>
      <c r="E362" s="76">
        <v>28.218149</v>
      </c>
      <c r="F362" s="76">
        <v>13.705598</v>
      </c>
      <c r="G362" s="79">
        <v>75600</v>
      </c>
    </row>
    <row r="363" spans="1:7" x14ac:dyDescent="0.25">
      <c r="A363" s="1" t="s">
        <v>486</v>
      </c>
      <c r="B363" s="76">
        <v>28.188884999999999</v>
      </c>
      <c r="C363" s="76">
        <v>28.240096999999999</v>
      </c>
      <c r="D363" s="76">
        <v>28.130355999999999</v>
      </c>
      <c r="E363" s="76">
        <v>28.240096999999999</v>
      </c>
      <c r="F363" s="76">
        <v>13.716260999999999</v>
      </c>
      <c r="G363" s="79">
        <v>143400</v>
      </c>
    </row>
    <row r="364" spans="1:7" x14ac:dyDescent="0.25">
      <c r="A364" s="1" t="s">
        <v>487</v>
      </c>
      <c r="B364" s="76">
        <v>28.203515999999901</v>
      </c>
      <c r="C364" s="76">
        <v>28.240096999999999</v>
      </c>
      <c r="D364" s="76">
        <v>28.020614999999999</v>
      </c>
      <c r="E364" s="76">
        <v>28.020614999999999</v>
      </c>
      <c r="F364" s="76">
        <v>13.609654999999901</v>
      </c>
      <c r="G364" s="79">
        <v>104800</v>
      </c>
    </row>
    <row r="365" spans="1:7" x14ac:dyDescent="0.25">
      <c r="A365" s="1" t="s">
        <v>488</v>
      </c>
      <c r="B365" s="76">
        <v>27.947453999999901</v>
      </c>
      <c r="C365" s="76">
        <v>28.071826999999999</v>
      </c>
      <c r="D365" s="76">
        <v>27.7938159999999</v>
      </c>
      <c r="E365" s="76">
        <v>28.035246000000001</v>
      </c>
      <c r="F365" s="76">
        <v>13.616759999999999</v>
      </c>
      <c r="G365" s="79">
        <v>243700</v>
      </c>
    </row>
    <row r="366" spans="1:7" x14ac:dyDescent="0.25">
      <c r="A366" s="1" t="s">
        <v>489</v>
      </c>
      <c r="B366" s="76">
        <v>28.035246000000001</v>
      </c>
      <c r="C366" s="76">
        <v>28.386419</v>
      </c>
      <c r="D366" s="76">
        <v>27.984034000000001</v>
      </c>
      <c r="E366" s="76">
        <v>28.247413999999999</v>
      </c>
      <c r="F366" s="76">
        <v>13.719810999999901</v>
      </c>
      <c r="G366" s="79">
        <v>496500</v>
      </c>
    </row>
    <row r="367" spans="1:7" x14ac:dyDescent="0.25">
      <c r="A367" s="1" t="s">
        <v>490</v>
      </c>
      <c r="B367" s="76">
        <v>28.313257</v>
      </c>
      <c r="C367" s="76">
        <v>28.313257</v>
      </c>
      <c r="D367" s="76">
        <v>28.020614999999999</v>
      </c>
      <c r="E367" s="76">
        <v>28.144987</v>
      </c>
      <c r="F367" s="76">
        <v>13.670063000000001</v>
      </c>
      <c r="G367" s="79">
        <v>261400</v>
      </c>
    </row>
    <row r="368" spans="1:7" x14ac:dyDescent="0.25">
      <c r="A368" s="1" t="s">
        <v>491</v>
      </c>
      <c r="B368" s="76">
        <v>28.166937000000001</v>
      </c>
      <c r="C368" s="76">
        <v>28.166937000000001</v>
      </c>
      <c r="D368" s="76">
        <v>27.866976000000001</v>
      </c>
      <c r="E368" s="76">
        <v>28.049878999999901</v>
      </c>
      <c r="F368" s="76">
        <v>13.62387</v>
      </c>
      <c r="G368" s="79">
        <v>240000</v>
      </c>
    </row>
    <row r="369" spans="1:7" x14ac:dyDescent="0.25">
      <c r="A369" s="1" t="s">
        <v>492</v>
      </c>
      <c r="B369" s="76">
        <v>27.940138000000001</v>
      </c>
      <c r="C369" s="76">
        <v>28.152303999999901</v>
      </c>
      <c r="D369" s="76">
        <v>27.910872999999999</v>
      </c>
      <c r="E369" s="76">
        <v>28.013297999999999</v>
      </c>
      <c r="F369" s="76">
        <v>13.606102999999999</v>
      </c>
      <c r="G369" s="79">
        <v>2769400</v>
      </c>
    </row>
    <row r="370" spans="1:7" x14ac:dyDescent="0.25">
      <c r="A370" s="1" t="s">
        <v>493</v>
      </c>
      <c r="B370" s="76">
        <v>27.991350000000001</v>
      </c>
      <c r="C370" s="76">
        <v>28.898544000000001</v>
      </c>
      <c r="D370" s="76">
        <v>27.991350000000001</v>
      </c>
      <c r="E370" s="76">
        <v>28.766855</v>
      </c>
      <c r="F370" s="76">
        <v>13.972106</v>
      </c>
      <c r="G370" s="79">
        <v>2943800</v>
      </c>
    </row>
    <row r="371" spans="1:7" x14ac:dyDescent="0.25">
      <c r="A371" s="1" t="s">
        <v>494</v>
      </c>
      <c r="B371" s="76">
        <v>28.971706000000001</v>
      </c>
      <c r="C371" s="76">
        <v>28.971706000000001</v>
      </c>
      <c r="D371" s="76">
        <v>28.752223999999998</v>
      </c>
      <c r="E371" s="76">
        <v>28.847332000000002</v>
      </c>
      <c r="F371" s="76">
        <v>14.011192999999899</v>
      </c>
      <c r="G371" s="79">
        <v>226000</v>
      </c>
    </row>
    <row r="372" spans="1:7" x14ac:dyDescent="0.25">
      <c r="A372" s="1" t="s">
        <v>495</v>
      </c>
      <c r="B372" s="76">
        <v>28.898544000000001</v>
      </c>
      <c r="C372" s="76">
        <v>29.191189000000001</v>
      </c>
      <c r="D372" s="76">
        <v>28.825384</v>
      </c>
      <c r="E372" s="76">
        <v>29.008285999999998</v>
      </c>
      <c r="F372" s="76">
        <v>14.089367999999901</v>
      </c>
      <c r="G372" s="79">
        <v>237100</v>
      </c>
    </row>
    <row r="373" spans="1:7" x14ac:dyDescent="0.25">
      <c r="A373" s="1" t="s">
        <v>496</v>
      </c>
      <c r="B373" s="76">
        <v>29.044867</v>
      </c>
      <c r="C373" s="76">
        <v>29.227767999999902</v>
      </c>
      <c r="D373" s="76">
        <v>28.971706000000001</v>
      </c>
      <c r="E373" s="76">
        <v>29.081447999999899</v>
      </c>
      <c r="F373" s="76">
        <v>14.124904999999901</v>
      </c>
      <c r="G373" s="79">
        <v>195900</v>
      </c>
    </row>
    <row r="374" spans="1:7" x14ac:dyDescent="0.25">
      <c r="A374" s="1" t="s">
        <v>497</v>
      </c>
      <c r="B374" s="76">
        <v>29.081447999999899</v>
      </c>
      <c r="C374" s="76">
        <v>29.118027000000001</v>
      </c>
      <c r="D374" s="76">
        <v>28.861965000000001</v>
      </c>
      <c r="E374" s="76">
        <v>28.89123</v>
      </c>
      <c r="F374" s="76">
        <v>14.032513</v>
      </c>
      <c r="G374" s="79">
        <v>256600</v>
      </c>
    </row>
    <row r="375" spans="1:7" x14ac:dyDescent="0.25">
      <c r="A375" s="1" t="s">
        <v>498</v>
      </c>
      <c r="B375" s="76">
        <v>28.898544000000001</v>
      </c>
      <c r="C375" s="76">
        <v>29.008285999999998</v>
      </c>
      <c r="D375" s="76">
        <v>28.744907000000001</v>
      </c>
      <c r="E375" s="76">
        <v>28.774171999999901</v>
      </c>
      <c r="F375" s="76">
        <v>13.975657999999999</v>
      </c>
      <c r="G375" s="79">
        <v>86500</v>
      </c>
    </row>
    <row r="376" spans="1:7" x14ac:dyDescent="0.25">
      <c r="A376" s="1" t="s">
        <v>499</v>
      </c>
      <c r="B376" s="76">
        <v>28.898544000000001</v>
      </c>
      <c r="C376" s="76">
        <v>29.008285999999998</v>
      </c>
      <c r="D376" s="76">
        <v>28.774171999999901</v>
      </c>
      <c r="E376" s="76">
        <v>28.883913</v>
      </c>
      <c r="F376" s="76">
        <v>14.028962</v>
      </c>
      <c r="G376" s="79">
        <v>83600</v>
      </c>
    </row>
    <row r="377" spans="1:7" x14ac:dyDescent="0.25">
      <c r="A377" s="1" t="s">
        <v>500</v>
      </c>
      <c r="B377" s="76">
        <v>28.840015000000001</v>
      </c>
      <c r="C377" s="76">
        <v>28.89123</v>
      </c>
      <c r="D377" s="76">
        <v>28.53274</v>
      </c>
      <c r="E377" s="76">
        <v>28.722959999999901</v>
      </c>
      <c r="F377" s="76">
        <v>13.950784000000001</v>
      </c>
      <c r="G377" s="79">
        <v>196100</v>
      </c>
    </row>
    <row r="378" spans="1:7" x14ac:dyDescent="0.25">
      <c r="A378" s="1" t="s">
        <v>501</v>
      </c>
      <c r="B378" s="76">
        <v>28.715643</v>
      </c>
      <c r="C378" s="76">
        <v>29.132659999999898</v>
      </c>
      <c r="D378" s="76">
        <v>28.715643</v>
      </c>
      <c r="E378" s="76">
        <v>28.825384</v>
      </c>
      <c r="F378" s="76">
        <v>14.000529999999999</v>
      </c>
      <c r="G378" s="79">
        <v>294300</v>
      </c>
    </row>
    <row r="379" spans="1:7" x14ac:dyDescent="0.25">
      <c r="A379" s="1" t="s">
        <v>502</v>
      </c>
      <c r="B379" s="76">
        <v>28.825384</v>
      </c>
      <c r="C379" s="76">
        <v>29.213137</v>
      </c>
      <c r="D379" s="76">
        <v>28.459578999999898</v>
      </c>
      <c r="E379" s="76">
        <v>28.562003999999899</v>
      </c>
      <c r="F379" s="76">
        <v>13.872607</v>
      </c>
      <c r="G379" s="79">
        <v>435800</v>
      </c>
    </row>
    <row r="380" spans="1:7" x14ac:dyDescent="0.25">
      <c r="A380" s="1" t="s">
        <v>503</v>
      </c>
      <c r="B380" s="76">
        <v>28.459578999999898</v>
      </c>
      <c r="C380" s="76">
        <v>28.935124999999999</v>
      </c>
      <c r="D380" s="76">
        <v>28.313257</v>
      </c>
      <c r="E380" s="76">
        <v>28.935124999999999</v>
      </c>
      <c r="F380" s="76">
        <v>14.053835999999899</v>
      </c>
      <c r="G380" s="79">
        <v>228700</v>
      </c>
    </row>
    <row r="381" spans="1:7" x14ac:dyDescent="0.25">
      <c r="A381" s="1" t="s">
        <v>504</v>
      </c>
      <c r="B381" s="76">
        <v>29.008285999999998</v>
      </c>
      <c r="C381" s="76">
        <v>29.081447999999899</v>
      </c>
      <c r="D381" s="76">
        <v>28.986338</v>
      </c>
      <c r="E381" s="76">
        <v>29.0595</v>
      </c>
      <c r="F381" s="76">
        <v>14.114246</v>
      </c>
      <c r="G381" s="79">
        <v>100300</v>
      </c>
    </row>
    <row r="382" spans="1:7" x14ac:dyDescent="0.25">
      <c r="A382" s="1" t="s">
        <v>505</v>
      </c>
      <c r="B382" s="76">
        <v>29.044867</v>
      </c>
      <c r="C382" s="76">
        <v>29.191189000000001</v>
      </c>
      <c r="D382" s="76">
        <v>28.927809</v>
      </c>
      <c r="E382" s="76">
        <v>28.986338</v>
      </c>
      <c r="F382" s="76">
        <v>14.078709</v>
      </c>
      <c r="G382" s="79">
        <v>65800</v>
      </c>
    </row>
    <row r="383" spans="1:7" x14ac:dyDescent="0.25">
      <c r="A383" s="1" t="s">
        <v>506</v>
      </c>
      <c r="B383" s="76">
        <v>29.044867</v>
      </c>
      <c r="C383" s="76">
        <v>29.103394999999999</v>
      </c>
      <c r="D383" s="76">
        <v>28.715643</v>
      </c>
      <c r="E383" s="76">
        <v>28.89123</v>
      </c>
      <c r="F383" s="76">
        <v>14.032513</v>
      </c>
      <c r="G383" s="79">
        <v>91300</v>
      </c>
    </row>
    <row r="384" spans="1:7" x14ac:dyDescent="0.25">
      <c r="A384" s="1" t="s">
        <v>507</v>
      </c>
      <c r="B384" s="76">
        <v>28.971706000000001</v>
      </c>
      <c r="C384" s="76">
        <v>29.118027000000001</v>
      </c>
      <c r="D384" s="76">
        <v>28.496160999999901</v>
      </c>
      <c r="E384" s="76">
        <v>28.620532999999998</v>
      </c>
      <c r="F384" s="76">
        <v>13.901033999999999</v>
      </c>
      <c r="G384" s="79">
        <v>208100</v>
      </c>
    </row>
    <row r="385" spans="1:7" x14ac:dyDescent="0.25">
      <c r="A385" s="1" t="s">
        <v>508</v>
      </c>
      <c r="B385" s="76">
        <v>28.642482999999999</v>
      </c>
      <c r="C385" s="76">
        <v>28.701009999999901</v>
      </c>
      <c r="D385" s="76">
        <v>28.53274</v>
      </c>
      <c r="E385" s="76">
        <v>28.605902</v>
      </c>
      <c r="F385" s="76">
        <v>13.893929</v>
      </c>
      <c r="G385" s="79">
        <v>88600</v>
      </c>
    </row>
    <row r="386" spans="1:7" x14ac:dyDescent="0.25">
      <c r="A386" s="1" t="s">
        <v>509</v>
      </c>
      <c r="B386" s="76">
        <v>28.5985849999999</v>
      </c>
      <c r="C386" s="76">
        <v>28.642482999999999</v>
      </c>
      <c r="D386" s="76">
        <v>28.459578999999898</v>
      </c>
      <c r="E386" s="76">
        <v>28.525424999999998</v>
      </c>
      <c r="F386" s="76">
        <v>13.854846999999999</v>
      </c>
      <c r="G386" s="79">
        <v>150200</v>
      </c>
    </row>
    <row r="387" spans="1:7" x14ac:dyDescent="0.25">
      <c r="A387" s="1" t="s">
        <v>510</v>
      </c>
      <c r="B387" s="76">
        <v>28.554689</v>
      </c>
      <c r="C387" s="76">
        <v>28.554689</v>
      </c>
      <c r="D387" s="76">
        <v>28.422998</v>
      </c>
      <c r="E387" s="76">
        <v>28.518108000000002</v>
      </c>
      <c r="F387" s="76">
        <v>13.851289999999899</v>
      </c>
      <c r="G387" s="79">
        <v>92700</v>
      </c>
    </row>
    <row r="388" spans="1:7" x14ac:dyDescent="0.25">
      <c r="A388" s="1" t="s">
        <v>511</v>
      </c>
      <c r="B388" s="76">
        <v>28.53274</v>
      </c>
      <c r="C388" s="76">
        <v>28.53274</v>
      </c>
      <c r="D388" s="76">
        <v>28.430315</v>
      </c>
      <c r="E388" s="76">
        <v>28.444947999999901</v>
      </c>
      <c r="F388" s="76">
        <v>13.815754</v>
      </c>
      <c r="G388" s="79">
        <v>242700</v>
      </c>
    </row>
    <row r="389" spans="1:7" x14ac:dyDescent="0.25">
      <c r="A389" s="1" t="s">
        <v>512</v>
      </c>
      <c r="B389" s="76">
        <v>28.444947999999901</v>
      </c>
      <c r="C389" s="76">
        <v>28.496160999999901</v>
      </c>
      <c r="D389" s="76">
        <v>28.174251999999999</v>
      </c>
      <c r="E389" s="76">
        <v>28.247413999999999</v>
      </c>
      <c r="F389" s="76">
        <v>13.719810999999901</v>
      </c>
      <c r="G389" s="79">
        <v>123200</v>
      </c>
    </row>
    <row r="390" spans="1:7" x14ac:dyDescent="0.25">
      <c r="A390" s="1" t="s">
        <v>513</v>
      </c>
      <c r="B390" s="76">
        <v>28.166937000000001</v>
      </c>
      <c r="C390" s="76">
        <v>28.313257</v>
      </c>
      <c r="D390" s="76">
        <v>28.137671999999998</v>
      </c>
      <c r="E390" s="76">
        <v>28.203515999999901</v>
      </c>
      <c r="F390" s="76">
        <v>13.698492999999999</v>
      </c>
      <c r="G390" s="79">
        <v>123500</v>
      </c>
    </row>
    <row r="391" spans="1:7" x14ac:dyDescent="0.25">
      <c r="A391" s="1" t="s">
        <v>514</v>
      </c>
      <c r="B391" s="76">
        <v>27.910872999999999</v>
      </c>
      <c r="C391" s="76">
        <v>28.313257</v>
      </c>
      <c r="D391" s="76">
        <v>27.910872999999999</v>
      </c>
      <c r="E391" s="76">
        <v>28.247413999999999</v>
      </c>
      <c r="F391" s="76">
        <v>13.719810999999901</v>
      </c>
      <c r="G391" s="79">
        <v>189100</v>
      </c>
    </row>
    <row r="392" spans="1:7" x14ac:dyDescent="0.25">
      <c r="A392" s="1" t="s">
        <v>515</v>
      </c>
      <c r="B392" s="76">
        <v>28.313257</v>
      </c>
      <c r="C392" s="76">
        <v>28.437632000000001</v>
      </c>
      <c r="D392" s="76">
        <v>28.232779999999899</v>
      </c>
      <c r="E392" s="76">
        <v>28.430315</v>
      </c>
      <c r="F392" s="76">
        <v>13.808648</v>
      </c>
      <c r="G392" s="79">
        <v>135500</v>
      </c>
    </row>
    <row r="393" spans="1:7" x14ac:dyDescent="0.25">
      <c r="A393" s="1" t="s">
        <v>516</v>
      </c>
      <c r="B393" s="76">
        <v>28.459578999999898</v>
      </c>
      <c r="C393" s="76">
        <v>28.459578999999898</v>
      </c>
      <c r="D393" s="76">
        <v>28.276678</v>
      </c>
      <c r="E393" s="76">
        <v>28.386419</v>
      </c>
      <c r="F393" s="76">
        <v>13.787328</v>
      </c>
      <c r="G393" s="79">
        <v>107700</v>
      </c>
    </row>
    <row r="394" spans="1:7" x14ac:dyDescent="0.25">
      <c r="A394" s="1" t="s">
        <v>517</v>
      </c>
      <c r="B394" s="76">
        <v>28.386419</v>
      </c>
      <c r="C394" s="76">
        <v>28.496160999999901</v>
      </c>
      <c r="D394" s="76">
        <v>28.071826999999999</v>
      </c>
      <c r="E394" s="76">
        <v>28.240096999999999</v>
      </c>
      <c r="F394" s="76">
        <v>13.716260999999999</v>
      </c>
      <c r="G394" s="79">
        <v>107500</v>
      </c>
    </row>
    <row r="395" spans="1:7" x14ac:dyDescent="0.25">
      <c r="A395" s="1" t="s">
        <v>518</v>
      </c>
      <c r="B395" s="76">
        <v>28.276678</v>
      </c>
      <c r="C395" s="76">
        <v>28.401050999999999</v>
      </c>
      <c r="D395" s="76">
        <v>27.947453999999901</v>
      </c>
      <c r="E395" s="76">
        <v>27.954768999999999</v>
      </c>
      <c r="F395" s="76">
        <v>13.577674999999999</v>
      </c>
      <c r="G395" s="79">
        <v>211400</v>
      </c>
    </row>
    <row r="396" spans="1:7" x14ac:dyDescent="0.25">
      <c r="A396" s="1" t="s">
        <v>519</v>
      </c>
      <c r="B396" s="76">
        <v>27.954768999999999</v>
      </c>
      <c r="C396" s="76">
        <v>27.984034000000001</v>
      </c>
      <c r="D396" s="76">
        <v>27.727969999999999</v>
      </c>
      <c r="E396" s="76">
        <v>27.984034000000001</v>
      </c>
      <c r="F396" s="76">
        <v>13.591888000000001</v>
      </c>
      <c r="G396" s="79">
        <v>185100</v>
      </c>
    </row>
    <row r="397" spans="1:7" x14ac:dyDescent="0.25">
      <c r="A397" s="1" t="s">
        <v>520</v>
      </c>
      <c r="B397" s="76">
        <v>27.947453999999901</v>
      </c>
      <c r="C397" s="76">
        <v>28.349837999999998</v>
      </c>
      <c r="D397" s="76">
        <v>27.896239999999999</v>
      </c>
      <c r="E397" s="76">
        <v>28.181567999999999</v>
      </c>
      <c r="F397" s="76">
        <v>13.687830999999999</v>
      </c>
      <c r="G397" s="79">
        <v>282800</v>
      </c>
    </row>
    <row r="398" spans="1:7" x14ac:dyDescent="0.25">
      <c r="A398" s="1" t="s">
        <v>521</v>
      </c>
      <c r="B398" s="76">
        <v>28.357154999999999</v>
      </c>
      <c r="C398" s="76">
        <v>28.518108000000002</v>
      </c>
      <c r="D398" s="76">
        <v>28.130355999999999</v>
      </c>
      <c r="E398" s="76">
        <v>28.459578999999898</v>
      </c>
      <c r="F398" s="76">
        <v>13.82286</v>
      </c>
      <c r="G398" s="79">
        <v>177800</v>
      </c>
    </row>
    <row r="399" spans="1:7" x14ac:dyDescent="0.25">
      <c r="A399" s="1" t="s">
        <v>522</v>
      </c>
      <c r="B399" s="76">
        <v>28.503477</v>
      </c>
      <c r="C399" s="76">
        <v>28.562003999999899</v>
      </c>
      <c r="D399" s="76">
        <v>28.130355999999999</v>
      </c>
      <c r="E399" s="76">
        <v>28.166937000000001</v>
      </c>
      <c r="F399" s="76">
        <v>13.680723</v>
      </c>
      <c r="G399" s="79">
        <v>89600</v>
      </c>
    </row>
    <row r="400" spans="1:7" x14ac:dyDescent="0.25">
      <c r="A400" s="1" t="s">
        <v>523</v>
      </c>
      <c r="B400" s="76">
        <v>28.020614999999999</v>
      </c>
      <c r="C400" s="76">
        <v>28.371786</v>
      </c>
      <c r="D400" s="76">
        <v>28.020614999999999</v>
      </c>
      <c r="E400" s="76">
        <v>28.269361</v>
      </c>
      <c r="F400" s="76">
        <v>13.730472000000001</v>
      </c>
      <c r="G400" s="79">
        <v>174000</v>
      </c>
    </row>
    <row r="401" spans="1:7" x14ac:dyDescent="0.25">
      <c r="A401" s="1" t="s">
        <v>524</v>
      </c>
      <c r="B401" s="76">
        <v>28.349837999999998</v>
      </c>
      <c r="C401" s="76">
        <v>28.488844</v>
      </c>
      <c r="D401" s="76">
        <v>28.232779999999899</v>
      </c>
      <c r="E401" s="76">
        <v>28.364471000000002</v>
      </c>
      <c r="F401" s="76">
        <v>13.7766679999999</v>
      </c>
      <c r="G401" s="79">
        <v>180000</v>
      </c>
    </row>
    <row r="402" spans="1:7" x14ac:dyDescent="0.25">
      <c r="A402" s="1" t="s">
        <v>525</v>
      </c>
      <c r="B402" s="76">
        <v>28.093775000000001</v>
      </c>
      <c r="C402" s="76">
        <v>28.422998</v>
      </c>
      <c r="D402" s="76">
        <v>27.984034000000001</v>
      </c>
      <c r="E402" s="76">
        <v>28.393733999999998</v>
      </c>
      <c r="F402" s="76">
        <v>14.007294999999999</v>
      </c>
      <c r="G402" s="79">
        <v>210800</v>
      </c>
    </row>
    <row r="403" spans="1:7" x14ac:dyDescent="0.25">
      <c r="A403" s="1" t="s">
        <v>526</v>
      </c>
      <c r="B403" s="76">
        <v>28.393733999999998</v>
      </c>
      <c r="C403" s="76">
        <v>28.53274</v>
      </c>
      <c r="D403" s="76">
        <v>28.276678</v>
      </c>
      <c r="E403" s="76">
        <v>28.371786</v>
      </c>
      <c r="F403" s="76">
        <v>13.996466</v>
      </c>
      <c r="G403" s="79">
        <v>193500</v>
      </c>
    </row>
    <row r="404" spans="1:7" x14ac:dyDescent="0.25">
      <c r="A404" s="1" t="s">
        <v>527</v>
      </c>
      <c r="B404" s="76">
        <v>28.496160999999901</v>
      </c>
      <c r="C404" s="76">
        <v>28.613218</v>
      </c>
      <c r="D404" s="76">
        <v>28.488844</v>
      </c>
      <c r="E404" s="76">
        <v>28.591269</v>
      </c>
      <c r="F404" s="76">
        <v>14.104745999999899</v>
      </c>
      <c r="G404" s="79">
        <v>300200</v>
      </c>
    </row>
    <row r="405" spans="1:7" x14ac:dyDescent="0.25">
      <c r="A405" s="1" t="s">
        <v>528</v>
      </c>
      <c r="B405" s="76">
        <v>28.679061999999998</v>
      </c>
      <c r="C405" s="76">
        <v>28.752223999999998</v>
      </c>
      <c r="D405" s="76">
        <v>28.679061999999998</v>
      </c>
      <c r="E405" s="76">
        <v>28.752223999999998</v>
      </c>
      <c r="F405" s="76">
        <v>14.184142999999899</v>
      </c>
      <c r="G405" s="79">
        <v>191900</v>
      </c>
    </row>
    <row r="406" spans="1:7" x14ac:dyDescent="0.25">
      <c r="A406" s="1" t="s">
        <v>529</v>
      </c>
      <c r="B406" s="76">
        <v>28.752223999999998</v>
      </c>
      <c r="C406" s="76">
        <v>28.935124999999999</v>
      </c>
      <c r="D406" s="76">
        <v>28.642482999999999</v>
      </c>
      <c r="E406" s="76">
        <v>28.905860999999899</v>
      </c>
      <c r="F406" s="76">
        <v>14.259942000000001</v>
      </c>
      <c r="G406" s="79">
        <v>235000</v>
      </c>
    </row>
    <row r="407" spans="1:7" x14ac:dyDescent="0.25">
      <c r="A407" s="1" t="s">
        <v>530</v>
      </c>
      <c r="B407" s="76">
        <v>28.935124999999999</v>
      </c>
      <c r="C407" s="76">
        <v>29.008285999999998</v>
      </c>
      <c r="D407" s="76">
        <v>28.715643</v>
      </c>
      <c r="E407" s="76">
        <v>29.008285999999998</v>
      </c>
      <c r="F407" s="76">
        <v>14.310473</v>
      </c>
      <c r="G407" s="79">
        <v>150700</v>
      </c>
    </row>
    <row r="408" spans="1:7" x14ac:dyDescent="0.25">
      <c r="A408" s="1" t="s">
        <v>531</v>
      </c>
      <c r="B408" s="76">
        <v>29.008285999999998</v>
      </c>
      <c r="C408" s="76">
        <v>29.264348999999999</v>
      </c>
      <c r="D408" s="76">
        <v>28.971706000000001</v>
      </c>
      <c r="E408" s="76">
        <v>29.264348999999999</v>
      </c>
      <c r="F408" s="76">
        <v>14.436783999999999</v>
      </c>
      <c r="G408" s="79">
        <v>430600</v>
      </c>
    </row>
    <row r="409" spans="1:7" x14ac:dyDescent="0.25">
      <c r="A409" s="1" t="s">
        <v>532</v>
      </c>
      <c r="B409" s="76">
        <v>29.264348999999999</v>
      </c>
      <c r="C409" s="76">
        <v>29.264348999999999</v>
      </c>
      <c r="D409" s="76">
        <v>28.935124999999999</v>
      </c>
      <c r="E409" s="76">
        <v>29.264348999999999</v>
      </c>
      <c r="F409" s="76">
        <v>14.436783999999999</v>
      </c>
      <c r="G409" s="79">
        <v>585600</v>
      </c>
    </row>
    <row r="410" spans="1:7" x14ac:dyDescent="0.25">
      <c r="A410" s="1" t="s">
        <v>533</v>
      </c>
      <c r="B410" s="76">
        <v>29.264348999999999</v>
      </c>
      <c r="C410" s="76">
        <v>29.703313999999999</v>
      </c>
      <c r="D410" s="76">
        <v>29.227767999999902</v>
      </c>
      <c r="E410" s="76">
        <v>29.61552</v>
      </c>
      <c r="F410" s="76">
        <v>14.610033</v>
      </c>
      <c r="G410" s="79">
        <v>533900</v>
      </c>
    </row>
    <row r="411" spans="1:7" x14ac:dyDescent="0.25">
      <c r="A411" s="1" t="s">
        <v>534</v>
      </c>
      <c r="B411" s="76">
        <v>29.622837000000001</v>
      </c>
      <c r="C411" s="76">
        <v>29.739895000000001</v>
      </c>
      <c r="D411" s="76">
        <v>29.410671000000001</v>
      </c>
      <c r="E411" s="76">
        <v>29.666734999999999</v>
      </c>
      <c r="F411" s="76">
        <v>14.635298000000001</v>
      </c>
      <c r="G411" s="79">
        <v>336800</v>
      </c>
    </row>
    <row r="412" spans="1:7" x14ac:dyDescent="0.25">
      <c r="A412" s="1" t="s">
        <v>535</v>
      </c>
      <c r="B412" s="76">
        <v>29.644784999999999</v>
      </c>
      <c r="C412" s="76">
        <v>29.666734999999999</v>
      </c>
      <c r="D412" s="76">
        <v>29.337509000000001</v>
      </c>
      <c r="E412" s="76">
        <v>29.410671000000001</v>
      </c>
      <c r="F412" s="76">
        <v>14.508973999999901</v>
      </c>
      <c r="G412" s="79">
        <v>133200</v>
      </c>
    </row>
    <row r="413" spans="1:7" x14ac:dyDescent="0.25">
      <c r="A413" s="1" t="s">
        <v>536</v>
      </c>
      <c r="B413" s="76">
        <v>29.410671000000001</v>
      </c>
      <c r="C413" s="76">
        <v>29.813054999999999</v>
      </c>
      <c r="D413" s="76">
        <v>29.235084999999899</v>
      </c>
      <c r="E413" s="76">
        <v>29.761842999999999</v>
      </c>
      <c r="F413" s="76">
        <v>14.682214</v>
      </c>
      <c r="G413" s="79">
        <v>120100</v>
      </c>
    </row>
    <row r="414" spans="1:7" x14ac:dyDescent="0.25">
      <c r="A414" s="1" t="s">
        <v>537</v>
      </c>
      <c r="B414" s="76">
        <v>29.630153999999902</v>
      </c>
      <c r="C414" s="76">
        <v>29.776475999999999</v>
      </c>
      <c r="D414" s="76">
        <v>29.417988000000001</v>
      </c>
      <c r="E414" s="76">
        <v>29.776475999999999</v>
      </c>
      <c r="F414" s="76">
        <v>14.689432</v>
      </c>
      <c r="G414" s="79">
        <v>163500</v>
      </c>
    </row>
    <row r="415" spans="1:7" x14ac:dyDescent="0.25">
      <c r="A415" s="1" t="s">
        <v>538</v>
      </c>
      <c r="B415" s="76">
        <v>29.849636</v>
      </c>
      <c r="C415" s="76">
        <v>30.288601</v>
      </c>
      <c r="D415" s="76">
        <v>29.535043999999999</v>
      </c>
      <c r="E415" s="76">
        <v>29.952060999999901</v>
      </c>
      <c r="F415" s="76">
        <v>14.776056000000001</v>
      </c>
      <c r="G415" s="79">
        <v>277700</v>
      </c>
    </row>
    <row r="416" spans="1:7" x14ac:dyDescent="0.25">
      <c r="A416" s="1" t="s">
        <v>539</v>
      </c>
      <c r="B416" s="76">
        <v>29.995958000000002</v>
      </c>
      <c r="C416" s="76">
        <v>30.039853999999998</v>
      </c>
      <c r="D416" s="76">
        <v>29.871583999999999</v>
      </c>
      <c r="E416" s="76">
        <v>29.995958000000002</v>
      </c>
      <c r="F416" s="76">
        <v>14.797715</v>
      </c>
      <c r="G416" s="79">
        <v>323200</v>
      </c>
    </row>
    <row r="417" spans="1:7" x14ac:dyDescent="0.25">
      <c r="A417" s="1" t="s">
        <v>540</v>
      </c>
      <c r="B417" s="76">
        <v>29.995958000000002</v>
      </c>
      <c r="C417" s="76">
        <v>30.434922999999898</v>
      </c>
      <c r="D417" s="76">
        <v>29.966694</v>
      </c>
      <c r="E417" s="76">
        <v>30.434922999999898</v>
      </c>
      <c r="F417" s="76">
        <v>15.014264000000001</v>
      </c>
      <c r="G417" s="79">
        <v>528300</v>
      </c>
    </row>
    <row r="418" spans="1:7" x14ac:dyDescent="0.25">
      <c r="A418" s="1" t="s">
        <v>541</v>
      </c>
      <c r="B418" s="76">
        <v>30.434922999999898</v>
      </c>
      <c r="C418" s="76">
        <v>30.434922999999898</v>
      </c>
      <c r="D418" s="76">
        <v>29.922796000000002</v>
      </c>
      <c r="E418" s="76">
        <v>29.9740099999999</v>
      </c>
      <c r="F418" s="76">
        <v>14.786891000000001</v>
      </c>
      <c r="G418" s="79">
        <v>476700</v>
      </c>
    </row>
    <row r="419" spans="1:7" x14ac:dyDescent="0.25">
      <c r="A419" s="1" t="s">
        <v>542</v>
      </c>
      <c r="B419" s="76">
        <v>30.120331</v>
      </c>
      <c r="C419" s="76">
        <v>30.434922999999898</v>
      </c>
      <c r="D419" s="76">
        <v>29.995958000000002</v>
      </c>
      <c r="E419" s="76">
        <v>30.252021999999901</v>
      </c>
      <c r="F419" s="76">
        <v>14.924032</v>
      </c>
      <c r="G419" s="79">
        <v>226200</v>
      </c>
    </row>
    <row r="420" spans="1:7" x14ac:dyDescent="0.25">
      <c r="A420" s="1" t="s">
        <v>543</v>
      </c>
      <c r="B420" s="76">
        <v>30.273969999999998</v>
      </c>
      <c r="C420" s="76">
        <v>30.288601</v>
      </c>
      <c r="D420" s="76">
        <v>30.142281000000001</v>
      </c>
      <c r="E420" s="76">
        <v>30.215440999999998</v>
      </c>
      <c r="F420" s="76">
        <v>14.905994</v>
      </c>
      <c r="G420" s="79">
        <v>360800</v>
      </c>
    </row>
    <row r="421" spans="1:7" x14ac:dyDescent="0.25">
      <c r="A421" s="1" t="s">
        <v>544</v>
      </c>
      <c r="B421" s="76">
        <v>30.105699999999999</v>
      </c>
      <c r="C421" s="76">
        <v>30.149595000000001</v>
      </c>
      <c r="D421" s="76">
        <v>29.922796000000002</v>
      </c>
      <c r="E421" s="76">
        <v>30.069118</v>
      </c>
      <c r="F421" s="76">
        <v>14.8338049999999</v>
      </c>
      <c r="G421" s="79">
        <v>508700</v>
      </c>
    </row>
    <row r="422" spans="1:7" x14ac:dyDescent="0.25">
      <c r="A422" s="1" t="s">
        <v>545</v>
      </c>
      <c r="B422" s="76">
        <v>30.061802</v>
      </c>
      <c r="C422" s="76">
        <v>30.281285999999898</v>
      </c>
      <c r="D422" s="76">
        <v>29.300929999999902</v>
      </c>
      <c r="E422" s="76">
        <v>29.535043999999999</v>
      </c>
      <c r="F422" s="76">
        <v>14.5703329999999</v>
      </c>
      <c r="G422" s="79">
        <v>229800</v>
      </c>
    </row>
    <row r="423" spans="1:7" x14ac:dyDescent="0.25">
      <c r="A423" s="1" t="s">
        <v>546</v>
      </c>
      <c r="B423" s="76">
        <v>29.681365999999901</v>
      </c>
      <c r="C423" s="76">
        <v>29.783790999999901</v>
      </c>
      <c r="D423" s="76">
        <v>29.337509000000001</v>
      </c>
      <c r="E423" s="76">
        <v>29.344826000000001</v>
      </c>
      <c r="F423" s="76">
        <v>14.476490999999999</v>
      </c>
      <c r="G423" s="79">
        <v>114400</v>
      </c>
    </row>
    <row r="424" spans="1:7" x14ac:dyDescent="0.25">
      <c r="A424" s="1" t="s">
        <v>547</v>
      </c>
      <c r="B424" s="76">
        <v>29.176556000000001</v>
      </c>
      <c r="C424" s="76">
        <v>29.278981999999999</v>
      </c>
      <c r="D424" s="76">
        <v>29.044867</v>
      </c>
      <c r="E424" s="76">
        <v>29.264348999999999</v>
      </c>
      <c r="F424" s="76">
        <v>14.436783999999999</v>
      </c>
      <c r="G424" s="79">
        <v>159800</v>
      </c>
    </row>
    <row r="425" spans="1:7" x14ac:dyDescent="0.25">
      <c r="A425" s="1" t="s">
        <v>548</v>
      </c>
      <c r="B425" s="76">
        <v>29.410671000000001</v>
      </c>
      <c r="C425" s="76">
        <v>29.439935999999999</v>
      </c>
      <c r="D425" s="76">
        <v>29.074131000000001</v>
      </c>
      <c r="E425" s="76">
        <v>29.118027000000001</v>
      </c>
      <c r="F425" s="76">
        <v>14.364606</v>
      </c>
      <c r="G425" s="79">
        <v>219100</v>
      </c>
    </row>
    <row r="426" spans="1:7" x14ac:dyDescent="0.25">
      <c r="A426" s="1" t="s">
        <v>549</v>
      </c>
      <c r="B426" s="76">
        <v>29.132659999999898</v>
      </c>
      <c r="C426" s="76">
        <v>29.264348999999999</v>
      </c>
      <c r="D426" s="76">
        <v>28.883913</v>
      </c>
      <c r="E426" s="76">
        <v>28.883913</v>
      </c>
      <c r="F426" s="76">
        <v>14.249110999999999</v>
      </c>
      <c r="G426" s="79">
        <v>304400</v>
      </c>
    </row>
    <row r="427" spans="1:7" x14ac:dyDescent="0.25">
      <c r="A427" s="1" t="s">
        <v>550</v>
      </c>
      <c r="B427" s="76">
        <v>28.883913</v>
      </c>
      <c r="C427" s="76">
        <v>28.883913</v>
      </c>
      <c r="D427" s="76">
        <v>28.071826999999999</v>
      </c>
      <c r="E427" s="76">
        <v>28.071826999999999</v>
      </c>
      <c r="F427" s="76">
        <v>13.84849</v>
      </c>
      <c r="G427" s="79">
        <v>281500</v>
      </c>
    </row>
    <row r="428" spans="1:7" x14ac:dyDescent="0.25">
      <c r="A428" s="1" t="s">
        <v>551</v>
      </c>
      <c r="B428" s="76">
        <v>27.984034000000001</v>
      </c>
      <c r="C428" s="76">
        <v>27.984034000000001</v>
      </c>
      <c r="D428" s="76">
        <v>27.801131999999999</v>
      </c>
      <c r="E428" s="76">
        <v>27.801131999999999</v>
      </c>
      <c r="F428" s="76">
        <v>13.714948999999899</v>
      </c>
      <c r="G428" s="79">
        <v>461500</v>
      </c>
    </row>
    <row r="429" spans="1:7" x14ac:dyDescent="0.25">
      <c r="A429" s="1" t="s">
        <v>552</v>
      </c>
      <c r="B429" s="76">
        <v>29.813054999999999</v>
      </c>
      <c r="C429" s="76">
        <v>29.995958000000002</v>
      </c>
      <c r="D429" s="76">
        <v>28.459578999999898</v>
      </c>
      <c r="E429" s="76">
        <v>28.664431</v>
      </c>
      <c r="F429" s="76">
        <v>14.140838</v>
      </c>
      <c r="G429" s="79">
        <v>6141100</v>
      </c>
    </row>
    <row r="430" spans="1:7" x14ac:dyDescent="0.25">
      <c r="A430" s="1" t="s">
        <v>553</v>
      </c>
      <c r="B430" s="76">
        <v>29.154608</v>
      </c>
      <c r="C430" s="76">
        <v>29.300929999999902</v>
      </c>
      <c r="D430" s="76">
        <v>28.386419</v>
      </c>
      <c r="E430" s="76">
        <v>28.825384</v>
      </c>
      <c r="F430" s="76">
        <v>14.220235000000001</v>
      </c>
      <c r="G430" s="79">
        <v>4857000</v>
      </c>
    </row>
    <row r="431" spans="1:7" x14ac:dyDescent="0.25">
      <c r="A431" s="1" t="s">
        <v>554</v>
      </c>
      <c r="B431" s="76">
        <v>29.081447999999899</v>
      </c>
      <c r="C431" s="76">
        <v>29.410671000000001</v>
      </c>
      <c r="D431" s="76">
        <v>28.093775000000001</v>
      </c>
      <c r="E431" s="76">
        <v>28.583953999999999</v>
      </c>
      <c r="F431" s="76">
        <v>14.101138000000001</v>
      </c>
      <c r="G431" s="79">
        <v>768400</v>
      </c>
    </row>
    <row r="432" spans="1:7" x14ac:dyDescent="0.25">
      <c r="A432" s="1" t="s">
        <v>555</v>
      </c>
      <c r="B432" s="76">
        <v>28.583953999999999</v>
      </c>
      <c r="C432" s="76">
        <v>28.679061999999998</v>
      </c>
      <c r="D432" s="76">
        <v>27.727969999999999</v>
      </c>
      <c r="E432" s="76">
        <v>28.349837999999998</v>
      </c>
      <c r="F432" s="76">
        <v>13.98564</v>
      </c>
      <c r="G432" s="79">
        <v>855900</v>
      </c>
    </row>
    <row r="433" spans="1:7" x14ac:dyDescent="0.25">
      <c r="A433" s="1" t="s">
        <v>556</v>
      </c>
      <c r="B433" s="76">
        <v>28.020614999999999</v>
      </c>
      <c r="C433" s="76">
        <v>28.269361</v>
      </c>
      <c r="D433" s="76">
        <v>27.398745999999999</v>
      </c>
      <c r="E433" s="76">
        <v>27.764551000000001</v>
      </c>
      <c r="F433" s="76">
        <v>13.696906999999999</v>
      </c>
      <c r="G433" s="79">
        <v>1014600</v>
      </c>
    </row>
    <row r="434" spans="1:7" x14ac:dyDescent="0.25">
      <c r="A434" s="1" t="s">
        <v>557</v>
      </c>
      <c r="B434" s="76">
        <v>28.093775000000001</v>
      </c>
      <c r="C434" s="76">
        <v>28.642482999999999</v>
      </c>
      <c r="D434" s="76">
        <v>27.742602999999999</v>
      </c>
      <c r="E434" s="76">
        <v>27.874291999999901</v>
      </c>
      <c r="F434" s="76">
        <v>13.751035999999999</v>
      </c>
      <c r="G434" s="79">
        <v>515500</v>
      </c>
    </row>
    <row r="435" spans="1:7" x14ac:dyDescent="0.25">
      <c r="A435" s="1" t="s">
        <v>558</v>
      </c>
      <c r="B435" s="76">
        <v>28.042562</v>
      </c>
      <c r="C435" s="76">
        <v>28.313257</v>
      </c>
      <c r="D435" s="76">
        <v>27.764551000000001</v>
      </c>
      <c r="E435" s="76">
        <v>28.203515999999901</v>
      </c>
      <c r="F435" s="76">
        <v>13.9134619999999</v>
      </c>
      <c r="G435" s="79">
        <v>922900</v>
      </c>
    </row>
    <row r="436" spans="1:7" x14ac:dyDescent="0.25">
      <c r="A436" s="1" t="s">
        <v>559</v>
      </c>
      <c r="B436" s="76">
        <v>28.349837999999998</v>
      </c>
      <c r="C436" s="76">
        <v>28.971706000000001</v>
      </c>
      <c r="D436" s="76">
        <v>28.093775000000001</v>
      </c>
      <c r="E436" s="76">
        <v>28.459578999999898</v>
      </c>
      <c r="F436" s="76">
        <v>14.039778999999999</v>
      </c>
      <c r="G436" s="79">
        <v>472900</v>
      </c>
    </row>
    <row r="437" spans="1:7" x14ac:dyDescent="0.25">
      <c r="A437" s="1" t="s">
        <v>560</v>
      </c>
      <c r="B437" s="76">
        <v>28.679061999999998</v>
      </c>
      <c r="C437" s="76">
        <v>28.898544000000001</v>
      </c>
      <c r="D437" s="76">
        <v>28.510791999999999</v>
      </c>
      <c r="E437" s="76">
        <v>28.810751</v>
      </c>
      <c r="F437" s="76">
        <v>14.213020999999999</v>
      </c>
      <c r="G437" s="79">
        <v>545900</v>
      </c>
    </row>
    <row r="438" spans="1:7" x14ac:dyDescent="0.25">
      <c r="A438" s="1" t="s">
        <v>561</v>
      </c>
      <c r="B438" s="76">
        <v>28.971706000000001</v>
      </c>
      <c r="C438" s="76">
        <v>29.293613000000001</v>
      </c>
      <c r="D438" s="76">
        <v>28.861965000000001</v>
      </c>
      <c r="E438" s="76">
        <v>29.044867</v>
      </c>
      <c r="F438" s="76">
        <v>14.328520999999901</v>
      </c>
      <c r="G438" s="79">
        <v>443300</v>
      </c>
    </row>
    <row r="439" spans="1:7" x14ac:dyDescent="0.25">
      <c r="A439" s="1" t="s">
        <v>562</v>
      </c>
      <c r="B439" s="76">
        <v>29.227767999999902</v>
      </c>
      <c r="C439" s="76">
        <v>29.227767999999902</v>
      </c>
      <c r="D439" s="76">
        <v>28.459578999999898</v>
      </c>
      <c r="E439" s="76">
        <v>28.605902</v>
      </c>
      <c r="F439" s="76">
        <v>14.111967</v>
      </c>
      <c r="G439" s="79">
        <v>708900</v>
      </c>
    </row>
    <row r="440" spans="1:7" x14ac:dyDescent="0.25">
      <c r="A440" s="1" t="s">
        <v>563</v>
      </c>
      <c r="B440" s="76">
        <v>28.605902</v>
      </c>
      <c r="C440" s="76">
        <v>28.752223999999998</v>
      </c>
      <c r="D440" s="76">
        <v>27.976716999999901</v>
      </c>
      <c r="E440" s="76">
        <v>28.262045000000001</v>
      </c>
      <c r="F440" s="76">
        <v>13.942328</v>
      </c>
      <c r="G440" s="79">
        <v>379500</v>
      </c>
    </row>
    <row r="441" spans="1:7" x14ac:dyDescent="0.25">
      <c r="A441" s="1" t="s">
        <v>564</v>
      </c>
      <c r="B441" s="76">
        <v>28.166937000000001</v>
      </c>
      <c r="C441" s="76">
        <v>28.166937000000001</v>
      </c>
      <c r="D441" s="76">
        <v>27.41338</v>
      </c>
      <c r="E441" s="76">
        <v>27.508488</v>
      </c>
      <c r="F441" s="76">
        <v>13.570585999999899</v>
      </c>
      <c r="G441" s="79">
        <v>2085100</v>
      </c>
    </row>
    <row r="442" spans="1:7" x14ac:dyDescent="0.25">
      <c r="A442" s="1" t="s">
        <v>565</v>
      </c>
      <c r="B442" s="76">
        <v>27.58165</v>
      </c>
      <c r="C442" s="76">
        <v>28.861965000000001</v>
      </c>
      <c r="D442" s="76">
        <v>27.58165</v>
      </c>
      <c r="E442" s="76">
        <v>27.991350000000001</v>
      </c>
      <c r="F442" s="76">
        <v>13.808785</v>
      </c>
      <c r="G442" s="79">
        <v>544800</v>
      </c>
    </row>
    <row r="443" spans="1:7" x14ac:dyDescent="0.25">
      <c r="A443" s="1" t="s">
        <v>566</v>
      </c>
      <c r="B443" s="76">
        <v>27.845027999999999</v>
      </c>
      <c r="C443" s="76">
        <v>28.020614999999999</v>
      </c>
      <c r="D443" s="76">
        <v>27.215845000000002</v>
      </c>
      <c r="E443" s="76">
        <v>27.947453999999901</v>
      </c>
      <c r="F443" s="76">
        <v>13.787141999999999</v>
      </c>
      <c r="G443" s="79">
        <v>255900</v>
      </c>
    </row>
    <row r="444" spans="1:7" x14ac:dyDescent="0.25">
      <c r="A444" s="1" t="s">
        <v>567</v>
      </c>
      <c r="B444" s="76">
        <v>27.837710999999999</v>
      </c>
      <c r="C444" s="76">
        <v>27.998666999999902</v>
      </c>
      <c r="D444" s="76">
        <v>27.58165</v>
      </c>
      <c r="E444" s="76">
        <v>27.6913909999999</v>
      </c>
      <c r="F444" s="76">
        <v>13.660816000000001</v>
      </c>
      <c r="G444" s="79">
        <v>232800</v>
      </c>
    </row>
    <row r="445" spans="1:7" x14ac:dyDescent="0.25">
      <c r="A445" s="1" t="s">
        <v>568</v>
      </c>
      <c r="B445" s="76">
        <v>27.764551000000001</v>
      </c>
      <c r="C445" s="76">
        <v>28.152303999999901</v>
      </c>
      <c r="D445" s="76">
        <v>27.662127000000002</v>
      </c>
      <c r="E445" s="76">
        <v>28.115722999999999</v>
      </c>
      <c r="F445" s="76">
        <v>13.870146999999999</v>
      </c>
      <c r="G445" s="79">
        <v>337700</v>
      </c>
    </row>
    <row r="446" spans="1:7" x14ac:dyDescent="0.25">
      <c r="A446" s="1" t="s">
        <v>569</v>
      </c>
      <c r="B446" s="76">
        <v>28.057196000000001</v>
      </c>
      <c r="C446" s="76">
        <v>28.262045000000001</v>
      </c>
      <c r="D446" s="76">
        <v>27.325585999999898</v>
      </c>
      <c r="E446" s="76">
        <v>28.130355999999999</v>
      </c>
      <c r="F446" s="76">
        <v>13.877359999999999</v>
      </c>
      <c r="G446" s="79">
        <v>272900</v>
      </c>
    </row>
    <row r="447" spans="1:7" x14ac:dyDescent="0.25">
      <c r="A447" s="1" t="s">
        <v>570</v>
      </c>
      <c r="B447" s="76">
        <v>27.947453999999901</v>
      </c>
      <c r="C447" s="76">
        <v>28.825384</v>
      </c>
      <c r="D447" s="76">
        <v>27.947453999999901</v>
      </c>
      <c r="E447" s="76">
        <v>28.708326</v>
      </c>
      <c r="F447" s="76">
        <v>14.162495</v>
      </c>
      <c r="G447" s="79">
        <v>454100</v>
      </c>
    </row>
    <row r="448" spans="1:7" x14ac:dyDescent="0.25">
      <c r="A448" s="1" t="s">
        <v>571</v>
      </c>
      <c r="B448" s="76">
        <v>28.861965000000001</v>
      </c>
      <c r="C448" s="76">
        <v>28.861965000000001</v>
      </c>
      <c r="D448" s="76">
        <v>28.181567999999999</v>
      </c>
      <c r="E448" s="76">
        <v>28.32789</v>
      </c>
      <c r="F448" s="76">
        <v>13.974812</v>
      </c>
      <c r="G448" s="79">
        <v>325300</v>
      </c>
    </row>
    <row r="449" spans="1:7" x14ac:dyDescent="0.25">
      <c r="A449" s="1" t="s">
        <v>572</v>
      </c>
      <c r="B449" s="76">
        <v>28.488844</v>
      </c>
      <c r="C449" s="76">
        <v>28.788803000000001</v>
      </c>
      <c r="D449" s="76">
        <v>28.349837999999998</v>
      </c>
      <c r="E449" s="76">
        <v>28.730273999999898</v>
      </c>
      <c r="F449" s="76">
        <v>14.173318</v>
      </c>
      <c r="G449" s="79">
        <v>172100</v>
      </c>
    </row>
    <row r="450" spans="1:7" x14ac:dyDescent="0.25">
      <c r="A450" s="1" t="s">
        <v>573</v>
      </c>
      <c r="B450" s="76">
        <v>28.605902</v>
      </c>
      <c r="C450" s="76">
        <v>28.715643</v>
      </c>
      <c r="D450" s="76">
        <v>28.444947999999901</v>
      </c>
      <c r="E450" s="76">
        <v>28.569320999999999</v>
      </c>
      <c r="F450" s="76">
        <v>14.093921</v>
      </c>
      <c r="G450" s="79">
        <v>286600</v>
      </c>
    </row>
    <row r="451" spans="1:7" x14ac:dyDescent="0.25">
      <c r="A451" s="1" t="s">
        <v>574</v>
      </c>
      <c r="B451" s="76">
        <v>28.130355999999999</v>
      </c>
      <c r="C451" s="76">
        <v>28.276678</v>
      </c>
      <c r="D451" s="76">
        <v>27.984034000000001</v>
      </c>
      <c r="E451" s="76">
        <v>28.240096999999999</v>
      </c>
      <c r="F451" s="76">
        <v>13.931502999999999</v>
      </c>
      <c r="G451" s="79">
        <v>452700</v>
      </c>
    </row>
    <row r="452" spans="1:7" x14ac:dyDescent="0.25">
      <c r="A452" s="1" t="s">
        <v>575</v>
      </c>
      <c r="B452" s="76">
        <v>28.225465999999901</v>
      </c>
      <c r="C452" s="76">
        <v>28.232779999999899</v>
      </c>
      <c r="D452" s="76">
        <v>27.764551000000001</v>
      </c>
      <c r="E452" s="76">
        <v>27.903556999999999</v>
      </c>
      <c r="F452" s="76">
        <v>13.7654829999999</v>
      </c>
      <c r="G452" s="79">
        <v>548000</v>
      </c>
    </row>
    <row r="453" spans="1:7" x14ac:dyDescent="0.25">
      <c r="A453" s="1" t="s">
        <v>576</v>
      </c>
      <c r="B453" s="76">
        <v>28.020614999999999</v>
      </c>
      <c r="C453" s="76">
        <v>28.752223999999998</v>
      </c>
      <c r="D453" s="76">
        <v>28.020614999999999</v>
      </c>
      <c r="E453" s="76">
        <v>28.752223999999998</v>
      </c>
      <c r="F453" s="76">
        <v>14.184142999999899</v>
      </c>
      <c r="G453" s="79">
        <v>900300</v>
      </c>
    </row>
    <row r="454" spans="1:7" x14ac:dyDescent="0.25">
      <c r="A454" s="1" t="s">
        <v>577</v>
      </c>
      <c r="B454" s="76">
        <v>28.752223999999998</v>
      </c>
      <c r="C454" s="76">
        <v>28.752223999999998</v>
      </c>
      <c r="D454" s="76">
        <v>27.910872999999999</v>
      </c>
      <c r="E454" s="76">
        <v>28.349837999999998</v>
      </c>
      <c r="F454" s="76">
        <v>13.98564</v>
      </c>
      <c r="G454" s="79">
        <v>616800</v>
      </c>
    </row>
    <row r="455" spans="1:7" x14ac:dyDescent="0.25">
      <c r="A455" s="1" t="s">
        <v>578</v>
      </c>
      <c r="B455" s="76">
        <v>28.715643</v>
      </c>
      <c r="C455" s="76">
        <v>28.854648999999998</v>
      </c>
      <c r="D455" s="76">
        <v>28.605902</v>
      </c>
      <c r="E455" s="76">
        <v>28.715643</v>
      </c>
      <c r="F455" s="76">
        <v>14.166104000000001</v>
      </c>
      <c r="G455" s="79">
        <v>705000</v>
      </c>
    </row>
    <row r="456" spans="1:7" x14ac:dyDescent="0.25">
      <c r="A456" s="1" t="s">
        <v>579</v>
      </c>
      <c r="B456" s="76">
        <v>28.715643</v>
      </c>
      <c r="C456" s="76">
        <v>28.715643</v>
      </c>
      <c r="D456" s="76">
        <v>28.349837999999998</v>
      </c>
      <c r="E456" s="76">
        <v>28.386419</v>
      </c>
      <c r="F456" s="76">
        <v>14.003691</v>
      </c>
      <c r="G456" s="79">
        <v>947400</v>
      </c>
    </row>
    <row r="457" spans="1:7" x14ac:dyDescent="0.25">
      <c r="A457" s="1" t="s">
        <v>580</v>
      </c>
      <c r="B457" s="76">
        <v>28.569320999999999</v>
      </c>
      <c r="C457" s="76">
        <v>28.752223999999998</v>
      </c>
      <c r="D457" s="76">
        <v>28.459578999999898</v>
      </c>
      <c r="E457" s="76">
        <v>28.583953999999999</v>
      </c>
      <c r="F457" s="76">
        <v>14.101138000000001</v>
      </c>
      <c r="G457" s="79">
        <v>354400</v>
      </c>
    </row>
    <row r="458" spans="1:7" x14ac:dyDescent="0.25">
      <c r="A458" s="1" t="s">
        <v>581</v>
      </c>
      <c r="B458" s="76">
        <v>28.737590999999998</v>
      </c>
      <c r="C458" s="76">
        <v>28.752223999999998</v>
      </c>
      <c r="D458" s="76">
        <v>28.422998</v>
      </c>
      <c r="E458" s="76">
        <v>28.642482999999999</v>
      </c>
      <c r="F458" s="76">
        <v>14.130013</v>
      </c>
      <c r="G458" s="79">
        <v>630300</v>
      </c>
    </row>
    <row r="459" spans="1:7" x14ac:dyDescent="0.25">
      <c r="A459" s="1" t="s">
        <v>582</v>
      </c>
      <c r="B459" s="76">
        <v>28.752223999999998</v>
      </c>
      <c r="C459" s="76">
        <v>28.898544000000001</v>
      </c>
      <c r="D459" s="76">
        <v>28.562003999999899</v>
      </c>
      <c r="E459" s="76">
        <v>28.671745000000001</v>
      </c>
      <c r="F459" s="76">
        <v>14.1444429999999</v>
      </c>
      <c r="G459" s="79">
        <v>344300</v>
      </c>
    </row>
    <row r="460" spans="1:7" x14ac:dyDescent="0.25">
      <c r="A460" s="1" t="s">
        <v>583</v>
      </c>
      <c r="B460" s="76">
        <v>28.715643</v>
      </c>
      <c r="C460" s="76">
        <v>28.752223999999998</v>
      </c>
      <c r="D460" s="76">
        <v>28.386419</v>
      </c>
      <c r="E460" s="76">
        <v>28.525424999999998</v>
      </c>
      <c r="F460" s="76">
        <v>14.072260999999999</v>
      </c>
      <c r="G460" s="79">
        <v>378600</v>
      </c>
    </row>
    <row r="461" spans="1:7" x14ac:dyDescent="0.25">
      <c r="A461" s="1" t="s">
        <v>584</v>
      </c>
      <c r="B461" s="76">
        <v>28.605902</v>
      </c>
      <c r="C461" s="76">
        <v>28.781488</v>
      </c>
      <c r="D461" s="76">
        <v>28.459578999999898</v>
      </c>
      <c r="E461" s="76">
        <v>28.679061999999998</v>
      </c>
      <c r="F461" s="76">
        <v>14.148060999999901</v>
      </c>
      <c r="G461" s="79">
        <v>661500</v>
      </c>
    </row>
    <row r="462" spans="1:7" x14ac:dyDescent="0.25">
      <c r="A462" s="1" t="s">
        <v>585</v>
      </c>
      <c r="B462" s="76">
        <v>28.825384</v>
      </c>
      <c r="C462" s="76">
        <v>28.898544000000001</v>
      </c>
      <c r="D462" s="76">
        <v>28.569320999999999</v>
      </c>
      <c r="E462" s="76">
        <v>28.898544000000001</v>
      </c>
      <c r="F462" s="76">
        <v>14.50047</v>
      </c>
      <c r="G462" s="79">
        <v>829700</v>
      </c>
    </row>
    <row r="463" spans="1:7" x14ac:dyDescent="0.25">
      <c r="A463" s="1" t="s">
        <v>586</v>
      </c>
      <c r="B463" s="76">
        <v>28.861965000000001</v>
      </c>
      <c r="C463" s="76">
        <v>29.044867</v>
      </c>
      <c r="D463" s="76">
        <v>28.679061999999998</v>
      </c>
      <c r="E463" s="76">
        <v>28.898544000000001</v>
      </c>
      <c r="F463" s="76">
        <v>14.50047</v>
      </c>
      <c r="G463" s="79">
        <v>349600</v>
      </c>
    </row>
    <row r="464" spans="1:7" x14ac:dyDescent="0.25">
      <c r="A464" s="1" t="s">
        <v>587</v>
      </c>
      <c r="B464" s="76">
        <v>28.825384</v>
      </c>
      <c r="C464" s="76">
        <v>29.374089999999999</v>
      </c>
      <c r="D464" s="76">
        <v>28.562003999999899</v>
      </c>
      <c r="E464" s="76">
        <v>28.810751</v>
      </c>
      <c r="F464" s="76">
        <v>14.456419</v>
      </c>
      <c r="G464" s="79">
        <v>257300</v>
      </c>
    </row>
    <row r="465" spans="1:7" x14ac:dyDescent="0.25">
      <c r="A465" s="1" t="s">
        <v>588</v>
      </c>
      <c r="B465" s="76">
        <v>28.957072999999902</v>
      </c>
      <c r="C465" s="76">
        <v>29.410671000000001</v>
      </c>
      <c r="D465" s="76">
        <v>28.920494000000001</v>
      </c>
      <c r="E465" s="76">
        <v>29.410671000000001</v>
      </c>
      <c r="F465" s="76">
        <v>14.757439</v>
      </c>
      <c r="G465" s="79">
        <v>326200</v>
      </c>
    </row>
    <row r="466" spans="1:7" x14ac:dyDescent="0.25">
      <c r="A466" s="1" t="s">
        <v>589</v>
      </c>
      <c r="B466" s="76">
        <v>29.556992999999999</v>
      </c>
      <c r="C466" s="76">
        <v>29.600888999999999</v>
      </c>
      <c r="D466" s="76">
        <v>29.154608</v>
      </c>
      <c r="E466" s="76">
        <v>29.564308</v>
      </c>
      <c r="F466" s="76">
        <v>14.834531999999999</v>
      </c>
      <c r="G466" s="79">
        <v>323600</v>
      </c>
    </row>
    <row r="467" spans="1:7" x14ac:dyDescent="0.25">
      <c r="A467" s="1" t="s">
        <v>590</v>
      </c>
      <c r="B467" s="76">
        <v>29.739895000000001</v>
      </c>
      <c r="C467" s="76">
        <v>29.776475999999999</v>
      </c>
      <c r="D467" s="76">
        <v>29.410671000000001</v>
      </c>
      <c r="E467" s="76">
        <v>29.666734999999999</v>
      </c>
      <c r="F467" s="76">
        <v>14.885926999999899</v>
      </c>
      <c r="G467" s="79">
        <v>430700</v>
      </c>
    </row>
    <row r="468" spans="1:7" x14ac:dyDescent="0.25">
      <c r="A468" s="1" t="s">
        <v>591</v>
      </c>
      <c r="B468" s="76">
        <v>29.630153999999902</v>
      </c>
      <c r="C468" s="76">
        <v>29.63747</v>
      </c>
      <c r="D468" s="76">
        <v>29.227767999999902</v>
      </c>
      <c r="E468" s="76">
        <v>29.461884000000001</v>
      </c>
      <c r="F468" s="76">
        <v>14.7831429999999</v>
      </c>
      <c r="G468" s="79">
        <v>336300</v>
      </c>
    </row>
    <row r="469" spans="1:7" x14ac:dyDescent="0.25">
      <c r="A469" s="1" t="s">
        <v>592</v>
      </c>
      <c r="B469" s="76">
        <v>29.483830999999999</v>
      </c>
      <c r="C469" s="76">
        <v>29.483830999999999</v>
      </c>
      <c r="D469" s="76">
        <v>29.0595</v>
      </c>
      <c r="E469" s="76">
        <v>29.322877999999999</v>
      </c>
      <c r="F469" s="76">
        <v>14.713385000000001</v>
      </c>
      <c r="G469" s="79">
        <v>440600</v>
      </c>
    </row>
    <row r="470" spans="1:7" x14ac:dyDescent="0.25">
      <c r="A470" s="1" t="s">
        <v>593</v>
      </c>
      <c r="B470" s="76">
        <v>29.322877999999999</v>
      </c>
      <c r="C470" s="76">
        <v>29.593572999999999</v>
      </c>
      <c r="D470" s="76">
        <v>29.286296999999902</v>
      </c>
      <c r="E470" s="76">
        <v>29.505778999999901</v>
      </c>
      <c r="F470" s="76">
        <v>14.805160999999901</v>
      </c>
      <c r="G470" s="79">
        <v>222700</v>
      </c>
    </row>
    <row r="471" spans="1:7" x14ac:dyDescent="0.25">
      <c r="A471" s="1" t="s">
        <v>594</v>
      </c>
      <c r="B471" s="76">
        <v>29.61552</v>
      </c>
      <c r="C471" s="76">
        <v>29.61552</v>
      </c>
      <c r="D471" s="76">
        <v>29.154608</v>
      </c>
      <c r="E471" s="76">
        <v>29.2716659999999</v>
      </c>
      <c r="F471" s="76">
        <v>14.687697</v>
      </c>
      <c r="G471" s="79">
        <v>387600</v>
      </c>
    </row>
    <row r="472" spans="1:7" x14ac:dyDescent="0.25">
      <c r="A472" s="1" t="s">
        <v>595</v>
      </c>
      <c r="B472" s="76">
        <v>29.2716659999999</v>
      </c>
      <c r="C472" s="76">
        <v>29.688683000000001</v>
      </c>
      <c r="D472" s="76">
        <v>29.2716659999999</v>
      </c>
      <c r="E472" s="76">
        <v>29.688683000000001</v>
      </c>
      <c r="F472" s="76">
        <v>14.896939</v>
      </c>
      <c r="G472" s="79">
        <v>625600</v>
      </c>
    </row>
    <row r="473" spans="1:7" x14ac:dyDescent="0.25">
      <c r="A473" s="1" t="s">
        <v>596</v>
      </c>
      <c r="B473" s="76">
        <v>28.898544000000001</v>
      </c>
      <c r="C473" s="76">
        <v>29.191189000000001</v>
      </c>
      <c r="D473" s="76">
        <v>28.752223999999998</v>
      </c>
      <c r="E473" s="76">
        <v>28.913177000000001</v>
      </c>
      <c r="F473" s="76">
        <v>14.507807999999899</v>
      </c>
      <c r="G473" s="79">
        <v>2471600</v>
      </c>
    </row>
    <row r="474" spans="1:7" x14ac:dyDescent="0.25">
      <c r="A474" s="1" t="s">
        <v>597</v>
      </c>
      <c r="B474" s="76">
        <v>29.191189000000001</v>
      </c>
      <c r="C474" s="76">
        <v>29.191189000000001</v>
      </c>
      <c r="D474" s="76">
        <v>28.825384</v>
      </c>
      <c r="E474" s="76">
        <v>29.081447999999899</v>
      </c>
      <c r="F474" s="76">
        <v>14.592247</v>
      </c>
      <c r="G474" s="79">
        <v>563500</v>
      </c>
    </row>
    <row r="475" spans="1:7" x14ac:dyDescent="0.25">
      <c r="A475" s="1" t="s">
        <v>598</v>
      </c>
      <c r="B475" s="76">
        <v>29.110711999999999</v>
      </c>
      <c r="C475" s="76">
        <v>29.227767999999902</v>
      </c>
      <c r="D475" s="76">
        <v>28.905860999999899</v>
      </c>
      <c r="E475" s="76">
        <v>29.147290999999999</v>
      </c>
      <c r="F475" s="76">
        <v>14.625280999999999</v>
      </c>
      <c r="G475" s="79">
        <v>651200</v>
      </c>
    </row>
    <row r="476" spans="1:7" x14ac:dyDescent="0.25">
      <c r="A476" s="1" t="s">
        <v>599</v>
      </c>
      <c r="B476" s="76">
        <v>29.147290999999999</v>
      </c>
      <c r="C476" s="76">
        <v>29.205819999999999</v>
      </c>
      <c r="D476" s="76">
        <v>28.898544000000001</v>
      </c>
      <c r="E476" s="76">
        <v>29.205819999999999</v>
      </c>
      <c r="F476" s="76">
        <v>14.654654999999901</v>
      </c>
      <c r="G476" s="79">
        <v>293200</v>
      </c>
    </row>
    <row r="477" spans="1:7" x14ac:dyDescent="0.25">
      <c r="A477" s="1" t="s">
        <v>600</v>
      </c>
      <c r="B477" s="76">
        <v>29.227767999999902</v>
      </c>
      <c r="C477" s="76">
        <v>29.249717999999898</v>
      </c>
      <c r="D477" s="76">
        <v>29.118027000000001</v>
      </c>
      <c r="E477" s="76">
        <v>29.191189000000001</v>
      </c>
      <c r="F477" s="76">
        <v>14.647310999999901</v>
      </c>
      <c r="G477" s="79">
        <v>153000</v>
      </c>
    </row>
    <row r="478" spans="1:7" x14ac:dyDescent="0.25">
      <c r="A478" s="1" t="s">
        <v>601</v>
      </c>
      <c r="B478" s="76">
        <v>29.227767999999902</v>
      </c>
      <c r="C478" s="76">
        <v>29.2716659999999</v>
      </c>
      <c r="D478" s="76">
        <v>28.86928</v>
      </c>
      <c r="E478" s="76">
        <v>28.876595999999999</v>
      </c>
      <c r="F478" s="76">
        <v>14.489457</v>
      </c>
      <c r="G478" s="79">
        <v>407800</v>
      </c>
    </row>
    <row r="479" spans="1:7" x14ac:dyDescent="0.25">
      <c r="A479" s="1" t="s">
        <v>602</v>
      </c>
      <c r="B479" s="76">
        <v>29.008285999999998</v>
      </c>
      <c r="C479" s="76">
        <v>29.008285999999998</v>
      </c>
      <c r="D479" s="76">
        <v>28.744907000000001</v>
      </c>
      <c r="E479" s="76">
        <v>28.788803000000001</v>
      </c>
      <c r="F479" s="76">
        <v>14.445409</v>
      </c>
      <c r="G479" s="79">
        <v>269500</v>
      </c>
    </row>
    <row r="480" spans="1:7" x14ac:dyDescent="0.25">
      <c r="A480" s="1" t="s">
        <v>603</v>
      </c>
      <c r="B480" s="76">
        <v>28.605902</v>
      </c>
      <c r="C480" s="76">
        <v>29.008285999999998</v>
      </c>
      <c r="D480" s="76">
        <v>28.605902</v>
      </c>
      <c r="E480" s="76">
        <v>28.898544000000001</v>
      </c>
      <c r="F480" s="76">
        <v>14.50047</v>
      </c>
      <c r="G480" s="79">
        <v>504400</v>
      </c>
    </row>
    <row r="481" spans="1:7" x14ac:dyDescent="0.25">
      <c r="A481" s="1" t="s">
        <v>604</v>
      </c>
      <c r="B481" s="76">
        <v>28.898544000000001</v>
      </c>
      <c r="C481" s="76">
        <v>28.898544000000001</v>
      </c>
      <c r="D481" s="76">
        <v>28.459578999999898</v>
      </c>
      <c r="E481" s="76">
        <v>28.679061999999998</v>
      </c>
      <c r="F481" s="76">
        <v>14.390340999999999</v>
      </c>
      <c r="G481" s="79">
        <v>408600</v>
      </c>
    </row>
    <row r="482" spans="1:7" x14ac:dyDescent="0.25">
      <c r="A482" s="1" t="s">
        <v>605</v>
      </c>
      <c r="B482" s="76">
        <v>28.679061999999998</v>
      </c>
      <c r="C482" s="76">
        <v>28.825384</v>
      </c>
      <c r="D482" s="76">
        <v>28.569320999999999</v>
      </c>
      <c r="E482" s="76">
        <v>28.752223999999998</v>
      </c>
      <c r="F482" s="76">
        <v>14.427049999999999</v>
      </c>
      <c r="G482" s="79">
        <v>440400</v>
      </c>
    </row>
    <row r="483" spans="1:7" x14ac:dyDescent="0.25">
      <c r="A483" s="1" t="s">
        <v>606</v>
      </c>
      <c r="B483" s="76">
        <v>28.752223999999998</v>
      </c>
      <c r="C483" s="76">
        <v>28.752223999999998</v>
      </c>
      <c r="D483" s="76">
        <v>28.349837999999998</v>
      </c>
      <c r="E483" s="76">
        <v>28.53274</v>
      </c>
      <c r="F483" s="76">
        <v>14.316922999999999</v>
      </c>
      <c r="G483" s="79">
        <v>823500</v>
      </c>
    </row>
    <row r="484" spans="1:7" x14ac:dyDescent="0.25">
      <c r="A484" s="1" t="s">
        <v>607</v>
      </c>
      <c r="B484" s="76">
        <v>28.503477</v>
      </c>
      <c r="C484" s="76">
        <v>28.883913</v>
      </c>
      <c r="D484" s="76">
        <v>28.503477</v>
      </c>
      <c r="E484" s="76">
        <v>28.752223999999998</v>
      </c>
      <c r="F484" s="76">
        <v>14.427049999999999</v>
      </c>
      <c r="G484" s="79">
        <v>460000</v>
      </c>
    </row>
    <row r="485" spans="1:7" x14ac:dyDescent="0.25">
      <c r="A485" s="1" t="s">
        <v>608</v>
      </c>
      <c r="B485" s="76">
        <v>28.788803000000001</v>
      </c>
      <c r="C485" s="76">
        <v>29.410671000000001</v>
      </c>
      <c r="D485" s="76">
        <v>28.788803000000001</v>
      </c>
      <c r="E485" s="76">
        <v>29.183871999999901</v>
      </c>
      <c r="F485" s="76">
        <v>14.6436429999999</v>
      </c>
      <c r="G485" s="79">
        <v>1108200</v>
      </c>
    </row>
    <row r="486" spans="1:7" x14ac:dyDescent="0.25">
      <c r="A486" s="1" t="s">
        <v>609</v>
      </c>
      <c r="B486" s="76">
        <v>29.183871999999901</v>
      </c>
      <c r="C486" s="76">
        <v>29.791107</v>
      </c>
      <c r="D486" s="76">
        <v>29.125343000000001</v>
      </c>
      <c r="E486" s="76">
        <v>29.630153999999902</v>
      </c>
      <c r="F486" s="76">
        <v>14.867576999999899</v>
      </c>
      <c r="G486" s="79">
        <v>415800</v>
      </c>
    </row>
    <row r="487" spans="1:7" x14ac:dyDescent="0.25">
      <c r="A487" s="1" t="s">
        <v>610</v>
      </c>
      <c r="B487" s="76">
        <v>29.63747</v>
      </c>
      <c r="C487" s="76">
        <v>29.63747</v>
      </c>
      <c r="D487" s="76">
        <v>29.491147999999999</v>
      </c>
      <c r="E487" s="76">
        <v>29.578940999999901</v>
      </c>
      <c r="F487" s="76">
        <v>14.841872</v>
      </c>
      <c r="G487" s="79">
        <v>140800</v>
      </c>
    </row>
    <row r="488" spans="1:7" x14ac:dyDescent="0.25">
      <c r="A488" s="1" t="s">
        <v>611</v>
      </c>
      <c r="B488" s="76">
        <v>29.578940999999901</v>
      </c>
      <c r="C488" s="76">
        <v>29.578940999999901</v>
      </c>
      <c r="D488" s="76">
        <v>28.854648999999998</v>
      </c>
      <c r="E488" s="76">
        <v>29.257031999999999</v>
      </c>
      <c r="F488" s="76">
        <v>14.680350000000001</v>
      </c>
      <c r="G488" s="79">
        <v>389900</v>
      </c>
    </row>
    <row r="489" spans="1:7" x14ac:dyDescent="0.25">
      <c r="A489" s="1" t="s">
        <v>612</v>
      </c>
      <c r="B489" s="76">
        <v>29.118027000000001</v>
      </c>
      <c r="C489" s="76">
        <v>29.586258000000001</v>
      </c>
      <c r="D489" s="76">
        <v>29.118027000000001</v>
      </c>
      <c r="E489" s="76">
        <v>29.454566999999901</v>
      </c>
      <c r="F489" s="76">
        <v>14.779469000000001</v>
      </c>
      <c r="G489" s="79">
        <v>338600</v>
      </c>
    </row>
    <row r="490" spans="1:7" x14ac:dyDescent="0.25">
      <c r="A490" s="1" t="s">
        <v>613</v>
      </c>
      <c r="B490" s="76">
        <v>29.2716659999999</v>
      </c>
      <c r="C490" s="76">
        <v>29.556992999999999</v>
      </c>
      <c r="D490" s="76">
        <v>29.022919000000002</v>
      </c>
      <c r="E490" s="76">
        <v>29.352141999999901</v>
      </c>
      <c r="F490" s="76">
        <v>14.728073999999999</v>
      </c>
      <c r="G490" s="79">
        <v>504300</v>
      </c>
    </row>
    <row r="491" spans="1:7" x14ac:dyDescent="0.25">
      <c r="A491" s="1" t="s">
        <v>614</v>
      </c>
      <c r="B491" s="76">
        <v>29.352141999999901</v>
      </c>
      <c r="C491" s="76">
        <v>29.403354999999902</v>
      </c>
      <c r="D491" s="76">
        <v>29.191189000000001</v>
      </c>
      <c r="E491" s="76">
        <v>29.257031999999999</v>
      </c>
      <c r="F491" s="76">
        <v>14.680350000000001</v>
      </c>
      <c r="G491" s="79">
        <v>685900</v>
      </c>
    </row>
    <row r="492" spans="1:7" x14ac:dyDescent="0.25">
      <c r="A492" s="1" t="s">
        <v>615</v>
      </c>
      <c r="B492" s="76">
        <v>29.249717999999898</v>
      </c>
      <c r="C492" s="76">
        <v>29.593572999999999</v>
      </c>
      <c r="D492" s="76">
        <v>29.191189000000001</v>
      </c>
      <c r="E492" s="76">
        <v>29.593572999999999</v>
      </c>
      <c r="F492" s="76">
        <v>14.849216</v>
      </c>
      <c r="G492" s="79">
        <v>3544700</v>
      </c>
    </row>
    <row r="493" spans="1:7" x14ac:dyDescent="0.25">
      <c r="A493" s="1" t="s">
        <v>616</v>
      </c>
      <c r="B493" s="76">
        <v>29.593572999999999</v>
      </c>
      <c r="C493" s="76">
        <v>29.959377</v>
      </c>
      <c r="D493" s="76">
        <v>29.410671000000001</v>
      </c>
      <c r="E493" s="76">
        <v>29.527728999999901</v>
      </c>
      <c r="F493" s="76">
        <v>14.816174999999999</v>
      </c>
      <c r="G493" s="79">
        <v>3248100</v>
      </c>
    </row>
    <row r="494" spans="1:7" x14ac:dyDescent="0.25">
      <c r="A494" s="1" t="s">
        <v>617</v>
      </c>
      <c r="B494" s="76">
        <v>29.630153999999902</v>
      </c>
      <c r="C494" s="76">
        <v>30.069118</v>
      </c>
      <c r="D494" s="76">
        <v>29.630153999999902</v>
      </c>
      <c r="E494" s="76">
        <v>29.856953000000001</v>
      </c>
      <c r="F494" s="76">
        <v>14.981369000000001</v>
      </c>
      <c r="G494" s="79">
        <v>532200</v>
      </c>
    </row>
    <row r="495" spans="1:7" x14ac:dyDescent="0.25">
      <c r="A495" s="1" t="s">
        <v>618</v>
      </c>
      <c r="B495" s="76">
        <v>29.849636</v>
      </c>
      <c r="C495" s="76">
        <v>30.178859999999901</v>
      </c>
      <c r="D495" s="76">
        <v>29.776475999999999</v>
      </c>
      <c r="E495" s="76">
        <v>29.995958000000002</v>
      </c>
      <c r="F495" s="76">
        <v>15.051126</v>
      </c>
      <c r="G495" s="79">
        <v>672400</v>
      </c>
    </row>
    <row r="496" spans="1:7" x14ac:dyDescent="0.25">
      <c r="A496" s="1" t="s">
        <v>619</v>
      </c>
      <c r="B496" s="76">
        <v>30.1276469999999</v>
      </c>
      <c r="C496" s="76">
        <v>30.1276469999999</v>
      </c>
      <c r="D496" s="76">
        <v>29.981324999999998</v>
      </c>
      <c r="E496" s="76">
        <v>29.988641999999999</v>
      </c>
      <c r="F496" s="76">
        <v>15.047451000000001</v>
      </c>
      <c r="G496" s="79">
        <v>239900</v>
      </c>
    </row>
    <row r="497" spans="1:7" x14ac:dyDescent="0.25">
      <c r="A497" s="1" t="s">
        <v>620</v>
      </c>
      <c r="B497" s="76">
        <v>29.988641999999999</v>
      </c>
      <c r="C497" s="76">
        <v>30.061802</v>
      </c>
      <c r="D497" s="76">
        <v>29.886216999999998</v>
      </c>
      <c r="E497" s="76">
        <v>30.032536999999898</v>
      </c>
      <c r="F497" s="76">
        <v>15.069476999999999</v>
      </c>
      <c r="G497" s="79">
        <v>957900</v>
      </c>
    </row>
    <row r="498" spans="1:7" x14ac:dyDescent="0.25">
      <c r="A498" s="1" t="s">
        <v>621</v>
      </c>
      <c r="B498" s="76">
        <v>30.178859999999901</v>
      </c>
      <c r="C498" s="76">
        <v>30.178859999999901</v>
      </c>
      <c r="D498" s="76">
        <v>30.047170999999999</v>
      </c>
      <c r="E498" s="76">
        <v>30.047170999999999</v>
      </c>
      <c r="F498" s="76">
        <v>15.076822</v>
      </c>
      <c r="G498" s="79">
        <v>116200</v>
      </c>
    </row>
    <row r="499" spans="1:7" x14ac:dyDescent="0.25">
      <c r="A499" s="1" t="s">
        <v>622</v>
      </c>
      <c r="B499" s="76">
        <v>29.995958000000002</v>
      </c>
      <c r="C499" s="76">
        <v>30.105699999999999</v>
      </c>
      <c r="D499" s="76">
        <v>29.995958000000002</v>
      </c>
      <c r="E499" s="76">
        <v>30.017906</v>
      </c>
      <c r="F499" s="76">
        <v>15.176689999999899</v>
      </c>
      <c r="G499" s="79">
        <v>864900</v>
      </c>
    </row>
    <row r="500" spans="1:7" x14ac:dyDescent="0.25">
      <c r="A500" s="1" t="s">
        <v>623</v>
      </c>
      <c r="B500" s="76">
        <v>30.017906</v>
      </c>
      <c r="C500" s="76">
        <v>30.237389</v>
      </c>
      <c r="D500" s="76">
        <v>29.966694</v>
      </c>
      <c r="E500" s="76">
        <v>30.091065999999898</v>
      </c>
      <c r="F500" s="76">
        <v>15.2136829999999</v>
      </c>
      <c r="G500" s="79">
        <v>284300</v>
      </c>
    </row>
    <row r="501" spans="1:7" x14ac:dyDescent="0.25">
      <c r="A501" s="1" t="s">
        <v>624</v>
      </c>
      <c r="B501" s="76">
        <v>30.032536999999898</v>
      </c>
      <c r="C501" s="76">
        <v>30.581244999999999</v>
      </c>
      <c r="D501" s="76">
        <v>30.032536999999898</v>
      </c>
      <c r="E501" s="76">
        <v>30.471503999999999</v>
      </c>
      <c r="F501" s="76">
        <v>15.406023999999899</v>
      </c>
      <c r="G501" s="79">
        <v>356100</v>
      </c>
    </row>
    <row r="502" spans="1:7" x14ac:dyDescent="0.25">
      <c r="A502" s="1" t="s">
        <v>625</v>
      </c>
      <c r="B502" s="76">
        <v>30.508082999999999</v>
      </c>
      <c r="C502" s="76">
        <v>30.7495159999999</v>
      </c>
      <c r="D502" s="76">
        <v>30.244705</v>
      </c>
      <c r="E502" s="76">
        <v>30.434922999999898</v>
      </c>
      <c r="F502" s="76">
        <v>15.387532</v>
      </c>
      <c r="G502" s="79">
        <v>432700</v>
      </c>
    </row>
    <row r="503" spans="1:7" x14ac:dyDescent="0.25">
      <c r="A503" s="1" t="s">
        <v>626</v>
      </c>
      <c r="B503" s="76">
        <v>30.544664000000001</v>
      </c>
      <c r="C503" s="76">
        <v>30.7275659999999</v>
      </c>
      <c r="D503" s="76">
        <v>29.922796000000002</v>
      </c>
      <c r="E503" s="76">
        <v>30.690987</v>
      </c>
      <c r="F503" s="76">
        <v>15.516994</v>
      </c>
      <c r="G503" s="79">
        <v>587700</v>
      </c>
    </row>
    <row r="504" spans="1:7" x14ac:dyDescent="0.25">
      <c r="A504" s="1" t="s">
        <v>627</v>
      </c>
      <c r="B504" s="76">
        <v>30.544664000000001</v>
      </c>
      <c r="C504" s="76">
        <v>30.983628999999901</v>
      </c>
      <c r="D504" s="76">
        <v>30.544664000000001</v>
      </c>
      <c r="E504" s="76">
        <v>30.7275659999999</v>
      </c>
      <c r="F504" s="76">
        <v>15.535482</v>
      </c>
      <c r="G504" s="79">
        <v>607500</v>
      </c>
    </row>
    <row r="505" spans="1:7" x14ac:dyDescent="0.25">
      <c r="A505" s="1" t="s">
        <v>628</v>
      </c>
      <c r="B505" s="76">
        <v>31.020209999999999</v>
      </c>
      <c r="C505" s="76">
        <v>31.020209999999999</v>
      </c>
      <c r="D505" s="76">
        <v>30.544664000000001</v>
      </c>
      <c r="E505" s="76">
        <v>30.690987</v>
      </c>
      <c r="F505" s="76">
        <v>15.516994</v>
      </c>
      <c r="G505" s="79">
        <v>420800</v>
      </c>
    </row>
    <row r="506" spans="1:7" x14ac:dyDescent="0.25">
      <c r="A506" s="1" t="s">
        <v>629</v>
      </c>
      <c r="B506" s="76">
        <v>30.800727999999999</v>
      </c>
      <c r="C506" s="76">
        <v>31.027526999999999</v>
      </c>
      <c r="D506" s="76">
        <v>30.764146999999902</v>
      </c>
      <c r="E506" s="76">
        <v>30.947050000000001</v>
      </c>
      <c r="F506" s="76">
        <v>15.646451999999901</v>
      </c>
      <c r="G506" s="79">
        <v>260100</v>
      </c>
    </row>
    <row r="507" spans="1:7" x14ac:dyDescent="0.25">
      <c r="A507" s="1" t="s">
        <v>630</v>
      </c>
      <c r="B507" s="76">
        <v>30.947050000000001</v>
      </c>
      <c r="C507" s="76">
        <v>30.947050000000001</v>
      </c>
      <c r="D507" s="76">
        <v>30.654405999999899</v>
      </c>
      <c r="E507" s="76">
        <v>30.712934000000001</v>
      </c>
      <c r="F507" s="76">
        <v>15.528091</v>
      </c>
      <c r="G507" s="79">
        <v>445300</v>
      </c>
    </row>
    <row r="508" spans="1:7" x14ac:dyDescent="0.25">
      <c r="A508" s="1" t="s">
        <v>631</v>
      </c>
      <c r="B508" s="76">
        <v>31.020209999999999</v>
      </c>
      <c r="C508" s="76">
        <v>31.020209999999999</v>
      </c>
      <c r="D508" s="76">
        <v>30.661721999999902</v>
      </c>
      <c r="E508" s="76">
        <v>30.669039000000001</v>
      </c>
      <c r="F508" s="76">
        <v>15.505892999999899</v>
      </c>
      <c r="G508" s="79">
        <v>1041100</v>
      </c>
    </row>
    <row r="509" spans="1:7" x14ac:dyDescent="0.25">
      <c r="A509" s="1" t="s">
        <v>632</v>
      </c>
      <c r="B509" s="76">
        <v>30.844624</v>
      </c>
      <c r="C509" s="76">
        <v>30.947050000000001</v>
      </c>
      <c r="D509" s="76">
        <v>30.661721999999902</v>
      </c>
      <c r="E509" s="76">
        <v>30.7275659999999</v>
      </c>
      <c r="F509" s="76">
        <v>15.535482</v>
      </c>
      <c r="G509" s="79">
        <v>972000</v>
      </c>
    </row>
    <row r="510" spans="1:7" x14ac:dyDescent="0.25">
      <c r="A510" s="1" t="s">
        <v>633</v>
      </c>
      <c r="B510" s="76">
        <v>30.7275659999999</v>
      </c>
      <c r="C510" s="76">
        <v>30.7275659999999</v>
      </c>
      <c r="D510" s="76">
        <v>30.669039000000001</v>
      </c>
      <c r="E510" s="76">
        <v>30.7275659999999</v>
      </c>
      <c r="F510" s="76">
        <v>15.535482</v>
      </c>
      <c r="G510" s="79">
        <v>351200</v>
      </c>
    </row>
    <row r="511" spans="1:7" x14ac:dyDescent="0.25">
      <c r="A511" s="1" t="s">
        <v>634</v>
      </c>
      <c r="B511" s="76">
        <v>30.7275659999999</v>
      </c>
      <c r="C511" s="76">
        <v>31.020209999999999</v>
      </c>
      <c r="D511" s="76">
        <v>30.588559999999902</v>
      </c>
      <c r="E511" s="76">
        <v>31.020209999999999</v>
      </c>
      <c r="F511" s="76">
        <v>15.683438000000001</v>
      </c>
      <c r="G511" s="79">
        <v>622500</v>
      </c>
    </row>
    <row r="512" spans="1:7" x14ac:dyDescent="0.25">
      <c r="A512" s="1" t="s">
        <v>635</v>
      </c>
      <c r="B512" s="76">
        <v>31.09337</v>
      </c>
      <c r="C512" s="76">
        <v>31.166533000000001</v>
      </c>
      <c r="D512" s="76">
        <v>30.961680999999999</v>
      </c>
      <c r="E512" s="76">
        <v>31.020209999999999</v>
      </c>
      <c r="F512" s="76">
        <v>15.683438000000001</v>
      </c>
      <c r="G512" s="79">
        <v>307400</v>
      </c>
    </row>
    <row r="513" spans="1:7" x14ac:dyDescent="0.25">
      <c r="A513" s="1" t="s">
        <v>636</v>
      </c>
      <c r="B513" s="76">
        <v>31.020209999999999</v>
      </c>
      <c r="C513" s="76">
        <v>31.122634999999999</v>
      </c>
      <c r="D513" s="76">
        <v>30.734881999999999</v>
      </c>
      <c r="E513" s="76">
        <v>30.851939999999999</v>
      </c>
      <c r="F513" s="76">
        <v>15.598373</v>
      </c>
      <c r="G513" s="79">
        <v>392600</v>
      </c>
    </row>
    <row r="514" spans="1:7" x14ac:dyDescent="0.25">
      <c r="A514" s="1" t="s">
        <v>637</v>
      </c>
      <c r="B514" s="76">
        <v>30.873888000000001</v>
      </c>
      <c r="C514" s="76">
        <v>31.159215999999901</v>
      </c>
      <c r="D514" s="76">
        <v>30.873888000000001</v>
      </c>
      <c r="E514" s="76">
        <v>30.932416999999901</v>
      </c>
      <c r="F514" s="76">
        <v>15.639056</v>
      </c>
      <c r="G514" s="79">
        <v>414400</v>
      </c>
    </row>
    <row r="515" spans="1:7" x14ac:dyDescent="0.25">
      <c r="A515" s="1" t="s">
        <v>638</v>
      </c>
      <c r="B515" s="76">
        <v>30.990946000000001</v>
      </c>
      <c r="C515" s="76">
        <v>30.990946000000001</v>
      </c>
      <c r="D515" s="76">
        <v>30.778779999999902</v>
      </c>
      <c r="E515" s="76">
        <v>30.778779999999902</v>
      </c>
      <c r="F515" s="76">
        <v>15.561379000000001</v>
      </c>
      <c r="G515" s="79">
        <v>518600</v>
      </c>
    </row>
    <row r="516" spans="1:7" x14ac:dyDescent="0.25">
      <c r="A516" s="1" t="s">
        <v>639</v>
      </c>
      <c r="B516" s="76">
        <v>30.793410999999999</v>
      </c>
      <c r="C516" s="76">
        <v>30.873888000000001</v>
      </c>
      <c r="D516" s="76">
        <v>30.764146999999902</v>
      </c>
      <c r="E516" s="76">
        <v>30.859256999999999</v>
      </c>
      <c r="F516" s="76">
        <v>15.602066000000001</v>
      </c>
      <c r="G516" s="79">
        <v>535700</v>
      </c>
    </row>
    <row r="517" spans="1:7" x14ac:dyDescent="0.25">
      <c r="A517" s="1" t="s">
        <v>640</v>
      </c>
      <c r="B517" s="76">
        <v>30.866571</v>
      </c>
      <c r="C517" s="76">
        <v>30.873888000000001</v>
      </c>
      <c r="D517" s="76">
        <v>30.786095</v>
      </c>
      <c r="E517" s="76">
        <v>30.837309000000001</v>
      </c>
      <c r="F517" s="76">
        <v>15.590973</v>
      </c>
      <c r="G517" s="79">
        <v>601100</v>
      </c>
    </row>
    <row r="518" spans="1:7" x14ac:dyDescent="0.25">
      <c r="A518" s="1" t="s">
        <v>641</v>
      </c>
      <c r="B518" s="76">
        <v>30.837309000000001</v>
      </c>
      <c r="C518" s="76">
        <v>31.056790999999901</v>
      </c>
      <c r="D518" s="76">
        <v>30.7495159999999</v>
      </c>
      <c r="E518" s="76">
        <v>31.005576999999999</v>
      </c>
      <c r="F518" s="76">
        <v>15.676041</v>
      </c>
      <c r="G518" s="79">
        <v>547600</v>
      </c>
    </row>
    <row r="519" spans="1:7" x14ac:dyDescent="0.25">
      <c r="A519" s="1" t="s">
        <v>642</v>
      </c>
      <c r="B519" s="76">
        <v>31.09337</v>
      </c>
      <c r="C519" s="76">
        <v>31.129950999999998</v>
      </c>
      <c r="D519" s="76">
        <v>30.800727999999999</v>
      </c>
      <c r="E519" s="76">
        <v>30.844624</v>
      </c>
      <c r="F519" s="76">
        <v>15.594670000000001</v>
      </c>
      <c r="G519" s="79">
        <v>307600</v>
      </c>
    </row>
    <row r="520" spans="1:7" x14ac:dyDescent="0.25">
      <c r="A520" s="1" t="s">
        <v>643</v>
      </c>
      <c r="B520" s="76">
        <v>30.895835999999999</v>
      </c>
      <c r="C520" s="76">
        <v>30.895835999999999</v>
      </c>
      <c r="D520" s="76">
        <v>30.7495159999999</v>
      </c>
      <c r="E520" s="76">
        <v>30.851939999999999</v>
      </c>
      <c r="F520" s="76">
        <v>15.598373</v>
      </c>
      <c r="G520" s="79">
        <v>519300</v>
      </c>
    </row>
    <row r="521" spans="1:7" x14ac:dyDescent="0.25">
      <c r="A521" s="1" t="s">
        <v>644</v>
      </c>
      <c r="B521" s="76">
        <v>30.910468999999999</v>
      </c>
      <c r="C521" s="76">
        <v>31.042158000000001</v>
      </c>
      <c r="D521" s="76">
        <v>30.800727999999999</v>
      </c>
      <c r="E521" s="76">
        <v>30.800727999999999</v>
      </c>
      <c r="F521" s="76">
        <v>15.572478</v>
      </c>
      <c r="G521" s="79">
        <v>760800</v>
      </c>
    </row>
    <row r="522" spans="1:7" x14ac:dyDescent="0.25">
      <c r="A522" s="1" t="s">
        <v>645</v>
      </c>
      <c r="B522" s="76">
        <v>30.808043999999999</v>
      </c>
      <c r="C522" s="76">
        <v>31.09337</v>
      </c>
      <c r="D522" s="76">
        <v>30.793410999999999</v>
      </c>
      <c r="E522" s="76">
        <v>30.983628999999901</v>
      </c>
      <c r="F522" s="76">
        <v>15.664948000000001</v>
      </c>
      <c r="G522" s="79">
        <v>588100</v>
      </c>
    </row>
    <row r="523" spans="1:7" x14ac:dyDescent="0.25">
      <c r="A523" s="1" t="s">
        <v>646</v>
      </c>
      <c r="B523" s="76">
        <v>30.837309000000001</v>
      </c>
      <c r="C523" s="76">
        <v>31.327485999999901</v>
      </c>
      <c r="D523" s="76">
        <v>30.778779999999902</v>
      </c>
      <c r="E523" s="76">
        <v>31.210428</v>
      </c>
      <c r="F523" s="76">
        <v>16.029423000000001</v>
      </c>
      <c r="G523" s="79">
        <v>998400</v>
      </c>
    </row>
    <row r="524" spans="1:7" x14ac:dyDescent="0.25">
      <c r="A524" s="1" t="s">
        <v>647</v>
      </c>
      <c r="B524" s="76">
        <v>31.290904999999999</v>
      </c>
      <c r="C524" s="76">
        <v>31.356750000000002</v>
      </c>
      <c r="D524" s="76">
        <v>31.056790999999901</v>
      </c>
      <c r="E524" s="76">
        <v>31.086055999999999</v>
      </c>
      <c r="F524" s="76">
        <v>15.965546</v>
      </c>
      <c r="G524" s="79">
        <v>244100</v>
      </c>
    </row>
    <row r="525" spans="1:7" x14ac:dyDescent="0.25">
      <c r="A525" s="1" t="s">
        <v>648</v>
      </c>
      <c r="B525" s="76">
        <v>31.159215999999901</v>
      </c>
      <c r="C525" s="76">
        <v>31.2982219999999</v>
      </c>
      <c r="D525" s="76">
        <v>30.7275659999999</v>
      </c>
      <c r="E525" s="76">
        <v>30.873888000000001</v>
      </c>
      <c r="F525" s="76">
        <v>15.856574999999999</v>
      </c>
      <c r="G525" s="79">
        <v>537000</v>
      </c>
    </row>
    <row r="526" spans="1:7" x14ac:dyDescent="0.25">
      <c r="A526" s="1" t="s">
        <v>649</v>
      </c>
      <c r="B526" s="76">
        <v>30.764146999999902</v>
      </c>
      <c r="C526" s="76">
        <v>30.968997999999999</v>
      </c>
      <c r="D526" s="76">
        <v>30.617825</v>
      </c>
      <c r="E526" s="76">
        <v>30.7275659999999</v>
      </c>
      <c r="F526" s="76">
        <v>15.781428999999999</v>
      </c>
      <c r="G526" s="79">
        <v>292700</v>
      </c>
    </row>
    <row r="527" spans="1:7" x14ac:dyDescent="0.25">
      <c r="A527" s="1" t="s">
        <v>650</v>
      </c>
      <c r="B527" s="76">
        <v>30.844624</v>
      </c>
      <c r="C527" s="76">
        <v>31.129950999999998</v>
      </c>
      <c r="D527" s="76">
        <v>30.610509999999898</v>
      </c>
      <c r="E527" s="76">
        <v>30.954364999999999</v>
      </c>
      <c r="F527" s="76">
        <v>15.897907</v>
      </c>
      <c r="G527" s="79">
        <v>483400</v>
      </c>
    </row>
    <row r="528" spans="1:7" x14ac:dyDescent="0.25">
      <c r="A528" s="1" t="s">
        <v>651</v>
      </c>
      <c r="B528" s="76">
        <v>30.954364999999999</v>
      </c>
      <c r="C528" s="76">
        <v>31.064105999999999</v>
      </c>
      <c r="D528" s="76">
        <v>30.712934000000001</v>
      </c>
      <c r="E528" s="76">
        <v>30.712934000000001</v>
      </c>
      <c r="F528" s="76">
        <v>15.773913</v>
      </c>
      <c r="G528" s="79">
        <v>287800</v>
      </c>
    </row>
    <row r="529" spans="1:7" x14ac:dyDescent="0.25">
      <c r="A529" s="1" t="s">
        <v>652</v>
      </c>
      <c r="B529" s="76">
        <v>30.873888000000001</v>
      </c>
      <c r="C529" s="76">
        <v>30.895835999999999</v>
      </c>
      <c r="D529" s="76">
        <v>30.252021999999901</v>
      </c>
      <c r="E529" s="76">
        <v>30.647089000000001</v>
      </c>
      <c r="F529" s="76">
        <v>15.740095</v>
      </c>
      <c r="G529" s="79">
        <v>441500</v>
      </c>
    </row>
    <row r="530" spans="1:7" x14ac:dyDescent="0.25">
      <c r="A530" s="1" t="s">
        <v>653</v>
      </c>
      <c r="B530" s="76">
        <v>30.654405999999899</v>
      </c>
      <c r="C530" s="76">
        <v>30.888521000000001</v>
      </c>
      <c r="D530" s="76">
        <v>30.551981000000001</v>
      </c>
      <c r="E530" s="76">
        <v>30.851939999999999</v>
      </c>
      <c r="F530" s="76">
        <v>15.845300999999999</v>
      </c>
      <c r="G530" s="79">
        <v>480700</v>
      </c>
    </row>
    <row r="531" spans="1:7" x14ac:dyDescent="0.25">
      <c r="A531" s="1" t="s">
        <v>654</v>
      </c>
      <c r="B531" s="76">
        <v>30.873888000000001</v>
      </c>
      <c r="C531" s="76">
        <v>31.056790999999901</v>
      </c>
      <c r="D531" s="76">
        <v>30.808043999999999</v>
      </c>
      <c r="E531" s="76">
        <v>30.947050000000001</v>
      </c>
      <c r="F531" s="76">
        <v>15.894156000000001</v>
      </c>
      <c r="G531" s="79">
        <v>339600</v>
      </c>
    </row>
    <row r="532" spans="1:7" x14ac:dyDescent="0.25">
      <c r="A532" s="1" t="s">
        <v>655</v>
      </c>
      <c r="B532" s="76">
        <v>30.939734000000001</v>
      </c>
      <c r="C532" s="76">
        <v>31.027526999999999</v>
      </c>
      <c r="D532" s="76">
        <v>30.844624</v>
      </c>
      <c r="E532" s="76">
        <v>31.020209999999999</v>
      </c>
      <c r="F532" s="76">
        <v>15.931732</v>
      </c>
      <c r="G532" s="79">
        <v>513100</v>
      </c>
    </row>
    <row r="533" spans="1:7" x14ac:dyDescent="0.25">
      <c r="A533" s="1" t="s">
        <v>656</v>
      </c>
      <c r="B533" s="76">
        <v>31.020209999999999</v>
      </c>
      <c r="C533" s="76">
        <v>31.276274000000001</v>
      </c>
      <c r="D533" s="76">
        <v>30.910468999999999</v>
      </c>
      <c r="E533" s="76">
        <v>31.203112000000001</v>
      </c>
      <c r="F533" s="76">
        <v>16.025670999999999</v>
      </c>
      <c r="G533" s="79">
        <v>241000</v>
      </c>
    </row>
    <row r="534" spans="1:7" x14ac:dyDescent="0.25">
      <c r="A534" s="1" t="s">
        <v>657</v>
      </c>
      <c r="B534" s="76">
        <v>31.312853</v>
      </c>
      <c r="C534" s="76">
        <v>31.327485999999901</v>
      </c>
      <c r="D534" s="76">
        <v>31.005576999999999</v>
      </c>
      <c r="E534" s="76">
        <v>31.020209999999999</v>
      </c>
      <c r="F534" s="76">
        <v>15.931732</v>
      </c>
      <c r="G534" s="79">
        <v>410900</v>
      </c>
    </row>
    <row r="535" spans="1:7" x14ac:dyDescent="0.25">
      <c r="A535" s="1" t="s">
        <v>658</v>
      </c>
      <c r="B535" s="76">
        <v>31.166533000000001</v>
      </c>
      <c r="C535" s="76">
        <v>31.495756</v>
      </c>
      <c r="D535" s="76">
        <v>31.108003999999902</v>
      </c>
      <c r="E535" s="76">
        <v>31.415278999999899</v>
      </c>
      <c r="F535" s="76">
        <v>16.134635999999901</v>
      </c>
      <c r="G535" s="79">
        <v>527100</v>
      </c>
    </row>
    <row r="536" spans="1:7" x14ac:dyDescent="0.25">
      <c r="A536" s="1" t="s">
        <v>659</v>
      </c>
      <c r="B536" s="76">
        <v>31.451858999999999</v>
      </c>
      <c r="C536" s="76">
        <v>31.6054969999999</v>
      </c>
      <c r="D536" s="76">
        <v>31.400645999999998</v>
      </c>
      <c r="E536" s="76">
        <v>31.6054969999999</v>
      </c>
      <c r="F536" s="76">
        <v>16.232329999999902</v>
      </c>
      <c r="G536" s="79">
        <v>796100</v>
      </c>
    </row>
    <row r="537" spans="1:7" x14ac:dyDescent="0.25">
      <c r="A537" s="1" t="s">
        <v>660</v>
      </c>
      <c r="B537" s="76">
        <v>31.642078000000001</v>
      </c>
      <c r="C537" s="76">
        <v>31.729869999999998</v>
      </c>
      <c r="D537" s="76">
        <v>31.09337</v>
      </c>
      <c r="E537" s="76">
        <v>31.108003999999902</v>
      </c>
      <c r="F537" s="76">
        <v>15.97682</v>
      </c>
      <c r="G537" s="79">
        <v>522900</v>
      </c>
    </row>
    <row r="538" spans="1:7" x14ac:dyDescent="0.25">
      <c r="A538" s="1" t="s">
        <v>661</v>
      </c>
      <c r="B538" s="76">
        <v>31.181163999999999</v>
      </c>
      <c r="C538" s="76">
        <v>31.422594</v>
      </c>
      <c r="D538" s="76">
        <v>31.09337</v>
      </c>
      <c r="E538" s="76">
        <v>31.261640999999901</v>
      </c>
      <c r="F538" s="76">
        <v>16.055726999999901</v>
      </c>
      <c r="G538" s="79">
        <v>351100</v>
      </c>
    </row>
    <row r="539" spans="1:7" x14ac:dyDescent="0.25">
      <c r="A539" s="1" t="s">
        <v>662</v>
      </c>
      <c r="B539" s="76">
        <v>31.386015</v>
      </c>
      <c r="C539" s="76">
        <v>31.503072999999901</v>
      </c>
      <c r="D539" s="76">
        <v>31.349433999999999</v>
      </c>
      <c r="E539" s="76">
        <v>31.429910999999901</v>
      </c>
      <c r="F539" s="76">
        <v>16.142153</v>
      </c>
      <c r="G539" s="79">
        <v>281000</v>
      </c>
    </row>
    <row r="540" spans="1:7" x14ac:dyDescent="0.25">
      <c r="A540" s="1" t="s">
        <v>663</v>
      </c>
      <c r="B540" s="76">
        <v>31.422594</v>
      </c>
      <c r="C540" s="76">
        <v>31.459174999999998</v>
      </c>
      <c r="D540" s="76">
        <v>30.947050000000001</v>
      </c>
      <c r="E540" s="76">
        <v>31.020209999999999</v>
      </c>
      <c r="F540" s="76">
        <v>15.931732</v>
      </c>
      <c r="G540" s="79">
        <v>516100</v>
      </c>
    </row>
    <row r="541" spans="1:7" x14ac:dyDescent="0.25">
      <c r="A541" s="1" t="s">
        <v>664</v>
      </c>
      <c r="B541" s="76">
        <v>30.873888000000001</v>
      </c>
      <c r="C541" s="76">
        <v>30.903151999999999</v>
      </c>
      <c r="D541" s="76">
        <v>30.559297999999998</v>
      </c>
      <c r="E541" s="76">
        <v>30.566611999999999</v>
      </c>
      <c r="F541" s="76">
        <v>15.6987589999999</v>
      </c>
      <c r="G541" s="79">
        <v>1520300</v>
      </c>
    </row>
    <row r="542" spans="1:7" x14ac:dyDescent="0.25">
      <c r="A542" s="1" t="s">
        <v>665</v>
      </c>
      <c r="B542" s="76">
        <v>30.566611999999999</v>
      </c>
      <c r="C542" s="76">
        <v>30.654405999999899</v>
      </c>
      <c r="D542" s="76">
        <v>30.566611999999999</v>
      </c>
      <c r="E542" s="76">
        <v>30.581244999999999</v>
      </c>
      <c r="F542" s="76">
        <v>15.706282</v>
      </c>
      <c r="G542" s="79">
        <v>764700</v>
      </c>
    </row>
    <row r="543" spans="1:7" x14ac:dyDescent="0.25">
      <c r="A543" s="1" t="s">
        <v>666</v>
      </c>
      <c r="B543" s="76">
        <v>30.581244999999999</v>
      </c>
      <c r="C543" s="76">
        <v>30.7275659999999</v>
      </c>
      <c r="D543" s="76">
        <v>30.398342</v>
      </c>
      <c r="E543" s="76">
        <v>30.720251000000001</v>
      </c>
      <c r="F543" s="76">
        <v>15.777666999999999</v>
      </c>
      <c r="G543" s="79">
        <v>777900</v>
      </c>
    </row>
    <row r="544" spans="1:7" x14ac:dyDescent="0.25">
      <c r="A544" s="1" t="s">
        <v>667</v>
      </c>
      <c r="B544" s="76">
        <v>30.588559999999902</v>
      </c>
      <c r="C544" s="76">
        <v>30.895835999999999</v>
      </c>
      <c r="D544" s="76">
        <v>30.588559999999902</v>
      </c>
      <c r="E544" s="76">
        <v>30.873888000000001</v>
      </c>
      <c r="F544" s="76">
        <v>15.856574999999999</v>
      </c>
      <c r="G544" s="79">
        <v>821000</v>
      </c>
    </row>
    <row r="545" spans="1:7" x14ac:dyDescent="0.25">
      <c r="A545" s="1" t="s">
        <v>668</v>
      </c>
      <c r="B545" s="76">
        <v>30.910468999999999</v>
      </c>
      <c r="C545" s="76">
        <v>32.117621999999997</v>
      </c>
      <c r="D545" s="76">
        <v>30.910468999999999</v>
      </c>
      <c r="E545" s="76">
        <v>31.898140000000001</v>
      </c>
      <c r="F545" s="76">
        <v>16.382625999999998</v>
      </c>
      <c r="G545" s="79">
        <v>831000</v>
      </c>
    </row>
    <row r="546" spans="1:7" x14ac:dyDescent="0.25">
      <c r="A546" s="1" t="s">
        <v>669</v>
      </c>
      <c r="B546" s="76">
        <v>31.971302000000001</v>
      </c>
      <c r="C546" s="76">
        <v>32.307842000000001</v>
      </c>
      <c r="D546" s="76">
        <v>31.678657999999999</v>
      </c>
      <c r="E546" s="76">
        <v>32.278576000000001</v>
      </c>
      <c r="F546" s="76">
        <v>16.578018</v>
      </c>
      <c r="G546" s="79">
        <v>637300</v>
      </c>
    </row>
    <row r="547" spans="1:7" x14ac:dyDescent="0.25">
      <c r="A547" s="1" t="s">
        <v>670</v>
      </c>
      <c r="B547" s="76">
        <v>32.337105000000001</v>
      </c>
      <c r="C547" s="76">
        <v>32.395634000000001</v>
      </c>
      <c r="D547" s="76">
        <v>32.095675999999997</v>
      </c>
      <c r="E547" s="76">
        <v>32.249313000000001</v>
      </c>
      <c r="F547" s="76">
        <v>16.562985999999999</v>
      </c>
      <c r="G547" s="79">
        <v>351200</v>
      </c>
    </row>
    <row r="548" spans="1:7" x14ac:dyDescent="0.25">
      <c r="A548" s="1" t="s">
        <v>671</v>
      </c>
      <c r="B548" s="76">
        <v>32.322474999999997</v>
      </c>
      <c r="C548" s="76">
        <v>32.395634000000001</v>
      </c>
      <c r="D548" s="76">
        <v>32.102992999999998</v>
      </c>
      <c r="E548" s="76">
        <v>32.168834999999902</v>
      </c>
      <c r="F548" s="76">
        <v>16.521654000000002</v>
      </c>
      <c r="G548" s="79">
        <v>193000</v>
      </c>
    </row>
    <row r="549" spans="1:7" x14ac:dyDescent="0.25">
      <c r="A549" s="1" t="s">
        <v>672</v>
      </c>
      <c r="B549" s="76">
        <v>32.190784000000001</v>
      </c>
      <c r="C549" s="76">
        <v>32.241996999999998</v>
      </c>
      <c r="D549" s="76">
        <v>31.971302000000001</v>
      </c>
      <c r="E549" s="76">
        <v>32.051777000000001</v>
      </c>
      <c r="F549" s="76">
        <v>16.461532999999999</v>
      </c>
      <c r="G549" s="79">
        <v>400700</v>
      </c>
    </row>
    <row r="550" spans="1:7" x14ac:dyDescent="0.25">
      <c r="A550" s="1" t="s">
        <v>673</v>
      </c>
      <c r="B550" s="76">
        <v>32.081043000000001</v>
      </c>
      <c r="C550" s="76">
        <v>32.146889000000002</v>
      </c>
      <c r="D550" s="76">
        <v>32.037147999999902</v>
      </c>
      <c r="E550" s="76">
        <v>32.044463999999998</v>
      </c>
      <c r="F550" s="76">
        <v>16.457777</v>
      </c>
      <c r="G550" s="79">
        <v>342600</v>
      </c>
    </row>
    <row r="551" spans="1:7" x14ac:dyDescent="0.25">
      <c r="A551" s="1" t="s">
        <v>674</v>
      </c>
      <c r="B551" s="76">
        <v>32.007880999999998</v>
      </c>
      <c r="C551" s="76">
        <v>32.307842000000001</v>
      </c>
      <c r="D551" s="76">
        <v>32.007880999999998</v>
      </c>
      <c r="E551" s="76">
        <v>32.190784000000001</v>
      </c>
      <c r="F551" s="76">
        <v>16.532934000000001</v>
      </c>
      <c r="G551" s="79">
        <v>289600</v>
      </c>
    </row>
    <row r="552" spans="1:7" x14ac:dyDescent="0.25">
      <c r="A552" s="1" t="s">
        <v>675</v>
      </c>
      <c r="B552" s="76">
        <v>32.337105000000001</v>
      </c>
      <c r="C552" s="76">
        <v>32.622433000000001</v>
      </c>
      <c r="D552" s="76">
        <v>32.300525999999998</v>
      </c>
      <c r="E552" s="76">
        <v>32.571219999999997</v>
      </c>
      <c r="F552" s="76">
        <v>16.72831</v>
      </c>
      <c r="G552" s="79">
        <v>418200</v>
      </c>
    </row>
    <row r="553" spans="1:7" x14ac:dyDescent="0.25">
      <c r="A553" s="1" t="s">
        <v>676</v>
      </c>
      <c r="B553" s="76">
        <v>32.424900000000001</v>
      </c>
      <c r="C553" s="76">
        <v>33.068714</v>
      </c>
      <c r="D553" s="76">
        <v>32.424900000000001</v>
      </c>
      <c r="E553" s="76">
        <v>32.849232000000001</v>
      </c>
      <c r="F553" s="76">
        <v>16.871098999999901</v>
      </c>
      <c r="G553" s="79">
        <v>550800</v>
      </c>
    </row>
    <row r="554" spans="1:7" x14ac:dyDescent="0.25">
      <c r="A554" s="1" t="s">
        <v>677</v>
      </c>
      <c r="B554" s="76">
        <v>32.885810999999997</v>
      </c>
      <c r="C554" s="76">
        <v>32.885810999999997</v>
      </c>
      <c r="D554" s="76">
        <v>32.337105000000001</v>
      </c>
      <c r="E554" s="76">
        <v>32.695594999999997</v>
      </c>
      <c r="F554" s="76">
        <v>16.792192</v>
      </c>
      <c r="G554" s="79">
        <v>328400</v>
      </c>
    </row>
    <row r="555" spans="1:7" x14ac:dyDescent="0.25">
      <c r="A555" s="1" t="s">
        <v>678</v>
      </c>
      <c r="B555" s="76">
        <v>32.563904000000001</v>
      </c>
      <c r="C555" s="76">
        <v>32.915076999999997</v>
      </c>
      <c r="D555" s="76">
        <v>32.563904000000001</v>
      </c>
      <c r="E555" s="76">
        <v>32.746806999999997</v>
      </c>
      <c r="F555" s="76">
        <v>16.818494999999999</v>
      </c>
      <c r="G555" s="79">
        <v>223000</v>
      </c>
    </row>
    <row r="556" spans="1:7" x14ac:dyDescent="0.25">
      <c r="A556" s="1" t="s">
        <v>679</v>
      </c>
      <c r="B556" s="76">
        <v>32.629748999999997</v>
      </c>
      <c r="C556" s="76">
        <v>32.812652999999997</v>
      </c>
      <c r="D556" s="76">
        <v>32.527324999999998</v>
      </c>
      <c r="E556" s="76">
        <v>32.527324999999998</v>
      </c>
      <c r="F556" s="76">
        <v>16.705773999999899</v>
      </c>
      <c r="G556" s="79">
        <v>245700</v>
      </c>
    </row>
    <row r="557" spans="1:7" x14ac:dyDescent="0.25">
      <c r="A557" s="1" t="s">
        <v>680</v>
      </c>
      <c r="B557" s="76">
        <v>32.373688000000001</v>
      </c>
      <c r="C557" s="76">
        <v>32.659011999999997</v>
      </c>
      <c r="D557" s="76">
        <v>32.293208999999997</v>
      </c>
      <c r="E557" s="76">
        <v>32.629748999999997</v>
      </c>
      <c r="F557" s="76">
        <v>16.758375000000001</v>
      </c>
      <c r="G557" s="79">
        <v>563200</v>
      </c>
    </row>
    <row r="558" spans="1:7" x14ac:dyDescent="0.25">
      <c r="A558" s="1" t="s">
        <v>681</v>
      </c>
      <c r="B558" s="76">
        <v>32.622433000000001</v>
      </c>
      <c r="C558" s="76">
        <v>32.622433000000001</v>
      </c>
      <c r="D558" s="76">
        <v>32.461478999999997</v>
      </c>
      <c r="E558" s="76">
        <v>32.556587</v>
      </c>
      <c r="F558" s="76">
        <v>16.720807999999899</v>
      </c>
      <c r="G558" s="79">
        <v>318400</v>
      </c>
    </row>
    <row r="559" spans="1:7" x14ac:dyDescent="0.25">
      <c r="A559" s="1" t="s">
        <v>682</v>
      </c>
      <c r="B559" s="76">
        <v>32.556587</v>
      </c>
      <c r="C559" s="76">
        <v>32.556587</v>
      </c>
      <c r="D559" s="76">
        <v>32.220046999999902</v>
      </c>
      <c r="E559" s="76">
        <v>32.373688000000001</v>
      </c>
      <c r="F559" s="76">
        <v>16.626857999999999</v>
      </c>
      <c r="G559" s="79">
        <v>301600</v>
      </c>
    </row>
    <row r="560" spans="1:7" x14ac:dyDescent="0.25">
      <c r="A560" s="1" t="s">
        <v>683</v>
      </c>
      <c r="B560" s="76">
        <v>32.373688000000001</v>
      </c>
      <c r="C560" s="76">
        <v>32.549270999999997</v>
      </c>
      <c r="D560" s="76">
        <v>32.205418000000002</v>
      </c>
      <c r="E560" s="76">
        <v>32.373688000000001</v>
      </c>
      <c r="F560" s="76">
        <v>16.626857999999999</v>
      </c>
      <c r="G560" s="79">
        <v>299600</v>
      </c>
    </row>
    <row r="561" spans="1:7" x14ac:dyDescent="0.25">
      <c r="A561" s="1" t="s">
        <v>684</v>
      </c>
      <c r="B561" s="76">
        <v>32.541958000000001</v>
      </c>
      <c r="C561" s="76">
        <v>32.541958000000001</v>
      </c>
      <c r="D561" s="76">
        <v>32.190784000000001</v>
      </c>
      <c r="E561" s="76">
        <v>32.278576000000001</v>
      </c>
      <c r="F561" s="76">
        <v>16.578018</v>
      </c>
      <c r="G561" s="79">
        <v>660700</v>
      </c>
    </row>
    <row r="562" spans="1:7" x14ac:dyDescent="0.25">
      <c r="A562" s="1" t="s">
        <v>685</v>
      </c>
      <c r="B562" s="76">
        <v>32.446846000000001</v>
      </c>
      <c r="C562" s="76">
        <v>32.476112000000001</v>
      </c>
      <c r="D562" s="76">
        <v>32.263946999999902</v>
      </c>
      <c r="E562" s="76">
        <v>32.307842000000001</v>
      </c>
      <c r="F562" s="76">
        <v>16.593052</v>
      </c>
      <c r="G562" s="79">
        <v>634300</v>
      </c>
    </row>
    <row r="563" spans="1:7" x14ac:dyDescent="0.25">
      <c r="A563" s="1" t="s">
        <v>686</v>
      </c>
      <c r="B563" s="76">
        <v>32.373688000000001</v>
      </c>
      <c r="C563" s="76">
        <v>32.578536999999997</v>
      </c>
      <c r="D563" s="76">
        <v>32.234679999999997</v>
      </c>
      <c r="E563" s="76">
        <v>32.556587</v>
      </c>
      <c r="F563" s="76">
        <v>16.720807999999899</v>
      </c>
      <c r="G563" s="79">
        <v>369400</v>
      </c>
    </row>
    <row r="564" spans="1:7" x14ac:dyDescent="0.25">
      <c r="A564" s="1" t="s">
        <v>687</v>
      </c>
      <c r="B564" s="76">
        <v>32.629748999999997</v>
      </c>
      <c r="C564" s="76">
        <v>32.885810999999997</v>
      </c>
      <c r="D564" s="76">
        <v>32.446846000000001</v>
      </c>
      <c r="E564" s="76">
        <v>32.878498</v>
      </c>
      <c r="F564" s="76">
        <v>16.886130999999999</v>
      </c>
      <c r="G564" s="79">
        <v>277000</v>
      </c>
    </row>
    <row r="565" spans="1:7" x14ac:dyDescent="0.25">
      <c r="A565" s="1" t="s">
        <v>688</v>
      </c>
      <c r="B565" s="76">
        <v>32.878498</v>
      </c>
      <c r="C565" s="76">
        <v>32.878498</v>
      </c>
      <c r="D565" s="76">
        <v>32.600487000000001</v>
      </c>
      <c r="E565" s="76">
        <v>32.666328</v>
      </c>
      <c r="F565" s="76">
        <v>16.777159000000001</v>
      </c>
      <c r="G565" s="79">
        <v>218300</v>
      </c>
    </row>
    <row r="566" spans="1:7" x14ac:dyDescent="0.25">
      <c r="A566" s="1" t="s">
        <v>689</v>
      </c>
      <c r="B566" s="76">
        <v>32.673645</v>
      </c>
      <c r="C566" s="76">
        <v>32.673645</v>
      </c>
      <c r="D566" s="76">
        <v>32.263946999999902</v>
      </c>
      <c r="E566" s="76">
        <v>32.454163000000001</v>
      </c>
      <c r="F566" s="76">
        <v>16.668199999999999</v>
      </c>
      <c r="G566" s="79">
        <v>426800</v>
      </c>
    </row>
    <row r="567" spans="1:7" x14ac:dyDescent="0.25">
      <c r="A567" s="1" t="s">
        <v>690</v>
      </c>
      <c r="B567" s="76">
        <v>32.563904000000001</v>
      </c>
      <c r="C567" s="76">
        <v>32.563904000000001</v>
      </c>
      <c r="D567" s="76">
        <v>32.454163000000001</v>
      </c>
      <c r="E567" s="76">
        <v>32.541958000000001</v>
      </c>
      <c r="F567" s="76">
        <v>16.713284999999999</v>
      </c>
      <c r="G567" s="79">
        <v>314600</v>
      </c>
    </row>
    <row r="568" spans="1:7" x14ac:dyDescent="0.25">
      <c r="A568" s="1" t="s">
        <v>691</v>
      </c>
      <c r="B568" s="76">
        <v>32.300525999999998</v>
      </c>
      <c r="C568" s="76">
        <v>32.849232000000001</v>
      </c>
      <c r="D568" s="76">
        <v>32.117621999999997</v>
      </c>
      <c r="E568" s="76">
        <v>32.798018999999996</v>
      </c>
      <c r="F568" s="76">
        <v>16.844795000000001</v>
      </c>
      <c r="G568" s="79">
        <v>552300</v>
      </c>
    </row>
    <row r="569" spans="1:7" x14ac:dyDescent="0.25">
      <c r="A569" s="1" t="s">
        <v>692</v>
      </c>
      <c r="B569" s="76">
        <v>32.798018999999996</v>
      </c>
      <c r="C569" s="76">
        <v>33.222351000000003</v>
      </c>
      <c r="D569" s="76">
        <v>32.724857</v>
      </c>
      <c r="E569" s="76">
        <v>33.200404999999897</v>
      </c>
      <c r="F569" s="76">
        <v>17.051462000000001</v>
      </c>
      <c r="G569" s="79">
        <v>456000</v>
      </c>
    </row>
    <row r="570" spans="1:7" x14ac:dyDescent="0.25">
      <c r="A570" s="1" t="s">
        <v>693</v>
      </c>
      <c r="B570" s="76">
        <v>33.361359</v>
      </c>
      <c r="C570" s="76">
        <v>33.829585999999999</v>
      </c>
      <c r="D570" s="76">
        <v>33.288196999999997</v>
      </c>
      <c r="E570" s="76">
        <v>33.632052999999999</v>
      </c>
      <c r="F570" s="76">
        <v>17.273143999999998</v>
      </c>
      <c r="G570" s="79">
        <v>546400</v>
      </c>
    </row>
    <row r="571" spans="1:7" x14ac:dyDescent="0.25">
      <c r="A571" s="1" t="s">
        <v>694</v>
      </c>
      <c r="B571" s="76">
        <v>33.617420000000003</v>
      </c>
      <c r="C571" s="76">
        <v>33.617420000000003</v>
      </c>
      <c r="D571" s="76">
        <v>33.193089000000001</v>
      </c>
      <c r="E571" s="76">
        <v>33.397938000000003</v>
      </c>
      <c r="F571" s="76">
        <v>17.152913999999999</v>
      </c>
      <c r="G571" s="79">
        <v>395000</v>
      </c>
    </row>
    <row r="572" spans="1:7" x14ac:dyDescent="0.25">
      <c r="A572" s="1" t="s">
        <v>695</v>
      </c>
      <c r="B572" s="76">
        <v>33.632052999999999</v>
      </c>
      <c r="C572" s="76">
        <v>34.458770999999999</v>
      </c>
      <c r="D572" s="76">
        <v>33.580840999999999</v>
      </c>
      <c r="E572" s="76">
        <v>34.458770999999999</v>
      </c>
      <c r="F572" s="76">
        <v>17.697742000000002</v>
      </c>
      <c r="G572" s="79">
        <v>560600</v>
      </c>
    </row>
    <row r="573" spans="1:7" x14ac:dyDescent="0.25">
      <c r="A573" s="1" t="s">
        <v>696</v>
      </c>
      <c r="B573" s="76">
        <v>34.283183999999999</v>
      </c>
      <c r="C573" s="76">
        <v>34.531933000000002</v>
      </c>
      <c r="D573" s="76">
        <v>33.873486</v>
      </c>
      <c r="E573" s="76">
        <v>34.114913999999999</v>
      </c>
      <c r="F573" s="76">
        <v>17.521145000000001</v>
      </c>
      <c r="G573" s="79">
        <v>284500</v>
      </c>
    </row>
    <row r="574" spans="1:7" x14ac:dyDescent="0.25">
      <c r="A574" s="1" t="s">
        <v>697</v>
      </c>
      <c r="B574" s="76">
        <v>34.261237999999999</v>
      </c>
      <c r="C574" s="76">
        <v>34.261237999999999</v>
      </c>
      <c r="D574" s="76">
        <v>33.412571</v>
      </c>
      <c r="E574" s="76">
        <v>33.558890999999903</v>
      </c>
      <c r="F574" s="76">
        <v>17.235576999999999</v>
      </c>
      <c r="G574" s="79">
        <v>482700</v>
      </c>
    </row>
    <row r="575" spans="1:7" x14ac:dyDescent="0.25">
      <c r="A575" s="1" t="s">
        <v>698</v>
      </c>
      <c r="B575" s="76">
        <v>33.558890999999903</v>
      </c>
      <c r="C575" s="76">
        <v>33.668633</v>
      </c>
      <c r="D575" s="76">
        <v>32.556587</v>
      </c>
      <c r="E575" s="76">
        <v>33.127243</v>
      </c>
      <c r="F575" s="76">
        <v>17.013887</v>
      </c>
      <c r="G575" s="79">
        <v>339700</v>
      </c>
    </row>
    <row r="576" spans="1:7" x14ac:dyDescent="0.25">
      <c r="A576" s="1" t="s">
        <v>699</v>
      </c>
      <c r="B576" s="76">
        <v>33.215034000000003</v>
      </c>
      <c r="C576" s="76">
        <v>33.836903</v>
      </c>
      <c r="D576" s="76">
        <v>33.141876000000003</v>
      </c>
      <c r="E576" s="76">
        <v>33.434520999999997</v>
      </c>
      <c r="F576" s="76">
        <v>17.171696000000001</v>
      </c>
      <c r="G576" s="79">
        <v>299000</v>
      </c>
    </row>
    <row r="577" spans="1:7" x14ac:dyDescent="0.25">
      <c r="A577" s="1" t="s">
        <v>700</v>
      </c>
      <c r="B577" s="76">
        <v>33.602790999999897</v>
      </c>
      <c r="C577" s="76">
        <v>33.617420000000003</v>
      </c>
      <c r="D577" s="76">
        <v>33.046768</v>
      </c>
      <c r="E577" s="76">
        <v>33.178455</v>
      </c>
      <c r="F577" s="76">
        <v>17.040185999999999</v>
      </c>
      <c r="G577" s="79">
        <v>516200</v>
      </c>
    </row>
    <row r="578" spans="1:7" x14ac:dyDescent="0.25">
      <c r="A578" s="1" t="s">
        <v>701</v>
      </c>
      <c r="B578" s="76">
        <v>33.251616999999897</v>
      </c>
      <c r="C578" s="76">
        <v>33.288196999999997</v>
      </c>
      <c r="D578" s="76">
        <v>32.629748999999997</v>
      </c>
      <c r="E578" s="76">
        <v>32.629748999999997</v>
      </c>
      <c r="F578" s="76">
        <v>16.758375000000001</v>
      </c>
      <c r="G578" s="79">
        <v>282400</v>
      </c>
    </row>
    <row r="579" spans="1:7" x14ac:dyDescent="0.25">
      <c r="A579" s="1" t="s">
        <v>702</v>
      </c>
      <c r="B579" s="76">
        <v>32.739490999999902</v>
      </c>
      <c r="C579" s="76">
        <v>32.812652999999997</v>
      </c>
      <c r="D579" s="76">
        <v>31.729869999999998</v>
      </c>
      <c r="E579" s="76">
        <v>31.810348999999999</v>
      </c>
      <c r="F579" s="76">
        <v>16.337536</v>
      </c>
      <c r="G579" s="79">
        <v>557000</v>
      </c>
    </row>
    <row r="580" spans="1:7" x14ac:dyDescent="0.25">
      <c r="A580" s="1" t="s">
        <v>703</v>
      </c>
      <c r="B580" s="76">
        <v>32.102992999999998</v>
      </c>
      <c r="C580" s="76">
        <v>32.190784000000001</v>
      </c>
      <c r="D580" s="76">
        <v>31.898140000000001</v>
      </c>
      <c r="E580" s="76">
        <v>32.154204999999997</v>
      </c>
      <c r="F580" s="76">
        <v>16.514136999999899</v>
      </c>
      <c r="G580" s="79">
        <v>631400</v>
      </c>
    </row>
    <row r="581" spans="1:7" x14ac:dyDescent="0.25">
      <c r="A581" s="1" t="s">
        <v>704</v>
      </c>
      <c r="B581" s="76">
        <v>32.176150999999997</v>
      </c>
      <c r="C581" s="76">
        <v>32.190784000000001</v>
      </c>
      <c r="D581" s="76">
        <v>32.007880999999998</v>
      </c>
      <c r="E581" s="76">
        <v>32.154204999999997</v>
      </c>
      <c r="F581" s="76">
        <v>16.514136999999899</v>
      </c>
      <c r="G581" s="79">
        <v>215400</v>
      </c>
    </row>
    <row r="582" spans="1:7" x14ac:dyDescent="0.25">
      <c r="A582" s="1" t="s">
        <v>705</v>
      </c>
      <c r="B582" s="76">
        <v>32.168834999999902</v>
      </c>
      <c r="C582" s="76">
        <v>32.190784000000001</v>
      </c>
      <c r="D582" s="76">
        <v>31.949354</v>
      </c>
      <c r="E582" s="76">
        <v>32.029831000000001</v>
      </c>
      <c r="F582" s="76">
        <v>16.450264000000001</v>
      </c>
      <c r="G582" s="79">
        <v>129400</v>
      </c>
    </row>
    <row r="583" spans="1:7" x14ac:dyDescent="0.25">
      <c r="A583" s="1" t="s">
        <v>706</v>
      </c>
      <c r="B583" s="76">
        <v>32.154204999999997</v>
      </c>
      <c r="C583" s="76">
        <v>32.154204999999997</v>
      </c>
      <c r="D583" s="76">
        <v>31.546968</v>
      </c>
      <c r="E583" s="76">
        <v>31.82498</v>
      </c>
      <c r="F583" s="76">
        <v>16.345053</v>
      </c>
      <c r="G583" s="79">
        <v>388000</v>
      </c>
    </row>
    <row r="584" spans="1:7" x14ac:dyDescent="0.25">
      <c r="A584" s="1" t="s">
        <v>707</v>
      </c>
      <c r="B584" s="76">
        <v>31.934721</v>
      </c>
      <c r="C584" s="76">
        <v>32.300525999999998</v>
      </c>
      <c r="D584" s="76">
        <v>31.898140000000001</v>
      </c>
      <c r="E584" s="76">
        <v>32.263946999999902</v>
      </c>
      <c r="F584" s="76">
        <v>16.570495999999999</v>
      </c>
      <c r="G584" s="79">
        <v>454700</v>
      </c>
    </row>
    <row r="585" spans="1:7" x14ac:dyDescent="0.25">
      <c r="A585" s="1" t="s">
        <v>708</v>
      </c>
      <c r="B585" s="76">
        <v>32.278576000000001</v>
      </c>
      <c r="C585" s="76">
        <v>32.922393999999997</v>
      </c>
      <c r="D585" s="76">
        <v>32.278576000000001</v>
      </c>
      <c r="E585" s="76">
        <v>32.922393999999997</v>
      </c>
      <c r="F585" s="76">
        <v>16.908681999999999</v>
      </c>
      <c r="G585" s="79">
        <v>372500</v>
      </c>
    </row>
    <row r="586" spans="1:7" x14ac:dyDescent="0.25">
      <c r="A586" s="1" t="s">
        <v>709</v>
      </c>
      <c r="B586" s="76">
        <v>32.702911</v>
      </c>
      <c r="C586" s="76">
        <v>32.907761000000001</v>
      </c>
      <c r="D586" s="76">
        <v>32.607799999999997</v>
      </c>
      <c r="E586" s="76">
        <v>32.776069999999997</v>
      </c>
      <c r="F586" s="76">
        <v>17.084091000000001</v>
      </c>
      <c r="G586" s="79">
        <v>750600</v>
      </c>
    </row>
    <row r="587" spans="1:7" x14ac:dyDescent="0.25">
      <c r="A587" s="1" t="s">
        <v>710</v>
      </c>
      <c r="B587" s="76">
        <v>32.666328</v>
      </c>
      <c r="C587" s="76">
        <v>32.863864999999997</v>
      </c>
      <c r="D587" s="76">
        <v>32.556587</v>
      </c>
      <c r="E587" s="76">
        <v>32.834598999999997</v>
      </c>
      <c r="F587" s="76">
        <v>17.114594</v>
      </c>
      <c r="G587" s="79">
        <v>332500</v>
      </c>
    </row>
    <row r="588" spans="1:7" x14ac:dyDescent="0.25">
      <c r="A588" s="1" t="s">
        <v>711</v>
      </c>
      <c r="B588" s="76">
        <v>32.885810999999997</v>
      </c>
      <c r="C588" s="76">
        <v>32.907761000000001</v>
      </c>
      <c r="D588" s="76">
        <v>32.739490999999902</v>
      </c>
      <c r="E588" s="76">
        <v>32.739490999999902</v>
      </c>
      <c r="F588" s="76">
        <v>17.065033</v>
      </c>
      <c r="G588" s="79">
        <v>168100</v>
      </c>
    </row>
    <row r="589" spans="1:7" x14ac:dyDescent="0.25">
      <c r="A589" s="1" t="s">
        <v>712</v>
      </c>
      <c r="B589" s="76">
        <v>32.746806999999997</v>
      </c>
      <c r="C589" s="76">
        <v>32.827281999999997</v>
      </c>
      <c r="D589" s="76">
        <v>32.702911</v>
      </c>
      <c r="E589" s="76">
        <v>32.724857</v>
      </c>
      <c r="F589" s="76">
        <v>17.057400000000001</v>
      </c>
      <c r="G589" s="79">
        <v>414300</v>
      </c>
    </row>
    <row r="590" spans="1:7" x14ac:dyDescent="0.25">
      <c r="A590" s="1" t="s">
        <v>713</v>
      </c>
      <c r="B590" s="76">
        <v>32.776069999999997</v>
      </c>
      <c r="C590" s="76">
        <v>32.776069999999997</v>
      </c>
      <c r="D590" s="76">
        <v>31.481122999999901</v>
      </c>
      <c r="E590" s="76">
        <v>32.439529</v>
      </c>
      <c r="F590" s="76">
        <v>16.90868</v>
      </c>
      <c r="G590" s="79">
        <v>740600</v>
      </c>
    </row>
    <row r="591" spans="1:7" x14ac:dyDescent="0.25">
      <c r="A591" s="1" t="s">
        <v>714</v>
      </c>
      <c r="B591" s="76">
        <v>32.446846000000001</v>
      </c>
      <c r="C591" s="76">
        <v>32.556587</v>
      </c>
      <c r="D591" s="76">
        <v>32.263946999999902</v>
      </c>
      <c r="E591" s="76">
        <v>32.263946999999902</v>
      </c>
      <c r="F591" s="76">
        <v>16.817157999999999</v>
      </c>
      <c r="G591" s="79">
        <v>237100</v>
      </c>
    </row>
    <row r="592" spans="1:7" x14ac:dyDescent="0.25">
      <c r="A592" s="1" t="s">
        <v>715</v>
      </c>
      <c r="B592" s="76">
        <v>32.337105000000001</v>
      </c>
      <c r="C592" s="76">
        <v>32.337105000000001</v>
      </c>
      <c r="D592" s="76">
        <v>31.759134</v>
      </c>
      <c r="E592" s="76">
        <v>31.781084</v>
      </c>
      <c r="F592" s="76">
        <v>16.565463999999999</v>
      </c>
      <c r="G592" s="79">
        <v>529200</v>
      </c>
    </row>
    <row r="593" spans="1:7" x14ac:dyDescent="0.25">
      <c r="A593" s="1" t="s">
        <v>716</v>
      </c>
      <c r="B593" s="76">
        <v>31.927403999999999</v>
      </c>
      <c r="C593" s="76">
        <v>31.927403999999999</v>
      </c>
      <c r="D593" s="76">
        <v>31.781084</v>
      </c>
      <c r="E593" s="76">
        <v>31.82498</v>
      </c>
      <c r="F593" s="76">
        <v>16.588348</v>
      </c>
      <c r="G593" s="79">
        <v>416500</v>
      </c>
    </row>
    <row r="594" spans="1:7" x14ac:dyDescent="0.25">
      <c r="A594" s="1" t="s">
        <v>717</v>
      </c>
      <c r="B594" s="76">
        <v>31.861560999999998</v>
      </c>
      <c r="C594" s="76">
        <v>31.861560999999998</v>
      </c>
      <c r="D594" s="76">
        <v>31.568915999999899</v>
      </c>
      <c r="E594" s="76">
        <v>31.642078000000001</v>
      </c>
      <c r="F594" s="76">
        <v>16.493006000000001</v>
      </c>
      <c r="G594" s="79">
        <v>486100</v>
      </c>
    </row>
    <row r="595" spans="1:7" x14ac:dyDescent="0.25">
      <c r="A595" s="1" t="s">
        <v>718</v>
      </c>
      <c r="B595" s="76">
        <v>31.715239</v>
      </c>
      <c r="C595" s="76">
        <v>31.751819999999999</v>
      </c>
      <c r="D595" s="76">
        <v>31.554284999999901</v>
      </c>
      <c r="E595" s="76">
        <v>31.627445000000002</v>
      </c>
      <c r="F595" s="76">
        <v>16.485385999999998</v>
      </c>
      <c r="G595" s="79">
        <v>329000</v>
      </c>
    </row>
    <row r="596" spans="1:7" x14ac:dyDescent="0.25">
      <c r="A596" s="1" t="s">
        <v>719</v>
      </c>
      <c r="B596" s="76">
        <v>31.664026</v>
      </c>
      <c r="C596" s="76">
        <v>31.715239</v>
      </c>
      <c r="D596" s="76">
        <v>31.459174999999998</v>
      </c>
      <c r="E596" s="76">
        <v>31.656709999999901</v>
      </c>
      <c r="F596" s="76">
        <v>16.500634999999999</v>
      </c>
      <c r="G596" s="79">
        <v>225500</v>
      </c>
    </row>
    <row r="597" spans="1:7" x14ac:dyDescent="0.25">
      <c r="A597" s="1" t="s">
        <v>720</v>
      </c>
      <c r="B597" s="76">
        <v>31.729869999999998</v>
      </c>
      <c r="C597" s="76">
        <v>31.920089999999998</v>
      </c>
      <c r="D597" s="76">
        <v>31.634761999999998</v>
      </c>
      <c r="E597" s="76">
        <v>31.905456999999998</v>
      </c>
      <c r="F597" s="76">
        <v>16.630295</v>
      </c>
      <c r="G597" s="79">
        <v>166100</v>
      </c>
    </row>
    <row r="598" spans="1:7" x14ac:dyDescent="0.25">
      <c r="A598" s="1" t="s">
        <v>721</v>
      </c>
      <c r="B598" s="76">
        <v>31.912772999999898</v>
      </c>
      <c r="C598" s="76">
        <v>31.934721</v>
      </c>
      <c r="D598" s="76">
        <v>31.649393</v>
      </c>
      <c r="E598" s="76">
        <v>31.729869999999998</v>
      </c>
      <c r="F598" s="76">
        <v>16.538774</v>
      </c>
      <c r="G598" s="79">
        <v>120000</v>
      </c>
    </row>
    <row r="599" spans="1:7" x14ac:dyDescent="0.25">
      <c r="A599" s="1" t="s">
        <v>722</v>
      </c>
      <c r="B599" s="76">
        <v>31.729869999999998</v>
      </c>
      <c r="C599" s="76">
        <v>31.729869999999998</v>
      </c>
      <c r="D599" s="76">
        <v>31.459174999999998</v>
      </c>
      <c r="E599" s="76">
        <v>31.473807999999998</v>
      </c>
      <c r="F599" s="76">
        <v>16.4053</v>
      </c>
      <c r="G599" s="79">
        <v>247500</v>
      </c>
    </row>
    <row r="600" spans="1:7" x14ac:dyDescent="0.25">
      <c r="A600" s="1" t="s">
        <v>723</v>
      </c>
      <c r="B600" s="76">
        <v>31.473807999999998</v>
      </c>
      <c r="C600" s="76">
        <v>31.532336999999998</v>
      </c>
      <c r="D600" s="76">
        <v>31.386015</v>
      </c>
      <c r="E600" s="76">
        <v>31.481122999999901</v>
      </c>
      <c r="F600" s="76">
        <v>16.409116999999998</v>
      </c>
      <c r="G600" s="79">
        <v>385100</v>
      </c>
    </row>
    <row r="601" spans="1:7" x14ac:dyDescent="0.25">
      <c r="A601" s="1" t="s">
        <v>724</v>
      </c>
      <c r="B601" s="76">
        <v>31.481122999999901</v>
      </c>
      <c r="C601" s="76">
        <v>32.293208999999997</v>
      </c>
      <c r="D601" s="76">
        <v>31.481122999999901</v>
      </c>
      <c r="E601" s="76">
        <v>32.095675999999997</v>
      </c>
      <c r="F601" s="76">
        <v>16.729444999999998</v>
      </c>
      <c r="G601" s="79">
        <v>397900</v>
      </c>
    </row>
    <row r="602" spans="1:7" x14ac:dyDescent="0.25">
      <c r="A602" s="1" t="s">
        <v>725</v>
      </c>
      <c r="B602" s="76">
        <v>32.256630000000001</v>
      </c>
      <c r="C602" s="76">
        <v>32.432217000000001</v>
      </c>
      <c r="D602" s="76">
        <v>32.190784000000001</v>
      </c>
      <c r="E602" s="76">
        <v>32.220046999999902</v>
      </c>
      <c r="F602" s="76">
        <v>16.794266</v>
      </c>
      <c r="G602" s="79">
        <v>141800</v>
      </c>
    </row>
    <row r="603" spans="1:7" x14ac:dyDescent="0.25">
      <c r="A603" s="1" t="s">
        <v>726</v>
      </c>
      <c r="B603" s="76">
        <v>32.300525999999998</v>
      </c>
      <c r="C603" s="76">
        <v>32.402949999999997</v>
      </c>
      <c r="D603" s="76">
        <v>31.82498</v>
      </c>
      <c r="E603" s="76">
        <v>32.263946999999902</v>
      </c>
      <c r="F603" s="76">
        <v>16.817157999999999</v>
      </c>
      <c r="G603" s="79">
        <v>260500</v>
      </c>
    </row>
    <row r="604" spans="1:7" x14ac:dyDescent="0.25">
      <c r="A604" s="1" t="s">
        <v>727</v>
      </c>
      <c r="B604" s="76">
        <v>32.337105000000001</v>
      </c>
      <c r="C604" s="76">
        <v>33.090663999999997</v>
      </c>
      <c r="D604" s="76">
        <v>32.263946999999902</v>
      </c>
      <c r="E604" s="76">
        <v>33.090663999999997</v>
      </c>
      <c r="F604" s="76">
        <v>17.248068</v>
      </c>
      <c r="G604" s="79">
        <v>2138900</v>
      </c>
    </row>
    <row r="605" spans="1:7" x14ac:dyDescent="0.25">
      <c r="A605" s="1" t="s">
        <v>728</v>
      </c>
      <c r="B605" s="76">
        <v>32.373688000000001</v>
      </c>
      <c r="C605" s="76">
        <v>32.446846000000001</v>
      </c>
      <c r="D605" s="76">
        <v>31.898140000000001</v>
      </c>
      <c r="E605" s="76">
        <v>32.293208999999997</v>
      </c>
      <c r="F605" s="76">
        <v>16.832408999999998</v>
      </c>
      <c r="G605" s="79">
        <v>818800</v>
      </c>
    </row>
    <row r="606" spans="1:7" x14ac:dyDescent="0.25">
      <c r="A606" s="1" t="s">
        <v>729</v>
      </c>
      <c r="B606" s="76">
        <v>32.556587</v>
      </c>
      <c r="C606" s="76">
        <v>33.4711</v>
      </c>
      <c r="D606" s="76">
        <v>32.388317000000001</v>
      </c>
      <c r="E606" s="76">
        <v>32.520007999999997</v>
      </c>
      <c r="F606" s="76">
        <v>16.950619</v>
      </c>
      <c r="G606" s="79">
        <v>450800</v>
      </c>
    </row>
    <row r="607" spans="1:7" x14ac:dyDescent="0.25">
      <c r="A607" s="1" t="s">
        <v>730</v>
      </c>
      <c r="B607" s="76">
        <v>32.885810999999997</v>
      </c>
      <c r="C607" s="76">
        <v>32.958973</v>
      </c>
      <c r="D607" s="76">
        <v>32.688277999999997</v>
      </c>
      <c r="E607" s="76">
        <v>32.922393999999997</v>
      </c>
      <c r="F607" s="76">
        <v>17.160364000000001</v>
      </c>
      <c r="G607" s="79">
        <v>409800</v>
      </c>
    </row>
    <row r="608" spans="1:7" x14ac:dyDescent="0.25">
      <c r="A608" s="1" t="s">
        <v>731</v>
      </c>
      <c r="B608" s="76">
        <v>32.922393999999997</v>
      </c>
      <c r="C608" s="76">
        <v>32.958973</v>
      </c>
      <c r="D608" s="76">
        <v>32.812652999999997</v>
      </c>
      <c r="E608" s="76">
        <v>32.958973</v>
      </c>
      <c r="F608" s="76">
        <v>17.179425999999999</v>
      </c>
      <c r="G608" s="79">
        <v>323700</v>
      </c>
    </row>
    <row r="609" spans="1:7" x14ac:dyDescent="0.25">
      <c r="A609" s="1" t="s">
        <v>732</v>
      </c>
      <c r="B609" s="76">
        <v>32.958973</v>
      </c>
      <c r="C609" s="76">
        <v>32.958973</v>
      </c>
      <c r="D609" s="76">
        <v>32.688277999999997</v>
      </c>
      <c r="E609" s="76">
        <v>32.768757000000001</v>
      </c>
      <c r="F609" s="76">
        <v>17.080282</v>
      </c>
      <c r="G609" s="79">
        <v>477400</v>
      </c>
    </row>
    <row r="610" spans="1:7" x14ac:dyDescent="0.25">
      <c r="A610" s="1" t="s">
        <v>733</v>
      </c>
      <c r="B610" s="76">
        <v>32.812652999999997</v>
      </c>
      <c r="C610" s="76">
        <v>32.849232000000001</v>
      </c>
      <c r="D610" s="76">
        <v>32.629748999999997</v>
      </c>
      <c r="E610" s="76">
        <v>32.76144</v>
      </c>
      <c r="F610" s="76">
        <v>17.076464000000001</v>
      </c>
      <c r="G610" s="79">
        <v>369500</v>
      </c>
    </row>
    <row r="611" spans="1:7" x14ac:dyDescent="0.25">
      <c r="A611" s="1" t="s">
        <v>734</v>
      </c>
      <c r="B611" s="76">
        <v>32.688277999999997</v>
      </c>
      <c r="C611" s="76">
        <v>32.746806999999997</v>
      </c>
      <c r="D611" s="76">
        <v>32.483429000000001</v>
      </c>
      <c r="E611" s="76">
        <v>32.629748999999997</v>
      </c>
      <c r="F611" s="76">
        <v>17.007823999999999</v>
      </c>
      <c r="G611" s="79">
        <v>551000</v>
      </c>
    </row>
    <row r="612" spans="1:7" x14ac:dyDescent="0.25">
      <c r="A612" s="1" t="s">
        <v>735</v>
      </c>
      <c r="B612" s="76">
        <v>32.702911</v>
      </c>
      <c r="C612" s="76">
        <v>32.849232000000001</v>
      </c>
      <c r="D612" s="76">
        <v>32.556587</v>
      </c>
      <c r="E612" s="76">
        <v>32.849232000000001</v>
      </c>
      <c r="F612" s="76">
        <v>17.122223000000002</v>
      </c>
      <c r="G612" s="79">
        <v>183900</v>
      </c>
    </row>
    <row r="613" spans="1:7" x14ac:dyDescent="0.25">
      <c r="A613" s="1" t="s">
        <v>736</v>
      </c>
      <c r="B613" s="76">
        <v>32.907761000000001</v>
      </c>
      <c r="C613" s="76">
        <v>33.032134999999997</v>
      </c>
      <c r="D613" s="76">
        <v>32.768757000000001</v>
      </c>
      <c r="E613" s="76">
        <v>32.915076999999997</v>
      </c>
      <c r="F613" s="76">
        <v>17.156544</v>
      </c>
      <c r="G613" s="79">
        <v>376000</v>
      </c>
    </row>
    <row r="614" spans="1:7" x14ac:dyDescent="0.25">
      <c r="A614" s="1" t="s">
        <v>737</v>
      </c>
      <c r="B614" s="76">
        <v>33.068714</v>
      </c>
      <c r="C614" s="76">
        <v>33.068714</v>
      </c>
      <c r="D614" s="76">
        <v>32.483429000000001</v>
      </c>
      <c r="E614" s="76">
        <v>32.783386</v>
      </c>
      <c r="F614" s="76">
        <v>17.087902</v>
      </c>
      <c r="G614" s="79">
        <v>302900</v>
      </c>
    </row>
    <row r="615" spans="1:7" x14ac:dyDescent="0.25">
      <c r="A615" s="1" t="s">
        <v>738</v>
      </c>
      <c r="B615" s="76">
        <v>32.783386</v>
      </c>
      <c r="C615" s="76">
        <v>32.849232000000001</v>
      </c>
      <c r="D615" s="76">
        <v>32.505375000000001</v>
      </c>
      <c r="E615" s="76">
        <v>32.739490999999902</v>
      </c>
      <c r="F615" s="76">
        <v>17.065033</v>
      </c>
      <c r="G615" s="79">
        <v>205800</v>
      </c>
    </row>
    <row r="616" spans="1:7" x14ac:dyDescent="0.25">
      <c r="A616" s="1" t="s">
        <v>739</v>
      </c>
      <c r="B616" s="76">
        <v>32.739490999999902</v>
      </c>
      <c r="C616" s="76">
        <v>32.739490999999902</v>
      </c>
      <c r="D616" s="76">
        <v>32.520007999999997</v>
      </c>
      <c r="E616" s="76">
        <v>32.651699000000001</v>
      </c>
      <c r="F616" s="76">
        <v>17.019264</v>
      </c>
      <c r="G616" s="79">
        <v>291300</v>
      </c>
    </row>
    <row r="617" spans="1:7" x14ac:dyDescent="0.25">
      <c r="A617" s="1" t="s">
        <v>740</v>
      </c>
      <c r="B617" s="76">
        <v>32.702911</v>
      </c>
      <c r="C617" s="76">
        <v>32.798018999999996</v>
      </c>
      <c r="D617" s="76">
        <v>32.563904000000001</v>
      </c>
      <c r="E617" s="76">
        <v>32.666328</v>
      </c>
      <c r="F617" s="76">
        <v>17.026888</v>
      </c>
      <c r="G617" s="79">
        <v>405900</v>
      </c>
    </row>
    <row r="618" spans="1:7" x14ac:dyDescent="0.25">
      <c r="A618" s="1" t="s">
        <v>741</v>
      </c>
      <c r="B618" s="76">
        <v>32.739490999999902</v>
      </c>
      <c r="C618" s="76">
        <v>32.76144</v>
      </c>
      <c r="D618" s="76">
        <v>32.541958000000001</v>
      </c>
      <c r="E618" s="76">
        <v>32.702911</v>
      </c>
      <c r="F618" s="76">
        <v>17.045952</v>
      </c>
      <c r="G618" s="79">
        <v>317500</v>
      </c>
    </row>
    <row r="619" spans="1:7" x14ac:dyDescent="0.25">
      <c r="A619" s="1" t="s">
        <v>742</v>
      </c>
      <c r="B619" s="76">
        <v>32.783386</v>
      </c>
      <c r="C619" s="76">
        <v>32.995552000000004</v>
      </c>
      <c r="D619" s="76">
        <v>32.571219999999997</v>
      </c>
      <c r="E619" s="76">
        <v>32.922393999999997</v>
      </c>
      <c r="F619" s="76">
        <v>17.160364000000001</v>
      </c>
      <c r="G619" s="79">
        <v>247500</v>
      </c>
    </row>
    <row r="620" spans="1:7" x14ac:dyDescent="0.25">
      <c r="A620" s="1" t="s">
        <v>743</v>
      </c>
      <c r="B620" s="76">
        <v>32.849232000000001</v>
      </c>
      <c r="C620" s="76">
        <v>32.885810999999997</v>
      </c>
      <c r="D620" s="76">
        <v>32.746806999999997</v>
      </c>
      <c r="E620" s="76">
        <v>32.885810999999997</v>
      </c>
      <c r="F620" s="76">
        <v>17.141296000000001</v>
      </c>
      <c r="G620" s="79">
        <v>233400</v>
      </c>
    </row>
    <row r="621" spans="1:7" x14ac:dyDescent="0.25">
      <c r="A621" s="1" t="s">
        <v>744</v>
      </c>
      <c r="B621" s="76">
        <v>33.178455</v>
      </c>
      <c r="C621" s="76">
        <v>33.361359</v>
      </c>
      <c r="D621" s="76">
        <v>32.995552000000004</v>
      </c>
      <c r="E621" s="76">
        <v>33.30283</v>
      </c>
      <c r="F621" s="76">
        <v>17.358657999999998</v>
      </c>
      <c r="G621" s="79">
        <v>382100</v>
      </c>
    </row>
    <row r="622" spans="1:7" x14ac:dyDescent="0.25">
      <c r="A622" s="1" t="s">
        <v>745</v>
      </c>
      <c r="B622" s="76">
        <v>33.288196999999997</v>
      </c>
      <c r="C622" s="76">
        <v>33.4711</v>
      </c>
      <c r="D622" s="76">
        <v>32.958973</v>
      </c>
      <c r="E622" s="76">
        <v>33.141876000000003</v>
      </c>
      <c r="F622" s="76">
        <v>17.274767000000001</v>
      </c>
      <c r="G622" s="79">
        <v>324700</v>
      </c>
    </row>
    <row r="623" spans="1:7" x14ac:dyDescent="0.25">
      <c r="A623" s="1" t="s">
        <v>746</v>
      </c>
      <c r="B623" s="76">
        <v>33.324779999999997</v>
      </c>
      <c r="C623" s="76">
        <v>33.719844999999999</v>
      </c>
      <c r="D623" s="76">
        <v>33.324779999999997</v>
      </c>
      <c r="E623" s="76">
        <v>33.654003000000003</v>
      </c>
      <c r="F623" s="76">
        <v>17.541699999999999</v>
      </c>
      <c r="G623" s="79">
        <v>370400</v>
      </c>
    </row>
    <row r="624" spans="1:7" x14ac:dyDescent="0.25">
      <c r="A624" s="1" t="s">
        <v>747</v>
      </c>
      <c r="B624" s="76">
        <v>33.654003000000003</v>
      </c>
      <c r="C624" s="76">
        <v>33.654003000000003</v>
      </c>
      <c r="D624" s="76">
        <v>32.92971</v>
      </c>
      <c r="E624" s="76">
        <v>33.346724999999999</v>
      </c>
      <c r="F624" s="76">
        <v>17.381535</v>
      </c>
      <c r="G624" s="79">
        <v>438600</v>
      </c>
    </row>
    <row r="625" spans="1:7" x14ac:dyDescent="0.25">
      <c r="A625" s="1" t="s">
        <v>748</v>
      </c>
      <c r="B625" s="76">
        <v>33.712532000000003</v>
      </c>
      <c r="C625" s="76">
        <v>33.712532000000003</v>
      </c>
      <c r="D625" s="76">
        <v>33.251616999999897</v>
      </c>
      <c r="E625" s="76">
        <v>33.397938000000003</v>
      </c>
      <c r="F625" s="76">
        <v>17.408238999999998</v>
      </c>
      <c r="G625" s="79">
        <v>355000</v>
      </c>
    </row>
    <row r="626" spans="1:7" x14ac:dyDescent="0.25">
      <c r="A626" s="1" t="s">
        <v>749</v>
      </c>
      <c r="B626" s="76">
        <v>33.397938000000003</v>
      </c>
      <c r="C626" s="76">
        <v>33.800322999999999</v>
      </c>
      <c r="D626" s="76">
        <v>33.397938000000003</v>
      </c>
      <c r="E626" s="76">
        <v>33.800322999999999</v>
      </c>
      <c r="F626" s="76">
        <v>17.617971000000001</v>
      </c>
      <c r="G626" s="79">
        <v>433300</v>
      </c>
    </row>
    <row r="627" spans="1:7" x14ac:dyDescent="0.25">
      <c r="A627" s="1" t="s">
        <v>750</v>
      </c>
      <c r="B627" s="76">
        <v>33.800322999999999</v>
      </c>
      <c r="C627" s="76">
        <v>33.800322999999999</v>
      </c>
      <c r="D627" s="76">
        <v>32.812652999999997</v>
      </c>
      <c r="E627" s="76">
        <v>33.193089000000001</v>
      </c>
      <c r="F627" s="76">
        <v>17.301455999999899</v>
      </c>
      <c r="G627" s="79">
        <v>469200</v>
      </c>
    </row>
    <row r="628" spans="1:7" x14ac:dyDescent="0.25">
      <c r="A628" s="1" t="s">
        <v>751</v>
      </c>
      <c r="B628" s="76">
        <v>33.339409000000003</v>
      </c>
      <c r="C628" s="76">
        <v>33.346724999999999</v>
      </c>
      <c r="D628" s="76">
        <v>32.827281999999997</v>
      </c>
      <c r="E628" s="76">
        <v>33.024817999999897</v>
      </c>
      <c r="F628" s="76">
        <v>17.213747000000001</v>
      </c>
      <c r="G628" s="79">
        <v>340200</v>
      </c>
    </row>
    <row r="629" spans="1:7" x14ac:dyDescent="0.25">
      <c r="A629" s="1" t="s">
        <v>752</v>
      </c>
      <c r="B629" s="76">
        <v>33.185772</v>
      </c>
      <c r="C629" s="76">
        <v>33.185772</v>
      </c>
      <c r="D629" s="76">
        <v>32.446846000000001</v>
      </c>
      <c r="E629" s="76">
        <v>32.776069999999997</v>
      </c>
      <c r="F629" s="76">
        <v>17.084091000000001</v>
      </c>
      <c r="G629" s="79">
        <v>346900</v>
      </c>
    </row>
    <row r="630" spans="1:7" x14ac:dyDescent="0.25">
      <c r="A630" s="1" t="s">
        <v>753</v>
      </c>
      <c r="B630" s="76">
        <v>32.849232000000001</v>
      </c>
      <c r="C630" s="76">
        <v>33.697899</v>
      </c>
      <c r="D630" s="76">
        <v>32.834598999999997</v>
      </c>
      <c r="E630" s="76">
        <v>33.200404999999897</v>
      </c>
      <c r="F630" s="76">
        <v>17.305275000000002</v>
      </c>
      <c r="G630" s="79">
        <v>175900</v>
      </c>
    </row>
    <row r="631" spans="1:7" x14ac:dyDescent="0.25">
      <c r="A631" s="1" t="s">
        <v>754</v>
      </c>
      <c r="B631" s="76">
        <v>33.346724999999999</v>
      </c>
      <c r="C631" s="76">
        <v>33.346724999999999</v>
      </c>
      <c r="D631" s="76">
        <v>32.922393999999997</v>
      </c>
      <c r="E631" s="76">
        <v>33.017502</v>
      </c>
      <c r="F631" s="76">
        <v>17.209935999999999</v>
      </c>
      <c r="G631" s="79">
        <v>322100</v>
      </c>
    </row>
    <row r="632" spans="1:7" x14ac:dyDescent="0.25">
      <c r="A632" s="1" t="s">
        <v>755</v>
      </c>
      <c r="B632" s="76">
        <v>33.310146000000003</v>
      </c>
      <c r="C632" s="76">
        <v>33.310146000000003</v>
      </c>
      <c r="D632" s="76">
        <v>32.958973</v>
      </c>
      <c r="E632" s="76">
        <v>33.002868999999997</v>
      </c>
      <c r="F632" s="76">
        <v>17.202307000000001</v>
      </c>
      <c r="G632" s="79">
        <v>362200</v>
      </c>
    </row>
    <row r="633" spans="1:7" x14ac:dyDescent="0.25">
      <c r="A633" s="1" t="s">
        <v>756</v>
      </c>
      <c r="B633" s="76">
        <v>33.163821999999897</v>
      </c>
      <c r="C633" s="76">
        <v>33.215034000000003</v>
      </c>
      <c r="D633" s="76">
        <v>32.190784000000001</v>
      </c>
      <c r="E633" s="76">
        <v>32.227364000000001</v>
      </c>
      <c r="F633" s="76">
        <v>16.798083999999999</v>
      </c>
      <c r="G633" s="79">
        <v>748100</v>
      </c>
    </row>
    <row r="634" spans="1:7" x14ac:dyDescent="0.25">
      <c r="A634" s="1" t="s">
        <v>757</v>
      </c>
      <c r="B634" s="76">
        <v>32.263946999999902</v>
      </c>
      <c r="C634" s="76">
        <v>32.263946999999902</v>
      </c>
      <c r="D634" s="76">
        <v>31.020209999999999</v>
      </c>
      <c r="E634" s="76">
        <v>31.459174999999998</v>
      </c>
      <c r="F634" s="76">
        <v>16.397682</v>
      </c>
      <c r="G634" s="79">
        <v>1218600</v>
      </c>
    </row>
    <row r="635" spans="1:7" x14ac:dyDescent="0.25">
      <c r="A635" s="1" t="s">
        <v>758</v>
      </c>
      <c r="B635" s="76">
        <v>31.82498</v>
      </c>
      <c r="C635" s="76">
        <v>31.898140000000001</v>
      </c>
      <c r="D635" s="76">
        <v>31.159215999999901</v>
      </c>
      <c r="E635" s="76">
        <v>31.181163999999999</v>
      </c>
      <c r="F635" s="76">
        <v>16.252763999999999</v>
      </c>
      <c r="G635" s="79">
        <v>649800</v>
      </c>
    </row>
    <row r="636" spans="1:7" x14ac:dyDescent="0.25">
      <c r="A636" s="1" t="s">
        <v>759</v>
      </c>
      <c r="B636" s="76">
        <v>31.349433999999999</v>
      </c>
      <c r="C636" s="76">
        <v>31.364066999999999</v>
      </c>
      <c r="D636" s="76">
        <v>30.361763</v>
      </c>
      <c r="E636" s="76">
        <v>31.056790999999901</v>
      </c>
      <c r="F636" s="76">
        <v>16.187940999999999</v>
      </c>
      <c r="G636" s="79">
        <v>632600</v>
      </c>
    </row>
    <row r="637" spans="1:7" x14ac:dyDescent="0.25">
      <c r="A637" s="1" t="s">
        <v>760</v>
      </c>
      <c r="B637" s="76">
        <v>30.7275659999999</v>
      </c>
      <c r="C637" s="76">
        <v>32.139571999999902</v>
      </c>
      <c r="D637" s="76">
        <v>30.698302999999999</v>
      </c>
      <c r="E637" s="76">
        <v>31.568915999999899</v>
      </c>
      <c r="F637" s="76">
        <v>16.454879999999999</v>
      </c>
      <c r="G637" s="79">
        <v>726400</v>
      </c>
    </row>
    <row r="638" spans="1:7" x14ac:dyDescent="0.25">
      <c r="A638" s="1" t="s">
        <v>761</v>
      </c>
      <c r="B638" s="76">
        <v>31.634761999999998</v>
      </c>
      <c r="C638" s="76">
        <v>31.803032000000002</v>
      </c>
      <c r="D638" s="76">
        <v>31.159215999999901</v>
      </c>
      <c r="E638" s="76">
        <v>31.276274000000001</v>
      </c>
      <c r="F638" s="76">
        <v>16.302340000000001</v>
      </c>
      <c r="G638" s="79">
        <v>446300</v>
      </c>
    </row>
    <row r="639" spans="1:7" x14ac:dyDescent="0.25">
      <c r="A639" s="1" t="s">
        <v>762</v>
      </c>
      <c r="B639" s="76">
        <v>31.349433999999999</v>
      </c>
      <c r="C639" s="76">
        <v>31.371382000000001</v>
      </c>
      <c r="D639" s="76">
        <v>30.581244999999999</v>
      </c>
      <c r="E639" s="76">
        <v>30.581244999999999</v>
      </c>
      <c r="F639" s="76">
        <v>15.940071</v>
      </c>
      <c r="G639" s="79">
        <v>1164500</v>
      </c>
    </row>
    <row r="640" spans="1:7" x14ac:dyDescent="0.25">
      <c r="A640" s="1" t="s">
        <v>763</v>
      </c>
      <c r="B640" s="76">
        <v>30.588559999999902</v>
      </c>
      <c r="C640" s="76">
        <v>30.588559999999902</v>
      </c>
      <c r="D640" s="76">
        <v>29.703313999999999</v>
      </c>
      <c r="E640" s="76">
        <v>29.995958000000002</v>
      </c>
      <c r="F640" s="76">
        <v>15.634998999999899</v>
      </c>
      <c r="G640" s="79">
        <v>719800</v>
      </c>
    </row>
    <row r="641" spans="1:7" x14ac:dyDescent="0.25">
      <c r="A641" s="1" t="s">
        <v>764</v>
      </c>
      <c r="B641" s="76">
        <v>30.508082999999999</v>
      </c>
      <c r="C641" s="76">
        <v>30.7275659999999</v>
      </c>
      <c r="D641" s="76">
        <v>28.927809</v>
      </c>
      <c r="E641" s="76">
        <v>29.191189000000001</v>
      </c>
      <c r="F641" s="76">
        <v>15.215520999999899</v>
      </c>
      <c r="G641" s="79">
        <v>706100</v>
      </c>
    </row>
    <row r="642" spans="1:7" x14ac:dyDescent="0.25">
      <c r="A642" s="1" t="s">
        <v>765</v>
      </c>
      <c r="B642" s="76">
        <v>29.198502999999999</v>
      </c>
      <c r="C642" s="76">
        <v>29.476514999999999</v>
      </c>
      <c r="D642" s="76">
        <v>28.086459999999999</v>
      </c>
      <c r="E642" s="76">
        <v>28.166937000000001</v>
      </c>
      <c r="F642" s="76">
        <v>14.681637</v>
      </c>
      <c r="G642" s="79">
        <v>571000</v>
      </c>
    </row>
    <row r="643" spans="1:7" x14ac:dyDescent="0.25">
      <c r="A643" s="1" t="s">
        <v>766</v>
      </c>
      <c r="B643" s="76">
        <v>24.325990999999998</v>
      </c>
      <c r="C643" s="76">
        <v>27.866976000000001</v>
      </c>
      <c r="D643" s="76">
        <v>24.28941</v>
      </c>
      <c r="E643" s="76">
        <v>27.545069000000002</v>
      </c>
      <c r="F643" s="76">
        <v>14.3575059999999</v>
      </c>
      <c r="G643" s="79">
        <v>1976800</v>
      </c>
    </row>
    <row r="644" spans="1:7" x14ac:dyDescent="0.25">
      <c r="A644" s="1" t="s">
        <v>767</v>
      </c>
      <c r="B644" s="76">
        <v>27.545069000000002</v>
      </c>
      <c r="C644" s="76">
        <v>28.701009999999901</v>
      </c>
      <c r="D644" s="76">
        <v>27.032941999999998</v>
      </c>
      <c r="E644" s="76">
        <v>28.357154999999999</v>
      </c>
      <c r="F644" s="76">
        <v>14.780787</v>
      </c>
      <c r="G644" s="79">
        <v>876000</v>
      </c>
    </row>
    <row r="645" spans="1:7" x14ac:dyDescent="0.25">
      <c r="A645" s="1" t="s">
        <v>768</v>
      </c>
      <c r="B645" s="76">
        <v>28.971706000000001</v>
      </c>
      <c r="C645" s="76">
        <v>29.556992999999999</v>
      </c>
      <c r="D645" s="76">
        <v>28.679061999999998</v>
      </c>
      <c r="E645" s="76">
        <v>29.410671000000001</v>
      </c>
      <c r="F645" s="76">
        <v>15.329919</v>
      </c>
      <c r="G645" s="79">
        <v>761200</v>
      </c>
    </row>
    <row r="646" spans="1:7" x14ac:dyDescent="0.25">
      <c r="A646" s="1" t="s">
        <v>769</v>
      </c>
      <c r="B646" s="76">
        <v>29.593572999999999</v>
      </c>
      <c r="C646" s="76">
        <v>30.420292</v>
      </c>
      <c r="D646" s="76">
        <v>29.593572999999999</v>
      </c>
      <c r="E646" s="76">
        <v>30.383710999999899</v>
      </c>
      <c r="F646" s="76">
        <v>15.837104</v>
      </c>
      <c r="G646" s="79">
        <v>897800</v>
      </c>
    </row>
    <row r="647" spans="1:7" x14ac:dyDescent="0.25">
      <c r="A647" s="1" t="s">
        <v>770</v>
      </c>
      <c r="B647" s="76">
        <v>30.434922999999898</v>
      </c>
      <c r="C647" s="76">
        <v>31.671343</v>
      </c>
      <c r="D647" s="76">
        <v>30.069118</v>
      </c>
      <c r="E647" s="76">
        <v>31.312853</v>
      </c>
      <c r="F647" s="76">
        <v>16.321408999999999</v>
      </c>
      <c r="G647" s="79">
        <v>735500</v>
      </c>
    </row>
    <row r="648" spans="1:7" x14ac:dyDescent="0.25">
      <c r="A648" s="1" t="s">
        <v>771</v>
      </c>
      <c r="B648" s="76">
        <v>31.312853</v>
      </c>
      <c r="C648" s="76">
        <v>32.059092999999997</v>
      </c>
      <c r="D648" s="76">
        <v>30.647089000000001</v>
      </c>
      <c r="E648" s="76">
        <v>31.861560999999998</v>
      </c>
      <c r="F648" s="76">
        <v>16.607413999999999</v>
      </c>
      <c r="G648" s="79">
        <v>1430600</v>
      </c>
    </row>
    <row r="649" spans="1:7" x14ac:dyDescent="0.25">
      <c r="A649" s="1" t="s">
        <v>772</v>
      </c>
      <c r="B649" s="76">
        <v>31.378697999999901</v>
      </c>
      <c r="C649" s="76">
        <v>31.378697999999901</v>
      </c>
      <c r="D649" s="76">
        <v>29.9740099999999</v>
      </c>
      <c r="E649" s="76">
        <v>30.061802</v>
      </c>
      <c r="F649" s="76">
        <v>15.910439</v>
      </c>
      <c r="G649" s="79">
        <v>1311300</v>
      </c>
    </row>
    <row r="650" spans="1:7" x14ac:dyDescent="0.25">
      <c r="A650" s="1" t="s">
        <v>773</v>
      </c>
      <c r="B650" s="76">
        <v>30.003274999999999</v>
      </c>
      <c r="C650" s="76">
        <v>30.193493</v>
      </c>
      <c r="D650" s="76">
        <v>28.240096999999999</v>
      </c>
      <c r="E650" s="76">
        <v>29.03755</v>
      </c>
      <c r="F650" s="76">
        <v>15.368342999999999</v>
      </c>
      <c r="G650" s="79">
        <v>1282400</v>
      </c>
    </row>
    <row r="651" spans="1:7" x14ac:dyDescent="0.25">
      <c r="A651" s="1" t="s">
        <v>774</v>
      </c>
      <c r="B651" s="76">
        <v>29.110711999999999</v>
      </c>
      <c r="C651" s="76">
        <v>29.1692409999999</v>
      </c>
      <c r="D651" s="76">
        <v>27.910872999999999</v>
      </c>
      <c r="E651" s="76">
        <v>28.057196000000001</v>
      </c>
      <c r="F651" s="76">
        <v>14.8494799999999</v>
      </c>
      <c r="G651" s="79">
        <v>638700</v>
      </c>
    </row>
    <row r="652" spans="1:7" x14ac:dyDescent="0.25">
      <c r="A652" s="1" t="s">
        <v>775</v>
      </c>
      <c r="B652" s="76">
        <v>28.218149</v>
      </c>
      <c r="C652" s="76">
        <v>28.861965000000001</v>
      </c>
      <c r="D652" s="76">
        <v>27.720654999999901</v>
      </c>
      <c r="E652" s="76">
        <v>28.861965000000001</v>
      </c>
      <c r="F652" s="76">
        <v>15.275414</v>
      </c>
      <c r="G652" s="79">
        <v>648700</v>
      </c>
    </row>
    <row r="653" spans="1:7" x14ac:dyDescent="0.25">
      <c r="A653" s="1" t="s">
        <v>776</v>
      </c>
      <c r="B653" s="76">
        <v>28.971706000000001</v>
      </c>
      <c r="C653" s="76">
        <v>29.154608</v>
      </c>
      <c r="D653" s="76">
        <v>28.430315</v>
      </c>
      <c r="E653" s="76">
        <v>29.118027000000001</v>
      </c>
      <c r="F653" s="76">
        <v>15.410939000000001</v>
      </c>
      <c r="G653" s="79">
        <v>437300</v>
      </c>
    </row>
    <row r="654" spans="1:7" x14ac:dyDescent="0.25">
      <c r="A654" s="1" t="s">
        <v>777</v>
      </c>
      <c r="B654" s="76">
        <v>29.008285999999998</v>
      </c>
      <c r="C654" s="76">
        <v>29.008285999999998</v>
      </c>
      <c r="D654" s="76">
        <v>28.152303999999901</v>
      </c>
      <c r="E654" s="76">
        <v>28.313257</v>
      </c>
      <c r="F654" s="76">
        <v>14.985003000000001</v>
      </c>
      <c r="G654" s="79">
        <v>1432000</v>
      </c>
    </row>
    <row r="655" spans="1:7" x14ac:dyDescent="0.25">
      <c r="A655" s="1" t="s">
        <v>778</v>
      </c>
      <c r="B655" s="76">
        <v>28.313257</v>
      </c>
      <c r="C655" s="76">
        <v>28.313257</v>
      </c>
      <c r="D655" s="76">
        <v>27.398745999999999</v>
      </c>
      <c r="E655" s="76">
        <v>28.020614999999999</v>
      </c>
      <c r="F655" s="76">
        <v>14.830119</v>
      </c>
      <c r="G655" s="79">
        <v>646300</v>
      </c>
    </row>
    <row r="656" spans="1:7" x14ac:dyDescent="0.25">
      <c r="A656" s="1" t="s">
        <v>779</v>
      </c>
      <c r="B656" s="76">
        <v>28.020614999999999</v>
      </c>
      <c r="C656" s="76">
        <v>28.093775000000001</v>
      </c>
      <c r="D656" s="76">
        <v>27.6401789999999</v>
      </c>
      <c r="E656" s="76">
        <v>27.998666999999902</v>
      </c>
      <c r="F656" s="76">
        <v>14.818504000000001</v>
      </c>
      <c r="G656" s="79">
        <v>750100</v>
      </c>
    </row>
    <row r="657" spans="1:7" x14ac:dyDescent="0.25">
      <c r="A657" s="1" t="s">
        <v>780</v>
      </c>
      <c r="B657" s="76">
        <v>28.130355999999999</v>
      </c>
      <c r="C657" s="76">
        <v>28.569320999999999</v>
      </c>
      <c r="D657" s="76">
        <v>28.020614999999999</v>
      </c>
      <c r="E657" s="76">
        <v>28.166937000000001</v>
      </c>
      <c r="F657" s="76">
        <v>14.9075579999999</v>
      </c>
      <c r="G657" s="79">
        <v>483300</v>
      </c>
    </row>
    <row r="658" spans="1:7" x14ac:dyDescent="0.25">
      <c r="A658" s="1" t="s">
        <v>781</v>
      </c>
      <c r="B658" s="76">
        <v>28.349837999999998</v>
      </c>
      <c r="C658" s="76">
        <v>28.459578999999898</v>
      </c>
      <c r="D658" s="76">
        <v>27.984034000000001</v>
      </c>
      <c r="E658" s="76">
        <v>28.386419</v>
      </c>
      <c r="F658" s="76">
        <v>15.023728</v>
      </c>
      <c r="G658" s="79">
        <v>454100</v>
      </c>
    </row>
    <row r="659" spans="1:7" x14ac:dyDescent="0.25">
      <c r="A659" s="1" t="s">
        <v>782</v>
      </c>
      <c r="B659" s="76">
        <v>28.53274</v>
      </c>
      <c r="C659" s="76">
        <v>28.679061999999998</v>
      </c>
      <c r="D659" s="76">
        <v>28.240096999999999</v>
      </c>
      <c r="E659" s="76">
        <v>28.679061999999998</v>
      </c>
      <c r="F659" s="76">
        <v>15.178609</v>
      </c>
      <c r="G659" s="79">
        <v>315700</v>
      </c>
    </row>
    <row r="660" spans="1:7" x14ac:dyDescent="0.25">
      <c r="A660" s="1" t="s">
        <v>783</v>
      </c>
      <c r="B660" s="76">
        <v>28.788803000000001</v>
      </c>
      <c r="C660" s="76">
        <v>29.461884000000001</v>
      </c>
      <c r="D660" s="76">
        <v>28.686378000000001</v>
      </c>
      <c r="E660" s="76">
        <v>29.461884000000001</v>
      </c>
      <c r="F660" s="76">
        <v>15.592923000000001</v>
      </c>
      <c r="G660" s="79">
        <v>368700</v>
      </c>
    </row>
    <row r="661" spans="1:7" x14ac:dyDescent="0.25">
      <c r="A661" s="1" t="s">
        <v>784</v>
      </c>
      <c r="B661" s="76">
        <v>29.630153999999902</v>
      </c>
      <c r="C661" s="76">
        <v>29.630153999999902</v>
      </c>
      <c r="D661" s="76">
        <v>28.935124999999999</v>
      </c>
      <c r="E661" s="76">
        <v>29.191189000000001</v>
      </c>
      <c r="F661" s="76">
        <v>15.449664</v>
      </c>
      <c r="G661" s="79">
        <v>470800</v>
      </c>
    </row>
    <row r="662" spans="1:7" x14ac:dyDescent="0.25">
      <c r="A662" s="1" t="s">
        <v>785</v>
      </c>
      <c r="B662" s="76">
        <v>29.183871999999901</v>
      </c>
      <c r="C662" s="76">
        <v>29.227767999999902</v>
      </c>
      <c r="D662" s="76">
        <v>28.949757000000002</v>
      </c>
      <c r="E662" s="76">
        <v>29.074131000000001</v>
      </c>
      <c r="F662" s="76">
        <v>15.387707000000001</v>
      </c>
      <c r="G662" s="79">
        <v>345700</v>
      </c>
    </row>
    <row r="663" spans="1:7" x14ac:dyDescent="0.25">
      <c r="A663" s="1" t="s">
        <v>786</v>
      </c>
      <c r="B663" s="76">
        <v>29.074131000000001</v>
      </c>
      <c r="C663" s="76">
        <v>29.205819999999999</v>
      </c>
      <c r="D663" s="76">
        <v>28.971706000000001</v>
      </c>
      <c r="E663" s="76">
        <v>29.118027000000001</v>
      </c>
      <c r="F663" s="76">
        <v>15.410939000000001</v>
      </c>
      <c r="G663" s="79">
        <v>186300</v>
      </c>
    </row>
    <row r="664" spans="1:7" x14ac:dyDescent="0.25">
      <c r="A664" s="1" t="s">
        <v>787</v>
      </c>
      <c r="B664" s="76">
        <v>29.154608</v>
      </c>
      <c r="C664" s="76">
        <v>29.300929999999902</v>
      </c>
      <c r="D664" s="76">
        <v>28.605902</v>
      </c>
      <c r="E664" s="76">
        <v>28.759539</v>
      </c>
      <c r="F664" s="76">
        <v>15.221204</v>
      </c>
      <c r="G664" s="79">
        <v>223000</v>
      </c>
    </row>
    <row r="665" spans="1:7" x14ac:dyDescent="0.25">
      <c r="A665" s="1" t="s">
        <v>788</v>
      </c>
      <c r="B665" s="76">
        <v>28.642482999999999</v>
      </c>
      <c r="C665" s="76">
        <v>29.118027000000001</v>
      </c>
      <c r="D665" s="76">
        <v>28.605902</v>
      </c>
      <c r="E665" s="76">
        <v>29.081447999999899</v>
      </c>
      <c r="F665" s="76">
        <v>15.3915769999999</v>
      </c>
      <c r="G665" s="79">
        <v>215500</v>
      </c>
    </row>
    <row r="666" spans="1:7" x14ac:dyDescent="0.25">
      <c r="A666" s="1" t="s">
        <v>789</v>
      </c>
      <c r="B666" s="76">
        <v>29.264348999999999</v>
      </c>
      <c r="C666" s="76">
        <v>29.498464999999999</v>
      </c>
      <c r="D666" s="76">
        <v>28.935124999999999</v>
      </c>
      <c r="E666" s="76">
        <v>29.491147999999999</v>
      </c>
      <c r="F666" s="76">
        <v>15.608414</v>
      </c>
      <c r="G666" s="79">
        <v>122000</v>
      </c>
    </row>
    <row r="667" spans="1:7" x14ac:dyDescent="0.25">
      <c r="A667" s="1" t="s">
        <v>790</v>
      </c>
      <c r="B667" s="76">
        <v>29.61552</v>
      </c>
      <c r="C667" s="76">
        <v>29.61552</v>
      </c>
      <c r="D667" s="76">
        <v>29.417988000000001</v>
      </c>
      <c r="E667" s="76">
        <v>29.491147999999999</v>
      </c>
      <c r="F667" s="76">
        <v>15.608414</v>
      </c>
      <c r="G667" s="79">
        <v>238400</v>
      </c>
    </row>
    <row r="668" spans="1:7" x14ac:dyDescent="0.25">
      <c r="A668" s="1" t="s">
        <v>791</v>
      </c>
      <c r="B668" s="76">
        <v>29.410671000000001</v>
      </c>
      <c r="C668" s="76">
        <v>29.813054999999999</v>
      </c>
      <c r="D668" s="76">
        <v>29.264348999999999</v>
      </c>
      <c r="E668" s="76">
        <v>29.791107</v>
      </c>
      <c r="F668" s="76">
        <v>15.767172</v>
      </c>
      <c r="G668" s="79">
        <v>555400</v>
      </c>
    </row>
    <row r="669" spans="1:7" x14ac:dyDescent="0.25">
      <c r="A669" s="1" t="s">
        <v>792</v>
      </c>
      <c r="B669" s="76">
        <v>29.666734999999999</v>
      </c>
      <c r="C669" s="76">
        <v>29.922796000000002</v>
      </c>
      <c r="D669" s="76">
        <v>29.513096000000001</v>
      </c>
      <c r="E669" s="76">
        <v>29.630153999999902</v>
      </c>
      <c r="F669" s="76">
        <v>15.681982999999899</v>
      </c>
      <c r="G669" s="79">
        <v>413200</v>
      </c>
    </row>
    <row r="670" spans="1:7" x14ac:dyDescent="0.25">
      <c r="A670" s="1" t="s">
        <v>793</v>
      </c>
      <c r="B670" s="76">
        <v>29.739895000000001</v>
      </c>
      <c r="C670" s="76">
        <v>30.361763</v>
      </c>
      <c r="D670" s="76">
        <v>29.695999</v>
      </c>
      <c r="E670" s="76">
        <v>30.2300719999999</v>
      </c>
      <c r="F670" s="76">
        <v>15.999494</v>
      </c>
      <c r="G670" s="79">
        <v>363900</v>
      </c>
    </row>
    <row r="671" spans="1:7" x14ac:dyDescent="0.25">
      <c r="A671" s="1" t="s">
        <v>794</v>
      </c>
      <c r="B671" s="76">
        <v>30.142281000000001</v>
      </c>
      <c r="C671" s="76">
        <v>30.149595000000001</v>
      </c>
      <c r="D671" s="76">
        <v>29.703313999999999</v>
      </c>
      <c r="E671" s="76">
        <v>29.849636</v>
      </c>
      <c r="F671" s="76">
        <v>15.798142</v>
      </c>
      <c r="G671" s="79">
        <v>474600</v>
      </c>
    </row>
    <row r="672" spans="1:7" x14ac:dyDescent="0.25">
      <c r="A672" s="1" t="s">
        <v>795</v>
      </c>
      <c r="B672" s="76">
        <v>29.981324999999998</v>
      </c>
      <c r="C672" s="76">
        <v>30.178859999999901</v>
      </c>
      <c r="D672" s="76">
        <v>29.695999</v>
      </c>
      <c r="E672" s="76">
        <v>29.944745999999999</v>
      </c>
      <c r="F672" s="76">
        <v>15.848481</v>
      </c>
      <c r="G672" s="79">
        <v>205500</v>
      </c>
    </row>
    <row r="673" spans="1:7" x14ac:dyDescent="0.25">
      <c r="A673" s="1" t="s">
        <v>796</v>
      </c>
      <c r="B673" s="76">
        <v>29.944745999999999</v>
      </c>
      <c r="C673" s="76">
        <v>29.959377</v>
      </c>
      <c r="D673" s="76">
        <v>29.703313999999999</v>
      </c>
      <c r="E673" s="76">
        <v>29.776475999999999</v>
      </c>
      <c r="F673" s="76">
        <v>15.759435</v>
      </c>
      <c r="G673" s="79">
        <v>171200</v>
      </c>
    </row>
    <row r="674" spans="1:7" x14ac:dyDescent="0.25">
      <c r="A674" s="1" t="s">
        <v>797</v>
      </c>
      <c r="B674" s="76">
        <v>29.886216999999998</v>
      </c>
      <c r="C674" s="76">
        <v>30.069118</v>
      </c>
      <c r="D674" s="76">
        <v>29.666734999999999</v>
      </c>
      <c r="E674" s="76">
        <v>29.915482000000001</v>
      </c>
      <c r="F674" s="76">
        <v>15.833</v>
      </c>
      <c r="G674" s="79">
        <v>198400</v>
      </c>
    </row>
    <row r="675" spans="1:7" x14ac:dyDescent="0.25">
      <c r="A675" s="1" t="s">
        <v>798</v>
      </c>
      <c r="B675" s="76">
        <v>29.776475999999999</v>
      </c>
      <c r="C675" s="76">
        <v>30.069118</v>
      </c>
      <c r="D675" s="76">
        <v>29.739895000000001</v>
      </c>
      <c r="E675" s="76">
        <v>30.069118</v>
      </c>
      <c r="F675" s="76">
        <v>15.91431</v>
      </c>
      <c r="G675" s="79">
        <v>325200</v>
      </c>
    </row>
    <row r="676" spans="1:7" x14ac:dyDescent="0.25">
      <c r="A676" s="1" t="s">
        <v>799</v>
      </c>
      <c r="B676" s="76">
        <v>30.252021999999901</v>
      </c>
      <c r="C676" s="76">
        <v>30.295918</v>
      </c>
      <c r="D676" s="76">
        <v>29.922796000000002</v>
      </c>
      <c r="E676" s="76">
        <v>29.966694</v>
      </c>
      <c r="F676" s="76">
        <v>15.860104</v>
      </c>
      <c r="G676" s="79">
        <v>1004400</v>
      </c>
    </row>
    <row r="677" spans="1:7" x14ac:dyDescent="0.25">
      <c r="A677" s="1" t="s">
        <v>800</v>
      </c>
      <c r="B677" s="76">
        <v>29.995958000000002</v>
      </c>
      <c r="C677" s="76">
        <v>30.039853999999998</v>
      </c>
      <c r="D677" s="76">
        <v>29.893532</v>
      </c>
      <c r="E677" s="76">
        <v>29.900848</v>
      </c>
      <c r="F677" s="76">
        <v>15.825253</v>
      </c>
      <c r="G677" s="79">
        <v>497800</v>
      </c>
    </row>
    <row r="678" spans="1:7" x14ac:dyDescent="0.25">
      <c r="A678" s="1" t="s">
        <v>801</v>
      </c>
      <c r="B678" s="76">
        <v>29.922796000000002</v>
      </c>
      <c r="C678" s="76">
        <v>29.930112999999999</v>
      </c>
      <c r="D678" s="76">
        <v>29.622837000000001</v>
      </c>
      <c r="E678" s="76">
        <v>29.769158999999998</v>
      </c>
      <c r="F678" s="76">
        <v>15.7555529999999</v>
      </c>
      <c r="G678" s="79">
        <v>334100</v>
      </c>
    </row>
    <row r="679" spans="1:7" x14ac:dyDescent="0.25">
      <c r="A679" s="1" t="s">
        <v>802</v>
      </c>
      <c r="B679" s="76">
        <v>29.776475999999999</v>
      </c>
      <c r="C679" s="76">
        <v>29.995958000000002</v>
      </c>
      <c r="D679" s="76">
        <v>29.666734999999999</v>
      </c>
      <c r="E679" s="76">
        <v>29.995958000000002</v>
      </c>
      <c r="F679" s="76">
        <v>15.875591999999999</v>
      </c>
      <c r="G679" s="79">
        <v>537500</v>
      </c>
    </row>
    <row r="680" spans="1:7" x14ac:dyDescent="0.25">
      <c r="A680" s="1" t="s">
        <v>803</v>
      </c>
      <c r="B680" s="76">
        <v>29.995958000000002</v>
      </c>
      <c r="C680" s="76">
        <v>30.047170999999999</v>
      </c>
      <c r="D680" s="76">
        <v>29.813054999999999</v>
      </c>
      <c r="E680" s="76">
        <v>30.032536999999898</v>
      </c>
      <c r="F680" s="76">
        <v>15.894947999999999</v>
      </c>
      <c r="G680" s="79">
        <v>678000</v>
      </c>
    </row>
    <row r="681" spans="1:7" x14ac:dyDescent="0.25">
      <c r="A681" s="1" t="s">
        <v>804</v>
      </c>
      <c r="B681" s="76">
        <v>30.069118</v>
      </c>
      <c r="C681" s="76">
        <v>30.142281000000001</v>
      </c>
      <c r="D681" s="76">
        <v>29.922796000000002</v>
      </c>
      <c r="E681" s="76">
        <v>29.995958000000002</v>
      </c>
      <c r="F681" s="76">
        <v>15.875591999999999</v>
      </c>
      <c r="G681" s="79">
        <v>358900</v>
      </c>
    </row>
    <row r="682" spans="1:7" x14ac:dyDescent="0.25">
      <c r="A682" s="1" t="s">
        <v>805</v>
      </c>
      <c r="B682" s="76">
        <v>30.142281000000001</v>
      </c>
      <c r="C682" s="76">
        <v>30.186176</v>
      </c>
      <c r="D682" s="76">
        <v>29.937428999999899</v>
      </c>
      <c r="E682" s="76">
        <v>29.9740099999999</v>
      </c>
      <c r="F682" s="76">
        <v>15.863973999999899</v>
      </c>
      <c r="G682" s="79">
        <v>1101200</v>
      </c>
    </row>
    <row r="683" spans="1:7" x14ac:dyDescent="0.25">
      <c r="A683" s="1" t="s">
        <v>806</v>
      </c>
      <c r="B683" s="76">
        <v>29.966694</v>
      </c>
      <c r="C683" s="76">
        <v>29.966694</v>
      </c>
      <c r="D683" s="76">
        <v>29.520412</v>
      </c>
      <c r="E683" s="76">
        <v>29.593572999999999</v>
      </c>
      <c r="F683" s="76">
        <v>15.662621</v>
      </c>
      <c r="G683" s="79">
        <v>371300</v>
      </c>
    </row>
    <row r="684" spans="1:7" x14ac:dyDescent="0.25">
      <c r="A684" s="1" t="s">
        <v>807</v>
      </c>
      <c r="B684" s="76">
        <v>29.593572999999999</v>
      </c>
      <c r="C684" s="76">
        <v>30.003274999999999</v>
      </c>
      <c r="D684" s="76">
        <v>29.498464999999999</v>
      </c>
      <c r="E684" s="76">
        <v>29.959377</v>
      </c>
      <c r="F684" s="76">
        <v>15.856223999999999</v>
      </c>
      <c r="G684" s="79">
        <v>270400</v>
      </c>
    </row>
    <row r="685" spans="1:7" x14ac:dyDescent="0.25">
      <c r="A685" s="1" t="s">
        <v>808</v>
      </c>
      <c r="B685" s="76">
        <v>29.922796000000002</v>
      </c>
      <c r="C685" s="76">
        <v>30.149595000000001</v>
      </c>
      <c r="D685" s="76">
        <v>29.630153999999902</v>
      </c>
      <c r="E685" s="76">
        <v>29.710629999999998</v>
      </c>
      <c r="F685" s="76">
        <v>15.724576999999901</v>
      </c>
      <c r="G685" s="79">
        <v>175200</v>
      </c>
    </row>
    <row r="686" spans="1:7" x14ac:dyDescent="0.25">
      <c r="A686" s="1" t="s">
        <v>809</v>
      </c>
      <c r="B686" s="76">
        <v>29.710629999999998</v>
      </c>
      <c r="C686" s="76">
        <v>29.717946999999999</v>
      </c>
      <c r="D686" s="76">
        <v>29.469200000000001</v>
      </c>
      <c r="E686" s="76">
        <v>29.535043999999999</v>
      </c>
      <c r="F686" s="76">
        <v>15.63165</v>
      </c>
      <c r="G686" s="79">
        <v>436900</v>
      </c>
    </row>
    <row r="687" spans="1:7" x14ac:dyDescent="0.25">
      <c r="A687" s="1" t="s">
        <v>810</v>
      </c>
      <c r="B687" s="76">
        <v>29.703313999999999</v>
      </c>
      <c r="C687" s="76">
        <v>29.739895000000001</v>
      </c>
      <c r="D687" s="76">
        <v>29.110711999999999</v>
      </c>
      <c r="E687" s="76">
        <v>29.359459000000001</v>
      </c>
      <c r="F687" s="76">
        <v>15.53872</v>
      </c>
      <c r="G687" s="79">
        <v>241600</v>
      </c>
    </row>
    <row r="688" spans="1:7" x14ac:dyDescent="0.25">
      <c r="A688" s="1" t="s">
        <v>811</v>
      </c>
      <c r="B688" s="76">
        <v>29.542359999999999</v>
      </c>
      <c r="C688" s="76">
        <v>29.666734999999999</v>
      </c>
      <c r="D688" s="76">
        <v>29.2716659999999</v>
      </c>
      <c r="E688" s="76">
        <v>29.63747</v>
      </c>
      <c r="F688" s="76">
        <v>15.685854000000001</v>
      </c>
      <c r="G688" s="79">
        <v>218900</v>
      </c>
    </row>
    <row r="689" spans="1:7" x14ac:dyDescent="0.25">
      <c r="A689" s="1" t="s">
        <v>812</v>
      </c>
      <c r="B689" s="76">
        <v>29.776475999999999</v>
      </c>
      <c r="C689" s="76">
        <v>29.813054999999999</v>
      </c>
      <c r="D689" s="76">
        <v>29.264348999999999</v>
      </c>
      <c r="E689" s="76">
        <v>29.264348999999999</v>
      </c>
      <c r="F689" s="76">
        <v>15.4883779999999</v>
      </c>
      <c r="G689" s="79">
        <v>322600</v>
      </c>
    </row>
    <row r="690" spans="1:7" x14ac:dyDescent="0.25">
      <c r="A690" s="1" t="s">
        <v>813</v>
      </c>
      <c r="B690" s="76">
        <v>29.264348999999999</v>
      </c>
      <c r="C690" s="76">
        <v>29.264348999999999</v>
      </c>
      <c r="D690" s="76">
        <v>28.715643</v>
      </c>
      <c r="E690" s="76">
        <v>28.861965000000001</v>
      </c>
      <c r="F690" s="76">
        <v>15.275414</v>
      </c>
      <c r="G690" s="79">
        <v>566500</v>
      </c>
    </row>
    <row r="691" spans="1:7" x14ac:dyDescent="0.25">
      <c r="A691" s="1" t="s">
        <v>814</v>
      </c>
      <c r="B691" s="76">
        <v>28.905860999999899</v>
      </c>
      <c r="C691" s="76">
        <v>29.008285999999998</v>
      </c>
      <c r="D691" s="76">
        <v>28.15962</v>
      </c>
      <c r="E691" s="76">
        <v>28.686378000000001</v>
      </c>
      <c r="F691" s="76">
        <v>15.182485</v>
      </c>
      <c r="G691" s="79">
        <v>420100</v>
      </c>
    </row>
    <row r="692" spans="1:7" x14ac:dyDescent="0.25">
      <c r="A692" s="1" t="s">
        <v>815</v>
      </c>
      <c r="B692" s="76">
        <v>28.832701</v>
      </c>
      <c r="C692" s="76">
        <v>28.832701</v>
      </c>
      <c r="D692" s="76">
        <v>28.027930999999999</v>
      </c>
      <c r="E692" s="76">
        <v>28.166937000000001</v>
      </c>
      <c r="F692" s="76">
        <v>14.9075579999999</v>
      </c>
      <c r="G692" s="79">
        <v>353200</v>
      </c>
    </row>
    <row r="693" spans="1:7" x14ac:dyDescent="0.25">
      <c r="A693" s="1" t="s">
        <v>816</v>
      </c>
      <c r="B693" s="76">
        <v>28.093775000000001</v>
      </c>
      <c r="C693" s="76">
        <v>28.093775000000001</v>
      </c>
      <c r="D693" s="76">
        <v>27.727969999999999</v>
      </c>
      <c r="E693" s="76">
        <v>27.815763</v>
      </c>
      <c r="F693" s="76">
        <v>14.721700999999999</v>
      </c>
      <c r="G693" s="79">
        <v>378000</v>
      </c>
    </row>
    <row r="694" spans="1:7" x14ac:dyDescent="0.25">
      <c r="A694" s="1" t="s">
        <v>817</v>
      </c>
      <c r="B694" s="76">
        <v>27.837710999999999</v>
      </c>
      <c r="C694" s="76">
        <v>27.888926000000001</v>
      </c>
      <c r="D694" s="76">
        <v>27.069522999999901</v>
      </c>
      <c r="E694" s="76">
        <v>27.069522999999901</v>
      </c>
      <c r="F694" s="76">
        <v>14.3267519999999</v>
      </c>
      <c r="G694" s="79">
        <v>897900</v>
      </c>
    </row>
    <row r="695" spans="1:7" x14ac:dyDescent="0.25">
      <c r="A695" s="1" t="s">
        <v>818</v>
      </c>
      <c r="B695" s="76">
        <v>27.069522999999901</v>
      </c>
      <c r="C695" s="76">
        <v>27.164632999999998</v>
      </c>
      <c r="D695" s="76">
        <v>26.286701000000001</v>
      </c>
      <c r="E695" s="76">
        <v>26.367177999999999</v>
      </c>
      <c r="F695" s="76">
        <v>13.955026</v>
      </c>
      <c r="G695" s="79">
        <v>554100</v>
      </c>
    </row>
    <row r="696" spans="1:7" x14ac:dyDescent="0.25">
      <c r="A696" s="1" t="s">
        <v>819</v>
      </c>
      <c r="B696" s="76">
        <v>26.703717999999999</v>
      </c>
      <c r="C696" s="76">
        <v>26.842724</v>
      </c>
      <c r="D696" s="76">
        <v>25.745311999999998</v>
      </c>
      <c r="E696" s="76">
        <v>26.345229999999901</v>
      </c>
      <c r="F696" s="76">
        <v>13.943412</v>
      </c>
      <c r="G696" s="79">
        <v>855000</v>
      </c>
    </row>
    <row r="697" spans="1:7" x14ac:dyDescent="0.25">
      <c r="A697" s="1" t="s">
        <v>820</v>
      </c>
      <c r="B697" s="76">
        <v>26.235489000000001</v>
      </c>
      <c r="C697" s="76">
        <v>26.352546999999898</v>
      </c>
      <c r="D697" s="76">
        <v>25.716047</v>
      </c>
      <c r="E697" s="76">
        <v>26.016006000000001</v>
      </c>
      <c r="F697" s="76">
        <v>13.769167999999899</v>
      </c>
      <c r="G697" s="79">
        <v>841900</v>
      </c>
    </row>
    <row r="698" spans="1:7" x14ac:dyDescent="0.25">
      <c r="A698" s="1" t="s">
        <v>821</v>
      </c>
      <c r="B698" s="76">
        <v>25.825787999999999</v>
      </c>
      <c r="C698" s="76">
        <v>26.813459000000002</v>
      </c>
      <c r="D698" s="76">
        <v>25.533144</v>
      </c>
      <c r="E698" s="76">
        <v>26.813459000000002</v>
      </c>
      <c r="F698" s="76">
        <v>14.191229</v>
      </c>
      <c r="G698" s="79">
        <v>506300</v>
      </c>
    </row>
    <row r="699" spans="1:7" x14ac:dyDescent="0.25">
      <c r="A699" s="1" t="s">
        <v>822</v>
      </c>
      <c r="B699" s="76">
        <v>26.996362999999999</v>
      </c>
      <c r="C699" s="76">
        <v>27.662127000000002</v>
      </c>
      <c r="D699" s="76">
        <v>26.974415</v>
      </c>
      <c r="E699" s="76">
        <v>27.032941999999998</v>
      </c>
      <c r="F699" s="76">
        <v>14.307389000000001</v>
      </c>
      <c r="G699" s="79">
        <v>785600</v>
      </c>
    </row>
    <row r="700" spans="1:7" x14ac:dyDescent="0.25">
      <c r="A700" s="1" t="s">
        <v>823</v>
      </c>
      <c r="B700" s="76">
        <v>27.003677</v>
      </c>
      <c r="C700" s="76">
        <v>27.010994</v>
      </c>
      <c r="D700" s="76">
        <v>26.155011999999999</v>
      </c>
      <c r="E700" s="76">
        <v>26.228171999999901</v>
      </c>
      <c r="F700" s="76">
        <v>13.8814549999999</v>
      </c>
      <c r="G700" s="79">
        <v>427300</v>
      </c>
    </row>
    <row r="701" spans="1:7" x14ac:dyDescent="0.25">
      <c r="A701" s="1" t="s">
        <v>824</v>
      </c>
      <c r="B701" s="76">
        <v>26.593976999999999</v>
      </c>
      <c r="C701" s="76">
        <v>27.289005</v>
      </c>
      <c r="D701" s="76">
        <v>26.593976999999999</v>
      </c>
      <c r="E701" s="76">
        <v>26.923200999999999</v>
      </c>
      <c r="F701" s="76">
        <v>14.249314</v>
      </c>
      <c r="G701" s="79">
        <v>436000</v>
      </c>
    </row>
    <row r="702" spans="1:7" x14ac:dyDescent="0.25">
      <c r="A702" s="1" t="s">
        <v>825</v>
      </c>
      <c r="B702" s="76">
        <v>27.069522999999901</v>
      </c>
      <c r="C702" s="76">
        <v>27.106103999999998</v>
      </c>
      <c r="D702" s="76">
        <v>26.630558000000001</v>
      </c>
      <c r="E702" s="76">
        <v>26.820775999999999</v>
      </c>
      <c r="F702" s="76">
        <v>14.1951</v>
      </c>
      <c r="G702" s="79">
        <v>252200</v>
      </c>
    </row>
    <row r="703" spans="1:7" x14ac:dyDescent="0.25">
      <c r="A703" s="1" t="s">
        <v>826</v>
      </c>
      <c r="B703" s="76">
        <v>27.069522999999901</v>
      </c>
      <c r="C703" s="76">
        <v>27.369482000000001</v>
      </c>
      <c r="D703" s="76">
        <v>27.025627</v>
      </c>
      <c r="E703" s="76">
        <v>27.15</v>
      </c>
      <c r="F703" s="76">
        <v>14.369342</v>
      </c>
      <c r="G703" s="79">
        <v>310700</v>
      </c>
    </row>
    <row r="704" spans="1:7" x14ac:dyDescent="0.25">
      <c r="A704" s="1" t="s">
        <v>827</v>
      </c>
      <c r="B704" s="76">
        <v>27.362166999999999</v>
      </c>
      <c r="C704" s="76">
        <v>27.508488</v>
      </c>
      <c r="D704" s="76">
        <v>26.996362999999999</v>
      </c>
      <c r="E704" s="76">
        <v>27.069522999999901</v>
      </c>
      <c r="F704" s="76">
        <v>14.3267519999999</v>
      </c>
      <c r="G704" s="79">
        <v>289500</v>
      </c>
    </row>
    <row r="705" spans="1:7" x14ac:dyDescent="0.25">
      <c r="A705" s="1" t="s">
        <v>828</v>
      </c>
      <c r="B705" s="76">
        <v>27.603597999999899</v>
      </c>
      <c r="C705" s="76">
        <v>27.603597999999899</v>
      </c>
      <c r="D705" s="76">
        <v>26.915885999999901</v>
      </c>
      <c r="E705" s="76">
        <v>27.091470999999999</v>
      </c>
      <c r="F705" s="76">
        <v>14.338362999999999</v>
      </c>
      <c r="G705" s="79">
        <v>289100</v>
      </c>
    </row>
    <row r="706" spans="1:7" x14ac:dyDescent="0.25">
      <c r="A706" s="1" t="s">
        <v>829</v>
      </c>
      <c r="B706" s="76">
        <v>27.091470999999999</v>
      </c>
      <c r="C706" s="76">
        <v>27.091470999999999</v>
      </c>
      <c r="D706" s="76">
        <v>26.411076000000001</v>
      </c>
      <c r="E706" s="76">
        <v>26.484235999999999</v>
      </c>
      <c r="F706" s="76">
        <v>14.016980999999999</v>
      </c>
      <c r="G706" s="79">
        <v>240500</v>
      </c>
    </row>
    <row r="707" spans="1:7" x14ac:dyDescent="0.25">
      <c r="A707" s="1" t="s">
        <v>830</v>
      </c>
      <c r="B707" s="76">
        <v>26.557397999999999</v>
      </c>
      <c r="C707" s="76">
        <v>26.557397999999999</v>
      </c>
      <c r="D707" s="76">
        <v>25.657518</v>
      </c>
      <c r="E707" s="76">
        <v>26.184276999999899</v>
      </c>
      <c r="F707" s="76">
        <v>13.858224999999999</v>
      </c>
      <c r="G707" s="79">
        <v>266900</v>
      </c>
    </row>
    <row r="708" spans="1:7" x14ac:dyDescent="0.25">
      <c r="A708" s="1" t="s">
        <v>831</v>
      </c>
      <c r="B708" s="76">
        <v>26.155011999999999</v>
      </c>
      <c r="C708" s="76">
        <v>27.032941999999998</v>
      </c>
      <c r="D708" s="76">
        <v>26.155011999999999</v>
      </c>
      <c r="E708" s="76">
        <v>26.967097999999901</v>
      </c>
      <c r="F708" s="76">
        <v>14.272539999999999</v>
      </c>
      <c r="G708" s="79">
        <v>251900</v>
      </c>
    </row>
    <row r="709" spans="1:7" x14ac:dyDescent="0.25">
      <c r="A709" s="1" t="s">
        <v>832</v>
      </c>
      <c r="B709" s="76">
        <v>27.032941999999998</v>
      </c>
      <c r="C709" s="76">
        <v>27.610914000000001</v>
      </c>
      <c r="D709" s="76">
        <v>26.959782000000001</v>
      </c>
      <c r="E709" s="76">
        <v>27.545069000000002</v>
      </c>
      <c r="F709" s="76">
        <v>14.578438</v>
      </c>
      <c r="G709" s="79">
        <v>328400</v>
      </c>
    </row>
    <row r="710" spans="1:7" x14ac:dyDescent="0.25">
      <c r="A710" s="1" t="s">
        <v>833</v>
      </c>
      <c r="B710" s="76">
        <v>27.801131999999999</v>
      </c>
      <c r="C710" s="76">
        <v>27.888926000000001</v>
      </c>
      <c r="D710" s="76">
        <v>27.289005</v>
      </c>
      <c r="E710" s="76">
        <v>27.369482000000001</v>
      </c>
      <c r="F710" s="76">
        <v>14.4855059999999</v>
      </c>
      <c r="G710" s="79">
        <v>290000</v>
      </c>
    </row>
    <row r="711" spans="1:7" x14ac:dyDescent="0.25">
      <c r="A711" s="1" t="s">
        <v>834</v>
      </c>
      <c r="B711" s="76">
        <v>27.186581</v>
      </c>
      <c r="C711" s="76">
        <v>27.186581</v>
      </c>
      <c r="D711" s="76">
        <v>26.645188999999998</v>
      </c>
      <c r="E711" s="76">
        <v>26.813459000000002</v>
      </c>
      <c r="F711" s="76">
        <v>14.191229</v>
      </c>
      <c r="G711" s="79">
        <v>333100</v>
      </c>
    </row>
    <row r="712" spans="1:7" x14ac:dyDescent="0.25">
      <c r="A712" s="1" t="s">
        <v>835</v>
      </c>
      <c r="B712" s="76">
        <v>26.923200999999999</v>
      </c>
      <c r="C712" s="76">
        <v>27.1207349999999</v>
      </c>
      <c r="D712" s="76">
        <v>26.725665999999901</v>
      </c>
      <c r="E712" s="76">
        <v>26.996362999999999</v>
      </c>
      <c r="F712" s="76">
        <v>14.288029</v>
      </c>
      <c r="G712" s="79">
        <v>203200</v>
      </c>
    </row>
    <row r="713" spans="1:7" x14ac:dyDescent="0.25">
      <c r="A713" s="1" t="s">
        <v>836</v>
      </c>
      <c r="B713" s="76">
        <v>26.996362999999999</v>
      </c>
      <c r="C713" s="76">
        <v>27.289005</v>
      </c>
      <c r="D713" s="76">
        <v>26.871988000000002</v>
      </c>
      <c r="E713" s="76">
        <v>26.886621000000002</v>
      </c>
      <c r="F713" s="76">
        <v>14.229951</v>
      </c>
      <c r="G713" s="79">
        <v>484500</v>
      </c>
    </row>
    <row r="714" spans="1:7" x14ac:dyDescent="0.25">
      <c r="A714" s="1" t="s">
        <v>837</v>
      </c>
      <c r="B714" s="76">
        <v>26.155011999999999</v>
      </c>
      <c r="C714" s="76">
        <v>26.506184000000001</v>
      </c>
      <c r="D714" s="76">
        <v>25.679466000000001</v>
      </c>
      <c r="E714" s="76">
        <v>26.418391999999901</v>
      </c>
      <c r="F714" s="76">
        <v>13.982139999999999</v>
      </c>
      <c r="G714" s="79">
        <v>1251500</v>
      </c>
    </row>
    <row r="715" spans="1:7" x14ac:dyDescent="0.25">
      <c r="A715" s="1" t="s">
        <v>838</v>
      </c>
      <c r="B715" s="76">
        <v>26.418391999999901</v>
      </c>
      <c r="C715" s="76">
        <v>27.223161999999999</v>
      </c>
      <c r="D715" s="76">
        <v>26.389127999999999</v>
      </c>
      <c r="E715" s="76">
        <v>27.047574999999998</v>
      </c>
      <c r="F715" s="76">
        <v>14.315130999999999</v>
      </c>
      <c r="G715" s="79">
        <v>637500</v>
      </c>
    </row>
    <row r="716" spans="1:7" x14ac:dyDescent="0.25">
      <c r="A716" s="1" t="s">
        <v>839</v>
      </c>
      <c r="B716" s="76">
        <v>27.047574999999998</v>
      </c>
      <c r="C716" s="76">
        <v>27.325585999999898</v>
      </c>
      <c r="D716" s="76">
        <v>26.989045999999998</v>
      </c>
      <c r="E716" s="76">
        <v>27.179264</v>
      </c>
      <c r="F716" s="76">
        <v>14.384831999999999</v>
      </c>
      <c r="G716" s="79">
        <v>489700</v>
      </c>
    </row>
    <row r="717" spans="1:7" x14ac:dyDescent="0.25">
      <c r="A717" s="1" t="s">
        <v>840</v>
      </c>
      <c r="B717" s="76">
        <v>27.289005</v>
      </c>
      <c r="C717" s="76">
        <v>27.391431999999998</v>
      </c>
      <c r="D717" s="76">
        <v>27.128052</v>
      </c>
      <c r="E717" s="76">
        <v>27.391431999999998</v>
      </c>
      <c r="F717" s="76">
        <v>14.497123</v>
      </c>
      <c r="G717" s="79">
        <v>314100</v>
      </c>
    </row>
    <row r="718" spans="1:7" x14ac:dyDescent="0.25">
      <c r="A718" s="1" t="s">
        <v>841</v>
      </c>
      <c r="B718" s="76">
        <v>26.923200999999999</v>
      </c>
      <c r="C718" s="76">
        <v>26.959782000000001</v>
      </c>
      <c r="D718" s="76">
        <v>26.579346000000001</v>
      </c>
      <c r="E718" s="76">
        <v>26.579346000000001</v>
      </c>
      <c r="F718" s="76">
        <v>14.327542999999901</v>
      </c>
      <c r="G718" s="79">
        <v>782900</v>
      </c>
    </row>
    <row r="719" spans="1:7" x14ac:dyDescent="0.25">
      <c r="A719" s="1" t="s">
        <v>842</v>
      </c>
      <c r="B719" s="76">
        <v>26.776879999999998</v>
      </c>
      <c r="C719" s="76">
        <v>26.776879999999998</v>
      </c>
      <c r="D719" s="76">
        <v>26.045271</v>
      </c>
      <c r="E719" s="76">
        <v>26.111115999999999</v>
      </c>
      <c r="F719" s="76">
        <v>14.075142</v>
      </c>
      <c r="G719" s="79">
        <v>404000</v>
      </c>
    </row>
    <row r="720" spans="1:7" x14ac:dyDescent="0.25">
      <c r="A720" s="1" t="s">
        <v>843</v>
      </c>
      <c r="B720" s="76">
        <v>26.220858</v>
      </c>
      <c r="C720" s="76">
        <v>26.220858</v>
      </c>
      <c r="D720" s="76">
        <v>25.606306</v>
      </c>
      <c r="E720" s="76">
        <v>25.752625999999999</v>
      </c>
      <c r="F720" s="76">
        <v>13.881898</v>
      </c>
      <c r="G720" s="79">
        <v>507700</v>
      </c>
    </row>
    <row r="721" spans="1:7" x14ac:dyDescent="0.25">
      <c r="A721" s="1" t="s">
        <v>844</v>
      </c>
      <c r="B721" s="76">
        <v>25.862369999999999</v>
      </c>
      <c r="C721" s="76">
        <v>25.862369999999999</v>
      </c>
      <c r="D721" s="76">
        <v>25.533144</v>
      </c>
      <c r="E721" s="76">
        <v>25.730678999999999</v>
      </c>
      <c r="F721" s="76">
        <v>13.870067000000001</v>
      </c>
      <c r="G721" s="79">
        <v>616900</v>
      </c>
    </row>
    <row r="722" spans="1:7" x14ac:dyDescent="0.25">
      <c r="A722" s="1" t="s">
        <v>845</v>
      </c>
      <c r="B722" s="76">
        <v>25.716047</v>
      </c>
      <c r="C722" s="76">
        <v>25.789207000000001</v>
      </c>
      <c r="D722" s="76">
        <v>24.947856999999999</v>
      </c>
      <c r="E722" s="76">
        <v>25.174655999999999</v>
      </c>
      <c r="F722" s="76">
        <v>13.570345</v>
      </c>
      <c r="G722" s="79">
        <v>621300</v>
      </c>
    </row>
    <row r="723" spans="1:7" x14ac:dyDescent="0.25">
      <c r="A723" s="1" t="s">
        <v>846</v>
      </c>
      <c r="B723" s="76">
        <v>25.021018999999999</v>
      </c>
      <c r="C723" s="76">
        <v>25.730678999999999</v>
      </c>
      <c r="D723" s="76">
        <v>25.021018999999999</v>
      </c>
      <c r="E723" s="76">
        <v>25.584357999999899</v>
      </c>
      <c r="F723" s="76">
        <v>13.791191</v>
      </c>
      <c r="G723" s="79">
        <v>824700</v>
      </c>
    </row>
    <row r="724" spans="1:7" x14ac:dyDescent="0.25">
      <c r="A724" s="1" t="s">
        <v>847</v>
      </c>
      <c r="B724" s="76">
        <v>25.606306</v>
      </c>
      <c r="C724" s="76">
        <v>25.781891000000002</v>
      </c>
      <c r="D724" s="76">
        <v>25.591673</v>
      </c>
      <c r="E724" s="76">
        <v>25.752625999999999</v>
      </c>
      <c r="F724" s="76">
        <v>13.881898</v>
      </c>
      <c r="G724" s="79">
        <v>333400</v>
      </c>
    </row>
    <row r="725" spans="1:7" x14ac:dyDescent="0.25">
      <c r="A725" s="1" t="s">
        <v>848</v>
      </c>
      <c r="B725" s="76">
        <v>25.803840999999998</v>
      </c>
      <c r="C725" s="76">
        <v>25.840420000000002</v>
      </c>
      <c r="D725" s="76">
        <v>25.613620999999998</v>
      </c>
      <c r="E725" s="76">
        <v>25.833105</v>
      </c>
      <c r="F725" s="76">
        <v>13.9252799999999</v>
      </c>
      <c r="G725" s="79">
        <v>413300</v>
      </c>
    </row>
    <row r="726" spans="1:7" x14ac:dyDescent="0.25">
      <c r="A726" s="1" t="s">
        <v>849</v>
      </c>
      <c r="B726" s="76">
        <v>25.825787999999999</v>
      </c>
      <c r="C726" s="76">
        <v>26.001374999999999</v>
      </c>
      <c r="D726" s="76">
        <v>25.686782999999998</v>
      </c>
      <c r="E726" s="76">
        <v>25.957477999999998</v>
      </c>
      <c r="F726" s="76">
        <v>13.992320999999899</v>
      </c>
      <c r="G726" s="79">
        <v>522500</v>
      </c>
    </row>
    <row r="727" spans="1:7" x14ac:dyDescent="0.25">
      <c r="A727" s="1" t="s">
        <v>850</v>
      </c>
      <c r="B727" s="76">
        <v>26.140381000000001</v>
      </c>
      <c r="C727" s="76">
        <v>26.294017999999902</v>
      </c>
      <c r="D727" s="76">
        <v>25.928213</v>
      </c>
      <c r="E727" s="76">
        <v>26.294017999999902</v>
      </c>
      <c r="F727" s="76">
        <v>14.173732999999901</v>
      </c>
      <c r="G727" s="79">
        <v>189600</v>
      </c>
    </row>
    <row r="728" spans="1:7" x14ac:dyDescent="0.25">
      <c r="A728" s="1" t="s">
        <v>851</v>
      </c>
      <c r="B728" s="76">
        <v>26.630558000000001</v>
      </c>
      <c r="C728" s="76">
        <v>26.630558000000001</v>
      </c>
      <c r="D728" s="76">
        <v>26.213540999999999</v>
      </c>
      <c r="E728" s="76">
        <v>26.374495</v>
      </c>
      <c r="F728" s="76">
        <v>14.217114</v>
      </c>
      <c r="G728" s="79">
        <v>401500</v>
      </c>
    </row>
    <row r="729" spans="1:7" x14ac:dyDescent="0.25">
      <c r="A729" s="1" t="s">
        <v>852</v>
      </c>
      <c r="B729" s="76">
        <v>26.191593000000001</v>
      </c>
      <c r="C729" s="76">
        <v>27.076839</v>
      </c>
      <c r="D729" s="76">
        <v>26.089167</v>
      </c>
      <c r="E729" s="76">
        <v>27.076839</v>
      </c>
      <c r="F729" s="76">
        <v>14.595715</v>
      </c>
      <c r="G729" s="79">
        <v>685500</v>
      </c>
    </row>
    <row r="730" spans="1:7" x14ac:dyDescent="0.25">
      <c r="A730" s="1" t="s">
        <v>853</v>
      </c>
      <c r="B730" s="76">
        <v>27.076839</v>
      </c>
      <c r="C730" s="76">
        <v>27.113420000000001</v>
      </c>
      <c r="D730" s="76">
        <v>26.440339999999999</v>
      </c>
      <c r="E730" s="76">
        <v>26.996362999999999</v>
      </c>
      <c r="F730" s="76">
        <v>14.552335999999899</v>
      </c>
      <c r="G730" s="79">
        <v>398600</v>
      </c>
    </row>
    <row r="731" spans="1:7" x14ac:dyDescent="0.25">
      <c r="A731" s="1" t="s">
        <v>854</v>
      </c>
      <c r="B731" s="76">
        <v>26.996362999999999</v>
      </c>
      <c r="C731" s="76">
        <v>27.398745999999999</v>
      </c>
      <c r="D731" s="76">
        <v>26.893936</v>
      </c>
      <c r="E731" s="76">
        <v>27.047574999999998</v>
      </c>
      <c r="F731" s="76">
        <v>14.579941</v>
      </c>
      <c r="G731" s="79">
        <v>707200</v>
      </c>
    </row>
    <row r="732" spans="1:7" x14ac:dyDescent="0.25">
      <c r="A732" s="1" t="s">
        <v>855</v>
      </c>
      <c r="B732" s="76">
        <v>27.047574999999998</v>
      </c>
      <c r="C732" s="76">
        <v>27.223161999999999</v>
      </c>
      <c r="D732" s="76">
        <v>26.776879999999998</v>
      </c>
      <c r="E732" s="76">
        <v>27.106103999999998</v>
      </c>
      <c r="F732" s="76">
        <v>14.611490999999999</v>
      </c>
      <c r="G732" s="79">
        <v>319400</v>
      </c>
    </row>
    <row r="733" spans="1:7" x14ac:dyDescent="0.25">
      <c r="A733" s="1" t="s">
        <v>856</v>
      </c>
      <c r="B733" s="76">
        <v>27.201211999999899</v>
      </c>
      <c r="C733" s="76">
        <v>27.362166999999999</v>
      </c>
      <c r="D733" s="76">
        <v>27.15</v>
      </c>
      <c r="E733" s="76">
        <v>27.332903000000002</v>
      </c>
      <c r="F733" s="76">
        <v>14.733741</v>
      </c>
      <c r="G733" s="79">
        <v>134800</v>
      </c>
    </row>
    <row r="734" spans="1:7" x14ac:dyDescent="0.25">
      <c r="A734" s="1" t="s">
        <v>857</v>
      </c>
      <c r="B734" s="76">
        <v>27.471909</v>
      </c>
      <c r="C734" s="76">
        <v>27.654809999999902</v>
      </c>
      <c r="D734" s="76">
        <v>27.237793</v>
      </c>
      <c r="E734" s="76">
        <v>27.647493000000001</v>
      </c>
      <c r="F734" s="76">
        <v>14.903323</v>
      </c>
      <c r="G734" s="79">
        <v>349900</v>
      </c>
    </row>
    <row r="735" spans="1:7" x14ac:dyDescent="0.25">
      <c r="A735" s="1" t="s">
        <v>858</v>
      </c>
      <c r="B735" s="76">
        <v>27.618228999999999</v>
      </c>
      <c r="C735" s="76">
        <v>27.764551000000001</v>
      </c>
      <c r="D735" s="76">
        <v>27.508488</v>
      </c>
      <c r="E735" s="76">
        <v>27.596281000000001</v>
      </c>
      <c r="F735" s="76">
        <v>14.875717</v>
      </c>
      <c r="G735" s="79">
        <v>328500</v>
      </c>
    </row>
    <row r="736" spans="1:7" x14ac:dyDescent="0.25">
      <c r="A736" s="1" t="s">
        <v>859</v>
      </c>
      <c r="B736" s="76">
        <v>27.545069000000002</v>
      </c>
      <c r="C736" s="76">
        <v>27.654809999999902</v>
      </c>
      <c r="D736" s="76">
        <v>27.325585999999898</v>
      </c>
      <c r="E736" s="76">
        <v>27.471909</v>
      </c>
      <c r="F736" s="76">
        <v>14.808669</v>
      </c>
      <c r="G736" s="79">
        <v>260600</v>
      </c>
    </row>
    <row r="737" spans="1:7" x14ac:dyDescent="0.25">
      <c r="A737" s="1" t="s">
        <v>860</v>
      </c>
      <c r="B737" s="76">
        <v>27.391431999999998</v>
      </c>
      <c r="C737" s="76">
        <v>27.508488</v>
      </c>
      <c r="D737" s="76">
        <v>27.303637999999999</v>
      </c>
      <c r="E737" s="76">
        <v>27.435327999999998</v>
      </c>
      <c r="F737" s="76">
        <v>14.788952999999999</v>
      </c>
      <c r="G737" s="79">
        <v>210000</v>
      </c>
    </row>
    <row r="738" spans="1:7" x14ac:dyDescent="0.25">
      <c r="A738" s="1" t="s">
        <v>861</v>
      </c>
      <c r="B738" s="76">
        <v>27.362166999999999</v>
      </c>
      <c r="C738" s="76">
        <v>27.464592</v>
      </c>
      <c r="D738" s="76">
        <v>27.274373999999899</v>
      </c>
      <c r="E738" s="76">
        <v>27.310953000000001</v>
      </c>
      <c r="F738" s="76">
        <v>14.721912</v>
      </c>
      <c r="G738" s="79">
        <v>169000</v>
      </c>
    </row>
    <row r="739" spans="1:7" x14ac:dyDescent="0.25">
      <c r="A739" s="1" t="s">
        <v>862</v>
      </c>
      <c r="B739" s="76">
        <v>27.318269999999998</v>
      </c>
      <c r="C739" s="76">
        <v>27.596281000000001</v>
      </c>
      <c r="D739" s="76">
        <v>27.318269999999998</v>
      </c>
      <c r="E739" s="76">
        <v>27.545069000000002</v>
      </c>
      <c r="F739" s="76">
        <v>14.848110999999999</v>
      </c>
      <c r="G739" s="79">
        <v>237800</v>
      </c>
    </row>
    <row r="740" spans="1:7" x14ac:dyDescent="0.25">
      <c r="A740" s="1" t="s">
        <v>863</v>
      </c>
      <c r="B740" s="76">
        <v>27.6913909999999</v>
      </c>
      <c r="C740" s="76">
        <v>27.801131999999999</v>
      </c>
      <c r="D740" s="76">
        <v>27.449959</v>
      </c>
      <c r="E740" s="76">
        <v>27.632861999999999</v>
      </c>
      <c r="F740" s="76">
        <v>14.895435999999901</v>
      </c>
      <c r="G740" s="79">
        <v>200300</v>
      </c>
    </row>
    <row r="741" spans="1:7" x14ac:dyDescent="0.25">
      <c r="A741" s="1" t="s">
        <v>864</v>
      </c>
      <c r="B741" s="76">
        <v>27.58165</v>
      </c>
      <c r="C741" s="76">
        <v>27.713339000000001</v>
      </c>
      <c r="D741" s="76">
        <v>27.303637999999999</v>
      </c>
      <c r="E741" s="76">
        <v>27.369482000000001</v>
      </c>
      <c r="F741" s="76">
        <v>14.753466</v>
      </c>
      <c r="G741" s="79">
        <v>305800</v>
      </c>
    </row>
    <row r="742" spans="1:7" x14ac:dyDescent="0.25">
      <c r="A742" s="1" t="s">
        <v>865</v>
      </c>
      <c r="B742" s="76">
        <v>27.479222999999902</v>
      </c>
      <c r="C742" s="76">
        <v>27.508488</v>
      </c>
      <c r="D742" s="76">
        <v>27.289005</v>
      </c>
      <c r="E742" s="76">
        <v>27.332903000000002</v>
      </c>
      <c r="F742" s="76">
        <v>14.733741</v>
      </c>
      <c r="G742" s="79">
        <v>541900</v>
      </c>
    </row>
    <row r="743" spans="1:7" x14ac:dyDescent="0.25">
      <c r="A743" s="1" t="s">
        <v>866</v>
      </c>
      <c r="B743" s="76">
        <v>27.354851</v>
      </c>
      <c r="C743" s="76">
        <v>27.354851</v>
      </c>
      <c r="D743" s="76">
        <v>27.069522999999901</v>
      </c>
      <c r="E743" s="76">
        <v>27.091470999999999</v>
      </c>
      <c r="F743" s="76">
        <v>14.6035989999999</v>
      </c>
      <c r="G743" s="79">
        <v>321700</v>
      </c>
    </row>
    <row r="744" spans="1:7" x14ac:dyDescent="0.25">
      <c r="A744" s="1" t="s">
        <v>867</v>
      </c>
      <c r="B744" s="76">
        <v>27.1207349999999</v>
      </c>
      <c r="C744" s="76">
        <v>27.435327999999998</v>
      </c>
      <c r="D744" s="76">
        <v>26.989045999999998</v>
      </c>
      <c r="E744" s="76">
        <v>27.41338</v>
      </c>
      <c r="F744" s="76">
        <v>14.777123</v>
      </c>
      <c r="G744" s="79">
        <v>353500</v>
      </c>
    </row>
    <row r="745" spans="1:7" x14ac:dyDescent="0.25">
      <c r="A745" s="1" t="s">
        <v>868</v>
      </c>
      <c r="B745" s="76">
        <v>27.41338</v>
      </c>
      <c r="C745" s="76">
        <v>27.41338</v>
      </c>
      <c r="D745" s="76">
        <v>26.974415</v>
      </c>
      <c r="E745" s="76">
        <v>26.981729999999999</v>
      </c>
      <c r="F745" s="76">
        <v>14.544444</v>
      </c>
      <c r="G745" s="79">
        <v>552300</v>
      </c>
    </row>
    <row r="746" spans="1:7" x14ac:dyDescent="0.25">
      <c r="A746" s="1" t="s">
        <v>869</v>
      </c>
      <c r="B746" s="76">
        <v>26.996362999999999</v>
      </c>
      <c r="C746" s="76">
        <v>27.054891999999999</v>
      </c>
      <c r="D746" s="76">
        <v>26.579346000000001</v>
      </c>
      <c r="E746" s="76">
        <v>26.579346000000001</v>
      </c>
      <c r="F746" s="76">
        <v>14.327542999999901</v>
      </c>
      <c r="G746" s="79">
        <v>336200</v>
      </c>
    </row>
    <row r="747" spans="1:7" x14ac:dyDescent="0.25">
      <c r="A747" s="1" t="s">
        <v>870</v>
      </c>
      <c r="B747" s="76">
        <v>26.667138999999999</v>
      </c>
      <c r="C747" s="76">
        <v>26.959782000000001</v>
      </c>
      <c r="D747" s="76">
        <v>26.593976999999999</v>
      </c>
      <c r="E747" s="76">
        <v>26.835408999999999</v>
      </c>
      <c r="F747" s="76">
        <v>14.465569</v>
      </c>
      <c r="G747" s="79">
        <v>430000</v>
      </c>
    </row>
    <row r="748" spans="1:7" x14ac:dyDescent="0.25">
      <c r="A748" s="1" t="s">
        <v>871</v>
      </c>
      <c r="B748" s="76">
        <v>26.886621000000002</v>
      </c>
      <c r="C748" s="76">
        <v>27.41338</v>
      </c>
      <c r="D748" s="76">
        <v>26.857357</v>
      </c>
      <c r="E748" s="76">
        <v>27.41338</v>
      </c>
      <c r="F748" s="76">
        <v>14.777123</v>
      </c>
      <c r="G748" s="79">
        <v>427800</v>
      </c>
    </row>
    <row r="749" spans="1:7" x14ac:dyDescent="0.25">
      <c r="A749" s="1" t="s">
        <v>872</v>
      </c>
      <c r="B749" s="76">
        <v>27.58165</v>
      </c>
      <c r="C749" s="76">
        <v>27.618228999999999</v>
      </c>
      <c r="D749" s="76">
        <v>26.886621000000002</v>
      </c>
      <c r="E749" s="76">
        <v>27.054891999999999</v>
      </c>
      <c r="F749" s="76">
        <v>14.5838859999999</v>
      </c>
      <c r="G749" s="79">
        <v>935500</v>
      </c>
    </row>
    <row r="750" spans="1:7" x14ac:dyDescent="0.25">
      <c r="A750" s="1" t="s">
        <v>873</v>
      </c>
      <c r="B750" s="76">
        <v>27.054891999999999</v>
      </c>
      <c r="C750" s="76">
        <v>27.435327999999998</v>
      </c>
      <c r="D750" s="76">
        <v>26.967097999999901</v>
      </c>
      <c r="E750" s="76">
        <v>27.41338</v>
      </c>
      <c r="F750" s="76">
        <v>14.777123</v>
      </c>
      <c r="G750" s="79">
        <v>146700</v>
      </c>
    </row>
    <row r="751" spans="1:7" x14ac:dyDescent="0.25">
      <c r="A751" s="1" t="s">
        <v>874</v>
      </c>
      <c r="B751" s="76">
        <v>27.420694000000001</v>
      </c>
      <c r="C751" s="76">
        <v>27.471909</v>
      </c>
      <c r="D751" s="76">
        <v>26.886621000000002</v>
      </c>
      <c r="E751" s="76">
        <v>27.010994</v>
      </c>
      <c r="F751" s="76">
        <v>14.560225000000001</v>
      </c>
      <c r="G751" s="79">
        <v>296000</v>
      </c>
    </row>
    <row r="752" spans="1:7" x14ac:dyDescent="0.25">
      <c r="A752" s="1" t="s">
        <v>875</v>
      </c>
      <c r="B752" s="76">
        <v>27.142683000000002</v>
      </c>
      <c r="C752" s="76">
        <v>27.142683000000002</v>
      </c>
      <c r="D752" s="76">
        <v>26.791512000000001</v>
      </c>
      <c r="E752" s="76">
        <v>27.047574999999998</v>
      </c>
      <c r="F752" s="76">
        <v>14.579941</v>
      </c>
      <c r="G752" s="79">
        <v>374400</v>
      </c>
    </row>
    <row r="753" spans="1:7" x14ac:dyDescent="0.25">
      <c r="A753" s="1" t="s">
        <v>876</v>
      </c>
      <c r="B753" s="76">
        <v>27.076839</v>
      </c>
      <c r="C753" s="76">
        <v>27.106103999999998</v>
      </c>
      <c r="D753" s="76">
        <v>26.542764999999999</v>
      </c>
      <c r="E753" s="76">
        <v>27.032941999999998</v>
      </c>
      <c r="F753" s="76">
        <v>14.572050000000001</v>
      </c>
      <c r="G753" s="79">
        <v>452600</v>
      </c>
    </row>
    <row r="754" spans="1:7" x14ac:dyDescent="0.25">
      <c r="A754" s="1" t="s">
        <v>877</v>
      </c>
      <c r="B754" s="76">
        <v>27.062206</v>
      </c>
      <c r="C754" s="76">
        <v>27.325585999999898</v>
      </c>
      <c r="D754" s="76">
        <v>26.937833999999999</v>
      </c>
      <c r="E754" s="76">
        <v>27.215845000000002</v>
      </c>
      <c r="F754" s="76">
        <v>14.670641</v>
      </c>
      <c r="G754" s="79">
        <v>451400</v>
      </c>
    </row>
    <row r="755" spans="1:7" x14ac:dyDescent="0.25">
      <c r="A755" s="1" t="s">
        <v>878</v>
      </c>
      <c r="B755" s="76">
        <v>27.179264</v>
      </c>
      <c r="C755" s="76">
        <v>27.252426</v>
      </c>
      <c r="D755" s="76">
        <v>27.032941999999998</v>
      </c>
      <c r="E755" s="76">
        <v>27.252426</v>
      </c>
      <c r="F755" s="76">
        <v>14.690365999999999</v>
      </c>
      <c r="G755" s="79">
        <v>290900</v>
      </c>
    </row>
    <row r="756" spans="1:7" x14ac:dyDescent="0.25">
      <c r="A756" s="1" t="s">
        <v>879</v>
      </c>
      <c r="B756" s="76">
        <v>27.252426</v>
      </c>
      <c r="C756" s="76">
        <v>27.720654999999901</v>
      </c>
      <c r="D756" s="76">
        <v>27.179264</v>
      </c>
      <c r="E756" s="76">
        <v>27.6913909999999</v>
      </c>
      <c r="F756" s="76">
        <v>14.926988</v>
      </c>
      <c r="G756" s="79">
        <v>346100</v>
      </c>
    </row>
    <row r="757" spans="1:7" x14ac:dyDescent="0.25">
      <c r="A757" s="1" t="s">
        <v>880</v>
      </c>
      <c r="B757" s="76">
        <v>27.58165</v>
      </c>
      <c r="C757" s="76">
        <v>28.057196000000001</v>
      </c>
      <c r="D757" s="76">
        <v>27.58165</v>
      </c>
      <c r="E757" s="76">
        <v>28.057196000000001</v>
      </c>
      <c r="F757" s="76">
        <v>15.124173000000001</v>
      </c>
      <c r="G757" s="79">
        <v>395600</v>
      </c>
    </row>
    <row r="758" spans="1:7" x14ac:dyDescent="0.25">
      <c r="A758" s="1" t="s">
        <v>881</v>
      </c>
      <c r="B758" s="76">
        <v>27.874291999999901</v>
      </c>
      <c r="C758" s="76">
        <v>27.874291999999901</v>
      </c>
      <c r="D758" s="76">
        <v>27.435327999999998</v>
      </c>
      <c r="E758" s="76">
        <v>27.435327999999998</v>
      </c>
      <c r="F758" s="76">
        <v>14.788952999999999</v>
      </c>
      <c r="G758" s="79">
        <v>342200</v>
      </c>
    </row>
    <row r="759" spans="1:7" x14ac:dyDescent="0.25">
      <c r="A759" s="1" t="s">
        <v>882</v>
      </c>
      <c r="B759" s="76">
        <v>27.435327999999998</v>
      </c>
      <c r="C759" s="76">
        <v>27.435327999999998</v>
      </c>
      <c r="D759" s="76">
        <v>26.893936</v>
      </c>
      <c r="E759" s="76">
        <v>26.923200999999999</v>
      </c>
      <c r="F759" s="76">
        <v>14.512891</v>
      </c>
      <c r="G759" s="79">
        <v>379000</v>
      </c>
    </row>
    <row r="760" spans="1:7" x14ac:dyDescent="0.25">
      <c r="A760" s="1" t="s">
        <v>883</v>
      </c>
      <c r="B760" s="76">
        <v>26.923200999999999</v>
      </c>
      <c r="C760" s="76">
        <v>27.062206</v>
      </c>
      <c r="D760" s="76">
        <v>26.711034999999999</v>
      </c>
      <c r="E760" s="76">
        <v>26.959782000000001</v>
      </c>
      <c r="F760" s="76">
        <v>14.532617</v>
      </c>
      <c r="G760" s="79">
        <v>380700</v>
      </c>
    </row>
    <row r="761" spans="1:7" x14ac:dyDescent="0.25">
      <c r="A761" s="1" t="s">
        <v>884</v>
      </c>
      <c r="B761" s="76">
        <v>26.959782000000001</v>
      </c>
      <c r="C761" s="76">
        <v>26.959782000000001</v>
      </c>
      <c r="D761" s="76">
        <v>26.542764999999999</v>
      </c>
      <c r="E761" s="76">
        <v>26.615925000000001</v>
      </c>
      <c r="F761" s="76">
        <v>14.3472609999999</v>
      </c>
      <c r="G761" s="79">
        <v>327200</v>
      </c>
    </row>
    <row r="762" spans="1:7" x14ac:dyDescent="0.25">
      <c r="A762" s="1" t="s">
        <v>885</v>
      </c>
      <c r="B762" s="76">
        <v>26.608609999999999</v>
      </c>
      <c r="C762" s="76">
        <v>26.696403999999902</v>
      </c>
      <c r="D762" s="76">
        <v>26.572028999999901</v>
      </c>
      <c r="E762" s="76">
        <v>26.630558000000001</v>
      </c>
      <c r="F762" s="76">
        <v>14.355145</v>
      </c>
      <c r="G762" s="79">
        <v>656100</v>
      </c>
    </row>
    <row r="763" spans="1:7" x14ac:dyDescent="0.25">
      <c r="A763" s="1" t="s">
        <v>886</v>
      </c>
      <c r="B763" s="76">
        <v>26.520816999999901</v>
      </c>
      <c r="C763" s="76">
        <v>26.557397999999999</v>
      </c>
      <c r="D763" s="76">
        <v>26.396441999999901</v>
      </c>
      <c r="E763" s="76">
        <v>26.476918999999999</v>
      </c>
      <c r="F763" s="76">
        <v>14.272330999999999</v>
      </c>
      <c r="G763" s="79">
        <v>344800</v>
      </c>
    </row>
    <row r="764" spans="1:7" x14ac:dyDescent="0.25">
      <c r="A764" s="1" t="s">
        <v>887</v>
      </c>
      <c r="B764" s="76">
        <v>26.476918999999999</v>
      </c>
      <c r="C764" s="76">
        <v>26.542764999999999</v>
      </c>
      <c r="D764" s="76">
        <v>26.184276999999899</v>
      </c>
      <c r="E764" s="76">
        <v>26.476918999999999</v>
      </c>
      <c r="F764" s="76">
        <v>14.272330999999999</v>
      </c>
      <c r="G764" s="79">
        <v>449900</v>
      </c>
    </row>
    <row r="765" spans="1:7" x14ac:dyDescent="0.25">
      <c r="A765" s="1" t="s">
        <v>888</v>
      </c>
      <c r="B765" s="76">
        <v>26.403759000000001</v>
      </c>
      <c r="C765" s="76">
        <v>26.403759000000001</v>
      </c>
      <c r="D765" s="76">
        <v>25.716047</v>
      </c>
      <c r="E765" s="76">
        <v>25.898948999999899</v>
      </c>
      <c r="F765" s="76">
        <v>13.960772</v>
      </c>
      <c r="G765" s="79">
        <v>412500</v>
      </c>
    </row>
    <row r="766" spans="1:7" x14ac:dyDescent="0.25">
      <c r="A766" s="1" t="s">
        <v>889</v>
      </c>
      <c r="B766" s="76">
        <v>25.825787999999999</v>
      </c>
      <c r="C766" s="76">
        <v>25.825787999999999</v>
      </c>
      <c r="D766" s="76">
        <v>25.525829000000002</v>
      </c>
      <c r="E766" s="76">
        <v>25.650202</v>
      </c>
      <c r="F766" s="76">
        <v>13.826691</v>
      </c>
      <c r="G766" s="79">
        <v>266200</v>
      </c>
    </row>
    <row r="767" spans="1:7" x14ac:dyDescent="0.25">
      <c r="A767" s="1" t="s">
        <v>890</v>
      </c>
      <c r="B767" s="76">
        <v>25.825787999999999</v>
      </c>
      <c r="C767" s="76">
        <v>25.862369999999999</v>
      </c>
      <c r="D767" s="76">
        <v>25.518512999999999</v>
      </c>
      <c r="E767" s="76">
        <v>25.533144</v>
      </c>
      <c r="F767" s="76">
        <v>13.763585000000001</v>
      </c>
      <c r="G767" s="79">
        <v>211000</v>
      </c>
    </row>
    <row r="768" spans="1:7" x14ac:dyDescent="0.25">
      <c r="A768" s="1" t="s">
        <v>891</v>
      </c>
      <c r="B768" s="76">
        <v>25.350242999999999</v>
      </c>
      <c r="C768" s="76">
        <v>25.679466000000001</v>
      </c>
      <c r="D768" s="76">
        <v>25.328295000000001</v>
      </c>
      <c r="E768" s="76">
        <v>25.481932</v>
      </c>
      <c r="F768" s="76">
        <v>13.73598</v>
      </c>
      <c r="G768" s="79">
        <v>370900</v>
      </c>
    </row>
    <row r="769" spans="1:7" x14ac:dyDescent="0.25">
      <c r="A769" s="1" t="s">
        <v>892</v>
      </c>
      <c r="B769" s="76">
        <v>25.481932</v>
      </c>
      <c r="C769" s="76">
        <v>25.496565</v>
      </c>
      <c r="D769" s="76">
        <v>25.313662000000001</v>
      </c>
      <c r="E769" s="76">
        <v>25.379507</v>
      </c>
      <c r="F769" s="76">
        <v>13.680774</v>
      </c>
      <c r="G769" s="79">
        <v>599600</v>
      </c>
    </row>
    <row r="770" spans="1:7" x14ac:dyDescent="0.25">
      <c r="A770" s="1" t="s">
        <v>893</v>
      </c>
      <c r="B770" s="76">
        <v>25.350242999999999</v>
      </c>
      <c r="C770" s="76">
        <v>25.357558999999998</v>
      </c>
      <c r="D770" s="76">
        <v>25.072230999999999</v>
      </c>
      <c r="E770" s="76">
        <v>25.130759999999999</v>
      </c>
      <c r="F770" s="76">
        <v>13.546679999999901</v>
      </c>
      <c r="G770" s="79">
        <v>374100</v>
      </c>
    </row>
    <row r="771" spans="1:7" x14ac:dyDescent="0.25">
      <c r="A771" s="1" t="s">
        <v>894</v>
      </c>
      <c r="B771" s="76">
        <v>25.130759999999999</v>
      </c>
      <c r="C771" s="76">
        <v>25.20392</v>
      </c>
      <c r="D771" s="76">
        <v>24.874697000000001</v>
      </c>
      <c r="E771" s="76">
        <v>25.20392</v>
      </c>
      <c r="F771" s="76">
        <v>13.586123000000001</v>
      </c>
      <c r="G771" s="79">
        <v>476200</v>
      </c>
    </row>
    <row r="772" spans="1:7" x14ac:dyDescent="0.25">
      <c r="A772" s="1" t="s">
        <v>895</v>
      </c>
      <c r="B772" s="76">
        <v>25.240500999999998</v>
      </c>
      <c r="C772" s="76">
        <v>25.313662000000001</v>
      </c>
      <c r="D772" s="76">
        <v>25.086863000000001</v>
      </c>
      <c r="E772" s="76">
        <v>25.240500999999998</v>
      </c>
      <c r="F772" s="76">
        <v>13.605838</v>
      </c>
      <c r="G772" s="79">
        <v>335500</v>
      </c>
    </row>
    <row r="773" spans="1:7" x14ac:dyDescent="0.25">
      <c r="A773" s="1" t="s">
        <v>896</v>
      </c>
      <c r="B773" s="76">
        <v>25.167341</v>
      </c>
      <c r="C773" s="76">
        <v>25.503879999999999</v>
      </c>
      <c r="D773" s="76">
        <v>25.167341</v>
      </c>
      <c r="E773" s="76">
        <v>25.306346999999999</v>
      </c>
      <c r="F773" s="76">
        <v>13.641332999999999</v>
      </c>
      <c r="G773" s="79">
        <v>486000</v>
      </c>
    </row>
    <row r="774" spans="1:7" x14ac:dyDescent="0.25">
      <c r="A774" s="1" t="s">
        <v>897</v>
      </c>
      <c r="B774" s="76">
        <v>24.874697000000001</v>
      </c>
      <c r="C774" s="76">
        <v>24.911277999999999</v>
      </c>
      <c r="D774" s="76">
        <v>24.699110000000001</v>
      </c>
      <c r="E774" s="76">
        <v>24.852748999999999</v>
      </c>
      <c r="F774" s="76">
        <v>13.665467999999899</v>
      </c>
      <c r="G774" s="79">
        <v>1183100</v>
      </c>
    </row>
    <row r="775" spans="1:7" x14ac:dyDescent="0.25">
      <c r="A775" s="1" t="s">
        <v>898</v>
      </c>
      <c r="B775" s="76">
        <v>24.882013000000001</v>
      </c>
      <c r="C775" s="76">
        <v>25.240500999999998</v>
      </c>
      <c r="D775" s="76">
        <v>24.874697000000001</v>
      </c>
      <c r="E775" s="76">
        <v>25.240500999999998</v>
      </c>
      <c r="F775" s="76">
        <v>13.878674999999999</v>
      </c>
      <c r="G775" s="79">
        <v>422200</v>
      </c>
    </row>
    <row r="776" spans="1:7" x14ac:dyDescent="0.25">
      <c r="A776" s="1" t="s">
        <v>899</v>
      </c>
      <c r="B776" s="76">
        <v>25.306346999999999</v>
      </c>
      <c r="C776" s="76">
        <v>25.386824000000001</v>
      </c>
      <c r="D776" s="76">
        <v>24.874697000000001</v>
      </c>
      <c r="E776" s="76">
        <v>24.977121</v>
      </c>
      <c r="F776" s="76">
        <v>13.733855999999999</v>
      </c>
      <c r="G776" s="79">
        <v>324600</v>
      </c>
    </row>
    <row r="777" spans="1:7" x14ac:dyDescent="0.25">
      <c r="A777" s="1" t="s">
        <v>900</v>
      </c>
      <c r="B777" s="76">
        <v>24.830801000000001</v>
      </c>
      <c r="C777" s="76">
        <v>24.955172999999998</v>
      </c>
      <c r="D777" s="76">
        <v>24.801537</v>
      </c>
      <c r="E777" s="76">
        <v>24.852748999999999</v>
      </c>
      <c r="F777" s="76">
        <v>13.665467999999899</v>
      </c>
      <c r="G777" s="79">
        <v>998100</v>
      </c>
    </row>
    <row r="778" spans="1:7" x14ac:dyDescent="0.25">
      <c r="A778" s="1" t="s">
        <v>901</v>
      </c>
      <c r="B778" s="76">
        <v>24.874697000000001</v>
      </c>
      <c r="C778" s="76">
        <v>25.086863000000001</v>
      </c>
      <c r="D778" s="76">
        <v>24.860064999999999</v>
      </c>
      <c r="E778" s="76">
        <v>24.977121</v>
      </c>
      <c r="F778" s="76">
        <v>13.733855999999999</v>
      </c>
      <c r="G778" s="79">
        <v>1087600</v>
      </c>
    </row>
    <row r="779" spans="1:7" x14ac:dyDescent="0.25">
      <c r="A779" s="1" t="s">
        <v>902</v>
      </c>
      <c r="B779" s="76">
        <v>24.977121</v>
      </c>
      <c r="C779" s="76">
        <v>25.167341</v>
      </c>
      <c r="D779" s="76">
        <v>24.933226000000001</v>
      </c>
      <c r="E779" s="76">
        <v>25.079547999999999</v>
      </c>
      <c r="F779" s="76">
        <v>13.790177999999999</v>
      </c>
      <c r="G779" s="79">
        <v>802700</v>
      </c>
    </row>
    <row r="780" spans="1:7" x14ac:dyDescent="0.25">
      <c r="A780" s="1" t="s">
        <v>903</v>
      </c>
      <c r="B780" s="76">
        <v>25.057597999999999</v>
      </c>
      <c r="C780" s="76">
        <v>25.167341</v>
      </c>
      <c r="D780" s="76">
        <v>25.013701999999999</v>
      </c>
      <c r="E780" s="76">
        <v>25.03565</v>
      </c>
      <c r="F780" s="76">
        <v>13.7660359999999</v>
      </c>
      <c r="G780" s="79">
        <v>492300</v>
      </c>
    </row>
    <row r="781" spans="1:7" x14ac:dyDescent="0.25">
      <c r="A781" s="1" t="s">
        <v>904</v>
      </c>
      <c r="B781" s="76">
        <v>25.072230999999999</v>
      </c>
      <c r="C781" s="76">
        <v>25.152707999999901</v>
      </c>
      <c r="D781" s="76">
        <v>24.889329999999902</v>
      </c>
      <c r="E781" s="76">
        <v>25.152707999999901</v>
      </c>
      <c r="F781" s="76">
        <v>13.830404</v>
      </c>
      <c r="G781" s="79">
        <v>329200</v>
      </c>
    </row>
    <row r="782" spans="1:7" x14ac:dyDescent="0.25">
      <c r="A782" s="1" t="s">
        <v>905</v>
      </c>
      <c r="B782" s="76">
        <v>25.240500999999998</v>
      </c>
      <c r="C782" s="76">
        <v>25.299029999999998</v>
      </c>
      <c r="D782" s="76">
        <v>24.874697000000001</v>
      </c>
      <c r="E782" s="76">
        <v>24.947856999999999</v>
      </c>
      <c r="F782" s="76">
        <v>13.7177579999999</v>
      </c>
      <c r="G782" s="79">
        <v>277000</v>
      </c>
    </row>
    <row r="783" spans="1:7" x14ac:dyDescent="0.25">
      <c r="A783" s="1" t="s">
        <v>906</v>
      </c>
      <c r="B783" s="76">
        <v>25.013701999999999</v>
      </c>
      <c r="C783" s="76">
        <v>25.057597999999999</v>
      </c>
      <c r="D783" s="76">
        <v>24.655214000000001</v>
      </c>
      <c r="E783" s="76">
        <v>24.662531000000001</v>
      </c>
      <c r="F783" s="76">
        <v>13.560873000000001</v>
      </c>
      <c r="G783" s="79">
        <v>282000</v>
      </c>
    </row>
    <row r="784" spans="1:7" x14ac:dyDescent="0.25">
      <c r="A784" s="1" t="s">
        <v>907</v>
      </c>
      <c r="B784" s="76">
        <v>24.662531000000001</v>
      </c>
      <c r="C784" s="76">
        <v>24.699110000000001</v>
      </c>
      <c r="D784" s="76">
        <v>24.472313</v>
      </c>
      <c r="E784" s="76">
        <v>24.691794999999999</v>
      </c>
      <c r="F784" s="76">
        <v>13.576966000000001</v>
      </c>
      <c r="G784" s="79">
        <v>418400</v>
      </c>
    </row>
    <row r="785" spans="1:7" x14ac:dyDescent="0.25">
      <c r="A785" s="1" t="s">
        <v>908</v>
      </c>
      <c r="B785" s="76">
        <v>24.728373999999999</v>
      </c>
      <c r="C785" s="76">
        <v>24.728373999999999</v>
      </c>
      <c r="D785" s="76">
        <v>24.464995999999999</v>
      </c>
      <c r="E785" s="76">
        <v>24.501574999999999</v>
      </c>
      <c r="F785" s="76">
        <v>13.472372999999999</v>
      </c>
      <c r="G785" s="79">
        <v>185400</v>
      </c>
    </row>
    <row r="786" spans="1:7" x14ac:dyDescent="0.25">
      <c r="A786" s="1" t="s">
        <v>909</v>
      </c>
      <c r="B786" s="76">
        <v>24.582053999999999</v>
      </c>
      <c r="C786" s="76">
        <v>25.072230999999999</v>
      </c>
      <c r="D786" s="76">
        <v>24.582053999999999</v>
      </c>
      <c r="E786" s="76">
        <v>25.072230999999999</v>
      </c>
      <c r="F786" s="76">
        <v>13.786153000000001</v>
      </c>
      <c r="G786" s="79">
        <v>320600</v>
      </c>
    </row>
    <row r="787" spans="1:7" x14ac:dyDescent="0.25">
      <c r="A787" s="1" t="s">
        <v>910</v>
      </c>
      <c r="B787" s="76">
        <v>25.072230999999999</v>
      </c>
      <c r="C787" s="76">
        <v>25.313662000000001</v>
      </c>
      <c r="D787" s="76">
        <v>24.991754999999898</v>
      </c>
      <c r="E787" s="76">
        <v>25.240500999999998</v>
      </c>
      <c r="F787" s="76">
        <v>13.878674999999999</v>
      </c>
      <c r="G787" s="79">
        <v>224300</v>
      </c>
    </row>
    <row r="788" spans="1:7" x14ac:dyDescent="0.25">
      <c r="A788" s="1" t="s">
        <v>911</v>
      </c>
      <c r="B788" s="76">
        <v>25.181972999999999</v>
      </c>
      <c r="C788" s="76">
        <v>25.313662000000001</v>
      </c>
      <c r="D788" s="76">
        <v>25.108812</v>
      </c>
      <c r="E788" s="76">
        <v>25.306346999999999</v>
      </c>
      <c r="F788" s="76">
        <v>13.914883999999899</v>
      </c>
      <c r="G788" s="79">
        <v>276500</v>
      </c>
    </row>
    <row r="789" spans="1:7" x14ac:dyDescent="0.25">
      <c r="A789" s="1" t="s">
        <v>912</v>
      </c>
      <c r="B789" s="76">
        <v>25.350242999999999</v>
      </c>
      <c r="C789" s="76">
        <v>25.752625999999999</v>
      </c>
      <c r="D789" s="76">
        <v>25.196604000000001</v>
      </c>
      <c r="E789" s="76">
        <v>25.657518</v>
      </c>
      <c r="F789" s="76">
        <v>14.107982</v>
      </c>
      <c r="G789" s="79">
        <v>324800</v>
      </c>
    </row>
    <row r="790" spans="1:7" x14ac:dyDescent="0.25">
      <c r="A790" s="1" t="s">
        <v>913</v>
      </c>
      <c r="B790" s="76">
        <v>25.93553</v>
      </c>
      <c r="C790" s="76">
        <v>25.93553</v>
      </c>
      <c r="D790" s="76">
        <v>25.350242999999999</v>
      </c>
      <c r="E790" s="76">
        <v>25.364874</v>
      </c>
      <c r="F790" s="76">
        <v>13.947061999999899</v>
      </c>
      <c r="G790" s="79">
        <v>293200</v>
      </c>
    </row>
    <row r="791" spans="1:7" x14ac:dyDescent="0.25">
      <c r="A791" s="1" t="s">
        <v>914</v>
      </c>
      <c r="B791" s="76">
        <v>25.364874</v>
      </c>
      <c r="C791" s="76">
        <v>25.606306</v>
      </c>
      <c r="D791" s="76">
        <v>25.108812</v>
      </c>
      <c r="E791" s="76">
        <v>25.606306</v>
      </c>
      <c r="F791" s="76">
        <v>14.079819000000001</v>
      </c>
      <c r="G791" s="79">
        <v>330400</v>
      </c>
    </row>
    <row r="792" spans="1:7" x14ac:dyDescent="0.25">
      <c r="A792" s="1" t="s">
        <v>915</v>
      </c>
      <c r="B792" s="76">
        <v>25.496565</v>
      </c>
      <c r="C792" s="76">
        <v>25.562407999999898</v>
      </c>
      <c r="D792" s="76">
        <v>25.357558999999998</v>
      </c>
      <c r="E792" s="76">
        <v>25.357558999999998</v>
      </c>
      <c r="F792" s="76">
        <v>13.943038</v>
      </c>
      <c r="G792" s="79">
        <v>344100</v>
      </c>
    </row>
    <row r="793" spans="1:7" x14ac:dyDescent="0.25">
      <c r="A793" s="1" t="s">
        <v>916</v>
      </c>
      <c r="B793" s="76">
        <v>25.357558999999998</v>
      </c>
      <c r="C793" s="76">
        <v>25.781891000000002</v>
      </c>
      <c r="D793" s="76">
        <v>25.357558999999998</v>
      </c>
      <c r="E793" s="76">
        <v>25.606306</v>
      </c>
      <c r="F793" s="76">
        <v>14.079819000000001</v>
      </c>
      <c r="G793" s="79">
        <v>408100</v>
      </c>
    </row>
    <row r="794" spans="1:7" x14ac:dyDescent="0.25">
      <c r="A794" s="1" t="s">
        <v>917</v>
      </c>
      <c r="B794" s="76">
        <v>25.679466000000001</v>
      </c>
      <c r="C794" s="76">
        <v>25.76726</v>
      </c>
      <c r="D794" s="76">
        <v>25.533144</v>
      </c>
      <c r="E794" s="76">
        <v>25.606306</v>
      </c>
      <c r="F794" s="76">
        <v>14.079819000000001</v>
      </c>
      <c r="G794" s="79">
        <v>301600</v>
      </c>
    </row>
    <row r="795" spans="1:7" x14ac:dyDescent="0.25">
      <c r="A795" s="1" t="s">
        <v>918</v>
      </c>
      <c r="B795" s="76">
        <v>25.606306</v>
      </c>
      <c r="C795" s="76">
        <v>25.708731</v>
      </c>
      <c r="D795" s="76">
        <v>25.511195999999899</v>
      </c>
      <c r="E795" s="76">
        <v>25.569724999999998</v>
      </c>
      <c r="F795" s="76">
        <v>14.059698999999901</v>
      </c>
      <c r="G795" s="79">
        <v>493800</v>
      </c>
    </row>
    <row r="796" spans="1:7" x14ac:dyDescent="0.25">
      <c r="A796" s="1" t="s">
        <v>919</v>
      </c>
      <c r="B796" s="76">
        <v>25.606306</v>
      </c>
      <c r="C796" s="76">
        <v>25.642885</v>
      </c>
      <c r="D796" s="76">
        <v>25.181972999999999</v>
      </c>
      <c r="E796" s="76">
        <v>25.181972999999999</v>
      </c>
      <c r="F796" s="76">
        <v>13.846495000000001</v>
      </c>
      <c r="G796" s="79">
        <v>324100</v>
      </c>
    </row>
    <row r="797" spans="1:7" x14ac:dyDescent="0.25">
      <c r="A797" s="1" t="s">
        <v>920</v>
      </c>
      <c r="B797" s="76">
        <v>25.021018999999999</v>
      </c>
      <c r="C797" s="76">
        <v>25.167341</v>
      </c>
      <c r="D797" s="76">
        <v>24.808851000000001</v>
      </c>
      <c r="E797" s="76">
        <v>24.903960999999999</v>
      </c>
      <c r="F797" s="76">
        <v>13.693628</v>
      </c>
      <c r="G797" s="79">
        <v>780700</v>
      </c>
    </row>
    <row r="798" spans="1:7" x14ac:dyDescent="0.25">
      <c r="A798" s="1" t="s">
        <v>921</v>
      </c>
      <c r="B798" s="76">
        <v>24.874697000000001</v>
      </c>
      <c r="C798" s="76">
        <v>24.874697000000001</v>
      </c>
      <c r="D798" s="76">
        <v>24.735690999999999</v>
      </c>
      <c r="E798" s="76">
        <v>24.808851000000001</v>
      </c>
      <c r="F798" s="76">
        <v>13.641329000000001</v>
      </c>
      <c r="G798" s="79">
        <v>569300</v>
      </c>
    </row>
    <row r="799" spans="1:7" x14ac:dyDescent="0.25">
      <c r="A799" s="1" t="s">
        <v>922</v>
      </c>
      <c r="B799" s="76">
        <v>24.728373999999999</v>
      </c>
      <c r="C799" s="76">
        <v>24.801537</v>
      </c>
      <c r="D799" s="76">
        <v>24.640581000000001</v>
      </c>
      <c r="E799" s="76">
        <v>24.743008</v>
      </c>
      <c r="F799" s="76">
        <v>13.605127</v>
      </c>
      <c r="G799" s="79">
        <v>424500</v>
      </c>
    </row>
    <row r="800" spans="1:7" x14ac:dyDescent="0.25">
      <c r="A800" s="1" t="s">
        <v>923</v>
      </c>
      <c r="B800" s="76">
        <v>24.779586999999999</v>
      </c>
      <c r="C800" s="76">
        <v>24.794219999999999</v>
      </c>
      <c r="D800" s="76">
        <v>24.340622</v>
      </c>
      <c r="E800" s="76">
        <v>24.421098999999899</v>
      </c>
      <c r="F800" s="76">
        <v>13.428127999999999</v>
      </c>
      <c r="G800" s="79">
        <v>574300</v>
      </c>
    </row>
    <row r="801" spans="1:7" x14ac:dyDescent="0.25">
      <c r="A801" s="1" t="s">
        <v>924</v>
      </c>
      <c r="B801" s="76">
        <v>24.399151</v>
      </c>
      <c r="C801" s="76">
        <v>24.582053999999999</v>
      </c>
      <c r="D801" s="76">
        <v>24.325990999999998</v>
      </c>
      <c r="E801" s="76">
        <v>24.582053999999999</v>
      </c>
      <c r="F801" s="76">
        <v>13.516623999999901</v>
      </c>
      <c r="G801" s="79">
        <v>570800</v>
      </c>
    </row>
    <row r="802" spans="1:7" x14ac:dyDescent="0.25">
      <c r="A802" s="1" t="s">
        <v>925</v>
      </c>
      <c r="B802" s="76">
        <v>24.655214000000001</v>
      </c>
      <c r="C802" s="76">
        <v>24.655214000000001</v>
      </c>
      <c r="D802" s="76">
        <v>24.377203000000002</v>
      </c>
      <c r="E802" s="76">
        <v>24.399151</v>
      </c>
      <c r="F802" s="76">
        <v>13.416051999999899</v>
      </c>
      <c r="G802" s="79">
        <v>535000</v>
      </c>
    </row>
    <row r="803" spans="1:7" x14ac:dyDescent="0.25">
      <c r="A803" s="1" t="s">
        <v>926</v>
      </c>
      <c r="B803" s="76">
        <v>24.435732000000002</v>
      </c>
      <c r="C803" s="76">
        <v>24.494260999999899</v>
      </c>
      <c r="D803" s="76">
        <v>24.362570000000002</v>
      </c>
      <c r="E803" s="76">
        <v>24.362570000000002</v>
      </c>
      <c r="F803" s="76">
        <v>13.395935</v>
      </c>
      <c r="G803" s="79">
        <v>861200</v>
      </c>
    </row>
    <row r="804" spans="1:7" x14ac:dyDescent="0.25">
      <c r="A804" s="1" t="s">
        <v>927</v>
      </c>
      <c r="B804" s="76">
        <v>24.362570000000002</v>
      </c>
      <c r="C804" s="76">
        <v>24.472313</v>
      </c>
      <c r="D804" s="76">
        <v>24.333307000000001</v>
      </c>
      <c r="E804" s="76">
        <v>24.472313</v>
      </c>
      <c r="F804" s="76">
        <v>13.4562829999999</v>
      </c>
      <c r="G804" s="79">
        <v>262400</v>
      </c>
    </row>
    <row r="805" spans="1:7" x14ac:dyDescent="0.25">
      <c r="A805" s="1" t="s">
        <v>928</v>
      </c>
      <c r="B805" s="76">
        <v>24.582053999999999</v>
      </c>
      <c r="C805" s="76">
        <v>24.860064999999999</v>
      </c>
      <c r="D805" s="76">
        <v>24.399151</v>
      </c>
      <c r="E805" s="76">
        <v>24.860064999999999</v>
      </c>
      <c r="F805" s="76">
        <v>13.669489</v>
      </c>
      <c r="G805" s="79">
        <v>861000</v>
      </c>
    </row>
    <row r="806" spans="1:7" x14ac:dyDescent="0.25">
      <c r="A806" s="1" t="s">
        <v>929</v>
      </c>
      <c r="B806" s="76">
        <v>25.094179</v>
      </c>
      <c r="C806" s="76">
        <v>25.130759999999999</v>
      </c>
      <c r="D806" s="76">
        <v>24.860064999999999</v>
      </c>
      <c r="E806" s="76">
        <v>25.094179</v>
      </c>
      <c r="F806" s="76">
        <v>13.798214</v>
      </c>
      <c r="G806" s="79">
        <v>319900</v>
      </c>
    </row>
    <row r="807" spans="1:7" x14ac:dyDescent="0.25">
      <c r="A807" s="1" t="s">
        <v>930</v>
      </c>
      <c r="B807" s="76">
        <v>25.160025000000001</v>
      </c>
      <c r="C807" s="76">
        <v>25.694098999999898</v>
      </c>
      <c r="D807" s="76">
        <v>25.145391</v>
      </c>
      <c r="E807" s="76">
        <v>25.694098999999898</v>
      </c>
      <c r="F807" s="76">
        <v>14.128092000000001</v>
      </c>
      <c r="G807" s="79">
        <v>539100</v>
      </c>
    </row>
    <row r="808" spans="1:7" x14ac:dyDescent="0.25">
      <c r="A808" s="1" t="s">
        <v>931</v>
      </c>
      <c r="B808" s="76">
        <v>25.716047</v>
      </c>
      <c r="C808" s="76">
        <v>26.403759000000001</v>
      </c>
      <c r="D808" s="76">
        <v>25.496565</v>
      </c>
      <c r="E808" s="76">
        <v>26.279387</v>
      </c>
      <c r="F808" s="76">
        <v>14.449914999999899</v>
      </c>
      <c r="G808" s="79">
        <v>702900</v>
      </c>
    </row>
    <row r="809" spans="1:7" x14ac:dyDescent="0.25">
      <c r="A809" s="1" t="s">
        <v>932</v>
      </c>
      <c r="B809" s="76">
        <v>26.374495</v>
      </c>
      <c r="C809" s="76">
        <v>27.069522999999901</v>
      </c>
      <c r="D809" s="76">
        <v>26.294017999999902</v>
      </c>
      <c r="E809" s="76">
        <v>26.886621000000002</v>
      </c>
      <c r="F809" s="76">
        <v>14.783801</v>
      </c>
      <c r="G809" s="79">
        <v>667100</v>
      </c>
    </row>
    <row r="810" spans="1:7" x14ac:dyDescent="0.25">
      <c r="A810" s="1" t="s">
        <v>933</v>
      </c>
      <c r="B810" s="76">
        <v>27.032941999999998</v>
      </c>
      <c r="C810" s="76">
        <v>27.032941999999998</v>
      </c>
      <c r="D810" s="76">
        <v>26.140381000000001</v>
      </c>
      <c r="E810" s="76">
        <v>26.3159659999999</v>
      </c>
      <c r="F810" s="76">
        <v>14.470029</v>
      </c>
      <c r="G810" s="79">
        <v>586000</v>
      </c>
    </row>
    <row r="811" spans="1:7" x14ac:dyDescent="0.25">
      <c r="A811" s="1" t="s">
        <v>934</v>
      </c>
      <c r="B811" s="76">
        <v>26.008689999999898</v>
      </c>
      <c r="C811" s="76">
        <v>26.520816999999901</v>
      </c>
      <c r="D811" s="76">
        <v>26.008689999999898</v>
      </c>
      <c r="E811" s="76">
        <v>26.520816999999901</v>
      </c>
      <c r="F811" s="76">
        <v>14.582663999999999</v>
      </c>
      <c r="G811" s="79">
        <v>427500</v>
      </c>
    </row>
    <row r="812" spans="1:7" x14ac:dyDescent="0.25">
      <c r="A812" s="1" t="s">
        <v>935</v>
      </c>
      <c r="B812" s="76">
        <v>26.484235999999999</v>
      </c>
      <c r="C812" s="76">
        <v>26.689087000000001</v>
      </c>
      <c r="D812" s="76">
        <v>26.323281999999999</v>
      </c>
      <c r="E812" s="76">
        <v>26.689087000000001</v>
      </c>
      <c r="F812" s="76">
        <v>14.675186999999999</v>
      </c>
      <c r="G812" s="79">
        <v>615500</v>
      </c>
    </row>
    <row r="813" spans="1:7" x14ac:dyDescent="0.25">
      <c r="A813" s="1" t="s">
        <v>936</v>
      </c>
      <c r="B813" s="76">
        <v>26.689087000000001</v>
      </c>
      <c r="C813" s="76">
        <v>26.689087000000001</v>
      </c>
      <c r="D813" s="76">
        <v>26.411076000000001</v>
      </c>
      <c r="E813" s="76">
        <v>26.630558000000001</v>
      </c>
      <c r="F813" s="76">
        <v>14.6430109999999</v>
      </c>
      <c r="G813" s="79">
        <v>395000</v>
      </c>
    </row>
    <row r="814" spans="1:7" x14ac:dyDescent="0.25">
      <c r="A814" s="1" t="s">
        <v>937</v>
      </c>
      <c r="B814" s="76">
        <v>26.630558000000001</v>
      </c>
      <c r="C814" s="76">
        <v>26.667138999999999</v>
      </c>
      <c r="D814" s="76">
        <v>26.411076000000001</v>
      </c>
      <c r="E814" s="76">
        <v>26.513500000000001</v>
      </c>
      <c r="F814" s="76">
        <v>14.578643</v>
      </c>
      <c r="G814" s="79">
        <v>388000</v>
      </c>
    </row>
    <row r="815" spans="1:7" x14ac:dyDescent="0.25">
      <c r="A815" s="1" t="s">
        <v>938</v>
      </c>
      <c r="B815" s="76">
        <v>26.440339999999999</v>
      </c>
      <c r="C815" s="76">
        <v>26.593976999999999</v>
      </c>
      <c r="D815" s="76">
        <v>26.191593000000001</v>
      </c>
      <c r="E815" s="76">
        <v>26.191593000000001</v>
      </c>
      <c r="F815" s="76">
        <v>14.401643</v>
      </c>
      <c r="G815" s="79">
        <v>665000</v>
      </c>
    </row>
    <row r="816" spans="1:7" x14ac:dyDescent="0.25">
      <c r="A816" s="1" t="s">
        <v>939</v>
      </c>
      <c r="B816" s="76">
        <v>26.469603999999901</v>
      </c>
      <c r="C816" s="76">
        <v>26.740299</v>
      </c>
      <c r="D816" s="76">
        <v>26.462288000000001</v>
      </c>
      <c r="E816" s="76">
        <v>26.593976999999999</v>
      </c>
      <c r="F816" s="76">
        <v>14.622890999999999</v>
      </c>
      <c r="G816" s="79">
        <v>736800</v>
      </c>
    </row>
    <row r="817" spans="1:7" x14ac:dyDescent="0.25">
      <c r="A817" s="1" t="s">
        <v>940</v>
      </c>
      <c r="B817" s="76">
        <v>26.667138999999999</v>
      </c>
      <c r="C817" s="76">
        <v>27.186581</v>
      </c>
      <c r="D817" s="76">
        <v>26.593976999999999</v>
      </c>
      <c r="E817" s="76">
        <v>26.996362999999999</v>
      </c>
      <c r="F817" s="76">
        <v>14.844151</v>
      </c>
      <c r="G817" s="79">
        <v>725400</v>
      </c>
    </row>
    <row r="818" spans="1:7" x14ac:dyDescent="0.25">
      <c r="A818" s="1" t="s">
        <v>941</v>
      </c>
      <c r="B818" s="76">
        <v>27.040258000000001</v>
      </c>
      <c r="C818" s="76">
        <v>27.040258000000001</v>
      </c>
      <c r="D818" s="76">
        <v>26.711034999999999</v>
      </c>
      <c r="E818" s="76">
        <v>26.996362999999999</v>
      </c>
      <c r="F818" s="76">
        <v>14.844151</v>
      </c>
      <c r="G818" s="79">
        <v>395000</v>
      </c>
    </row>
    <row r="819" spans="1:7" x14ac:dyDescent="0.25">
      <c r="A819" s="1" t="s">
        <v>942</v>
      </c>
      <c r="B819" s="76">
        <v>26.996362999999999</v>
      </c>
      <c r="C819" s="76">
        <v>27.032941999999998</v>
      </c>
      <c r="D819" s="76">
        <v>26.630558000000001</v>
      </c>
      <c r="E819" s="76">
        <v>26.630558000000001</v>
      </c>
      <c r="F819" s="76">
        <v>14.6430109999999</v>
      </c>
      <c r="G819" s="79">
        <v>384000</v>
      </c>
    </row>
    <row r="820" spans="1:7" x14ac:dyDescent="0.25">
      <c r="A820" s="1" t="s">
        <v>943</v>
      </c>
      <c r="B820" s="76">
        <v>26.85004</v>
      </c>
      <c r="C820" s="76">
        <v>26.996362999999999</v>
      </c>
      <c r="D820" s="76">
        <v>26.762246999999999</v>
      </c>
      <c r="E820" s="76">
        <v>26.769563999999999</v>
      </c>
      <c r="F820" s="76">
        <v>14.719443</v>
      </c>
      <c r="G820" s="79">
        <v>449400</v>
      </c>
    </row>
    <row r="821" spans="1:7" x14ac:dyDescent="0.25">
      <c r="A821" s="1" t="s">
        <v>944</v>
      </c>
      <c r="B821" s="76">
        <v>26.85004</v>
      </c>
      <c r="C821" s="76">
        <v>26.930516999999998</v>
      </c>
      <c r="D821" s="76">
        <v>26.637875000000001</v>
      </c>
      <c r="E821" s="76">
        <v>26.674453999999901</v>
      </c>
      <c r="F821" s="76">
        <v>14.667142</v>
      </c>
      <c r="G821" s="79">
        <v>312800</v>
      </c>
    </row>
    <row r="822" spans="1:7" x14ac:dyDescent="0.25">
      <c r="A822" s="1" t="s">
        <v>945</v>
      </c>
      <c r="B822" s="76">
        <v>26.689087000000001</v>
      </c>
      <c r="C822" s="76">
        <v>26.85004</v>
      </c>
      <c r="D822" s="76">
        <v>26.550080999999999</v>
      </c>
      <c r="E822" s="76">
        <v>26.776879999999998</v>
      </c>
      <c r="F822" s="76">
        <v>14.723464999999999</v>
      </c>
      <c r="G822" s="79">
        <v>468900</v>
      </c>
    </row>
    <row r="823" spans="1:7" x14ac:dyDescent="0.25">
      <c r="A823" s="1" t="s">
        <v>946</v>
      </c>
      <c r="B823" s="76">
        <v>26.915885999999901</v>
      </c>
      <c r="C823" s="76">
        <v>26.959782000000001</v>
      </c>
      <c r="D823" s="76">
        <v>26.740299</v>
      </c>
      <c r="E823" s="76">
        <v>26.85004</v>
      </c>
      <c r="F823" s="76">
        <v>14.763688999999999</v>
      </c>
      <c r="G823" s="79">
        <v>389900</v>
      </c>
    </row>
    <row r="824" spans="1:7" x14ac:dyDescent="0.25">
      <c r="A824" s="1" t="s">
        <v>947</v>
      </c>
      <c r="B824" s="76">
        <v>26.908569</v>
      </c>
      <c r="C824" s="76">
        <v>26.923200999999999</v>
      </c>
      <c r="D824" s="76">
        <v>26.711034999999999</v>
      </c>
      <c r="E824" s="76">
        <v>26.784195</v>
      </c>
      <c r="F824" s="76">
        <v>14.727487999999999</v>
      </c>
      <c r="G824" s="79">
        <v>292700</v>
      </c>
    </row>
    <row r="825" spans="1:7" x14ac:dyDescent="0.25">
      <c r="A825" s="1" t="s">
        <v>948</v>
      </c>
      <c r="B825" s="76">
        <v>26.908569</v>
      </c>
      <c r="C825" s="76">
        <v>27.135368</v>
      </c>
      <c r="D825" s="76">
        <v>26.820775999999999</v>
      </c>
      <c r="E825" s="76">
        <v>27.135368</v>
      </c>
      <c r="F825" s="76">
        <v>14.920588</v>
      </c>
      <c r="G825" s="79">
        <v>1249200</v>
      </c>
    </row>
    <row r="826" spans="1:7" x14ac:dyDescent="0.25">
      <c r="A826" s="1" t="s">
        <v>949</v>
      </c>
      <c r="B826" s="76">
        <v>27.252426</v>
      </c>
      <c r="C826" s="76">
        <v>27.325585999999898</v>
      </c>
      <c r="D826" s="76">
        <v>27.040258000000001</v>
      </c>
      <c r="E826" s="76">
        <v>27.252426</v>
      </c>
      <c r="F826" s="76">
        <v>14.984951000000001</v>
      </c>
      <c r="G826" s="79">
        <v>618700</v>
      </c>
    </row>
    <row r="827" spans="1:7" x14ac:dyDescent="0.25">
      <c r="A827" s="1" t="s">
        <v>950</v>
      </c>
      <c r="B827" s="76">
        <v>27.252426</v>
      </c>
      <c r="C827" s="76">
        <v>27.6913909999999</v>
      </c>
      <c r="D827" s="76">
        <v>27.252426</v>
      </c>
      <c r="E827" s="76">
        <v>27.6913909999999</v>
      </c>
      <c r="F827" s="76">
        <v>15.226312</v>
      </c>
      <c r="G827" s="79">
        <v>475500</v>
      </c>
    </row>
    <row r="828" spans="1:7" x14ac:dyDescent="0.25">
      <c r="A828" s="1" t="s">
        <v>951</v>
      </c>
      <c r="B828" s="76">
        <v>27.786498999999999</v>
      </c>
      <c r="C828" s="76">
        <v>28.218149</v>
      </c>
      <c r="D828" s="76">
        <v>27.6913909999999</v>
      </c>
      <c r="E828" s="76">
        <v>28.188884999999999</v>
      </c>
      <c r="F828" s="76">
        <v>15.499873999999901</v>
      </c>
      <c r="G828" s="79">
        <v>634700</v>
      </c>
    </row>
    <row r="829" spans="1:7" x14ac:dyDescent="0.25">
      <c r="A829" s="1" t="s">
        <v>952</v>
      </c>
      <c r="B829" s="76">
        <v>28.569320999999999</v>
      </c>
      <c r="C829" s="76">
        <v>28.569320999999999</v>
      </c>
      <c r="D829" s="76">
        <v>28.276678</v>
      </c>
      <c r="E829" s="76">
        <v>28.518108000000002</v>
      </c>
      <c r="F829" s="76">
        <v>15.680892999999999</v>
      </c>
      <c r="G829" s="79">
        <v>652100</v>
      </c>
    </row>
    <row r="830" spans="1:7" x14ac:dyDescent="0.25">
      <c r="A830" s="1" t="s">
        <v>953</v>
      </c>
      <c r="B830" s="76">
        <v>28.518108000000002</v>
      </c>
      <c r="C830" s="76">
        <v>29.103394999999999</v>
      </c>
      <c r="D830" s="76">
        <v>28.466895999999998</v>
      </c>
      <c r="E830" s="76">
        <v>28.935124999999999</v>
      </c>
      <c r="F830" s="76">
        <v>15.910194000000001</v>
      </c>
      <c r="G830" s="79">
        <v>623300</v>
      </c>
    </row>
    <row r="831" spans="1:7" x14ac:dyDescent="0.25">
      <c r="A831" s="1" t="s">
        <v>954</v>
      </c>
      <c r="B831" s="76">
        <v>28.949757000000002</v>
      </c>
      <c r="C831" s="76">
        <v>29.118027000000001</v>
      </c>
      <c r="D831" s="76">
        <v>28.701009999999901</v>
      </c>
      <c r="E831" s="76">
        <v>28.913177000000001</v>
      </c>
      <c r="F831" s="76">
        <v>15.898125</v>
      </c>
      <c r="G831" s="79">
        <v>1675600</v>
      </c>
    </row>
    <row r="832" spans="1:7" x14ac:dyDescent="0.25">
      <c r="A832" s="1" t="s">
        <v>955</v>
      </c>
      <c r="B832" s="76">
        <v>28.913177000000001</v>
      </c>
      <c r="C832" s="76">
        <v>28.920494000000001</v>
      </c>
      <c r="D832" s="76">
        <v>28.276678</v>
      </c>
      <c r="E832" s="76">
        <v>28.276678</v>
      </c>
      <c r="F832" s="76">
        <v>15.548138</v>
      </c>
      <c r="G832" s="79">
        <v>825700</v>
      </c>
    </row>
    <row r="833" spans="1:7" x14ac:dyDescent="0.25">
      <c r="A833" s="1" t="s">
        <v>956</v>
      </c>
      <c r="B833" s="76">
        <v>28.379103000000001</v>
      </c>
      <c r="C833" s="76">
        <v>28.525424999999998</v>
      </c>
      <c r="D833" s="76">
        <v>27.881609000000001</v>
      </c>
      <c r="E833" s="76">
        <v>28.071826999999999</v>
      </c>
      <c r="F833" s="76">
        <v>15.435504999999999</v>
      </c>
      <c r="G833" s="79">
        <v>598000</v>
      </c>
    </row>
    <row r="834" spans="1:7" x14ac:dyDescent="0.25">
      <c r="A834" s="1" t="s">
        <v>957</v>
      </c>
      <c r="B834" s="76">
        <v>28.218149</v>
      </c>
      <c r="C834" s="76">
        <v>28.218149</v>
      </c>
      <c r="D834" s="76">
        <v>27.910872999999999</v>
      </c>
      <c r="E834" s="76">
        <v>27.984034000000001</v>
      </c>
      <c r="F834" s="76">
        <v>15.387228</v>
      </c>
      <c r="G834" s="79">
        <v>616300</v>
      </c>
    </row>
    <row r="835" spans="1:7" x14ac:dyDescent="0.25">
      <c r="A835" s="1" t="s">
        <v>958</v>
      </c>
      <c r="B835" s="76">
        <v>28.166937000000001</v>
      </c>
      <c r="C835" s="76">
        <v>28.401050999999999</v>
      </c>
      <c r="D835" s="76">
        <v>28.137671999999998</v>
      </c>
      <c r="E835" s="76">
        <v>28.166937000000001</v>
      </c>
      <c r="F835" s="76">
        <v>15.487795999999999</v>
      </c>
      <c r="G835" s="79">
        <v>501000</v>
      </c>
    </row>
    <row r="836" spans="1:7" x14ac:dyDescent="0.25">
      <c r="A836" s="1" t="s">
        <v>959</v>
      </c>
      <c r="B836" s="76">
        <v>28.203515999999901</v>
      </c>
      <c r="C836" s="76">
        <v>28.313257</v>
      </c>
      <c r="D836" s="76">
        <v>27.749919999999999</v>
      </c>
      <c r="E836" s="76">
        <v>27.801131999999999</v>
      </c>
      <c r="F836" s="76">
        <v>15.286663000000001</v>
      </c>
      <c r="G836" s="79">
        <v>1131900</v>
      </c>
    </row>
    <row r="837" spans="1:7" x14ac:dyDescent="0.25">
      <c r="A837" s="1" t="s">
        <v>960</v>
      </c>
      <c r="B837" s="76">
        <v>27.449959</v>
      </c>
      <c r="C837" s="76">
        <v>27.742602999999999</v>
      </c>
      <c r="D837" s="76">
        <v>27.310953000000001</v>
      </c>
      <c r="E837" s="76">
        <v>27.530436999999999</v>
      </c>
      <c r="F837" s="76">
        <v>15.413629999999999</v>
      </c>
      <c r="G837" s="79">
        <v>775700</v>
      </c>
    </row>
    <row r="838" spans="1:7" x14ac:dyDescent="0.25">
      <c r="A838" s="1" t="s">
        <v>961</v>
      </c>
      <c r="B838" s="76">
        <v>27.618228999999999</v>
      </c>
      <c r="C838" s="76">
        <v>28.166937000000001</v>
      </c>
      <c r="D838" s="76">
        <v>27.618228999999999</v>
      </c>
      <c r="E838" s="76">
        <v>27.947453999999901</v>
      </c>
      <c r="F838" s="76">
        <v>15.647112</v>
      </c>
      <c r="G838" s="79">
        <v>568500</v>
      </c>
    </row>
    <row r="839" spans="1:7" x14ac:dyDescent="0.25">
      <c r="A839" s="1" t="s">
        <v>962</v>
      </c>
      <c r="B839" s="76">
        <v>28.152303999999901</v>
      </c>
      <c r="C839" s="76">
        <v>28.349837999999998</v>
      </c>
      <c r="D839" s="76">
        <v>28.020614999999999</v>
      </c>
      <c r="E839" s="76">
        <v>28.32789</v>
      </c>
      <c r="F839" s="76">
        <v>15.860116</v>
      </c>
      <c r="G839" s="79">
        <v>263600</v>
      </c>
    </row>
    <row r="840" spans="1:7" x14ac:dyDescent="0.25">
      <c r="A840" s="1" t="s">
        <v>963</v>
      </c>
      <c r="B840" s="76">
        <v>28.335207</v>
      </c>
      <c r="C840" s="76">
        <v>28.583953999999999</v>
      </c>
      <c r="D840" s="76">
        <v>28.313257</v>
      </c>
      <c r="E840" s="76">
        <v>28.53274</v>
      </c>
      <c r="F840" s="76">
        <v>15.974800999999999</v>
      </c>
      <c r="G840" s="79">
        <v>1034600</v>
      </c>
    </row>
    <row r="841" spans="1:7" x14ac:dyDescent="0.25">
      <c r="A841" s="1" t="s">
        <v>964</v>
      </c>
      <c r="B841" s="76">
        <v>28.53274</v>
      </c>
      <c r="C841" s="76">
        <v>28.766855</v>
      </c>
      <c r="D841" s="76">
        <v>28.364471000000002</v>
      </c>
      <c r="E841" s="76">
        <v>28.722959999999901</v>
      </c>
      <c r="F841" s="76">
        <v>16.081301</v>
      </c>
      <c r="G841" s="79">
        <v>559500</v>
      </c>
    </row>
    <row r="842" spans="1:7" x14ac:dyDescent="0.25">
      <c r="A842" s="1" t="s">
        <v>965</v>
      </c>
      <c r="B842" s="76">
        <v>28.854648999999998</v>
      </c>
      <c r="C842" s="76">
        <v>29.081447999999899</v>
      </c>
      <c r="D842" s="76">
        <v>28.788803000000001</v>
      </c>
      <c r="E842" s="76">
        <v>29.066814000000001</v>
      </c>
      <c r="F842" s="76">
        <v>16.273807999999999</v>
      </c>
      <c r="G842" s="79">
        <v>835100</v>
      </c>
    </row>
    <row r="843" spans="1:7" x14ac:dyDescent="0.25">
      <c r="A843" s="1" t="s">
        <v>966</v>
      </c>
      <c r="B843" s="76">
        <v>29.096079</v>
      </c>
      <c r="C843" s="76">
        <v>29.505778999999901</v>
      </c>
      <c r="D843" s="76">
        <v>28.905860999999899</v>
      </c>
      <c r="E843" s="76">
        <v>29.044867</v>
      </c>
      <c r="F843" s="76">
        <v>16.26153</v>
      </c>
      <c r="G843" s="79">
        <v>570600</v>
      </c>
    </row>
    <row r="844" spans="1:7" x14ac:dyDescent="0.25">
      <c r="A844" s="1" t="s">
        <v>967</v>
      </c>
      <c r="B844" s="76">
        <v>29.044867</v>
      </c>
      <c r="C844" s="76">
        <v>29.483830999999999</v>
      </c>
      <c r="D844" s="76">
        <v>28.986338</v>
      </c>
      <c r="E844" s="76">
        <v>29.257031999999999</v>
      </c>
      <c r="F844" s="76">
        <v>16.380303999999999</v>
      </c>
      <c r="G844" s="79">
        <v>493900</v>
      </c>
    </row>
    <row r="845" spans="1:7" x14ac:dyDescent="0.25">
      <c r="A845" s="1" t="s">
        <v>968</v>
      </c>
      <c r="B845" s="76">
        <v>29.264348999999999</v>
      </c>
      <c r="C845" s="76">
        <v>29.513096000000001</v>
      </c>
      <c r="D845" s="76">
        <v>29.191189000000001</v>
      </c>
      <c r="E845" s="76">
        <v>29.264348999999999</v>
      </c>
      <c r="F845" s="76">
        <v>16.384411</v>
      </c>
      <c r="G845" s="79">
        <v>1091500</v>
      </c>
    </row>
    <row r="846" spans="1:7" x14ac:dyDescent="0.25">
      <c r="A846" s="1" t="s">
        <v>969</v>
      </c>
      <c r="B846" s="76">
        <v>29.593572999999999</v>
      </c>
      <c r="C846" s="76">
        <v>29.630153999999902</v>
      </c>
      <c r="D846" s="76">
        <v>29.183871999999901</v>
      </c>
      <c r="E846" s="76">
        <v>29.264348999999999</v>
      </c>
      <c r="F846" s="76">
        <v>16.384411</v>
      </c>
      <c r="G846" s="79">
        <v>776100</v>
      </c>
    </row>
    <row r="847" spans="1:7" x14ac:dyDescent="0.25">
      <c r="A847" s="1" t="s">
        <v>970</v>
      </c>
      <c r="B847" s="76">
        <v>29.410671000000001</v>
      </c>
      <c r="C847" s="76">
        <v>29.988641999999999</v>
      </c>
      <c r="D847" s="76">
        <v>29.403354999999902</v>
      </c>
      <c r="E847" s="76">
        <v>29.9740099999999</v>
      </c>
      <c r="F847" s="76">
        <v>16.781732999999999</v>
      </c>
      <c r="G847" s="79">
        <v>504800</v>
      </c>
    </row>
    <row r="848" spans="1:7" x14ac:dyDescent="0.25">
      <c r="A848" s="1" t="s">
        <v>971</v>
      </c>
      <c r="B848" s="76">
        <v>29.9740099999999</v>
      </c>
      <c r="C848" s="76">
        <v>30.156911999999998</v>
      </c>
      <c r="D848" s="76">
        <v>29.747211</v>
      </c>
      <c r="E848" s="76">
        <v>29.995958000000002</v>
      </c>
      <c r="F848" s="76">
        <v>16.794024</v>
      </c>
      <c r="G848" s="79">
        <v>1015700</v>
      </c>
    </row>
    <row r="849" spans="1:7" x14ac:dyDescent="0.25">
      <c r="A849" s="1" t="s">
        <v>972</v>
      </c>
      <c r="B849" s="76">
        <v>30.032536999999898</v>
      </c>
      <c r="C849" s="76">
        <v>30.142281000000001</v>
      </c>
      <c r="D849" s="76">
        <v>29.886216999999998</v>
      </c>
      <c r="E849" s="76">
        <v>29.995958000000002</v>
      </c>
      <c r="F849" s="76">
        <v>16.794024</v>
      </c>
      <c r="G849" s="79">
        <v>606900</v>
      </c>
    </row>
    <row r="850" spans="1:7" x14ac:dyDescent="0.25">
      <c r="A850" s="1" t="s">
        <v>973</v>
      </c>
      <c r="B850" s="76">
        <v>30.069118</v>
      </c>
      <c r="C850" s="76">
        <v>30.273969999999998</v>
      </c>
      <c r="D850" s="76">
        <v>29.9740099999999</v>
      </c>
      <c r="E850" s="76">
        <v>30.083752</v>
      </c>
      <c r="F850" s="76">
        <v>16.843173999999902</v>
      </c>
      <c r="G850" s="79">
        <v>586100</v>
      </c>
    </row>
    <row r="851" spans="1:7" x14ac:dyDescent="0.25">
      <c r="A851" s="1" t="s">
        <v>974</v>
      </c>
      <c r="B851" s="76">
        <v>30.083752</v>
      </c>
      <c r="C851" s="76">
        <v>30.215440999999998</v>
      </c>
      <c r="D851" s="76">
        <v>29.988641999999999</v>
      </c>
      <c r="E851" s="76">
        <v>30.208123999999899</v>
      </c>
      <c r="F851" s="76">
        <v>16.912800000000001</v>
      </c>
      <c r="G851" s="79">
        <v>369200</v>
      </c>
    </row>
    <row r="852" spans="1:7" x14ac:dyDescent="0.25">
      <c r="A852" s="1" t="s">
        <v>975</v>
      </c>
      <c r="B852" s="76">
        <v>30.325182000000002</v>
      </c>
      <c r="C852" s="76">
        <v>30.947050000000001</v>
      </c>
      <c r="D852" s="76">
        <v>30.259335999999902</v>
      </c>
      <c r="E852" s="76">
        <v>30.881204999999898</v>
      </c>
      <c r="F852" s="76">
        <v>17.289650000000002</v>
      </c>
      <c r="G852" s="79">
        <v>600900</v>
      </c>
    </row>
    <row r="853" spans="1:7" x14ac:dyDescent="0.25">
      <c r="A853" s="1" t="s">
        <v>976</v>
      </c>
      <c r="B853" s="76">
        <v>30.800727999999999</v>
      </c>
      <c r="C853" s="76">
        <v>31.239692999999999</v>
      </c>
      <c r="D853" s="76">
        <v>30.7275659999999</v>
      </c>
      <c r="E853" s="76">
        <v>31.225061</v>
      </c>
      <c r="F853" s="76">
        <v>17.482165999999999</v>
      </c>
      <c r="G853" s="79">
        <v>365400</v>
      </c>
    </row>
    <row r="854" spans="1:7" x14ac:dyDescent="0.25">
      <c r="A854" s="1" t="s">
        <v>977</v>
      </c>
      <c r="B854" s="76">
        <v>31.225061</v>
      </c>
      <c r="C854" s="76">
        <v>31.225061</v>
      </c>
      <c r="D854" s="76">
        <v>30.844624</v>
      </c>
      <c r="E854" s="76">
        <v>31.203112000000001</v>
      </c>
      <c r="F854" s="76">
        <v>17.469877</v>
      </c>
      <c r="G854" s="79">
        <v>541800</v>
      </c>
    </row>
    <row r="855" spans="1:7" x14ac:dyDescent="0.25">
      <c r="A855" s="1" t="s">
        <v>978</v>
      </c>
      <c r="B855" s="76">
        <v>31.203112000000001</v>
      </c>
      <c r="C855" s="76">
        <v>31.217745000000001</v>
      </c>
      <c r="D855" s="76">
        <v>30.449553999999999</v>
      </c>
      <c r="E855" s="76">
        <v>30.617825</v>
      </c>
      <c r="F855" s="76">
        <v>17.142185000000001</v>
      </c>
      <c r="G855" s="79">
        <v>543500</v>
      </c>
    </row>
    <row r="856" spans="1:7" x14ac:dyDescent="0.25">
      <c r="A856" s="1" t="s">
        <v>979</v>
      </c>
      <c r="B856" s="76">
        <v>30.603193000000001</v>
      </c>
      <c r="C856" s="76">
        <v>30.654405999999899</v>
      </c>
      <c r="D856" s="76">
        <v>29.593572999999999</v>
      </c>
      <c r="E856" s="76">
        <v>29.922796000000002</v>
      </c>
      <c r="F856" s="76">
        <v>16.753060999999999</v>
      </c>
      <c r="G856" s="79">
        <v>776300</v>
      </c>
    </row>
    <row r="857" spans="1:7" x14ac:dyDescent="0.25">
      <c r="A857" s="1" t="s">
        <v>980</v>
      </c>
      <c r="B857" s="76">
        <v>30.288601</v>
      </c>
      <c r="C857" s="76">
        <v>30.895835999999999</v>
      </c>
      <c r="D857" s="76">
        <v>30.288601</v>
      </c>
      <c r="E857" s="76">
        <v>30.873888000000001</v>
      </c>
      <c r="F857" s="76">
        <v>17.285551000000002</v>
      </c>
      <c r="G857" s="79">
        <v>1448500</v>
      </c>
    </row>
    <row r="858" spans="1:7" x14ac:dyDescent="0.25">
      <c r="A858" s="1" t="s">
        <v>981</v>
      </c>
      <c r="B858" s="76">
        <v>30.895835999999999</v>
      </c>
      <c r="C858" s="76">
        <v>31.122634999999999</v>
      </c>
      <c r="D858" s="76">
        <v>30.837309000000001</v>
      </c>
      <c r="E858" s="76">
        <v>30.859256999999999</v>
      </c>
      <c r="F858" s="76">
        <v>17.277355</v>
      </c>
      <c r="G858" s="79">
        <v>783600</v>
      </c>
    </row>
    <row r="859" spans="1:7" x14ac:dyDescent="0.25">
      <c r="A859" s="1" t="s">
        <v>982</v>
      </c>
      <c r="B859" s="76">
        <v>30.837309000000001</v>
      </c>
      <c r="C859" s="76">
        <v>31.071422999999999</v>
      </c>
      <c r="D859" s="76">
        <v>30.522717</v>
      </c>
      <c r="E859" s="76">
        <v>31.071422999999999</v>
      </c>
      <c r="F859" s="76">
        <v>17.396145000000001</v>
      </c>
      <c r="G859" s="79">
        <v>379300</v>
      </c>
    </row>
    <row r="860" spans="1:7" x14ac:dyDescent="0.25">
      <c r="A860" s="1" t="s">
        <v>983</v>
      </c>
      <c r="B860" s="76">
        <v>31.071422999999999</v>
      </c>
      <c r="C860" s="76">
        <v>31.364066999999999</v>
      </c>
      <c r="D860" s="76">
        <v>30.983628999999901</v>
      </c>
      <c r="E860" s="76">
        <v>31.166533000000001</v>
      </c>
      <c r="F860" s="76">
        <v>17.449400000000001</v>
      </c>
      <c r="G860" s="79">
        <v>293200</v>
      </c>
    </row>
    <row r="861" spans="1:7" x14ac:dyDescent="0.25">
      <c r="A861" s="1" t="s">
        <v>984</v>
      </c>
      <c r="B861" s="76">
        <v>31.349433999999999</v>
      </c>
      <c r="C861" s="76">
        <v>31.349433999999999</v>
      </c>
      <c r="D861" s="76">
        <v>31.086055999999999</v>
      </c>
      <c r="E861" s="76">
        <v>31.239692999999999</v>
      </c>
      <c r="F861" s="76">
        <v>17.490357999999901</v>
      </c>
      <c r="G861" s="79">
        <v>415600</v>
      </c>
    </row>
    <row r="862" spans="1:7" x14ac:dyDescent="0.25">
      <c r="A862" s="1" t="s">
        <v>985</v>
      </c>
      <c r="B862" s="76">
        <v>31.459174999999998</v>
      </c>
      <c r="C862" s="76">
        <v>32.066409999999998</v>
      </c>
      <c r="D862" s="76">
        <v>31.459174999999998</v>
      </c>
      <c r="E862" s="76">
        <v>31.956669000000002</v>
      </c>
      <c r="F862" s="76">
        <v>17.891773000000001</v>
      </c>
      <c r="G862" s="79">
        <v>515700</v>
      </c>
    </row>
    <row r="863" spans="1:7" x14ac:dyDescent="0.25">
      <c r="A863" s="1" t="s">
        <v>986</v>
      </c>
      <c r="B863" s="76">
        <v>31.971302000000001</v>
      </c>
      <c r="C863" s="76">
        <v>32.117621999999997</v>
      </c>
      <c r="D863" s="76">
        <v>31.642078000000001</v>
      </c>
      <c r="E863" s="76">
        <v>31.664026</v>
      </c>
      <c r="F863" s="76">
        <v>17.727934000000001</v>
      </c>
      <c r="G863" s="79">
        <v>507200</v>
      </c>
    </row>
    <row r="864" spans="1:7" x14ac:dyDescent="0.25">
      <c r="A864" s="1" t="s">
        <v>987</v>
      </c>
      <c r="B864" s="76">
        <v>31.82498</v>
      </c>
      <c r="C864" s="76">
        <v>32.373688000000001</v>
      </c>
      <c r="D864" s="76">
        <v>31.649393</v>
      </c>
      <c r="E864" s="76">
        <v>32.293208999999997</v>
      </c>
      <c r="F864" s="76">
        <v>18.080192999999898</v>
      </c>
      <c r="G864" s="79">
        <v>764800</v>
      </c>
    </row>
    <row r="865" spans="1:7" x14ac:dyDescent="0.25">
      <c r="A865" s="1" t="s">
        <v>988</v>
      </c>
      <c r="B865" s="76">
        <v>32.454163000000001</v>
      </c>
      <c r="C865" s="76">
        <v>32.944339999999997</v>
      </c>
      <c r="D865" s="76">
        <v>32.095675999999997</v>
      </c>
      <c r="E865" s="76">
        <v>32.944339999999997</v>
      </c>
      <c r="F865" s="76">
        <v>18.444751999999902</v>
      </c>
      <c r="G865" s="79">
        <v>549000</v>
      </c>
    </row>
    <row r="866" spans="1:7" x14ac:dyDescent="0.25">
      <c r="A866" s="1" t="s">
        <v>989</v>
      </c>
      <c r="B866" s="76">
        <v>33.032134999999997</v>
      </c>
      <c r="C866" s="76">
        <v>33.032134999999997</v>
      </c>
      <c r="D866" s="76">
        <v>32.029831000000001</v>
      </c>
      <c r="E866" s="76">
        <v>32.154204999999997</v>
      </c>
      <c r="F866" s="76">
        <v>18.002375000000001</v>
      </c>
      <c r="G866" s="79">
        <v>545400</v>
      </c>
    </row>
    <row r="867" spans="1:7" x14ac:dyDescent="0.25">
      <c r="A867" s="1" t="s">
        <v>990</v>
      </c>
      <c r="B867" s="76">
        <v>32.183467999999998</v>
      </c>
      <c r="C867" s="76">
        <v>32.183467999999998</v>
      </c>
      <c r="D867" s="76">
        <v>31.868876</v>
      </c>
      <c r="E867" s="76">
        <v>31.920089999999998</v>
      </c>
      <c r="F867" s="76">
        <v>17.871297999999999</v>
      </c>
      <c r="G867" s="79">
        <v>693700</v>
      </c>
    </row>
    <row r="868" spans="1:7" x14ac:dyDescent="0.25">
      <c r="A868" s="1" t="s">
        <v>991</v>
      </c>
      <c r="B868" s="76">
        <v>32.081043000000001</v>
      </c>
      <c r="C868" s="76">
        <v>32.227364000000001</v>
      </c>
      <c r="D868" s="76">
        <v>32.007880999999998</v>
      </c>
      <c r="E868" s="76">
        <v>32.212733999999998</v>
      </c>
      <c r="F868" s="76">
        <v>18.035136999999999</v>
      </c>
      <c r="G868" s="79">
        <v>525000</v>
      </c>
    </row>
    <row r="869" spans="1:7" x14ac:dyDescent="0.25">
      <c r="A869" s="1" t="s">
        <v>992</v>
      </c>
      <c r="B869" s="76">
        <v>32.373688000000001</v>
      </c>
      <c r="C869" s="76">
        <v>32.476112000000001</v>
      </c>
      <c r="D869" s="76">
        <v>31.715239</v>
      </c>
      <c r="E869" s="76">
        <v>31.715239</v>
      </c>
      <c r="F869" s="76">
        <v>17.756601</v>
      </c>
      <c r="G869" s="79">
        <v>737400</v>
      </c>
    </row>
    <row r="870" spans="1:7" x14ac:dyDescent="0.25">
      <c r="A870" s="1" t="s">
        <v>993</v>
      </c>
      <c r="B870" s="76">
        <v>31.722555</v>
      </c>
      <c r="C870" s="76">
        <v>31.82498</v>
      </c>
      <c r="D870" s="76">
        <v>31.312853</v>
      </c>
      <c r="E870" s="76">
        <v>31.422594</v>
      </c>
      <c r="F870" s="76">
        <v>17.592756000000001</v>
      </c>
      <c r="G870" s="79">
        <v>660400</v>
      </c>
    </row>
    <row r="871" spans="1:7" x14ac:dyDescent="0.25">
      <c r="A871" s="1" t="s">
        <v>994</v>
      </c>
      <c r="B871" s="76">
        <v>31.532336999999998</v>
      </c>
      <c r="C871" s="76">
        <v>31.642078000000001</v>
      </c>
      <c r="D871" s="76">
        <v>31.386015</v>
      </c>
      <c r="E871" s="76">
        <v>31.532336999999998</v>
      </c>
      <c r="F871" s="76">
        <v>17.654204999999902</v>
      </c>
      <c r="G871" s="79">
        <v>488500</v>
      </c>
    </row>
    <row r="872" spans="1:7" x14ac:dyDescent="0.25">
      <c r="A872" s="1" t="s">
        <v>995</v>
      </c>
      <c r="B872" s="76">
        <v>31.532336999999998</v>
      </c>
      <c r="C872" s="76">
        <v>31.82498</v>
      </c>
      <c r="D872" s="76">
        <v>31.451858999999999</v>
      </c>
      <c r="E872" s="76">
        <v>31.459174999999998</v>
      </c>
      <c r="F872" s="76">
        <v>17.613236999999899</v>
      </c>
      <c r="G872" s="79">
        <v>373900</v>
      </c>
    </row>
    <row r="873" spans="1:7" x14ac:dyDescent="0.25">
      <c r="A873" s="1" t="s">
        <v>996</v>
      </c>
      <c r="B873" s="76">
        <v>31.568915999999899</v>
      </c>
      <c r="C873" s="76">
        <v>31.583548999999898</v>
      </c>
      <c r="D873" s="76">
        <v>31.312853</v>
      </c>
      <c r="E873" s="76">
        <v>31.422594</v>
      </c>
      <c r="F873" s="76">
        <v>17.592756000000001</v>
      </c>
      <c r="G873" s="79">
        <v>332900</v>
      </c>
    </row>
    <row r="874" spans="1:7" x14ac:dyDescent="0.25">
      <c r="A874" s="1" t="s">
        <v>997</v>
      </c>
      <c r="B874" s="76">
        <v>31.459174999999998</v>
      </c>
      <c r="C874" s="76">
        <v>31.612814</v>
      </c>
      <c r="D874" s="76">
        <v>30.932416999999901</v>
      </c>
      <c r="E874" s="76">
        <v>31.481122999999901</v>
      </c>
      <c r="F874" s="76">
        <v>17.625527999999999</v>
      </c>
      <c r="G874" s="79">
        <v>484200</v>
      </c>
    </row>
    <row r="875" spans="1:7" x14ac:dyDescent="0.25">
      <c r="A875" s="1" t="s">
        <v>998</v>
      </c>
      <c r="B875" s="76">
        <v>31.481122999999901</v>
      </c>
      <c r="C875" s="76">
        <v>31.744503000000002</v>
      </c>
      <c r="D875" s="76">
        <v>31.415278999999899</v>
      </c>
      <c r="E875" s="76">
        <v>31.583548999999898</v>
      </c>
      <c r="F875" s="76">
        <v>17.682874999999999</v>
      </c>
      <c r="G875" s="79">
        <v>418200</v>
      </c>
    </row>
    <row r="876" spans="1:7" x14ac:dyDescent="0.25">
      <c r="A876" s="1" t="s">
        <v>999</v>
      </c>
      <c r="B876" s="76">
        <v>31.678657999999999</v>
      </c>
      <c r="C876" s="76">
        <v>32.044463999999998</v>
      </c>
      <c r="D876" s="76">
        <v>31.517703999999998</v>
      </c>
      <c r="E876" s="76">
        <v>31.788398999999998</v>
      </c>
      <c r="F876" s="76">
        <v>17.797561999999999</v>
      </c>
      <c r="G876" s="79">
        <v>605500</v>
      </c>
    </row>
    <row r="877" spans="1:7" x14ac:dyDescent="0.25">
      <c r="A877" s="1" t="s">
        <v>1000</v>
      </c>
      <c r="B877" s="76">
        <v>31.788398999999998</v>
      </c>
      <c r="C877" s="76">
        <v>32.293208999999997</v>
      </c>
      <c r="D877" s="76">
        <v>31.715239</v>
      </c>
      <c r="E877" s="76">
        <v>32.110306000000001</v>
      </c>
      <c r="F877" s="76">
        <v>17.977792999999998</v>
      </c>
      <c r="G877" s="79">
        <v>585500</v>
      </c>
    </row>
    <row r="878" spans="1:7" x14ac:dyDescent="0.25">
      <c r="A878" s="1" t="s">
        <v>1001</v>
      </c>
      <c r="B878" s="76">
        <v>32.154204999999997</v>
      </c>
      <c r="C878" s="76">
        <v>32.190784000000001</v>
      </c>
      <c r="D878" s="76">
        <v>31.729869999999998</v>
      </c>
      <c r="E878" s="76">
        <v>31.898140000000001</v>
      </c>
      <c r="F878" s="76">
        <v>17.859010999999999</v>
      </c>
      <c r="G878" s="79">
        <v>795400</v>
      </c>
    </row>
    <row r="879" spans="1:7" x14ac:dyDescent="0.25">
      <c r="A879" s="1" t="s">
        <v>1002</v>
      </c>
      <c r="B879" s="76">
        <v>31.898140000000001</v>
      </c>
      <c r="C879" s="76">
        <v>32.007880999999998</v>
      </c>
      <c r="D879" s="76">
        <v>31.810348999999999</v>
      </c>
      <c r="E879" s="76">
        <v>31.934721</v>
      </c>
      <c r="F879" s="76">
        <v>17.879487999999998</v>
      </c>
      <c r="G879" s="79">
        <v>1180000</v>
      </c>
    </row>
    <row r="880" spans="1:7" x14ac:dyDescent="0.25">
      <c r="A880" s="1" t="s">
        <v>1003</v>
      </c>
      <c r="B880" s="76">
        <v>32.007880999999998</v>
      </c>
      <c r="C880" s="76">
        <v>32.476112000000001</v>
      </c>
      <c r="D880" s="76">
        <v>31.82498</v>
      </c>
      <c r="E880" s="76">
        <v>32.388317000000001</v>
      </c>
      <c r="F880" s="76">
        <v>18.133441999999999</v>
      </c>
      <c r="G880" s="79">
        <v>654400</v>
      </c>
    </row>
    <row r="881" spans="1:7" x14ac:dyDescent="0.25">
      <c r="A881" s="1" t="s">
        <v>1004</v>
      </c>
      <c r="B881" s="76">
        <v>32.102992999999998</v>
      </c>
      <c r="C881" s="76">
        <v>32.622433000000001</v>
      </c>
      <c r="D881" s="76">
        <v>32.081043000000001</v>
      </c>
      <c r="E881" s="76">
        <v>32.549270999999997</v>
      </c>
      <c r="F881" s="76">
        <v>18.223562000000001</v>
      </c>
      <c r="G881" s="79">
        <v>245400</v>
      </c>
    </row>
    <row r="882" spans="1:7" x14ac:dyDescent="0.25">
      <c r="A882" s="1" t="s">
        <v>1005</v>
      </c>
      <c r="B882" s="76">
        <v>32.549270999999997</v>
      </c>
      <c r="C882" s="76">
        <v>32.922393999999997</v>
      </c>
      <c r="D882" s="76">
        <v>32.520007999999997</v>
      </c>
      <c r="E882" s="76">
        <v>32.885810999999997</v>
      </c>
      <c r="F882" s="76">
        <v>18.411978000000001</v>
      </c>
      <c r="G882" s="79">
        <v>419100</v>
      </c>
    </row>
    <row r="883" spans="1:7" x14ac:dyDescent="0.25">
      <c r="A883" s="1" t="s">
        <v>1006</v>
      </c>
      <c r="B883" s="76">
        <v>32.922393999999997</v>
      </c>
      <c r="C883" s="76">
        <v>32.988239</v>
      </c>
      <c r="D883" s="76">
        <v>32.776069999999997</v>
      </c>
      <c r="E883" s="76">
        <v>32.885810999999997</v>
      </c>
      <c r="F883" s="76">
        <v>18.411978000000001</v>
      </c>
      <c r="G883" s="79">
        <v>424500</v>
      </c>
    </row>
    <row r="884" spans="1:7" x14ac:dyDescent="0.25">
      <c r="A884" s="1" t="s">
        <v>1007</v>
      </c>
      <c r="B884" s="76">
        <v>32.893127</v>
      </c>
      <c r="C884" s="76">
        <v>32.907761000000001</v>
      </c>
      <c r="D884" s="76">
        <v>32.454163000000001</v>
      </c>
      <c r="E884" s="76">
        <v>32.571219999999997</v>
      </c>
      <c r="F884" s="76">
        <v>18.235842000000002</v>
      </c>
      <c r="G884" s="79">
        <v>480800</v>
      </c>
    </row>
    <row r="885" spans="1:7" x14ac:dyDescent="0.25">
      <c r="A885" s="1" t="s">
        <v>1008</v>
      </c>
      <c r="B885" s="76">
        <v>32.556587</v>
      </c>
      <c r="C885" s="76">
        <v>32.556587</v>
      </c>
      <c r="D885" s="76">
        <v>32.110306000000001</v>
      </c>
      <c r="E885" s="76">
        <v>32.168834999999902</v>
      </c>
      <c r="F885" s="76">
        <v>18.010560999999999</v>
      </c>
      <c r="G885" s="79">
        <v>359100</v>
      </c>
    </row>
    <row r="886" spans="1:7" x14ac:dyDescent="0.25">
      <c r="A886" s="1" t="s">
        <v>1009</v>
      </c>
      <c r="B886" s="76">
        <v>32.263946999999902</v>
      </c>
      <c r="C886" s="76">
        <v>32.454163000000001</v>
      </c>
      <c r="D886" s="76">
        <v>32.263946999999902</v>
      </c>
      <c r="E886" s="76">
        <v>32.446846000000001</v>
      </c>
      <c r="F886" s="76">
        <v>18.166214</v>
      </c>
      <c r="G886" s="79">
        <v>318300</v>
      </c>
    </row>
    <row r="887" spans="1:7" x14ac:dyDescent="0.25">
      <c r="A887" s="1" t="s">
        <v>1010</v>
      </c>
      <c r="B887" s="76">
        <v>32.446846000000001</v>
      </c>
      <c r="C887" s="76">
        <v>32.768757000000001</v>
      </c>
      <c r="D887" s="76">
        <v>32.395634000000001</v>
      </c>
      <c r="E887" s="76">
        <v>32.717540999999997</v>
      </c>
      <c r="F887" s="76">
        <v>18.317768000000001</v>
      </c>
      <c r="G887" s="79">
        <v>395200</v>
      </c>
    </row>
    <row r="888" spans="1:7" x14ac:dyDescent="0.25">
      <c r="A888" s="1" t="s">
        <v>1011</v>
      </c>
      <c r="B888" s="76">
        <v>32.776069999999997</v>
      </c>
      <c r="C888" s="76">
        <v>32.805335999999997</v>
      </c>
      <c r="D888" s="76">
        <v>32.666328</v>
      </c>
      <c r="E888" s="76">
        <v>32.776069999999997</v>
      </c>
      <c r="F888" s="76">
        <v>18.350535999999899</v>
      </c>
      <c r="G888" s="79">
        <v>324500</v>
      </c>
    </row>
    <row r="889" spans="1:7" x14ac:dyDescent="0.25">
      <c r="A889" s="1" t="s">
        <v>1012</v>
      </c>
      <c r="B889" s="76">
        <v>32.885810999999997</v>
      </c>
      <c r="C889" s="76">
        <v>32.885810999999997</v>
      </c>
      <c r="D889" s="76">
        <v>32.556587</v>
      </c>
      <c r="E889" s="76">
        <v>32.732174000000001</v>
      </c>
      <c r="F889" s="76">
        <v>18.325956000000001</v>
      </c>
      <c r="G889" s="79">
        <v>466200</v>
      </c>
    </row>
    <row r="890" spans="1:7" x14ac:dyDescent="0.25">
      <c r="A890" s="1" t="s">
        <v>1013</v>
      </c>
      <c r="B890" s="76">
        <v>32.739490999999902</v>
      </c>
      <c r="C890" s="76">
        <v>32.739490999999902</v>
      </c>
      <c r="D890" s="76">
        <v>32.285891999999997</v>
      </c>
      <c r="E890" s="76">
        <v>32.520007999999997</v>
      </c>
      <c r="F890" s="76">
        <v>18.207179999999902</v>
      </c>
      <c r="G890" s="79">
        <v>520700</v>
      </c>
    </row>
    <row r="891" spans="1:7" x14ac:dyDescent="0.25">
      <c r="A891" s="1" t="s">
        <v>1014</v>
      </c>
      <c r="B891" s="76">
        <v>32.483429000000001</v>
      </c>
      <c r="C891" s="76">
        <v>32.900444</v>
      </c>
      <c r="D891" s="76">
        <v>32.483429000000001</v>
      </c>
      <c r="E891" s="76">
        <v>32.849232000000001</v>
      </c>
      <c r="F891" s="76">
        <v>18.391500000000001</v>
      </c>
      <c r="G891" s="79">
        <v>387600</v>
      </c>
    </row>
    <row r="892" spans="1:7" x14ac:dyDescent="0.25">
      <c r="A892" s="1" t="s">
        <v>1015</v>
      </c>
      <c r="B892" s="76">
        <v>32.885810999999997</v>
      </c>
      <c r="C892" s="76">
        <v>32.922393999999997</v>
      </c>
      <c r="D892" s="76">
        <v>32.351737999999997</v>
      </c>
      <c r="E892" s="76">
        <v>32.490746000000001</v>
      </c>
      <c r="F892" s="76">
        <v>18.190795999999999</v>
      </c>
      <c r="G892" s="79">
        <v>313200</v>
      </c>
    </row>
    <row r="893" spans="1:7" x14ac:dyDescent="0.25">
      <c r="A893" s="1" t="s">
        <v>1016</v>
      </c>
      <c r="B893" s="76">
        <v>32.629748999999997</v>
      </c>
      <c r="C893" s="76">
        <v>32.885810999999997</v>
      </c>
      <c r="D893" s="76">
        <v>32.629748999999997</v>
      </c>
      <c r="E893" s="76">
        <v>32.849232000000001</v>
      </c>
      <c r="F893" s="76">
        <v>18.391500000000001</v>
      </c>
      <c r="G893" s="79">
        <v>306400</v>
      </c>
    </row>
    <row r="894" spans="1:7" x14ac:dyDescent="0.25">
      <c r="A894" s="1" t="s">
        <v>1017</v>
      </c>
      <c r="B894" s="76">
        <v>32.907761000000001</v>
      </c>
      <c r="C894" s="76">
        <v>32.907761000000001</v>
      </c>
      <c r="D894" s="76">
        <v>32.702911</v>
      </c>
      <c r="E894" s="76">
        <v>32.841915</v>
      </c>
      <c r="F894" s="76">
        <v>18.387404999999902</v>
      </c>
      <c r="G894" s="79">
        <v>210400</v>
      </c>
    </row>
    <row r="895" spans="1:7" x14ac:dyDescent="0.25">
      <c r="A895" s="1" t="s">
        <v>1018</v>
      </c>
      <c r="B895" s="76">
        <v>32.885810999999997</v>
      </c>
      <c r="C895" s="76">
        <v>33.017502</v>
      </c>
      <c r="D895" s="76">
        <v>32.834598999999997</v>
      </c>
      <c r="E895" s="76">
        <v>32.849232000000001</v>
      </c>
      <c r="F895" s="76">
        <v>18.391500000000001</v>
      </c>
      <c r="G895" s="79">
        <v>298900</v>
      </c>
    </row>
    <row r="896" spans="1:7" x14ac:dyDescent="0.25">
      <c r="A896" s="1" t="s">
        <v>1019</v>
      </c>
      <c r="B896" s="76">
        <v>32.922393999999997</v>
      </c>
      <c r="C896" s="76">
        <v>33.346724999999999</v>
      </c>
      <c r="D896" s="76">
        <v>32.922393999999997</v>
      </c>
      <c r="E896" s="76">
        <v>33.288196999999997</v>
      </c>
      <c r="F896" s="76">
        <v>18.637267999999999</v>
      </c>
      <c r="G896" s="79">
        <v>309700</v>
      </c>
    </row>
    <row r="897" spans="1:7" x14ac:dyDescent="0.25">
      <c r="A897" s="1" t="s">
        <v>1020</v>
      </c>
      <c r="B897" s="76">
        <v>33.397938000000003</v>
      </c>
      <c r="C897" s="76">
        <v>33.507678999999897</v>
      </c>
      <c r="D897" s="76">
        <v>33.266250999999997</v>
      </c>
      <c r="E897" s="76">
        <v>33.30283</v>
      </c>
      <c r="F897" s="76">
        <v>18.645455999999999</v>
      </c>
      <c r="G897" s="79">
        <v>320500</v>
      </c>
    </row>
    <row r="898" spans="1:7" x14ac:dyDescent="0.25">
      <c r="A898" s="1" t="s">
        <v>1021</v>
      </c>
      <c r="B898" s="76">
        <v>33.397938000000003</v>
      </c>
      <c r="C898" s="76">
        <v>33.536945000000003</v>
      </c>
      <c r="D898" s="76">
        <v>33.288196999999997</v>
      </c>
      <c r="E898" s="76">
        <v>33.514995999999996</v>
      </c>
      <c r="F898" s="76">
        <v>18.764244000000001</v>
      </c>
      <c r="G898" s="79">
        <v>559700</v>
      </c>
    </row>
    <row r="899" spans="1:7" x14ac:dyDescent="0.25">
      <c r="A899" s="1" t="s">
        <v>1022</v>
      </c>
      <c r="B899" s="76">
        <v>33.514995999999996</v>
      </c>
      <c r="C899" s="76">
        <v>34.019806000000003</v>
      </c>
      <c r="D899" s="76">
        <v>33.514995999999996</v>
      </c>
      <c r="E899" s="76">
        <v>34.019806000000003</v>
      </c>
      <c r="F899" s="76">
        <v>19.046870999999999</v>
      </c>
      <c r="G899" s="79">
        <v>403800</v>
      </c>
    </row>
    <row r="900" spans="1:7" x14ac:dyDescent="0.25">
      <c r="A900" s="1" t="s">
        <v>1023</v>
      </c>
      <c r="B900" s="76">
        <v>33.617420000000003</v>
      </c>
      <c r="C900" s="76">
        <v>33.785690000000002</v>
      </c>
      <c r="D900" s="76">
        <v>33.251616999999897</v>
      </c>
      <c r="E900" s="76">
        <v>33.536945000000003</v>
      </c>
      <c r="F900" s="76">
        <v>19.055192999999999</v>
      </c>
      <c r="G900" s="79">
        <v>446800</v>
      </c>
    </row>
    <row r="901" spans="1:7" x14ac:dyDescent="0.25">
      <c r="A901" s="1" t="s">
        <v>1024</v>
      </c>
      <c r="B901" s="76">
        <v>33.529629</v>
      </c>
      <c r="C901" s="76">
        <v>33.529629</v>
      </c>
      <c r="D901" s="76">
        <v>33.207721999999997</v>
      </c>
      <c r="E901" s="76">
        <v>33.434520999999997</v>
      </c>
      <c r="F901" s="76">
        <v>18.996991999999999</v>
      </c>
      <c r="G901" s="79">
        <v>292300</v>
      </c>
    </row>
    <row r="902" spans="1:7" x14ac:dyDescent="0.25">
      <c r="A902" s="1" t="s">
        <v>1025</v>
      </c>
      <c r="B902" s="76">
        <v>33.434520999999997</v>
      </c>
      <c r="C902" s="76">
        <v>33.441833000000003</v>
      </c>
      <c r="D902" s="76">
        <v>33.178455</v>
      </c>
      <c r="E902" s="76">
        <v>33.434520999999997</v>
      </c>
      <c r="F902" s="76">
        <v>18.996991999999999</v>
      </c>
      <c r="G902" s="79">
        <v>434100</v>
      </c>
    </row>
    <row r="903" spans="1:7" x14ac:dyDescent="0.25">
      <c r="A903" s="1" t="s">
        <v>1026</v>
      </c>
      <c r="B903" s="76">
        <v>33.434520999999997</v>
      </c>
      <c r="C903" s="76">
        <v>33.434520999999997</v>
      </c>
      <c r="D903" s="76">
        <v>33.295513</v>
      </c>
      <c r="E903" s="76">
        <v>33.30283</v>
      </c>
      <c r="F903" s="76">
        <v>18.922163000000001</v>
      </c>
      <c r="G903" s="79">
        <v>325100</v>
      </c>
    </row>
    <row r="904" spans="1:7" x14ac:dyDescent="0.25">
      <c r="A904" s="1" t="s">
        <v>1027</v>
      </c>
      <c r="B904" s="76">
        <v>33.397938000000003</v>
      </c>
      <c r="C904" s="76">
        <v>33.397938000000003</v>
      </c>
      <c r="D904" s="76">
        <v>33.105292999999897</v>
      </c>
      <c r="E904" s="76">
        <v>33.178455</v>
      </c>
      <c r="F904" s="76">
        <v>18.851493999999999</v>
      </c>
      <c r="G904" s="79">
        <v>534900</v>
      </c>
    </row>
    <row r="905" spans="1:7" x14ac:dyDescent="0.25">
      <c r="A905" s="1" t="s">
        <v>1028</v>
      </c>
      <c r="B905" s="76">
        <v>33.324779999999997</v>
      </c>
      <c r="C905" s="76">
        <v>33.405253999999999</v>
      </c>
      <c r="D905" s="76">
        <v>33.215034000000003</v>
      </c>
      <c r="E905" s="76">
        <v>33.397938000000003</v>
      </c>
      <c r="F905" s="76">
        <v>18.976213000000001</v>
      </c>
      <c r="G905" s="79">
        <v>290800</v>
      </c>
    </row>
    <row r="906" spans="1:7" x14ac:dyDescent="0.25">
      <c r="A906" s="1" t="s">
        <v>1029</v>
      </c>
      <c r="B906" s="76">
        <v>33.485733000000003</v>
      </c>
      <c r="C906" s="76">
        <v>33.646687</v>
      </c>
      <c r="D906" s="76">
        <v>33.324779999999997</v>
      </c>
      <c r="E906" s="76">
        <v>33.573523999999999</v>
      </c>
      <c r="F906" s="76">
        <v>19.075966000000001</v>
      </c>
      <c r="G906" s="79">
        <v>465000</v>
      </c>
    </row>
    <row r="907" spans="1:7" x14ac:dyDescent="0.25">
      <c r="A907" s="1" t="s">
        <v>1030</v>
      </c>
      <c r="B907" s="76">
        <v>33.580840999999999</v>
      </c>
      <c r="C907" s="76">
        <v>33.836903</v>
      </c>
      <c r="D907" s="76">
        <v>33.580840999999999</v>
      </c>
      <c r="E907" s="76">
        <v>33.727160999999903</v>
      </c>
      <c r="F907" s="76">
        <v>19.163267000000001</v>
      </c>
      <c r="G907" s="79">
        <v>335200</v>
      </c>
    </row>
    <row r="908" spans="1:7" x14ac:dyDescent="0.25">
      <c r="A908" s="1" t="s">
        <v>1031</v>
      </c>
      <c r="B908" s="76">
        <v>33.851535999999903</v>
      </c>
      <c r="C908" s="76">
        <v>34.019806000000003</v>
      </c>
      <c r="D908" s="76">
        <v>33.654003000000003</v>
      </c>
      <c r="E908" s="76">
        <v>33.939326999999999</v>
      </c>
      <c r="F908" s="76">
        <v>19.283819000000001</v>
      </c>
      <c r="G908" s="79">
        <v>315700</v>
      </c>
    </row>
    <row r="909" spans="1:7" x14ac:dyDescent="0.25">
      <c r="A909" s="1" t="s">
        <v>1032</v>
      </c>
      <c r="B909" s="76">
        <v>34.166125999999998</v>
      </c>
      <c r="C909" s="76">
        <v>34.166125999999998</v>
      </c>
      <c r="D909" s="76">
        <v>33.507678999999897</v>
      </c>
      <c r="E909" s="76">
        <v>33.602790999999897</v>
      </c>
      <c r="F909" s="76">
        <v>19.092604000000001</v>
      </c>
      <c r="G909" s="79">
        <v>253700</v>
      </c>
    </row>
    <row r="910" spans="1:7" x14ac:dyDescent="0.25">
      <c r="A910" s="1" t="s">
        <v>1033</v>
      </c>
      <c r="B910" s="76">
        <v>33.749110999999999</v>
      </c>
      <c r="C910" s="76">
        <v>34.049067999999998</v>
      </c>
      <c r="D910" s="76">
        <v>33.544261999999897</v>
      </c>
      <c r="E910" s="76">
        <v>33.910065000000003</v>
      </c>
      <c r="F910" s="76">
        <v>19.267191</v>
      </c>
      <c r="G910" s="79">
        <v>289100</v>
      </c>
    </row>
    <row r="911" spans="1:7" x14ac:dyDescent="0.25">
      <c r="A911" s="1" t="s">
        <v>1034</v>
      </c>
      <c r="B911" s="76">
        <v>34.019806000000003</v>
      </c>
      <c r="C911" s="76">
        <v>34.224654999999998</v>
      </c>
      <c r="D911" s="76">
        <v>33.800322999999999</v>
      </c>
      <c r="E911" s="76">
        <v>34.114913999999999</v>
      </c>
      <c r="F911" s="76">
        <v>19.383585</v>
      </c>
      <c r="G911" s="79">
        <v>176600</v>
      </c>
    </row>
    <row r="912" spans="1:7" x14ac:dyDescent="0.25">
      <c r="A912" s="1" t="s">
        <v>1035</v>
      </c>
      <c r="B912" s="76">
        <v>34.114913999999999</v>
      </c>
      <c r="C912" s="76">
        <v>34.385609000000002</v>
      </c>
      <c r="D912" s="76">
        <v>34.114913999999999</v>
      </c>
      <c r="E912" s="76">
        <v>34.283183999999999</v>
      </c>
      <c r="F912" s="76">
        <v>19.479189000000002</v>
      </c>
      <c r="G912" s="79">
        <v>189300</v>
      </c>
    </row>
    <row r="913" spans="1:7" x14ac:dyDescent="0.25">
      <c r="A913" s="1" t="s">
        <v>1036</v>
      </c>
      <c r="B913" s="76">
        <v>34.422191999999903</v>
      </c>
      <c r="C913" s="76">
        <v>34.422191999999903</v>
      </c>
      <c r="D913" s="76">
        <v>34.136864000000003</v>
      </c>
      <c r="E913" s="76">
        <v>34.173442999999999</v>
      </c>
      <c r="F913" s="76">
        <v>19.416843</v>
      </c>
      <c r="G913" s="79">
        <v>344900</v>
      </c>
    </row>
    <row r="914" spans="1:7" x14ac:dyDescent="0.25">
      <c r="A914" s="1" t="s">
        <v>1037</v>
      </c>
      <c r="B914" s="76">
        <v>34.188076000000002</v>
      </c>
      <c r="C914" s="76">
        <v>34.188076000000002</v>
      </c>
      <c r="D914" s="76">
        <v>33.990543000000002</v>
      </c>
      <c r="E914" s="76">
        <v>33.997855999999999</v>
      </c>
      <c r="F914" s="76">
        <v>19.317072</v>
      </c>
      <c r="G914" s="79">
        <v>688600</v>
      </c>
    </row>
    <row r="915" spans="1:7" x14ac:dyDescent="0.25">
      <c r="A915" s="1" t="s">
        <v>1038</v>
      </c>
      <c r="B915" s="76">
        <v>34.056384999999999</v>
      </c>
      <c r="C915" s="76">
        <v>34.261237999999999</v>
      </c>
      <c r="D915" s="76">
        <v>33.997855999999999</v>
      </c>
      <c r="E915" s="76">
        <v>34.129546999999903</v>
      </c>
      <c r="F915" s="76">
        <v>19.391893</v>
      </c>
      <c r="G915" s="79">
        <v>395200</v>
      </c>
    </row>
    <row r="916" spans="1:7" x14ac:dyDescent="0.25">
      <c r="A916" s="1" t="s">
        <v>1039</v>
      </c>
      <c r="B916" s="76">
        <v>34.136864000000003</v>
      </c>
      <c r="C916" s="76">
        <v>34.231971999999999</v>
      </c>
      <c r="D916" s="76">
        <v>33.617420000000003</v>
      </c>
      <c r="E916" s="76">
        <v>33.654003000000003</v>
      </c>
      <c r="F916" s="76">
        <v>19.121697999999999</v>
      </c>
      <c r="G916" s="79">
        <v>318200</v>
      </c>
    </row>
    <row r="917" spans="1:7" x14ac:dyDescent="0.25">
      <c r="A917" s="1" t="s">
        <v>1040</v>
      </c>
      <c r="B917" s="76">
        <v>33.712532000000003</v>
      </c>
      <c r="C917" s="76">
        <v>33.712532000000003</v>
      </c>
      <c r="D917" s="76">
        <v>33.361359</v>
      </c>
      <c r="E917" s="76">
        <v>33.419888</v>
      </c>
      <c r="F917" s="76">
        <v>18.988678</v>
      </c>
      <c r="G917" s="79">
        <v>296000</v>
      </c>
    </row>
    <row r="918" spans="1:7" x14ac:dyDescent="0.25">
      <c r="A918" s="1" t="s">
        <v>1041</v>
      </c>
      <c r="B918" s="76">
        <v>33.4711</v>
      </c>
      <c r="C918" s="76">
        <v>33.961277000000003</v>
      </c>
      <c r="D918" s="76">
        <v>33.310146000000003</v>
      </c>
      <c r="E918" s="76">
        <v>33.961277000000003</v>
      </c>
      <c r="F918" s="76">
        <v>19.296291</v>
      </c>
      <c r="G918" s="79">
        <v>205000</v>
      </c>
    </row>
    <row r="919" spans="1:7" x14ac:dyDescent="0.25">
      <c r="A919" s="1" t="s">
        <v>1042</v>
      </c>
      <c r="B919" s="76">
        <v>33.983226999999999</v>
      </c>
      <c r="C919" s="76">
        <v>34.363663000000003</v>
      </c>
      <c r="D919" s="76">
        <v>33.800322999999999</v>
      </c>
      <c r="E919" s="76">
        <v>34.305134000000002</v>
      </c>
      <c r="F919" s="76">
        <v>19.491657</v>
      </c>
      <c r="G919" s="79">
        <v>333700</v>
      </c>
    </row>
    <row r="920" spans="1:7" x14ac:dyDescent="0.25">
      <c r="A920" s="1" t="s">
        <v>1043</v>
      </c>
      <c r="B920" s="76">
        <v>34.349029999999999</v>
      </c>
      <c r="C920" s="76">
        <v>34.524615999999902</v>
      </c>
      <c r="D920" s="76">
        <v>34.049067999999998</v>
      </c>
      <c r="E920" s="76">
        <v>34.239288000000002</v>
      </c>
      <c r="F920" s="76">
        <v>19.454249999999998</v>
      </c>
      <c r="G920" s="79">
        <v>205600</v>
      </c>
    </row>
    <row r="921" spans="1:7" x14ac:dyDescent="0.25">
      <c r="A921" s="1" t="s">
        <v>1044</v>
      </c>
      <c r="B921" s="76">
        <v>34.239288000000002</v>
      </c>
      <c r="C921" s="76">
        <v>34.502665999999998</v>
      </c>
      <c r="D921" s="76">
        <v>34.188076000000002</v>
      </c>
      <c r="E921" s="76">
        <v>34.495350000000002</v>
      </c>
      <c r="F921" s="76">
        <v>19.599734999999999</v>
      </c>
      <c r="G921" s="79">
        <v>239600</v>
      </c>
    </row>
    <row r="922" spans="1:7" x14ac:dyDescent="0.25">
      <c r="A922" s="1" t="s">
        <v>1045</v>
      </c>
      <c r="B922" s="76">
        <v>34.641674000000002</v>
      </c>
      <c r="C922" s="76">
        <v>34.692886000000001</v>
      </c>
      <c r="D922" s="76">
        <v>34.422191999999903</v>
      </c>
      <c r="E922" s="76">
        <v>34.531933000000002</v>
      </c>
      <c r="F922" s="76">
        <v>19.620526999999999</v>
      </c>
      <c r="G922" s="79">
        <v>371200</v>
      </c>
    </row>
    <row r="923" spans="1:7" x14ac:dyDescent="0.25">
      <c r="A923" s="1" t="s">
        <v>1046</v>
      </c>
      <c r="B923" s="76">
        <v>34.539248999999998</v>
      </c>
      <c r="C923" s="76">
        <v>35.000160000000001</v>
      </c>
      <c r="D923" s="76">
        <v>34.539248999999998</v>
      </c>
      <c r="E923" s="76">
        <v>34.861156000000001</v>
      </c>
      <c r="F923" s="76">
        <v>19.807594000000002</v>
      </c>
      <c r="G923" s="79">
        <v>550300</v>
      </c>
    </row>
    <row r="924" spans="1:7" x14ac:dyDescent="0.25">
      <c r="A924" s="1" t="s">
        <v>1047</v>
      </c>
      <c r="B924" s="76">
        <v>34.934319000000002</v>
      </c>
      <c r="C924" s="76">
        <v>35.117218000000001</v>
      </c>
      <c r="D924" s="76">
        <v>34.802627999999999</v>
      </c>
      <c r="E924" s="76">
        <v>35.022109999999998</v>
      </c>
      <c r="F924" s="76">
        <v>19.899035000000001</v>
      </c>
      <c r="G924" s="79">
        <v>348100</v>
      </c>
    </row>
    <row r="925" spans="1:7" x14ac:dyDescent="0.25">
      <c r="A925" s="1" t="s">
        <v>1048</v>
      </c>
      <c r="B925" s="76">
        <v>35.044059999999902</v>
      </c>
      <c r="C925" s="76">
        <v>35.205013000000001</v>
      </c>
      <c r="D925" s="76">
        <v>34.897736000000002</v>
      </c>
      <c r="E925" s="76">
        <v>35.205013000000001</v>
      </c>
      <c r="F925" s="76">
        <v>20.002956000000001</v>
      </c>
      <c r="G925" s="79">
        <v>549000</v>
      </c>
    </row>
    <row r="926" spans="1:7" x14ac:dyDescent="0.25">
      <c r="A926" s="1" t="s">
        <v>1049</v>
      </c>
      <c r="B926" s="76">
        <v>35.080638999999998</v>
      </c>
      <c r="C926" s="76">
        <v>35.292805000000001</v>
      </c>
      <c r="D926" s="76">
        <v>34.868473000000002</v>
      </c>
      <c r="E926" s="76">
        <v>35.285488000000001</v>
      </c>
      <c r="F926" s="76">
        <v>20.048689</v>
      </c>
      <c r="G926" s="79">
        <v>458200</v>
      </c>
    </row>
    <row r="927" spans="1:7" x14ac:dyDescent="0.25">
      <c r="A927" s="1" t="s">
        <v>1050</v>
      </c>
      <c r="B927" s="76">
        <v>35.285488000000001</v>
      </c>
      <c r="C927" s="76">
        <v>35.285488000000001</v>
      </c>
      <c r="D927" s="76">
        <v>34.831890000000001</v>
      </c>
      <c r="E927" s="76">
        <v>34.970897999999998</v>
      </c>
      <c r="F927" s="76">
        <v>19.869935999999999</v>
      </c>
      <c r="G927" s="79">
        <v>326600</v>
      </c>
    </row>
    <row r="928" spans="1:7" x14ac:dyDescent="0.25">
      <c r="A928" s="1" t="s">
        <v>1051</v>
      </c>
      <c r="B928" s="76">
        <v>34.970897999999998</v>
      </c>
      <c r="C928" s="76">
        <v>34.970897999999998</v>
      </c>
      <c r="D928" s="76">
        <v>34.180759000000002</v>
      </c>
      <c r="E928" s="76">
        <v>34.188076000000002</v>
      </c>
      <c r="F928" s="76">
        <v>19.425149999999999</v>
      </c>
      <c r="G928" s="79">
        <v>556700</v>
      </c>
    </row>
    <row r="929" spans="1:7" x14ac:dyDescent="0.25">
      <c r="A929" s="1" t="s">
        <v>1052</v>
      </c>
      <c r="B929" s="76">
        <v>34.239288000000002</v>
      </c>
      <c r="C929" s="76">
        <v>34.480721000000003</v>
      </c>
      <c r="D929" s="76">
        <v>34.224654999999998</v>
      </c>
      <c r="E929" s="76">
        <v>34.458770999999999</v>
      </c>
      <c r="F929" s="76">
        <v>19.578951</v>
      </c>
      <c r="G929" s="79">
        <v>856500</v>
      </c>
    </row>
    <row r="930" spans="1:7" x14ac:dyDescent="0.25">
      <c r="A930" s="1" t="s">
        <v>1053</v>
      </c>
      <c r="B930" s="76">
        <v>34.531933000000002</v>
      </c>
      <c r="C930" s="76">
        <v>34.817261000000002</v>
      </c>
      <c r="D930" s="76">
        <v>34.422191999999903</v>
      </c>
      <c r="E930" s="76">
        <v>34.787993999999998</v>
      </c>
      <c r="F930" s="76">
        <v>19.766013999999998</v>
      </c>
      <c r="G930" s="79">
        <v>417400</v>
      </c>
    </row>
    <row r="931" spans="1:7" x14ac:dyDescent="0.25">
      <c r="A931" s="1" t="s">
        <v>1054</v>
      </c>
      <c r="B931" s="76">
        <v>34.787993999999998</v>
      </c>
      <c r="C931" s="76">
        <v>34.934319000000002</v>
      </c>
      <c r="D931" s="76">
        <v>34.619723999999998</v>
      </c>
      <c r="E931" s="76">
        <v>34.875790000000002</v>
      </c>
      <c r="F931" s="76">
        <v>19.815892999999999</v>
      </c>
      <c r="G931" s="79">
        <v>218500</v>
      </c>
    </row>
    <row r="932" spans="1:7" x14ac:dyDescent="0.25">
      <c r="A932" s="1" t="s">
        <v>1055</v>
      </c>
      <c r="B932" s="76">
        <v>34.824576999999998</v>
      </c>
      <c r="C932" s="76">
        <v>34.948948000000001</v>
      </c>
      <c r="D932" s="76">
        <v>34.663620000000002</v>
      </c>
      <c r="E932" s="76">
        <v>34.846522999999998</v>
      </c>
      <c r="F932" s="76">
        <v>19.799271000000001</v>
      </c>
      <c r="G932" s="79">
        <v>239000</v>
      </c>
    </row>
    <row r="933" spans="1:7" x14ac:dyDescent="0.25">
      <c r="A933" s="1" t="s">
        <v>1056</v>
      </c>
      <c r="B933" s="76">
        <v>34.934319000000002</v>
      </c>
      <c r="C933" s="76">
        <v>34.934319000000002</v>
      </c>
      <c r="D933" s="76">
        <v>34.531933000000002</v>
      </c>
      <c r="E933" s="76">
        <v>34.553878999999903</v>
      </c>
      <c r="F933" s="76">
        <v>19.632995999999999</v>
      </c>
      <c r="G933" s="79">
        <v>332900</v>
      </c>
    </row>
    <row r="934" spans="1:7" x14ac:dyDescent="0.25">
      <c r="A934" s="1" t="s">
        <v>1057</v>
      </c>
      <c r="B934" s="76">
        <v>34.546565999999999</v>
      </c>
      <c r="C934" s="76">
        <v>34.553878999999903</v>
      </c>
      <c r="D934" s="76">
        <v>34.334395999999998</v>
      </c>
      <c r="E934" s="76">
        <v>34.385609000000002</v>
      </c>
      <c r="F934" s="76">
        <v>19.537385999999898</v>
      </c>
      <c r="G934" s="79">
        <v>678900</v>
      </c>
    </row>
    <row r="935" spans="1:7" x14ac:dyDescent="0.25">
      <c r="A935" s="1" t="s">
        <v>1058</v>
      </c>
      <c r="B935" s="76">
        <v>34.458770999999999</v>
      </c>
      <c r="C935" s="76">
        <v>34.590462000000002</v>
      </c>
      <c r="D935" s="76">
        <v>34.422191999999903</v>
      </c>
      <c r="E935" s="76">
        <v>34.495350000000002</v>
      </c>
      <c r="F935" s="76">
        <v>19.599734999999999</v>
      </c>
      <c r="G935" s="79">
        <v>642000</v>
      </c>
    </row>
    <row r="936" spans="1:7" x14ac:dyDescent="0.25">
      <c r="A936" s="1" t="s">
        <v>1059</v>
      </c>
      <c r="B936" s="76">
        <v>34.495350000000002</v>
      </c>
      <c r="C936" s="76">
        <v>34.495350000000002</v>
      </c>
      <c r="D936" s="76">
        <v>34.319766999999999</v>
      </c>
      <c r="E936" s="76">
        <v>34.327080000000002</v>
      </c>
      <c r="F936" s="76">
        <v>19.504137</v>
      </c>
      <c r="G936" s="79">
        <v>340400</v>
      </c>
    </row>
    <row r="937" spans="1:7" x14ac:dyDescent="0.25">
      <c r="A937" s="1" t="s">
        <v>1060</v>
      </c>
      <c r="B937" s="76">
        <v>34.349029999999999</v>
      </c>
      <c r="C937" s="76">
        <v>34.495350000000002</v>
      </c>
      <c r="D937" s="76">
        <v>34.312449999999998</v>
      </c>
      <c r="E937" s="76">
        <v>34.392924999999998</v>
      </c>
      <c r="F937" s="76">
        <v>19.541539999999902</v>
      </c>
      <c r="G937" s="79">
        <v>496900</v>
      </c>
    </row>
    <row r="938" spans="1:7" x14ac:dyDescent="0.25">
      <c r="A938" s="1" t="s">
        <v>1061</v>
      </c>
      <c r="B938" s="76">
        <v>34.392924999999998</v>
      </c>
      <c r="C938" s="76">
        <v>34.488036999999998</v>
      </c>
      <c r="D938" s="76">
        <v>34.217339000000003</v>
      </c>
      <c r="E938" s="76">
        <v>34.224654999999998</v>
      </c>
      <c r="F938" s="76">
        <v>19.445931999999999</v>
      </c>
      <c r="G938" s="79">
        <v>326200</v>
      </c>
    </row>
    <row r="939" spans="1:7" x14ac:dyDescent="0.25">
      <c r="A939" s="1" t="s">
        <v>1062</v>
      </c>
      <c r="B939" s="76">
        <v>34.349029999999999</v>
      </c>
      <c r="C939" s="76">
        <v>34.473403999999903</v>
      </c>
      <c r="D939" s="76">
        <v>34.100285</v>
      </c>
      <c r="E939" s="76">
        <v>34.473403999999903</v>
      </c>
      <c r="F939" s="76">
        <v>19.587275999999999</v>
      </c>
      <c r="G939" s="79">
        <v>321200</v>
      </c>
    </row>
    <row r="940" spans="1:7" x14ac:dyDescent="0.25">
      <c r="A940" s="1" t="s">
        <v>1063</v>
      </c>
      <c r="B940" s="76">
        <v>34.473403999999903</v>
      </c>
      <c r="C940" s="76">
        <v>34.802627999999999</v>
      </c>
      <c r="D940" s="76">
        <v>34.341712999999999</v>
      </c>
      <c r="E940" s="76">
        <v>34.751415000000001</v>
      </c>
      <c r="F940" s="76">
        <v>19.745242999999999</v>
      </c>
      <c r="G940" s="79">
        <v>581000</v>
      </c>
    </row>
    <row r="941" spans="1:7" x14ac:dyDescent="0.25">
      <c r="A941" s="1" t="s">
        <v>1064</v>
      </c>
      <c r="B941" s="76">
        <v>34.751415000000001</v>
      </c>
      <c r="C941" s="76">
        <v>35.080638999999998</v>
      </c>
      <c r="D941" s="76">
        <v>34.744098999999999</v>
      </c>
      <c r="E941" s="76">
        <v>35.080638999999998</v>
      </c>
      <c r="F941" s="76">
        <v>19.932292999999898</v>
      </c>
      <c r="G941" s="79">
        <v>448700</v>
      </c>
    </row>
    <row r="942" spans="1:7" x14ac:dyDescent="0.25">
      <c r="A942" s="1" t="s">
        <v>1065</v>
      </c>
      <c r="B942" s="76">
        <v>35.117218000000001</v>
      </c>
      <c r="C942" s="76">
        <v>35.300120999999997</v>
      </c>
      <c r="D942" s="76">
        <v>34.751415000000001</v>
      </c>
      <c r="E942" s="76">
        <v>35.146484000000001</v>
      </c>
      <c r="F942" s="76">
        <v>19.969704</v>
      </c>
      <c r="G942" s="79">
        <v>662400</v>
      </c>
    </row>
    <row r="943" spans="1:7" x14ac:dyDescent="0.25">
      <c r="A943" s="1" t="s">
        <v>1066</v>
      </c>
      <c r="B943" s="76">
        <v>35.190379999999998</v>
      </c>
      <c r="C943" s="76">
        <v>35.687874000000001</v>
      </c>
      <c r="D943" s="76">
        <v>35.153801000000001</v>
      </c>
      <c r="E943" s="76">
        <v>35.468390999999997</v>
      </c>
      <c r="F943" s="76">
        <v>20.152604999999902</v>
      </c>
      <c r="G943" s="79">
        <v>824800</v>
      </c>
    </row>
    <row r="944" spans="1:7" x14ac:dyDescent="0.25">
      <c r="A944" s="1" t="s">
        <v>1067</v>
      </c>
      <c r="B944" s="76">
        <v>35.629345000000001</v>
      </c>
      <c r="C944" s="76">
        <v>35.812247999999997</v>
      </c>
      <c r="D944" s="76">
        <v>35.526919999999997</v>
      </c>
      <c r="E944" s="76">
        <v>35.812247999999997</v>
      </c>
      <c r="F944" s="76">
        <v>20.347985999999999</v>
      </c>
      <c r="G944" s="79">
        <v>448200</v>
      </c>
    </row>
    <row r="945" spans="1:7" x14ac:dyDescent="0.25">
      <c r="A945" s="1" t="s">
        <v>1068</v>
      </c>
      <c r="B945" s="76">
        <v>35.958568999999997</v>
      </c>
      <c r="C945" s="76">
        <v>36.485329</v>
      </c>
      <c r="D945" s="76">
        <v>35.958568999999997</v>
      </c>
      <c r="E945" s="76">
        <v>36.346321000000003</v>
      </c>
      <c r="F945" s="76">
        <v>20.651440000000001</v>
      </c>
      <c r="G945" s="79">
        <v>450300</v>
      </c>
    </row>
    <row r="946" spans="1:7" x14ac:dyDescent="0.25">
      <c r="A946" s="1" t="s">
        <v>1069</v>
      </c>
      <c r="B946" s="76">
        <v>36.434115999999896</v>
      </c>
      <c r="C946" s="76">
        <v>36.873080999999999</v>
      </c>
      <c r="D946" s="76">
        <v>36.382903999999897</v>
      </c>
      <c r="E946" s="76">
        <v>36.873080999999999</v>
      </c>
      <c r="F946" s="76">
        <v>20.950727000000001</v>
      </c>
      <c r="G946" s="79">
        <v>470700</v>
      </c>
    </row>
    <row r="947" spans="1:7" x14ac:dyDescent="0.25">
      <c r="A947" s="1" t="s">
        <v>1070</v>
      </c>
      <c r="B947" s="76">
        <v>36.763339999999999</v>
      </c>
      <c r="C947" s="76">
        <v>36.799919000000003</v>
      </c>
      <c r="D947" s="76">
        <v>36.360954</v>
      </c>
      <c r="E947" s="76">
        <v>36.726756999999999</v>
      </c>
      <c r="F947" s="76">
        <v>20.86759</v>
      </c>
      <c r="G947" s="79">
        <v>457300</v>
      </c>
    </row>
    <row r="948" spans="1:7" x14ac:dyDescent="0.25">
      <c r="A948" s="1" t="s">
        <v>1071</v>
      </c>
      <c r="B948" s="76">
        <v>36.726756999999999</v>
      </c>
      <c r="C948" s="76">
        <v>36.982821999999999</v>
      </c>
      <c r="D948" s="76">
        <v>36.507275</v>
      </c>
      <c r="E948" s="76">
        <v>36.946238999999998</v>
      </c>
      <c r="F948" s="76">
        <v>20.9923</v>
      </c>
      <c r="G948" s="79">
        <v>543500</v>
      </c>
    </row>
    <row r="949" spans="1:7" x14ac:dyDescent="0.25">
      <c r="A949" s="1" t="s">
        <v>1072</v>
      </c>
      <c r="B949" s="76">
        <v>36.851131000000002</v>
      </c>
      <c r="C949" s="76">
        <v>37.202304999999903</v>
      </c>
      <c r="D949" s="76">
        <v>36.851131000000002</v>
      </c>
      <c r="E949" s="76">
        <v>37.202304999999903</v>
      </c>
      <c r="F949" s="76">
        <v>21.137792999999999</v>
      </c>
      <c r="G949" s="79">
        <v>338300</v>
      </c>
    </row>
    <row r="950" spans="1:7" x14ac:dyDescent="0.25">
      <c r="A950" s="1" t="s">
        <v>1073</v>
      </c>
      <c r="B950" s="76">
        <v>37.238883999999999</v>
      </c>
      <c r="C950" s="76">
        <v>37.268149999999999</v>
      </c>
      <c r="D950" s="76">
        <v>36.931609999999999</v>
      </c>
      <c r="E950" s="76">
        <v>36.968189000000002</v>
      </c>
      <c r="F950" s="76">
        <v>21.004770000000001</v>
      </c>
      <c r="G950" s="79">
        <v>201600</v>
      </c>
    </row>
    <row r="951" spans="1:7" x14ac:dyDescent="0.25">
      <c r="A951" s="1" t="s">
        <v>1074</v>
      </c>
      <c r="B951" s="76">
        <v>37.034034999999903</v>
      </c>
      <c r="C951" s="76">
        <v>37.092564000000003</v>
      </c>
      <c r="D951" s="76">
        <v>36.887710999999904</v>
      </c>
      <c r="E951" s="76">
        <v>36.960872999999999</v>
      </c>
      <c r="F951" s="76">
        <v>21.000612</v>
      </c>
      <c r="G951" s="79">
        <v>239100</v>
      </c>
    </row>
    <row r="952" spans="1:7" x14ac:dyDescent="0.25">
      <c r="A952" s="1" t="s">
        <v>1075</v>
      </c>
      <c r="B952" s="76">
        <v>36.982821999999999</v>
      </c>
      <c r="C952" s="76">
        <v>36.990138999999999</v>
      </c>
      <c r="D952" s="76">
        <v>36.726756999999999</v>
      </c>
      <c r="E952" s="76">
        <v>36.982821999999999</v>
      </c>
      <c r="F952" s="76">
        <v>21.013081</v>
      </c>
      <c r="G952" s="79">
        <v>379400</v>
      </c>
    </row>
    <row r="953" spans="1:7" x14ac:dyDescent="0.25">
      <c r="A953" s="1" t="s">
        <v>1076</v>
      </c>
      <c r="B953" s="76">
        <v>37.129142999999999</v>
      </c>
      <c r="C953" s="76">
        <v>37.129142999999999</v>
      </c>
      <c r="D953" s="76">
        <v>36.777968999999999</v>
      </c>
      <c r="E953" s="76">
        <v>37.019401999999999</v>
      </c>
      <c r="F953" s="76">
        <v>21.033873</v>
      </c>
      <c r="G953" s="79">
        <v>300000</v>
      </c>
    </row>
    <row r="954" spans="1:7" x14ac:dyDescent="0.25">
      <c r="A954" s="1" t="s">
        <v>1077</v>
      </c>
      <c r="B954" s="76">
        <v>37.019401999999999</v>
      </c>
      <c r="C954" s="76">
        <v>37.055981000000003</v>
      </c>
      <c r="D954" s="76">
        <v>36.909659999999903</v>
      </c>
      <c r="E954" s="76">
        <v>37.019401999999999</v>
      </c>
      <c r="F954" s="76">
        <v>21.033873</v>
      </c>
      <c r="G954" s="79">
        <v>294000</v>
      </c>
    </row>
    <row r="955" spans="1:7" x14ac:dyDescent="0.25">
      <c r="A955" s="1" t="s">
        <v>1078</v>
      </c>
      <c r="B955" s="76">
        <v>37.019401999999999</v>
      </c>
      <c r="C955" s="76">
        <v>37.019401999999999</v>
      </c>
      <c r="D955" s="76">
        <v>36.726756999999999</v>
      </c>
      <c r="E955" s="76">
        <v>36.909659999999903</v>
      </c>
      <c r="F955" s="76">
        <v>20.971516000000001</v>
      </c>
      <c r="G955" s="79">
        <v>289700</v>
      </c>
    </row>
    <row r="956" spans="1:7" x14ac:dyDescent="0.25">
      <c r="A956" s="1" t="s">
        <v>1079</v>
      </c>
      <c r="B956" s="76">
        <v>36.938927</v>
      </c>
      <c r="C956" s="76">
        <v>37.019401999999999</v>
      </c>
      <c r="D956" s="76">
        <v>36.843814999999999</v>
      </c>
      <c r="E956" s="76">
        <v>36.865765000000003</v>
      </c>
      <c r="F956" s="76">
        <v>20.946570999999999</v>
      </c>
      <c r="G956" s="79">
        <v>217000</v>
      </c>
    </row>
    <row r="957" spans="1:7" x14ac:dyDescent="0.25">
      <c r="A957" s="1" t="s">
        <v>1080</v>
      </c>
      <c r="B957" s="76">
        <v>36.938927</v>
      </c>
      <c r="C957" s="76">
        <v>36.946238999999998</v>
      </c>
      <c r="D957" s="76">
        <v>36.675545</v>
      </c>
      <c r="E957" s="76">
        <v>36.851131000000002</v>
      </c>
      <c r="F957" s="76">
        <v>20.938254999999899</v>
      </c>
      <c r="G957" s="79">
        <v>296000</v>
      </c>
    </row>
    <row r="958" spans="1:7" x14ac:dyDescent="0.25">
      <c r="A958" s="1" t="s">
        <v>1081</v>
      </c>
      <c r="B958" s="76">
        <v>36.865765000000003</v>
      </c>
      <c r="C958" s="76">
        <v>36.909659999999903</v>
      </c>
      <c r="D958" s="76">
        <v>36.573120000000003</v>
      </c>
      <c r="E958" s="76">
        <v>36.573120000000003</v>
      </c>
      <c r="F958" s="76">
        <v>20.780296</v>
      </c>
      <c r="G958" s="79">
        <v>223000</v>
      </c>
    </row>
    <row r="959" spans="1:7" x14ac:dyDescent="0.25">
      <c r="A959" s="1" t="s">
        <v>1082</v>
      </c>
      <c r="B959" s="76">
        <v>36.470694999999999</v>
      </c>
      <c r="C959" s="76">
        <v>36.690178000000003</v>
      </c>
      <c r="D959" s="76">
        <v>36.287791999999897</v>
      </c>
      <c r="E959" s="76">
        <v>36.587752999999999</v>
      </c>
      <c r="F959" s="76">
        <v>20.788612000000001</v>
      </c>
      <c r="G959" s="79">
        <v>234800</v>
      </c>
    </row>
    <row r="960" spans="1:7" x14ac:dyDescent="0.25">
      <c r="A960" s="1" t="s">
        <v>1083</v>
      </c>
      <c r="B960" s="76">
        <v>36.653599</v>
      </c>
      <c r="C960" s="76">
        <v>36.675545</v>
      </c>
      <c r="D960" s="76">
        <v>36.214633999999997</v>
      </c>
      <c r="E960" s="76">
        <v>36.434115999999896</v>
      </c>
      <c r="F960" s="76">
        <v>20.701315000000001</v>
      </c>
      <c r="G960" s="79">
        <v>253700</v>
      </c>
    </row>
    <row r="961" spans="1:7" x14ac:dyDescent="0.25">
      <c r="A961" s="1" t="s">
        <v>1084</v>
      </c>
      <c r="B961" s="76">
        <v>36.580436999999897</v>
      </c>
      <c r="C961" s="76">
        <v>37.092564000000003</v>
      </c>
      <c r="D961" s="76">
        <v>36.551169999999999</v>
      </c>
      <c r="E961" s="76">
        <v>36.792603</v>
      </c>
      <c r="F961" s="76">
        <v>20.905004999999999</v>
      </c>
      <c r="G961" s="79">
        <v>372800</v>
      </c>
    </row>
    <row r="962" spans="1:7" x14ac:dyDescent="0.25">
      <c r="A962" s="1" t="s">
        <v>1085</v>
      </c>
      <c r="B962" s="76">
        <v>36.792603</v>
      </c>
      <c r="C962" s="76">
        <v>36.792603</v>
      </c>
      <c r="D962" s="76">
        <v>36.214633999999997</v>
      </c>
      <c r="E962" s="76">
        <v>36.434115999999896</v>
      </c>
      <c r="F962" s="76">
        <v>20.701315000000001</v>
      </c>
      <c r="G962" s="79">
        <v>363900</v>
      </c>
    </row>
    <row r="963" spans="1:7" x14ac:dyDescent="0.25">
      <c r="A963" s="1" t="s">
        <v>1086</v>
      </c>
      <c r="B963" s="76">
        <v>36.543858</v>
      </c>
      <c r="C963" s="76">
        <v>36.690178000000003</v>
      </c>
      <c r="D963" s="76">
        <v>36.521908000000003</v>
      </c>
      <c r="E963" s="76">
        <v>36.690178000000003</v>
      </c>
      <c r="F963" s="76">
        <v>20.846800000000002</v>
      </c>
      <c r="G963" s="79">
        <v>233300</v>
      </c>
    </row>
    <row r="964" spans="1:7" x14ac:dyDescent="0.25">
      <c r="A964" s="1" t="s">
        <v>1087</v>
      </c>
      <c r="B964" s="76">
        <v>36.726756999999999</v>
      </c>
      <c r="C964" s="76">
        <v>36.960872999999999</v>
      </c>
      <c r="D964" s="76">
        <v>36.690178000000003</v>
      </c>
      <c r="E964" s="76">
        <v>36.924294000000003</v>
      </c>
      <c r="F964" s="76">
        <v>20.979831999999998</v>
      </c>
      <c r="G964" s="79">
        <v>364300</v>
      </c>
    </row>
    <row r="965" spans="1:7" x14ac:dyDescent="0.25">
      <c r="A965" s="1" t="s">
        <v>1088</v>
      </c>
      <c r="B965" s="76">
        <v>36.938927</v>
      </c>
      <c r="C965" s="76">
        <v>37.304728999999902</v>
      </c>
      <c r="D965" s="76">
        <v>36.799919000000003</v>
      </c>
      <c r="E965" s="76">
        <v>36.982821999999999</v>
      </c>
      <c r="F965" s="76">
        <v>21.013081</v>
      </c>
      <c r="G965" s="79">
        <v>318500</v>
      </c>
    </row>
    <row r="966" spans="1:7" x14ac:dyDescent="0.25">
      <c r="A966" s="1" t="s">
        <v>1089</v>
      </c>
      <c r="B966" s="76">
        <v>36.982821999999999</v>
      </c>
      <c r="C966" s="76">
        <v>37.824172999999902</v>
      </c>
      <c r="D966" s="76">
        <v>36.982821999999999</v>
      </c>
      <c r="E966" s="76">
        <v>37.677849000000002</v>
      </c>
      <c r="F966" s="76">
        <v>21.407989999999899</v>
      </c>
      <c r="G966" s="79">
        <v>402800</v>
      </c>
    </row>
    <row r="967" spans="1:7" x14ac:dyDescent="0.25">
      <c r="A967" s="1" t="s">
        <v>1090</v>
      </c>
      <c r="B967" s="76">
        <v>37.677849000000002</v>
      </c>
      <c r="C967" s="76">
        <v>38.299717000000001</v>
      </c>
      <c r="D967" s="76">
        <v>37.582740999999999</v>
      </c>
      <c r="E967" s="76">
        <v>38.065601000000001</v>
      </c>
      <c r="F967" s="76">
        <v>21.628298000000001</v>
      </c>
      <c r="G967" s="79">
        <v>733700</v>
      </c>
    </row>
    <row r="968" spans="1:7" x14ac:dyDescent="0.25">
      <c r="A968" s="1" t="s">
        <v>1091</v>
      </c>
      <c r="B968" s="76">
        <v>38.211925999999998</v>
      </c>
      <c r="C968" s="76">
        <v>38.211925999999998</v>
      </c>
      <c r="D968" s="76">
        <v>38.007071999999901</v>
      </c>
      <c r="E968" s="76">
        <v>38.043655000000001</v>
      </c>
      <c r="F968" s="76">
        <v>21.615836999999999</v>
      </c>
      <c r="G968" s="79">
        <v>521600</v>
      </c>
    </row>
    <row r="969" spans="1:7" x14ac:dyDescent="0.25">
      <c r="A969" s="1" t="s">
        <v>1092</v>
      </c>
      <c r="B969" s="76">
        <v>37.560790999999902</v>
      </c>
      <c r="C969" s="76">
        <v>37.816856000000001</v>
      </c>
      <c r="D969" s="76">
        <v>37.407153999999998</v>
      </c>
      <c r="E969" s="76">
        <v>37.692481999999998</v>
      </c>
      <c r="F969" s="76">
        <v>21.712765000000001</v>
      </c>
      <c r="G969" s="79">
        <v>366200</v>
      </c>
    </row>
    <row r="970" spans="1:7" x14ac:dyDescent="0.25">
      <c r="A970" s="1" t="s">
        <v>1093</v>
      </c>
      <c r="B970" s="76">
        <v>37.787590000000002</v>
      </c>
      <c r="C970" s="76">
        <v>38.146079999999998</v>
      </c>
      <c r="D970" s="76">
        <v>37.751010999999998</v>
      </c>
      <c r="E970" s="76">
        <v>38.094867999999998</v>
      </c>
      <c r="F970" s="76">
        <v>21.944557</v>
      </c>
      <c r="G970" s="79">
        <v>365400</v>
      </c>
    </row>
    <row r="971" spans="1:7" x14ac:dyDescent="0.25">
      <c r="A971" s="1" t="s">
        <v>1094</v>
      </c>
      <c r="B971" s="76">
        <v>38.189976000000001</v>
      </c>
      <c r="C971" s="76">
        <v>38.409458000000001</v>
      </c>
      <c r="D971" s="76">
        <v>38.189976000000001</v>
      </c>
      <c r="E971" s="76">
        <v>38.321666999999998</v>
      </c>
      <c r="F971" s="76">
        <v>22.075202999999998</v>
      </c>
      <c r="G971" s="79">
        <v>331500</v>
      </c>
    </row>
    <row r="972" spans="1:7" x14ac:dyDescent="0.25">
      <c r="A972" s="1" t="s">
        <v>1095</v>
      </c>
      <c r="B972" s="76">
        <v>38.328983000000001</v>
      </c>
      <c r="C972" s="76">
        <v>38.402141999999998</v>
      </c>
      <c r="D972" s="76">
        <v>38.007071999999901</v>
      </c>
      <c r="E972" s="76">
        <v>38.124130000000001</v>
      </c>
      <c r="F972" s="76">
        <v>21.961416</v>
      </c>
      <c r="G972" s="79">
        <v>383800</v>
      </c>
    </row>
    <row r="973" spans="1:7" x14ac:dyDescent="0.25">
      <c r="A973" s="1" t="s">
        <v>1096</v>
      </c>
      <c r="B973" s="76">
        <v>38.175342999999998</v>
      </c>
      <c r="C973" s="76">
        <v>38.797210999999997</v>
      </c>
      <c r="D973" s="76">
        <v>38.065601000000001</v>
      </c>
      <c r="E973" s="76">
        <v>38.724049000000001</v>
      </c>
      <c r="F973" s="76">
        <v>22.306992000000001</v>
      </c>
      <c r="G973" s="79">
        <v>389700</v>
      </c>
    </row>
    <row r="974" spans="1:7" x14ac:dyDescent="0.25">
      <c r="A974" s="1" t="s">
        <v>1097</v>
      </c>
      <c r="B974" s="76">
        <v>38.724049000000001</v>
      </c>
      <c r="C974" s="76">
        <v>38.724049000000001</v>
      </c>
      <c r="D974" s="76">
        <v>38.372878999999998</v>
      </c>
      <c r="E974" s="76">
        <v>38.504565999999997</v>
      </c>
      <c r="F974" s="76">
        <v>22.180562999999999</v>
      </c>
      <c r="G974" s="79">
        <v>321700</v>
      </c>
    </row>
    <row r="975" spans="1:7" x14ac:dyDescent="0.25">
      <c r="A975" s="1" t="s">
        <v>1098</v>
      </c>
      <c r="B975" s="76">
        <v>38.504565999999997</v>
      </c>
      <c r="C975" s="76">
        <v>39.060589</v>
      </c>
      <c r="D975" s="76">
        <v>38.504565999999997</v>
      </c>
      <c r="E975" s="76">
        <v>38.950848000000001</v>
      </c>
      <c r="F975" s="76">
        <v>22.437650999999999</v>
      </c>
      <c r="G975" s="79">
        <v>568000</v>
      </c>
    </row>
    <row r="976" spans="1:7" x14ac:dyDescent="0.25">
      <c r="A976" s="1" t="s">
        <v>1099</v>
      </c>
      <c r="B976" s="76">
        <v>38.950848000000001</v>
      </c>
      <c r="C976" s="76">
        <v>39.141067999999997</v>
      </c>
      <c r="D976" s="76">
        <v>38.592360999999997</v>
      </c>
      <c r="E976" s="76">
        <v>38.950848000000001</v>
      </c>
      <c r="F976" s="76">
        <v>22.437650999999999</v>
      </c>
      <c r="G976" s="79">
        <v>519800</v>
      </c>
    </row>
    <row r="977" spans="1:7" x14ac:dyDescent="0.25">
      <c r="A977" s="1" t="s">
        <v>1100</v>
      </c>
      <c r="B977" s="76">
        <v>39.097172</v>
      </c>
      <c r="C977" s="76">
        <v>39.528820000000003</v>
      </c>
      <c r="D977" s="76">
        <v>38.980114</v>
      </c>
      <c r="E977" s="76">
        <v>39.104488000000003</v>
      </c>
      <c r="F977" s="76">
        <v>22.526157000000001</v>
      </c>
      <c r="G977" s="79">
        <v>596700</v>
      </c>
    </row>
    <row r="978" spans="1:7" x14ac:dyDescent="0.25">
      <c r="A978" s="1" t="s">
        <v>1101</v>
      </c>
      <c r="B978" s="76">
        <v>39.214230000000001</v>
      </c>
      <c r="C978" s="76">
        <v>39.426394999999999</v>
      </c>
      <c r="D978" s="76">
        <v>39.031326</v>
      </c>
      <c r="E978" s="76">
        <v>39.075221999999997</v>
      </c>
      <c r="F978" s="76">
        <v>22.509295000000002</v>
      </c>
      <c r="G978" s="79">
        <v>499500</v>
      </c>
    </row>
    <row r="979" spans="1:7" x14ac:dyDescent="0.25">
      <c r="A979" s="1" t="s">
        <v>1102</v>
      </c>
      <c r="B979" s="76">
        <v>39.221541999999999</v>
      </c>
      <c r="C979" s="76">
        <v>39.221541999999999</v>
      </c>
      <c r="D979" s="76">
        <v>38.702103000000001</v>
      </c>
      <c r="E979" s="76">
        <v>38.936217999999997</v>
      </c>
      <c r="F979" s="76">
        <v>22.429217999999999</v>
      </c>
      <c r="G979" s="79">
        <v>435300</v>
      </c>
    </row>
    <row r="980" spans="1:7" x14ac:dyDescent="0.25">
      <c r="A980" s="1" t="s">
        <v>1103</v>
      </c>
      <c r="B980" s="76">
        <v>38.994746999999997</v>
      </c>
      <c r="C980" s="76">
        <v>39.067904999999897</v>
      </c>
      <c r="D980" s="76">
        <v>38.372878999999998</v>
      </c>
      <c r="E980" s="76">
        <v>38.83379</v>
      </c>
      <c r="F980" s="76">
        <v>22.37022</v>
      </c>
      <c r="G980" s="79">
        <v>495400</v>
      </c>
    </row>
    <row r="981" spans="1:7" x14ac:dyDescent="0.25">
      <c r="A981" s="1" t="s">
        <v>1104</v>
      </c>
      <c r="B981" s="76">
        <v>38.811844000000001</v>
      </c>
      <c r="C981" s="76">
        <v>39.097172</v>
      </c>
      <c r="D981" s="76">
        <v>38.658206999999997</v>
      </c>
      <c r="E981" s="76">
        <v>38.694786000000001</v>
      </c>
      <c r="F981" s="76">
        <v>22.290144000000002</v>
      </c>
      <c r="G981" s="79">
        <v>397900</v>
      </c>
    </row>
    <row r="982" spans="1:7" x14ac:dyDescent="0.25">
      <c r="A982" s="1" t="s">
        <v>1105</v>
      </c>
      <c r="B982" s="76">
        <v>38.775261</v>
      </c>
      <c r="C982" s="76">
        <v>39.360550000000003</v>
      </c>
      <c r="D982" s="76">
        <v>38.775261</v>
      </c>
      <c r="E982" s="76">
        <v>39.353233000000003</v>
      </c>
      <c r="F982" s="76">
        <v>22.669453000000001</v>
      </c>
      <c r="G982" s="79">
        <v>391800</v>
      </c>
    </row>
    <row r="983" spans="1:7" x14ac:dyDescent="0.25">
      <c r="A983" s="1" t="s">
        <v>1106</v>
      </c>
      <c r="B983" s="76">
        <v>39.470290999999897</v>
      </c>
      <c r="C983" s="76">
        <v>39.543453</v>
      </c>
      <c r="D983" s="76">
        <v>39.192279999999997</v>
      </c>
      <c r="E983" s="76">
        <v>39.543453</v>
      </c>
      <c r="F983" s="76">
        <v>22.779019999999999</v>
      </c>
      <c r="G983" s="79">
        <v>345700</v>
      </c>
    </row>
    <row r="984" spans="1:7" x14ac:dyDescent="0.25">
      <c r="A984" s="1" t="s">
        <v>1107</v>
      </c>
      <c r="B984" s="76">
        <v>39.653193999999999</v>
      </c>
      <c r="C984" s="76">
        <v>40.055576000000002</v>
      </c>
      <c r="D984" s="76">
        <v>39.653193999999999</v>
      </c>
      <c r="E984" s="76">
        <v>40.026313999999999</v>
      </c>
      <c r="F984" s="76">
        <v>23.057171</v>
      </c>
      <c r="G984" s="79">
        <v>190900</v>
      </c>
    </row>
    <row r="985" spans="1:7" x14ac:dyDescent="0.25">
      <c r="A985" s="1" t="s">
        <v>1108</v>
      </c>
      <c r="B985" s="76">
        <v>39.872677000000003</v>
      </c>
      <c r="C985" s="76">
        <v>40.231163000000002</v>
      </c>
      <c r="D985" s="76">
        <v>39.806831000000003</v>
      </c>
      <c r="E985" s="76">
        <v>40.055576000000002</v>
      </c>
      <c r="F985" s="76">
        <v>23.074026</v>
      </c>
      <c r="G985" s="79">
        <v>451600</v>
      </c>
    </row>
    <row r="986" spans="1:7" x14ac:dyDescent="0.25">
      <c r="A986" s="1" t="s">
        <v>1109</v>
      </c>
      <c r="B986" s="76">
        <v>40.055576000000002</v>
      </c>
      <c r="C986" s="76">
        <v>40.143371999999999</v>
      </c>
      <c r="D986" s="76">
        <v>39.836094000000003</v>
      </c>
      <c r="E986" s="76">
        <v>39.923889000000003</v>
      </c>
      <c r="F986" s="76">
        <v>22.998169000000001</v>
      </c>
      <c r="G986" s="79">
        <v>421400</v>
      </c>
    </row>
    <row r="987" spans="1:7" x14ac:dyDescent="0.25">
      <c r="A987" s="1" t="s">
        <v>1110</v>
      </c>
      <c r="B987" s="76">
        <v>39.872677000000003</v>
      </c>
      <c r="C987" s="76">
        <v>40.092159000000002</v>
      </c>
      <c r="D987" s="76">
        <v>39.872677000000003</v>
      </c>
      <c r="E987" s="76">
        <v>40.011681000000003</v>
      </c>
      <c r="F987" s="76">
        <v>23.048735000000001</v>
      </c>
      <c r="G987" s="79">
        <v>180000</v>
      </c>
    </row>
    <row r="988" spans="1:7" x14ac:dyDescent="0.25">
      <c r="A988" s="1" t="s">
        <v>1111</v>
      </c>
      <c r="B988" s="76">
        <v>40.048264000000003</v>
      </c>
      <c r="C988" s="76">
        <v>40.048264000000003</v>
      </c>
      <c r="D988" s="76">
        <v>39.250808999999997</v>
      </c>
      <c r="E988" s="76">
        <v>39.477607999999996</v>
      </c>
      <c r="F988" s="76">
        <v>22.741092999999999</v>
      </c>
      <c r="G988" s="79">
        <v>417400</v>
      </c>
    </row>
    <row r="989" spans="1:7" x14ac:dyDescent="0.25">
      <c r="A989" s="1" t="s">
        <v>1112</v>
      </c>
      <c r="B989" s="76">
        <v>39.484923999999999</v>
      </c>
      <c r="C989" s="76">
        <v>39.506869999999999</v>
      </c>
      <c r="D989" s="76">
        <v>39.331283999999997</v>
      </c>
      <c r="E989" s="76">
        <v>39.411762000000003</v>
      </c>
      <c r="F989" s="76">
        <v>22.703147999999999</v>
      </c>
      <c r="G989" s="79">
        <v>295800</v>
      </c>
    </row>
    <row r="990" spans="1:7" x14ac:dyDescent="0.25">
      <c r="A990" s="1" t="s">
        <v>1113</v>
      </c>
      <c r="B990" s="76">
        <v>39.360550000000003</v>
      </c>
      <c r="C990" s="76">
        <v>39.711722999999999</v>
      </c>
      <c r="D990" s="76">
        <v>39.214230000000001</v>
      </c>
      <c r="E990" s="76">
        <v>39.638560999999903</v>
      </c>
      <c r="F990" s="76">
        <v>22.833798999999999</v>
      </c>
      <c r="G990" s="79">
        <v>350300</v>
      </c>
    </row>
    <row r="991" spans="1:7" x14ac:dyDescent="0.25">
      <c r="A991" s="1" t="s">
        <v>1114</v>
      </c>
      <c r="B991" s="76">
        <v>39.638560999999903</v>
      </c>
      <c r="C991" s="76">
        <v>39.916573</v>
      </c>
      <c r="D991" s="76">
        <v>39.506869999999999</v>
      </c>
      <c r="E991" s="76">
        <v>39.704407000000003</v>
      </c>
      <c r="F991" s="76">
        <v>22.871728999999998</v>
      </c>
      <c r="G991" s="79">
        <v>296600</v>
      </c>
    </row>
    <row r="992" spans="1:7" x14ac:dyDescent="0.25">
      <c r="A992" s="1" t="s">
        <v>1115</v>
      </c>
      <c r="B992" s="76">
        <v>39.726353000000003</v>
      </c>
      <c r="C992" s="76">
        <v>39.726353000000003</v>
      </c>
      <c r="D992" s="76">
        <v>39.104488000000003</v>
      </c>
      <c r="E992" s="76">
        <v>39.3386</v>
      </c>
      <c r="F992" s="76">
        <v>22.661007000000001</v>
      </c>
      <c r="G992" s="79">
        <v>419800</v>
      </c>
    </row>
    <row r="993" spans="1:7" x14ac:dyDescent="0.25">
      <c r="A993" s="1" t="s">
        <v>1116</v>
      </c>
      <c r="B993" s="76">
        <v>39.287388</v>
      </c>
      <c r="C993" s="76">
        <v>39.726353000000003</v>
      </c>
      <c r="D993" s="76">
        <v>39.163012999999999</v>
      </c>
      <c r="E993" s="76">
        <v>39.726353000000003</v>
      </c>
      <c r="F993" s="76">
        <v>22.884373</v>
      </c>
      <c r="G993" s="79">
        <v>380700</v>
      </c>
    </row>
    <row r="994" spans="1:7" x14ac:dyDescent="0.25">
      <c r="A994" s="1" t="s">
        <v>1117</v>
      </c>
      <c r="B994" s="76">
        <v>39.726353000000003</v>
      </c>
      <c r="C994" s="76">
        <v>40.304324999999999</v>
      </c>
      <c r="D994" s="76">
        <v>39.653193999999999</v>
      </c>
      <c r="E994" s="76">
        <v>40.267746000000002</v>
      </c>
      <c r="F994" s="76">
        <v>23.196247</v>
      </c>
      <c r="G994" s="79">
        <v>407200</v>
      </c>
    </row>
    <row r="995" spans="1:7" x14ac:dyDescent="0.25">
      <c r="A995" s="1" t="s">
        <v>1118</v>
      </c>
      <c r="B995" s="76">
        <v>40.311641999999999</v>
      </c>
      <c r="C995" s="76">
        <v>40.553069999999998</v>
      </c>
      <c r="D995" s="76">
        <v>40.311641999999999</v>
      </c>
      <c r="E995" s="76">
        <v>40.501857999999999</v>
      </c>
      <c r="F995" s="76">
        <v>23.331101999999898</v>
      </c>
      <c r="G995" s="79">
        <v>325100</v>
      </c>
    </row>
    <row r="996" spans="1:7" x14ac:dyDescent="0.25">
      <c r="A996" s="1" t="s">
        <v>1119</v>
      </c>
      <c r="B996" s="76">
        <v>40.567703000000002</v>
      </c>
      <c r="C996" s="76">
        <v>40.662815000000002</v>
      </c>
      <c r="D996" s="76">
        <v>40.362853999999999</v>
      </c>
      <c r="E996" s="76">
        <v>40.640864999999998</v>
      </c>
      <c r="F996" s="76">
        <v>23.479035999999901</v>
      </c>
      <c r="G996" s="79">
        <v>400200</v>
      </c>
    </row>
    <row r="997" spans="1:7" x14ac:dyDescent="0.25">
      <c r="A997" s="1" t="s">
        <v>1120</v>
      </c>
      <c r="B997" s="76">
        <v>40.648181999999998</v>
      </c>
      <c r="C997" s="76">
        <v>40.853031000000001</v>
      </c>
      <c r="D997" s="76">
        <v>40.604286000000002</v>
      </c>
      <c r="E997" s="76">
        <v>40.721339999999998</v>
      </c>
      <c r="F997" s="76">
        <v>23.525535999999999</v>
      </c>
      <c r="G997" s="79">
        <v>378200</v>
      </c>
    </row>
    <row r="998" spans="1:7" x14ac:dyDescent="0.25">
      <c r="A998" s="1" t="s">
        <v>1121</v>
      </c>
      <c r="B998" s="76">
        <v>40.750607000000002</v>
      </c>
      <c r="C998" s="76">
        <v>40.750607000000002</v>
      </c>
      <c r="D998" s="76">
        <v>39.250808999999997</v>
      </c>
      <c r="E998" s="76">
        <v>39.506869999999999</v>
      </c>
      <c r="F998" s="76">
        <v>22.823915</v>
      </c>
      <c r="G998" s="79">
        <v>6125100</v>
      </c>
    </row>
    <row r="999" spans="1:7" x14ac:dyDescent="0.25">
      <c r="A999" s="1" t="s">
        <v>1122</v>
      </c>
      <c r="B999" s="76">
        <v>39.506869999999999</v>
      </c>
      <c r="C999" s="76">
        <v>39.638560999999903</v>
      </c>
      <c r="D999" s="76">
        <v>39.404446</v>
      </c>
      <c r="E999" s="76">
        <v>39.433712</v>
      </c>
      <c r="F999" s="76">
        <v>22.781642999999999</v>
      </c>
      <c r="G999" s="79">
        <v>778900</v>
      </c>
    </row>
    <row r="1000" spans="1:7" x14ac:dyDescent="0.25">
      <c r="A1000" s="1" t="s">
        <v>1123</v>
      </c>
      <c r="B1000" s="76">
        <v>39.470290999999897</v>
      </c>
      <c r="C1000" s="76">
        <v>39.645878000000003</v>
      </c>
      <c r="D1000" s="76">
        <v>39.250808999999997</v>
      </c>
      <c r="E1000" s="76">
        <v>39.580032000000003</v>
      </c>
      <c r="F1000" s="76">
        <v>22.866178999999999</v>
      </c>
      <c r="G1000" s="79">
        <v>344000</v>
      </c>
    </row>
    <row r="1001" spans="1:7" x14ac:dyDescent="0.25">
      <c r="A1001" s="1" t="s">
        <v>1124</v>
      </c>
      <c r="B1001" s="76">
        <v>39.433712</v>
      </c>
      <c r="C1001" s="76">
        <v>39.653193999999999</v>
      </c>
      <c r="D1001" s="76">
        <v>39.433712</v>
      </c>
      <c r="E1001" s="76">
        <v>39.543453</v>
      </c>
      <c r="F1001" s="76">
        <v>22.845048999999999</v>
      </c>
      <c r="G1001" s="79">
        <v>319000</v>
      </c>
    </row>
    <row r="1002" spans="1:7" x14ac:dyDescent="0.25">
      <c r="A1002" s="1" t="s">
        <v>1125</v>
      </c>
      <c r="B1002" s="76">
        <v>39.616610999999999</v>
      </c>
      <c r="C1002" s="76">
        <v>39.740985999999999</v>
      </c>
      <c r="D1002" s="76">
        <v>39.55077</v>
      </c>
      <c r="E1002" s="76">
        <v>39.645878000000003</v>
      </c>
      <c r="F1002" s="76">
        <v>22.904216999999999</v>
      </c>
      <c r="G1002" s="79">
        <v>144400</v>
      </c>
    </row>
    <row r="1003" spans="1:7" x14ac:dyDescent="0.25">
      <c r="A1003" s="1" t="s">
        <v>1126</v>
      </c>
      <c r="B1003" s="76">
        <v>39.616610999999999</v>
      </c>
      <c r="C1003" s="76">
        <v>39.828780999999999</v>
      </c>
      <c r="D1003" s="76">
        <v>39.470290999999897</v>
      </c>
      <c r="E1003" s="76">
        <v>39.653193999999999</v>
      </c>
      <c r="F1003" s="76">
        <v>22.908442000000001</v>
      </c>
      <c r="G1003" s="79">
        <v>117500</v>
      </c>
    </row>
    <row r="1004" spans="1:7" x14ac:dyDescent="0.25">
      <c r="A1004" s="1" t="s">
        <v>1127</v>
      </c>
      <c r="B1004" s="76">
        <v>39.726353000000003</v>
      </c>
      <c r="C1004" s="76">
        <v>40.048264000000003</v>
      </c>
      <c r="D1004" s="76">
        <v>39.433712</v>
      </c>
      <c r="E1004" s="76">
        <v>39.872677000000003</v>
      </c>
      <c r="F1004" s="76">
        <v>23.035242</v>
      </c>
      <c r="G1004" s="79">
        <v>294400</v>
      </c>
    </row>
    <row r="1005" spans="1:7" x14ac:dyDescent="0.25">
      <c r="A1005" s="1" t="s">
        <v>1128</v>
      </c>
      <c r="B1005" s="76">
        <v>40.018996999999999</v>
      </c>
      <c r="C1005" s="76">
        <v>40.333587999999999</v>
      </c>
      <c r="D1005" s="76">
        <v>39.887306000000002</v>
      </c>
      <c r="E1005" s="76">
        <v>40.231163000000002</v>
      </c>
      <c r="F1005" s="76">
        <v>23.242349999999998</v>
      </c>
      <c r="G1005" s="79">
        <v>405400</v>
      </c>
    </row>
    <row r="1006" spans="1:7" x14ac:dyDescent="0.25">
      <c r="A1006" s="1" t="s">
        <v>1129</v>
      </c>
      <c r="B1006" s="76">
        <v>40.253112999999999</v>
      </c>
      <c r="C1006" s="76">
        <v>40.282375000000002</v>
      </c>
      <c r="D1006" s="76">
        <v>39.828780999999999</v>
      </c>
      <c r="E1006" s="76">
        <v>40.055576000000002</v>
      </c>
      <c r="F1006" s="76">
        <v>23.140909000000001</v>
      </c>
      <c r="G1006" s="79">
        <v>319800</v>
      </c>
    </row>
    <row r="1007" spans="1:7" x14ac:dyDescent="0.25">
      <c r="A1007" s="1" t="s">
        <v>1130</v>
      </c>
      <c r="B1007" s="76">
        <v>40.055576000000002</v>
      </c>
      <c r="C1007" s="76">
        <v>40.201900000000002</v>
      </c>
      <c r="D1007" s="76">
        <v>39.441025000000003</v>
      </c>
      <c r="E1007" s="76">
        <v>39.799515</v>
      </c>
      <c r="F1007" s="76">
        <v>22.992975000000001</v>
      </c>
      <c r="G1007" s="79">
        <v>546400</v>
      </c>
    </row>
    <row r="1008" spans="1:7" x14ac:dyDescent="0.25">
      <c r="A1008" s="1" t="s">
        <v>1131</v>
      </c>
      <c r="B1008" s="76">
        <v>39.872677000000003</v>
      </c>
      <c r="C1008" s="76">
        <v>40.018996999999999</v>
      </c>
      <c r="D1008" s="76">
        <v>39.075221999999997</v>
      </c>
      <c r="E1008" s="76">
        <v>39.353233000000003</v>
      </c>
      <c r="F1008" s="76">
        <v>22.735147000000001</v>
      </c>
      <c r="G1008" s="79">
        <v>680000</v>
      </c>
    </row>
    <row r="1009" spans="1:7" x14ac:dyDescent="0.25">
      <c r="A1009" s="1" t="s">
        <v>1132</v>
      </c>
      <c r="B1009" s="76">
        <v>39.397129</v>
      </c>
      <c r="C1009" s="76">
        <v>40.055576000000002</v>
      </c>
      <c r="D1009" s="76">
        <v>39.265442</v>
      </c>
      <c r="E1009" s="76">
        <v>40.055576000000002</v>
      </c>
      <c r="F1009" s="76">
        <v>23.140909000000001</v>
      </c>
      <c r="G1009" s="79">
        <v>602000</v>
      </c>
    </row>
    <row r="1010" spans="1:7" x14ac:dyDescent="0.25">
      <c r="A1010" s="1" t="s">
        <v>1133</v>
      </c>
      <c r="B1010" s="76">
        <v>40.092159000000002</v>
      </c>
      <c r="C1010" s="76">
        <v>40.136054999999999</v>
      </c>
      <c r="D1010" s="76">
        <v>39.009377000000001</v>
      </c>
      <c r="E1010" s="76">
        <v>39.258125</v>
      </c>
      <c r="F1010" s="76">
        <v>22.680212000000001</v>
      </c>
      <c r="G1010" s="79">
        <v>521600</v>
      </c>
    </row>
    <row r="1011" spans="1:7" x14ac:dyDescent="0.25">
      <c r="A1011" s="1" t="s">
        <v>1134</v>
      </c>
      <c r="B1011" s="76">
        <v>39.506869999999999</v>
      </c>
      <c r="C1011" s="76">
        <v>39.506869999999999</v>
      </c>
      <c r="D1011" s="76">
        <v>39.053272</v>
      </c>
      <c r="E1011" s="76">
        <v>39.17033</v>
      </c>
      <c r="F1011" s="76">
        <v>22.629490000000001</v>
      </c>
      <c r="G1011" s="79">
        <v>543400</v>
      </c>
    </row>
    <row r="1012" spans="1:7" x14ac:dyDescent="0.25">
      <c r="A1012" s="1" t="s">
        <v>1135</v>
      </c>
      <c r="B1012" s="76">
        <v>39.104488000000003</v>
      </c>
      <c r="C1012" s="76">
        <v>39.3825</v>
      </c>
      <c r="D1012" s="76">
        <v>38.994746999999997</v>
      </c>
      <c r="E1012" s="76">
        <v>39.141067999999997</v>
      </c>
      <c r="F1012" s="76">
        <v>22.612576999999899</v>
      </c>
      <c r="G1012" s="79">
        <v>359500</v>
      </c>
    </row>
    <row r="1013" spans="1:7" x14ac:dyDescent="0.25">
      <c r="A1013" s="1" t="s">
        <v>1136</v>
      </c>
      <c r="B1013" s="76">
        <v>39.141067999999997</v>
      </c>
      <c r="C1013" s="76">
        <v>39.316654</v>
      </c>
      <c r="D1013" s="76">
        <v>39.067904999999897</v>
      </c>
      <c r="E1013" s="76">
        <v>39.287388</v>
      </c>
      <c r="F1013" s="76">
        <v>22.697113000000002</v>
      </c>
      <c r="G1013" s="79">
        <v>364300</v>
      </c>
    </row>
    <row r="1014" spans="1:7" x14ac:dyDescent="0.25">
      <c r="A1014" s="1" t="s">
        <v>1137</v>
      </c>
      <c r="B1014" s="76">
        <v>39.287388</v>
      </c>
      <c r="C1014" s="76">
        <v>39.287388</v>
      </c>
      <c r="D1014" s="76">
        <v>38.628940999999998</v>
      </c>
      <c r="E1014" s="76">
        <v>38.892319000000001</v>
      </c>
      <c r="F1014" s="76">
        <v>22.468864</v>
      </c>
      <c r="G1014" s="79">
        <v>524400</v>
      </c>
    </row>
    <row r="1015" spans="1:7" x14ac:dyDescent="0.25">
      <c r="A1015" s="1" t="s">
        <v>1138</v>
      </c>
      <c r="B1015" s="76">
        <v>38.665520000000001</v>
      </c>
      <c r="C1015" s="76">
        <v>39.265442</v>
      </c>
      <c r="D1015" s="76">
        <v>38.665520000000001</v>
      </c>
      <c r="E1015" s="76">
        <v>39.148384</v>
      </c>
      <c r="F1015" s="76">
        <v>22.616803999999998</v>
      </c>
      <c r="G1015" s="79">
        <v>634000</v>
      </c>
    </row>
    <row r="1016" spans="1:7" x14ac:dyDescent="0.25">
      <c r="A1016" s="1" t="s">
        <v>1139</v>
      </c>
      <c r="B1016" s="76">
        <v>39.104488000000003</v>
      </c>
      <c r="C1016" s="76">
        <v>39.345917</v>
      </c>
      <c r="D1016" s="76">
        <v>38.906951999999997</v>
      </c>
      <c r="E1016" s="76">
        <v>39.345917</v>
      </c>
      <c r="F1016" s="76">
        <v>22.730920999999999</v>
      </c>
      <c r="G1016" s="79">
        <v>382400</v>
      </c>
    </row>
    <row r="1017" spans="1:7" x14ac:dyDescent="0.25">
      <c r="A1017" s="1" t="s">
        <v>1140</v>
      </c>
      <c r="B1017" s="76">
        <v>39.580032000000003</v>
      </c>
      <c r="C1017" s="76">
        <v>39.711722999999999</v>
      </c>
      <c r="D1017" s="76">
        <v>39.360550000000003</v>
      </c>
      <c r="E1017" s="76">
        <v>39.360550000000003</v>
      </c>
      <c r="F1017" s="76">
        <v>22.739376</v>
      </c>
      <c r="G1017" s="79">
        <v>429200</v>
      </c>
    </row>
    <row r="1018" spans="1:7" x14ac:dyDescent="0.25">
      <c r="A1018" s="1" t="s">
        <v>1141</v>
      </c>
      <c r="B1018" s="76">
        <v>39.360550000000003</v>
      </c>
      <c r="C1018" s="76">
        <v>39.719035999999903</v>
      </c>
      <c r="D1018" s="76">
        <v>39.360550000000003</v>
      </c>
      <c r="E1018" s="76">
        <v>39.411762000000003</v>
      </c>
      <c r="F1018" s="76">
        <v>22.768960999999901</v>
      </c>
      <c r="G1018" s="79">
        <v>263500</v>
      </c>
    </row>
    <row r="1019" spans="1:7" x14ac:dyDescent="0.25">
      <c r="A1019" s="1" t="s">
        <v>1142</v>
      </c>
      <c r="B1019" s="76">
        <v>39.470290999999897</v>
      </c>
      <c r="C1019" s="76">
        <v>39.499553999999897</v>
      </c>
      <c r="D1019" s="76">
        <v>39.184963000000003</v>
      </c>
      <c r="E1019" s="76">
        <v>39.389811999999999</v>
      </c>
      <c r="F1019" s="76">
        <v>22.756283</v>
      </c>
      <c r="G1019" s="79">
        <v>405500</v>
      </c>
    </row>
    <row r="1020" spans="1:7" x14ac:dyDescent="0.25">
      <c r="A1020" s="1" t="s">
        <v>1143</v>
      </c>
      <c r="B1020" s="76">
        <v>39.492241</v>
      </c>
      <c r="C1020" s="76">
        <v>40.143371999999999</v>
      </c>
      <c r="D1020" s="76">
        <v>39.323971</v>
      </c>
      <c r="E1020" s="76">
        <v>39.484923999999999</v>
      </c>
      <c r="F1020" s="76">
        <v>22.811235</v>
      </c>
      <c r="G1020" s="79">
        <v>646000</v>
      </c>
    </row>
    <row r="1021" spans="1:7" x14ac:dyDescent="0.25">
      <c r="A1021" s="1" t="s">
        <v>1144</v>
      </c>
      <c r="B1021" s="76">
        <v>39.543453</v>
      </c>
      <c r="C1021" s="76">
        <v>40.092159000000002</v>
      </c>
      <c r="D1021" s="76">
        <v>39.484923999999999</v>
      </c>
      <c r="E1021" s="76">
        <v>39.982418000000003</v>
      </c>
      <c r="F1021" s="76">
        <v>23.098648000000001</v>
      </c>
      <c r="G1021" s="79">
        <v>535500</v>
      </c>
    </row>
    <row r="1022" spans="1:7" x14ac:dyDescent="0.25">
      <c r="A1022" s="1" t="s">
        <v>1145</v>
      </c>
      <c r="B1022" s="76">
        <v>39.982418000000003</v>
      </c>
      <c r="C1022" s="76">
        <v>40.201900000000002</v>
      </c>
      <c r="D1022" s="76">
        <v>39.836094000000003</v>
      </c>
      <c r="E1022" s="76">
        <v>40.201900000000002</v>
      </c>
      <c r="F1022" s="76">
        <v>23.225445000000001</v>
      </c>
      <c r="G1022" s="79">
        <v>603700</v>
      </c>
    </row>
    <row r="1023" spans="1:7" x14ac:dyDescent="0.25">
      <c r="A1023" s="1" t="s">
        <v>1146</v>
      </c>
      <c r="B1023" s="76">
        <v>40.238479999999903</v>
      </c>
      <c r="C1023" s="76">
        <v>40.450645000000002</v>
      </c>
      <c r="D1023" s="76">
        <v>40.187266999999999</v>
      </c>
      <c r="E1023" s="76">
        <v>40.348221000000002</v>
      </c>
      <c r="F1023" s="76">
        <v>23.309964999999998</v>
      </c>
      <c r="G1023" s="79">
        <v>488000</v>
      </c>
    </row>
    <row r="1024" spans="1:7" x14ac:dyDescent="0.25">
      <c r="A1024" s="1" t="s">
        <v>1147</v>
      </c>
      <c r="B1024" s="76">
        <v>40.531123999999998</v>
      </c>
      <c r="C1024" s="76">
        <v>41.145676000000002</v>
      </c>
      <c r="D1024" s="76">
        <v>40.370170999999999</v>
      </c>
      <c r="E1024" s="76">
        <v>41.094462999999998</v>
      </c>
      <c r="F1024" s="76">
        <v>23.741098000000001</v>
      </c>
      <c r="G1024" s="79">
        <v>716800</v>
      </c>
    </row>
    <row r="1025" spans="1:7" x14ac:dyDescent="0.25">
      <c r="A1025" s="1" t="s">
        <v>1148</v>
      </c>
      <c r="B1025" s="76">
        <v>40.457962000000002</v>
      </c>
      <c r="C1025" s="76">
        <v>40.582335999999998</v>
      </c>
      <c r="D1025" s="76">
        <v>39.872677000000003</v>
      </c>
      <c r="E1025" s="76">
        <v>40.582335999999998</v>
      </c>
      <c r="F1025" s="76">
        <v>23.814080999999899</v>
      </c>
      <c r="G1025" s="79">
        <v>489900</v>
      </c>
    </row>
    <row r="1026" spans="1:7" x14ac:dyDescent="0.25">
      <c r="A1026" s="1" t="s">
        <v>1149</v>
      </c>
      <c r="B1026" s="76">
        <v>40.640864999999998</v>
      </c>
      <c r="C1026" s="76">
        <v>41.123725999999998</v>
      </c>
      <c r="D1026" s="76">
        <v>40.640864999999998</v>
      </c>
      <c r="E1026" s="76">
        <v>40.933509999999998</v>
      </c>
      <c r="F1026" s="76">
        <v>24.020153000000001</v>
      </c>
      <c r="G1026" s="79">
        <v>659300</v>
      </c>
    </row>
    <row r="1027" spans="1:7" x14ac:dyDescent="0.25">
      <c r="A1027" s="1" t="s">
        <v>1150</v>
      </c>
      <c r="B1027" s="76">
        <v>40.933509999999998</v>
      </c>
      <c r="C1027" s="76">
        <v>41.701698</v>
      </c>
      <c r="D1027" s="76">
        <v>40.809134999999998</v>
      </c>
      <c r="E1027" s="76">
        <v>41.701698</v>
      </c>
      <c r="F1027" s="76">
        <v>24.470922000000002</v>
      </c>
      <c r="G1027" s="79">
        <v>680700</v>
      </c>
    </row>
    <row r="1028" spans="1:7" x14ac:dyDescent="0.25">
      <c r="A1028" s="1" t="s">
        <v>1151</v>
      </c>
      <c r="B1028" s="76">
        <v>41.701698</v>
      </c>
      <c r="C1028" s="76">
        <v>42.177242</v>
      </c>
      <c r="D1028" s="76">
        <v>41.628535999999997</v>
      </c>
      <c r="E1028" s="76">
        <v>42.016289</v>
      </c>
      <c r="F1028" s="76">
        <v>24.655526999999999</v>
      </c>
      <c r="G1028" s="79">
        <v>513100</v>
      </c>
    </row>
    <row r="1029" spans="1:7" x14ac:dyDescent="0.25">
      <c r="A1029" s="1" t="s">
        <v>1152</v>
      </c>
      <c r="B1029" s="76">
        <v>42.016289</v>
      </c>
      <c r="C1029" s="76">
        <v>42.016289</v>
      </c>
      <c r="D1029" s="76">
        <v>41.409053999999998</v>
      </c>
      <c r="E1029" s="76">
        <v>41.562691000000001</v>
      </c>
      <c r="F1029" s="76">
        <v>24.389365999999999</v>
      </c>
      <c r="G1029" s="79">
        <v>444700</v>
      </c>
    </row>
    <row r="1030" spans="1:7" x14ac:dyDescent="0.25">
      <c r="A1030" s="1" t="s">
        <v>1153</v>
      </c>
      <c r="B1030" s="76">
        <v>41.562691000000001</v>
      </c>
      <c r="C1030" s="76">
        <v>42.067501</v>
      </c>
      <c r="D1030" s="76">
        <v>41.482215999999902</v>
      </c>
      <c r="E1030" s="76">
        <v>41.987026</v>
      </c>
      <c r="F1030" s="76">
        <v>24.638369000000001</v>
      </c>
      <c r="G1030" s="79">
        <v>313100</v>
      </c>
    </row>
    <row r="1031" spans="1:7" x14ac:dyDescent="0.25">
      <c r="A1031" s="1" t="s">
        <v>1154</v>
      </c>
      <c r="B1031" s="76">
        <v>42.030921999999997</v>
      </c>
      <c r="C1031" s="76">
        <v>42.908852000000003</v>
      </c>
      <c r="D1031" s="76">
        <v>41.935814000000001</v>
      </c>
      <c r="E1031" s="76">
        <v>42.908852000000003</v>
      </c>
      <c r="F1031" s="76">
        <v>25.179302</v>
      </c>
      <c r="G1031" s="79">
        <v>440700</v>
      </c>
    </row>
    <row r="1032" spans="1:7" x14ac:dyDescent="0.25">
      <c r="A1032" s="1" t="s">
        <v>1155</v>
      </c>
      <c r="B1032" s="76">
        <v>42.908852000000003</v>
      </c>
      <c r="C1032" s="76">
        <v>43.194179999999903</v>
      </c>
      <c r="D1032" s="76">
        <v>42.543048999999897</v>
      </c>
      <c r="E1032" s="76">
        <v>42.982013999999999</v>
      </c>
      <c r="F1032" s="76">
        <v>25.222232999999999</v>
      </c>
      <c r="G1032" s="79">
        <v>666100</v>
      </c>
    </row>
    <row r="1033" spans="1:7" x14ac:dyDescent="0.25">
      <c r="A1033" s="1" t="s">
        <v>1156</v>
      </c>
      <c r="B1033" s="76">
        <v>43.091754999999999</v>
      </c>
      <c r="C1033" s="76">
        <v>43.238075000000002</v>
      </c>
      <c r="D1033" s="76">
        <v>43.018593000000003</v>
      </c>
      <c r="E1033" s="76">
        <v>43.238075000000002</v>
      </c>
      <c r="F1033" s="76">
        <v>25.372485999999999</v>
      </c>
      <c r="G1033" s="79">
        <v>391300</v>
      </c>
    </row>
    <row r="1034" spans="1:7" x14ac:dyDescent="0.25">
      <c r="A1034" s="1" t="s">
        <v>1157</v>
      </c>
      <c r="B1034" s="76">
        <v>43.384399000000002</v>
      </c>
      <c r="C1034" s="76">
        <v>43.457557999999999</v>
      </c>
      <c r="D1034" s="76">
        <v>42.960064000000003</v>
      </c>
      <c r="E1034" s="76">
        <v>43.457557999999999</v>
      </c>
      <c r="F1034" s="76">
        <v>25.501277999999999</v>
      </c>
      <c r="G1034" s="79">
        <v>515000</v>
      </c>
    </row>
    <row r="1035" spans="1:7" x14ac:dyDescent="0.25">
      <c r="A1035" s="1" t="s">
        <v>1158</v>
      </c>
      <c r="B1035" s="76">
        <v>43.355133000000002</v>
      </c>
      <c r="C1035" s="76">
        <v>43.677039999999998</v>
      </c>
      <c r="D1035" s="76">
        <v>42.616207000000003</v>
      </c>
      <c r="E1035" s="76">
        <v>42.718635999999996</v>
      </c>
      <c r="F1035" s="76">
        <v>25.067677</v>
      </c>
      <c r="G1035" s="79">
        <v>450300</v>
      </c>
    </row>
    <row r="1036" spans="1:7" x14ac:dyDescent="0.25">
      <c r="A1036" s="1" t="s">
        <v>1159</v>
      </c>
      <c r="B1036" s="76">
        <v>42.301617</v>
      </c>
      <c r="C1036" s="76">
        <v>42.308933000000003</v>
      </c>
      <c r="D1036" s="76">
        <v>41.767544000000001</v>
      </c>
      <c r="E1036" s="76">
        <v>42.001655999999997</v>
      </c>
      <c r="F1036" s="76">
        <v>24.646951999999999</v>
      </c>
      <c r="G1036" s="79">
        <v>723800</v>
      </c>
    </row>
    <row r="1037" spans="1:7" x14ac:dyDescent="0.25">
      <c r="A1037" s="1" t="s">
        <v>1160</v>
      </c>
      <c r="B1037" s="76">
        <v>42.140663000000004</v>
      </c>
      <c r="C1037" s="76">
        <v>42.177242</v>
      </c>
      <c r="D1037" s="76">
        <v>42.001655999999997</v>
      </c>
      <c r="E1037" s="76">
        <v>42.140663000000004</v>
      </c>
      <c r="F1037" s="76">
        <v>24.728525000000001</v>
      </c>
      <c r="G1037" s="79">
        <v>366900</v>
      </c>
    </row>
    <row r="1038" spans="1:7" x14ac:dyDescent="0.25">
      <c r="A1038" s="1" t="s">
        <v>1161</v>
      </c>
      <c r="B1038" s="76">
        <v>42.286982999999999</v>
      </c>
      <c r="C1038" s="76">
        <v>42.286982999999999</v>
      </c>
      <c r="D1038" s="76">
        <v>41.848019000000001</v>
      </c>
      <c r="E1038" s="76">
        <v>42.118713</v>
      </c>
      <c r="F1038" s="76">
        <v>24.715630999999998</v>
      </c>
      <c r="G1038" s="79">
        <v>339700</v>
      </c>
    </row>
    <row r="1039" spans="1:7" x14ac:dyDescent="0.25">
      <c r="A1039" s="1" t="s">
        <v>1162</v>
      </c>
      <c r="B1039" s="76">
        <v>42.030921999999997</v>
      </c>
      <c r="C1039" s="76">
        <v>42.140663000000004</v>
      </c>
      <c r="D1039" s="76">
        <v>41.701698</v>
      </c>
      <c r="E1039" s="76">
        <v>42.067501</v>
      </c>
      <c r="F1039" s="76">
        <v>24.685580999999999</v>
      </c>
      <c r="G1039" s="79">
        <v>537800</v>
      </c>
    </row>
    <row r="1040" spans="1:7" x14ac:dyDescent="0.25">
      <c r="A1040" s="1" t="s">
        <v>1163</v>
      </c>
      <c r="B1040" s="76">
        <v>42.213825</v>
      </c>
      <c r="C1040" s="76">
        <v>42.345511999999999</v>
      </c>
      <c r="D1040" s="76">
        <v>41.928497</v>
      </c>
      <c r="E1040" s="76">
        <v>42.104084</v>
      </c>
      <c r="F1040" s="76">
        <v>24.707048</v>
      </c>
      <c r="G1040" s="79">
        <v>315600</v>
      </c>
    </row>
    <row r="1041" spans="1:7" x14ac:dyDescent="0.25">
      <c r="A1041" s="1" t="s">
        <v>1164</v>
      </c>
      <c r="B1041" s="76">
        <v>42.286982999999999</v>
      </c>
      <c r="C1041" s="76">
        <v>42.638157</v>
      </c>
      <c r="D1041" s="76">
        <v>41.95776</v>
      </c>
      <c r="E1041" s="76">
        <v>42.082134000000003</v>
      </c>
      <c r="F1041" s="76">
        <v>24.694174</v>
      </c>
      <c r="G1041" s="79">
        <v>306800</v>
      </c>
    </row>
    <row r="1042" spans="1:7" x14ac:dyDescent="0.25">
      <c r="A1042" s="1" t="s">
        <v>1165</v>
      </c>
      <c r="B1042" s="76">
        <v>42.177242</v>
      </c>
      <c r="C1042" s="76">
        <v>42.433307999999997</v>
      </c>
      <c r="D1042" s="76">
        <v>41.767544000000001</v>
      </c>
      <c r="E1042" s="76">
        <v>42.433307999999997</v>
      </c>
      <c r="F1042" s="76">
        <v>24.900236</v>
      </c>
      <c r="G1042" s="79">
        <v>462800</v>
      </c>
    </row>
    <row r="1043" spans="1:7" x14ac:dyDescent="0.25">
      <c r="A1043" s="1" t="s">
        <v>1166</v>
      </c>
      <c r="B1043" s="76">
        <v>42.506465999999897</v>
      </c>
      <c r="C1043" s="76">
        <v>42.762531000000003</v>
      </c>
      <c r="D1043" s="76">
        <v>42.338196000000003</v>
      </c>
      <c r="E1043" s="76">
        <v>42.762531000000003</v>
      </c>
      <c r="F1043" s="76">
        <v>25.093427999999999</v>
      </c>
      <c r="G1043" s="79">
        <v>8134000</v>
      </c>
    </row>
    <row r="1044" spans="1:7" x14ac:dyDescent="0.25">
      <c r="A1044" s="1" t="s">
        <v>1167</v>
      </c>
      <c r="B1044" s="76">
        <v>41.555374</v>
      </c>
      <c r="C1044" s="76">
        <v>41.943126999999997</v>
      </c>
      <c r="D1044" s="76">
        <v>41.328578999999998</v>
      </c>
      <c r="E1044" s="76">
        <v>41.613903000000001</v>
      </c>
      <c r="F1044" s="76">
        <v>24.419401000000001</v>
      </c>
      <c r="G1044" s="79">
        <v>2042200</v>
      </c>
    </row>
    <row r="1045" spans="1:7" x14ac:dyDescent="0.25">
      <c r="A1045" s="1" t="s">
        <v>1168</v>
      </c>
      <c r="B1045" s="76">
        <v>41.687064999999997</v>
      </c>
      <c r="C1045" s="76">
        <v>41.738276999999997</v>
      </c>
      <c r="D1045" s="76">
        <v>41.518794999999997</v>
      </c>
      <c r="E1045" s="76">
        <v>41.628535999999997</v>
      </c>
      <c r="F1045" s="76">
        <v>24.427994000000002</v>
      </c>
      <c r="G1045" s="79">
        <v>597700</v>
      </c>
    </row>
    <row r="1046" spans="1:7" x14ac:dyDescent="0.25">
      <c r="A1046" s="1" t="s">
        <v>1169</v>
      </c>
      <c r="B1046" s="76">
        <v>41.679749000000001</v>
      </c>
      <c r="C1046" s="76">
        <v>41.913863999999997</v>
      </c>
      <c r="D1046" s="76">
        <v>41.672432000000001</v>
      </c>
      <c r="E1046" s="76">
        <v>41.884602000000001</v>
      </c>
      <c r="F1046" s="76">
        <v>24.578254999999999</v>
      </c>
      <c r="G1046" s="79">
        <v>733700</v>
      </c>
    </row>
    <row r="1047" spans="1:7" x14ac:dyDescent="0.25">
      <c r="A1047" s="1" t="s">
        <v>1170</v>
      </c>
      <c r="B1047" s="76">
        <v>41.884602000000001</v>
      </c>
      <c r="C1047" s="76">
        <v>42.418673999999903</v>
      </c>
      <c r="D1047" s="76">
        <v>41.752910999999997</v>
      </c>
      <c r="E1047" s="76">
        <v>42.213825</v>
      </c>
      <c r="F1047" s="76">
        <v>24.771442</v>
      </c>
      <c r="G1047" s="79">
        <v>532000</v>
      </c>
    </row>
    <row r="1048" spans="1:7" x14ac:dyDescent="0.25">
      <c r="A1048" s="1" t="s">
        <v>1171</v>
      </c>
      <c r="B1048" s="76">
        <v>42.221138000000003</v>
      </c>
      <c r="C1048" s="76">
        <v>42.506465999999897</v>
      </c>
      <c r="D1048" s="76">
        <v>42.089450999999997</v>
      </c>
      <c r="E1048" s="76">
        <v>42.250403999999897</v>
      </c>
      <c r="F1048" s="76">
        <v>24.792909999999999</v>
      </c>
      <c r="G1048" s="79">
        <v>509600</v>
      </c>
    </row>
    <row r="1049" spans="1:7" x14ac:dyDescent="0.25">
      <c r="A1049" s="1" t="s">
        <v>1172</v>
      </c>
      <c r="B1049" s="76">
        <v>42.360146</v>
      </c>
      <c r="C1049" s="76">
        <v>42.382095</v>
      </c>
      <c r="D1049" s="76">
        <v>41.913863999999997</v>
      </c>
      <c r="E1049" s="76">
        <v>42.030921999999997</v>
      </c>
      <c r="F1049" s="76">
        <v>24.664117999999998</v>
      </c>
      <c r="G1049" s="79">
        <v>509600</v>
      </c>
    </row>
    <row r="1050" spans="1:7" x14ac:dyDescent="0.25">
      <c r="A1050" s="1" t="s">
        <v>1173</v>
      </c>
      <c r="B1050" s="76">
        <v>42.045555</v>
      </c>
      <c r="C1050" s="76">
        <v>42.455253999999996</v>
      </c>
      <c r="D1050" s="76">
        <v>41.921180999999997</v>
      </c>
      <c r="E1050" s="76">
        <v>42.360146</v>
      </c>
      <c r="F1050" s="76">
        <v>24.857315</v>
      </c>
      <c r="G1050" s="79">
        <v>559600</v>
      </c>
    </row>
    <row r="1051" spans="1:7" x14ac:dyDescent="0.25">
      <c r="A1051" s="1" t="s">
        <v>1174</v>
      </c>
      <c r="B1051" s="76">
        <v>42.433307999999997</v>
      </c>
      <c r="C1051" s="76">
        <v>42.696686</v>
      </c>
      <c r="D1051" s="76">
        <v>42.286982999999999</v>
      </c>
      <c r="E1051" s="76">
        <v>42.630839999999999</v>
      </c>
      <c r="F1051" s="76">
        <v>25.01615</v>
      </c>
      <c r="G1051" s="79">
        <v>363400</v>
      </c>
    </row>
    <row r="1052" spans="1:7" x14ac:dyDescent="0.25">
      <c r="A1052" s="1" t="s">
        <v>1175</v>
      </c>
      <c r="B1052" s="76">
        <v>42.762531000000003</v>
      </c>
      <c r="C1052" s="76">
        <v>42.799109999999999</v>
      </c>
      <c r="D1052" s="76">
        <v>42.440624</v>
      </c>
      <c r="E1052" s="76">
        <v>42.791794000000003</v>
      </c>
      <c r="F1052" s="76">
        <v>25.110607000000002</v>
      </c>
      <c r="G1052" s="79">
        <v>274100</v>
      </c>
    </row>
    <row r="1053" spans="1:7" x14ac:dyDescent="0.25">
      <c r="A1053" s="1" t="s">
        <v>1176</v>
      </c>
      <c r="B1053" s="76">
        <v>43.018593000000003</v>
      </c>
      <c r="C1053" s="76">
        <v>43.033225999999999</v>
      </c>
      <c r="D1053" s="76">
        <v>42.323566</v>
      </c>
      <c r="E1053" s="76">
        <v>42.323566</v>
      </c>
      <c r="F1053" s="76">
        <v>24.835842</v>
      </c>
      <c r="G1053" s="79">
        <v>517100</v>
      </c>
    </row>
    <row r="1054" spans="1:7" x14ac:dyDescent="0.25">
      <c r="A1054" s="1" t="s">
        <v>1177</v>
      </c>
      <c r="B1054" s="76">
        <v>42.330883</v>
      </c>
      <c r="C1054" s="76">
        <v>42.330883</v>
      </c>
      <c r="D1054" s="76">
        <v>41.994343000000001</v>
      </c>
      <c r="E1054" s="76">
        <v>41.994343000000001</v>
      </c>
      <c r="F1054" s="76">
        <v>24.642652999999999</v>
      </c>
      <c r="G1054" s="79">
        <v>530500</v>
      </c>
    </row>
    <row r="1055" spans="1:7" x14ac:dyDescent="0.25">
      <c r="A1055" s="1" t="s">
        <v>1178</v>
      </c>
      <c r="B1055" s="76">
        <v>42.030921999999997</v>
      </c>
      <c r="C1055" s="76">
        <v>42.213825</v>
      </c>
      <c r="D1055" s="76">
        <v>42.001655999999997</v>
      </c>
      <c r="E1055" s="76">
        <v>42.104084</v>
      </c>
      <c r="F1055" s="76">
        <v>24.707048</v>
      </c>
      <c r="G1055" s="79">
        <v>450100</v>
      </c>
    </row>
    <row r="1056" spans="1:7" x14ac:dyDescent="0.25">
      <c r="A1056" s="1" t="s">
        <v>1179</v>
      </c>
      <c r="B1056" s="76">
        <v>42.104084</v>
      </c>
      <c r="C1056" s="76">
        <v>42.104084</v>
      </c>
      <c r="D1056" s="76">
        <v>41.884602000000001</v>
      </c>
      <c r="E1056" s="76">
        <v>41.891914</v>
      </c>
      <c r="F1056" s="76">
        <v>24.582547999999999</v>
      </c>
      <c r="G1056" s="79">
        <v>398700</v>
      </c>
    </row>
    <row r="1057" spans="1:7" x14ac:dyDescent="0.25">
      <c r="A1057" s="1" t="s">
        <v>1180</v>
      </c>
      <c r="B1057" s="76">
        <v>42.030921999999997</v>
      </c>
      <c r="C1057" s="76">
        <v>42.484520000000003</v>
      </c>
      <c r="D1057" s="76">
        <v>41.994343000000001</v>
      </c>
      <c r="E1057" s="76">
        <v>42.104084</v>
      </c>
      <c r="F1057" s="76">
        <v>24.707048</v>
      </c>
      <c r="G1057" s="79">
        <v>569400</v>
      </c>
    </row>
    <row r="1058" spans="1:7" x14ac:dyDescent="0.25">
      <c r="A1058" s="1" t="s">
        <v>1181</v>
      </c>
      <c r="B1058" s="76">
        <v>42.272354</v>
      </c>
      <c r="C1058" s="76">
        <v>42.872271999999903</v>
      </c>
      <c r="D1058" s="76">
        <v>42.228454999999997</v>
      </c>
      <c r="E1058" s="76">
        <v>42.872271999999903</v>
      </c>
      <c r="F1058" s="76">
        <v>25.157829</v>
      </c>
      <c r="G1058" s="79">
        <v>610000</v>
      </c>
    </row>
    <row r="1059" spans="1:7" x14ac:dyDescent="0.25">
      <c r="A1059" s="1" t="s">
        <v>1182</v>
      </c>
      <c r="B1059" s="76">
        <v>42.872271999999903</v>
      </c>
      <c r="C1059" s="76">
        <v>43.238075000000002</v>
      </c>
      <c r="D1059" s="76">
        <v>42.762531000000003</v>
      </c>
      <c r="E1059" s="76">
        <v>43.238075000000002</v>
      </c>
      <c r="F1059" s="76">
        <v>25.372485999999999</v>
      </c>
      <c r="G1059" s="79">
        <v>505700</v>
      </c>
    </row>
    <row r="1060" spans="1:7" x14ac:dyDescent="0.25">
      <c r="A1060" s="1" t="s">
        <v>1183</v>
      </c>
      <c r="B1060" s="76">
        <v>43.238075000000002</v>
      </c>
      <c r="C1060" s="76">
        <v>43.640461000000002</v>
      </c>
      <c r="D1060" s="76">
        <v>43.164916999999903</v>
      </c>
      <c r="E1060" s="76">
        <v>43.530720000000002</v>
      </c>
      <c r="F1060" s="76">
        <v>25.544218000000001</v>
      </c>
      <c r="G1060" s="79">
        <v>650300</v>
      </c>
    </row>
    <row r="1061" spans="1:7" x14ac:dyDescent="0.25">
      <c r="A1061" s="1" t="s">
        <v>1184</v>
      </c>
      <c r="B1061" s="76">
        <v>43.530720000000002</v>
      </c>
      <c r="C1061" s="76">
        <v>43.896522999999902</v>
      </c>
      <c r="D1061" s="76">
        <v>43.399028999999999</v>
      </c>
      <c r="E1061" s="76">
        <v>43.538035999999998</v>
      </c>
      <c r="F1061" s="76">
        <v>25.548525000000001</v>
      </c>
      <c r="G1061" s="79">
        <v>464100</v>
      </c>
    </row>
    <row r="1062" spans="1:7" x14ac:dyDescent="0.25">
      <c r="A1062" s="1" t="s">
        <v>1185</v>
      </c>
      <c r="B1062" s="76">
        <v>43.494140999999999</v>
      </c>
      <c r="C1062" s="76">
        <v>43.750202000000002</v>
      </c>
      <c r="D1062" s="76">
        <v>43.494140999999999</v>
      </c>
      <c r="E1062" s="76">
        <v>43.742885999999999</v>
      </c>
      <c r="F1062" s="76">
        <v>25.668714999999999</v>
      </c>
      <c r="G1062" s="79">
        <v>439300</v>
      </c>
    </row>
    <row r="1063" spans="1:7" x14ac:dyDescent="0.25">
      <c r="A1063" s="1" t="s">
        <v>1186</v>
      </c>
      <c r="B1063" s="76">
        <v>43.399028999999999</v>
      </c>
      <c r="C1063" s="76">
        <v>43.677039999999998</v>
      </c>
      <c r="D1063" s="76">
        <v>43.238075000000002</v>
      </c>
      <c r="E1063" s="76">
        <v>43.274658000000002</v>
      </c>
      <c r="F1063" s="76">
        <v>25.393957</v>
      </c>
      <c r="G1063" s="79">
        <v>376800</v>
      </c>
    </row>
    <row r="1064" spans="1:7" x14ac:dyDescent="0.25">
      <c r="A1064" s="1" t="s">
        <v>1187</v>
      </c>
      <c r="B1064" s="76">
        <v>43.303921000000003</v>
      </c>
      <c r="C1064" s="76">
        <v>43.896522999999902</v>
      </c>
      <c r="D1064" s="76">
        <v>43.281970999999999</v>
      </c>
      <c r="E1064" s="76">
        <v>43.896522999999902</v>
      </c>
      <c r="F1064" s="76">
        <v>25.758876999999998</v>
      </c>
      <c r="G1064" s="79">
        <v>495000</v>
      </c>
    </row>
    <row r="1065" spans="1:7" x14ac:dyDescent="0.25">
      <c r="A1065" s="1" t="s">
        <v>1188</v>
      </c>
      <c r="B1065" s="76">
        <v>43.896522999999902</v>
      </c>
      <c r="C1065" s="76">
        <v>43.896522999999902</v>
      </c>
      <c r="D1065" s="76">
        <v>43.223441999999999</v>
      </c>
      <c r="E1065" s="76">
        <v>43.230758999999999</v>
      </c>
      <c r="F1065" s="76">
        <v>25.368195</v>
      </c>
      <c r="G1065" s="79">
        <v>566400</v>
      </c>
    </row>
    <row r="1066" spans="1:7" x14ac:dyDescent="0.25">
      <c r="A1066" s="1" t="s">
        <v>1189</v>
      </c>
      <c r="B1066" s="76">
        <v>43.596564999999998</v>
      </c>
      <c r="C1066" s="76">
        <v>43.845309999999998</v>
      </c>
      <c r="D1066" s="76">
        <v>43.559981999999998</v>
      </c>
      <c r="E1066" s="76">
        <v>43.713622999999998</v>
      </c>
      <c r="F1066" s="76">
        <v>25.651539</v>
      </c>
      <c r="G1066" s="79">
        <v>670000</v>
      </c>
    </row>
    <row r="1067" spans="1:7" x14ac:dyDescent="0.25">
      <c r="A1067" s="1" t="s">
        <v>1190</v>
      </c>
      <c r="B1067" s="76">
        <v>43.859943000000001</v>
      </c>
      <c r="C1067" s="76">
        <v>44.262329000000001</v>
      </c>
      <c r="D1067" s="76">
        <v>43.764834999999998</v>
      </c>
      <c r="E1067" s="76">
        <v>44.167217000000001</v>
      </c>
      <c r="F1067" s="76">
        <v>25.917708999999999</v>
      </c>
      <c r="G1067" s="79">
        <v>862200</v>
      </c>
    </row>
    <row r="1068" spans="1:7" x14ac:dyDescent="0.25">
      <c r="A1068" s="1" t="s">
        <v>1191</v>
      </c>
      <c r="B1068" s="76">
        <v>44.225746000000001</v>
      </c>
      <c r="C1068" s="76">
        <v>44.372070000000001</v>
      </c>
      <c r="D1068" s="76">
        <v>44.152588000000002</v>
      </c>
      <c r="E1068" s="76">
        <v>44.247695999999998</v>
      </c>
      <c r="F1068" s="76">
        <v>25.964942999999899</v>
      </c>
      <c r="G1068" s="79">
        <v>931200</v>
      </c>
    </row>
    <row r="1069" spans="1:7" x14ac:dyDescent="0.25">
      <c r="A1069" s="1" t="s">
        <v>1192</v>
      </c>
      <c r="B1069" s="76">
        <v>44.269646000000002</v>
      </c>
      <c r="C1069" s="76">
        <v>44.533023999999997</v>
      </c>
      <c r="D1069" s="76">
        <v>44.181849999999997</v>
      </c>
      <c r="E1069" s="76">
        <v>44.533023999999997</v>
      </c>
      <c r="F1069" s="76">
        <v>26.132384999999999</v>
      </c>
      <c r="G1069" s="79">
        <v>569500</v>
      </c>
    </row>
    <row r="1070" spans="1:7" x14ac:dyDescent="0.25">
      <c r="A1070" s="1" t="s">
        <v>1193</v>
      </c>
      <c r="B1070" s="76">
        <v>44.518390999999902</v>
      </c>
      <c r="C1070" s="76">
        <v>44.518390999999902</v>
      </c>
      <c r="D1070" s="76">
        <v>43.435611999999999</v>
      </c>
      <c r="E1070" s="76">
        <v>43.450240999999998</v>
      </c>
      <c r="F1070" s="76">
        <v>25.496988000000002</v>
      </c>
      <c r="G1070" s="79">
        <v>1138700</v>
      </c>
    </row>
    <row r="1071" spans="1:7" x14ac:dyDescent="0.25">
      <c r="A1071" s="1" t="s">
        <v>1194</v>
      </c>
      <c r="B1071" s="76">
        <v>43.450240999999998</v>
      </c>
      <c r="C1071" s="76">
        <v>43.603881999999999</v>
      </c>
      <c r="D1071" s="76">
        <v>41.921180999999997</v>
      </c>
      <c r="E1071" s="76">
        <v>42.052872000000001</v>
      </c>
      <c r="F1071" s="76">
        <v>24.676995999999999</v>
      </c>
      <c r="G1071" s="79">
        <v>1539400</v>
      </c>
    </row>
    <row r="1072" spans="1:7" x14ac:dyDescent="0.25">
      <c r="A1072" s="1" t="s">
        <v>1195</v>
      </c>
      <c r="B1072" s="76">
        <v>42.052872000000001</v>
      </c>
      <c r="C1072" s="76">
        <v>42.052872000000001</v>
      </c>
      <c r="D1072" s="76">
        <v>39.616610999999999</v>
      </c>
      <c r="E1072" s="76">
        <v>40.970089000000002</v>
      </c>
      <c r="F1072" s="76">
        <v>24.041618</v>
      </c>
      <c r="G1072" s="79">
        <v>2036600</v>
      </c>
    </row>
    <row r="1073" spans="1:7" x14ac:dyDescent="0.25">
      <c r="A1073" s="1" t="s">
        <v>1196</v>
      </c>
      <c r="B1073" s="76">
        <v>40.970089000000002</v>
      </c>
      <c r="C1073" s="76">
        <v>41.811439999999997</v>
      </c>
      <c r="D1073" s="76">
        <v>40.421382999999999</v>
      </c>
      <c r="E1073" s="76">
        <v>41.474899000000001</v>
      </c>
      <c r="F1073" s="76">
        <v>24.337838999999999</v>
      </c>
      <c r="G1073" s="79">
        <v>1769200</v>
      </c>
    </row>
    <row r="1074" spans="1:7" x14ac:dyDescent="0.25">
      <c r="A1074" s="1" t="s">
        <v>1197</v>
      </c>
      <c r="B1074" s="76">
        <v>41.394421000000001</v>
      </c>
      <c r="C1074" s="76">
        <v>41.591957000000001</v>
      </c>
      <c r="D1074" s="76">
        <v>40.355536999999998</v>
      </c>
      <c r="E1074" s="76">
        <v>40.501857999999999</v>
      </c>
      <c r="F1074" s="76">
        <v>23.766853000000001</v>
      </c>
      <c r="G1074" s="79">
        <v>899200</v>
      </c>
    </row>
    <row r="1075" spans="1:7" x14ac:dyDescent="0.25">
      <c r="A1075" s="1" t="s">
        <v>1198</v>
      </c>
      <c r="B1075" s="76">
        <v>40.501857999999999</v>
      </c>
      <c r="C1075" s="76">
        <v>40.501857999999999</v>
      </c>
      <c r="D1075" s="76">
        <v>37.077930000000002</v>
      </c>
      <c r="E1075" s="76">
        <v>38.380195999999998</v>
      </c>
      <c r="F1075" s="76">
        <v>22.521834999999999</v>
      </c>
      <c r="G1075" s="79">
        <v>2118700</v>
      </c>
    </row>
    <row r="1076" spans="1:7" x14ac:dyDescent="0.25">
      <c r="A1076" s="1" t="s">
        <v>1199</v>
      </c>
      <c r="B1076" s="76">
        <v>38.043655000000001</v>
      </c>
      <c r="C1076" s="76">
        <v>39.272758000000003</v>
      </c>
      <c r="D1076" s="76">
        <v>37.494948999999998</v>
      </c>
      <c r="E1076" s="76">
        <v>38.080234999999902</v>
      </c>
      <c r="F1076" s="76">
        <v>22.345822999999999</v>
      </c>
      <c r="G1076" s="79">
        <v>1438400</v>
      </c>
    </row>
    <row r="1077" spans="1:7" x14ac:dyDescent="0.25">
      <c r="A1077" s="1" t="s">
        <v>1200</v>
      </c>
      <c r="B1077" s="76">
        <v>37.751010999999998</v>
      </c>
      <c r="C1077" s="76">
        <v>38.402141999999998</v>
      </c>
      <c r="D1077" s="76">
        <v>37.494948999999998</v>
      </c>
      <c r="E1077" s="76">
        <v>37.633952999999998</v>
      </c>
      <c r="F1077" s="76">
        <v>22.083931</v>
      </c>
      <c r="G1077" s="79">
        <v>1408300</v>
      </c>
    </row>
    <row r="1078" spans="1:7" x14ac:dyDescent="0.25">
      <c r="A1078" s="1" t="s">
        <v>1201</v>
      </c>
      <c r="B1078" s="76">
        <v>37.677849000000002</v>
      </c>
      <c r="C1078" s="76">
        <v>38.760632000000001</v>
      </c>
      <c r="D1078" s="76">
        <v>37.421787000000002</v>
      </c>
      <c r="E1078" s="76">
        <v>38.760632000000001</v>
      </c>
      <c r="F1078" s="76">
        <v>22.745086999999899</v>
      </c>
      <c r="G1078" s="79">
        <v>993100</v>
      </c>
    </row>
    <row r="1079" spans="1:7" x14ac:dyDescent="0.25">
      <c r="A1079" s="1" t="s">
        <v>1202</v>
      </c>
      <c r="B1079" s="76">
        <v>38.921585</v>
      </c>
      <c r="C1079" s="76">
        <v>40.055576000000002</v>
      </c>
      <c r="D1079" s="76">
        <v>38.921585</v>
      </c>
      <c r="E1079" s="76">
        <v>39.199596</v>
      </c>
      <c r="F1079" s="76">
        <v>23.002669999999998</v>
      </c>
      <c r="G1079" s="79">
        <v>824300</v>
      </c>
    </row>
    <row r="1080" spans="1:7" x14ac:dyDescent="0.25">
      <c r="A1080" s="1" t="s">
        <v>1203</v>
      </c>
      <c r="B1080" s="76">
        <v>39.258125</v>
      </c>
      <c r="C1080" s="76">
        <v>39.616610999999999</v>
      </c>
      <c r="D1080" s="76">
        <v>38.358246000000001</v>
      </c>
      <c r="E1080" s="76">
        <v>39.580032000000003</v>
      </c>
      <c r="F1080" s="76">
        <v>23.225909999999999</v>
      </c>
      <c r="G1080" s="79">
        <v>663500</v>
      </c>
    </row>
    <row r="1081" spans="1:7" x14ac:dyDescent="0.25">
      <c r="A1081" s="1" t="s">
        <v>1204</v>
      </c>
      <c r="B1081" s="76">
        <v>39.580032000000003</v>
      </c>
      <c r="C1081" s="76">
        <v>39.580032000000003</v>
      </c>
      <c r="D1081" s="76">
        <v>37.948543999999998</v>
      </c>
      <c r="E1081" s="76">
        <v>38.058284999999998</v>
      </c>
      <c r="F1081" s="76">
        <v>22.332943</v>
      </c>
      <c r="G1081" s="79">
        <v>908600</v>
      </c>
    </row>
    <row r="1082" spans="1:7" x14ac:dyDescent="0.25">
      <c r="A1082" s="1" t="s">
        <v>1205</v>
      </c>
      <c r="B1082" s="76">
        <v>38.043655000000001</v>
      </c>
      <c r="C1082" s="76">
        <v>38.372878999999998</v>
      </c>
      <c r="D1082" s="76">
        <v>37.560790999999902</v>
      </c>
      <c r="E1082" s="76">
        <v>37.765644000000002</v>
      </c>
      <c r="F1082" s="76">
        <v>22.161217000000001</v>
      </c>
      <c r="G1082" s="79">
        <v>771800</v>
      </c>
    </row>
    <row r="1083" spans="1:7" x14ac:dyDescent="0.25">
      <c r="A1083" s="1" t="s">
        <v>1206</v>
      </c>
      <c r="B1083" s="76">
        <v>37.890014999999998</v>
      </c>
      <c r="C1083" s="76">
        <v>38.987431000000001</v>
      </c>
      <c r="D1083" s="76">
        <v>37.860751999999998</v>
      </c>
      <c r="E1083" s="76">
        <v>38.526516000000001</v>
      </c>
      <c r="F1083" s="76">
        <v>22.607700000000001</v>
      </c>
      <c r="G1083" s="79">
        <v>408300</v>
      </c>
    </row>
    <row r="1084" spans="1:7" x14ac:dyDescent="0.25">
      <c r="A1084" s="1" t="s">
        <v>1207</v>
      </c>
      <c r="B1084" s="76">
        <v>38.811844000000001</v>
      </c>
      <c r="C1084" s="76">
        <v>38.811844000000001</v>
      </c>
      <c r="D1084" s="76">
        <v>37.970492999999998</v>
      </c>
      <c r="E1084" s="76">
        <v>38.109496999999998</v>
      </c>
      <c r="F1084" s="76">
        <v>22.362991000000001</v>
      </c>
      <c r="G1084" s="79">
        <v>415800</v>
      </c>
    </row>
    <row r="1085" spans="1:7" x14ac:dyDescent="0.25">
      <c r="A1085" s="1" t="s">
        <v>1208</v>
      </c>
      <c r="B1085" s="76">
        <v>38.116813999999998</v>
      </c>
      <c r="C1085" s="76">
        <v>38.767947999999997</v>
      </c>
      <c r="D1085" s="76">
        <v>38.080234999999902</v>
      </c>
      <c r="E1085" s="76">
        <v>38.336295999999997</v>
      </c>
      <c r="F1085" s="76">
        <v>22.496077</v>
      </c>
      <c r="G1085" s="79">
        <v>424200</v>
      </c>
    </row>
    <row r="1086" spans="1:7" x14ac:dyDescent="0.25">
      <c r="A1086" s="1" t="s">
        <v>1209</v>
      </c>
      <c r="B1086" s="76">
        <v>38.482619999999997</v>
      </c>
      <c r="C1086" s="76">
        <v>38.789893999999997</v>
      </c>
      <c r="D1086" s="76">
        <v>38.343612999999998</v>
      </c>
      <c r="E1086" s="76">
        <v>38.709418999999997</v>
      </c>
      <c r="F1086" s="76">
        <v>22.715033999999999</v>
      </c>
      <c r="G1086" s="79">
        <v>452400</v>
      </c>
    </row>
    <row r="1087" spans="1:7" x14ac:dyDescent="0.25">
      <c r="A1087" s="1" t="s">
        <v>1210</v>
      </c>
      <c r="B1087" s="76">
        <v>39.133750999999997</v>
      </c>
      <c r="C1087" s="76">
        <v>39.133750999999997</v>
      </c>
      <c r="D1087" s="76">
        <v>38.409458000000001</v>
      </c>
      <c r="E1087" s="76">
        <v>38.745998</v>
      </c>
      <c r="F1087" s="76">
        <v>22.736498000000001</v>
      </c>
      <c r="G1087" s="79">
        <v>456600</v>
      </c>
    </row>
    <row r="1088" spans="1:7" x14ac:dyDescent="0.25">
      <c r="A1088" s="1" t="s">
        <v>1211</v>
      </c>
      <c r="B1088" s="76">
        <v>38.409458000000001</v>
      </c>
      <c r="C1088" s="76">
        <v>38.46067</v>
      </c>
      <c r="D1088" s="76">
        <v>37.173037999999998</v>
      </c>
      <c r="E1088" s="76">
        <v>37.407153999999998</v>
      </c>
      <c r="F1088" s="76">
        <v>22.249133999999898</v>
      </c>
      <c r="G1088" s="79">
        <v>972800</v>
      </c>
    </row>
    <row r="1089" spans="1:7" x14ac:dyDescent="0.25">
      <c r="A1089" s="1" t="s">
        <v>1212</v>
      </c>
      <c r="B1089" s="76">
        <v>37.370575000000002</v>
      </c>
      <c r="C1089" s="76">
        <v>37.509578999999903</v>
      </c>
      <c r="D1089" s="76">
        <v>36.690178000000003</v>
      </c>
      <c r="E1089" s="76">
        <v>36.909659999999903</v>
      </c>
      <c r="F1089" s="76">
        <v>21.953227999999999</v>
      </c>
      <c r="G1089" s="79">
        <v>776300</v>
      </c>
    </row>
    <row r="1090" spans="1:7" x14ac:dyDescent="0.25">
      <c r="A1090" s="1" t="s">
        <v>1213</v>
      </c>
      <c r="B1090" s="76">
        <v>36.580436999999897</v>
      </c>
      <c r="C1090" s="76">
        <v>37.290095999999998</v>
      </c>
      <c r="D1090" s="76">
        <v>36.404850000000003</v>
      </c>
      <c r="E1090" s="76">
        <v>37.231566999999998</v>
      </c>
      <c r="F1090" s="76">
        <v>22.144691000000002</v>
      </c>
      <c r="G1090" s="79">
        <v>898800</v>
      </c>
    </row>
    <row r="1091" spans="1:7" x14ac:dyDescent="0.25">
      <c r="A1091" s="1" t="s">
        <v>1214</v>
      </c>
      <c r="B1091" s="76">
        <v>37.275463000000002</v>
      </c>
      <c r="C1091" s="76">
        <v>37.897331000000001</v>
      </c>
      <c r="D1091" s="76">
        <v>37.092564000000003</v>
      </c>
      <c r="E1091" s="76">
        <v>37.304728999999902</v>
      </c>
      <c r="F1091" s="76">
        <v>22.188206000000001</v>
      </c>
      <c r="G1091" s="79">
        <v>1116300</v>
      </c>
    </row>
    <row r="1092" spans="1:7" x14ac:dyDescent="0.25">
      <c r="A1092" s="1" t="s">
        <v>1215</v>
      </c>
      <c r="B1092" s="76">
        <v>37.304728999999902</v>
      </c>
      <c r="C1092" s="76">
        <v>37.633952999999998</v>
      </c>
      <c r="D1092" s="76">
        <v>36.960872999999999</v>
      </c>
      <c r="E1092" s="76">
        <v>36.960872999999999</v>
      </c>
      <c r="F1092" s="76">
        <v>21.983692000000001</v>
      </c>
      <c r="G1092" s="79">
        <v>418000</v>
      </c>
    </row>
    <row r="1093" spans="1:7" x14ac:dyDescent="0.25">
      <c r="A1093" s="1" t="s">
        <v>1216</v>
      </c>
      <c r="B1093" s="76">
        <v>37.019401999999999</v>
      </c>
      <c r="C1093" s="76">
        <v>37.312046000000002</v>
      </c>
      <c r="D1093" s="76">
        <v>36.624332000000003</v>
      </c>
      <c r="E1093" s="76">
        <v>37.246200999999999</v>
      </c>
      <c r="F1093" s="76">
        <v>22.153399</v>
      </c>
      <c r="G1093" s="79">
        <v>445800</v>
      </c>
    </row>
    <row r="1094" spans="1:7" x14ac:dyDescent="0.25">
      <c r="A1094" s="1" t="s">
        <v>1217</v>
      </c>
      <c r="B1094" s="76">
        <v>37.092564000000003</v>
      </c>
      <c r="C1094" s="76">
        <v>37.092564000000003</v>
      </c>
      <c r="D1094" s="76">
        <v>35.446441999999998</v>
      </c>
      <c r="E1094" s="76">
        <v>35.556182999999997</v>
      </c>
      <c r="F1094" s="76">
        <v>21.148201</v>
      </c>
      <c r="G1094" s="79">
        <v>887700</v>
      </c>
    </row>
    <row r="1095" spans="1:7" x14ac:dyDescent="0.25">
      <c r="A1095" s="1" t="s">
        <v>1218</v>
      </c>
      <c r="B1095" s="76">
        <v>35.226959000000001</v>
      </c>
      <c r="C1095" s="76">
        <v>35.622028</v>
      </c>
      <c r="D1095" s="76">
        <v>34.385609000000002</v>
      </c>
      <c r="E1095" s="76">
        <v>35.183064000000002</v>
      </c>
      <c r="F1095" s="76">
        <v>20.926280999999999</v>
      </c>
      <c r="G1095" s="79">
        <v>1203700</v>
      </c>
    </row>
    <row r="1096" spans="1:7" x14ac:dyDescent="0.25">
      <c r="A1096" s="1" t="s">
        <v>1219</v>
      </c>
      <c r="B1096" s="76">
        <v>35.278171999999998</v>
      </c>
      <c r="C1096" s="76">
        <v>35.834193999999997</v>
      </c>
      <c r="D1096" s="76">
        <v>35.161113999999998</v>
      </c>
      <c r="E1096" s="76">
        <v>35.600082</v>
      </c>
      <c r="F1096" s="76">
        <v>21.174313000000001</v>
      </c>
      <c r="G1096" s="79">
        <v>520400</v>
      </c>
    </row>
    <row r="1097" spans="1:7" x14ac:dyDescent="0.25">
      <c r="A1097" s="1" t="s">
        <v>1220</v>
      </c>
      <c r="B1097" s="76">
        <v>35.446441999999998</v>
      </c>
      <c r="C1097" s="76">
        <v>36.060992999999897</v>
      </c>
      <c r="D1097" s="76">
        <v>35.278171999999998</v>
      </c>
      <c r="E1097" s="76">
        <v>35.878093999999997</v>
      </c>
      <c r="F1097" s="76">
        <v>21.339672</v>
      </c>
      <c r="G1097" s="79">
        <v>610300</v>
      </c>
    </row>
    <row r="1098" spans="1:7" x14ac:dyDescent="0.25">
      <c r="A1098" s="1" t="s">
        <v>1221</v>
      </c>
      <c r="B1098" s="76">
        <v>35.958568999999997</v>
      </c>
      <c r="C1098" s="76">
        <v>36.543858</v>
      </c>
      <c r="D1098" s="76">
        <v>35.885406000000003</v>
      </c>
      <c r="E1098" s="76">
        <v>35.965885</v>
      </c>
      <c r="F1098" s="76">
        <v>21.391893</v>
      </c>
      <c r="G1098" s="79">
        <v>662500</v>
      </c>
    </row>
    <row r="1099" spans="1:7" x14ac:dyDescent="0.25">
      <c r="A1099" s="1" t="s">
        <v>1222</v>
      </c>
      <c r="B1099" s="76">
        <v>36.082943</v>
      </c>
      <c r="C1099" s="76">
        <v>37.092564000000003</v>
      </c>
      <c r="D1099" s="76">
        <v>36.024414</v>
      </c>
      <c r="E1099" s="76">
        <v>36.734074</v>
      </c>
      <c r="F1099" s="76">
        <v>21.848786999999898</v>
      </c>
      <c r="G1099" s="79">
        <v>436900</v>
      </c>
    </row>
    <row r="1100" spans="1:7" x14ac:dyDescent="0.25">
      <c r="A1100" s="1" t="s">
        <v>1223</v>
      </c>
      <c r="B1100" s="76">
        <v>36.617016</v>
      </c>
      <c r="C1100" s="76">
        <v>37.575423999999998</v>
      </c>
      <c r="D1100" s="76">
        <v>36.207316999999897</v>
      </c>
      <c r="E1100" s="76">
        <v>36.982821999999999</v>
      </c>
      <c r="F1100" s="76">
        <v>21.996749999999999</v>
      </c>
      <c r="G1100" s="79">
        <v>555400</v>
      </c>
    </row>
    <row r="1101" spans="1:7" x14ac:dyDescent="0.25">
      <c r="A1101" s="1" t="s">
        <v>1224</v>
      </c>
      <c r="B1101" s="76">
        <v>36.990138999999999</v>
      </c>
      <c r="C1101" s="76">
        <v>37.897331000000001</v>
      </c>
      <c r="D1101" s="76">
        <v>36.909659999999903</v>
      </c>
      <c r="E1101" s="76">
        <v>37.897331000000001</v>
      </c>
      <c r="F1101" s="76">
        <v>22.540678</v>
      </c>
      <c r="G1101" s="79">
        <v>548500</v>
      </c>
    </row>
    <row r="1102" spans="1:7" x14ac:dyDescent="0.25">
      <c r="A1102" s="1" t="s">
        <v>1225</v>
      </c>
      <c r="B1102" s="76">
        <v>37.911963999999998</v>
      </c>
      <c r="C1102" s="76">
        <v>38.372878999999998</v>
      </c>
      <c r="D1102" s="76">
        <v>36.587752999999999</v>
      </c>
      <c r="E1102" s="76">
        <v>36.609698999999999</v>
      </c>
      <c r="F1102" s="76">
        <v>21.774815</v>
      </c>
      <c r="G1102" s="79">
        <v>979500</v>
      </c>
    </row>
    <row r="1103" spans="1:7" x14ac:dyDescent="0.25">
      <c r="A1103" s="1" t="s">
        <v>1226</v>
      </c>
      <c r="B1103" s="76">
        <v>36.704810999999999</v>
      </c>
      <c r="C1103" s="76">
        <v>37.421787000000002</v>
      </c>
      <c r="D1103" s="76">
        <v>36.580436999999897</v>
      </c>
      <c r="E1103" s="76">
        <v>37.216937999999999</v>
      </c>
      <c r="F1103" s="76">
        <v>22.135994</v>
      </c>
      <c r="G1103" s="79">
        <v>608400</v>
      </c>
    </row>
    <row r="1104" spans="1:7" x14ac:dyDescent="0.25">
      <c r="A1104" s="1" t="s">
        <v>1227</v>
      </c>
      <c r="B1104" s="76">
        <v>37.246200999999999</v>
      </c>
      <c r="C1104" s="76">
        <v>37.758327000000001</v>
      </c>
      <c r="D1104" s="76">
        <v>37.224251000000002</v>
      </c>
      <c r="E1104" s="76">
        <v>37.363258000000002</v>
      </c>
      <c r="F1104" s="76">
        <v>22.223022</v>
      </c>
      <c r="G1104" s="79">
        <v>510500</v>
      </c>
    </row>
    <row r="1105" spans="1:7" x14ac:dyDescent="0.25">
      <c r="A1105" s="1" t="s">
        <v>1228</v>
      </c>
      <c r="B1105" s="76">
        <v>37.546162000000002</v>
      </c>
      <c r="C1105" s="76">
        <v>37.999755999999998</v>
      </c>
      <c r="D1105" s="76">
        <v>37.502262000000002</v>
      </c>
      <c r="E1105" s="76">
        <v>37.999755999999998</v>
      </c>
      <c r="F1105" s="76">
        <v>22.601606</v>
      </c>
      <c r="G1105" s="79">
        <v>345900</v>
      </c>
    </row>
    <row r="1106" spans="1:7" x14ac:dyDescent="0.25">
      <c r="A1106" s="1" t="s">
        <v>1229</v>
      </c>
      <c r="B1106" s="76">
        <v>37.999755999999998</v>
      </c>
      <c r="C1106" s="76">
        <v>38.738681999999997</v>
      </c>
      <c r="D1106" s="76">
        <v>37.970492999999998</v>
      </c>
      <c r="E1106" s="76">
        <v>38.724049000000001</v>
      </c>
      <c r="F1106" s="76">
        <v>23.032395999999999</v>
      </c>
      <c r="G1106" s="79">
        <v>444600</v>
      </c>
    </row>
    <row r="1107" spans="1:7" x14ac:dyDescent="0.25">
      <c r="A1107" s="1" t="s">
        <v>1230</v>
      </c>
      <c r="B1107" s="76">
        <v>38.724049000000001</v>
      </c>
      <c r="C1107" s="76">
        <v>39.397129</v>
      </c>
      <c r="D1107" s="76">
        <v>38.482619999999997</v>
      </c>
      <c r="E1107" s="76">
        <v>39.360550000000003</v>
      </c>
      <c r="F1107" s="76">
        <v>23.410972999999998</v>
      </c>
      <c r="G1107" s="79">
        <v>495400</v>
      </c>
    </row>
    <row r="1108" spans="1:7" x14ac:dyDescent="0.25">
      <c r="A1108" s="1" t="s">
        <v>1231</v>
      </c>
      <c r="B1108" s="76">
        <v>39.514187</v>
      </c>
      <c r="C1108" s="76">
        <v>39.645878000000003</v>
      </c>
      <c r="D1108" s="76">
        <v>39.272758000000003</v>
      </c>
      <c r="E1108" s="76">
        <v>39.499553999999897</v>
      </c>
      <c r="F1108" s="76">
        <v>23.493648999999898</v>
      </c>
      <c r="G1108" s="79">
        <v>539100</v>
      </c>
    </row>
    <row r="1109" spans="1:7" x14ac:dyDescent="0.25">
      <c r="A1109" s="1" t="s">
        <v>1232</v>
      </c>
      <c r="B1109" s="76">
        <v>39.506869999999999</v>
      </c>
      <c r="C1109" s="76">
        <v>40.070209999999904</v>
      </c>
      <c r="D1109" s="76">
        <v>39.506869999999999</v>
      </c>
      <c r="E1109" s="76">
        <v>39.982418000000003</v>
      </c>
      <c r="F1109" s="76">
        <v>23.780857000000001</v>
      </c>
      <c r="G1109" s="79">
        <v>504700</v>
      </c>
    </row>
    <row r="1110" spans="1:7" x14ac:dyDescent="0.25">
      <c r="A1110" s="1" t="s">
        <v>1233</v>
      </c>
      <c r="B1110" s="76">
        <v>39.975101000000002</v>
      </c>
      <c r="C1110" s="76">
        <v>39.975101000000002</v>
      </c>
      <c r="D1110" s="76">
        <v>39.250808999999997</v>
      </c>
      <c r="E1110" s="76">
        <v>39.506869999999999</v>
      </c>
      <c r="F1110" s="76">
        <v>23.498009</v>
      </c>
      <c r="G1110" s="79">
        <v>709300</v>
      </c>
    </row>
    <row r="1111" spans="1:7" x14ac:dyDescent="0.25">
      <c r="A1111" s="1" t="s">
        <v>1234</v>
      </c>
      <c r="B1111" s="76">
        <v>39.631245</v>
      </c>
      <c r="C1111" s="76">
        <v>40.055576000000002</v>
      </c>
      <c r="D1111" s="76">
        <v>39.375183</v>
      </c>
      <c r="E1111" s="76">
        <v>40.011681000000003</v>
      </c>
      <c r="F1111" s="76">
        <v>23.798254</v>
      </c>
      <c r="G1111" s="79">
        <v>859800</v>
      </c>
    </row>
    <row r="1112" spans="1:7" x14ac:dyDescent="0.25">
      <c r="A1112" s="1" t="s">
        <v>1235</v>
      </c>
      <c r="B1112" s="76">
        <v>40.194583999999999</v>
      </c>
      <c r="C1112" s="76">
        <v>40.194583999999999</v>
      </c>
      <c r="D1112" s="76">
        <v>39.616610999999999</v>
      </c>
      <c r="E1112" s="76">
        <v>40.158004999999903</v>
      </c>
      <c r="F1112" s="76">
        <v>23.885287999999999</v>
      </c>
      <c r="G1112" s="79">
        <v>762200</v>
      </c>
    </row>
    <row r="1113" spans="1:7" x14ac:dyDescent="0.25">
      <c r="A1113" s="1" t="s">
        <v>1236</v>
      </c>
      <c r="B1113" s="76">
        <v>40.201900000000002</v>
      </c>
      <c r="C1113" s="76">
        <v>40.516490999999903</v>
      </c>
      <c r="D1113" s="76">
        <v>40.106791999999999</v>
      </c>
      <c r="E1113" s="76">
        <v>40.479911999999999</v>
      </c>
      <c r="F1113" s="76">
        <v>24.076750000000001</v>
      </c>
      <c r="G1113" s="79">
        <v>618000</v>
      </c>
    </row>
    <row r="1114" spans="1:7" x14ac:dyDescent="0.25">
      <c r="A1114" s="1" t="s">
        <v>1237</v>
      </c>
      <c r="B1114" s="76">
        <v>40.494545000000002</v>
      </c>
      <c r="C1114" s="76">
        <v>40.750607000000002</v>
      </c>
      <c r="D1114" s="76">
        <v>40.421382999999999</v>
      </c>
      <c r="E1114" s="76">
        <v>40.604286000000002</v>
      </c>
      <c r="F1114" s="76">
        <v>24.150728000000001</v>
      </c>
      <c r="G1114" s="79">
        <v>304300</v>
      </c>
    </row>
    <row r="1115" spans="1:7" x14ac:dyDescent="0.25">
      <c r="A1115" s="1" t="s">
        <v>1238</v>
      </c>
      <c r="B1115" s="76">
        <v>40.611598999999998</v>
      </c>
      <c r="C1115" s="76">
        <v>40.743290000000002</v>
      </c>
      <c r="D1115" s="76">
        <v>40.428699000000002</v>
      </c>
      <c r="E1115" s="76">
        <v>40.618915999999999</v>
      </c>
      <c r="F1115" s="76">
        <v>24.159434999999998</v>
      </c>
      <c r="G1115" s="79">
        <v>302200</v>
      </c>
    </row>
    <row r="1116" spans="1:7" x14ac:dyDescent="0.25">
      <c r="A1116" s="1" t="s">
        <v>1239</v>
      </c>
      <c r="B1116" s="76">
        <v>40.677444000000001</v>
      </c>
      <c r="C1116" s="76">
        <v>40.801819000000002</v>
      </c>
      <c r="D1116" s="76">
        <v>40.465278999999903</v>
      </c>
      <c r="E1116" s="76">
        <v>40.545757000000002</v>
      </c>
      <c r="F1116" s="76">
        <v>24.115910999999901</v>
      </c>
      <c r="G1116" s="79">
        <v>398100</v>
      </c>
    </row>
    <row r="1117" spans="1:7" x14ac:dyDescent="0.25">
      <c r="A1117" s="1" t="s">
        <v>1240</v>
      </c>
      <c r="B1117" s="76">
        <v>40.560386999999999</v>
      </c>
      <c r="C1117" s="76">
        <v>40.684761000000002</v>
      </c>
      <c r="D1117" s="76">
        <v>40.201900000000002</v>
      </c>
      <c r="E1117" s="76">
        <v>40.618915999999999</v>
      </c>
      <c r="F1117" s="76">
        <v>24.159434999999998</v>
      </c>
      <c r="G1117" s="79">
        <v>603900</v>
      </c>
    </row>
    <row r="1118" spans="1:7" x14ac:dyDescent="0.25">
      <c r="A1118" s="1" t="s">
        <v>1241</v>
      </c>
      <c r="B1118" s="76">
        <v>40.238479999999903</v>
      </c>
      <c r="C1118" s="76">
        <v>40.238479999999903</v>
      </c>
      <c r="D1118" s="76">
        <v>39.653193999999999</v>
      </c>
      <c r="E1118" s="76">
        <v>39.916573</v>
      </c>
      <c r="F1118" s="76">
        <v>23.741689999999998</v>
      </c>
      <c r="G1118" s="79">
        <v>826400</v>
      </c>
    </row>
    <row r="1119" spans="1:7" x14ac:dyDescent="0.25">
      <c r="A1119" s="1" t="s">
        <v>1242</v>
      </c>
      <c r="B1119" s="76">
        <v>40.165317999999999</v>
      </c>
      <c r="C1119" s="76">
        <v>40.457962000000002</v>
      </c>
      <c r="D1119" s="76">
        <v>40.121421999999903</v>
      </c>
      <c r="E1119" s="76">
        <v>40.406750000000002</v>
      </c>
      <c r="F1119" s="76">
        <v>24.033235999999999</v>
      </c>
      <c r="G1119" s="79">
        <v>485400</v>
      </c>
    </row>
    <row r="1120" spans="1:7" x14ac:dyDescent="0.25">
      <c r="A1120" s="1" t="s">
        <v>1243</v>
      </c>
      <c r="B1120" s="76">
        <v>40.384803999999903</v>
      </c>
      <c r="C1120" s="76">
        <v>40.735973000000001</v>
      </c>
      <c r="D1120" s="76">
        <v>40.267746000000002</v>
      </c>
      <c r="E1120" s="76">
        <v>40.465278999999903</v>
      </c>
      <c r="F1120" s="76">
        <v>24.068049999999999</v>
      </c>
      <c r="G1120" s="79">
        <v>476900</v>
      </c>
    </row>
    <row r="1121" spans="1:7" x14ac:dyDescent="0.25">
      <c r="A1121" s="1" t="s">
        <v>1244</v>
      </c>
      <c r="B1121" s="76">
        <v>40.633549000000002</v>
      </c>
      <c r="C1121" s="76">
        <v>41.101779999999998</v>
      </c>
      <c r="D1121" s="76">
        <v>40.472594999999998</v>
      </c>
      <c r="E1121" s="76">
        <v>40.992038999999998</v>
      </c>
      <c r="F1121" s="76">
        <v>24.381359</v>
      </c>
      <c r="G1121" s="79">
        <v>789600</v>
      </c>
    </row>
    <row r="1122" spans="1:7" x14ac:dyDescent="0.25">
      <c r="A1122" s="1" t="s">
        <v>1245</v>
      </c>
      <c r="B1122" s="76">
        <v>40.970089000000002</v>
      </c>
      <c r="C1122" s="76">
        <v>41.284678999999997</v>
      </c>
      <c r="D1122" s="76">
        <v>40.853031000000001</v>
      </c>
      <c r="E1122" s="76">
        <v>41.277363000000001</v>
      </c>
      <c r="F1122" s="76">
        <v>24.55106</v>
      </c>
      <c r="G1122" s="79">
        <v>507900</v>
      </c>
    </row>
    <row r="1123" spans="1:7" x14ac:dyDescent="0.25">
      <c r="A1123" s="1" t="s">
        <v>1246</v>
      </c>
      <c r="B1123" s="76">
        <v>41.299312999999998</v>
      </c>
      <c r="C1123" s="76">
        <v>41.474899000000001</v>
      </c>
      <c r="D1123" s="76">
        <v>41.189571000000001</v>
      </c>
      <c r="E1123" s="76">
        <v>41.409053999999998</v>
      </c>
      <c r="F1123" s="76">
        <v>24.629396</v>
      </c>
      <c r="G1123" s="79">
        <v>351300</v>
      </c>
    </row>
    <row r="1124" spans="1:7" x14ac:dyDescent="0.25">
      <c r="A1124" s="1" t="s">
        <v>1247</v>
      </c>
      <c r="B1124" s="76">
        <v>41.350524999999998</v>
      </c>
      <c r="C1124" s="76">
        <v>41.445633000000001</v>
      </c>
      <c r="D1124" s="76">
        <v>41.116408999999997</v>
      </c>
      <c r="E1124" s="76">
        <v>41.350524999999998</v>
      </c>
      <c r="F1124" s="76">
        <v>24.594584000000001</v>
      </c>
      <c r="G1124" s="79">
        <v>598000</v>
      </c>
    </row>
    <row r="1125" spans="1:7" x14ac:dyDescent="0.25">
      <c r="A1125" s="1" t="s">
        <v>1248</v>
      </c>
      <c r="B1125" s="76">
        <v>41.335892000000001</v>
      </c>
      <c r="C1125" s="76">
        <v>41.95776</v>
      </c>
      <c r="D1125" s="76">
        <v>41.262732999999997</v>
      </c>
      <c r="E1125" s="76">
        <v>41.95776</v>
      </c>
      <c r="F1125" s="76">
        <v>24.955750999999999</v>
      </c>
      <c r="G1125" s="79">
        <v>465100</v>
      </c>
    </row>
    <row r="1126" spans="1:7" x14ac:dyDescent="0.25">
      <c r="A1126" s="1" t="s">
        <v>1249</v>
      </c>
      <c r="B1126" s="76">
        <v>41.950443</v>
      </c>
      <c r="C1126" s="76">
        <v>42.104084</v>
      </c>
      <c r="D1126" s="76">
        <v>41.840702</v>
      </c>
      <c r="E1126" s="76">
        <v>42.067501</v>
      </c>
      <c r="F1126" s="76">
        <v>25.021027</v>
      </c>
      <c r="G1126" s="79">
        <v>492600</v>
      </c>
    </row>
    <row r="1127" spans="1:7" x14ac:dyDescent="0.25">
      <c r="A1127" s="1" t="s">
        <v>1250</v>
      </c>
      <c r="B1127" s="76">
        <v>41.994343000000001</v>
      </c>
      <c r="C1127" s="76">
        <v>42.221138000000003</v>
      </c>
      <c r="D1127" s="76">
        <v>41.606589999999997</v>
      </c>
      <c r="E1127" s="76">
        <v>41.95776</v>
      </c>
      <c r="F1127" s="76">
        <v>24.955750999999999</v>
      </c>
      <c r="G1127" s="79">
        <v>524200</v>
      </c>
    </row>
    <row r="1128" spans="1:7" x14ac:dyDescent="0.25">
      <c r="A1128" s="1" t="s">
        <v>1251</v>
      </c>
      <c r="B1128" s="76">
        <v>41.95776</v>
      </c>
      <c r="C1128" s="76">
        <v>42.279666999999897</v>
      </c>
      <c r="D1128" s="76">
        <v>41.884602000000001</v>
      </c>
      <c r="E1128" s="76">
        <v>42.162613</v>
      </c>
      <c r="F1128" s="76">
        <v>25.077598999999999</v>
      </c>
      <c r="G1128" s="79">
        <v>454200</v>
      </c>
    </row>
    <row r="1129" spans="1:7" x14ac:dyDescent="0.25">
      <c r="A1129" s="1" t="s">
        <v>1252</v>
      </c>
      <c r="B1129" s="76">
        <v>42.067501</v>
      </c>
      <c r="C1129" s="76">
        <v>42.067501</v>
      </c>
      <c r="D1129" s="76">
        <v>41.094462999999998</v>
      </c>
      <c r="E1129" s="76">
        <v>41.094462999999998</v>
      </c>
      <c r="F1129" s="76">
        <v>24.442277999999899</v>
      </c>
      <c r="G1129" s="79">
        <v>735500</v>
      </c>
    </row>
    <row r="1130" spans="1:7" x14ac:dyDescent="0.25">
      <c r="A1130" s="1" t="s">
        <v>1253</v>
      </c>
      <c r="B1130" s="76">
        <v>41.094462999999998</v>
      </c>
      <c r="C1130" s="76">
        <v>41.994343000000001</v>
      </c>
      <c r="D1130" s="76">
        <v>40.831080999999998</v>
      </c>
      <c r="E1130" s="76">
        <v>41.782173</v>
      </c>
      <c r="F1130" s="76">
        <v>24.851320000000001</v>
      </c>
      <c r="G1130" s="79">
        <v>762900</v>
      </c>
    </row>
    <row r="1131" spans="1:7" x14ac:dyDescent="0.25">
      <c r="A1131" s="1" t="s">
        <v>1254</v>
      </c>
      <c r="B1131" s="76">
        <v>41.701698</v>
      </c>
      <c r="C1131" s="76">
        <v>41.972392999999997</v>
      </c>
      <c r="D1131" s="76">
        <v>41.233466999999997</v>
      </c>
      <c r="E1131" s="76">
        <v>41.745593999999997</v>
      </c>
      <c r="F1131" s="76">
        <v>24.829560999999899</v>
      </c>
      <c r="G1131" s="79">
        <v>452200</v>
      </c>
    </row>
    <row r="1132" spans="1:7" x14ac:dyDescent="0.25">
      <c r="A1132" s="1" t="s">
        <v>1255</v>
      </c>
      <c r="B1132" s="76">
        <v>42.067501</v>
      </c>
      <c r="C1132" s="76">
        <v>42.952746999999903</v>
      </c>
      <c r="D1132" s="76">
        <v>41.884602000000001</v>
      </c>
      <c r="E1132" s="76">
        <v>42.952746999999903</v>
      </c>
      <c r="F1132" s="76">
        <v>25.547552</v>
      </c>
      <c r="G1132" s="79">
        <v>524200</v>
      </c>
    </row>
    <row r="1133" spans="1:7" x14ac:dyDescent="0.25">
      <c r="A1133" s="1" t="s">
        <v>1256</v>
      </c>
      <c r="B1133" s="76">
        <v>42.938117999999903</v>
      </c>
      <c r="C1133" s="76">
        <v>42.938117999999903</v>
      </c>
      <c r="D1133" s="76">
        <v>42.2943</v>
      </c>
      <c r="E1133" s="76">
        <v>42.689368999999999</v>
      </c>
      <c r="F1133" s="76">
        <v>25.390899999999998</v>
      </c>
      <c r="G1133" s="79">
        <v>364400</v>
      </c>
    </row>
    <row r="1134" spans="1:7" x14ac:dyDescent="0.25">
      <c r="A1134" s="1" t="s">
        <v>1257</v>
      </c>
      <c r="B1134" s="76">
        <v>42.689368999999999</v>
      </c>
      <c r="C1134" s="76">
        <v>43.164916999999903</v>
      </c>
      <c r="D1134" s="76">
        <v>42.579628</v>
      </c>
      <c r="E1134" s="76">
        <v>43.157600000000002</v>
      </c>
      <c r="F1134" s="76">
        <v>25.66939</v>
      </c>
      <c r="G1134" s="79">
        <v>537100</v>
      </c>
    </row>
    <row r="1135" spans="1:7" x14ac:dyDescent="0.25">
      <c r="A1135" s="1" t="s">
        <v>1258</v>
      </c>
      <c r="B1135" s="76">
        <v>43.333182999999998</v>
      </c>
      <c r="C1135" s="76">
        <v>43.420978999999903</v>
      </c>
      <c r="D1135" s="76">
        <v>42.982013999999999</v>
      </c>
      <c r="E1135" s="76">
        <v>42.982013999999999</v>
      </c>
      <c r="F1135" s="76">
        <v>25.564954999999902</v>
      </c>
      <c r="G1135" s="79">
        <v>956800</v>
      </c>
    </row>
    <row r="1136" spans="1:7" x14ac:dyDescent="0.25">
      <c r="A1136" s="1" t="s">
        <v>1259</v>
      </c>
      <c r="B1136" s="76">
        <v>43.091754999999999</v>
      </c>
      <c r="C1136" s="76">
        <v>43.106388000000003</v>
      </c>
      <c r="D1136" s="76">
        <v>42.652790000000003</v>
      </c>
      <c r="E1136" s="76">
        <v>42.784477000000003</v>
      </c>
      <c r="F1136" s="76">
        <v>25.447472000000001</v>
      </c>
      <c r="G1136" s="79">
        <v>728300</v>
      </c>
    </row>
    <row r="1137" spans="1:7" x14ac:dyDescent="0.25">
      <c r="A1137" s="1" t="s">
        <v>1260</v>
      </c>
      <c r="B1137" s="76">
        <v>42.799109999999999</v>
      </c>
      <c r="C1137" s="76">
        <v>43.303921000000003</v>
      </c>
      <c r="D1137" s="76">
        <v>42.601578000000003</v>
      </c>
      <c r="E1137" s="76">
        <v>43.260024999999999</v>
      </c>
      <c r="F1137" s="76">
        <v>25.730314</v>
      </c>
      <c r="G1137" s="79">
        <v>330900</v>
      </c>
    </row>
    <row r="1138" spans="1:7" x14ac:dyDescent="0.25">
      <c r="A1138" s="1" t="s">
        <v>1261</v>
      </c>
      <c r="B1138" s="76">
        <v>43.260024999999999</v>
      </c>
      <c r="C1138" s="76">
        <v>43.399028999999999</v>
      </c>
      <c r="D1138" s="76">
        <v>42.982013999999999</v>
      </c>
      <c r="E1138" s="76">
        <v>43.069805000000002</v>
      </c>
      <c r="F1138" s="76">
        <v>25.617170000000002</v>
      </c>
      <c r="G1138" s="79">
        <v>480700</v>
      </c>
    </row>
    <row r="1139" spans="1:7" x14ac:dyDescent="0.25">
      <c r="A1139" s="1" t="s">
        <v>1262</v>
      </c>
      <c r="B1139" s="76">
        <v>42.982013999999999</v>
      </c>
      <c r="C1139" s="76">
        <v>43.208812999999999</v>
      </c>
      <c r="D1139" s="76">
        <v>42.83569</v>
      </c>
      <c r="E1139" s="76">
        <v>43.201495999999999</v>
      </c>
      <c r="F1139" s="76">
        <v>25.695498999999899</v>
      </c>
      <c r="G1139" s="79">
        <v>398700</v>
      </c>
    </row>
    <row r="1140" spans="1:7" x14ac:dyDescent="0.25">
      <c r="A1140" s="1" t="s">
        <v>1263</v>
      </c>
      <c r="B1140" s="76">
        <v>43.384399000000002</v>
      </c>
      <c r="C1140" s="76">
        <v>43.640461000000002</v>
      </c>
      <c r="D1140" s="76">
        <v>43.238075000000002</v>
      </c>
      <c r="E1140" s="76">
        <v>43.384399000000002</v>
      </c>
      <c r="F1140" s="76">
        <v>25.804290999999999</v>
      </c>
      <c r="G1140" s="79">
        <v>617900</v>
      </c>
    </row>
    <row r="1141" spans="1:7" x14ac:dyDescent="0.25">
      <c r="A1141" s="1" t="s">
        <v>1264</v>
      </c>
      <c r="B1141" s="76">
        <v>43.567298999999998</v>
      </c>
      <c r="C1141" s="76">
        <v>43.677039999999998</v>
      </c>
      <c r="D1141" s="76">
        <v>43.494140999999999</v>
      </c>
      <c r="E1141" s="76">
        <v>43.603881999999999</v>
      </c>
      <c r="F1141" s="76">
        <v>25.934843000000001</v>
      </c>
      <c r="G1141" s="79">
        <v>638900</v>
      </c>
    </row>
    <row r="1142" spans="1:7" x14ac:dyDescent="0.25">
      <c r="A1142" s="1" t="s">
        <v>1265</v>
      </c>
      <c r="B1142" s="76">
        <v>43.684356999999999</v>
      </c>
      <c r="C1142" s="76">
        <v>43.984318000000002</v>
      </c>
      <c r="D1142" s="76">
        <v>43.677039999999998</v>
      </c>
      <c r="E1142" s="76">
        <v>43.750202000000002</v>
      </c>
      <c r="F1142" s="76">
        <v>26.021864000000001</v>
      </c>
      <c r="G1142" s="79">
        <v>814400</v>
      </c>
    </row>
    <row r="1143" spans="1:7" x14ac:dyDescent="0.25">
      <c r="A1143" s="1" t="s">
        <v>1266</v>
      </c>
      <c r="B1143" s="76">
        <v>43.808731000000002</v>
      </c>
      <c r="C1143" s="76">
        <v>43.984318000000002</v>
      </c>
      <c r="D1143" s="76">
        <v>43.713622999999998</v>
      </c>
      <c r="E1143" s="76">
        <v>43.794097999999998</v>
      </c>
      <c r="F1143" s="76">
        <v>26.047974</v>
      </c>
      <c r="G1143" s="79">
        <v>542400</v>
      </c>
    </row>
    <row r="1144" spans="1:7" x14ac:dyDescent="0.25">
      <c r="A1144" s="1" t="s">
        <v>1267</v>
      </c>
      <c r="B1144" s="76">
        <v>43.801414000000001</v>
      </c>
      <c r="C1144" s="76">
        <v>43.823363999999998</v>
      </c>
      <c r="D1144" s="76">
        <v>43.384399000000002</v>
      </c>
      <c r="E1144" s="76">
        <v>43.552669999999999</v>
      </c>
      <c r="F1144" s="76">
        <v>25.904367000000001</v>
      </c>
      <c r="G1144" s="79">
        <v>615200</v>
      </c>
    </row>
    <row r="1145" spans="1:7" x14ac:dyDescent="0.25">
      <c r="A1145" s="1" t="s">
        <v>1268</v>
      </c>
      <c r="B1145" s="76">
        <v>43.494140999999999</v>
      </c>
      <c r="C1145" s="76">
        <v>43.494140999999999</v>
      </c>
      <c r="D1145" s="76">
        <v>42.389408000000003</v>
      </c>
      <c r="E1145" s="76">
        <v>42.506465999999897</v>
      </c>
      <c r="F1145" s="76">
        <v>25.282111999999898</v>
      </c>
      <c r="G1145" s="79">
        <v>783500</v>
      </c>
    </row>
    <row r="1146" spans="1:7" x14ac:dyDescent="0.25">
      <c r="A1146" s="1" t="s">
        <v>1269</v>
      </c>
      <c r="B1146" s="76">
        <v>42.594260999999896</v>
      </c>
      <c r="C1146" s="76">
        <v>42.616207000000003</v>
      </c>
      <c r="D1146" s="76">
        <v>42.191875000000003</v>
      </c>
      <c r="E1146" s="76">
        <v>42.191875000000003</v>
      </c>
      <c r="F1146" s="76">
        <v>25.095006999999999</v>
      </c>
      <c r="G1146" s="79">
        <v>486000</v>
      </c>
    </row>
    <row r="1147" spans="1:7" x14ac:dyDescent="0.25">
      <c r="A1147" s="1" t="s">
        <v>1270</v>
      </c>
      <c r="B1147" s="76">
        <v>42.199191999999996</v>
      </c>
      <c r="C1147" s="76">
        <v>42.199191999999996</v>
      </c>
      <c r="D1147" s="76">
        <v>41.482215999999902</v>
      </c>
      <c r="E1147" s="76">
        <v>41.745593999999997</v>
      </c>
      <c r="F1147" s="76">
        <v>24.829560999999899</v>
      </c>
      <c r="G1147" s="79">
        <v>457400</v>
      </c>
    </row>
    <row r="1148" spans="1:7" x14ac:dyDescent="0.25">
      <c r="A1148" s="1" t="s">
        <v>1271</v>
      </c>
      <c r="B1148" s="76">
        <v>41.906548000000001</v>
      </c>
      <c r="C1148" s="76">
        <v>42.286982999999999</v>
      </c>
      <c r="D1148" s="76">
        <v>41.862651999999997</v>
      </c>
      <c r="E1148" s="76">
        <v>42.111396999999997</v>
      </c>
      <c r="F1148" s="76">
        <v>25.047132000000001</v>
      </c>
      <c r="G1148" s="79">
        <v>322000</v>
      </c>
    </row>
    <row r="1149" spans="1:7" x14ac:dyDescent="0.25">
      <c r="A1149" s="1" t="s">
        <v>1272</v>
      </c>
      <c r="B1149" s="76">
        <v>42.111396999999997</v>
      </c>
      <c r="C1149" s="76">
        <v>42.645472999999903</v>
      </c>
      <c r="D1149" s="76">
        <v>41.752910999999997</v>
      </c>
      <c r="E1149" s="76">
        <v>42.535732000000003</v>
      </c>
      <c r="F1149" s="76">
        <v>25.299522</v>
      </c>
      <c r="G1149" s="79">
        <v>428700</v>
      </c>
    </row>
    <row r="1150" spans="1:7" x14ac:dyDescent="0.25">
      <c r="A1150" s="1" t="s">
        <v>1273</v>
      </c>
      <c r="B1150" s="76">
        <v>42.140663000000004</v>
      </c>
      <c r="C1150" s="76">
        <v>42.769847999999897</v>
      </c>
      <c r="D1150" s="76">
        <v>42.030921999999997</v>
      </c>
      <c r="E1150" s="76">
        <v>42.250403999999897</v>
      </c>
      <c r="F1150" s="76">
        <v>25.440476999999898</v>
      </c>
      <c r="G1150" s="79">
        <v>354300</v>
      </c>
    </row>
    <row r="1151" spans="1:7" x14ac:dyDescent="0.25">
      <c r="A1151" s="1" t="s">
        <v>1274</v>
      </c>
      <c r="B1151" s="76">
        <v>42.250403999999897</v>
      </c>
      <c r="C1151" s="76">
        <v>42.543048999999897</v>
      </c>
      <c r="D1151" s="76">
        <v>42.169925999999997</v>
      </c>
      <c r="E1151" s="76">
        <v>42.499148999999903</v>
      </c>
      <c r="F1151" s="76">
        <v>25.590260000000001</v>
      </c>
      <c r="G1151" s="79">
        <v>242300</v>
      </c>
    </row>
    <row r="1152" spans="1:7" x14ac:dyDescent="0.25">
      <c r="A1152" s="1" t="s">
        <v>1275</v>
      </c>
      <c r="B1152" s="76">
        <v>42.433307999999997</v>
      </c>
      <c r="C1152" s="76">
        <v>43.164916999999903</v>
      </c>
      <c r="D1152" s="76">
        <v>42.052872000000001</v>
      </c>
      <c r="E1152" s="76">
        <v>43.164916999999903</v>
      </c>
      <c r="F1152" s="76">
        <v>25.991147999999999</v>
      </c>
      <c r="G1152" s="79">
        <v>390900</v>
      </c>
    </row>
    <row r="1153" spans="1:7" x14ac:dyDescent="0.25">
      <c r="A1153" s="1" t="s">
        <v>1276</v>
      </c>
      <c r="B1153" s="76">
        <v>43.164916999999903</v>
      </c>
      <c r="C1153" s="76">
        <v>43.457557999999999</v>
      </c>
      <c r="D1153" s="76">
        <v>42.982013999999999</v>
      </c>
      <c r="E1153" s="76">
        <v>43.384399000000002</v>
      </c>
      <c r="F1153" s="76">
        <v>26.123314000000001</v>
      </c>
      <c r="G1153" s="79">
        <v>295600</v>
      </c>
    </row>
    <row r="1154" spans="1:7" x14ac:dyDescent="0.25">
      <c r="A1154" s="1" t="s">
        <v>1277</v>
      </c>
      <c r="B1154" s="76">
        <v>43.442928000000002</v>
      </c>
      <c r="C1154" s="76">
        <v>43.903838999999998</v>
      </c>
      <c r="D1154" s="76">
        <v>43.281970999999999</v>
      </c>
      <c r="E1154" s="76">
        <v>43.896522999999902</v>
      </c>
      <c r="F1154" s="76">
        <v>26.431668999999999</v>
      </c>
      <c r="G1154" s="79">
        <v>334500</v>
      </c>
    </row>
    <row r="1155" spans="1:7" x14ac:dyDescent="0.25">
      <c r="A1155" s="1" t="s">
        <v>1278</v>
      </c>
      <c r="B1155" s="76">
        <v>43.750202000000002</v>
      </c>
      <c r="C1155" s="76">
        <v>43.823363999999998</v>
      </c>
      <c r="D1155" s="76">
        <v>43.011276000000002</v>
      </c>
      <c r="E1155" s="76">
        <v>43.011276000000002</v>
      </c>
      <c r="F1155" s="76">
        <v>25.898627999999999</v>
      </c>
      <c r="G1155" s="79">
        <v>463600</v>
      </c>
    </row>
    <row r="1156" spans="1:7" x14ac:dyDescent="0.25">
      <c r="A1156" s="1" t="s">
        <v>1279</v>
      </c>
      <c r="B1156" s="76">
        <v>43.018593000000003</v>
      </c>
      <c r="C1156" s="76">
        <v>43.808731000000002</v>
      </c>
      <c r="D1156" s="76">
        <v>43.018593000000003</v>
      </c>
      <c r="E1156" s="76">
        <v>43.442928000000002</v>
      </c>
      <c r="F1156" s="76">
        <v>26.158545</v>
      </c>
      <c r="G1156" s="79">
        <v>522600</v>
      </c>
    </row>
    <row r="1157" spans="1:7" x14ac:dyDescent="0.25">
      <c r="A1157" s="1" t="s">
        <v>1280</v>
      </c>
      <c r="B1157" s="76">
        <v>43.589249000000002</v>
      </c>
      <c r="C1157" s="76">
        <v>43.713622999999998</v>
      </c>
      <c r="D1157" s="76">
        <v>43.311236999999998</v>
      </c>
      <c r="E1157" s="76">
        <v>43.311236999999998</v>
      </c>
      <c r="F1157" s="76">
        <v>26.079249999999998</v>
      </c>
      <c r="G1157" s="79">
        <v>226100</v>
      </c>
    </row>
    <row r="1158" spans="1:7" x14ac:dyDescent="0.25">
      <c r="A1158" s="1" t="s">
        <v>1281</v>
      </c>
      <c r="B1158" s="76">
        <v>43.530720000000002</v>
      </c>
      <c r="C1158" s="76">
        <v>44.028213999999998</v>
      </c>
      <c r="D1158" s="76">
        <v>43.516086999999999</v>
      </c>
      <c r="E1158" s="76">
        <v>43.823363999999998</v>
      </c>
      <c r="F1158" s="76">
        <v>26.387616999999999</v>
      </c>
      <c r="G1158" s="79">
        <v>635400</v>
      </c>
    </row>
    <row r="1159" spans="1:7" x14ac:dyDescent="0.25">
      <c r="A1159" s="1" t="s">
        <v>1282</v>
      </c>
      <c r="B1159" s="76">
        <v>43.384399000000002</v>
      </c>
      <c r="C1159" s="76">
        <v>43.896522999999902</v>
      </c>
      <c r="D1159" s="76">
        <v>43.347815999999902</v>
      </c>
      <c r="E1159" s="76">
        <v>43.830680999999998</v>
      </c>
      <c r="F1159" s="76">
        <v>26.392016999999999</v>
      </c>
      <c r="G1159" s="79">
        <v>288600</v>
      </c>
    </row>
    <row r="1160" spans="1:7" x14ac:dyDescent="0.25">
      <c r="A1160" s="1" t="s">
        <v>1283</v>
      </c>
      <c r="B1160" s="76">
        <v>43.823363999999998</v>
      </c>
      <c r="C1160" s="76">
        <v>43.874577000000002</v>
      </c>
      <c r="D1160" s="76">
        <v>43.420978999999903</v>
      </c>
      <c r="E1160" s="76">
        <v>43.472190999999903</v>
      </c>
      <c r="F1160" s="76">
        <v>26.176169999999999</v>
      </c>
      <c r="G1160" s="79">
        <v>372700</v>
      </c>
    </row>
    <row r="1161" spans="1:7" x14ac:dyDescent="0.25">
      <c r="A1161" s="1" t="s">
        <v>1284</v>
      </c>
      <c r="B1161" s="76">
        <v>43.472190999999903</v>
      </c>
      <c r="C1161" s="76">
        <v>43.494140999999999</v>
      </c>
      <c r="D1161" s="76">
        <v>43.238075000000002</v>
      </c>
      <c r="E1161" s="76">
        <v>43.464874000000002</v>
      </c>
      <c r="F1161" s="76">
        <v>26.171764</v>
      </c>
      <c r="G1161" s="79">
        <v>344500</v>
      </c>
    </row>
    <row r="1162" spans="1:7" x14ac:dyDescent="0.25">
      <c r="A1162" s="1" t="s">
        <v>1285</v>
      </c>
      <c r="B1162" s="76">
        <v>43.311236999999998</v>
      </c>
      <c r="C1162" s="76">
        <v>43.998950999999998</v>
      </c>
      <c r="D1162" s="76">
        <v>43.311236999999998</v>
      </c>
      <c r="E1162" s="76">
        <v>43.998950999999998</v>
      </c>
      <c r="F1162" s="76">
        <v>26.493357</v>
      </c>
      <c r="G1162" s="79">
        <v>404400</v>
      </c>
    </row>
    <row r="1163" spans="1:7" x14ac:dyDescent="0.25">
      <c r="A1163" s="1" t="s">
        <v>1286</v>
      </c>
      <c r="B1163" s="76">
        <v>44.152588000000002</v>
      </c>
      <c r="C1163" s="76">
        <v>44.481811999999998</v>
      </c>
      <c r="D1163" s="76">
        <v>44.079425999999998</v>
      </c>
      <c r="E1163" s="76">
        <v>44.481811999999998</v>
      </c>
      <c r="F1163" s="76">
        <v>26.784099999999999</v>
      </c>
      <c r="G1163" s="79">
        <v>281800</v>
      </c>
    </row>
    <row r="1164" spans="1:7" x14ac:dyDescent="0.25">
      <c r="A1164" s="1" t="s">
        <v>1287</v>
      </c>
      <c r="B1164" s="76">
        <v>44.335487000000001</v>
      </c>
      <c r="C1164" s="76">
        <v>44.796402</v>
      </c>
      <c r="D1164" s="76">
        <v>44.335487000000001</v>
      </c>
      <c r="E1164" s="76">
        <v>44.796402</v>
      </c>
      <c r="F1164" s="76">
        <v>26.97353</v>
      </c>
      <c r="G1164" s="79">
        <v>619000</v>
      </c>
    </row>
    <row r="1165" spans="1:7" x14ac:dyDescent="0.25">
      <c r="A1165" s="1" t="s">
        <v>1288</v>
      </c>
      <c r="B1165" s="76">
        <v>44.518390999999902</v>
      </c>
      <c r="C1165" s="76">
        <v>44.628132000000001</v>
      </c>
      <c r="D1165" s="76">
        <v>43.969684999999998</v>
      </c>
      <c r="E1165" s="76">
        <v>43.991633999999998</v>
      </c>
      <c r="F1165" s="76">
        <v>26.488945000000001</v>
      </c>
      <c r="G1165" s="79">
        <v>239600</v>
      </c>
    </row>
    <row r="1166" spans="1:7" x14ac:dyDescent="0.25">
      <c r="A1166" s="1" t="s">
        <v>1289</v>
      </c>
      <c r="B1166" s="76">
        <v>44.262329000000001</v>
      </c>
      <c r="C1166" s="76">
        <v>45.469481999999999</v>
      </c>
      <c r="D1166" s="76">
        <v>44.262329000000001</v>
      </c>
      <c r="E1166" s="76">
        <v>45.469481999999999</v>
      </c>
      <c r="F1166" s="76">
        <v>27.378806999999998</v>
      </c>
      <c r="G1166" s="79">
        <v>795300</v>
      </c>
    </row>
    <row r="1167" spans="1:7" x14ac:dyDescent="0.25">
      <c r="A1167" s="1" t="s">
        <v>1290</v>
      </c>
      <c r="B1167" s="76">
        <v>45.469481999999999</v>
      </c>
      <c r="C1167" s="76">
        <v>45.491432000000003</v>
      </c>
      <c r="D1167" s="76">
        <v>45.176837999999996</v>
      </c>
      <c r="E1167" s="76">
        <v>45.264633000000003</v>
      </c>
      <c r="F1167" s="76">
        <v>27.255457</v>
      </c>
      <c r="G1167" s="79">
        <v>267700</v>
      </c>
    </row>
    <row r="1168" spans="1:7" x14ac:dyDescent="0.25">
      <c r="A1168" s="1" t="s">
        <v>1291</v>
      </c>
      <c r="B1168" s="76">
        <v>45.286578999999897</v>
      </c>
      <c r="C1168" s="76">
        <v>45.784072999999999</v>
      </c>
      <c r="D1168" s="76">
        <v>45.286578999999897</v>
      </c>
      <c r="E1168" s="76">
        <v>45.681647999999903</v>
      </c>
      <c r="F1168" s="76">
        <v>27.506563</v>
      </c>
      <c r="G1168" s="79">
        <v>714200</v>
      </c>
    </row>
    <row r="1169" spans="1:7" x14ac:dyDescent="0.25">
      <c r="A1169" s="1" t="s">
        <v>1292</v>
      </c>
      <c r="B1169" s="76">
        <v>45.681647999999903</v>
      </c>
      <c r="C1169" s="76">
        <v>45.871867999999999</v>
      </c>
      <c r="D1169" s="76">
        <v>45.103679999999997</v>
      </c>
      <c r="E1169" s="76">
        <v>45.25</v>
      </c>
      <c r="F1169" s="76">
        <v>27.246652999999998</v>
      </c>
      <c r="G1169" s="79">
        <v>361800</v>
      </c>
    </row>
    <row r="1170" spans="1:7" x14ac:dyDescent="0.25">
      <c r="A1170" s="1" t="s">
        <v>1293</v>
      </c>
      <c r="B1170" s="76">
        <v>45.25</v>
      </c>
      <c r="C1170" s="76">
        <v>45.652386</v>
      </c>
      <c r="D1170" s="76">
        <v>45.25</v>
      </c>
      <c r="E1170" s="76">
        <v>45.630435999999897</v>
      </c>
      <c r="F1170" s="76">
        <v>27.475725000000001</v>
      </c>
      <c r="G1170" s="79">
        <v>382500</v>
      </c>
    </row>
    <row r="1171" spans="1:7" x14ac:dyDescent="0.25">
      <c r="A1171" s="1" t="s">
        <v>1294</v>
      </c>
      <c r="B1171" s="76">
        <v>45.630435999999897</v>
      </c>
      <c r="C1171" s="76">
        <v>45.740177000000003</v>
      </c>
      <c r="D1171" s="76">
        <v>45.352424999999997</v>
      </c>
      <c r="E1171" s="76">
        <v>45.403636999999897</v>
      </c>
      <c r="F1171" s="76">
        <v>27.339162999999999</v>
      </c>
      <c r="G1171" s="79">
        <v>227400</v>
      </c>
    </row>
    <row r="1172" spans="1:7" x14ac:dyDescent="0.25">
      <c r="A1172" s="1" t="s">
        <v>1295</v>
      </c>
      <c r="B1172" s="76">
        <v>45.513378000000003</v>
      </c>
      <c r="C1172" s="76">
        <v>45.952342999999999</v>
      </c>
      <c r="D1172" s="76">
        <v>45.220737</v>
      </c>
      <c r="E1172" s="76">
        <v>45.506062</v>
      </c>
      <c r="F1172" s="76">
        <v>27.4008409999999</v>
      </c>
      <c r="G1172" s="79">
        <v>361100</v>
      </c>
    </row>
    <row r="1173" spans="1:7" x14ac:dyDescent="0.25">
      <c r="A1173" s="1" t="s">
        <v>1296</v>
      </c>
      <c r="B1173" s="76">
        <v>45.579223999999897</v>
      </c>
      <c r="C1173" s="76">
        <v>46.025504999999903</v>
      </c>
      <c r="D1173" s="76">
        <v>45.579223999999897</v>
      </c>
      <c r="E1173" s="76">
        <v>45.915764000000003</v>
      </c>
      <c r="F1173" s="76">
        <v>27.647525999999999</v>
      </c>
      <c r="G1173" s="79">
        <v>560600</v>
      </c>
    </row>
    <row r="1174" spans="1:7" x14ac:dyDescent="0.25">
      <c r="A1174" s="1" t="s">
        <v>1297</v>
      </c>
      <c r="B1174" s="76">
        <v>45.871867999999999</v>
      </c>
      <c r="C1174" s="76">
        <v>46.040137999999999</v>
      </c>
      <c r="D1174" s="76">
        <v>45.674332</v>
      </c>
      <c r="E1174" s="76">
        <v>46.010871999999999</v>
      </c>
      <c r="F1174" s="76">
        <v>27.704805</v>
      </c>
      <c r="G1174" s="79">
        <v>527000</v>
      </c>
    </row>
    <row r="1175" spans="1:7" x14ac:dyDescent="0.25">
      <c r="A1175" s="1" t="s">
        <v>1298</v>
      </c>
      <c r="B1175" s="76">
        <v>45.762127</v>
      </c>
      <c r="C1175" s="76">
        <v>46.815643000000001</v>
      </c>
      <c r="D1175" s="76">
        <v>45.762127</v>
      </c>
      <c r="E1175" s="76">
        <v>46.676636000000002</v>
      </c>
      <c r="F1175" s="76">
        <v>28.105668999999999</v>
      </c>
      <c r="G1175" s="79">
        <v>893000</v>
      </c>
    </row>
    <row r="1176" spans="1:7" x14ac:dyDescent="0.25">
      <c r="A1176" s="1" t="s">
        <v>1299</v>
      </c>
      <c r="B1176" s="76">
        <v>46.676636000000002</v>
      </c>
      <c r="C1176" s="76">
        <v>47.371665999999998</v>
      </c>
      <c r="D1176" s="76">
        <v>46.676636000000002</v>
      </c>
      <c r="E1176" s="76">
        <v>47.261924999999998</v>
      </c>
      <c r="F1176" s="76">
        <v>28.458109</v>
      </c>
      <c r="G1176" s="79">
        <v>732300</v>
      </c>
    </row>
    <row r="1177" spans="1:7" x14ac:dyDescent="0.25">
      <c r="A1177" s="1" t="s">
        <v>1300</v>
      </c>
      <c r="B1177" s="76">
        <v>47.261924999999998</v>
      </c>
      <c r="C1177" s="76">
        <v>47.876475999999997</v>
      </c>
      <c r="D1177" s="76">
        <v>47.188763000000002</v>
      </c>
      <c r="E1177" s="76">
        <v>47.774051999999998</v>
      </c>
      <c r="F1177" s="76">
        <v>28.766478999999901</v>
      </c>
      <c r="G1177" s="79">
        <v>499100</v>
      </c>
    </row>
    <row r="1178" spans="1:7" x14ac:dyDescent="0.25">
      <c r="A1178" s="1" t="s">
        <v>1301</v>
      </c>
      <c r="B1178" s="76">
        <v>47.700890000000001</v>
      </c>
      <c r="C1178" s="76">
        <v>47.854526999999997</v>
      </c>
      <c r="D1178" s="76">
        <v>47.166817000000002</v>
      </c>
      <c r="E1178" s="76">
        <v>47.371665999999998</v>
      </c>
      <c r="F1178" s="76">
        <v>28.524176000000001</v>
      </c>
      <c r="G1178" s="79">
        <v>492200</v>
      </c>
    </row>
    <row r="1179" spans="1:7" x14ac:dyDescent="0.25">
      <c r="A1179" s="1" t="s">
        <v>1302</v>
      </c>
      <c r="B1179" s="76">
        <v>47.005859000000001</v>
      </c>
      <c r="C1179" s="76">
        <v>47.005859000000001</v>
      </c>
      <c r="D1179" s="76">
        <v>46.230353999999998</v>
      </c>
      <c r="E1179" s="76">
        <v>46.230353999999998</v>
      </c>
      <c r="F1179" s="76">
        <v>27.836957999999999</v>
      </c>
      <c r="G1179" s="79">
        <v>532000</v>
      </c>
    </row>
    <row r="1180" spans="1:7" x14ac:dyDescent="0.25">
      <c r="A1180" s="1" t="s">
        <v>1303</v>
      </c>
      <c r="B1180" s="76">
        <v>46.230353999999998</v>
      </c>
      <c r="C1180" s="76">
        <v>46.654690000000002</v>
      </c>
      <c r="D1180" s="76">
        <v>45.886501000000003</v>
      </c>
      <c r="E1180" s="76">
        <v>46.654690000000002</v>
      </c>
      <c r="F1180" s="76">
        <v>28.092469999999999</v>
      </c>
      <c r="G1180" s="79">
        <v>419100</v>
      </c>
    </row>
    <row r="1181" spans="1:7" x14ac:dyDescent="0.25">
      <c r="A1181" s="1" t="s">
        <v>1304</v>
      </c>
      <c r="B1181" s="76">
        <v>46.654690000000002</v>
      </c>
      <c r="C1181" s="76">
        <v>46.654690000000002</v>
      </c>
      <c r="D1181" s="76">
        <v>45.615803</v>
      </c>
      <c r="E1181" s="76">
        <v>45.740177000000003</v>
      </c>
      <c r="F1181" s="76">
        <v>27.541809000000001</v>
      </c>
      <c r="G1181" s="79">
        <v>598200</v>
      </c>
    </row>
    <row r="1182" spans="1:7" x14ac:dyDescent="0.25">
      <c r="A1182" s="1" t="s">
        <v>1305</v>
      </c>
      <c r="B1182" s="76">
        <v>45.462165999999897</v>
      </c>
      <c r="C1182" s="76">
        <v>45.579223999999897</v>
      </c>
      <c r="D1182" s="76">
        <v>45.037833999999997</v>
      </c>
      <c r="E1182" s="76">
        <v>45.286578999999897</v>
      </c>
      <c r="F1182" s="76">
        <v>27.268684</v>
      </c>
      <c r="G1182" s="79">
        <v>494800</v>
      </c>
    </row>
    <row r="1183" spans="1:7" x14ac:dyDescent="0.25">
      <c r="A1183" s="1" t="s">
        <v>1306</v>
      </c>
      <c r="B1183" s="76">
        <v>44.920775999999996</v>
      </c>
      <c r="C1183" s="76">
        <v>46.252303999999903</v>
      </c>
      <c r="D1183" s="76">
        <v>44.920775999999996</v>
      </c>
      <c r="E1183" s="76">
        <v>45.981608999999999</v>
      </c>
      <c r="F1183" s="76">
        <v>27.6871849999999</v>
      </c>
      <c r="G1183" s="79">
        <v>347500</v>
      </c>
    </row>
    <row r="1184" spans="1:7" x14ac:dyDescent="0.25">
      <c r="A1184" s="1" t="s">
        <v>1307</v>
      </c>
      <c r="B1184" s="76">
        <v>46.164512999999999</v>
      </c>
      <c r="C1184" s="76">
        <v>47.313136999999998</v>
      </c>
      <c r="D1184" s="76">
        <v>46.157195999999999</v>
      </c>
      <c r="E1184" s="76">
        <v>47.122917000000001</v>
      </c>
      <c r="F1184" s="76">
        <v>28.374400999999999</v>
      </c>
      <c r="G1184" s="79">
        <v>685900</v>
      </c>
    </row>
    <row r="1185" spans="1:7" x14ac:dyDescent="0.25">
      <c r="A1185" s="1" t="s">
        <v>1308</v>
      </c>
      <c r="B1185" s="76">
        <v>47.122917000000001</v>
      </c>
      <c r="C1185" s="76">
        <v>47.839893000000004</v>
      </c>
      <c r="D1185" s="76">
        <v>46.881489000000002</v>
      </c>
      <c r="E1185" s="76">
        <v>47.737468999999997</v>
      </c>
      <c r="F1185" s="76">
        <v>28.744451999999999</v>
      </c>
      <c r="G1185" s="79">
        <v>583400</v>
      </c>
    </row>
    <row r="1186" spans="1:7" x14ac:dyDescent="0.25">
      <c r="A1186" s="1" t="s">
        <v>1309</v>
      </c>
      <c r="B1186" s="76">
        <v>47.203395999999998</v>
      </c>
      <c r="C1186" s="76">
        <v>47.408245000000001</v>
      </c>
      <c r="D1186" s="76">
        <v>46.632739999999998</v>
      </c>
      <c r="E1186" s="76">
        <v>46.632739999999998</v>
      </c>
      <c r="F1186" s="76">
        <v>28.079242999999899</v>
      </c>
      <c r="G1186" s="79">
        <v>469200</v>
      </c>
    </row>
    <row r="1187" spans="1:7" x14ac:dyDescent="0.25">
      <c r="A1187" s="1" t="s">
        <v>1310</v>
      </c>
      <c r="B1187" s="76">
        <v>46.552264999999998</v>
      </c>
      <c r="C1187" s="76">
        <v>46.566895000000002</v>
      </c>
      <c r="D1187" s="76">
        <v>46.018188000000002</v>
      </c>
      <c r="E1187" s="76">
        <v>46.471786000000002</v>
      </c>
      <c r="F1187" s="76">
        <v>27.982334000000002</v>
      </c>
      <c r="G1187" s="79">
        <v>522400</v>
      </c>
    </row>
    <row r="1188" spans="1:7" x14ac:dyDescent="0.25">
      <c r="A1188" s="1" t="s">
        <v>1311</v>
      </c>
      <c r="B1188" s="76">
        <v>46.479103000000002</v>
      </c>
      <c r="C1188" s="76">
        <v>46.479103000000002</v>
      </c>
      <c r="D1188" s="76">
        <v>46.003554999999999</v>
      </c>
      <c r="E1188" s="76">
        <v>46.201091999999903</v>
      </c>
      <c r="F1188" s="76">
        <v>27.819337999999998</v>
      </c>
      <c r="G1188" s="79">
        <v>229800</v>
      </c>
    </row>
    <row r="1189" spans="1:7" x14ac:dyDescent="0.25">
      <c r="A1189" s="1" t="s">
        <v>1312</v>
      </c>
      <c r="B1189" s="76">
        <v>45.908446999999903</v>
      </c>
      <c r="C1189" s="76">
        <v>46.047454999999999</v>
      </c>
      <c r="D1189" s="76">
        <v>45.608490000000003</v>
      </c>
      <c r="E1189" s="76">
        <v>45.725543999999999</v>
      </c>
      <c r="F1189" s="76">
        <v>27.532992999999902</v>
      </c>
      <c r="G1189" s="79">
        <v>391600</v>
      </c>
    </row>
    <row r="1190" spans="1:7" x14ac:dyDescent="0.25">
      <c r="A1190" s="1" t="s">
        <v>1313</v>
      </c>
      <c r="B1190" s="76">
        <v>45.688965000000003</v>
      </c>
      <c r="C1190" s="76">
        <v>45.95966</v>
      </c>
      <c r="D1190" s="76">
        <v>45.681647999999903</v>
      </c>
      <c r="E1190" s="76">
        <v>45.798706000000003</v>
      </c>
      <c r="F1190" s="76">
        <v>27.577044000000001</v>
      </c>
      <c r="G1190" s="79">
        <v>362700</v>
      </c>
    </row>
    <row r="1191" spans="1:7" x14ac:dyDescent="0.25">
      <c r="A1191" s="1" t="s">
        <v>1314</v>
      </c>
      <c r="B1191" s="76">
        <v>45.806022999999897</v>
      </c>
      <c r="C1191" s="76">
        <v>46.018188000000002</v>
      </c>
      <c r="D1191" s="76">
        <v>45.454848999999903</v>
      </c>
      <c r="E1191" s="76">
        <v>45.762127</v>
      </c>
      <c r="F1191" s="76">
        <v>27.555026999999999</v>
      </c>
      <c r="G1191" s="79">
        <v>168200</v>
      </c>
    </row>
    <row r="1192" spans="1:7" x14ac:dyDescent="0.25">
      <c r="A1192" s="1" t="s">
        <v>1315</v>
      </c>
      <c r="B1192" s="76">
        <v>45.762127</v>
      </c>
      <c r="C1192" s="76">
        <v>45.835284999999999</v>
      </c>
      <c r="D1192" s="76">
        <v>45.542645</v>
      </c>
      <c r="E1192" s="76">
        <v>45.762127</v>
      </c>
      <c r="F1192" s="76">
        <v>27.555026999999999</v>
      </c>
      <c r="G1192" s="79">
        <v>320100</v>
      </c>
    </row>
    <row r="1193" spans="1:7" x14ac:dyDescent="0.25">
      <c r="A1193" s="1" t="s">
        <v>1316</v>
      </c>
      <c r="B1193" s="76">
        <v>45.762127</v>
      </c>
      <c r="C1193" s="76">
        <v>46.091351000000003</v>
      </c>
      <c r="D1193" s="76">
        <v>45.696280999999999</v>
      </c>
      <c r="E1193" s="76">
        <v>45.725543999999999</v>
      </c>
      <c r="F1193" s="76">
        <v>27.532992999999902</v>
      </c>
      <c r="G1193" s="79">
        <v>437700</v>
      </c>
    </row>
    <row r="1194" spans="1:7" x14ac:dyDescent="0.25">
      <c r="A1194" s="1" t="s">
        <v>1317</v>
      </c>
      <c r="B1194" s="76">
        <v>45.579223999999897</v>
      </c>
      <c r="C1194" s="76">
        <v>46.062083999999999</v>
      </c>
      <c r="D1194" s="76">
        <v>45.513378000000003</v>
      </c>
      <c r="E1194" s="76">
        <v>45.857234999999903</v>
      </c>
      <c r="F1194" s="76">
        <v>27.612287999999999</v>
      </c>
      <c r="G1194" s="79">
        <v>941100</v>
      </c>
    </row>
    <row r="1195" spans="1:7" x14ac:dyDescent="0.25">
      <c r="A1195" s="1" t="s">
        <v>1318</v>
      </c>
      <c r="B1195" s="76">
        <v>45.857234999999903</v>
      </c>
      <c r="C1195" s="76">
        <v>47.261924999999998</v>
      </c>
      <c r="D1195" s="76">
        <v>45.623119000000003</v>
      </c>
      <c r="E1195" s="76">
        <v>46.961964000000002</v>
      </c>
      <c r="F1195" s="76">
        <v>28.277488999999999</v>
      </c>
      <c r="G1195" s="79">
        <v>547000</v>
      </c>
    </row>
    <row r="1196" spans="1:7" x14ac:dyDescent="0.25">
      <c r="A1196" s="1" t="s">
        <v>1319</v>
      </c>
      <c r="B1196" s="76">
        <v>47.079020999999997</v>
      </c>
      <c r="C1196" s="76">
        <v>47.517986000000001</v>
      </c>
      <c r="D1196" s="76">
        <v>47.013176000000001</v>
      </c>
      <c r="E1196" s="76">
        <v>47.188763000000002</v>
      </c>
      <c r="F1196" s="76">
        <v>28.414051000000001</v>
      </c>
      <c r="G1196" s="79">
        <v>499000</v>
      </c>
    </row>
    <row r="1197" spans="1:7" x14ac:dyDescent="0.25">
      <c r="A1197" s="1" t="s">
        <v>1320</v>
      </c>
      <c r="B1197" s="76">
        <v>46.786377000000002</v>
      </c>
      <c r="C1197" s="76">
        <v>47.079020999999997</v>
      </c>
      <c r="D1197" s="76">
        <v>46.493735999999998</v>
      </c>
      <c r="E1197" s="76">
        <v>46.961964000000002</v>
      </c>
      <c r="F1197" s="76">
        <v>28.277488999999999</v>
      </c>
      <c r="G1197" s="79">
        <v>583100</v>
      </c>
    </row>
    <row r="1198" spans="1:7" x14ac:dyDescent="0.25">
      <c r="A1198" s="1" t="s">
        <v>1321</v>
      </c>
      <c r="B1198" s="76">
        <v>46.903434999999902</v>
      </c>
      <c r="C1198" s="76">
        <v>47.444828000000001</v>
      </c>
      <c r="D1198" s="76">
        <v>46.903434999999902</v>
      </c>
      <c r="E1198" s="76">
        <v>47.444828000000001</v>
      </c>
      <c r="F1198" s="76">
        <v>28.568231999999998</v>
      </c>
      <c r="G1198" s="79">
        <v>452500</v>
      </c>
    </row>
    <row r="1199" spans="1:7" x14ac:dyDescent="0.25">
      <c r="A1199" s="1" t="s">
        <v>1322</v>
      </c>
      <c r="B1199" s="76">
        <v>47.261924999999998</v>
      </c>
      <c r="C1199" s="76">
        <v>47.371665999999998</v>
      </c>
      <c r="D1199" s="76">
        <v>46.786377000000002</v>
      </c>
      <c r="E1199" s="76">
        <v>46.859538999999998</v>
      </c>
      <c r="F1199" s="76">
        <v>28.215809</v>
      </c>
      <c r="G1199" s="79">
        <v>735300</v>
      </c>
    </row>
    <row r="1200" spans="1:7" x14ac:dyDescent="0.25">
      <c r="A1200" s="1" t="s">
        <v>1323</v>
      </c>
      <c r="B1200" s="76">
        <v>46.961964000000002</v>
      </c>
      <c r="C1200" s="76">
        <v>47.598464999999997</v>
      </c>
      <c r="D1200" s="76">
        <v>46.961964000000002</v>
      </c>
      <c r="E1200" s="76">
        <v>47.357033000000001</v>
      </c>
      <c r="F1200" s="76">
        <v>28.515367999999999</v>
      </c>
      <c r="G1200" s="79">
        <v>334900</v>
      </c>
    </row>
    <row r="1201" spans="1:7" x14ac:dyDescent="0.25">
      <c r="A1201" s="1" t="s">
        <v>1324</v>
      </c>
      <c r="B1201" s="76">
        <v>47.510669999999998</v>
      </c>
      <c r="C1201" s="76">
        <v>47.678939999999997</v>
      </c>
      <c r="D1201" s="76">
        <v>46.954646999999902</v>
      </c>
      <c r="E1201" s="76">
        <v>47.064388000000001</v>
      </c>
      <c r="F1201" s="76">
        <v>28.339158999999999</v>
      </c>
      <c r="G1201" s="79">
        <v>325900</v>
      </c>
    </row>
    <row r="1202" spans="1:7" x14ac:dyDescent="0.25">
      <c r="A1202" s="1" t="s">
        <v>1325</v>
      </c>
      <c r="B1202" s="76">
        <v>46.603476999999998</v>
      </c>
      <c r="C1202" s="76">
        <v>47.554569000000001</v>
      </c>
      <c r="D1202" s="76">
        <v>46.574210999999998</v>
      </c>
      <c r="E1202" s="76">
        <v>47.554569000000001</v>
      </c>
      <c r="F1202" s="76">
        <v>28.634322999999998</v>
      </c>
      <c r="G1202" s="79">
        <v>482900</v>
      </c>
    </row>
    <row r="1203" spans="1:7" x14ac:dyDescent="0.25">
      <c r="A1203" s="1" t="s">
        <v>1326</v>
      </c>
      <c r="B1203" s="76">
        <v>47.737468999999997</v>
      </c>
      <c r="C1203" s="76">
        <v>47.847209999999997</v>
      </c>
      <c r="D1203" s="76">
        <v>46.896118000000001</v>
      </c>
      <c r="E1203" s="76">
        <v>47.188763000000002</v>
      </c>
      <c r="F1203" s="76">
        <v>28.414051000000001</v>
      </c>
      <c r="G1203" s="79">
        <v>384800</v>
      </c>
    </row>
    <row r="1204" spans="1:7" x14ac:dyDescent="0.25">
      <c r="A1204" s="1" t="s">
        <v>1327</v>
      </c>
      <c r="B1204" s="76">
        <v>47.335082999999997</v>
      </c>
      <c r="C1204" s="76">
        <v>47.920372</v>
      </c>
      <c r="D1204" s="76">
        <v>47.152183999999998</v>
      </c>
      <c r="E1204" s="76">
        <v>47.913055</v>
      </c>
      <c r="F1204" s="76">
        <v>28.850176000000001</v>
      </c>
      <c r="G1204" s="79">
        <v>521300</v>
      </c>
    </row>
    <row r="1205" spans="1:7" x14ac:dyDescent="0.25">
      <c r="A1205" s="1" t="s">
        <v>1328</v>
      </c>
      <c r="B1205" s="76">
        <v>47.964267999999997</v>
      </c>
      <c r="C1205" s="76">
        <v>48.213017000000001</v>
      </c>
      <c r="D1205" s="76">
        <v>47.891106000000001</v>
      </c>
      <c r="E1205" s="76">
        <v>47.971584</v>
      </c>
      <c r="F1205" s="76">
        <v>28.885411999999999</v>
      </c>
      <c r="G1205" s="79">
        <v>278800</v>
      </c>
    </row>
    <row r="1206" spans="1:7" x14ac:dyDescent="0.25">
      <c r="A1206" s="1" t="s">
        <v>1329</v>
      </c>
      <c r="B1206" s="76">
        <v>48.176434</v>
      </c>
      <c r="C1206" s="76">
        <v>48.608086</v>
      </c>
      <c r="D1206" s="76">
        <v>48.154488000000001</v>
      </c>
      <c r="E1206" s="76">
        <v>48.527607000000003</v>
      </c>
      <c r="F1206" s="76">
        <v>29.220220999999999</v>
      </c>
      <c r="G1206" s="79">
        <v>423800</v>
      </c>
    </row>
    <row r="1207" spans="1:7" x14ac:dyDescent="0.25">
      <c r="A1207" s="1" t="s">
        <v>1330</v>
      </c>
      <c r="B1207" s="76">
        <v>48.578819000000003</v>
      </c>
      <c r="C1207" s="76">
        <v>49.361640999999999</v>
      </c>
      <c r="D1207" s="76">
        <v>48.403233</v>
      </c>
      <c r="E1207" s="76">
        <v>48.505656999999999</v>
      </c>
      <c r="F1207" s="76">
        <v>29.206999</v>
      </c>
      <c r="G1207" s="79">
        <v>720800</v>
      </c>
    </row>
    <row r="1208" spans="1:7" x14ac:dyDescent="0.25">
      <c r="A1208" s="1" t="s">
        <v>1331</v>
      </c>
      <c r="B1208" s="76">
        <v>48.578819000000003</v>
      </c>
      <c r="C1208" s="76">
        <v>48.739773</v>
      </c>
      <c r="D1208" s="76">
        <v>47.554569000000001</v>
      </c>
      <c r="E1208" s="76">
        <v>47.730151999999997</v>
      </c>
      <c r="F1208" s="76">
        <v>28.740037999999998</v>
      </c>
      <c r="G1208" s="79">
        <v>756300</v>
      </c>
    </row>
    <row r="1209" spans="1:7" x14ac:dyDescent="0.25">
      <c r="A1209" s="1" t="s">
        <v>1332</v>
      </c>
      <c r="B1209" s="76">
        <v>47.700890000000001</v>
      </c>
      <c r="C1209" s="76">
        <v>48.54224</v>
      </c>
      <c r="D1209" s="76">
        <v>47.635044000000001</v>
      </c>
      <c r="E1209" s="76">
        <v>48.54224</v>
      </c>
      <c r="F1209" s="76">
        <v>29.229033999999999</v>
      </c>
      <c r="G1209" s="79">
        <v>490100</v>
      </c>
    </row>
    <row r="1210" spans="1:7" x14ac:dyDescent="0.25">
      <c r="A1210" s="1" t="s">
        <v>1333</v>
      </c>
      <c r="B1210" s="76">
        <v>48.322758</v>
      </c>
      <c r="C1210" s="76">
        <v>48.834885</v>
      </c>
      <c r="D1210" s="76">
        <v>48.052062999999997</v>
      </c>
      <c r="E1210" s="76">
        <v>48.154488000000001</v>
      </c>
      <c r="F1210" s="76">
        <v>28.995532999999998</v>
      </c>
      <c r="G1210" s="79">
        <v>409400</v>
      </c>
    </row>
    <row r="1211" spans="1:7" x14ac:dyDescent="0.25">
      <c r="A1211" s="1" t="s">
        <v>1334</v>
      </c>
      <c r="B1211" s="76">
        <v>48.154488000000001</v>
      </c>
      <c r="C1211" s="76">
        <v>48.183750000000003</v>
      </c>
      <c r="D1211" s="76">
        <v>47.693573000000001</v>
      </c>
      <c r="E1211" s="76">
        <v>48.030113</v>
      </c>
      <c r="F1211" s="76">
        <v>28.920665999999901</v>
      </c>
      <c r="G1211" s="79">
        <v>251700</v>
      </c>
    </row>
    <row r="1212" spans="1:7" x14ac:dyDescent="0.25">
      <c r="A1212" s="1" t="s">
        <v>1335</v>
      </c>
      <c r="B1212" s="76">
        <v>48.066691999999897</v>
      </c>
      <c r="C1212" s="76">
        <v>48.820250999999999</v>
      </c>
      <c r="D1212" s="76">
        <v>47.847209999999997</v>
      </c>
      <c r="E1212" s="76">
        <v>48.761722999999897</v>
      </c>
      <c r="F1212" s="76">
        <v>29.361183</v>
      </c>
      <c r="G1212" s="79">
        <v>361300</v>
      </c>
    </row>
    <row r="1213" spans="1:7" x14ac:dyDescent="0.25">
      <c r="A1213" s="1" t="s">
        <v>1336</v>
      </c>
      <c r="B1213" s="76">
        <v>48.834885</v>
      </c>
      <c r="C1213" s="76">
        <v>49.105578999999999</v>
      </c>
      <c r="D1213" s="76">
        <v>48.673926999999999</v>
      </c>
      <c r="E1213" s="76">
        <v>49.017783999999999</v>
      </c>
      <c r="F1213" s="76">
        <v>29.515362</v>
      </c>
      <c r="G1213" s="79">
        <v>279300</v>
      </c>
    </row>
    <row r="1214" spans="1:7" x14ac:dyDescent="0.25">
      <c r="A1214" s="1" t="s">
        <v>1337</v>
      </c>
      <c r="B1214" s="76">
        <v>49.054366999999999</v>
      </c>
      <c r="C1214" s="76">
        <v>49.178738000000003</v>
      </c>
      <c r="D1214" s="76">
        <v>48.688559999999903</v>
      </c>
      <c r="E1214" s="76">
        <v>49.120209000000003</v>
      </c>
      <c r="F1214" s="76">
        <v>29.57704</v>
      </c>
      <c r="G1214" s="79">
        <v>462800</v>
      </c>
    </row>
    <row r="1215" spans="1:7" x14ac:dyDescent="0.25">
      <c r="A1215" s="1" t="s">
        <v>1338</v>
      </c>
      <c r="B1215" s="76">
        <v>49.120209000000003</v>
      </c>
      <c r="C1215" s="76">
        <v>49.383590999999903</v>
      </c>
      <c r="D1215" s="76">
        <v>49.025100999999999</v>
      </c>
      <c r="E1215" s="76">
        <v>49.164107999999999</v>
      </c>
      <c r="F1215" s="76">
        <v>29.603477000000002</v>
      </c>
      <c r="G1215" s="79">
        <v>290800</v>
      </c>
    </row>
    <row r="1216" spans="1:7" x14ac:dyDescent="0.25">
      <c r="A1216" s="1" t="s">
        <v>1339</v>
      </c>
      <c r="B1216" s="76">
        <v>49.603072999999902</v>
      </c>
      <c r="C1216" s="76">
        <v>50.042037999999998</v>
      </c>
      <c r="D1216" s="76">
        <v>49.281162000000002</v>
      </c>
      <c r="E1216" s="76">
        <v>50.042037999999998</v>
      </c>
      <c r="F1216" s="76">
        <v>30.132096999999899</v>
      </c>
      <c r="G1216" s="79">
        <v>335400</v>
      </c>
    </row>
    <row r="1217" spans="1:7" x14ac:dyDescent="0.25">
      <c r="A1217" s="1" t="s">
        <v>1340</v>
      </c>
      <c r="B1217" s="76">
        <v>49.859134999999903</v>
      </c>
      <c r="C1217" s="76">
        <v>50.034720999999998</v>
      </c>
      <c r="D1217" s="76">
        <v>49.186053999999999</v>
      </c>
      <c r="E1217" s="76">
        <v>49.368957999999999</v>
      </c>
      <c r="F1217" s="76">
        <v>29.726817999999898</v>
      </c>
      <c r="G1217" s="79">
        <v>534800</v>
      </c>
    </row>
    <row r="1218" spans="1:7" x14ac:dyDescent="0.25">
      <c r="A1218" s="1" t="s">
        <v>1341</v>
      </c>
      <c r="B1218" s="76">
        <v>49.932296999999998</v>
      </c>
      <c r="C1218" s="76">
        <v>50.107883000000001</v>
      </c>
      <c r="D1218" s="76">
        <v>49.595756999999999</v>
      </c>
      <c r="E1218" s="76">
        <v>49.895713999999998</v>
      </c>
      <c r="F1218" s="76">
        <v>30.044003</v>
      </c>
      <c r="G1218" s="79">
        <v>305200</v>
      </c>
    </row>
    <row r="1219" spans="1:7" x14ac:dyDescent="0.25">
      <c r="A1219" s="1" t="s">
        <v>1342</v>
      </c>
      <c r="B1219" s="76">
        <v>49.895713999999998</v>
      </c>
      <c r="C1219" s="76">
        <v>50.663905999999997</v>
      </c>
      <c r="D1219" s="76">
        <v>49.895713999999998</v>
      </c>
      <c r="E1219" s="76">
        <v>50.663905999999997</v>
      </c>
      <c r="F1219" s="76">
        <v>30.506560999999898</v>
      </c>
      <c r="G1219" s="79">
        <v>323600</v>
      </c>
    </row>
    <row r="1220" spans="1:7" x14ac:dyDescent="0.25">
      <c r="A1220" s="1" t="s">
        <v>1343</v>
      </c>
      <c r="B1220" s="76">
        <v>50.663905999999997</v>
      </c>
      <c r="C1220" s="76">
        <v>50.663905999999997</v>
      </c>
      <c r="D1220" s="76">
        <v>49.208003999999903</v>
      </c>
      <c r="E1220" s="76">
        <v>49.749392999999998</v>
      </c>
      <c r="F1220" s="76">
        <v>29.955905999999999</v>
      </c>
      <c r="G1220" s="79">
        <v>1080400</v>
      </c>
    </row>
    <row r="1221" spans="1:7" x14ac:dyDescent="0.25">
      <c r="A1221" s="1" t="s">
        <v>1344</v>
      </c>
      <c r="B1221" s="76">
        <v>49.771343000000002</v>
      </c>
      <c r="C1221" s="76">
        <v>50.481003000000001</v>
      </c>
      <c r="D1221" s="76">
        <v>49.756709999999998</v>
      </c>
      <c r="E1221" s="76">
        <v>50.334682000000001</v>
      </c>
      <c r="F1221" s="76">
        <v>30.308308</v>
      </c>
      <c r="G1221" s="79">
        <v>788700</v>
      </c>
    </row>
    <row r="1222" spans="1:7" x14ac:dyDescent="0.25">
      <c r="A1222" s="1" t="s">
        <v>1345</v>
      </c>
      <c r="B1222" s="76">
        <v>50.371262000000002</v>
      </c>
      <c r="C1222" s="76">
        <v>51.315036999999997</v>
      </c>
      <c r="D1222" s="76">
        <v>50.232253999999998</v>
      </c>
      <c r="E1222" s="76">
        <v>51.249190999999897</v>
      </c>
      <c r="F1222" s="76">
        <v>30.858974</v>
      </c>
      <c r="G1222" s="79">
        <v>827200</v>
      </c>
    </row>
    <row r="1223" spans="1:7" x14ac:dyDescent="0.25">
      <c r="A1223" s="1" t="s">
        <v>1346</v>
      </c>
      <c r="B1223" s="76">
        <v>51.029708999999997</v>
      </c>
      <c r="C1223" s="76">
        <v>51.285769999999999</v>
      </c>
      <c r="D1223" s="76">
        <v>50.700485</v>
      </c>
      <c r="E1223" s="76">
        <v>51.146766999999997</v>
      </c>
      <c r="F1223" s="76">
        <v>31.135091999999901</v>
      </c>
      <c r="G1223" s="79">
        <v>794500</v>
      </c>
    </row>
    <row r="1224" spans="1:7" x14ac:dyDescent="0.25">
      <c r="A1224" s="1" t="s">
        <v>1347</v>
      </c>
      <c r="B1224" s="76">
        <v>51.146766999999997</v>
      </c>
      <c r="C1224" s="76">
        <v>51.293087</v>
      </c>
      <c r="D1224" s="76">
        <v>51.066288</v>
      </c>
      <c r="E1224" s="76">
        <v>51.212612</v>
      </c>
      <c r="F1224" s="76">
        <v>31.175172999999901</v>
      </c>
      <c r="G1224" s="79">
        <v>619200</v>
      </c>
    </row>
    <row r="1225" spans="1:7" x14ac:dyDescent="0.25">
      <c r="A1225" s="1" t="s">
        <v>1348</v>
      </c>
      <c r="B1225" s="76">
        <v>51.871059000000002</v>
      </c>
      <c r="C1225" s="76">
        <v>52.331974000000002</v>
      </c>
      <c r="D1225" s="76">
        <v>51.256507999999997</v>
      </c>
      <c r="E1225" s="76">
        <v>52.331974000000002</v>
      </c>
      <c r="F1225" s="76">
        <v>31.856587999999999</v>
      </c>
      <c r="G1225" s="79">
        <v>1019900</v>
      </c>
    </row>
    <row r="1226" spans="1:7" x14ac:dyDescent="0.25">
      <c r="A1226" s="1" t="s">
        <v>1349</v>
      </c>
      <c r="B1226" s="76">
        <v>52.331974000000002</v>
      </c>
      <c r="C1226" s="76">
        <v>53.378174000000001</v>
      </c>
      <c r="D1226" s="76">
        <v>52.310023999999999</v>
      </c>
      <c r="E1226" s="76">
        <v>53.378174000000001</v>
      </c>
      <c r="F1226" s="76">
        <v>32.493450000000003</v>
      </c>
      <c r="G1226" s="79">
        <v>829800</v>
      </c>
    </row>
    <row r="1227" spans="1:7" x14ac:dyDescent="0.25">
      <c r="A1227" s="1" t="s">
        <v>1350</v>
      </c>
      <c r="B1227" s="76">
        <v>53.378174000000001</v>
      </c>
      <c r="C1227" s="76">
        <v>53.502547999999997</v>
      </c>
      <c r="D1227" s="76">
        <v>52.931891999999998</v>
      </c>
      <c r="E1227" s="76">
        <v>52.975788000000001</v>
      </c>
      <c r="F1227" s="76">
        <v>32.248500999999997</v>
      </c>
      <c r="G1227" s="79">
        <v>540000</v>
      </c>
    </row>
    <row r="1228" spans="1:7" x14ac:dyDescent="0.25">
      <c r="A1228" s="1" t="s">
        <v>1351</v>
      </c>
      <c r="B1228" s="76">
        <v>53.173320999999902</v>
      </c>
      <c r="C1228" s="76">
        <v>54.504852</v>
      </c>
      <c r="D1228" s="76">
        <v>51.578415</v>
      </c>
      <c r="E1228" s="76">
        <v>51.593047999999897</v>
      </c>
      <c r="F1228" s="76">
        <v>31.406776000000001</v>
      </c>
      <c r="G1228" s="79">
        <v>1253900</v>
      </c>
    </row>
    <row r="1229" spans="1:7" x14ac:dyDescent="0.25">
      <c r="A1229" s="1" t="s">
        <v>1352</v>
      </c>
      <c r="B1229" s="76">
        <v>51.768634999999897</v>
      </c>
      <c r="C1229" s="76">
        <v>52.295390999999903</v>
      </c>
      <c r="D1229" s="76">
        <v>51.285769999999999</v>
      </c>
      <c r="E1229" s="76">
        <v>52.127121000000002</v>
      </c>
      <c r="F1229" s="76">
        <v>31.731891999999998</v>
      </c>
      <c r="G1229" s="79">
        <v>658700</v>
      </c>
    </row>
    <row r="1230" spans="1:7" x14ac:dyDescent="0.25">
      <c r="A1230" s="1" t="s">
        <v>1353</v>
      </c>
      <c r="B1230" s="76">
        <v>52.310023999999999</v>
      </c>
      <c r="C1230" s="76">
        <v>52.492927999999999</v>
      </c>
      <c r="D1230" s="76">
        <v>51.373565999999997</v>
      </c>
      <c r="E1230" s="76">
        <v>51.395511999999997</v>
      </c>
      <c r="F1230" s="76">
        <v>31.286511999999998</v>
      </c>
      <c r="G1230" s="79">
        <v>720800</v>
      </c>
    </row>
    <row r="1231" spans="1:7" x14ac:dyDescent="0.25">
      <c r="A1231" s="1" t="s">
        <v>1354</v>
      </c>
      <c r="B1231" s="76">
        <v>50.993130000000001</v>
      </c>
      <c r="C1231" s="76">
        <v>51.900321999999903</v>
      </c>
      <c r="D1231" s="76">
        <v>50.854121999999997</v>
      </c>
      <c r="E1231" s="76">
        <v>51.768634999999897</v>
      </c>
      <c r="F1231" s="76">
        <v>31.513648999999901</v>
      </c>
      <c r="G1231" s="79">
        <v>421000</v>
      </c>
    </row>
    <row r="1232" spans="1:7" x14ac:dyDescent="0.25">
      <c r="A1232" s="1" t="s">
        <v>1355</v>
      </c>
      <c r="B1232" s="76">
        <v>51.914954999999999</v>
      </c>
      <c r="C1232" s="76">
        <v>52.807518000000002</v>
      </c>
      <c r="D1232" s="76">
        <v>51.746684999999999</v>
      </c>
      <c r="E1232" s="76">
        <v>52.770938999999998</v>
      </c>
      <c r="F1232" s="76">
        <v>32.123798000000001</v>
      </c>
      <c r="G1232" s="79">
        <v>405500</v>
      </c>
    </row>
    <row r="1233" spans="1:7" x14ac:dyDescent="0.25">
      <c r="A1233" s="1" t="s">
        <v>1356</v>
      </c>
      <c r="B1233" s="76">
        <v>52.770938999999998</v>
      </c>
      <c r="C1233" s="76">
        <v>53.773243000000001</v>
      </c>
      <c r="D1233" s="76">
        <v>52.770938999999998</v>
      </c>
      <c r="E1233" s="76">
        <v>53.773243000000001</v>
      </c>
      <c r="F1233" s="76">
        <v>32.733936</v>
      </c>
      <c r="G1233" s="79">
        <v>383000</v>
      </c>
    </row>
    <row r="1234" spans="1:7" x14ac:dyDescent="0.25">
      <c r="A1234" s="1" t="s">
        <v>1357</v>
      </c>
      <c r="B1234" s="76">
        <v>53.809821999999997</v>
      </c>
      <c r="C1234" s="76">
        <v>54.095149999999997</v>
      </c>
      <c r="D1234" s="76">
        <v>53.202587000000001</v>
      </c>
      <c r="E1234" s="76">
        <v>53.370856999999901</v>
      </c>
      <c r="F1234" s="76">
        <v>32.488995000000003</v>
      </c>
      <c r="G1234" s="79">
        <v>210700</v>
      </c>
    </row>
    <row r="1235" spans="1:7" x14ac:dyDescent="0.25">
      <c r="A1235" s="1" t="s">
        <v>1358</v>
      </c>
      <c r="B1235" s="76">
        <v>53.370856999999901</v>
      </c>
      <c r="C1235" s="76">
        <v>54.102466999999997</v>
      </c>
      <c r="D1235" s="76">
        <v>53.107478999999998</v>
      </c>
      <c r="E1235" s="76">
        <v>53.590339999999998</v>
      </c>
      <c r="F1235" s="76">
        <v>32.622601000000003</v>
      </c>
      <c r="G1235" s="79">
        <v>547900</v>
      </c>
    </row>
    <row r="1236" spans="1:7" x14ac:dyDescent="0.25">
      <c r="A1236" s="1" t="s">
        <v>1359</v>
      </c>
      <c r="B1236" s="76">
        <v>53.334277999999998</v>
      </c>
      <c r="C1236" s="76">
        <v>53.773243000000001</v>
      </c>
      <c r="D1236" s="76">
        <v>53.078212999999998</v>
      </c>
      <c r="E1236" s="76">
        <v>53.773243000000001</v>
      </c>
      <c r="F1236" s="76">
        <v>32.733936</v>
      </c>
      <c r="G1236" s="79">
        <v>372500</v>
      </c>
    </row>
    <row r="1237" spans="1:7" x14ac:dyDescent="0.25">
      <c r="A1237" s="1" t="s">
        <v>1360</v>
      </c>
      <c r="B1237" s="76">
        <v>53.773243000000001</v>
      </c>
      <c r="C1237" s="76">
        <v>54.651173</v>
      </c>
      <c r="D1237" s="76">
        <v>53.604973000000001</v>
      </c>
      <c r="E1237" s="76">
        <v>54.578010999999996</v>
      </c>
      <c r="F1237" s="76">
        <v>33.223846000000002</v>
      </c>
      <c r="G1237" s="79">
        <v>502800</v>
      </c>
    </row>
    <row r="1238" spans="1:7" x14ac:dyDescent="0.25">
      <c r="A1238" s="1" t="s">
        <v>1361</v>
      </c>
      <c r="B1238" s="76">
        <v>54.212207999999997</v>
      </c>
      <c r="C1238" s="76">
        <v>54.475586</v>
      </c>
      <c r="D1238" s="76">
        <v>53.283062000000001</v>
      </c>
      <c r="E1238" s="76">
        <v>53.473281999999998</v>
      </c>
      <c r="F1238" s="76">
        <v>32.551357000000003</v>
      </c>
      <c r="G1238" s="79">
        <v>730600</v>
      </c>
    </row>
    <row r="1239" spans="1:7" x14ac:dyDescent="0.25">
      <c r="A1239" s="1" t="s">
        <v>1362</v>
      </c>
      <c r="B1239" s="76">
        <v>53.480598000000001</v>
      </c>
      <c r="C1239" s="76">
        <v>54.299999</v>
      </c>
      <c r="D1239" s="76">
        <v>53.253799000000001</v>
      </c>
      <c r="E1239" s="76">
        <v>54.139045999999901</v>
      </c>
      <c r="F1239" s="76">
        <v>32.956619000000003</v>
      </c>
      <c r="G1239" s="79">
        <v>844600</v>
      </c>
    </row>
    <row r="1240" spans="1:7" x14ac:dyDescent="0.25">
      <c r="A1240" s="1" t="s">
        <v>1363</v>
      </c>
      <c r="B1240" s="76">
        <v>53.414752999999997</v>
      </c>
      <c r="C1240" s="76">
        <v>54.717018000000003</v>
      </c>
      <c r="D1240" s="76">
        <v>53.407435999999997</v>
      </c>
      <c r="E1240" s="76">
        <v>54.651173</v>
      </c>
      <c r="F1240" s="76">
        <v>33.268378999999896</v>
      </c>
      <c r="G1240" s="79">
        <v>500900</v>
      </c>
    </row>
    <row r="1241" spans="1:7" x14ac:dyDescent="0.25">
      <c r="A1241" s="1" t="s">
        <v>1364</v>
      </c>
      <c r="B1241" s="76">
        <v>54.570693999999897</v>
      </c>
      <c r="C1241" s="76">
        <v>54.570693999999897</v>
      </c>
      <c r="D1241" s="76">
        <v>53.012366999999998</v>
      </c>
      <c r="E1241" s="76">
        <v>53.012366999999998</v>
      </c>
      <c r="F1241" s="76">
        <v>32.270771000000003</v>
      </c>
      <c r="G1241" s="79">
        <v>637500</v>
      </c>
    </row>
    <row r="1242" spans="1:7" x14ac:dyDescent="0.25">
      <c r="A1242" s="1" t="s">
        <v>1365</v>
      </c>
      <c r="B1242" s="76">
        <v>53.041633999999902</v>
      </c>
      <c r="C1242" s="76">
        <v>53.561073</v>
      </c>
      <c r="D1242" s="76">
        <v>53.041633999999902</v>
      </c>
      <c r="E1242" s="76">
        <v>53.458649000000001</v>
      </c>
      <c r="F1242" s="76">
        <v>32.542431000000001</v>
      </c>
      <c r="G1242" s="79">
        <v>399100</v>
      </c>
    </row>
    <row r="1243" spans="1:7" x14ac:dyDescent="0.25">
      <c r="A1243" s="1" t="s">
        <v>1366</v>
      </c>
      <c r="B1243" s="76">
        <v>53.261116000000001</v>
      </c>
      <c r="C1243" s="76">
        <v>53.773243000000001</v>
      </c>
      <c r="D1243" s="76">
        <v>52.924576000000002</v>
      </c>
      <c r="E1243" s="76">
        <v>53.729343</v>
      </c>
      <c r="F1243" s="76">
        <v>32.707221999999902</v>
      </c>
      <c r="G1243" s="79">
        <v>353000</v>
      </c>
    </row>
    <row r="1244" spans="1:7" x14ac:dyDescent="0.25">
      <c r="A1244" s="1" t="s">
        <v>1367</v>
      </c>
      <c r="B1244" s="76">
        <v>53.992725</v>
      </c>
      <c r="C1244" s="76">
        <v>54.343894999999897</v>
      </c>
      <c r="D1244" s="76">
        <v>53.246482999999998</v>
      </c>
      <c r="E1244" s="76">
        <v>54.146361999999897</v>
      </c>
      <c r="F1244" s="76">
        <v>32.961078999999998</v>
      </c>
      <c r="G1244" s="79">
        <v>378400</v>
      </c>
    </row>
    <row r="1245" spans="1:7" x14ac:dyDescent="0.25">
      <c r="A1245" s="1" t="s">
        <v>1368</v>
      </c>
      <c r="B1245" s="76">
        <v>54.146361999999897</v>
      </c>
      <c r="C1245" s="76">
        <v>54.1609949999999</v>
      </c>
      <c r="D1245" s="76">
        <v>53.583022999999997</v>
      </c>
      <c r="E1245" s="76">
        <v>53.765926</v>
      </c>
      <c r="F1245" s="76">
        <v>32.729488000000003</v>
      </c>
      <c r="G1245" s="79">
        <v>415100</v>
      </c>
    </row>
    <row r="1246" spans="1:7" x14ac:dyDescent="0.25">
      <c r="A1246" s="1" t="s">
        <v>1369</v>
      </c>
      <c r="B1246" s="76">
        <v>53.224536999999998</v>
      </c>
      <c r="C1246" s="76">
        <v>53.517178000000001</v>
      </c>
      <c r="D1246" s="76">
        <v>53.019683999999998</v>
      </c>
      <c r="E1246" s="76">
        <v>53.261116000000001</v>
      </c>
      <c r="F1246" s="76">
        <v>32.422198999999999</v>
      </c>
      <c r="G1246" s="79">
        <v>812700</v>
      </c>
    </row>
    <row r="1247" spans="1:7" x14ac:dyDescent="0.25">
      <c r="A1247" s="1" t="s">
        <v>1370</v>
      </c>
      <c r="B1247" s="76">
        <v>53.444018999999997</v>
      </c>
      <c r="C1247" s="76">
        <v>53.765926</v>
      </c>
      <c r="D1247" s="76">
        <v>52.895308999999997</v>
      </c>
      <c r="E1247" s="76">
        <v>53.590339999999998</v>
      </c>
      <c r="F1247" s="76">
        <v>32.622601000000003</v>
      </c>
      <c r="G1247" s="79">
        <v>592000</v>
      </c>
    </row>
    <row r="1248" spans="1:7" x14ac:dyDescent="0.25">
      <c r="A1248" s="1" t="s">
        <v>1371</v>
      </c>
      <c r="B1248" s="76">
        <v>53.597656000000001</v>
      </c>
      <c r="C1248" s="76">
        <v>53.919562999999997</v>
      </c>
      <c r="D1248" s="76">
        <v>53.070895999999998</v>
      </c>
      <c r="E1248" s="76">
        <v>53.129424999999998</v>
      </c>
      <c r="F1248" s="76">
        <v>32.342030000000001</v>
      </c>
      <c r="G1248" s="79">
        <v>492400</v>
      </c>
    </row>
    <row r="1249" spans="1:7" x14ac:dyDescent="0.25">
      <c r="A1249" s="1" t="s">
        <v>1372</v>
      </c>
      <c r="B1249" s="76">
        <v>53.136741999999998</v>
      </c>
      <c r="C1249" s="76">
        <v>54.248787</v>
      </c>
      <c r="D1249" s="76">
        <v>52.800201000000001</v>
      </c>
      <c r="E1249" s="76">
        <v>53.970776000000001</v>
      </c>
      <c r="F1249" s="76">
        <v>32.854182999999999</v>
      </c>
      <c r="G1249" s="79">
        <v>558800</v>
      </c>
    </row>
    <row r="1250" spans="1:7" x14ac:dyDescent="0.25">
      <c r="A1250" s="1" t="s">
        <v>1373</v>
      </c>
      <c r="B1250" s="76">
        <v>53.956142</v>
      </c>
      <c r="C1250" s="76">
        <v>54.175624999999997</v>
      </c>
      <c r="D1250" s="76">
        <v>53.517178000000001</v>
      </c>
      <c r="E1250" s="76">
        <v>54.139045999999901</v>
      </c>
      <c r="F1250" s="76">
        <v>32.956619000000003</v>
      </c>
      <c r="G1250" s="79">
        <v>313200</v>
      </c>
    </row>
    <row r="1251" spans="1:7" x14ac:dyDescent="0.25">
      <c r="A1251" s="1" t="s">
        <v>1374</v>
      </c>
      <c r="B1251" s="76">
        <v>53.956142</v>
      </c>
      <c r="C1251" s="76">
        <v>54.819443</v>
      </c>
      <c r="D1251" s="76">
        <v>53.956142</v>
      </c>
      <c r="E1251" s="76">
        <v>54.680434999999903</v>
      </c>
      <c r="F1251" s="76">
        <v>33.286189999999998</v>
      </c>
      <c r="G1251" s="79">
        <v>392600</v>
      </c>
    </row>
    <row r="1252" spans="1:7" x14ac:dyDescent="0.25">
      <c r="A1252" s="1" t="s">
        <v>1375</v>
      </c>
      <c r="B1252" s="76">
        <v>54.717018000000003</v>
      </c>
      <c r="C1252" s="76">
        <v>55.068187999999999</v>
      </c>
      <c r="D1252" s="76">
        <v>54.702385</v>
      </c>
      <c r="E1252" s="76">
        <v>55.038924999999999</v>
      </c>
      <c r="F1252" s="76">
        <v>33.504413999999997</v>
      </c>
      <c r="G1252" s="79">
        <v>404300</v>
      </c>
    </row>
    <row r="1253" spans="1:7" x14ac:dyDescent="0.25">
      <c r="A1253" s="1" t="s">
        <v>1376</v>
      </c>
      <c r="B1253" s="76">
        <v>55.038924999999999</v>
      </c>
      <c r="C1253" s="76">
        <v>55.126716999999999</v>
      </c>
      <c r="D1253" s="76">
        <v>54.782863999999996</v>
      </c>
      <c r="E1253" s="76">
        <v>54.870654999999999</v>
      </c>
      <c r="F1253" s="76">
        <v>33.401984999999897</v>
      </c>
      <c r="G1253" s="79">
        <v>547500</v>
      </c>
    </row>
    <row r="1254" spans="1:7" x14ac:dyDescent="0.25">
      <c r="A1254" s="1" t="s">
        <v>1377</v>
      </c>
      <c r="B1254" s="76">
        <v>54.870654999999999</v>
      </c>
      <c r="C1254" s="76">
        <v>55.016975000000002</v>
      </c>
      <c r="D1254" s="76">
        <v>54.504852</v>
      </c>
      <c r="E1254" s="76">
        <v>54.914551000000003</v>
      </c>
      <c r="F1254" s="76">
        <v>33.428711</v>
      </c>
      <c r="G1254" s="79">
        <v>377200</v>
      </c>
    </row>
    <row r="1255" spans="1:7" x14ac:dyDescent="0.25">
      <c r="A1255" s="1" t="s">
        <v>1378</v>
      </c>
      <c r="B1255" s="76">
        <v>55.009658999999999</v>
      </c>
      <c r="C1255" s="76">
        <v>55.294986999999999</v>
      </c>
      <c r="D1255" s="76">
        <v>54.834076000000003</v>
      </c>
      <c r="E1255" s="76">
        <v>55.053557999999903</v>
      </c>
      <c r="F1255" s="76">
        <v>33.513320999999998</v>
      </c>
      <c r="G1255" s="79">
        <v>401500</v>
      </c>
    </row>
    <row r="1256" spans="1:7" x14ac:dyDescent="0.25">
      <c r="A1256" s="1" t="s">
        <v>1379</v>
      </c>
      <c r="B1256" s="76">
        <v>55.236457999999999</v>
      </c>
      <c r="C1256" s="76">
        <v>55.529102000000002</v>
      </c>
      <c r="D1256" s="76">
        <v>54.914551000000003</v>
      </c>
      <c r="E1256" s="76">
        <v>55.382781999999899</v>
      </c>
      <c r="F1256" s="76">
        <v>33.713721999999997</v>
      </c>
      <c r="G1256" s="79">
        <v>201900</v>
      </c>
    </row>
    <row r="1257" spans="1:7" x14ac:dyDescent="0.25">
      <c r="A1257" s="1" t="s">
        <v>1380</v>
      </c>
      <c r="B1257" s="76">
        <v>55.236457999999999</v>
      </c>
      <c r="C1257" s="76">
        <v>56.246077999999997</v>
      </c>
      <c r="D1257" s="76">
        <v>55.1633</v>
      </c>
      <c r="E1257" s="76">
        <v>55.894908999999998</v>
      </c>
      <c r="F1257" s="76">
        <v>34.025478</v>
      </c>
      <c r="G1257" s="79">
        <v>395000</v>
      </c>
    </row>
    <row r="1258" spans="1:7" x14ac:dyDescent="0.25">
      <c r="A1258" s="1" t="s">
        <v>1381</v>
      </c>
      <c r="B1258" s="76">
        <v>55.602263999999998</v>
      </c>
      <c r="C1258" s="76">
        <v>56.326556999999902</v>
      </c>
      <c r="D1258" s="76">
        <v>55.529102000000002</v>
      </c>
      <c r="E1258" s="76">
        <v>55.697371999999902</v>
      </c>
      <c r="F1258" s="76">
        <v>33.905231000000001</v>
      </c>
      <c r="G1258" s="79">
        <v>706100</v>
      </c>
    </row>
    <row r="1259" spans="1:7" x14ac:dyDescent="0.25">
      <c r="A1259" s="1" t="s">
        <v>1382</v>
      </c>
      <c r="B1259" s="76">
        <v>55.880276000000002</v>
      </c>
      <c r="C1259" s="76">
        <v>56.370452999999998</v>
      </c>
      <c r="D1259" s="76">
        <v>55.104771</v>
      </c>
      <c r="E1259" s="76">
        <v>55.602263999999998</v>
      </c>
      <c r="F1259" s="76">
        <v>33.847346999999999</v>
      </c>
      <c r="G1259" s="79">
        <v>1200600</v>
      </c>
    </row>
    <row r="1260" spans="1:7" x14ac:dyDescent="0.25">
      <c r="A1260" s="1" t="s">
        <v>1383</v>
      </c>
      <c r="B1260" s="76">
        <v>55.602263999999998</v>
      </c>
      <c r="C1260" s="76">
        <v>56.136336999999997</v>
      </c>
      <c r="D1260" s="76">
        <v>54.702385</v>
      </c>
      <c r="E1260" s="76">
        <v>54.768230000000003</v>
      </c>
      <c r="F1260" s="76">
        <v>33.339638000000001</v>
      </c>
      <c r="G1260" s="79">
        <v>1301300</v>
      </c>
    </row>
    <row r="1261" spans="1:7" x14ac:dyDescent="0.25">
      <c r="A1261" s="1" t="s">
        <v>1384</v>
      </c>
      <c r="B1261" s="76">
        <v>54.760914</v>
      </c>
      <c r="C1261" s="76">
        <v>54.768230000000003</v>
      </c>
      <c r="D1261" s="76">
        <v>51.922272</v>
      </c>
      <c r="E1261" s="76">
        <v>52.500243999999903</v>
      </c>
      <c r="F1261" s="76">
        <v>31.959019000000001</v>
      </c>
      <c r="G1261" s="79">
        <v>1697000</v>
      </c>
    </row>
    <row r="1262" spans="1:7" x14ac:dyDescent="0.25">
      <c r="A1262" s="1" t="s">
        <v>1385</v>
      </c>
      <c r="B1262" s="76">
        <v>52.500243999999903</v>
      </c>
      <c r="C1262" s="76">
        <v>53.583022999999997</v>
      </c>
      <c r="D1262" s="76">
        <v>52.500243999999903</v>
      </c>
      <c r="E1262" s="76">
        <v>53.027000000000001</v>
      </c>
      <c r="F1262" s="76">
        <v>32.279677999999997</v>
      </c>
      <c r="G1262" s="79">
        <v>743100</v>
      </c>
    </row>
    <row r="1263" spans="1:7" x14ac:dyDescent="0.25">
      <c r="A1263" s="1" t="s">
        <v>1386</v>
      </c>
      <c r="B1263" s="76">
        <v>53.334277999999998</v>
      </c>
      <c r="C1263" s="76">
        <v>53.561073</v>
      </c>
      <c r="D1263" s="76">
        <v>52.953837999999998</v>
      </c>
      <c r="E1263" s="76">
        <v>53.151375000000002</v>
      </c>
      <c r="F1263" s="76">
        <v>32.355389000000002</v>
      </c>
      <c r="G1263" s="79">
        <v>497500</v>
      </c>
    </row>
    <row r="1264" spans="1:7" x14ac:dyDescent="0.25">
      <c r="A1264" s="1" t="s">
        <v>1387</v>
      </c>
      <c r="B1264" s="76">
        <v>52.683143999999899</v>
      </c>
      <c r="C1264" s="76">
        <v>52.983105000000002</v>
      </c>
      <c r="D1264" s="76">
        <v>52.602668999999899</v>
      </c>
      <c r="E1264" s="76">
        <v>52.851413999999998</v>
      </c>
      <c r="F1264" s="76">
        <v>32.172806000000001</v>
      </c>
      <c r="G1264" s="79">
        <v>739100</v>
      </c>
    </row>
    <row r="1265" spans="1:7" x14ac:dyDescent="0.25">
      <c r="A1265" s="1" t="s">
        <v>1388</v>
      </c>
      <c r="B1265" s="76">
        <v>52.822150999999998</v>
      </c>
      <c r="C1265" s="76">
        <v>53.034317000000001</v>
      </c>
      <c r="D1265" s="76">
        <v>52.112491999999897</v>
      </c>
      <c r="E1265" s="76">
        <v>52.427081999999999</v>
      </c>
      <c r="F1265" s="76">
        <v>31.914479999999902</v>
      </c>
      <c r="G1265" s="79">
        <v>578800</v>
      </c>
    </row>
    <row r="1266" spans="1:7" x14ac:dyDescent="0.25">
      <c r="A1266" s="1" t="s">
        <v>1389</v>
      </c>
      <c r="B1266" s="76">
        <v>52.383186000000002</v>
      </c>
      <c r="C1266" s="76">
        <v>52.427081999999999</v>
      </c>
      <c r="D1266" s="76">
        <v>51.285769999999999</v>
      </c>
      <c r="E1266" s="76">
        <v>52.017379999999903</v>
      </c>
      <c r="F1266" s="76">
        <v>31.665073</v>
      </c>
      <c r="G1266" s="79">
        <v>1083100</v>
      </c>
    </row>
    <row r="1267" spans="1:7" x14ac:dyDescent="0.25">
      <c r="A1267" s="1" t="s">
        <v>1390</v>
      </c>
      <c r="B1267" s="76">
        <v>51.739367999999999</v>
      </c>
      <c r="C1267" s="76">
        <v>52.975788000000001</v>
      </c>
      <c r="D1267" s="76">
        <v>51.739367999999999</v>
      </c>
      <c r="E1267" s="76">
        <v>52.127121000000002</v>
      </c>
      <c r="F1267" s="76">
        <v>31.731891999999998</v>
      </c>
      <c r="G1267" s="79">
        <v>869100</v>
      </c>
    </row>
    <row r="1268" spans="1:7" x14ac:dyDescent="0.25">
      <c r="A1268" s="1" t="s">
        <v>1391</v>
      </c>
      <c r="B1268" s="76">
        <v>52.310023999999999</v>
      </c>
      <c r="C1268" s="76">
        <v>52.975788000000001</v>
      </c>
      <c r="D1268" s="76">
        <v>52.310023999999999</v>
      </c>
      <c r="E1268" s="76">
        <v>52.895308999999997</v>
      </c>
      <c r="F1268" s="76">
        <v>32.199511999999999</v>
      </c>
      <c r="G1268" s="79">
        <v>498400</v>
      </c>
    </row>
    <row r="1269" spans="1:7" x14ac:dyDescent="0.25">
      <c r="A1269" s="1" t="s">
        <v>1392</v>
      </c>
      <c r="B1269" s="76">
        <v>52.748989000000002</v>
      </c>
      <c r="C1269" s="76">
        <v>53.444018999999997</v>
      </c>
      <c r="D1269" s="76">
        <v>52.353920000000002</v>
      </c>
      <c r="E1269" s="76">
        <v>53.444018999999997</v>
      </c>
      <c r="F1269" s="76">
        <v>32.533538999999998</v>
      </c>
      <c r="G1269" s="79">
        <v>619000</v>
      </c>
    </row>
    <row r="1270" spans="1:7" x14ac:dyDescent="0.25">
      <c r="A1270" s="1" t="s">
        <v>1393</v>
      </c>
      <c r="B1270" s="76">
        <v>53.590339999999998</v>
      </c>
      <c r="C1270" s="76">
        <v>54.146361999999897</v>
      </c>
      <c r="D1270" s="76">
        <v>53.195270999999998</v>
      </c>
      <c r="E1270" s="76">
        <v>53.612288999999997</v>
      </c>
      <c r="F1270" s="76">
        <v>32.635970999999998</v>
      </c>
      <c r="G1270" s="79">
        <v>642100</v>
      </c>
    </row>
    <row r="1271" spans="1:7" x14ac:dyDescent="0.25">
      <c r="A1271" s="1" t="s">
        <v>1394</v>
      </c>
      <c r="B1271" s="76">
        <v>53.539127000000001</v>
      </c>
      <c r="C1271" s="76">
        <v>53.700080999999997</v>
      </c>
      <c r="D1271" s="76">
        <v>53.224536999999998</v>
      </c>
      <c r="E1271" s="76">
        <v>53.400119999999902</v>
      </c>
      <c r="F1271" s="76">
        <v>32.506808999999997</v>
      </c>
      <c r="G1271" s="79">
        <v>767300</v>
      </c>
    </row>
    <row r="1272" spans="1:7" x14ac:dyDescent="0.25">
      <c r="A1272" s="1" t="s">
        <v>1395</v>
      </c>
      <c r="B1272" s="76">
        <v>53.400119999999902</v>
      </c>
      <c r="C1272" s="76">
        <v>53.634234999999997</v>
      </c>
      <c r="D1272" s="76">
        <v>52.895308999999997</v>
      </c>
      <c r="E1272" s="76">
        <v>53.297694999999997</v>
      </c>
      <c r="F1272" s="76">
        <v>32.444454</v>
      </c>
      <c r="G1272" s="79">
        <v>653900</v>
      </c>
    </row>
    <row r="1273" spans="1:7" x14ac:dyDescent="0.25">
      <c r="A1273" s="1" t="s">
        <v>1396</v>
      </c>
      <c r="B1273" s="76">
        <v>53.297694999999997</v>
      </c>
      <c r="C1273" s="76">
        <v>53.707397</v>
      </c>
      <c r="D1273" s="76">
        <v>53.151375000000002</v>
      </c>
      <c r="E1273" s="76">
        <v>53.341591000000001</v>
      </c>
      <c r="F1273" s="76">
        <v>32.471171999999903</v>
      </c>
      <c r="G1273" s="79">
        <v>595900</v>
      </c>
    </row>
    <row r="1274" spans="1:7" x14ac:dyDescent="0.25">
      <c r="A1274" s="1" t="s">
        <v>1397</v>
      </c>
      <c r="B1274" s="76">
        <v>52.858730000000001</v>
      </c>
      <c r="C1274" s="76">
        <v>53.626918999999901</v>
      </c>
      <c r="D1274" s="76">
        <v>51.856425999999999</v>
      </c>
      <c r="E1274" s="76">
        <v>52.200282999999999</v>
      </c>
      <c r="F1274" s="76">
        <v>31.776411</v>
      </c>
      <c r="G1274" s="79">
        <v>1051600</v>
      </c>
    </row>
    <row r="1275" spans="1:7" x14ac:dyDescent="0.25">
      <c r="A1275" s="1" t="s">
        <v>1398</v>
      </c>
      <c r="B1275" s="76">
        <v>52.127121000000002</v>
      </c>
      <c r="C1275" s="76">
        <v>52.661197999999999</v>
      </c>
      <c r="D1275" s="76">
        <v>50.890704999999997</v>
      </c>
      <c r="E1275" s="76">
        <v>51.32967</v>
      </c>
      <c r="F1275" s="76">
        <v>31.246442999999999</v>
      </c>
      <c r="G1275" s="79">
        <v>1083900</v>
      </c>
    </row>
    <row r="1276" spans="1:7" x14ac:dyDescent="0.25">
      <c r="A1276" s="1" t="s">
        <v>1399</v>
      </c>
      <c r="B1276" s="76">
        <v>51.395511999999997</v>
      </c>
      <c r="C1276" s="76">
        <v>51.402828</v>
      </c>
      <c r="D1276" s="76">
        <v>50.341994999999997</v>
      </c>
      <c r="E1276" s="76">
        <v>50.649273000000001</v>
      </c>
      <c r="F1276" s="76">
        <v>30.832267999999999</v>
      </c>
      <c r="G1276" s="79">
        <v>989400</v>
      </c>
    </row>
    <row r="1277" spans="1:7" x14ac:dyDescent="0.25">
      <c r="A1277" s="1" t="s">
        <v>1400</v>
      </c>
      <c r="B1277" s="76">
        <v>50.846806000000001</v>
      </c>
      <c r="C1277" s="76">
        <v>50.956547</v>
      </c>
      <c r="D1277" s="76">
        <v>49.932296999999998</v>
      </c>
      <c r="E1277" s="76">
        <v>50.517581999999997</v>
      </c>
      <c r="F1277" s="76">
        <v>30.752096000000002</v>
      </c>
      <c r="G1277" s="79">
        <v>761400</v>
      </c>
    </row>
    <row r="1278" spans="1:7" x14ac:dyDescent="0.25">
      <c r="A1278" s="1" t="s">
        <v>1401</v>
      </c>
      <c r="B1278" s="76">
        <v>50.481003000000001</v>
      </c>
      <c r="C1278" s="76">
        <v>50.802909999999997</v>
      </c>
      <c r="D1278" s="76">
        <v>50.115195999999997</v>
      </c>
      <c r="E1278" s="76">
        <v>50.583427</v>
      </c>
      <c r="F1278" s="76">
        <v>30.792162000000001</v>
      </c>
      <c r="G1278" s="79">
        <v>1208400</v>
      </c>
    </row>
    <row r="1279" spans="1:7" x14ac:dyDescent="0.25">
      <c r="A1279" s="1" t="s">
        <v>1402</v>
      </c>
      <c r="B1279" s="76">
        <v>50.554164999999998</v>
      </c>
      <c r="C1279" s="76">
        <v>51.644259999999903</v>
      </c>
      <c r="D1279" s="76">
        <v>50.554164999999998</v>
      </c>
      <c r="E1279" s="76">
        <v>51.395511999999997</v>
      </c>
      <c r="F1279" s="76">
        <v>31.286511999999998</v>
      </c>
      <c r="G1279" s="79">
        <v>985800</v>
      </c>
    </row>
    <row r="1280" spans="1:7" x14ac:dyDescent="0.25">
      <c r="A1280" s="1" t="s">
        <v>1403</v>
      </c>
      <c r="B1280" s="76">
        <v>51.212612</v>
      </c>
      <c r="C1280" s="76">
        <v>52.566085999999999</v>
      </c>
      <c r="D1280" s="76">
        <v>51.212612</v>
      </c>
      <c r="E1280" s="76">
        <v>52.566085999999999</v>
      </c>
      <c r="F1280" s="76">
        <v>31.999089999999999</v>
      </c>
      <c r="G1280" s="79">
        <v>867400</v>
      </c>
    </row>
    <row r="1281" spans="1:7" x14ac:dyDescent="0.25">
      <c r="A1281" s="1" t="s">
        <v>1404</v>
      </c>
      <c r="B1281" s="76">
        <v>51.973483999999999</v>
      </c>
      <c r="C1281" s="76">
        <v>52.390503000000002</v>
      </c>
      <c r="D1281" s="76">
        <v>51.527203</v>
      </c>
      <c r="E1281" s="76">
        <v>51.541835999999897</v>
      </c>
      <c r="F1281" s="76">
        <v>31.856777000000001</v>
      </c>
      <c r="G1281" s="79">
        <v>640300</v>
      </c>
    </row>
    <row r="1282" spans="1:7" x14ac:dyDescent="0.25">
      <c r="A1282" s="1" t="s">
        <v>1405</v>
      </c>
      <c r="B1282" s="76">
        <v>51.944220999999999</v>
      </c>
      <c r="C1282" s="76">
        <v>52.383186000000002</v>
      </c>
      <c r="D1282" s="76">
        <v>51.797896999999999</v>
      </c>
      <c r="E1282" s="76">
        <v>52.258811999999999</v>
      </c>
      <c r="F1282" s="76">
        <v>32.299950000000003</v>
      </c>
      <c r="G1282" s="79">
        <v>1081300</v>
      </c>
    </row>
    <row r="1283" spans="1:7" x14ac:dyDescent="0.25">
      <c r="A1283" s="1" t="s">
        <v>1406</v>
      </c>
      <c r="B1283" s="76">
        <v>52.127121000000002</v>
      </c>
      <c r="C1283" s="76">
        <v>52.434398999999999</v>
      </c>
      <c r="D1283" s="76">
        <v>51.944220999999999</v>
      </c>
      <c r="E1283" s="76">
        <v>52.046646000000003</v>
      </c>
      <c r="F1283" s="76">
        <v>32.168803999999902</v>
      </c>
      <c r="G1283" s="79">
        <v>488000</v>
      </c>
    </row>
    <row r="1284" spans="1:7" x14ac:dyDescent="0.25">
      <c r="A1284" s="1" t="s">
        <v>1407</v>
      </c>
      <c r="B1284" s="76">
        <v>51.951534000000002</v>
      </c>
      <c r="C1284" s="76">
        <v>52.353920000000002</v>
      </c>
      <c r="D1284" s="76">
        <v>51.936904999999904</v>
      </c>
      <c r="E1284" s="76">
        <v>52.156387000000002</v>
      </c>
      <c r="F1284" s="76">
        <v>32.236621999999997</v>
      </c>
      <c r="G1284" s="79">
        <v>585600</v>
      </c>
    </row>
    <row r="1285" spans="1:7" x14ac:dyDescent="0.25">
      <c r="A1285" s="1" t="s">
        <v>1408</v>
      </c>
      <c r="B1285" s="76">
        <v>52.090541999999999</v>
      </c>
      <c r="C1285" s="76">
        <v>52.236862000000002</v>
      </c>
      <c r="D1285" s="76">
        <v>51.907639000000003</v>
      </c>
      <c r="E1285" s="76">
        <v>52.163703999999903</v>
      </c>
      <c r="F1285" s="76">
        <v>32.241153999999902</v>
      </c>
      <c r="G1285" s="79">
        <v>551300</v>
      </c>
    </row>
    <row r="1286" spans="1:7" x14ac:dyDescent="0.25">
      <c r="A1286" s="1" t="s">
        <v>1409</v>
      </c>
      <c r="B1286" s="76">
        <v>52.163703999999903</v>
      </c>
      <c r="C1286" s="76">
        <v>52.668514000000002</v>
      </c>
      <c r="D1286" s="76">
        <v>51.951534000000002</v>
      </c>
      <c r="E1286" s="76">
        <v>52.653880999999998</v>
      </c>
      <c r="F1286" s="76">
        <v>32.544113000000003</v>
      </c>
      <c r="G1286" s="79">
        <v>437700</v>
      </c>
    </row>
    <row r="1287" spans="1:7" x14ac:dyDescent="0.25">
      <c r="A1287" s="1" t="s">
        <v>1410</v>
      </c>
      <c r="B1287" s="76">
        <v>52.602668999999899</v>
      </c>
      <c r="C1287" s="76">
        <v>52.770938999999998</v>
      </c>
      <c r="D1287" s="76">
        <v>52.097858000000002</v>
      </c>
      <c r="E1287" s="76">
        <v>52.383186000000002</v>
      </c>
      <c r="F1287" s="76">
        <v>32.376804</v>
      </c>
      <c r="G1287" s="79">
        <v>456700</v>
      </c>
    </row>
    <row r="1288" spans="1:7" x14ac:dyDescent="0.25">
      <c r="A1288" s="1" t="s">
        <v>1411</v>
      </c>
      <c r="B1288" s="76">
        <v>52.375869999999999</v>
      </c>
      <c r="C1288" s="76">
        <v>52.639247999999903</v>
      </c>
      <c r="D1288" s="76">
        <v>52.258811999999999</v>
      </c>
      <c r="E1288" s="76">
        <v>52.595351999999998</v>
      </c>
      <c r="F1288" s="76">
        <v>32.507938000000003</v>
      </c>
      <c r="G1288" s="79">
        <v>298000</v>
      </c>
    </row>
    <row r="1289" spans="1:7" x14ac:dyDescent="0.25">
      <c r="A1289" s="1" t="s">
        <v>1412</v>
      </c>
      <c r="B1289" s="76">
        <v>52.595351999999998</v>
      </c>
      <c r="C1289" s="76">
        <v>53.078212999999998</v>
      </c>
      <c r="D1289" s="76">
        <v>52.500243999999903</v>
      </c>
      <c r="E1289" s="76">
        <v>52.895308999999997</v>
      </c>
      <c r="F1289" s="76">
        <v>32.693325000000002</v>
      </c>
      <c r="G1289" s="79">
        <v>437300</v>
      </c>
    </row>
    <row r="1290" spans="1:7" x14ac:dyDescent="0.25">
      <c r="A1290" s="1" t="s">
        <v>1413</v>
      </c>
      <c r="B1290" s="76">
        <v>52.895308999999997</v>
      </c>
      <c r="C1290" s="76">
        <v>53.400119999999902</v>
      </c>
      <c r="D1290" s="76">
        <v>52.675826999999998</v>
      </c>
      <c r="E1290" s="76">
        <v>53.114795999999998</v>
      </c>
      <c r="F1290" s="76">
        <v>32.828994999999999</v>
      </c>
      <c r="G1290" s="79">
        <v>721700</v>
      </c>
    </row>
    <row r="1291" spans="1:7" x14ac:dyDescent="0.25">
      <c r="A1291" s="1" t="s">
        <v>1414</v>
      </c>
      <c r="B1291" s="76">
        <v>52.931891999999998</v>
      </c>
      <c r="C1291" s="76">
        <v>52.939208999999998</v>
      </c>
      <c r="D1291" s="76">
        <v>52.639247999999903</v>
      </c>
      <c r="E1291" s="76">
        <v>52.712409999999998</v>
      </c>
      <c r="F1291" s="76">
        <v>32.580283999999999</v>
      </c>
      <c r="G1291" s="79">
        <v>534500</v>
      </c>
    </row>
    <row r="1292" spans="1:7" x14ac:dyDescent="0.25">
      <c r="A1292" s="1" t="s">
        <v>1415</v>
      </c>
      <c r="B1292" s="76">
        <v>52.310023999999999</v>
      </c>
      <c r="C1292" s="76">
        <v>52.566085999999999</v>
      </c>
      <c r="D1292" s="76">
        <v>51.966166999999999</v>
      </c>
      <c r="E1292" s="76">
        <v>52.463661000000002</v>
      </c>
      <c r="F1292" s="76">
        <v>32.426547999999997</v>
      </c>
      <c r="G1292" s="79">
        <v>543900</v>
      </c>
    </row>
    <row r="1293" spans="1:7" x14ac:dyDescent="0.25">
      <c r="A1293" s="1" t="s">
        <v>1416</v>
      </c>
      <c r="B1293" s="76">
        <v>51.907639000000003</v>
      </c>
      <c r="C1293" s="76">
        <v>52.061275000000002</v>
      </c>
      <c r="D1293" s="76">
        <v>50.846806000000001</v>
      </c>
      <c r="E1293" s="76">
        <v>51.015076000000001</v>
      </c>
      <c r="F1293" s="76">
        <v>31.531196999999999</v>
      </c>
      <c r="G1293" s="79">
        <v>900700</v>
      </c>
    </row>
    <row r="1294" spans="1:7" x14ac:dyDescent="0.25">
      <c r="A1294" s="1" t="s">
        <v>1417</v>
      </c>
      <c r="B1294" s="76">
        <v>50.883389000000001</v>
      </c>
      <c r="C1294" s="76">
        <v>51.483307000000003</v>
      </c>
      <c r="D1294" s="76">
        <v>50.195675000000001</v>
      </c>
      <c r="E1294" s="76">
        <v>50.349311999999998</v>
      </c>
      <c r="F1294" s="76">
        <v>31.119709</v>
      </c>
      <c r="G1294" s="79">
        <v>943500</v>
      </c>
    </row>
    <row r="1295" spans="1:7" x14ac:dyDescent="0.25">
      <c r="A1295" s="1" t="s">
        <v>1418</v>
      </c>
      <c r="B1295" s="76">
        <v>50.298099999999998</v>
      </c>
      <c r="C1295" s="76">
        <v>50.459052999999997</v>
      </c>
      <c r="D1295" s="76">
        <v>50.188358000000001</v>
      </c>
      <c r="E1295" s="76">
        <v>50.459052999999997</v>
      </c>
      <c r="F1295" s="76">
        <v>31.187546000000001</v>
      </c>
      <c r="G1295" s="79">
        <v>607700</v>
      </c>
    </row>
    <row r="1296" spans="1:7" x14ac:dyDescent="0.25">
      <c r="A1296" s="1" t="s">
        <v>1419</v>
      </c>
      <c r="B1296" s="76">
        <v>50.334682000000001</v>
      </c>
      <c r="C1296" s="76">
        <v>51.395511999999997</v>
      </c>
      <c r="D1296" s="76">
        <v>50.334682000000001</v>
      </c>
      <c r="E1296" s="76">
        <v>51.395511999999997</v>
      </c>
      <c r="F1296" s="76">
        <v>31.766338000000001</v>
      </c>
      <c r="G1296" s="79">
        <v>615500</v>
      </c>
    </row>
    <row r="1297" spans="1:7" x14ac:dyDescent="0.25">
      <c r="A1297" s="1" t="s">
        <v>1420</v>
      </c>
      <c r="B1297" s="76">
        <v>51.285769999999999</v>
      </c>
      <c r="C1297" s="76">
        <v>51.614998</v>
      </c>
      <c r="D1297" s="76">
        <v>50.195675000000001</v>
      </c>
      <c r="E1297" s="76">
        <v>50.261519999999997</v>
      </c>
      <c r="F1297" s="76">
        <v>31.065453999999999</v>
      </c>
      <c r="G1297" s="79">
        <v>1134900</v>
      </c>
    </row>
    <row r="1298" spans="1:7" x14ac:dyDescent="0.25">
      <c r="A1298" s="1" t="s">
        <v>1421</v>
      </c>
      <c r="B1298" s="76">
        <v>50.298099999999998</v>
      </c>
      <c r="C1298" s="76">
        <v>51.263824</v>
      </c>
      <c r="D1298" s="76">
        <v>50.298099999999998</v>
      </c>
      <c r="E1298" s="76">
        <v>51.066288</v>
      </c>
      <c r="F1298" s="76">
        <v>31.562859</v>
      </c>
      <c r="G1298" s="79">
        <v>607500</v>
      </c>
    </row>
    <row r="1299" spans="1:7" x14ac:dyDescent="0.25">
      <c r="A1299" s="1" t="s">
        <v>1422</v>
      </c>
      <c r="B1299" s="76">
        <v>50.934601000000001</v>
      </c>
      <c r="C1299" s="76">
        <v>51.183346</v>
      </c>
      <c r="D1299" s="76">
        <v>50.707802000000001</v>
      </c>
      <c r="E1299" s="76">
        <v>50.963863000000003</v>
      </c>
      <c r="F1299" s="76">
        <v>31.499549999999999</v>
      </c>
      <c r="G1299" s="79">
        <v>513600</v>
      </c>
    </row>
    <row r="1300" spans="1:7" x14ac:dyDescent="0.25">
      <c r="A1300" s="1" t="s">
        <v>1423</v>
      </c>
      <c r="B1300" s="76">
        <v>51.102871</v>
      </c>
      <c r="C1300" s="76">
        <v>51.66621</v>
      </c>
      <c r="D1300" s="76">
        <v>51.102871</v>
      </c>
      <c r="E1300" s="76">
        <v>51.636944</v>
      </c>
      <c r="F1300" s="76">
        <v>31.915583000000002</v>
      </c>
      <c r="G1300" s="79">
        <v>479800</v>
      </c>
    </row>
    <row r="1301" spans="1:7" x14ac:dyDescent="0.25">
      <c r="A1301" s="1" t="s">
        <v>1424</v>
      </c>
      <c r="B1301" s="76">
        <v>52.090541999999999</v>
      </c>
      <c r="C1301" s="76">
        <v>52.968471999999998</v>
      </c>
      <c r="D1301" s="76">
        <v>51.944220999999999</v>
      </c>
      <c r="E1301" s="76">
        <v>52.968471999999998</v>
      </c>
      <c r="F1301" s="76">
        <v>32.738548000000002</v>
      </c>
      <c r="G1301" s="79">
        <v>499300</v>
      </c>
    </row>
    <row r="1302" spans="1:7" x14ac:dyDescent="0.25">
      <c r="A1302" s="1" t="s">
        <v>1425</v>
      </c>
      <c r="B1302" s="76">
        <v>52.748989000000002</v>
      </c>
      <c r="C1302" s="76">
        <v>53.809821999999997</v>
      </c>
      <c r="D1302" s="76">
        <v>52.690459999999902</v>
      </c>
      <c r="E1302" s="76">
        <v>53.700080999999997</v>
      </c>
      <c r="F1302" s="76">
        <v>33.190734999999997</v>
      </c>
      <c r="G1302" s="79">
        <v>513500</v>
      </c>
    </row>
    <row r="1303" spans="1:7" x14ac:dyDescent="0.25">
      <c r="A1303" s="1" t="s">
        <v>1426</v>
      </c>
      <c r="B1303" s="76">
        <v>53.553761000000002</v>
      </c>
      <c r="C1303" s="76">
        <v>53.692763999999997</v>
      </c>
      <c r="D1303" s="76">
        <v>53.136741999999998</v>
      </c>
      <c r="E1303" s="76">
        <v>53.407435999999997</v>
      </c>
      <c r="F1303" s="76">
        <v>33.009869000000002</v>
      </c>
      <c r="G1303" s="79">
        <v>392300</v>
      </c>
    </row>
    <row r="1304" spans="1:7" x14ac:dyDescent="0.25">
      <c r="A1304" s="1" t="s">
        <v>1427</v>
      </c>
      <c r="B1304" s="76">
        <v>53.370856999999901</v>
      </c>
      <c r="C1304" s="76">
        <v>53.370856999999901</v>
      </c>
      <c r="D1304" s="76">
        <v>51.995434000000003</v>
      </c>
      <c r="E1304" s="76">
        <v>52.105175000000003</v>
      </c>
      <c r="F1304" s="76">
        <v>32.204966999999897</v>
      </c>
      <c r="G1304" s="79">
        <v>1107500</v>
      </c>
    </row>
    <row r="1305" spans="1:7" x14ac:dyDescent="0.25">
      <c r="A1305" s="1" t="s">
        <v>1428</v>
      </c>
      <c r="B1305" s="76">
        <v>52.171016999999999</v>
      </c>
      <c r="C1305" s="76">
        <v>52.997737999999998</v>
      </c>
      <c r="D1305" s="76">
        <v>52.046646000000003</v>
      </c>
      <c r="E1305" s="76">
        <v>52.902625999999998</v>
      </c>
      <c r="F1305" s="76">
        <v>32.697865</v>
      </c>
      <c r="G1305" s="79">
        <v>538600</v>
      </c>
    </row>
    <row r="1306" spans="1:7" x14ac:dyDescent="0.25">
      <c r="A1306" s="1" t="s">
        <v>1429</v>
      </c>
      <c r="B1306" s="76">
        <v>52.375869999999999</v>
      </c>
      <c r="C1306" s="76">
        <v>52.566085999999999</v>
      </c>
      <c r="D1306" s="76">
        <v>51.593047999999897</v>
      </c>
      <c r="E1306" s="76">
        <v>51.651577000000003</v>
      </c>
      <c r="F1306" s="76">
        <v>31.924606000000001</v>
      </c>
      <c r="G1306" s="79">
        <v>500400</v>
      </c>
    </row>
    <row r="1307" spans="1:7" x14ac:dyDescent="0.25">
      <c r="A1307" s="1" t="s">
        <v>1430</v>
      </c>
      <c r="B1307" s="76">
        <v>51.395511999999997</v>
      </c>
      <c r="C1307" s="76">
        <v>52.588035999999903</v>
      </c>
      <c r="D1307" s="76">
        <v>51.293087</v>
      </c>
      <c r="E1307" s="76">
        <v>52.529506999999903</v>
      </c>
      <c r="F1307" s="76">
        <v>32.467236</v>
      </c>
      <c r="G1307" s="79">
        <v>580200</v>
      </c>
    </row>
    <row r="1308" spans="1:7" x14ac:dyDescent="0.25">
      <c r="A1308" s="1" t="s">
        <v>1431</v>
      </c>
      <c r="B1308" s="76">
        <v>52.639247999999903</v>
      </c>
      <c r="C1308" s="76">
        <v>53.158690999999997</v>
      </c>
      <c r="D1308" s="76">
        <v>52.185650000000003</v>
      </c>
      <c r="E1308" s="76">
        <v>52.456344999999999</v>
      </c>
      <c r="F1308" s="76">
        <v>32.422020000000003</v>
      </c>
      <c r="G1308" s="79">
        <v>507700</v>
      </c>
    </row>
    <row r="1309" spans="1:7" x14ac:dyDescent="0.25">
      <c r="A1309" s="1" t="s">
        <v>1432</v>
      </c>
      <c r="B1309" s="76">
        <v>52.463661000000002</v>
      </c>
      <c r="C1309" s="76">
        <v>52.946525999999999</v>
      </c>
      <c r="D1309" s="76">
        <v>51.827164000000003</v>
      </c>
      <c r="E1309" s="76">
        <v>51.944220999999999</v>
      </c>
      <c r="F1309" s="76">
        <v>32.105491999999998</v>
      </c>
      <c r="G1309" s="79">
        <v>438600</v>
      </c>
    </row>
    <row r="1310" spans="1:7" x14ac:dyDescent="0.25">
      <c r="A1310" s="1" t="s">
        <v>1433</v>
      </c>
      <c r="B1310" s="76">
        <v>52.675826999999998</v>
      </c>
      <c r="C1310" s="76">
        <v>53.348906999999997</v>
      </c>
      <c r="D1310" s="76">
        <v>52.470978000000002</v>
      </c>
      <c r="E1310" s="76">
        <v>53.195270999999998</v>
      </c>
      <c r="F1310" s="76">
        <v>32.878737999999998</v>
      </c>
      <c r="G1310" s="79">
        <v>853200</v>
      </c>
    </row>
    <row r="1311" spans="1:7" x14ac:dyDescent="0.25">
      <c r="A1311" s="1" t="s">
        <v>1434</v>
      </c>
      <c r="B1311" s="76">
        <v>53.041633999999902</v>
      </c>
      <c r="C1311" s="76">
        <v>53.048949999999998</v>
      </c>
      <c r="D1311" s="76">
        <v>52.339286999999999</v>
      </c>
      <c r="E1311" s="76">
        <v>52.712409999999998</v>
      </c>
      <c r="F1311" s="76">
        <v>32.580283999999999</v>
      </c>
      <c r="G1311" s="79">
        <v>864800</v>
      </c>
    </row>
    <row r="1312" spans="1:7" x14ac:dyDescent="0.25">
      <c r="A1312" s="1" t="s">
        <v>1435</v>
      </c>
      <c r="B1312" s="76">
        <v>52.675826999999998</v>
      </c>
      <c r="C1312" s="76">
        <v>52.675826999999998</v>
      </c>
      <c r="D1312" s="76">
        <v>52.046646000000003</v>
      </c>
      <c r="E1312" s="76">
        <v>52.310023999999999</v>
      </c>
      <c r="F1312" s="76">
        <v>32.331592999999998</v>
      </c>
      <c r="G1312" s="79">
        <v>563100</v>
      </c>
    </row>
    <row r="1313" spans="1:7" x14ac:dyDescent="0.25">
      <c r="A1313" s="1" t="s">
        <v>1436</v>
      </c>
      <c r="B1313" s="76">
        <v>52.346603000000002</v>
      </c>
      <c r="C1313" s="76">
        <v>52.792884999999998</v>
      </c>
      <c r="D1313" s="76">
        <v>51.395511999999997</v>
      </c>
      <c r="E1313" s="76">
        <v>51.395511999999997</v>
      </c>
      <c r="F1313" s="76">
        <v>31.766338000000001</v>
      </c>
      <c r="G1313" s="79">
        <v>670200</v>
      </c>
    </row>
    <row r="1314" spans="1:7" x14ac:dyDescent="0.25">
      <c r="A1314" s="1" t="s">
        <v>1437</v>
      </c>
      <c r="B1314" s="76">
        <v>51.358932000000003</v>
      </c>
      <c r="C1314" s="76">
        <v>51.358932000000003</v>
      </c>
      <c r="D1314" s="76">
        <v>50.312733000000001</v>
      </c>
      <c r="E1314" s="76">
        <v>50.481003000000001</v>
      </c>
      <c r="F1314" s="76">
        <v>31.201104999999998</v>
      </c>
      <c r="G1314" s="79">
        <v>2449000</v>
      </c>
    </row>
    <row r="1315" spans="1:7" x14ac:dyDescent="0.25">
      <c r="A1315" s="1" t="s">
        <v>1438</v>
      </c>
      <c r="B1315" s="76">
        <v>50.737063999999997</v>
      </c>
      <c r="C1315" s="76">
        <v>51.205295999999997</v>
      </c>
      <c r="D1315" s="76">
        <v>50.737063999999997</v>
      </c>
      <c r="E1315" s="76">
        <v>50.927284</v>
      </c>
      <c r="F1315" s="76">
        <v>31.476947999999901</v>
      </c>
      <c r="G1315" s="79">
        <v>1205600</v>
      </c>
    </row>
    <row r="1316" spans="1:7" x14ac:dyDescent="0.25">
      <c r="A1316" s="1" t="s">
        <v>1439</v>
      </c>
      <c r="B1316" s="76">
        <v>51.029708999999997</v>
      </c>
      <c r="C1316" s="76">
        <v>51.102871</v>
      </c>
      <c r="D1316" s="76">
        <v>50.400523999999997</v>
      </c>
      <c r="E1316" s="76">
        <v>50.488318999999997</v>
      </c>
      <c r="F1316" s="76">
        <v>31.205636999999999</v>
      </c>
      <c r="G1316" s="79">
        <v>1038700</v>
      </c>
    </row>
    <row r="1317" spans="1:7" x14ac:dyDescent="0.25">
      <c r="A1317" s="1" t="s">
        <v>1440</v>
      </c>
      <c r="B1317" s="76">
        <v>50.349311999999998</v>
      </c>
      <c r="C1317" s="76">
        <v>50.846806000000001</v>
      </c>
      <c r="D1317" s="76">
        <v>50.349311999999998</v>
      </c>
      <c r="E1317" s="76">
        <v>50.400523999999997</v>
      </c>
      <c r="F1317" s="76">
        <v>31.151366999999901</v>
      </c>
      <c r="G1317" s="79">
        <v>1068500</v>
      </c>
    </row>
    <row r="1318" spans="1:7" x14ac:dyDescent="0.25">
      <c r="A1318" s="1" t="s">
        <v>1441</v>
      </c>
      <c r="B1318" s="76">
        <v>50.334682000000001</v>
      </c>
      <c r="C1318" s="76">
        <v>50.927284</v>
      </c>
      <c r="D1318" s="76">
        <v>50.334682000000001</v>
      </c>
      <c r="E1318" s="76">
        <v>50.751697999999998</v>
      </c>
      <c r="F1318" s="76">
        <v>31.3684229999999</v>
      </c>
      <c r="G1318" s="79">
        <v>635400</v>
      </c>
    </row>
    <row r="1319" spans="1:7" x14ac:dyDescent="0.25">
      <c r="A1319" s="1" t="s">
        <v>1442</v>
      </c>
      <c r="B1319" s="76">
        <v>50.919967999999997</v>
      </c>
      <c r="C1319" s="76">
        <v>51.622310999999897</v>
      </c>
      <c r="D1319" s="76">
        <v>50.678534999999997</v>
      </c>
      <c r="E1319" s="76">
        <v>50.678534999999997</v>
      </c>
      <c r="F1319" s="76">
        <v>31.323193</v>
      </c>
      <c r="G1319" s="79">
        <v>873200</v>
      </c>
    </row>
    <row r="1320" spans="1:7" x14ac:dyDescent="0.25">
      <c r="A1320" s="1" t="s">
        <v>1443</v>
      </c>
      <c r="B1320" s="76">
        <v>51.139449999999997</v>
      </c>
      <c r="C1320" s="76">
        <v>51.351616</v>
      </c>
      <c r="D1320" s="76">
        <v>50.239570999999998</v>
      </c>
      <c r="E1320" s="76">
        <v>50.795592999999997</v>
      </c>
      <c r="F1320" s="76">
        <v>31.395544000000001</v>
      </c>
      <c r="G1320" s="79">
        <v>841900</v>
      </c>
    </row>
    <row r="1321" spans="1:7" x14ac:dyDescent="0.25">
      <c r="A1321" s="1" t="s">
        <v>1444</v>
      </c>
      <c r="B1321" s="76">
        <v>50.919967999999997</v>
      </c>
      <c r="C1321" s="76">
        <v>50.956547</v>
      </c>
      <c r="D1321" s="76">
        <v>50.078617000000001</v>
      </c>
      <c r="E1321" s="76">
        <v>50.795592999999997</v>
      </c>
      <c r="F1321" s="76">
        <v>31.395544000000001</v>
      </c>
      <c r="G1321" s="79">
        <v>792300</v>
      </c>
    </row>
    <row r="1322" spans="1:7" x14ac:dyDescent="0.25">
      <c r="A1322" s="1" t="s">
        <v>1445</v>
      </c>
      <c r="B1322" s="76">
        <v>50.919967999999997</v>
      </c>
      <c r="C1322" s="76">
        <v>51.168715999999897</v>
      </c>
      <c r="D1322" s="76">
        <v>50.568793999999997</v>
      </c>
      <c r="E1322" s="76">
        <v>51.015076000000001</v>
      </c>
      <c r="F1322" s="76">
        <v>31.531196999999999</v>
      </c>
      <c r="G1322" s="79">
        <v>1031500</v>
      </c>
    </row>
    <row r="1323" spans="1:7" x14ac:dyDescent="0.25">
      <c r="A1323" s="1" t="s">
        <v>1446</v>
      </c>
      <c r="B1323" s="76">
        <v>51.139449999999997</v>
      </c>
      <c r="C1323" s="76">
        <v>51.505253000000003</v>
      </c>
      <c r="D1323" s="76">
        <v>50.905334000000003</v>
      </c>
      <c r="E1323" s="76">
        <v>51.395511999999997</v>
      </c>
      <c r="F1323" s="76">
        <v>31.766338000000001</v>
      </c>
      <c r="G1323" s="79">
        <v>698800</v>
      </c>
    </row>
    <row r="1324" spans="1:7" x14ac:dyDescent="0.25">
      <c r="A1324" s="1" t="s">
        <v>1447</v>
      </c>
      <c r="B1324" s="76">
        <v>51.541835999999897</v>
      </c>
      <c r="C1324" s="76">
        <v>52.105175000000003</v>
      </c>
      <c r="D1324" s="76">
        <v>51.49794</v>
      </c>
      <c r="E1324" s="76">
        <v>51.907639000000003</v>
      </c>
      <c r="F1324" s="76">
        <v>32.082886000000002</v>
      </c>
      <c r="G1324" s="79">
        <v>1086700</v>
      </c>
    </row>
    <row r="1325" spans="1:7" x14ac:dyDescent="0.25">
      <c r="A1325" s="1" t="s">
        <v>1448</v>
      </c>
      <c r="B1325" s="76">
        <v>51.907639000000003</v>
      </c>
      <c r="C1325" s="76">
        <v>52.207599999999999</v>
      </c>
      <c r="D1325" s="76">
        <v>51.680840000000003</v>
      </c>
      <c r="E1325" s="76">
        <v>51.797896999999999</v>
      </c>
      <c r="F1325" s="76">
        <v>32.015064000000002</v>
      </c>
      <c r="G1325" s="79">
        <v>611300</v>
      </c>
    </row>
    <row r="1326" spans="1:7" x14ac:dyDescent="0.25">
      <c r="A1326" s="1" t="s">
        <v>1449</v>
      </c>
      <c r="B1326" s="76">
        <v>52.017379999999903</v>
      </c>
      <c r="C1326" s="76">
        <v>52.112491999999897</v>
      </c>
      <c r="D1326" s="76">
        <v>51.790581000000003</v>
      </c>
      <c r="E1326" s="76">
        <v>52.03933</v>
      </c>
      <c r="F1326" s="76">
        <v>32.164287999999999</v>
      </c>
      <c r="G1326" s="79">
        <v>474500</v>
      </c>
    </row>
    <row r="1327" spans="1:7" x14ac:dyDescent="0.25">
      <c r="A1327" s="1" t="s">
        <v>1450</v>
      </c>
      <c r="B1327" s="76">
        <v>52.105175000000003</v>
      </c>
      <c r="C1327" s="76">
        <v>53.626918999999901</v>
      </c>
      <c r="D1327" s="76">
        <v>51.929588000000003</v>
      </c>
      <c r="E1327" s="76">
        <v>53.041633999999902</v>
      </c>
      <c r="F1327" s="76">
        <v>32.783786999999997</v>
      </c>
      <c r="G1327" s="79">
        <v>980300</v>
      </c>
    </row>
    <row r="1328" spans="1:7" x14ac:dyDescent="0.25">
      <c r="A1328" s="1" t="s">
        <v>1451</v>
      </c>
      <c r="B1328" s="76">
        <v>53.005051000000002</v>
      </c>
      <c r="C1328" s="76">
        <v>53.246482999999998</v>
      </c>
      <c r="D1328" s="76">
        <v>52.873362999999998</v>
      </c>
      <c r="E1328" s="76">
        <v>53.078212999999998</v>
      </c>
      <c r="F1328" s="76">
        <v>32.806370000000001</v>
      </c>
      <c r="G1328" s="79">
        <v>714900</v>
      </c>
    </row>
    <row r="1329" spans="1:7" x14ac:dyDescent="0.25">
      <c r="A1329" s="1" t="s">
        <v>1452</v>
      </c>
      <c r="B1329" s="76">
        <v>53.078212999999998</v>
      </c>
      <c r="C1329" s="76">
        <v>53.590339999999998</v>
      </c>
      <c r="D1329" s="76">
        <v>52.983105000000002</v>
      </c>
      <c r="E1329" s="76">
        <v>53.297694999999997</v>
      </c>
      <c r="F1329" s="76">
        <v>32.942031999999998</v>
      </c>
      <c r="G1329" s="79">
        <v>734000</v>
      </c>
    </row>
    <row r="1330" spans="1:7" x14ac:dyDescent="0.25">
      <c r="A1330" s="1" t="s">
        <v>1453</v>
      </c>
      <c r="B1330" s="76">
        <v>53.334277999999998</v>
      </c>
      <c r="C1330" s="76">
        <v>53.553761000000002</v>
      </c>
      <c r="D1330" s="76">
        <v>53.217219999999998</v>
      </c>
      <c r="E1330" s="76">
        <v>53.378174000000001</v>
      </c>
      <c r="F1330" s="76">
        <v>32.991782999999998</v>
      </c>
      <c r="G1330" s="79">
        <v>720200</v>
      </c>
    </row>
    <row r="1331" spans="1:7" x14ac:dyDescent="0.25">
      <c r="A1331" s="1" t="s">
        <v>1454</v>
      </c>
      <c r="B1331" s="76">
        <v>53.539127000000001</v>
      </c>
      <c r="C1331" s="76">
        <v>53.626918999999901</v>
      </c>
      <c r="D1331" s="76">
        <v>52.953837999999998</v>
      </c>
      <c r="E1331" s="76">
        <v>53.385489999999997</v>
      </c>
      <c r="F1331" s="76">
        <v>32.996303999999903</v>
      </c>
      <c r="G1331" s="79">
        <v>587500</v>
      </c>
    </row>
    <row r="1332" spans="1:7" x14ac:dyDescent="0.25">
      <c r="A1332" s="1" t="s">
        <v>1455</v>
      </c>
      <c r="B1332" s="76">
        <v>53.334277999999998</v>
      </c>
      <c r="C1332" s="76">
        <v>53.641551999999997</v>
      </c>
      <c r="D1332" s="76">
        <v>53.239165999999997</v>
      </c>
      <c r="E1332" s="76">
        <v>53.641551999999997</v>
      </c>
      <c r="F1332" s="76">
        <v>33.154567999999998</v>
      </c>
      <c r="G1332" s="79">
        <v>634700</v>
      </c>
    </row>
    <row r="1333" spans="1:7" x14ac:dyDescent="0.25">
      <c r="A1333" s="1" t="s">
        <v>1456</v>
      </c>
      <c r="B1333" s="76">
        <v>53.495231999999902</v>
      </c>
      <c r="C1333" s="76">
        <v>53.736660000000001</v>
      </c>
      <c r="D1333" s="76">
        <v>53.297694999999997</v>
      </c>
      <c r="E1333" s="76">
        <v>53.670817999999997</v>
      </c>
      <c r="F1333" s="76">
        <v>33.172657000000001</v>
      </c>
      <c r="G1333" s="79">
        <v>668100</v>
      </c>
    </row>
    <row r="1334" spans="1:7" x14ac:dyDescent="0.25">
      <c r="A1334" s="1" t="s">
        <v>1457</v>
      </c>
      <c r="B1334" s="76">
        <v>53.736660000000001</v>
      </c>
      <c r="C1334" s="76">
        <v>53.809821999999997</v>
      </c>
      <c r="D1334" s="76">
        <v>53.517178000000001</v>
      </c>
      <c r="E1334" s="76">
        <v>53.648868999999998</v>
      </c>
      <c r="F1334" s="76">
        <v>33.159100000000002</v>
      </c>
      <c r="G1334" s="79">
        <v>456200</v>
      </c>
    </row>
    <row r="1335" spans="1:7" x14ac:dyDescent="0.25">
      <c r="A1335" s="1" t="s">
        <v>1458</v>
      </c>
      <c r="B1335" s="76">
        <v>53.722031000000001</v>
      </c>
      <c r="C1335" s="76">
        <v>53.846401</v>
      </c>
      <c r="D1335" s="76">
        <v>53.546443999999902</v>
      </c>
      <c r="E1335" s="76">
        <v>53.795189000000001</v>
      </c>
      <c r="F1335" s="76">
        <v>33.249530999999998</v>
      </c>
      <c r="G1335" s="79">
        <v>569500</v>
      </c>
    </row>
    <row r="1336" spans="1:7" x14ac:dyDescent="0.25">
      <c r="A1336" s="1" t="s">
        <v>1459</v>
      </c>
      <c r="B1336" s="76">
        <v>53.795189000000001</v>
      </c>
      <c r="C1336" s="76">
        <v>54.431690000000003</v>
      </c>
      <c r="D1336" s="76">
        <v>53.597656000000001</v>
      </c>
      <c r="E1336" s="76">
        <v>54.431690000000003</v>
      </c>
      <c r="F1336" s="76">
        <v>33.642936999999897</v>
      </c>
      <c r="G1336" s="79">
        <v>653000</v>
      </c>
    </row>
    <row r="1337" spans="1:7" x14ac:dyDescent="0.25">
      <c r="A1337" s="1" t="s">
        <v>1460</v>
      </c>
      <c r="B1337" s="76">
        <v>54.431690000000003</v>
      </c>
      <c r="C1337" s="76">
        <v>55.053557999999903</v>
      </c>
      <c r="D1337" s="76">
        <v>54.307316</v>
      </c>
      <c r="E1337" s="76">
        <v>54.980395999999999</v>
      </c>
      <c r="F1337" s="76">
        <v>33.982070999999998</v>
      </c>
      <c r="G1337" s="79">
        <v>635200</v>
      </c>
    </row>
    <row r="1338" spans="1:7" x14ac:dyDescent="0.25">
      <c r="A1338" s="1" t="s">
        <v>1461</v>
      </c>
      <c r="B1338" s="76">
        <v>54.885288000000003</v>
      </c>
      <c r="C1338" s="76">
        <v>55.346198999999999</v>
      </c>
      <c r="D1338" s="76">
        <v>54.651173</v>
      </c>
      <c r="E1338" s="76">
        <v>55.236457999999999</v>
      </c>
      <c r="F1338" s="76">
        <v>34.140343000000001</v>
      </c>
      <c r="G1338" s="79">
        <v>680100</v>
      </c>
    </row>
    <row r="1339" spans="1:7" x14ac:dyDescent="0.25">
      <c r="A1339" s="1" t="s">
        <v>1462</v>
      </c>
      <c r="B1339" s="76">
        <v>55.382781999999899</v>
      </c>
      <c r="C1339" s="76">
        <v>56.143653999999998</v>
      </c>
      <c r="D1339" s="76">
        <v>55.338885999999903</v>
      </c>
      <c r="E1339" s="76">
        <v>55.997333999999903</v>
      </c>
      <c r="F1339" s="76">
        <v>34.610619</v>
      </c>
      <c r="G1339" s="79">
        <v>960500</v>
      </c>
    </row>
    <row r="1340" spans="1:7" x14ac:dyDescent="0.25">
      <c r="A1340" s="1" t="s">
        <v>1463</v>
      </c>
      <c r="B1340" s="76">
        <v>56.114390999999998</v>
      </c>
      <c r="C1340" s="76">
        <v>56.150969999999901</v>
      </c>
      <c r="D1340" s="76">
        <v>55.4120449999999</v>
      </c>
      <c r="E1340" s="76">
        <v>55.931488000000002</v>
      </c>
      <c r="F1340" s="76">
        <v>34.569915999999999</v>
      </c>
      <c r="G1340" s="79">
        <v>1282300</v>
      </c>
    </row>
    <row r="1341" spans="1:7" x14ac:dyDescent="0.25">
      <c r="A1341" s="1" t="s">
        <v>1464</v>
      </c>
      <c r="B1341" s="76">
        <v>56.004649999999998</v>
      </c>
      <c r="C1341" s="76">
        <v>56.333874000000002</v>
      </c>
      <c r="D1341" s="76">
        <v>55.931488000000002</v>
      </c>
      <c r="E1341" s="76">
        <v>56.311923999999998</v>
      </c>
      <c r="F1341" s="76">
        <v>34.805064999999999</v>
      </c>
      <c r="G1341" s="79">
        <v>882600</v>
      </c>
    </row>
    <row r="1342" spans="1:7" x14ac:dyDescent="0.25">
      <c r="A1342" s="1" t="s">
        <v>1465</v>
      </c>
      <c r="B1342" s="76">
        <v>55.902221999999902</v>
      </c>
      <c r="C1342" s="76">
        <v>56.289974000000001</v>
      </c>
      <c r="D1342" s="76">
        <v>55.872958999999902</v>
      </c>
      <c r="E1342" s="76">
        <v>56.289974000000001</v>
      </c>
      <c r="F1342" s="76">
        <v>35.138451000000003</v>
      </c>
      <c r="G1342" s="79">
        <v>982900</v>
      </c>
    </row>
    <row r="1343" spans="1:7" x14ac:dyDescent="0.25">
      <c r="A1343" s="1" t="s">
        <v>1466</v>
      </c>
      <c r="B1343" s="76">
        <v>56.260711999999998</v>
      </c>
      <c r="C1343" s="76">
        <v>56.845996999999997</v>
      </c>
      <c r="D1343" s="76">
        <v>55.982700000000001</v>
      </c>
      <c r="E1343" s="76">
        <v>56.582618999999902</v>
      </c>
      <c r="F1343" s="76">
        <v>35.321133000000003</v>
      </c>
      <c r="G1343" s="79">
        <v>825700</v>
      </c>
    </row>
    <row r="1344" spans="1:7" x14ac:dyDescent="0.25">
      <c r="A1344" s="1" t="s">
        <v>1467</v>
      </c>
      <c r="B1344" s="76">
        <v>56.604568</v>
      </c>
      <c r="C1344" s="76">
        <v>57.292278000000003</v>
      </c>
      <c r="D1344" s="76">
        <v>56.450931999999902</v>
      </c>
      <c r="E1344" s="76">
        <v>57.065479000000003</v>
      </c>
      <c r="F1344" s="76">
        <v>35.622559000000003</v>
      </c>
      <c r="G1344" s="79">
        <v>961100</v>
      </c>
    </row>
    <row r="1345" spans="1:7" x14ac:dyDescent="0.25">
      <c r="A1345" s="1" t="s">
        <v>1468</v>
      </c>
      <c r="B1345" s="76">
        <v>57.065479000000003</v>
      </c>
      <c r="C1345" s="76">
        <v>57.072795999999997</v>
      </c>
      <c r="D1345" s="76">
        <v>56.099757999999902</v>
      </c>
      <c r="E1345" s="76">
        <v>56.150969999999901</v>
      </c>
      <c r="F1345" s="76">
        <v>35.051682</v>
      </c>
      <c r="G1345" s="79">
        <v>939000</v>
      </c>
    </row>
    <row r="1346" spans="1:7" x14ac:dyDescent="0.25">
      <c r="A1346" s="1" t="s">
        <v>1469</v>
      </c>
      <c r="B1346" s="76">
        <v>56.150969999999901</v>
      </c>
      <c r="C1346" s="76">
        <v>57.175219999999896</v>
      </c>
      <c r="D1346" s="76">
        <v>56.150969999999901</v>
      </c>
      <c r="E1346" s="76">
        <v>57.175219999999896</v>
      </c>
      <c r="F1346" s="76">
        <v>35.691051000000002</v>
      </c>
      <c r="G1346" s="79">
        <v>932800</v>
      </c>
    </row>
    <row r="1347" spans="1:7" x14ac:dyDescent="0.25">
      <c r="A1347" s="1" t="s">
        <v>1470</v>
      </c>
      <c r="B1347" s="76">
        <v>56.845996999999997</v>
      </c>
      <c r="C1347" s="76">
        <v>57.124007999999897</v>
      </c>
      <c r="D1347" s="76">
        <v>56.619197999999997</v>
      </c>
      <c r="E1347" s="76">
        <v>57.043532999999996</v>
      </c>
      <c r="F1347" s="76">
        <v>35.608848999999999</v>
      </c>
      <c r="G1347" s="79">
        <v>607200</v>
      </c>
    </row>
    <row r="1348" spans="1:7" x14ac:dyDescent="0.25">
      <c r="A1348" s="1" t="s">
        <v>1471</v>
      </c>
      <c r="B1348" s="76">
        <v>57.102061999999997</v>
      </c>
      <c r="C1348" s="76">
        <v>57.131324999999997</v>
      </c>
      <c r="D1348" s="76">
        <v>56.385086000000001</v>
      </c>
      <c r="E1348" s="76">
        <v>57.087429</v>
      </c>
      <c r="F1348" s="76">
        <v>35.636241999999903</v>
      </c>
      <c r="G1348" s="79">
        <v>806200</v>
      </c>
    </row>
    <row r="1349" spans="1:7" x14ac:dyDescent="0.25">
      <c r="A1349" s="1" t="s">
        <v>1472</v>
      </c>
      <c r="B1349" s="76">
        <v>57.087429</v>
      </c>
      <c r="C1349" s="76">
        <v>57.182536999999897</v>
      </c>
      <c r="D1349" s="76">
        <v>56.955737999999997</v>
      </c>
      <c r="E1349" s="76">
        <v>57.065479000000003</v>
      </c>
      <c r="F1349" s="76">
        <v>35.622559000000003</v>
      </c>
      <c r="G1349" s="79">
        <v>756900</v>
      </c>
    </row>
    <row r="1350" spans="1:7" x14ac:dyDescent="0.25">
      <c r="A1350" s="1" t="s">
        <v>1473</v>
      </c>
      <c r="B1350" s="76">
        <v>57.065479000000003</v>
      </c>
      <c r="C1350" s="76">
        <v>57.145957999999901</v>
      </c>
      <c r="D1350" s="76">
        <v>56.553356000000001</v>
      </c>
      <c r="E1350" s="76">
        <v>56.670414000000001</v>
      </c>
      <c r="F1350" s="76">
        <v>35.375941999999903</v>
      </c>
      <c r="G1350" s="79">
        <v>519800</v>
      </c>
    </row>
    <row r="1351" spans="1:7" x14ac:dyDescent="0.25">
      <c r="A1351" s="1" t="s">
        <v>1474</v>
      </c>
      <c r="B1351" s="76">
        <v>56.670414000000001</v>
      </c>
      <c r="C1351" s="76">
        <v>57.006954</v>
      </c>
      <c r="D1351" s="76">
        <v>56.502143999999902</v>
      </c>
      <c r="E1351" s="76">
        <v>56.809418000000001</v>
      </c>
      <c r="F1351" s="76">
        <v>35.462699999999998</v>
      </c>
      <c r="G1351" s="79">
        <v>876400</v>
      </c>
    </row>
    <row r="1352" spans="1:7" x14ac:dyDescent="0.25">
      <c r="A1352" s="1" t="s">
        <v>1475</v>
      </c>
      <c r="B1352" s="76">
        <v>56.809418000000001</v>
      </c>
      <c r="C1352" s="76">
        <v>56.845996999999997</v>
      </c>
      <c r="D1352" s="76">
        <v>56.516773000000001</v>
      </c>
      <c r="E1352" s="76">
        <v>56.794784999999997</v>
      </c>
      <c r="F1352" s="76">
        <v>35.453575000000001</v>
      </c>
      <c r="G1352" s="79">
        <v>636900</v>
      </c>
    </row>
    <row r="1353" spans="1:7" x14ac:dyDescent="0.25">
      <c r="A1353" s="1" t="s">
        <v>1476</v>
      </c>
      <c r="B1353" s="76">
        <v>56.955737999999997</v>
      </c>
      <c r="C1353" s="76">
        <v>57.467865000000003</v>
      </c>
      <c r="D1353" s="76">
        <v>56.882579999999997</v>
      </c>
      <c r="E1353" s="76">
        <v>57.467865000000003</v>
      </c>
      <c r="F1353" s="76">
        <v>35.873736999999998</v>
      </c>
      <c r="G1353" s="79">
        <v>980000</v>
      </c>
    </row>
    <row r="1354" spans="1:7" x14ac:dyDescent="0.25">
      <c r="A1354" s="1" t="s">
        <v>1477</v>
      </c>
      <c r="B1354" s="76">
        <v>57.467865000000003</v>
      </c>
      <c r="C1354" s="76">
        <v>59.531002000000001</v>
      </c>
      <c r="D1354" s="76">
        <v>57.431286</v>
      </c>
      <c r="E1354" s="76">
        <v>59.399310999999997</v>
      </c>
      <c r="F1354" s="76">
        <v>37.079421999999902</v>
      </c>
      <c r="G1354" s="79">
        <v>2192100</v>
      </c>
    </row>
    <row r="1355" spans="1:7" x14ac:dyDescent="0.25">
      <c r="A1355" s="1" t="s">
        <v>1478</v>
      </c>
      <c r="B1355" s="76">
        <v>59.552951999999998</v>
      </c>
      <c r="C1355" s="76">
        <v>59.552951999999998</v>
      </c>
      <c r="D1355" s="76">
        <v>58.945717000000002</v>
      </c>
      <c r="E1355" s="76">
        <v>59.113987000000002</v>
      </c>
      <c r="F1355" s="76">
        <v>36.901313999999999</v>
      </c>
      <c r="G1355" s="79">
        <v>810000</v>
      </c>
    </row>
    <row r="1356" spans="1:7" x14ac:dyDescent="0.25">
      <c r="A1356" s="1" t="s">
        <v>1479</v>
      </c>
      <c r="B1356" s="76">
        <v>59.113987000000002</v>
      </c>
      <c r="C1356" s="76">
        <v>59.611480999999998</v>
      </c>
      <c r="D1356" s="76">
        <v>59.011558999999998</v>
      </c>
      <c r="E1356" s="76">
        <v>59.443210999999998</v>
      </c>
      <c r="F1356" s="76">
        <v>37.106827000000003</v>
      </c>
      <c r="G1356" s="79">
        <v>1060200</v>
      </c>
    </row>
    <row r="1357" spans="1:7" x14ac:dyDescent="0.25">
      <c r="A1357" s="1" t="s">
        <v>1480</v>
      </c>
      <c r="B1357" s="76">
        <v>59.333468999999901</v>
      </c>
      <c r="C1357" s="76">
        <v>59.340786000000001</v>
      </c>
      <c r="D1357" s="76">
        <v>58.470168999999899</v>
      </c>
      <c r="E1357" s="76">
        <v>58.638438999999998</v>
      </c>
      <c r="F1357" s="76">
        <v>36.604458000000001</v>
      </c>
      <c r="G1357" s="79">
        <v>747100</v>
      </c>
    </row>
    <row r="1358" spans="1:7" x14ac:dyDescent="0.25">
      <c r="A1358" s="1" t="s">
        <v>1481</v>
      </c>
      <c r="B1358" s="76">
        <v>58.528697999999999</v>
      </c>
      <c r="C1358" s="76">
        <v>58.601859999999903</v>
      </c>
      <c r="D1358" s="76">
        <v>57.145957999999901</v>
      </c>
      <c r="E1358" s="76">
        <v>57.555659999999897</v>
      </c>
      <c r="F1358" s="76">
        <v>35.928546999999902</v>
      </c>
      <c r="G1358" s="79">
        <v>1863000</v>
      </c>
    </row>
    <row r="1359" spans="1:7" x14ac:dyDescent="0.25">
      <c r="A1359" s="1" t="s">
        <v>1482</v>
      </c>
      <c r="B1359" s="76">
        <v>57.431286</v>
      </c>
      <c r="C1359" s="76">
        <v>58.082417</v>
      </c>
      <c r="D1359" s="76">
        <v>56.999637999999997</v>
      </c>
      <c r="E1359" s="76">
        <v>57.204487</v>
      </c>
      <c r="F1359" s="76">
        <v>35.709327999999999</v>
      </c>
      <c r="G1359" s="79">
        <v>711900</v>
      </c>
    </row>
    <row r="1360" spans="1:7" x14ac:dyDescent="0.25">
      <c r="A1360" s="1" t="s">
        <v>1483</v>
      </c>
      <c r="B1360" s="76">
        <v>57.402019999999901</v>
      </c>
      <c r="C1360" s="76">
        <v>57.482498</v>
      </c>
      <c r="D1360" s="76">
        <v>57.065479000000003</v>
      </c>
      <c r="E1360" s="76">
        <v>57.482498</v>
      </c>
      <c r="F1360" s="76">
        <v>35.882874000000001</v>
      </c>
      <c r="G1360" s="79">
        <v>356400</v>
      </c>
    </row>
    <row r="1361" spans="1:7" x14ac:dyDescent="0.25">
      <c r="A1361" s="1" t="s">
        <v>1484</v>
      </c>
      <c r="B1361" s="76">
        <v>57.4532319999999</v>
      </c>
      <c r="C1361" s="76">
        <v>57.921463000000003</v>
      </c>
      <c r="D1361" s="76">
        <v>57.4532319999999</v>
      </c>
      <c r="E1361" s="76">
        <v>57.577606000000003</v>
      </c>
      <c r="F1361" s="76">
        <v>35.942248999999997</v>
      </c>
      <c r="G1361" s="79">
        <v>631100</v>
      </c>
    </row>
    <row r="1362" spans="1:7" x14ac:dyDescent="0.25">
      <c r="A1362" s="1" t="s">
        <v>1485</v>
      </c>
      <c r="B1362" s="76">
        <v>57.716614</v>
      </c>
      <c r="C1362" s="76">
        <v>58.287266000000002</v>
      </c>
      <c r="D1362" s="76">
        <v>57.650767999999999</v>
      </c>
      <c r="E1362" s="76">
        <v>58.155579000000003</v>
      </c>
      <c r="F1362" s="76">
        <v>36.303027999999998</v>
      </c>
      <c r="G1362" s="79">
        <v>585600</v>
      </c>
    </row>
    <row r="1363" spans="1:7" x14ac:dyDescent="0.25">
      <c r="A1363" s="1" t="s">
        <v>1486</v>
      </c>
      <c r="B1363" s="76">
        <v>58.236052999999998</v>
      </c>
      <c r="C1363" s="76">
        <v>58.455535999999903</v>
      </c>
      <c r="D1363" s="76">
        <v>57.489815</v>
      </c>
      <c r="E1363" s="76">
        <v>57.541027</v>
      </c>
      <c r="F1363" s="76">
        <v>35.919410999999997</v>
      </c>
      <c r="G1363" s="79">
        <v>528200</v>
      </c>
    </row>
    <row r="1364" spans="1:7" x14ac:dyDescent="0.25">
      <c r="A1364" s="1" t="s">
        <v>1487</v>
      </c>
      <c r="B1364" s="76">
        <v>57.687346999999903</v>
      </c>
      <c r="C1364" s="76">
        <v>58.309215999999999</v>
      </c>
      <c r="D1364" s="76">
        <v>57.043532999999996</v>
      </c>
      <c r="E1364" s="76">
        <v>57.065479000000003</v>
      </c>
      <c r="F1364" s="76">
        <v>35.622559000000003</v>
      </c>
      <c r="G1364" s="79">
        <v>849800</v>
      </c>
    </row>
    <row r="1365" spans="1:7" x14ac:dyDescent="0.25">
      <c r="A1365" s="1" t="s">
        <v>1488</v>
      </c>
      <c r="B1365" s="76">
        <v>57.321544999999901</v>
      </c>
      <c r="C1365" s="76">
        <v>57.797089</v>
      </c>
      <c r="D1365" s="76">
        <v>57.072795999999997</v>
      </c>
      <c r="E1365" s="76">
        <v>57.102061999999997</v>
      </c>
      <c r="F1365" s="76">
        <v>35.645373999999997</v>
      </c>
      <c r="G1365" s="79">
        <v>996400</v>
      </c>
    </row>
    <row r="1366" spans="1:7" x14ac:dyDescent="0.25">
      <c r="A1366" s="1" t="s">
        <v>1489</v>
      </c>
      <c r="B1366" s="76">
        <v>57.270331999999897</v>
      </c>
      <c r="C1366" s="76">
        <v>58.704284999999999</v>
      </c>
      <c r="D1366" s="76">
        <v>57.153275000000001</v>
      </c>
      <c r="E1366" s="76">
        <v>58.279952999999999</v>
      </c>
      <c r="F1366" s="76">
        <v>36.380676000000001</v>
      </c>
      <c r="G1366" s="79">
        <v>835200</v>
      </c>
    </row>
    <row r="1367" spans="1:7" x14ac:dyDescent="0.25">
      <c r="A1367" s="1" t="s">
        <v>1490</v>
      </c>
      <c r="B1367" s="76">
        <v>58.279952999999999</v>
      </c>
      <c r="C1367" s="76">
        <v>58.938400000000001</v>
      </c>
      <c r="D1367" s="76">
        <v>58.162894999999899</v>
      </c>
      <c r="E1367" s="76">
        <v>58.272635999999999</v>
      </c>
      <c r="F1367" s="76">
        <v>36.376102000000003</v>
      </c>
      <c r="G1367" s="79">
        <v>694100</v>
      </c>
    </row>
    <row r="1368" spans="1:7" x14ac:dyDescent="0.25">
      <c r="A1368" s="1" t="s">
        <v>1491</v>
      </c>
      <c r="B1368" s="76">
        <v>58.272635999999999</v>
      </c>
      <c r="C1368" s="76">
        <v>58.857921999999903</v>
      </c>
      <c r="D1368" s="76">
        <v>57.928780000000003</v>
      </c>
      <c r="E1368" s="76">
        <v>58.792076000000002</v>
      </c>
      <c r="F1368" s="76">
        <v>36.700375000000001</v>
      </c>
      <c r="G1368" s="79">
        <v>476600</v>
      </c>
    </row>
    <row r="1369" spans="1:7" x14ac:dyDescent="0.25">
      <c r="A1369" s="1" t="s">
        <v>1492</v>
      </c>
      <c r="B1369" s="76">
        <v>58.792076000000002</v>
      </c>
      <c r="C1369" s="76">
        <v>58.938400000000001</v>
      </c>
      <c r="D1369" s="76">
        <v>58.345794999999903</v>
      </c>
      <c r="E1369" s="76">
        <v>58.653071999999902</v>
      </c>
      <c r="F1369" s="76">
        <v>36.613590000000002</v>
      </c>
      <c r="G1369" s="79">
        <v>424900</v>
      </c>
    </row>
    <row r="1370" spans="1:7" x14ac:dyDescent="0.25">
      <c r="A1370" s="1" t="s">
        <v>1493</v>
      </c>
      <c r="B1370" s="76">
        <v>58.528697999999999</v>
      </c>
      <c r="C1370" s="76">
        <v>58.638438999999998</v>
      </c>
      <c r="D1370" s="76">
        <v>58.206791000000003</v>
      </c>
      <c r="E1370" s="76">
        <v>58.565277000000002</v>
      </c>
      <c r="F1370" s="76">
        <v>36.558788</v>
      </c>
      <c r="G1370" s="79">
        <v>513200</v>
      </c>
    </row>
    <row r="1371" spans="1:7" x14ac:dyDescent="0.25">
      <c r="A1371" s="1" t="s">
        <v>1494</v>
      </c>
      <c r="B1371" s="76">
        <v>58.565277000000002</v>
      </c>
      <c r="C1371" s="76">
        <v>58.601859999999903</v>
      </c>
      <c r="D1371" s="76">
        <v>58.111682999999999</v>
      </c>
      <c r="E1371" s="76">
        <v>58.367743999999902</v>
      </c>
      <c r="F1371" s="76">
        <v>36.435482</v>
      </c>
      <c r="G1371" s="79">
        <v>569100</v>
      </c>
    </row>
    <row r="1372" spans="1:7" x14ac:dyDescent="0.25">
      <c r="A1372" s="1" t="s">
        <v>1495</v>
      </c>
      <c r="B1372" s="76">
        <v>58.309215999999999</v>
      </c>
      <c r="C1372" s="76">
        <v>58.360427999999999</v>
      </c>
      <c r="D1372" s="76">
        <v>57.57029</v>
      </c>
      <c r="E1372" s="76">
        <v>57.709296999999999</v>
      </c>
      <c r="F1372" s="76">
        <v>36.024440999999896</v>
      </c>
      <c r="G1372" s="79">
        <v>882100</v>
      </c>
    </row>
    <row r="1373" spans="1:7" x14ac:dyDescent="0.25">
      <c r="A1373" s="1" t="s">
        <v>1496</v>
      </c>
      <c r="B1373" s="76">
        <v>57.467865000000003</v>
      </c>
      <c r="C1373" s="76">
        <v>57.541027</v>
      </c>
      <c r="D1373" s="76">
        <v>57.270331999999897</v>
      </c>
      <c r="E1373" s="76">
        <v>57.504447999999996</v>
      </c>
      <c r="F1373" s="76">
        <v>35.896576000000003</v>
      </c>
      <c r="G1373" s="79">
        <v>1084100</v>
      </c>
    </row>
    <row r="1374" spans="1:7" x14ac:dyDescent="0.25">
      <c r="A1374" s="1" t="s">
        <v>1497</v>
      </c>
      <c r="B1374" s="76">
        <v>57.650767999999999</v>
      </c>
      <c r="C1374" s="76">
        <v>58.521380999999998</v>
      </c>
      <c r="D1374" s="76">
        <v>57.577606000000003</v>
      </c>
      <c r="E1374" s="76">
        <v>58.177525000000003</v>
      </c>
      <c r="F1374" s="76">
        <v>36.316738000000001</v>
      </c>
      <c r="G1374" s="79">
        <v>986800</v>
      </c>
    </row>
    <row r="1375" spans="1:7" x14ac:dyDescent="0.25">
      <c r="A1375" s="1" t="s">
        <v>1498</v>
      </c>
      <c r="B1375" s="76">
        <v>58.184840999999999</v>
      </c>
      <c r="C1375" s="76">
        <v>58.704284999999999</v>
      </c>
      <c r="D1375" s="76">
        <v>58.001942</v>
      </c>
      <c r="E1375" s="76">
        <v>58.418956999999899</v>
      </c>
      <c r="F1375" s="76">
        <v>36.467441999999998</v>
      </c>
      <c r="G1375" s="79">
        <v>609100</v>
      </c>
    </row>
    <row r="1376" spans="1:7" x14ac:dyDescent="0.25">
      <c r="A1376" s="1" t="s">
        <v>1499</v>
      </c>
      <c r="B1376" s="76">
        <v>58.528697999999999</v>
      </c>
      <c r="C1376" s="76">
        <v>58.572593999999903</v>
      </c>
      <c r="D1376" s="76">
        <v>57.950729000000003</v>
      </c>
      <c r="E1376" s="76">
        <v>57.979992000000003</v>
      </c>
      <c r="F1376" s="76">
        <v>36.193432000000001</v>
      </c>
      <c r="G1376" s="79">
        <v>831600</v>
      </c>
    </row>
    <row r="1377" spans="1:7" x14ac:dyDescent="0.25">
      <c r="A1377" s="1" t="s">
        <v>1500</v>
      </c>
      <c r="B1377" s="76">
        <v>58.162894999999899</v>
      </c>
      <c r="C1377" s="76">
        <v>58.258003000000002</v>
      </c>
      <c r="D1377" s="76">
        <v>57.394706999999997</v>
      </c>
      <c r="E1377" s="76">
        <v>57.541027</v>
      </c>
      <c r="F1377" s="76">
        <v>35.919410999999997</v>
      </c>
      <c r="G1377" s="79">
        <v>634200</v>
      </c>
    </row>
    <row r="1378" spans="1:7" x14ac:dyDescent="0.25">
      <c r="A1378" s="1" t="s">
        <v>1501</v>
      </c>
      <c r="B1378" s="76">
        <v>57.614189000000003</v>
      </c>
      <c r="C1378" s="76">
        <v>58.272635999999999</v>
      </c>
      <c r="D1378" s="76">
        <v>57.577606000000003</v>
      </c>
      <c r="E1378" s="76">
        <v>58.031204000000002</v>
      </c>
      <c r="F1378" s="76">
        <v>36.225394999999999</v>
      </c>
      <c r="G1378" s="79">
        <v>888500</v>
      </c>
    </row>
    <row r="1379" spans="1:7" x14ac:dyDescent="0.25">
      <c r="A1379" s="1" t="s">
        <v>1502</v>
      </c>
      <c r="B1379" s="76">
        <v>58.162894999999899</v>
      </c>
      <c r="C1379" s="76">
        <v>58.579909999999998</v>
      </c>
      <c r="D1379" s="76">
        <v>57.614189000000003</v>
      </c>
      <c r="E1379" s="76">
        <v>57.775143</v>
      </c>
      <c r="F1379" s="76">
        <v>36.065551999999997</v>
      </c>
      <c r="G1379" s="79">
        <v>877200</v>
      </c>
    </row>
    <row r="1380" spans="1:7" x14ac:dyDescent="0.25">
      <c r="A1380" s="1" t="s">
        <v>1503</v>
      </c>
      <c r="B1380" s="76">
        <v>57.614189000000003</v>
      </c>
      <c r="C1380" s="76">
        <v>57.936095999999999</v>
      </c>
      <c r="D1380" s="76">
        <v>57.445918999999897</v>
      </c>
      <c r="E1380" s="76">
        <v>57.833672</v>
      </c>
      <c r="F1380" s="76">
        <v>36.102092999999897</v>
      </c>
      <c r="G1380" s="79">
        <v>341500</v>
      </c>
    </row>
    <row r="1381" spans="1:7" x14ac:dyDescent="0.25">
      <c r="A1381" s="1" t="s">
        <v>1504</v>
      </c>
      <c r="B1381" s="76">
        <v>57.723930000000003</v>
      </c>
      <c r="C1381" s="76">
        <v>58.455535999999903</v>
      </c>
      <c r="D1381" s="76">
        <v>57.614189000000003</v>
      </c>
      <c r="E1381" s="76">
        <v>58.455535999999903</v>
      </c>
      <c r="F1381" s="76">
        <v>36.490276000000001</v>
      </c>
      <c r="G1381" s="79">
        <v>428100</v>
      </c>
    </row>
    <row r="1382" spans="1:7" x14ac:dyDescent="0.25">
      <c r="A1382" s="1" t="s">
        <v>1505</v>
      </c>
      <c r="B1382" s="76">
        <v>58.455535999999903</v>
      </c>
      <c r="C1382" s="76">
        <v>58.748179999999998</v>
      </c>
      <c r="D1382" s="76">
        <v>58.258003000000002</v>
      </c>
      <c r="E1382" s="76">
        <v>58.579909999999998</v>
      </c>
      <c r="F1382" s="76">
        <v>36.567920999999998</v>
      </c>
      <c r="G1382" s="79">
        <v>640400</v>
      </c>
    </row>
    <row r="1383" spans="1:7" x14ac:dyDescent="0.25">
      <c r="A1383" s="1" t="s">
        <v>1506</v>
      </c>
      <c r="B1383" s="76">
        <v>58.587226999999999</v>
      </c>
      <c r="C1383" s="76">
        <v>58.821342000000001</v>
      </c>
      <c r="D1383" s="76">
        <v>58.089732999999903</v>
      </c>
      <c r="E1383" s="76">
        <v>58.821342000000001</v>
      </c>
      <c r="F1383" s="76">
        <v>36.718628000000002</v>
      </c>
      <c r="G1383" s="79">
        <v>783300</v>
      </c>
    </row>
    <row r="1384" spans="1:7" x14ac:dyDescent="0.25">
      <c r="A1384" s="1" t="s">
        <v>1507</v>
      </c>
      <c r="B1384" s="76">
        <v>58.814025999999998</v>
      </c>
      <c r="C1384" s="76">
        <v>59.618797000000001</v>
      </c>
      <c r="D1384" s="76">
        <v>58.718918000000002</v>
      </c>
      <c r="E1384" s="76">
        <v>59.611480999999998</v>
      </c>
      <c r="F1384" s="76">
        <v>37.211863999999998</v>
      </c>
      <c r="G1384" s="79">
        <v>731600</v>
      </c>
    </row>
    <row r="1385" spans="1:7" x14ac:dyDescent="0.25">
      <c r="A1385" s="1" t="s">
        <v>1508</v>
      </c>
      <c r="B1385" s="76">
        <v>59.465156999999998</v>
      </c>
      <c r="C1385" s="76">
        <v>60.101657999999901</v>
      </c>
      <c r="D1385" s="76">
        <v>59.216411999999998</v>
      </c>
      <c r="E1385" s="76">
        <v>59.809013</v>
      </c>
      <c r="F1385" s="76">
        <v>37.335171000000003</v>
      </c>
      <c r="G1385" s="79">
        <v>922400</v>
      </c>
    </row>
    <row r="1386" spans="1:7" x14ac:dyDescent="0.25">
      <c r="A1386" s="1" t="s">
        <v>1509</v>
      </c>
      <c r="B1386" s="76">
        <v>59.845592000000003</v>
      </c>
      <c r="C1386" s="76">
        <v>60.101657999999901</v>
      </c>
      <c r="D1386" s="76">
        <v>59.552951999999998</v>
      </c>
      <c r="E1386" s="76">
        <v>59.684638999999997</v>
      </c>
      <c r="F1386" s="76">
        <v>37.257542000000001</v>
      </c>
      <c r="G1386" s="79">
        <v>543700</v>
      </c>
    </row>
    <row r="1387" spans="1:7" x14ac:dyDescent="0.25">
      <c r="A1387" s="1" t="s">
        <v>1510</v>
      </c>
      <c r="B1387" s="76">
        <v>59.552951999999998</v>
      </c>
      <c r="C1387" s="76">
        <v>60.386986</v>
      </c>
      <c r="D1387" s="76">
        <v>59.245674000000001</v>
      </c>
      <c r="E1387" s="76">
        <v>60.3796689999999</v>
      </c>
      <c r="F1387" s="76">
        <v>37.691417999999999</v>
      </c>
      <c r="G1387" s="79">
        <v>693800</v>
      </c>
    </row>
    <row r="1388" spans="1:7" x14ac:dyDescent="0.25">
      <c r="A1388" s="1" t="s">
        <v>1511</v>
      </c>
      <c r="B1388" s="76">
        <v>60.504043999999901</v>
      </c>
      <c r="C1388" s="76">
        <v>61.345390000000002</v>
      </c>
      <c r="D1388" s="76">
        <v>60.32114</v>
      </c>
      <c r="E1388" s="76">
        <v>61.096644999999903</v>
      </c>
      <c r="F1388" s="76">
        <v>38.138973</v>
      </c>
      <c r="G1388" s="79">
        <v>603000</v>
      </c>
    </row>
    <row r="1389" spans="1:7" x14ac:dyDescent="0.25">
      <c r="A1389" s="1" t="s">
        <v>1512</v>
      </c>
      <c r="B1389" s="76">
        <v>61.125907999999903</v>
      </c>
      <c r="C1389" s="76">
        <v>62.325747999999997</v>
      </c>
      <c r="D1389" s="76">
        <v>61.089328999999999</v>
      </c>
      <c r="E1389" s="76">
        <v>62.135528999999998</v>
      </c>
      <c r="F1389" s="76">
        <v>38.787486999999999</v>
      </c>
      <c r="G1389" s="79">
        <v>762500</v>
      </c>
    </row>
    <row r="1390" spans="1:7" x14ac:dyDescent="0.25">
      <c r="A1390" s="1" t="s">
        <v>1513</v>
      </c>
      <c r="B1390" s="76">
        <v>62.135528999999998</v>
      </c>
      <c r="C1390" s="76">
        <v>62.208691000000002</v>
      </c>
      <c r="D1390" s="76">
        <v>61.564877000000003</v>
      </c>
      <c r="E1390" s="76">
        <v>62.003841000000001</v>
      </c>
      <c r="F1390" s="76">
        <v>38.705272999999998</v>
      </c>
      <c r="G1390" s="79">
        <v>644100</v>
      </c>
    </row>
    <row r="1391" spans="1:7" x14ac:dyDescent="0.25">
      <c r="A1391" s="1" t="s">
        <v>1514</v>
      </c>
      <c r="B1391" s="76">
        <v>62.003841000000001</v>
      </c>
      <c r="C1391" s="76">
        <v>62.011153999999998</v>
      </c>
      <c r="D1391" s="76">
        <v>61.425868999999899</v>
      </c>
      <c r="E1391" s="76">
        <v>61.586822999999903</v>
      </c>
      <c r="F1391" s="76">
        <v>38.444949999999999</v>
      </c>
      <c r="G1391" s="79">
        <v>539200</v>
      </c>
    </row>
    <row r="1392" spans="1:7" x14ac:dyDescent="0.25">
      <c r="A1392" s="1" t="s">
        <v>1515</v>
      </c>
      <c r="B1392" s="76">
        <v>61.579506000000002</v>
      </c>
      <c r="C1392" s="76">
        <v>61.674618000000002</v>
      </c>
      <c r="D1392" s="76">
        <v>60.4601439999999</v>
      </c>
      <c r="E1392" s="76">
        <v>60.474777000000003</v>
      </c>
      <c r="F1392" s="76">
        <v>37.750771</v>
      </c>
      <c r="G1392" s="79">
        <v>503300</v>
      </c>
    </row>
    <row r="1393" spans="1:7" x14ac:dyDescent="0.25">
      <c r="A1393" s="1" t="s">
        <v>1516</v>
      </c>
      <c r="B1393" s="76">
        <v>60.760105000000003</v>
      </c>
      <c r="C1393" s="76">
        <v>61.308810999999999</v>
      </c>
      <c r="D1393" s="76">
        <v>60.584518000000003</v>
      </c>
      <c r="E1393" s="76">
        <v>61.213703000000002</v>
      </c>
      <c r="F1393" s="76">
        <v>38.212035999999998</v>
      </c>
      <c r="G1393" s="79">
        <v>874100</v>
      </c>
    </row>
    <row r="1394" spans="1:7" x14ac:dyDescent="0.25">
      <c r="A1394" s="1" t="s">
        <v>1517</v>
      </c>
      <c r="B1394" s="76">
        <v>61.345390000000002</v>
      </c>
      <c r="C1394" s="76">
        <v>61.747776000000002</v>
      </c>
      <c r="D1394" s="76">
        <v>60.950324999999999</v>
      </c>
      <c r="E1394" s="76">
        <v>61.638034999999903</v>
      </c>
      <c r="F1394" s="76">
        <v>38.476920999999997</v>
      </c>
      <c r="G1394" s="79">
        <v>473300</v>
      </c>
    </row>
    <row r="1395" spans="1:7" x14ac:dyDescent="0.25">
      <c r="A1395" s="1" t="s">
        <v>1518</v>
      </c>
      <c r="B1395" s="76">
        <v>61.674618000000002</v>
      </c>
      <c r="C1395" s="76">
        <v>62.011153999999998</v>
      </c>
      <c r="D1395" s="76">
        <v>61.4551319999999</v>
      </c>
      <c r="E1395" s="76">
        <v>62.003841000000001</v>
      </c>
      <c r="F1395" s="76">
        <v>38.705272999999998</v>
      </c>
      <c r="G1395" s="79">
        <v>498000</v>
      </c>
    </row>
    <row r="1396" spans="1:7" x14ac:dyDescent="0.25">
      <c r="A1396" s="1" t="s">
        <v>1519</v>
      </c>
      <c r="B1396" s="76">
        <v>62.003841000000001</v>
      </c>
      <c r="C1396" s="76">
        <v>62.442805999999997</v>
      </c>
      <c r="D1396" s="76">
        <v>61.857517000000001</v>
      </c>
      <c r="E1396" s="76">
        <v>62.318431999999902</v>
      </c>
      <c r="F1396" s="76">
        <v>38.901648999999999</v>
      </c>
      <c r="G1396" s="79">
        <v>518600</v>
      </c>
    </row>
    <row r="1397" spans="1:7" x14ac:dyDescent="0.25">
      <c r="A1397" s="1" t="s">
        <v>1520</v>
      </c>
      <c r="B1397" s="76">
        <v>62.318431999999902</v>
      </c>
      <c r="C1397" s="76">
        <v>62.369643999999901</v>
      </c>
      <c r="D1397" s="76">
        <v>61.140540999999999</v>
      </c>
      <c r="E1397" s="76">
        <v>61.608771999999902</v>
      </c>
      <c r="F1397" s="76">
        <v>38.458667999999903</v>
      </c>
      <c r="G1397" s="79">
        <v>659400</v>
      </c>
    </row>
    <row r="1398" spans="1:7" x14ac:dyDescent="0.25">
      <c r="A1398" s="1" t="s">
        <v>1521</v>
      </c>
      <c r="B1398" s="76">
        <v>61.674618000000002</v>
      </c>
      <c r="C1398" s="76">
        <v>61.894100000000002</v>
      </c>
      <c r="D1398" s="76">
        <v>61.381972999999903</v>
      </c>
      <c r="E1398" s="76">
        <v>61.784358999999903</v>
      </c>
      <c r="F1398" s="76">
        <v>38.568259999999903</v>
      </c>
      <c r="G1398" s="79">
        <v>380700</v>
      </c>
    </row>
    <row r="1399" spans="1:7" x14ac:dyDescent="0.25">
      <c r="A1399" s="1" t="s">
        <v>1522</v>
      </c>
      <c r="B1399" s="76">
        <v>62.157477999999998</v>
      </c>
      <c r="C1399" s="76">
        <v>62.611075999999997</v>
      </c>
      <c r="D1399" s="76">
        <v>61.864833999999902</v>
      </c>
      <c r="E1399" s="76">
        <v>62.581809999999997</v>
      </c>
      <c r="F1399" s="76">
        <v>39.066071000000001</v>
      </c>
      <c r="G1399" s="79">
        <v>616300</v>
      </c>
    </row>
    <row r="1400" spans="1:7" x14ac:dyDescent="0.25">
      <c r="A1400" s="1" t="s">
        <v>1523</v>
      </c>
      <c r="B1400" s="76">
        <v>62.581809999999997</v>
      </c>
      <c r="C1400" s="76">
        <v>62.991512</v>
      </c>
      <c r="D1400" s="76">
        <v>62.369643999999901</v>
      </c>
      <c r="E1400" s="76">
        <v>62.918349999999997</v>
      </c>
      <c r="F1400" s="76">
        <v>39.276150000000001</v>
      </c>
      <c r="G1400" s="79">
        <v>534000</v>
      </c>
    </row>
    <row r="1401" spans="1:7" x14ac:dyDescent="0.25">
      <c r="A1401" s="1" t="s">
        <v>1524</v>
      </c>
      <c r="B1401" s="76">
        <v>64.469359999999995</v>
      </c>
      <c r="C1401" s="76">
        <v>64.813216999999995</v>
      </c>
      <c r="D1401" s="76">
        <v>63.759701</v>
      </c>
      <c r="E1401" s="76">
        <v>64.381568999999999</v>
      </c>
      <c r="F1401" s="76">
        <v>40.189540999999998</v>
      </c>
      <c r="G1401" s="79">
        <v>3694900</v>
      </c>
    </row>
    <row r="1402" spans="1:7" x14ac:dyDescent="0.25">
      <c r="A1402" s="1" t="s">
        <v>1525</v>
      </c>
      <c r="B1402" s="76">
        <v>64.381568999999999</v>
      </c>
      <c r="C1402" s="76">
        <v>65.069282999999999</v>
      </c>
      <c r="D1402" s="76">
        <v>64.308410999999893</v>
      </c>
      <c r="E1402" s="76">
        <v>64.813216999999995</v>
      </c>
      <c r="F1402" s="76">
        <v>40.459007</v>
      </c>
      <c r="G1402" s="79">
        <v>1686800</v>
      </c>
    </row>
    <row r="1403" spans="1:7" x14ac:dyDescent="0.25">
      <c r="A1403" s="1" t="s">
        <v>1526</v>
      </c>
      <c r="B1403" s="76">
        <v>64.805901000000006</v>
      </c>
      <c r="C1403" s="76">
        <v>65.625304999999997</v>
      </c>
      <c r="D1403" s="76">
        <v>64.601050999999998</v>
      </c>
      <c r="E1403" s="76">
        <v>64.849800000000002</v>
      </c>
      <c r="F1403" s="76">
        <v>40.481833999999999</v>
      </c>
      <c r="G1403" s="79">
        <v>867500</v>
      </c>
    </row>
    <row r="1404" spans="1:7" x14ac:dyDescent="0.25">
      <c r="A1404" s="1" t="s">
        <v>1527</v>
      </c>
      <c r="B1404" s="76">
        <v>64.849800000000002</v>
      </c>
      <c r="C1404" s="76">
        <v>65.098540999999997</v>
      </c>
      <c r="D1404" s="76">
        <v>64.264510999999999</v>
      </c>
      <c r="E1404" s="76">
        <v>64.681526000000005</v>
      </c>
      <c r="F1404" s="76">
        <v>40.376792999999999</v>
      </c>
      <c r="G1404" s="79">
        <v>925300</v>
      </c>
    </row>
    <row r="1405" spans="1:7" x14ac:dyDescent="0.25">
      <c r="A1405" s="1" t="s">
        <v>1528</v>
      </c>
      <c r="B1405" s="76">
        <v>64.381568999999999</v>
      </c>
      <c r="C1405" s="76">
        <v>64.447411000000002</v>
      </c>
      <c r="D1405" s="76">
        <v>64.125504000000006</v>
      </c>
      <c r="E1405" s="76">
        <v>64.440093999999903</v>
      </c>
      <c r="F1405" s="76">
        <v>40.574871000000002</v>
      </c>
      <c r="G1405" s="79">
        <v>775500</v>
      </c>
    </row>
    <row r="1406" spans="1:7" x14ac:dyDescent="0.25">
      <c r="A1406" s="1" t="s">
        <v>1529</v>
      </c>
      <c r="B1406" s="76">
        <v>64.381568999999999</v>
      </c>
      <c r="C1406" s="76">
        <v>64.396202000000002</v>
      </c>
      <c r="D1406" s="76">
        <v>63.686539000000003</v>
      </c>
      <c r="E1406" s="76">
        <v>63.942604000000003</v>
      </c>
      <c r="F1406" s="76">
        <v>40.261634999999998</v>
      </c>
      <c r="G1406" s="79">
        <v>776300</v>
      </c>
    </row>
    <row r="1407" spans="1:7" x14ac:dyDescent="0.25">
      <c r="A1407" s="1" t="s">
        <v>1530</v>
      </c>
      <c r="B1407" s="76">
        <v>63.796280000000003</v>
      </c>
      <c r="C1407" s="76">
        <v>63.869441999999999</v>
      </c>
      <c r="D1407" s="76">
        <v>63.284156999999901</v>
      </c>
      <c r="E1407" s="76">
        <v>63.64996</v>
      </c>
      <c r="F1407" s="76">
        <v>40.077370000000002</v>
      </c>
      <c r="G1407" s="79">
        <v>6608900</v>
      </c>
    </row>
    <row r="1408" spans="1:7" x14ac:dyDescent="0.25">
      <c r="A1408" s="1" t="s">
        <v>1531</v>
      </c>
      <c r="B1408" s="76">
        <v>62.918349999999997</v>
      </c>
      <c r="C1408" s="76">
        <v>62.925666999999997</v>
      </c>
      <c r="D1408" s="76">
        <v>62.186740999999998</v>
      </c>
      <c r="E1408" s="76">
        <v>62.472068999999998</v>
      </c>
      <c r="F1408" s="76">
        <v>39.335712000000001</v>
      </c>
      <c r="G1408" s="79">
        <v>5806500</v>
      </c>
    </row>
    <row r="1409" spans="1:7" x14ac:dyDescent="0.25">
      <c r="A1409" s="1" t="s">
        <v>1532</v>
      </c>
      <c r="B1409" s="76">
        <v>62.186740999999998</v>
      </c>
      <c r="C1409" s="76">
        <v>62.194056999999901</v>
      </c>
      <c r="D1409" s="76">
        <v>60.335772999999897</v>
      </c>
      <c r="E1409" s="76">
        <v>60.628413999999999</v>
      </c>
      <c r="F1409" s="76">
        <v>38.174847</v>
      </c>
      <c r="G1409" s="79">
        <v>3585400</v>
      </c>
    </row>
    <row r="1410" spans="1:7" x14ac:dyDescent="0.25">
      <c r="A1410" s="1" t="s">
        <v>1533</v>
      </c>
      <c r="B1410" s="76">
        <v>60.643046999999903</v>
      </c>
      <c r="C1410" s="76">
        <v>61.638034999999903</v>
      </c>
      <c r="D1410" s="76">
        <v>60.065075</v>
      </c>
      <c r="E1410" s="76">
        <v>60.796683999999999</v>
      </c>
      <c r="F1410" s="76">
        <v>38.280796000000002</v>
      </c>
      <c r="G1410" s="79">
        <v>2003900</v>
      </c>
    </row>
    <row r="1411" spans="1:7" x14ac:dyDescent="0.25">
      <c r="A1411" s="1" t="s">
        <v>1534</v>
      </c>
      <c r="B1411" s="76">
        <v>62.186740999999998</v>
      </c>
      <c r="C1411" s="76">
        <v>62.369643999999901</v>
      </c>
      <c r="D1411" s="76">
        <v>61.418551999999998</v>
      </c>
      <c r="E1411" s="76">
        <v>61.557559999999903</v>
      </c>
      <c r="F1411" s="76">
        <v>38.759871999999902</v>
      </c>
      <c r="G1411" s="79">
        <v>2418200</v>
      </c>
    </row>
    <row r="1412" spans="1:7" x14ac:dyDescent="0.25">
      <c r="A1412" s="1" t="s">
        <v>1535</v>
      </c>
      <c r="B1412" s="76">
        <v>61.564877000000003</v>
      </c>
      <c r="C1412" s="76">
        <v>62.303798999999998</v>
      </c>
      <c r="D1412" s="76">
        <v>61.389290000000003</v>
      </c>
      <c r="E1412" s="76">
        <v>62.113582999999998</v>
      </c>
      <c r="F1412" s="76">
        <v>39.109974000000001</v>
      </c>
      <c r="G1412" s="79">
        <v>18745100</v>
      </c>
    </row>
    <row r="1413" spans="1:7" x14ac:dyDescent="0.25">
      <c r="A1413" s="1" t="s">
        <v>1536</v>
      </c>
      <c r="B1413" s="76">
        <v>62.113582999999998</v>
      </c>
      <c r="C1413" s="76">
        <v>62.172111999999998</v>
      </c>
      <c r="D1413" s="76">
        <v>61.806305000000002</v>
      </c>
      <c r="E1413" s="76">
        <v>62.113582999999998</v>
      </c>
      <c r="F1413" s="76">
        <v>39.109974000000001</v>
      </c>
      <c r="G1413" s="79">
        <v>2284900</v>
      </c>
    </row>
    <row r="1414" spans="1:7" x14ac:dyDescent="0.25">
      <c r="A1414" s="1" t="s">
        <v>1537</v>
      </c>
      <c r="B1414" s="76">
        <v>62.237952999999997</v>
      </c>
      <c r="C1414" s="76">
        <v>62.786662999999997</v>
      </c>
      <c r="D1414" s="76">
        <v>61.703879999999998</v>
      </c>
      <c r="E1414" s="76">
        <v>62.494018999999902</v>
      </c>
      <c r="F1414" s="76">
        <v>39.349522</v>
      </c>
      <c r="G1414" s="79">
        <v>1377300</v>
      </c>
    </row>
    <row r="1415" spans="1:7" x14ac:dyDescent="0.25">
      <c r="A1415" s="1" t="s">
        <v>1538</v>
      </c>
      <c r="B1415" s="76">
        <v>62.618392999999998</v>
      </c>
      <c r="C1415" s="76">
        <v>63.137832999999901</v>
      </c>
      <c r="D1415" s="76">
        <v>62.515965000000001</v>
      </c>
      <c r="E1415" s="76">
        <v>62.962245999999901</v>
      </c>
      <c r="F1415" s="76">
        <v>39.644343999999997</v>
      </c>
      <c r="G1415" s="79">
        <v>1313600</v>
      </c>
    </row>
    <row r="1416" spans="1:7" x14ac:dyDescent="0.25">
      <c r="A1416" s="1" t="s">
        <v>1539</v>
      </c>
      <c r="B1416" s="76">
        <v>62.552546999999997</v>
      </c>
      <c r="C1416" s="76">
        <v>62.925666999999997</v>
      </c>
      <c r="D1416" s="76">
        <v>62.237952999999997</v>
      </c>
      <c r="E1416" s="76">
        <v>62.369643999999901</v>
      </c>
      <c r="F1416" s="76">
        <v>39.271217</v>
      </c>
      <c r="G1416" s="79">
        <v>1203400</v>
      </c>
    </row>
    <row r="1417" spans="1:7" x14ac:dyDescent="0.25">
      <c r="A1417" s="1" t="s">
        <v>1540</v>
      </c>
      <c r="B1417" s="76">
        <v>62.552546999999997</v>
      </c>
      <c r="C1417" s="76">
        <v>62.625706000000001</v>
      </c>
      <c r="D1417" s="76">
        <v>61.967257999999902</v>
      </c>
      <c r="E1417" s="76">
        <v>62.128211999999998</v>
      </c>
      <c r="F1417" s="76">
        <v>39.119190000000003</v>
      </c>
      <c r="G1417" s="79">
        <v>1006200</v>
      </c>
    </row>
    <row r="1418" spans="1:7" x14ac:dyDescent="0.25">
      <c r="A1418" s="1" t="s">
        <v>1541</v>
      </c>
      <c r="B1418" s="76">
        <v>62.318431999999902</v>
      </c>
      <c r="C1418" s="76">
        <v>62.318431999999902</v>
      </c>
      <c r="D1418" s="76">
        <v>61.967257999999902</v>
      </c>
      <c r="E1418" s="76">
        <v>62.201374000000001</v>
      </c>
      <c r="F1418" s="76">
        <v>39.165253</v>
      </c>
      <c r="G1418" s="79">
        <v>821100</v>
      </c>
    </row>
    <row r="1419" spans="1:7" x14ac:dyDescent="0.25">
      <c r="A1419" s="1" t="s">
        <v>1542</v>
      </c>
      <c r="B1419" s="76">
        <v>62.201374000000001</v>
      </c>
      <c r="C1419" s="76">
        <v>62.464751999999997</v>
      </c>
      <c r="D1419" s="76">
        <v>62.003841000000001</v>
      </c>
      <c r="E1419" s="76">
        <v>62.259903000000001</v>
      </c>
      <c r="F1419" s="76">
        <v>39.202114000000002</v>
      </c>
      <c r="G1419" s="79">
        <v>1015200</v>
      </c>
    </row>
    <row r="1420" spans="1:7" x14ac:dyDescent="0.25">
      <c r="A1420" s="1" t="s">
        <v>1543</v>
      </c>
      <c r="B1420" s="76">
        <v>62.259903000000001</v>
      </c>
      <c r="C1420" s="76">
        <v>62.442805999999997</v>
      </c>
      <c r="D1420" s="76">
        <v>61.784358999999903</v>
      </c>
      <c r="E1420" s="76">
        <v>62.011153999999998</v>
      </c>
      <c r="F1420" s="76">
        <v>39.045482999999997</v>
      </c>
      <c r="G1420" s="79">
        <v>679200</v>
      </c>
    </row>
    <row r="1421" spans="1:7" x14ac:dyDescent="0.25">
      <c r="A1421" s="1" t="s">
        <v>1544</v>
      </c>
      <c r="B1421" s="76">
        <v>62.011153999999998</v>
      </c>
      <c r="C1421" s="76">
        <v>62.625706000000001</v>
      </c>
      <c r="D1421" s="76">
        <v>61.894100000000002</v>
      </c>
      <c r="E1421" s="76">
        <v>62.142844999999902</v>
      </c>
      <c r="F1421" s="76">
        <v>39.128402999999999</v>
      </c>
      <c r="G1421" s="79">
        <v>956600</v>
      </c>
    </row>
    <row r="1422" spans="1:7" x14ac:dyDescent="0.25">
      <c r="A1422" s="1" t="s">
        <v>1545</v>
      </c>
      <c r="B1422" s="76">
        <v>62.237952999999997</v>
      </c>
      <c r="C1422" s="76">
        <v>62.698867999999997</v>
      </c>
      <c r="D1422" s="76">
        <v>61.820937999999998</v>
      </c>
      <c r="E1422" s="76">
        <v>62.420856000000001</v>
      </c>
      <c r="F1422" s="76">
        <v>39.303455</v>
      </c>
      <c r="G1422" s="79">
        <v>800300</v>
      </c>
    </row>
    <row r="1423" spans="1:7" x14ac:dyDescent="0.25">
      <c r="A1423" s="1" t="s">
        <v>1546</v>
      </c>
      <c r="B1423" s="76">
        <v>62.296481999999997</v>
      </c>
      <c r="C1423" s="76">
        <v>62.662289000000001</v>
      </c>
      <c r="D1423" s="76">
        <v>61.864833999999902</v>
      </c>
      <c r="E1423" s="76">
        <v>61.879466999999998</v>
      </c>
      <c r="F1423" s="76">
        <v>38.962573999999996</v>
      </c>
      <c r="G1423" s="79">
        <v>816800</v>
      </c>
    </row>
    <row r="1424" spans="1:7" x14ac:dyDescent="0.25">
      <c r="A1424" s="1" t="s">
        <v>1547</v>
      </c>
      <c r="B1424" s="76">
        <v>61.4551319999999</v>
      </c>
      <c r="C1424" s="76">
        <v>61.894100000000002</v>
      </c>
      <c r="D1424" s="76">
        <v>61.1185949999999</v>
      </c>
      <c r="E1424" s="76">
        <v>61.879466999999998</v>
      </c>
      <c r="F1424" s="76">
        <v>38.962573999999996</v>
      </c>
      <c r="G1424" s="79">
        <v>1142500</v>
      </c>
    </row>
    <row r="1425" spans="1:7" x14ac:dyDescent="0.25">
      <c r="A1425" s="1" t="s">
        <v>1548</v>
      </c>
      <c r="B1425" s="76">
        <v>61.784358999999903</v>
      </c>
      <c r="C1425" s="76">
        <v>62.164794999999998</v>
      </c>
      <c r="D1425" s="76">
        <v>61.367339999999999</v>
      </c>
      <c r="E1425" s="76">
        <v>62.033104000000002</v>
      </c>
      <c r="F1425" s="76">
        <v>39.059314999999998</v>
      </c>
      <c r="G1425" s="79">
        <v>820600</v>
      </c>
    </row>
    <row r="1426" spans="1:7" x14ac:dyDescent="0.25">
      <c r="A1426" s="1" t="s">
        <v>1549</v>
      </c>
      <c r="B1426" s="76">
        <v>61.996524999999998</v>
      </c>
      <c r="C1426" s="76">
        <v>63.137832999999901</v>
      </c>
      <c r="D1426" s="76">
        <v>61.894100000000002</v>
      </c>
      <c r="E1426" s="76">
        <v>62.932982999999901</v>
      </c>
      <c r="F1426" s="76">
        <v>39.625919000000003</v>
      </c>
      <c r="G1426" s="79">
        <v>1459300</v>
      </c>
    </row>
    <row r="1427" spans="1:7" x14ac:dyDescent="0.25">
      <c r="A1427" s="1" t="s">
        <v>1550</v>
      </c>
      <c r="B1427" s="76">
        <v>63.0134579999999</v>
      </c>
      <c r="C1427" s="76">
        <v>63.832863000000003</v>
      </c>
      <c r="D1427" s="76">
        <v>62.669604999999997</v>
      </c>
      <c r="E1427" s="76">
        <v>63.028091000000003</v>
      </c>
      <c r="F1427" s="76">
        <v>39.685805999999999</v>
      </c>
      <c r="G1427" s="79">
        <v>1899800</v>
      </c>
    </row>
    <row r="1428" spans="1:7" x14ac:dyDescent="0.25">
      <c r="A1428" s="1" t="s">
        <v>1551</v>
      </c>
      <c r="B1428" s="76">
        <v>63.101253999999997</v>
      </c>
      <c r="C1428" s="76">
        <v>63.474373</v>
      </c>
      <c r="D1428" s="76">
        <v>62.742764000000001</v>
      </c>
      <c r="E1428" s="76">
        <v>62.918349999999997</v>
      </c>
      <c r="F1428" s="76">
        <v>39.616703000000001</v>
      </c>
      <c r="G1428" s="79">
        <v>928500</v>
      </c>
    </row>
    <row r="1429" spans="1:7" x14ac:dyDescent="0.25">
      <c r="A1429" s="1" t="s">
        <v>1552</v>
      </c>
      <c r="B1429" s="76">
        <v>62.918349999999997</v>
      </c>
      <c r="C1429" s="76">
        <v>64.191353000000007</v>
      </c>
      <c r="D1429" s="76">
        <v>62.845188</v>
      </c>
      <c r="E1429" s="76">
        <v>64.052344999999903</v>
      </c>
      <c r="F1429" s="76">
        <v>40.330737999999997</v>
      </c>
      <c r="G1429" s="79">
        <v>1254900</v>
      </c>
    </row>
    <row r="1430" spans="1:7" x14ac:dyDescent="0.25">
      <c r="A1430" s="1" t="s">
        <v>1553</v>
      </c>
      <c r="B1430" s="76">
        <v>64.059662000000003</v>
      </c>
      <c r="C1430" s="76">
        <v>64.059662000000003</v>
      </c>
      <c r="D1430" s="76">
        <v>63.467055999999999</v>
      </c>
      <c r="E1430" s="76">
        <v>63.510956</v>
      </c>
      <c r="F1430" s="76">
        <v>39.989837999999999</v>
      </c>
      <c r="G1430" s="79">
        <v>1056400</v>
      </c>
    </row>
    <row r="1431" spans="1:7" x14ac:dyDescent="0.25">
      <c r="A1431" s="1" t="s">
        <v>1554</v>
      </c>
      <c r="B1431" s="76">
        <v>63.101253999999997</v>
      </c>
      <c r="C1431" s="76">
        <v>63.613379999999999</v>
      </c>
      <c r="D1431" s="76">
        <v>63.0134579999999</v>
      </c>
      <c r="E1431" s="76">
        <v>63.101253999999997</v>
      </c>
      <c r="F1431" s="76">
        <v>39.731879999999997</v>
      </c>
      <c r="G1431" s="79">
        <v>1083000</v>
      </c>
    </row>
    <row r="1432" spans="1:7" x14ac:dyDescent="0.25">
      <c r="A1432" s="1" t="s">
        <v>1555</v>
      </c>
      <c r="B1432" s="76">
        <v>63.210994999999997</v>
      </c>
      <c r="C1432" s="76">
        <v>63.64996</v>
      </c>
      <c r="D1432" s="76">
        <v>63.020775</v>
      </c>
      <c r="E1432" s="76">
        <v>63.554851999999997</v>
      </c>
      <c r="F1432" s="76">
        <v>40.017478999999902</v>
      </c>
      <c r="G1432" s="79">
        <v>563300</v>
      </c>
    </row>
    <row r="1433" spans="1:7" x14ac:dyDescent="0.25">
      <c r="A1433" s="1" t="s">
        <v>1556</v>
      </c>
      <c r="B1433" s="76">
        <v>63.518268999999997</v>
      </c>
      <c r="C1433" s="76">
        <v>63.620697</v>
      </c>
      <c r="D1433" s="76">
        <v>63.115887000000001</v>
      </c>
      <c r="E1433" s="76">
        <v>63.232943999999897</v>
      </c>
      <c r="F1433" s="76">
        <v>39.814796000000001</v>
      </c>
      <c r="G1433" s="79">
        <v>992000</v>
      </c>
    </row>
    <row r="1434" spans="1:7" x14ac:dyDescent="0.25">
      <c r="A1434" s="1" t="s">
        <v>1557</v>
      </c>
      <c r="B1434" s="76">
        <v>63.050041</v>
      </c>
      <c r="C1434" s="76">
        <v>63.401210999999897</v>
      </c>
      <c r="D1434" s="76">
        <v>62.786662999999997</v>
      </c>
      <c r="E1434" s="76">
        <v>62.925666999999997</v>
      </c>
      <c r="F1434" s="76">
        <v>39.621315000000003</v>
      </c>
      <c r="G1434" s="79">
        <v>841700</v>
      </c>
    </row>
    <row r="1435" spans="1:7" x14ac:dyDescent="0.25">
      <c r="A1435" s="1" t="s">
        <v>1558</v>
      </c>
      <c r="B1435" s="76">
        <v>62.925666999999997</v>
      </c>
      <c r="C1435" s="76">
        <v>63.218311</v>
      </c>
      <c r="D1435" s="76">
        <v>62.793976000000001</v>
      </c>
      <c r="E1435" s="76">
        <v>62.954932999999997</v>
      </c>
      <c r="F1435" s="76">
        <v>39.639750999999997</v>
      </c>
      <c r="G1435" s="79">
        <v>762100</v>
      </c>
    </row>
    <row r="1436" spans="1:7" x14ac:dyDescent="0.25">
      <c r="A1436" s="1" t="s">
        <v>1559</v>
      </c>
      <c r="B1436" s="76">
        <v>63.028091000000003</v>
      </c>
      <c r="C1436" s="76">
        <v>63.576796999999999</v>
      </c>
      <c r="D1436" s="76">
        <v>62.918349999999997</v>
      </c>
      <c r="E1436" s="76">
        <v>63.576796999999999</v>
      </c>
      <c r="F1436" s="76">
        <v>40.031292000000001</v>
      </c>
      <c r="G1436" s="79">
        <v>878100</v>
      </c>
    </row>
    <row r="1437" spans="1:7" x14ac:dyDescent="0.25">
      <c r="A1437" s="1" t="s">
        <v>1560</v>
      </c>
      <c r="B1437" s="76">
        <v>63.584114</v>
      </c>
      <c r="C1437" s="76">
        <v>64.279143999999903</v>
      </c>
      <c r="D1437" s="76">
        <v>63.298786</v>
      </c>
      <c r="E1437" s="76">
        <v>64.191353000000007</v>
      </c>
      <c r="F1437" s="76">
        <v>40.41827</v>
      </c>
      <c r="G1437" s="79">
        <v>2503700</v>
      </c>
    </row>
    <row r="1438" spans="1:7" x14ac:dyDescent="0.25">
      <c r="A1438" s="1" t="s">
        <v>1561</v>
      </c>
      <c r="B1438" s="76">
        <v>64.140136999999996</v>
      </c>
      <c r="C1438" s="76">
        <v>64.330353000000002</v>
      </c>
      <c r="D1438" s="76">
        <v>63.408526999999999</v>
      </c>
      <c r="E1438" s="76">
        <v>63.489006000000003</v>
      </c>
      <c r="F1438" s="76">
        <v>39.976016999999999</v>
      </c>
      <c r="G1438" s="79">
        <v>740300</v>
      </c>
    </row>
    <row r="1439" spans="1:7" x14ac:dyDescent="0.25">
      <c r="A1439" s="1" t="s">
        <v>1562</v>
      </c>
      <c r="B1439" s="76">
        <v>63.671908999999999</v>
      </c>
      <c r="C1439" s="76">
        <v>64.169403000000003</v>
      </c>
      <c r="D1439" s="76">
        <v>63.481689000000003</v>
      </c>
      <c r="E1439" s="76">
        <v>63.510956</v>
      </c>
      <c r="F1439" s="76">
        <v>39.989837999999999</v>
      </c>
      <c r="G1439" s="79">
        <v>1527800</v>
      </c>
    </row>
    <row r="1440" spans="1:7" x14ac:dyDescent="0.25">
      <c r="A1440" s="1" t="s">
        <v>1563</v>
      </c>
      <c r="B1440" s="76">
        <v>63.613379999999999</v>
      </c>
      <c r="C1440" s="76">
        <v>63.613379999999999</v>
      </c>
      <c r="D1440" s="76">
        <v>62.545231000000001</v>
      </c>
      <c r="E1440" s="76">
        <v>62.574492999999997</v>
      </c>
      <c r="F1440" s="76">
        <v>39.400185</v>
      </c>
      <c r="G1440" s="79">
        <v>2090200</v>
      </c>
    </row>
    <row r="1441" spans="1:7" x14ac:dyDescent="0.25">
      <c r="A1441" s="1" t="s">
        <v>1564</v>
      </c>
      <c r="B1441" s="76">
        <v>62.384276999999997</v>
      </c>
      <c r="C1441" s="76">
        <v>62.772030000000001</v>
      </c>
      <c r="D1441" s="76">
        <v>61.711196999999999</v>
      </c>
      <c r="E1441" s="76">
        <v>62.296481999999997</v>
      </c>
      <c r="F1441" s="76">
        <v>39.225147</v>
      </c>
      <c r="G1441" s="79">
        <v>2038900</v>
      </c>
    </row>
    <row r="1442" spans="1:7" x14ac:dyDescent="0.25">
      <c r="A1442" s="1" t="s">
        <v>1565</v>
      </c>
      <c r="B1442" s="76">
        <v>62.296481999999997</v>
      </c>
      <c r="C1442" s="76">
        <v>62.530597999999998</v>
      </c>
      <c r="D1442" s="76">
        <v>61.813621999999903</v>
      </c>
      <c r="E1442" s="76">
        <v>62.237952999999997</v>
      </c>
      <c r="F1442" s="76">
        <v>39.188296999999999</v>
      </c>
      <c r="G1442" s="79">
        <v>1250100</v>
      </c>
    </row>
    <row r="1443" spans="1:7" x14ac:dyDescent="0.25">
      <c r="A1443" s="1" t="s">
        <v>1566</v>
      </c>
      <c r="B1443" s="76">
        <v>62.237952999999997</v>
      </c>
      <c r="C1443" s="76">
        <v>62.728133999999997</v>
      </c>
      <c r="D1443" s="76">
        <v>62.091632999999902</v>
      </c>
      <c r="E1443" s="76">
        <v>62.515965000000001</v>
      </c>
      <c r="F1443" s="76">
        <v>39.363341999999903</v>
      </c>
      <c r="G1443" s="79">
        <v>911300</v>
      </c>
    </row>
    <row r="1444" spans="1:7" x14ac:dyDescent="0.25">
      <c r="A1444" s="1" t="s">
        <v>1567</v>
      </c>
      <c r="B1444" s="76">
        <v>62.515965000000001</v>
      </c>
      <c r="C1444" s="76">
        <v>62.698867999999997</v>
      </c>
      <c r="D1444" s="76">
        <v>62.025787000000001</v>
      </c>
      <c r="E1444" s="76">
        <v>62.296481999999997</v>
      </c>
      <c r="F1444" s="76">
        <v>39.225147</v>
      </c>
      <c r="G1444" s="79">
        <v>1053400</v>
      </c>
    </row>
    <row r="1445" spans="1:7" x14ac:dyDescent="0.25">
      <c r="A1445" s="1" t="s">
        <v>1568</v>
      </c>
      <c r="B1445" s="76">
        <v>62.413539999999998</v>
      </c>
      <c r="C1445" s="76">
        <v>62.545231000000001</v>
      </c>
      <c r="D1445" s="76">
        <v>61.4551319999999</v>
      </c>
      <c r="E1445" s="76">
        <v>61.586822999999903</v>
      </c>
      <c r="F1445" s="76">
        <v>38.778304999999897</v>
      </c>
      <c r="G1445" s="79">
        <v>1101400</v>
      </c>
    </row>
    <row r="1446" spans="1:7" x14ac:dyDescent="0.25">
      <c r="A1446" s="1" t="s">
        <v>1569</v>
      </c>
      <c r="B1446" s="76">
        <v>61.4551319999999</v>
      </c>
      <c r="C1446" s="76">
        <v>62.911033999999901</v>
      </c>
      <c r="D1446" s="76">
        <v>61.089328999999999</v>
      </c>
      <c r="E1446" s="76">
        <v>62.706183999999901</v>
      </c>
      <c r="F1446" s="76">
        <v>39.483111999999998</v>
      </c>
      <c r="G1446" s="79">
        <v>1058000</v>
      </c>
    </row>
    <row r="1447" spans="1:7" x14ac:dyDescent="0.25">
      <c r="A1447" s="1" t="s">
        <v>1570</v>
      </c>
      <c r="B1447" s="76">
        <v>62.713501000000001</v>
      </c>
      <c r="C1447" s="76">
        <v>63.613379999999999</v>
      </c>
      <c r="D1447" s="76">
        <v>62.713501000000001</v>
      </c>
      <c r="E1447" s="76">
        <v>63.371947999999897</v>
      </c>
      <c r="F1447" s="76">
        <v>39.902312999999999</v>
      </c>
      <c r="G1447" s="79">
        <v>943100</v>
      </c>
    </row>
    <row r="1448" spans="1:7" x14ac:dyDescent="0.25">
      <c r="A1448" s="1" t="s">
        <v>1571</v>
      </c>
      <c r="B1448" s="76">
        <v>63.379264999999997</v>
      </c>
      <c r="C1448" s="76">
        <v>64.198668999999995</v>
      </c>
      <c r="D1448" s="76">
        <v>62.918349999999997</v>
      </c>
      <c r="E1448" s="76">
        <v>64.198668999999995</v>
      </c>
      <c r="F1448" s="76">
        <v>40.422863</v>
      </c>
      <c r="G1448" s="79">
        <v>1349800</v>
      </c>
    </row>
    <row r="1449" spans="1:7" x14ac:dyDescent="0.25">
      <c r="A1449" s="1" t="s">
        <v>1572</v>
      </c>
      <c r="B1449" s="76">
        <v>64.198668999999995</v>
      </c>
      <c r="C1449" s="76">
        <v>64.776634000000001</v>
      </c>
      <c r="D1449" s="76">
        <v>63.430477000000003</v>
      </c>
      <c r="E1449" s="76">
        <v>63.452427</v>
      </c>
      <c r="F1449" s="76">
        <v>39.952984000000001</v>
      </c>
      <c r="G1449" s="79">
        <v>1273100</v>
      </c>
    </row>
    <row r="1450" spans="1:7" x14ac:dyDescent="0.25">
      <c r="A1450" s="1" t="s">
        <v>1573</v>
      </c>
      <c r="B1450" s="76">
        <v>63.291469999999997</v>
      </c>
      <c r="C1450" s="76">
        <v>63.518268999999997</v>
      </c>
      <c r="D1450" s="76">
        <v>62.515965000000001</v>
      </c>
      <c r="E1450" s="76">
        <v>62.618392999999998</v>
      </c>
      <c r="F1450" s="76">
        <v>39.427844999999998</v>
      </c>
      <c r="G1450" s="79">
        <v>1809200</v>
      </c>
    </row>
    <row r="1451" spans="1:7" x14ac:dyDescent="0.25">
      <c r="A1451" s="1" t="s">
        <v>1574</v>
      </c>
      <c r="B1451" s="76">
        <v>62.611075999999997</v>
      </c>
      <c r="C1451" s="76">
        <v>62.867137999999997</v>
      </c>
      <c r="D1451" s="76">
        <v>61.520977000000002</v>
      </c>
      <c r="E1451" s="76">
        <v>61.850200999999998</v>
      </c>
      <c r="F1451" s="76">
        <v>38.944133999999998</v>
      </c>
      <c r="G1451" s="79">
        <v>1419100</v>
      </c>
    </row>
    <row r="1452" spans="1:7" x14ac:dyDescent="0.25">
      <c r="A1452" s="1" t="s">
        <v>1575</v>
      </c>
      <c r="B1452" s="76">
        <v>61.820937999999998</v>
      </c>
      <c r="C1452" s="76">
        <v>61.850200999999998</v>
      </c>
      <c r="D1452" s="76">
        <v>60.869845999999903</v>
      </c>
      <c r="E1452" s="76">
        <v>61.564877000000003</v>
      </c>
      <c r="F1452" s="76">
        <v>38.764476999999999</v>
      </c>
      <c r="G1452" s="79">
        <v>1006700</v>
      </c>
    </row>
    <row r="1453" spans="1:7" x14ac:dyDescent="0.25">
      <c r="A1453" s="1" t="s">
        <v>1576</v>
      </c>
      <c r="B1453" s="76">
        <v>61.345390000000002</v>
      </c>
      <c r="C1453" s="76">
        <v>61.4551319999999</v>
      </c>
      <c r="D1453" s="76">
        <v>60.584518000000003</v>
      </c>
      <c r="E1453" s="76">
        <v>60.69426</v>
      </c>
      <c r="F1453" s="76">
        <v>38.216293</v>
      </c>
      <c r="G1453" s="79">
        <v>783300</v>
      </c>
    </row>
    <row r="1454" spans="1:7" x14ac:dyDescent="0.25">
      <c r="A1454" s="1" t="s">
        <v>1577</v>
      </c>
      <c r="B1454" s="76">
        <v>60.621097999999897</v>
      </c>
      <c r="C1454" s="76">
        <v>61.162491000000003</v>
      </c>
      <c r="D1454" s="76">
        <v>59.867542</v>
      </c>
      <c r="E1454" s="76">
        <v>60.174819999999997</v>
      </c>
      <c r="F1454" s="76">
        <v>37.889235999999997</v>
      </c>
      <c r="G1454" s="79">
        <v>1048000</v>
      </c>
    </row>
    <row r="1455" spans="1:7" x14ac:dyDescent="0.25">
      <c r="A1455" s="1" t="s">
        <v>1578</v>
      </c>
      <c r="B1455" s="76">
        <v>59.845592000000003</v>
      </c>
      <c r="C1455" s="76">
        <v>60.116290999999997</v>
      </c>
      <c r="D1455" s="76">
        <v>58.660389000000002</v>
      </c>
      <c r="E1455" s="76">
        <v>59.077404000000001</v>
      </c>
      <c r="F1455" s="76">
        <v>37.198242</v>
      </c>
      <c r="G1455" s="79">
        <v>1566200</v>
      </c>
    </row>
    <row r="1456" spans="1:7" x14ac:dyDescent="0.25">
      <c r="A1456" s="1" t="s">
        <v>1579</v>
      </c>
      <c r="B1456" s="76">
        <v>58.726233999999998</v>
      </c>
      <c r="C1456" s="76">
        <v>59.157882999999998</v>
      </c>
      <c r="D1456" s="76">
        <v>58.067782999999999</v>
      </c>
      <c r="E1456" s="76">
        <v>58.506751999999999</v>
      </c>
      <c r="F1456" s="76">
        <v>36.838928000000003</v>
      </c>
      <c r="G1456" s="79">
        <v>1856000</v>
      </c>
    </row>
    <row r="1457" spans="1:7" x14ac:dyDescent="0.25">
      <c r="A1457" s="1" t="s">
        <v>1580</v>
      </c>
      <c r="B1457" s="76">
        <v>58.857921999999903</v>
      </c>
      <c r="C1457" s="76">
        <v>59.589531000000001</v>
      </c>
      <c r="D1457" s="76">
        <v>58.528697999999999</v>
      </c>
      <c r="E1457" s="76">
        <v>59.179828999999998</v>
      </c>
      <c r="F1457" s="76">
        <v>37.262732999999997</v>
      </c>
      <c r="G1457" s="79">
        <v>2067800</v>
      </c>
    </row>
    <row r="1458" spans="1:7" x14ac:dyDescent="0.25">
      <c r="A1458" s="1" t="s">
        <v>1581</v>
      </c>
      <c r="B1458" s="76">
        <v>59.201777999999997</v>
      </c>
      <c r="C1458" s="76">
        <v>59.670009999999998</v>
      </c>
      <c r="D1458" s="76">
        <v>59.040824999999998</v>
      </c>
      <c r="E1458" s="76">
        <v>59.574897999999997</v>
      </c>
      <c r="F1458" s="76">
        <v>37.511496999999999</v>
      </c>
      <c r="G1458" s="79">
        <v>1031500</v>
      </c>
    </row>
    <row r="1459" spans="1:7" x14ac:dyDescent="0.25">
      <c r="A1459" s="1" t="s">
        <v>1582</v>
      </c>
      <c r="B1459" s="76">
        <v>59.465156999999998</v>
      </c>
      <c r="C1459" s="76">
        <v>59.904120999999897</v>
      </c>
      <c r="D1459" s="76">
        <v>59.040824999999998</v>
      </c>
      <c r="E1459" s="76">
        <v>59.048141000000001</v>
      </c>
      <c r="F1459" s="76">
        <v>37.179809999999897</v>
      </c>
      <c r="G1459" s="79">
        <v>943500</v>
      </c>
    </row>
    <row r="1460" spans="1:7" x14ac:dyDescent="0.25">
      <c r="A1460" s="1" t="s">
        <v>1583</v>
      </c>
      <c r="B1460" s="76">
        <v>58.894505000000002</v>
      </c>
      <c r="C1460" s="76">
        <v>59.816330000000001</v>
      </c>
      <c r="D1460" s="76">
        <v>58.060471</v>
      </c>
      <c r="E1460" s="76">
        <v>59.809013</v>
      </c>
      <c r="F1460" s="76">
        <v>37.658904999999997</v>
      </c>
      <c r="G1460" s="79">
        <v>990100</v>
      </c>
    </row>
    <row r="1461" spans="1:7" x14ac:dyDescent="0.25">
      <c r="A1461" s="1" t="s">
        <v>1584</v>
      </c>
      <c r="B1461" s="76">
        <v>59.516368999999997</v>
      </c>
      <c r="C1461" s="76">
        <v>59.830962999999997</v>
      </c>
      <c r="D1461" s="76">
        <v>58.258003000000002</v>
      </c>
      <c r="E1461" s="76">
        <v>58.301898999999999</v>
      </c>
      <c r="F1461" s="76">
        <v>36.709952999999999</v>
      </c>
      <c r="G1461" s="79">
        <v>1543800</v>
      </c>
    </row>
    <row r="1462" spans="1:7" x14ac:dyDescent="0.25">
      <c r="A1462" s="1" t="s">
        <v>1585</v>
      </c>
      <c r="B1462" s="76">
        <v>58.155579000000003</v>
      </c>
      <c r="C1462" s="76">
        <v>58.682334999999902</v>
      </c>
      <c r="D1462" s="76">
        <v>57.709296999999999</v>
      </c>
      <c r="E1462" s="76">
        <v>58.140944999999903</v>
      </c>
      <c r="F1462" s="76">
        <v>36.608601</v>
      </c>
      <c r="G1462" s="79">
        <v>1666200</v>
      </c>
    </row>
    <row r="1463" spans="1:7" x14ac:dyDescent="0.25">
      <c r="A1463" s="1" t="s">
        <v>1586</v>
      </c>
      <c r="B1463" s="76">
        <v>58.323848999999903</v>
      </c>
      <c r="C1463" s="76">
        <v>59.304203000000001</v>
      </c>
      <c r="D1463" s="76">
        <v>58.184840999999999</v>
      </c>
      <c r="E1463" s="76">
        <v>59.113987000000002</v>
      </c>
      <c r="F1463" s="76">
        <v>37.221278999999903</v>
      </c>
      <c r="G1463" s="79">
        <v>1368100</v>
      </c>
    </row>
    <row r="1464" spans="1:7" x14ac:dyDescent="0.25">
      <c r="A1464" s="1" t="s">
        <v>1587</v>
      </c>
      <c r="B1464" s="76">
        <v>58.967663000000002</v>
      </c>
      <c r="C1464" s="76">
        <v>59.413943999999901</v>
      </c>
      <c r="D1464" s="76">
        <v>58.418956999999899</v>
      </c>
      <c r="E1464" s="76">
        <v>58.631122999999903</v>
      </c>
      <c r="F1464" s="76">
        <v>36.917248000000001</v>
      </c>
      <c r="G1464" s="79">
        <v>1884700</v>
      </c>
    </row>
    <row r="1465" spans="1:7" x14ac:dyDescent="0.25">
      <c r="A1465" s="1" t="s">
        <v>1588</v>
      </c>
      <c r="B1465" s="76">
        <v>58.382378000000003</v>
      </c>
      <c r="C1465" s="76">
        <v>58.675018000000001</v>
      </c>
      <c r="D1465" s="76">
        <v>57.892200000000003</v>
      </c>
      <c r="E1465" s="76">
        <v>57.943413</v>
      </c>
      <c r="F1465" s="76">
        <v>36.484226</v>
      </c>
      <c r="G1465" s="79">
        <v>1175500</v>
      </c>
    </row>
    <row r="1466" spans="1:7" x14ac:dyDescent="0.25">
      <c r="A1466" s="1" t="s">
        <v>1589</v>
      </c>
      <c r="B1466" s="76">
        <v>57.760508999999999</v>
      </c>
      <c r="C1466" s="76">
        <v>58.199474000000002</v>
      </c>
      <c r="D1466" s="76">
        <v>57.087429</v>
      </c>
      <c r="E1466" s="76">
        <v>57.189853999999997</v>
      </c>
      <c r="F1466" s="76">
        <v>36.009746999999997</v>
      </c>
      <c r="G1466" s="79">
        <v>1105900</v>
      </c>
    </row>
    <row r="1467" spans="1:7" x14ac:dyDescent="0.25">
      <c r="A1467" s="1" t="s">
        <v>1590</v>
      </c>
      <c r="B1467" s="76">
        <v>57.541027</v>
      </c>
      <c r="C1467" s="76">
        <v>58.806708999999998</v>
      </c>
      <c r="D1467" s="76">
        <v>57.4532319999999</v>
      </c>
      <c r="E1467" s="76">
        <v>58.733546999999902</v>
      </c>
      <c r="F1467" s="76">
        <v>36.981735</v>
      </c>
      <c r="G1467" s="79">
        <v>1862100</v>
      </c>
    </row>
    <row r="1468" spans="1:7" x14ac:dyDescent="0.25">
      <c r="A1468" s="1" t="s">
        <v>1591</v>
      </c>
      <c r="B1468" s="76">
        <v>58.748179999999998</v>
      </c>
      <c r="C1468" s="76">
        <v>59.596848000000001</v>
      </c>
      <c r="D1468" s="76">
        <v>58.740864000000002</v>
      </c>
      <c r="E1468" s="76">
        <v>59.260306999999997</v>
      </c>
      <c r="F1468" s="76">
        <v>37.313403999999998</v>
      </c>
      <c r="G1468" s="79">
        <v>1186500</v>
      </c>
    </row>
    <row r="1469" spans="1:7" x14ac:dyDescent="0.25">
      <c r="A1469" s="1" t="s">
        <v>1592</v>
      </c>
      <c r="B1469" s="76">
        <v>58.528697999999999</v>
      </c>
      <c r="C1469" s="76">
        <v>59.106669999999902</v>
      </c>
      <c r="D1469" s="76">
        <v>57.833672</v>
      </c>
      <c r="E1469" s="76">
        <v>58.301898999999999</v>
      </c>
      <c r="F1469" s="76">
        <v>36.709952999999999</v>
      </c>
      <c r="G1469" s="79">
        <v>1382100</v>
      </c>
    </row>
    <row r="1470" spans="1:7" x14ac:dyDescent="0.25">
      <c r="A1470" s="1" t="s">
        <v>1593</v>
      </c>
      <c r="B1470" s="76">
        <v>58.301898999999999</v>
      </c>
      <c r="C1470" s="76">
        <v>58.345794999999903</v>
      </c>
      <c r="D1470" s="76">
        <v>57.760508999999999</v>
      </c>
      <c r="E1470" s="76">
        <v>58.162894999999899</v>
      </c>
      <c r="F1470" s="76">
        <v>36.622416999999999</v>
      </c>
      <c r="G1470" s="79">
        <v>1039200</v>
      </c>
    </row>
    <row r="1471" spans="1:7" x14ac:dyDescent="0.25">
      <c r="A1471" s="1" t="s">
        <v>1594</v>
      </c>
      <c r="B1471" s="76">
        <v>58.162894999999899</v>
      </c>
      <c r="C1471" s="76">
        <v>58.872554999999998</v>
      </c>
      <c r="D1471" s="76">
        <v>57.753193000000003</v>
      </c>
      <c r="E1471" s="76">
        <v>58.001942</v>
      </c>
      <c r="F1471" s="76">
        <v>36.521071999999997</v>
      </c>
      <c r="G1471" s="79">
        <v>1281300</v>
      </c>
    </row>
    <row r="1472" spans="1:7" x14ac:dyDescent="0.25">
      <c r="A1472" s="1" t="s">
        <v>1595</v>
      </c>
      <c r="B1472" s="76">
        <v>58.111682999999999</v>
      </c>
      <c r="C1472" s="76">
        <v>58.397006999999903</v>
      </c>
      <c r="D1472" s="76">
        <v>57.848300999999999</v>
      </c>
      <c r="E1472" s="76">
        <v>58.009253999999999</v>
      </c>
      <c r="F1472" s="76">
        <v>36.525680999999999</v>
      </c>
      <c r="G1472" s="79">
        <v>1286900</v>
      </c>
    </row>
    <row r="1473" spans="1:7" x14ac:dyDescent="0.25">
      <c r="A1473" s="1" t="s">
        <v>1596</v>
      </c>
      <c r="B1473" s="76">
        <v>58.009253999999999</v>
      </c>
      <c r="C1473" s="76">
        <v>58.660389000000002</v>
      </c>
      <c r="D1473" s="76">
        <v>57.943413</v>
      </c>
      <c r="E1473" s="76">
        <v>58.433590000000002</v>
      </c>
      <c r="F1473" s="76">
        <v>36.792870000000001</v>
      </c>
      <c r="G1473" s="79">
        <v>955100</v>
      </c>
    </row>
    <row r="1474" spans="1:7" x14ac:dyDescent="0.25">
      <c r="A1474" s="1" t="s">
        <v>1597</v>
      </c>
      <c r="B1474" s="76">
        <v>57.614189000000003</v>
      </c>
      <c r="C1474" s="76">
        <v>57.899512999999999</v>
      </c>
      <c r="D1474" s="76">
        <v>57.321544999999901</v>
      </c>
      <c r="E1474" s="76">
        <v>57.716614</v>
      </c>
      <c r="F1474" s="76">
        <v>36.709114</v>
      </c>
      <c r="G1474" s="79">
        <v>1181500</v>
      </c>
    </row>
    <row r="1475" spans="1:7" x14ac:dyDescent="0.25">
      <c r="A1475" s="1" t="s">
        <v>1598</v>
      </c>
      <c r="B1475" s="76">
        <v>57.687346999999903</v>
      </c>
      <c r="C1475" s="76">
        <v>59.084720999999902</v>
      </c>
      <c r="D1475" s="76">
        <v>57.636134999999904</v>
      </c>
      <c r="E1475" s="76">
        <v>58.404324000000003</v>
      </c>
      <c r="F1475" s="76">
        <v>37.146515000000001</v>
      </c>
      <c r="G1475" s="79">
        <v>1212400</v>
      </c>
    </row>
    <row r="1476" spans="1:7" x14ac:dyDescent="0.25">
      <c r="A1476" s="1" t="s">
        <v>1599</v>
      </c>
      <c r="B1476" s="76">
        <v>58.492118999999903</v>
      </c>
      <c r="C1476" s="76">
        <v>59.991917000000001</v>
      </c>
      <c r="D1476" s="76">
        <v>58.228740999999999</v>
      </c>
      <c r="E1476" s="76">
        <v>59.670009999999998</v>
      </c>
      <c r="F1476" s="76">
        <v>37.951510999999897</v>
      </c>
      <c r="G1476" s="79">
        <v>1419600</v>
      </c>
    </row>
    <row r="1477" spans="1:7" x14ac:dyDescent="0.25">
      <c r="A1477" s="1" t="s">
        <v>1600</v>
      </c>
      <c r="B1477" s="76">
        <v>59.684638999999997</v>
      </c>
      <c r="C1477" s="76">
        <v>60.686942999999999</v>
      </c>
      <c r="D1477" s="76">
        <v>59.589531000000001</v>
      </c>
      <c r="E1477" s="76">
        <v>60.628413999999999</v>
      </c>
      <c r="F1477" s="76">
        <v>38.561076999999997</v>
      </c>
      <c r="G1477" s="79">
        <v>1241800</v>
      </c>
    </row>
    <row r="1478" spans="1:7" x14ac:dyDescent="0.25">
      <c r="A1478" s="1" t="s">
        <v>1601</v>
      </c>
      <c r="B1478" s="76">
        <v>60.723526</v>
      </c>
      <c r="C1478" s="76">
        <v>60.855212999999999</v>
      </c>
      <c r="D1478" s="76">
        <v>60.32114</v>
      </c>
      <c r="E1478" s="76">
        <v>60.474777000000003</v>
      </c>
      <c r="F1478" s="76">
        <v>38.463366999999998</v>
      </c>
      <c r="G1478" s="79">
        <v>781900</v>
      </c>
    </row>
    <row r="1479" spans="1:7" x14ac:dyDescent="0.25">
      <c r="A1479" s="1" t="s">
        <v>1602</v>
      </c>
      <c r="B1479" s="76">
        <v>60.467461</v>
      </c>
      <c r="C1479" s="76">
        <v>61.191752999999999</v>
      </c>
      <c r="D1479" s="76">
        <v>60.182132999999901</v>
      </c>
      <c r="E1479" s="76">
        <v>60.635731</v>
      </c>
      <c r="F1479" s="76">
        <v>38.565722999999998</v>
      </c>
      <c r="G1479" s="79">
        <v>765800</v>
      </c>
    </row>
    <row r="1480" spans="1:7" x14ac:dyDescent="0.25">
      <c r="A1480" s="1" t="s">
        <v>1603</v>
      </c>
      <c r="B1480" s="76">
        <v>60.760105000000003</v>
      </c>
      <c r="C1480" s="76">
        <v>60.760105000000003</v>
      </c>
      <c r="D1480" s="76">
        <v>60.262611</v>
      </c>
      <c r="E1480" s="76">
        <v>60.430881999999997</v>
      </c>
      <c r="F1480" s="76">
        <v>38.435443999999997</v>
      </c>
      <c r="G1480" s="79">
        <v>596700</v>
      </c>
    </row>
    <row r="1481" spans="1:7" x14ac:dyDescent="0.25">
      <c r="A1481" s="1" t="s">
        <v>1604</v>
      </c>
      <c r="B1481" s="76">
        <v>60.723526</v>
      </c>
      <c r="C1481" s="76">
        <v>61.711196999999999</v>
      </c>
      <c r="D1481" s="76">
        <v>60.664997</v>
      </c>
      <c r="E1481" s="76">
        <v>61.491714000000002</v>
      </c>
      <c r="F1481" s="76">
        <v>39.110157000000001</v>
      </c>
      <c r="G1481" s="79">
        <v>1147400</v>
      </c>
    </row>
    <row r="1482" spans="1:7" x14ac:dyDescent="0.25">
      <c r="A1482" s="1" t="s">
        <v>1605</v>
      </c>
      <c r="B1482" s="76">
        <v>61.894100000000002</v>
      </c>
      <c r="C1482" s="76">
        <v>62.172111999999998</v>
      </c>
      <c r="D1482" s="76">
        <v>61.396605999999998</v>
      </c>
      <c r="E1482" s="76">
        <v>62.055053999999998</v>
      </c>
      <c r="F1482" s="76">
        <v>39.468449</v>
      </c>
      <c r="G1482" s="79">
        <v>1015200</v>
      </c>
    </row>
    <row r="1483" spans="1:7" x14ac:dyDescent="0.25">
      <c r="A1483" s="1" t="s">
        <v>1606</v>
      </c>
      <c r="B1483" s="76">
        <v>62.098948999999998</v>
      </c>
      <c r="C1483" s="76">
        <v>62.845188</v>
      </c>
      <c r="D1483" s="76">
        <v>61.806305000000002</v>
      </c>
      <c r="E1483" s="76">
        <v>62.611075999999997</v>
      </c>
      <c r="F1483" s="76">
        <v>39.822113000000002</v>
      </c>
      <c r="G1483" s="79">
        <v>990600</v>
      </c>
    </row>
    <row r="1484" spans="1:7" x14ac:dyDescent="0.25">
      <c r="A1484" s="1" t="s">
        <v>1607</v>
      </c>
      <c r="B1484" s="76">
        <v>62.442805999999997</v>
      </c>
      <c r="C1484" s="76">
        <v>63.547534999999897</v>
      </c>
      <c r="D1484" s="76">
        <v>62.135528999999998</v>
      </c>
      <c r="E1484" s="76">
        <v>63.393898</v>
      </c>
      <c r="F1484" s="76">
        <v>40.32</v>
      </c>
      <c r="G1484" s="79">
        <v>702100</v>
      </c>
    </row>
    <row r="1485" spans="1:7" x14ac:dyDescent="0.25">
      <c r="A1485" s="1" t="s">
        <v>1608</v>
      </c>
      <c r="B1485" s="76">
        <v>63.247574</v>
      </c>
      <c r="C1485" s="76">
        <v>63.64996</v>
      </c>
      <c r="D1485" s="76">
        <v>63.145148999999897</v>
      </c>
      <c r="E1485" s="76">
        <v>63.642643</v>
      </c>
      <c r="F1485" s="76">
        <v>40.478214000000001</v>
      </c>
      <c r="G1485" s="79">
        <v>956400</v>
      </c>
    </row>
    <row r="1486" spans="1:7" x14ac:dyDescent="0.25">
      <c r="A1486" s="1" t="s">
        <v>1609</v>
      </c>
      <c r="B1486" s="76">
        <v>63.686539000000003</v>
      </c>
      <c r="C1486" s="76">
        <v>63.986499999999999</v>
      </c>
      <c r="D1486" s="76">
        <v>63.459739999999996</v>
      </c>
      <c r="E1486" s="76">
        <v>63.927970999999999</v>
      </c>
      <c r="F1486" s="76">
        <v>40.659678999999997</v>
      </c>
      <c r="G1486" s="79">
        <v>332800</v>
      </c>
    </row>
    <row r="1487" spans="1:7" x14ac:dyDescent="0.25">
      <c r="A1487" s="1" t="s">
        <v>1610</v>
      </c>
      <c r="B1487" s="76">
        <v>63.854808999999896</v>
      </c>
      <c r="C1487" s="76">
        <v>63.920653999999999</v>
      </c>
      <c r="D1487" s="76">
        <v>63.27684</v>
      </c>
      <c r="E1487" s="76">
        <v>63.298786</v>
      </c>
      <c r="F1487" s="76">
        <v>40.259501999999998</v>
      </c>
      <c r="G1487" s="79">
        <v>1011900</v>
      </c>
    </row>
    <row r="1488" spans="1:7" x14ac:dyDescent="0.25">
      <c r="A1488" s="1" t="s">
        <v>1611</v>
      </c>
      <c r="B1488" s="76">
        <v>63.306103</v>
      </c>
      <c r="C1488" s="76">
        <v>63.379264999999997</v>
      </c>
      <c r="D1488" s="76">
        <v>62.786662999999997</v>
      </c>
      <c r="E1488" s="76">
        <v>63.189044999999901</v>
      </c>
      <c r="F1488" s="76">
        <v>40.189709000000001</v>
      </c>
      <c r="G1488" s="79">
        <v>918800</v>
      </c>
    </row>
    <row r="1489" spans="1:7" x14ac:dyDescent="0.25">
      <c r="A1489" s="1" t="s">
        <v>1612</v>
      </c>
      <c r="B1489" s="76">
        <v>63.371947999999897</v>
      </c>
      <c r="C1489" s="76">
        <v>63.606064000000003</v>
      </c>
      <c r="D1489" s="76">
        <v>62.355010999999998</v>
      </c>
      <c r="E1489" s="76">
        <v>62.442805999999997</v>
      </c>
      <c r="F1489" s="76">
        <v>39.71508</v>
      </c>
      <c r="G1489" s="79">
        <v>935300</v>
      </c>
    </row>
    <row r="1490" spans="1:7" x14ac:dyDescent="0.25">
      <c r="A1490" s="1" t="s">
        <v>1613</v>
      </c>
      <c r="B1490" s="76">
        <v>62.625706000000001</v>
      </c>
      <c r="C1490" s="76">
        <v>63.532902</v>
      </c>
      <c r="D1490" s="76">
        <v>62.625706000000001</v>
      </c>
      <c r="E1490" s="76">
        <v>63.525585</v>
      </c>
      <c r="F1490" s="76">
        <v>40.403759000000001</v>
      </c>
      <c r="G1490" s="79">
        <v>726000</v>
      </c>
    </row>
    <row r="1491" spans="1:7" x14ac:dyDescent="0.25">
      <c r="A1491" s="1" t="s">
        <v>1614</v>
      </c>
      <c r="B1491" s="76">
        <v>63.335368999999901</v>
      </c>
      <c r="C1491" s="76">
        <v>63.342686</v>
      </c>
      <c r="D1491" s="76">
        <v>62.757396999999997</v>
      </c>
      <c r="E1491" s="76">
        <v>62.918349999999997</v>
      </c>
      <c r="F1491" s="76">
        <v>40.017539999999997</v>
      </c>
      <c r="G1491" s="79">
        <v>500700</v>
      </c>
    </row>
    <row r="1492" spans="1:7" x14ac:dyDescent="0.25">
      <c r="A1492" s="1" t="s">
        <v>1615</v>
      </c>
      <c r="B1492" s="76">
        <v>62.618392999999998</v>
      </c>
      <c r="C1492" s="76">
        <v>62.728133999999997</v>
      </c>
      <c r="D1492" s="76">
        <v>62.011153999999998</v>
      </c>
      <c r="E1492" s="76">
        <v>62.208691000000002</v>
      </c>
      <c r="F1492" s="76">
        <v>39.566173999999997</v>
      </c>
      <c r="G1492" s="79">
        <v>684400</v>
      </c>
    </row>
    <row r="1493" spans="1:7" x14ac:dyDescent="0.25">
      <c r="A1493" s="1" t="s">
        <v>1616</v>
      </c>
      <c r="B1493" s="76">
        <v>62.391593999999998</v>
      </c>
      <c r="C1493" s="76">
        <v>62.676921999999998</v>
      </c>
      <c r="D1493" s="76">
        <v>61.850200999999998</v>
      </c>
      <c r="E1493" s="76">
        <v>61.850200999999998</v>
      </c>
      <c r="F1493" s="76">
        <v>39.338164999999996</v>
      </c>
      <c r="G1493" s="79">
        <v>654600</v>
      </c>
    </row>
    <row r="1494" spans="1:7" x14ac:dyDescent="0.25">
      <c r="A1494" s="1" t="s">
        <v>1617</v>
      </c>
      <c r="B1494" s="76">
        <v>61.850200999999998</v>
      </c>
      <c r="C1494" s="76">
        <v>61.864833999999902</v>
      </c>
      <c r="D1494" s="76">
        <v>61.411235999999903</v>
      </c>
      <c r="E1494" s="76">
        <v>61.645350999999998</v>
      </c>
      <c r="F1494" s="76">
        <v>39.207881999999998</v>
      </c>
      <c r="G1494" s="79">
        <v>778200</v>
      </c>
    </row>
    <row r="1495" spans="1:7" x14ac:dyDescent="0.25">
      <c r="A1495" s="1" t="s">
        <v>1618</v>
      </c>
      <c r="B1495" s="76">
        <v>61.828254999999999</v>
      </c>
      <c r="C1495" s="76">
        <v>62.347693999999997</v>
      </c>
      <c r="D1495" s="76">
        <v>61.477080999999998</v>
      </c>
      <c r="E1495" s="76">
        <v>61.798988000000001</v>
      </c>
      <c r="F1495" s="76">
        <v>39.305591999999997</v>
      </c>
      <c r="G1495" s="79">
        <v>644200</v>
      </c>
    </row>
    <row r="1496" spans="1:7" x14ac:dyDescent="0.25">
      <c r="A1496" s="1" t="s">
        <v>1619</v>
      </c>
      <c r="B1496" s="76">
        <v>61.981892000000002</v>
      </c>
      <c r="C1496" s="76">
        <v>62.201374000000001</v>
      </c>
      <c r="D1496" s="76">
        <v>61.550243000000002</v>
      </c>
      <c r="E1496" s="76">
        <v>61.959941999999998</v>
      </c>
      <c r="F1496" s="76">
        <v>39.407963000000002</v>
      </c>
      <c r="G1496" s="79">
        <v>408300</v>
      </c>
    </row>
    <row r="1497" spans="1:7" x14ac:dyDescent="0.25">
      <c r="A1497" s="1" t="s">
        <v>1620</v>
      </c>
      <c r="B1497" s="76">
        <v>62.333064999999998</v>
      </c>
      <c r="C1497" s="76">
        <v>62.523280999999997</v>
      </c>
      <c r="D1497" s="76">
        <v>61.981892000000002</v>
      </c>
      <c r="E1497" s="76">
        <v>62.472068999999998</v>
      </c>
      <c r="F1497" s="76">
        <v>39.733696000000002</v>
      </c>
      <c r="G1497" s="79">
        <v>696200</v>
      </c>
    </row>
    <row r="1498" spans="1:7" x14ac:dyDescent="0.25">
      <c r="A1498" s="1" t="s">
        <v>1621</v>
      </c>
      <c r="B1498" s="76">
        <v>62.369643999999901</v>
      </c>
      <c r="C1498" s="76">
        <v>63.0134579999999</v>
      </c>
      <c r="D1498" s="76">
        <v>62.318431999999902</v>
      </c>
      <c r="E1498" s="76">
        <v>62.611075999999997</v>
      </c>
      <c r="F1498" s="76">
        <v>39.822113000000002</v>
      </c>
      <c r="G1498" s="79">
        <v>765200</v>
      </c>
    </row>
    <row r="1499" spans="1:7" x14ac:dyDescent="0.25">
      <c r="A1499" s="1" t="s">
        <v>1622</v>
      </c>
      <c r="B1499" s="76">
        <v>62.611075999999997</v>
      </c>
      <c r="C1499" s="76">
        <v>62.903717</v>
      </c>
      <c r="D1499" s="76">
        <v>62.369643999999901</v>
      </c>
      <c r="E1499" s="76">
        <v>62.742764000000001</v>
      </c>
      <c r="F1499" s="76">
        <v>39.905856999999997</v>
      </c>
      <c r="G1499" s="79">
        <v>728600</v>
      </c>
    </row>
    <row r="1500" spans="1:7" x14ac:dyDescent="0.25">
      <c r="A1500" s="1" t="s">
        <v>1623</v>
      </c>
      <c r="B1500" s="76">
        <v>62.713501000000001</v>
      </c>
      <c r="C1500" s="76">
        <v>62.881770999999901</v>
      </c>
      <c r="D1500" s="76">
        <v>61.755093000000002</v>
      </c>
      <c r="E1500" s="76">
        <v>61.886783999999999</v>
      </c>
      <c r="F1500" s="76">
        <v>39.361435</v>
      </c>
      <c r="G1500" s="79">
        <v>726900</v>
      </c>
    </row>
    <row r="1501" spans="1:7" x14ac:dyDescent="0.25">
      <c r="A1501" s="1" t="s">
        <v>1624</v>
      </c>
      <c r="B1501" s="76">
        <v>62.113582999999998</v>
      </c>
      <c r="C1501" s="76">
        <v>62.252586000000001</v>
      </c>
      <c r="D1501" s="76">
        <v>61.864833999999902</v>
      </c>
      <c r="E1501" s="76">
        <v>62.018470999999998</v>
      </c>
      <c r="F1501" s="76">
        <v>39.445186999999997</v>
      </c>
      <c r="G1501" s="79">
        <v>830400</v>
      </c>
    </row>
    <row r="1502" spans="1:7" x14ac:dyDescent="0.25">
      <c r="A1502" s="1" t="s">
        <v>1625</v>
      </c>
      <c r="B1502" s="76">
        <v>61.923363000000002</v>
      </c>
      <c r="C1502" s="76">
        <v>62.062369999999902</v>
      </c>
      <c r="D1502" s="76">
        <v>61.103962000000003</v>
      </c>
      <c r="E1502" s="76">
        <v>61.213703000000002</v>
      </c>
      <c r="F1502" s="76">
        <v>38.933334000000002</v>
      </c>
      <c r="G1502" s="79">
        <v>1000600</v>
      </c>
    </row>
    <row r="1503" spans="1:7" x14ac:dyDescent="0.25">
      <c r="A1503" s="1" t="s">
        <v>1626</v>
      </c>
      <c r="B1503" s="76">
        <v>61.367339999999999</v>
      </c>
      <c r="C1503" s="76">
        <v>61.623401999999999</v>
      </c>
      <c r="D1503" s="76">
        <v>60.906424999999999</v>
      </c>
      <c r="E1503" s="76">
        <v>61.286864999999999</v>
      </c>
      <c r="F1503" s="76">
        <v>38.979865999999902</v>
      </c>
      <c r="G1503" s="79">
        <v>577900</v>
      </c>
    </row>
    <row r="1504" spans="1:7" x14ac:dyDescent="0.25">
      <c r="A1504" s="1" t="s">
        <v>1627</v>
      </c>
      <c r="B1504" s="76">
        <v>61.418551999999998</v>
      </c>
      <c r="C1504" s="76">
        <v>61.798988000000001</v>
      </c>
      <c r="D1504" s="76">
        <v>61.389290000000003</v>
      </c>
      <c r="E1504" s="76">
        <v>61.4551319999999</v>
      </c>
      <c r="F1504" s="76">
        <v>39.086894999999998</v>
      </c>
      <c r="G1504" s="79">
        <v>616000</v>
      </c>
    </row>
    <row r="1505" spans="1:7" x14ac:dyDescent="0.25">
      <c r="A1505" s="1" t="s">
        <v>1628</v>
      </c>
      <c r="B1505" s="76">
        <v>60.979588</v>
      </c>
      <c r="C1505" s="76">
        <v>61.901412999999998</v>
      </c>
      <c r="D1505" s="76">
        <v>60.518673</v>
      </c>
      <c r="E1505" s="76">
        <v>61.711196999999999</v>
      </c>
      <c r="F1505" s="76">
        <v>39.612881000000002</v>
      </c>
      <c r="G1505" s="79">
        <v>1044800</v>
      </c>
    </row>
    <row r="1506" spans="1:7" x14ac:dyDescent="0.25">
      <c r="A1506" s="1" t="s">
        <v>1629</v>
      </c>
      <c r="B1506" s="76">
        <v>61.894100000000002</v>
      </c>
      <c r="C1506" s="76">
        <v>62.120899000000001</v>
      </c>
      <c r="D1506" s="76">
        <v>61.689246999999902</v>
      </c>
      <c r="E1506" s="76">
        <v>61.967257999999902</v>
      </c>
      <c r="F1506" s="76">
        <v>39.777245000000001</v>
      </c>
      <c r="G1506" s="79">
        <v>428500</v>
      </c>
    </row>
    <row r="1507" spans="1:7" x14ac:dyDescent="0.25">
      <c r="A1507" s="1" t="s">
        <v>1630</v>
      </c>
      <c r="B1507" s="76">
        <v>62.223323999999998</v>
      </c>
      <c r="C1507" s="76">
        <v>62.494018999999902</v>
      </c>
      <c r="D1507" s="76">
        <v>61.908729999999998</v>
      </c>
      <c r="E1507" s="76">
        <v>61.937995999999998</v>
      </c>
      <c r="F1507" s="76">
        <v>39.758457</v>
      </c>
      <c r="G1507" s="79">
        <v>537100</v>
      </c>
    </row>
    <row r="1508" spans="1:7" x14ac:dyDescent="0.25">
      <c r="A1508" s="1" t="s">
        <v>1631</v>
      </c>
      <c r="B1508" s="76">
        <v>62.296481999999997</v>
      </c>
      <c r="C1508" s="76">
        <v>62.333064999999998</v>
      </c>
      <c r="D1508" s="76">
        <v>61.630718000000002</v>
      </c>
      <c r="E1508" s="76">
        <v>61.901412999999998</v>
      </c>
      <c r="F1508" s="76">
        <v>39.734984999999902</v>
      </c>
      <c r="G1508" s="79">
        <v>496500</v>
      </c>
    </row>
    <row r="1509" spans="1:7" x14ac:dyDescent="0.25">
      <c r="A1509" s="1" t="s">
        <v>1632</v>
      </c>
      <c r="B1509" s="76">
        <v>62.076999999999998</v>
      </c>
      <c r="C1509" s="76">
        <v>62.237952999999997</v>
      </c>
      <c r="D1509" s="76">
        <v>61.352706999999903</v>
      </c>
      <c r="E1509" s="76">
        <v>61.608771999999902</v>
      </c>
      <c r="F1509" s="76">
        <v>39.547119000000002</v>
      </c>
      <c r="G1509" s="79">
        <v>639900</v>
      </c>
    </row>
    <row r="1510" spans="1:7" x14ac:dyDescent="0.25">
      <c r="A1510" s="1" t="s">
        <v>1633</v>
      </c>
      <c r="B1510" s="76">
        <v>61.491714000000002</v>
      </c>
      <c r="C1510" s="76">
        <v>61.689246999999902</v>
      </c>
      <c r="D1510" s="76">
        <v>61.067379000000003</v>
      </c>
      <c r="E1510" s="76">
        <v>61.067379000000003</v>
      </c>
      <c r="F1510" s="76">
        <v>39.199599999999997</v>
      </c>
      <c r="G1510" s="79">
        <v>555800</v>
      </c>
    </row>
    <row r="1511" spans="1:7" x14ac:dyDescent="0.25">
      <c r="A1511" s="1" t="s">
        <v>1634</v>
      </c>
      <c r="B1511" s="76">
        <v>61.418551999999998</v>
      </c>
      <c r="C1511" s="76">
        <v>63.0134579999999</v>
      </c>
      <c r="D1511" s="76">
        <v>60.928375000000003</v>
      </c>
      <c r="E1511" s="76">
        <v>62.947617000000001</v>
      </c>
      <c r="F1511" s="76">
        <v>40.406551</v>
      </c>
      <c r="G1511" s="79">
        <v>1024200</v>
      </c>
    </row>
    <row r="1512" spans="1:7" x14ac:dyDescent="0.25">
      <c r="A1512" s="1" t="s">
        <v>1635</v>
      </c>
      <c r="B1512" s="76">
        <v>62.947617000000001</v>
      </c>
      <c r="C1512" s="76">
        <v>63.364631999999901</v>
      </c>
      <c r="D1512" s="76">
        <v>62.823242</v>
      </c>
      <c r="E1512" s="76">
        <v>63.050041</v>
      </c>
      <c r="F1512" s="76">
        <v>40.472301000000002</v>
      </c>
      <c r="G1512" s="79">
        <v>748500</v>
      </c>
    </row>
    <row r="1513" spans="1:7" x14ac:dyDescent="0.25">
      <c r="A1513" s="1" t="s">
        <v>1636</v>
      </c>
      <c r="B1513" s="76">
        <v>63.057357999999901</v>
      </c>
      <c r="C1513" s="76">
        <v>63.949920999999897</v>
      </c>
      <c r="D1513" s="76">
        <v>62.976878999999997</v>
      </c>
      <c r="E1513" s="76">
        <v>63.459739999999996</v>
      </c>
      <c r="F1513" s="76">
        <v>40.735278999999998</v>
      </c>
      <c r="G1513" s="79">
        <v>1167700</v>
      </c>
    </row>
    <row r="1514" spans="1:7" x14ac:dyDescent="0.25">
      <c r="A1514" s="1" t="s">
        <v>1637</v>
      </c>
      <c r="B1514" s="76">
        <v>64.015761999999995</v>
      </c>
      <c r="C1514" s="76">
        <v>64.088927999999996</v>
      </c>
      <c r="D1514" s="76">
        <v>63.27684</v>
      </c>
      <c r="E1514" s="76">
        <v>64.081611999999893</v>
      </c>
      <c r="F1514" s="76">
        <v>41.134459999999997</v>
      </c>
      <c r="G1514" s="79">
        <v>822500</v>
      </c>
    </row>
    <row r="1515" spans="1:7" x14ac:dyDescent="0.25">
      <c r="A1515" s="1" t="s">
        <v>1638</v>
      </c>
      <c r="B1515" s="76">
        <v>64.301093999999907</v>
      </c>
      <c r="C1515" s="76">
        <v>64.857117000000002</v>
      </c>
      <c r="D1515" s="76">
        <v>64.176719999999904</v>
      </c>
      <c r="E1515" s="76">
        <v>64.805901000000006</v>
      </c>
      <c r="F1515" s="76">
        <v>41.599387999999998</v>
      </c>
      <c r="G1515" s="79">
        <v>1150000</v>
      </c>
    </row>
    <row r="1516" spans="1:7" x14ac:dyDescent="0.25">
      <c r="A1516" s="1" t="s">
        <v>1639</v>
      </c>
      <c r="B1516" s="76">
        <v>64.601050999999998</v>
      </c>
      <c r="C1516" s="76">
        <v>65.727729999999994</v>
      </c>
      <c r="D1516" s="76">
        <v>64.418152000000006</v>
      </c>
      <c r="E1516" s="76">
        <v>65.186340000000001</v>
      </c>
      <c r="F1516" s="76">
        <v>41.843604999999997</v>
      </c>
      <c r="G1516" s="79">
        <v>874700</v>
      </c>
    </row>
    <row r="1517" spans="1:7" x14ac:dyDescent="0.25">
      <c r="A1517" s="1" t="s">
        <v>1640</v>
      </c>
      <c r="B1517" s="76">
        <v>65.281447999999997</v>
      </c>
      <c r="C1517" s="76">
        <v>65.610671999999994</v>
      </c>
      <c r="D1517" s="76">
        <v>64.930274999999995</v>
      </c>
      <c r="E1517" s="76">
        <v>65.237549000000001</v>
      </c>
      <c r="F1517" s="76">
        <v>41.876460999999999</v>
      </c>
      <c r="G1517" s="79">
        <v>915100</v>
      </c>
    </row>
    <row r="1518" spans="1:7" x14ac:dyDescent="0.25">
      <c r="A1518" s="1" t="s">
        <v>1641</v>
      </c>
      <c r="B1518" s="76">
        <v>65.237549000000001</v>
      </c>
      <c r="C1518" s="76">
        <v>65.493613999999994</v>
      </c>
      <c r="D1518" s="76">
        <v>64.981491000000005</v>
      </c>
      <c r="E1518" s="76">
        <v>65.274131999999994</v>
      </c>
      <c r="F1518" s="76">
        <v>41.899956000000003</v>
      </c>
      <c r="G1518" s="79">
        <v>781700</v>
      </c>
    </row>
    <row r="1519" spans="1:7" x14ac:dyDescent="0.25">
      <c r="A1519" s="1" t="s">
        <v>1642</v>
      </c>
      <c r="B1519" s="76">
        <v>65.186340000000001</v>
      </c>
      <c r="C1519" s="76">
        <v>65.193657000000002</v>
      </c>
      <c r="D1519" s="76">
        <v>63.708488000000003</v>
      </c>
      <c r="E1519" s="76">
        <v>63.759701</v>
      </c>
      <c r="F1519" s="76">
        <v>40.92783</v>
      </c>
      <c r="G1519" s="79">
        <v>926600</v>
      </c>
    </row>
    <row r="1520" spans="1:7" x14ac:dyDescent="0.25">
      <c r="A1520" s="1" t="s">
        <v>1643</v>
      </c>
      <c r="B1520" s="76">
        <v>63.635325999999999</v>
      </c>
      <c r="C1520" s="76">
        <v>63.635325999999999</v>
      </c>
      <c r="D1520" s="76">
        <v>62.998829000000001</v>
      </c>
      <c r="E1520" s="76">
        <v>63.101253999999997</v>
      </c>
      <c r="F1520" s="76">
        <v>40.505164999999998</v>
      </c>
      <c r="G1520" s="79">
        <v>812300</v>
      </c>
    </row>
    <row r="1521" spans="1:7" x14ac:dyDescent="0.25">
      <c r="A1521" s="1" t="s">
        <v>1644</v>
      </c>
      <c r="B1521" s="76">
        <v>63.101253999999997</v>
      </c>
      <c r="C1521" s="76">
        <v>63.759701</v>
      </c>
      <c r="D1521" s="76">
        <v>62.464751999999997</v>
      </c>
      <c r="E1521" s="76">
        <v>62.728133999999997</v>
      </c>
      <c r="F1521" s="76">
        <v>40.265667000000001</v>
      </c>
      <c r="G1521" s="79">
        <v>830800</v>
      </c>
    </row>
    <row r="1522" spans="1:7" x14ac:dyDescent="0.25">
      <c r="A1522" s="1" t="s">
        <v>1645</v>
      </c>
      <c r="B1522" s="76">
        <v>62.757396999999997</v>
      </c>
      <c r="C1522" s="76">
        <v>63.635325999999999</v>
      </c>
      <c r="D1522" s="76">
        <v>62.735447000000001</v>
      </c>
      <c r="E1522" s="76">
        <v>63.430477000000003</v>
      </c>
      <c r="F1522" s="76">
        <v>40.716503000000003</v>
      </c>
      <c r="G1522" s="79">
        <v>705200</v>
      </c>
    </row>
    <row r="1523" spans="1:7" x14ac:dyDescent="0.25">
      <c r="A1523" s="1" t="s">
        <v>1646</v>
      </c>
      <c r="B1523" s="76">
        <v>62.991512</v>
      </c>
      <c r="C1523" s="76">
        <v>63.284156999999901</v>
      </c>
      <c r="D1523" s="76">
        <v>62.457436000000001</v>
      </c>
      <c r="E1523" s="76">
        <v>62.640338999999997</v>
      </c>
      <c r="F1523" s="76">
        <v>40.209305000000001</v>
      </c>
      <c r="G1523" s="79">
        <v>870000</v>
      </c>
    </row>
    <row r="1524" spans="1:7" x14ac:dyDescent="0.25">
      <c r="A1524" s="1" t="s">
        <v>1647</v>
      </c>
      <c r="B1524" s="76">
        <v>62.823242</v>
      </c>
      <c r="C1524" s="76">
        <v>63.423161</v>
      </c>
      <c r="D1524" s="76">
        <v>62.801291999999997</v>
      </c>
      <c r="E1524" s="76">
        <v>63.210994999999997</v>
      </c>
      <c r="F1524" s="76">
        <v>40.575614999999999</v>
      </c>
      <c r="G1524" s="79">
        <v>542100</v>
      </c>
    </row>
    <row r="1525" spans="1:7" x14ac:dyDescent="0.25">
      <c r="A1525" s="1" t="s">
        <v>1648</v>
      </c>
      <c r="B1525" s="76">
        <v>63.393898</v>
      </c>
      <c r="C1525" s="76">
        <v>63.81823</v>
      </c>
      <c r="D1525" s="76">
        <v>63.218311</v>
      </c>
      <c r="E1525" s="76">
        <v>63.774333999999897</v>
      </c>
      <c r="F1525" s="76">
        <v>40.937218000000001</v>
      </c>
      <c r="G1525" s="79">
        <v>1187900</v>
      </c>
    </row>
    <row r="1526" spans="1:7" x14ac:dyDescent="0.25">
      <c r="A1526" s="1" t="s">
        <v>1649</v>
      </c>
      <c r="B1526" s="76">
        <v>63.979182999999999</v>
      </c>
      <c r="C1526" s="76">
        <v>64.527893000000006</v>
      </c>
      <c r="D1526" s="76">
        <v>63.869441999999999</v>
      </c>
      <c r="E1526" s="76">
        <v>64.308410999999893</v>
      </c>
      <c r="F1526" s="76">
        <v>41.280037</v>
      </c>
      <c r="G1526" s="79">
        <v>1062100</v>
      </c>
    </row>
    <row r="1527" spans="1:7" x14ac:dyDescent="0.25">
      <c r="A1527" s="1" t="s">
        <v>1650</v>
      </c>
      <c r="B1527" s="76">
        <v>64.608367999999999</v>
      </c>
      <c r="C1527" s="76">
        <v>64.842483999999999</v>
      </c>
      <c r="D1527" s="76">
        <v>64.125504000000006</v>
      </c>
      <c r="E1527" s="76">
        <v>64.557152000000002</v>
      </c>
      <c r="F1527" s="76">
        <v>41.439723999999998</v>
      </c>
      <c r="G1527" s="79">
        <v>1103000</v>
      </c>
    </row>
    <row r="1528" spans="1:7" x14ac:dyDescent="0.25">
      <c r="A1528" s="1" t="s">
        <v>1651</v>
      </c>
      <c r="B1528" s="76">
        <v>64.198668999999995</v>
      </c>
      <c r="C1528" s="76">
        <v>65.069282999999999</v>
      </c>
      <c r="D1528" s="76">
        <v>64.125504000000006</v>
      </c>
      <c r="E1528" s="76">
        <v>64.798583999999906</v>
      </c>
      <c r="F1528" s="76">
        <v>41.975245999999999</v>
      </c>
      <c r="G1528" s="79">
        <v>958800</v>
      </c>
    </row>
    <row r="1529" spans="1:7" x14ac:dyDescent="0.25">
      <c r="A1529" s="1" t="s">
        <v>1652</v>
      </c>
      <c r="B1529" s="76">
        <v>64.857117000000002</v>
      </c>
      <c r="C1529" s="76">
        <v>64.857117000000002</v>
      </c>
      <c r="D1529" s="76">
        <v>64.418152000000006</v>
      </c>
      <c r="E1529" s="76">
        <v>64.564468000000005</v>
      </c>
      <c r="F1529" s="76">
        <v>41.823600999999996</v>
      </c>
      <c r="G1529" s="79">
        <v>588900</v>
      </c>
    </row>
    <row r="1530" spans="1:7" x14ac:dyDescent="0.25">
      <c r="A1530" s="1" t="s">
        <v>1653</v>
      </c>
      <c r="B1530" s="76">
        <v>64.527893000000006</v>
      </c>
      <c r="C1530" s="76">
        <v>65.098540999999997</v>
      </c>
      <c r="D1530" s="76">
        <v>64.235244999999907</v>
      </c>
      <c r="E1530" s="76">
        <v>64.630318000000003</v>
      </c>
      <c r="F1530" s="76">
        <v>41.866256999999997</v>
      </c>
      <c r="G1530" s="79">
        <v>740000</v>
      </c>
    </row>
    <row r="1531" spans="1:7" x14ac:dyDescent="0.25">
      <c r="A1531" s="1" t="s">
        <v>1654</v>
      </c>
      <c r="B1531" s="76">
        <v>64.491309999999999</v>
      </c>
      <c r="C1531" s="76">
        <v>64.791267000000005</v>
      </c>
      <c r="D1531" s="76">
        <v>64.286461000000003</v>
      </c>
      <c r="E1531" s="76">
        <v>64.623001000000002</v>
      </c>
      <c r="F1531" s="76">
        <v>41.861507000000003</v>
      </c>
      <c r="G1531" s="79">
        <v>885700</v>
      </c>
    </row>
    <row r="1532" spans="1:7" x14ac:dyDescent="0.25">
      <c r="A1532" s="1" t="s">
        <v>1655</v>
      </c>
      <c r="B1532" s="76">
        <v>64.440093999999903</v>
      </c>
      <c r="C1532" s="76">
        <v>64.601050999999998</v>
      </c>
      <c r="D1532" s="76">
        <v>63.686539000000003</v>
      </c>
      <c r="E1532" s="76">
        <v>63.891392000000003</v>
      </c>
      <c r="F1532" s="76">
        <v>41.387584999999902</v>
      </c>
      <c r="G1532" s="79">
        <v>845200</v>
      </c>
    </row>
    <row r="1533" spans="1:7" x14ac:dyDescent="0.25">
      <c r="A1533" s="1" t="s">
        <v>1656</v>
      </c>
      <c r="B1533" s="76">
        <v>63.510956</v>
      </c>
      <c r="C1533" s="76">
        <v>63.774333999999897</v>
      </c>
      <c r="D1533" s="76">
        <v>62.603760000000001</v>
      </c>
      <c r="E1533" s="76">
        <v>63.174416000000001</v>
      </c>
      <c r="F1533" s="76">
        <v>40.923144999999998</v>
      </c>
      <c r="G1533" s="79">
        <v>978800</v>
      </c>
    </row>
    <row r="1534" spans="1:7" x14ac:dyDescent="0.25">
      <c r="A1534" s="1" t="s">
        <v>1657</v>
      </c>
      <c r="B1534" s="76">
        <v>63.181728</v>
      </c>
      <c r="C1534" s="76">
        <v>63.510956</v>
      </c>
      <c r="D1534" s="76">
        <v>63.028091000000003</v>
      </c>
      <c r="E1534" s="76">
        <v>63.262206999999997</v>
      </c>
      <c r="F1534" s="76">
        <v>40.980021999999998</v>
      </c>
      <c r="G1534" s="79">
        <v>454000</v>
      </c>
    </row>
    <row r="1535" spans="1:7" x14ac:dyDescent="0.25">
      <c r="A1535" s="1" t="s">
        <v>1658</v>
      </c>
      <c r="B1535" s="76">
        <v>63.210994999999997</v>
      </c>
      <c r="C1535" s="76">
        <v>63.620697</v>
      </c>
      <c r="D1535" s="76">
        <v>62.662289000000001</v>
      </c>
      <c r="E1535" s="76">
        <v>62.837874999999997</v>
      </c>
      <c r="F1535" s="76">
        <v>40.705134999999999</v>
      </c>
      <c r="G1535" s="79">
        <v>777900</v>
      </c>
    </row>
    <row r="1536" spans="1:7" x14ac:dyDescent="0.25">
      <c r="A1536" s="1" t="s">
        <v>1659</v>
      </c>
      <c r="B1536" s="76">
        <v>62.845188</v>
      </c>
      <c r="C1536" s="76">
        <v>62.954932999999997</v>
      </c>
      <c r="D1536" s="76">
        <v>62.186740999999998</v>
      </c>
      <c r="E1536" s="76">
        <v>62.925666999999997</v>
      </c>
      <c r="F1536" s="76">
        <v>40.762005000000002</v>
      </c>
      <c r="G1536" s="79">
        <v>738700</v>
      </c>
    </row>
    <row r="1537" spans="1:7" x14ac:dyDescent="0.25">
      <c r="A1537" s="1" t="s">
        <v>1660</v>
      </c>
      <c r="B1537" s="76">
        <v>63.064673999999997</v>
      </c>
      <c r="C1537" s="76">
        <v>63.430477000000003</v>
      </c>
      <c r="D1537" s="76">
        <v>62.494018999999902</v>
      </c>
      <c r="E1537" s="76">
        <v>63.174416000000001</v>
      </c>
      <c r="F1537" s="76">
        <v>40.923144999999998</v>
      </c>
      <c r="G1537" s="79">
        <v>666900</v>
      </c>
    </row>
    <row r="1538" spans="1:7" x14ac:dyDescent="0.25">
      <c r="A1538" s="1" t="s">
        <v>1661</v>
      </c>
      <c r="B1538" s="76">
        <v>63.174416000000001</v>
      </c>
      <c r="C1538" s="76">
        <v>63.598746999999904</v>
      </c>
      <c r="D1538" s="76">
        <v>62.852505000000001</v>
      </c>
      <c r="E1538" s="76">
        <v>63.371947999999897</v>
      </c>
      <c r="F1538" s="76">
        <v>41.051097999999897</v>
      </c>
      <c r="G1538" s="79">
        <v>527200</v>
      </c>
    </row>
    <row r="1539" spans="1:7" x14ac:dyDescent="0.25">
      <c r="A1539" s="1" t="s">
        <v>1662</v>
      </c>
      <c r="B1539" s="76">
        <v>63.379264999999997</v>
      </c>
      <c r="C1539" s="76">
        <v>63.467055999999999</v>
      </c>
      <c r="D1539" s="76">
        <v>63.006144999999997</v>
      </c>
      <c r="E1539" s="76">
        <v>63.4158439999999</v>
      </c>
      <c r="F1539" s="76">
        <v>41.079543999999999</v>
      </c>
      <c r="G1539" s="79">
        <v>496300</v>
      </c>
    </row>
    <row r="1540" spans="1:7" x14ac:dyDescent="0.25">
      <c r="A1540" s="1" t="s">
        <v>1663</v>
      </c>
      <c r="B1540" s="76">
        <v>63.4158439999999</v>
      </c>
      <c r="C1540" s="76">
        <v>63.81823</v>
      </c>
      <c r="D1540" s="76">
        <v>62.757396999999997</v>
      </c>
      <c r="E1540" s="76">
        <v>63.737751000000003</v>
      </c>
      <c r="F1540" s="76">
        <v>41.288066999999998</v>
      </c>
      <c r="G1540" s="79">
        <v>586500</v>
      </c>
    </row>
    <row r="1541" spans="1:7" x14ac:dyDescent="0.25">
      <c r="A1541" s="1" t="s">
        <v>1664</v>
      </c>
      <c r="B1541" s="76">
        <v>63.64996</v>
      </c>
      <c r="C1541" s="76">
        <v>64.110869999999906</v>
      </c>
      <c r="D1541" s="76">
        <v>63.452427</v>
      </c>
      <c r="E1541" s="76">
        <v>64.030395999999996</v>
      </c>
      <c r="F1541" s="76">
        <v>41.477637999999999</v>
      </c>
      <c r="G1541" s="79">
        <v>626900</v>
      </c>
    </row>
    <row r="1542" spans="1:7" x14ac:dyDescent="0.25">
      <c r="A1542" s="1" t="s">
        <v>1665</v>
      </c>
      <c r="B1542" s="76">
        <v>64.125504000000006</v>
      </c>
      <c r="C1542" s="76">
        <v>64.249877999999995</v>
      </c>
      <c r="D1542" s="76">
        <v>63.774333999999897</v>
      </c>
      <c r="E1542" s="76">
        <v>64.103554000000003</v>
      </c>
      <c r="F1542" s="76">
        <v>41.525024000000002</v>
      </c>
      <c r="G1542" s="79">
        <v>494400</v>
      </c>
    </row>
    <row r="1543" spans="1:7" x14ac:dyDescent="0.25">
      <c r="A1543" s="1" t="s">
        <v>1666</v>
      </c>
      <c r="B1543" s="76">
        <v>64.162086000000002</v>
      </c>
      <c r="C1543" s="76">
        <v>64.505943000000002</v>
      </c>
      <c r="D1543" s="76">
        <v>63.869441999999999</v>
      </c>
      <c r="E1543" s="76">
        <v>64.352303000000006</v>
      </c>
      <c r="F1543" s="76">
        <v>41.686157000000001</v>
      </c>
      <c r="G1543" s="79">
        <v>811000</v>
      </c>
    </row>
    <row r="1544" spans="1:7" x14ac:dyDescent="0.25">
      <c r="A1544" s="1" t="s">
        <v>1667</v>
      </c>
      <c r="B1544" s="76">
        <v>64.352303000000006</v>
      </c>
      <c r="C1544" s="76">
        <v>64.637633999999906</v>
      </c>
      <c r="D1544" s="76">
        <v>64.169403000000003</v>
      </c>
      <c r="E1544" s="76">
        <v>64.498626999999999</v>
      </c>
      <c r="F1544" s="76">
        <v>41.780951999999999</v>
      </c>
      <c r="G1544" s="79">
        <v>825100</v>
      </c>
    </row>
    <row r="1545" spans="1:7" x14ac:dyDescent="0.25">
      <c r="A1545" s="1" t="s">
        <v>1668</v>
      </c>
      <c r="B1545" s="76">
        <v>64.498626999999999</v>
      </c>
      <c r="C1545" s="76">
        <v>66.195960999999997</v>
      </c>
      <c r="D1545" s="76">
        <v>64.308410999999893</v>
      </c>
      <c r="E1545" s="76">
        <v>66.115478999999993</v>
      </c>
      <c r="F1545" s="76">
        <v>42.828303999999903</v>
      </c>
      <c r="G1545" s="79">
        <v>1335500</v>
      </c>
    </row>
    <row r="1546" spans="1:7" x14ac:dyDescent="0.25">
      <c r="A1546" s="1" t="s">
        <v>1669</v>
      </c>
      <c r="B1546" s="76">
        <v>66.283752000000007</v>
      </c>
      <c r="C1546" s="76">
        <v>66.313018999999997</v>
      </c>
      <c r="D1546" s="76">
        <v>65.596039000000005</v>
      </c>
      <c r="E1546" s="76">
        <v>65.830153999999993</v>
      </c>
      <c r="F1546" s="76">
        <v>42.643481999999999</v>
      </c>
      <c r="G1546" s="79">
        <v>911100</v>
      </c>
    </row>
    <row r="1547" spans="1:7" x14ac:dyDescent="0.25">
      <c r="A1547" s="1" t="s">
        <v>1670</v>
      </c>
      <c r="B1547" s="76">
        <v>65.830153999999993</v>
      </c>
      <c r="C1547" s="76">
        <v>65.830153999999993</v>
      </c>
      <c r="D1547" s="76">
        <v>65.091231999999906</v>
      </c>
      <c r="E1547" s="76">
        <v>65.113174000000001</v>
      </c>
      <c r="F1547" s="76">
        <v>42.179028000000002</v>
      </c>
      <c r="G1547" s="79">
        <v>677400</v>
      </c>
    </row>
    <row r="1548" spans="1:7" x14ac:dyDescent="0.25">
      <c r="A1548" s="1" t="s">
        <v>1671</v>
      </c>
      <c r="B1548" s="76">
        <v>64.930274999999995</v>
      </c>
      <c r="C1548" s="76">
        <v>65.427773000000002</v>
      </c>
      <c r="D1548" s="76">
        <v>64.857117000000002</v>
      </c>
      <c r="E1548" s="76">
        <v>65.098540999999997</v>
      </c>
      <c r="F1548" s="76">
        <v>42.169552000000003</v>
      </c>
      <c r="G1548" s="79">
        <v>620500</v>
      </c>
    </row>
    <row r="1549" spans="1:7" x14ac:dyDescent="0.25">
      <c r="A1549" s="1" t="s">
        <v>1672</v>
      </c>
      <c r="B1549" s="76">
        <v>65.054648999999998</v>
      </c>
      <c r="C1549" s="76">
        <v>65.332656999999998</v>
      </c>
      <c r="D1549" s="76">
        <v>64.454727000000005</v>
      </c>
      <c r="E1549" s="76">
        <v>65.105857999999998</v>
      </c>
      <c r="F1549" s="76">
        <v>42.174301</v>
      </c>
      <c r="G1549" s="79">
        <v>888900</v>
      </c>
    </row>
    <row r="1550" spans="1:7" x14ac:dyDescent="0.25">
      <c r="A1550" s="1" t="s">
        <v>1673</v>
      </c>
      <c r="B1550" s="76">
        <v>65.186340000000001</v>
      </c>
      <c r="C1550" s="76">
        <v>65.720412999999994</v>
      </c>
      <c r="D1550" s="76">
        <v>64.769317999999998</v>
      </c>
      <c r="E1550" s="76">
        <v>65.691147000000001</v>
      </c>
      <c r="F1550" s="76">
        <v>42.553432000000001</v>
      </c>
      <c r="G1550" s="79">
        <v>688400</v>
      </c>
    </row>
    <row r="1551" spans="1:7" x14ac:dyDescent="0.25">
      <c r="A1551" s="1" t="s">
        <v>1674</v>
      </c>
      <c r="B1551" s="76">
        <v>65.632621999999998</v>
      </c>
      <c r="C1551" s="76">
        <v>65.661879999999996</v>
      </c>
      <c r="D1551" s="76">
        <v>64.930274999999995</v>
      </c>
      <c r="E1551" s="76">
        <v>65.435080999999997</v>
      </c>
      <c r="F1551" s="76">
        <v>42.387549999999997</v>
      </c>
      <c r="G1551" s="79">
        <v>754700</v>
      </c>
    </row>
    <row r="1552" spans="1:7" x14ac:dyDescent="0.25">
      <c r="A1552" s="1" t="s">
        <v>1675</v>
      </c>
      <c r="B1552" s="76">
        <v>65.552138999999997</v>
      </c>
      <c r="C1552" s="76">
        <v>67.051940999999999</v>
      </c>
      <c r="D1552" s="76">
        <v>65.361923000000004</v>
      </c>
      <c r="E1552" s="76">
        <v>66.664185000000003</v>
      </c>
      <c r="F1552" s="76">
        <v>43.183750000000003</v>
      </c>
      <c r="G1552" s="79">
        <v>2221900</v>
      </c>
    </row>
    <row r="1553" spans="1:7" x14ac:dyDescent="0.25">
      <c r="A1553" s="1" t="s">
        <v>1676</v>
      </c>
      <c r="B1553" s="76">
        <v>66.576392999999996</v>
      </c>
      <c r="C1553" s="76">
        <v>67.476272999999907</v>
      </c>
      <c r="D1553" s="76">
        <v>66.393493999999905</v>
      </c>
      <c r="E1553" s="76">
        <v>67.205581999999893</v>
      </c>
      <c r="F1553" s="76">
        <v>43.534458000000001</v>
      </c>
      <c r="G1553" s="79">
        <v>1313000</v>
      </c>
    </row>
    <row r="1554" spans="1:7" x14ac:dyDescent="0.25">
      <c r="A1554" s="1" t="s">
        <v>1677</v>
      </c>
      <c r="B1554" s="76">
        <v>67.212890999999999</v>
      </c>
      <c r="C1554" s="76">
        <v>67.212890999999999</v>
      </c>
      <c r="D1554" s="76">
        <v>66.686133999999996</v>
      </c>
      <c r="E1554" s="76">
        <v>66.927566999999996</v>
      </c>
      <c r="F1554" s="76">
        <v>43.354370000000003</v>
      </c>
      <c r="G1554" s="79">
        <v>989100</v>
      </c>
    </row>
    <row r="1555" spans="1:7" x14ac:dyDescent="0.25">
      <c r="A1555" s="1" t="s">
        <v>1678</v>
      </c>
      <c r="B1555" s="76">
        <v>66.927566999999996</v>
      </c>
      <c r="C1555" s="76">
        <v>67.564064000000002</v>
      </c>
      <c r="D1555" s="76">
        <v>66.503235000000004</v>
      </c>
      <c r="E1555" s="76">
        <v>67.417746999999906</v>
      </c>
      <c r="F1555" s="76">
        <v>43.671889999999998</v>
      </c>
      <c r="G1555" s="79">
        <v>1184600</v>
      </c>
    </row>
    <row r="1556" spans="1:7" x14ac:dyDescent="0.25">
      <c r="A1556" s="1" t="s">
        <v>1679</v>
      </c>
      <c r="B1556" s="76">
        <v>67.425064000000006</v>
      </c>
      <c r="C1556" s="76">
        <v>68.017662000000001</v>
      </c>
      <c r="D1556" s="76">
        <v>67.308006000000006</v>
      </c>
      <c r="E1556" s="76">
        <v>67.710387999999995</v>
      </c>
      <c r="F1556" s="76">
        <v>43.861462000000003</v>
      </c>
      <c r="G1556" s="79">
        <v>1257900</v>
      </c>
    </row>
    <row r="1557" spans="1:7" x14ac:dyDescent="0.25">
      <c r="A1557" s="1" t="s">
        <v>1680</v>
      </c>
      <c r="B1557" s="76">
        <v>68.076194999999998</v>
      </c>
      <c r="C1557" s="76">
        <v>69.429671999999997</v>
      </c>
      <c r="D1557" s="76">
        <v>67.856712000000002</v>
      </c>
      <c r="E1557" s="76">
        <v>69.385773</v>
      </c>
      <c r="F1557" s="76">
        <v>44.946762</v>
      </c>
      <c r="G1557" s="79">
        <v>2040600</v>
      </c>
    </row>
    <row r="1558" spans="1:7" x14ac:dyDescent="0.25">
      <c r="A1558" s="1" t="s">
        <v>1681</v>
      </c>
      <c r="B1558" s="76">
        <v>69.480880999999997</v>
      </c>
      <c r="C1558" s="76">
        <v>69.480880999999997</v>
      </c>
      <c r="D1558" s="76">
        <v>68.295676999999998</v>
      </c>
      <c r="E1558" s="76">
        <v>68.602951000000004</v>
      </c>
      <c r="F1558" s="76">
        <v>44.439644000000001</v>
      </c>
      <c r="G1558" s="79">
        <v>1520500</v>
      </c>
    </row>
    <row r="1559" spans="1:7" x14ac:dyDescent="0.25">
      <c r="A1559" s="1" t="s">
        <v>1682</v>
      </c>
      <c r="B1559" s="76">
        <v>68.259093999999905</v>
      </c>
      <c r="C1559" s="76">
        <v>69.100441000000004</v>
      </c>
      <c r="D1559" s="76">
        <v>68.222510999999997</v>
      </c>
      <c r="E1559" s="76">
        <v>68.727324999999993</v>
      </c>
      <c r="F1559" s="76">
        <v>44.520203000000002</v>
      </c>
      <c r="G1559" s="79">
        <v>1023100</v>
      </c>
    </row>
    <row r="1560" spans="1:7" x14ac:dyDescent="0.25">
      <c r="A1560" s="1" t="s">
        <v>1683</v>
      </c>
      <c r="B1560" s="76">
        <v>69.129706999999996</v>
      </c>
      <c r="C1560" s="76">
        <v>70.892882999999998</v>
      </c>
      <c r="D1560" s="76">
        <v>69.034599</v>
      </c>
      <c r="E1560" s="76">
        <v>70.629508999999999</v>
      </c>
      <c r="F1560" s="76">
        <v>45.752406999999998</v>
      </c>
      <c r="G1560" s="79">
        <v>1582700</v>
      </c>
    </row>
    <row r="1561" spans="1:7" x14ac:dyDescent="0.25">
      <c r="A1561" s="1" t="s">
        <v>1684</v>
      </c>
      <c r="B1561" s="76">
        <v>71.148949000000002</v>
      </c>
      <c r="C1561" s="76">
        <v>71.829346000000001</v>
      </c>
      <c r="D1561" s="76">
        <v>70.892882999999998</v>
      </c>
      <c r="E1561" s="76">
        <v>71.353797999999998</v>
      </c>
      <c r="F1561" s="76">
        <v>46.221587999999997</v>
      </c>
      <c r="G1561" s="79">
        <v>1489100</v>
      </c>
    </row>
    <row r="1562" spans="1:7" x14ac:dyDescent="0.25">
      <c r="A1562" s="1" t="s">
        <v>1685</v>
      </c>
      <c r="B1562" s="76">
        <v>71.587913999999998</v>
      </c>
      <c r="C1562" s="76">
        <v>72.107353000000003</v>
      </c>
      <c r="D1562" s="76">
        <v>71.068473999999995</v>
      </c>
      <c r="E1562" s="76">
        <v>72.034194999999997</v>
      </c>
      <c r="F1562" s="76">
        <v>46.662331000000002</v>
      </c>
      <c r="G1562" s="79">
        <v>1366000</v>
      </c>
    </row>
    <row r="1563" spans="1:7" x14ac:dyDescent="0.25">
      <c r="A1563" s="1" t="s">
        <v>1686</v>
      </c>
      <c r="B1563" s="76">
        <v>71.975669999999994</v>
      </c>
      <c r="C1563" s="76">
        <v>72.063461000000004</v>
      </c>
      <c r="D1563" s="76">
        <v>70.731933999999995</v>
      </c>
      <c r="E1563" s="76">
        <v>70.966048999999998</v>
      </c>
      <c r="F1563" s="76">
        <v>45.970402</v>
      </c>
      <c r="G1563" s="79">
        <v>1030900</v>
      </c>
    </row>
    <row r="1564" spans="1:7" x14ac:dyDescent="0.25">
      <c r="A1564" s="1" t="s">
        <v>1687</v>
      </c>
      <c r="B1564" s="76">
        <v>70.856307999999999</v>
      </c>
      <c r="C1564" s="76">
        <v>71.053841000000006</v>
      </c>
      <c r="D1564" s="76">
        <v>69.868636999999893</v>
      </c>
      <c r="E1564" s="76">
        <v>69.883262999999999</v>
      </c>
      <c r="F1564" s="76">
        <v>45.269005</v>
      </c>
      <c r="G1564" s="79">
        <v>1105000</v>
      </c>
    </row>
    <row r="1565" spans="1:7" x14ac:dyDescent="0.25">
      <c r="A1565" s="1" t="s">
        <v>1688</v>
      </c>
      <c r="B1565" s="76">
        <v>69.854004000000003</v>
      </c>
      <c r="C1565" s="76">
        <v>70.183228</v>
      </c>
      <c r="D1565" s="76">
        <v>68.880958999999905</v>
      </c>
      <c r="E1565" s="76">
        <v>70.058852999999999</v>
      </c>
      <c r="F1565" s="76">
        <v>45.382754999999896</v>
      </c>
      <c r="G1565" s="79">
        <v>706100</v>
      </c>
    </row>
    <row r="1566" spans="1:7" x14ac:dyDescent="0.25">
      <c r="A1566" s="1" t="s">
        <v>1689</v>
      </c>
      <c r="B1566" s="76">
        <v>69.934478999999996</v>
      </c>
      <c r="C1566" s="76">
        <v>70.402709999999999</v>
      </c>
      <c r="D1566" s="76">
        <v>69.714995999999999</v>
      </c>
      <c r="E1566" s="76">
        <v>70.124694999999903</v>
      </c>
      <c r="F1566" s="76">
        <v>45.425407</v>
      </c>
      <c r="G1566" s="79">
        <v>787500</v>
      </c>
    </row>
    <row r="1567" spans="1:7" x14ac:dyDescent="0.25">
      <c r="A1567" s="1" t="s">
        <v>1690</v>
      </c>
      <c r="B1567" s="76">
        <v>70.124694999999903</v>
      </c>
      <c r="C1567" s="76">
        <v>70.124694999999903</v>
      </c>
      <c r="D1567" s="76">
        <v>69.429671999999997</v>
      </c>
      <c r="E1567" s="76">
        <v>69.802788000000007</v>
      </c>
      <c r="F1567" s="76">
        <v>45.216876999999997</v>
      </c>
      <c r="G1567" s="79">
        <v>670200</v>
      </c>
    </row>
    <row r="1568" spans="1:7" x14ac:dyDescent="0.25">
      <c r="A1568" s="1" t="s">
        <v>1691</v>
      </c>
      <c r="B1568" s="76">
        <v>69.649154999999993</v>
      </c>
      <c r="C1568" s="76">
        <v>69.744263000000004</v>
      </c>
      <c r="D1568" s="76">
        <v>68.829750000000004</v>
      </c>
      <c r="E1568" s="76">
        <v>69.100441000000004</v>
      </c>
      <c r="F1568" s="76">
        <v>44.761916999999997</v>
      </c>
      <c r="G1568" s="79">
        <v>1035700</v>
      </c>
    </row>
    <row r="1569" spans="1:7" x14ac:dyDescent="0.25">
      <c r="A1569" s="1" t="s">
        <v>1692</v>
      </c>
      <c r="B1569" s="76">
        <v>69.100441000000004</v>
      </c>
      <c r="C1569" s="76">
        <v>70.446601999999999</v>
      </c>
      <c r="D1569" s="76">
        <v>68.734641999999994</v>
      </c>
      <c r="E1569" s="76">
        <v>69.875953999999993</v>
      </c>
      <c r="F1569" s="76">
        <v>45.264271000000001</v>
      </c>
      <c r="G1569" s="79">
        <v>1088700</v>
      </c>
    </row>
    <row r="1570" spans="1:7" x14ac:dyDescent="0.25">
      <c r="A1570" s="1" t="s">
        <v>1693</v>
      </c>
      <c r="B1570" s="76">
        <v>70.607558999999995</v>
      </c>
      <c r="C1570" s="76">
        <v>71.485489000000001</v>
      </c>
      <c r="D1570" s="76">
        <v>70.607558999999995</v>
      </c>
      <c r="E1570" s="76">
        <v>71.280640000000005</v>
      </c>
      <c r="F1570" s="76">
        <v>46.174202000000001</v>
      </c>
      <c r="G1570" s="79">
        <v>1060700</v>
      </c>
    </row>
    <row r="1571" spans="1:7" x14ac:dyDescent="0.25">
      <c r="A1571" s="1" t="s">
        <v>1694</v>
      </c>
      <c r="B1571" s="76">
        <v>70.966048999999998</v>
      </c>
      <c r="C1571" s="76">
        <v>71.053841000000006</v>
      </c>
      <c r="D1571" s="76">
        <v>69.466247999999993</v>
      </c>
      <c r="E1571" s="76">
        <v>69.934478999999996</v>
      </c>
      <c r="F1571" s="76">
        <v>45.302174000000001</v>
      </c>
      <c r="G1571" s="79">
        <v>1249400</v>
      </c>
    </row>
    <row r="1572" spans="1:7" x14ac:dyDescent="0.25">
      <c r="A1572" s="1" t="s">
        <v>1695</v>
      </c>
      <c r="B1572" s="76">
        <v>69.817420999999996</v>
      </c>
      <c r="C1572" s="76">
        <v>70.446601999999999</v>
      </c>
      <c r="D1572" s="76">
        <v>69.100441000000004</v>
      </c>
      <c r="E1572" s="76">
        <v>70.234436000000002</v>
      </c>
      <c r="F1572" s="76">
        <v>45.496487000000002</v>
      </c>
      <c r="G1572" s="79">
        <v>1152600</v>
      </c>
    </row>
    <row r="1573" spans="1:7" x14ac:dyDescent="0.25">
      <c r="A1573" s="1" t="s">
        <v>1696</v>
      </c>
      <c r="B1573" s="76">
        <v>70.234436000000002</v>
      </c>
      <c r="C1573" s="76">
        <v>70.234436000000002</v>
      </c>
      <c r="D1573" s="76">
        <v>68.939491000000004</v>
      </c>
      <c r="E1573" s="76">
        <v>69.085814999999997</v>
      </c>
      <c r="F1573" s="76">
        <v>44.752437999999998</v>
      </c>
      <c r="G1573" s="79">
        <v>1316000</v>
      </c>
    </row>
    <row r="1574" spans="1:7" x14ac:dyDescent="0.25">
      <c r="A1574" s="1" t="s">
        <v>1697</v>
      </c>
      <c r="B1574" s="76">
        <v>69.107757999999905</v>
      </c>
      <c r="C1574" s="76">
        <v>69.502831</v>
      </c>
      <c r="D1574" s="76">
        <v>68.595633999999905</v>
      </c>
      <c r="E1574" s="76">
        <v>68.873649999999998</v>
      </c>
      <c r="F1574" s="76">
        <v>44.614989999999999</v>
      </c>
      <c r="G1574" s="79">
        <v>872200</v>
      </c>
    </row>
    <row r="1575" spans="1:7" x14ac:dyDescent="0.25">
      <c r="A1575" s="1" t="s">
        <v>1698</v>
      </c>
      <c r="B1575" s="76">
        <v>70.600243000000006</v>
      </c>
      <c r="C1575" s="76">
        <v>71.946404000000001</v>
      </c>
      <c r="D1575" s="76">
        <v>70.380759999999995</v>
      </c>
      <c r="E1575" s="76">
        <v>71.602547000000001</v>
      </c>
      <c r="F1575" s="76">
        <v>46.382731999999997</v>
      </c>
      <c r="G1575" s="79">
        <v>1886800</v>
      </c>
    </row>
    <row r="1576" spans="1:7" x14ac:dyDescent="0.25">
      <c r="A1576" s="1" t="s">
        <v>1699</v>
      </c>
      <c r="B1576" s="76">
        <v>71.112365999999994</v>
      </c>
      <c r="C1576" s="76">
        <v>71.514754999999994</v>
      </c>
      <c r="D1576" s="76">
        <v>70.709983999999906</v>
      </c>
      <c r="E1576" s="76">
        <v>71.134315000000001</v>
      </c>
      <c r="F1576" s="76">
        <v>46.079414</v>
      </c>
      <c r="G1576" s="79">
        <v>1254900</v>
      </c>
    </row>
    <row r="1577" spans="1:7" x14ac:dyDescent="0.25">
      <c r="A1577" s="1" t="s">
        <v>1700</v>
      </c>
      <c r="B1577" s="76">
        <v>71.134315000000001</v>
      </c>
      <c r="C1577" s="76">
        <v>71.661071999999905</v>
      </c>
      <c r="D1577" s="76">
        <v>70.519767999999999</v>
      </c>
      <c r="E1577" s="76">
        <v>70.549025999999998</v>
      </c>
      <c r="F1577" s="76">
        <v>45.700294</v>
      </c>
      <c r="G1577" s="79">
        <v>1039500</v>
      </c>
    </row>
    <row r="1578" spans="1:7" x14ac:dyDescent="0.25">
      <c r="A1578" s="1" t="s">
        <v>1701</v>
      </c>
      <c r="B1578" s="76">
        <v>69.575989000000007</v>
      </c>
      <c r="C1578" s="76">
        <v>70.549025999999998</v>
      </c>
      <c r="D1578" s="76">
        <v>69.429671999999997</v>
      </c>
      <c r="E1578" s="76">
        <v>69.641838000000007</v>
      </c>
      <c r="F1578" s="76">
        <v>45.112620999999997</v>
      </c>
      <c r="G1578" s="79">
        <v>1401300</v>
      </c>
    </row>
    <row r="1579" spans="1:7" x14ac:dyDescent="0.25">
      <c r="A1579" s="1" t="s">
        <v>1702</v>
      </c>
      <c r="B1579" s="76">
        <v>69.649154999999993</v>
      </c>
      <c r="C1579" s="76">
        <v>69.766204999999999</v>
      </c>
      <c r="D1579" s="76">
        <v>68.954123999999993</v>
      </c>
      <c r="E1579" s="76">
        <v>69.188239999999993</v>
      </c>
      <c r="F1579" s="76">
        <v>44.818778999999999</v>
      </c>
      <c r="G1579" s="79">
        <v>935400</v>
      </c>
    </row>
    <row r="1580" spans="1:7" x14ac:dyDescent="0.25">
      <c r="A1580" s="1" t="s">
        <v>1703</v>
      </c>
      <c r="B1580" s="76">
        <v>69.297980999999993</v>
      </c>
      <c r="C1580" s="76">
        <v>69.524780000000007</v>
      </c>
      <c r="D1580" s="76">
        <v>68.654160000000005</v>
      </c>
      <c r="E1580" s="76">
        <v>68.844382999999993</v>
      </c>
      <c r="F1580" s="76">
        <v>44.596038999999998</v>
      </c>
      <c r="G1580" s="79">
        <v>929000</v>
      </c>
    </row>
    <row r="1581" spans="1:7" x14ac:dyDescent="0.25">
      <c r="A1581" s="1" t="s">
        <v>1704</v>
      </c>
      <c r="B1581" s="76">
        <v>68.778533999999993</v>
      </c>
      <c r="C1581" s="76">
        <v>68.778533999999993</v>
      </c>
      <c r="D1581" s="76">
        <v>67.644547000000003</v>
      </c>
      <c r="E1581" s="76">
        <v>67.842078999999998</v>
      </c>
      <c r="F1581" s="76">
        <v>43.946758000000003</v>
      </c>
      <c r="G1581" s="79">
        <v>885800</v>
      </c>
    </row>
    <row r="1582" spans="1:7" x14ac:dyDescent="0.25">
      <c r="A1582" s="1" t="s">
        <v>1705</v>
      </c>
      <c r="B1582" s="76">
        <v>67.659171999999998</v>
      </c>
      <c r="C1582" s="76">
        <v>68.624900999999994</v>
      </c>
      <c r="D1582" s="76">
        <v>67.600646999999995</v>
      </c>
      <c r="E1582" s="76">
        <v>67.995711999999997</v>
      </c>
      <c r="F1582" s="76">
        <v>44.046298999999998</v>
      </c>
      <c r="G1582" s="79">
        <v>593100</v>
      </c>
    </row>
    <row r="1583" spans="1:7" x14ac:dyDescent="0.25">
      <c r="A1583" s="1" t="s">
        <v>1706</v>
      </c>
      <c r="B1583" s="76">
        <v>68.185935999999998</v>
      </c>
      <c r="C1583" s="76">
        <v>70.666083999999998</v>
      </c>
      <c r="D1583" s="76">
        <v>68.076194999999998</v>
      </c>
      <c r="E1583" s="76">
        <v>70.424660000000003</v>
      </c>
      <c r="F1583" s="76">
        <v>45.619720000000001</v>
      </c>
      <c r="G1583" s="79">
        <v>1210400</v>
      </c>
    </row>
    <row r="1584" spans="1:7" x14ac:dyDescent="0.25">
      <c r="A1584" s="1" t="s">
        <v>1707</v>
      </c>
      <c r="B1584" s="76">
        <v>70.424660000000003</v>
      </c>
      <c r="C1584" s="76">
        <v>71.624495999999994</v>
      </c>
      <c r="D1584" s="76">
        <v>70.051536999999996</v>
      </c>
      <c r="E1584" s="76">
        <v>71.397696999999994</v>
      </c>
      <c r="F1584" s="76">
        <v>46.250022999999999</v>
      </c>
      <c r="G1584" s="79">
        <v>1079200</v>
      </c>
    </row>
    <row r="1585" spans="1:7" x14ac:dyDescent="0.25">
      <c r="A1585" s="1" t="s">
        <v>1708</v>
      </c>
      <c r="B1585" s="76">
        <v>71.397696999999994</v>
      </c>
      <c r="C1585" s="76">
        <v>71.792762999999994</v>
      </c>
      <c r="D1585" s="76">
        <v>70.431976000000006</v>
      </c>
      <c r="E1585" s="76">
        <v>71.112365999999994</v>
      </c>
      <c r="F1585" s="76">
        <v>46.065185999999997</v>
      </c>
      <c r="G1585" s="79">
        <v>747500</v>
      </c>
    </row>
    <row r="1586" spans="1:7" x14ac:dyDescent="0.25">
      <c r="A1586" s="1" t="s">
        <v>1709</v>
      </c>
      <c r="B1586" s="76">
        <v>71.544014000000004</v>
      </c>
      <c r="C1586" s="76">
        <v>71.880554000000004</v>
      </c>
      <c r="D1586" s="76">
        <v>71.346480999999997</v>
      </c>
      <c r="E1586" s="76">
        <v>71.478172000000001</v>
      </c>
      <c r="F1586" s="76">
        <v>46.302154999999999</v>
      </c>
      <c r="G1586" s="79">
        <v>912800</v>
      </c>
    </row>
    <row r="1587" spans="1:7" x14ac:dyDescent="0.25">
      <c r="A1587" s="1" t="s">
        <v>1710</v>
      </c>
      <c r="B1587" s="76">
        <v>71.368431000000001</v>
      </c>
      <c r="C1587" s="76">
        <v>71.434273000000005</v>
      </c>
      <c r="D1587" s="76">
        <v>70.783141999999998</v>
      </c>
      <c r="E1587" s="76">
        <v>70.783141999999998</v>
      </c>
      <c r="F1587" s="76">
        <v>45.851928999999998</v>
      </c>
      <c r="G1587" s="79">
        <v>857000</v>
      </c>
    </row>
    <row r="1588" spans="1:7" x14ac:dyDescent="0.25">
      <c r="A1588" s="1" t="s">
        <v>1711</v>
      </c>
      <c r="B1588" s="76">
        <v>70.709983999999906</v>
      </c>
      <c r="C1588" s="76">
        <v>70.966048999999998</v>
      </c>
      <c r="D1588" s="76">
        <v>69.927161999999996</v>
      </c>
      <c r="E1588" s="76">
        <v>70.117378000000002</v>
      </c>
      <c r="F1588" s="76">
        <v>45.420653999999999</v>
      </c>
      <c r="G1588" s="79">
        <v>885700</v>
      </c>
    </row>
    <row r="1589" spans="1:7" x14ac:dyDescent="0.25">
      <c r="A1589" s="1" t="s">
        <v>1712</v>
      </c>
      <c r="B1589" s="76">
        <v>70.746566999999999</v>
      </c>
      <c r="C1589" s="76">
        <v>70.812407999999905</v>
      </c>
      <c r="D1589" s="76">
        <v>69.758895999999993</v>
      </c>
      <c r="E1589" s="76">
        <v>69.985694999999893</v>
      </c>
      <c r="F1589" s="76">
        <v>45.335353999999903</v>
      </c>
      <c r="G1589" s="79">
        <v>950300</v>
      </c>
    </row>
    <row r="1590" spans="1:7" x14ac:dyDescent="0.25">
      <c r="A1590" s="1" t="s">
        <v>1713</v>
      </c>
      <c r="B1590" s="76">
        <v>69.985694999999893</v>
      </c>
      <c r="C1590" s="76">
        <v>70.746566999999999</v>
      </c>
      <c r="D1590" s="76">
        <v>69.319930999999997</v>
      </c>
      <c r="E1590" s="76">
        <v>70.102744999999999</v>
      </c>
      <c r="F1590" s="76">
        <v>45.411186000000001</v>
      </c>
      <c r="G1590" s="79">
        <v>1049600</v>
      </c>
    </row>
    <row r="1591" spans="1:7" x14ac:dyDescent="0.25">
      <c r="A1591" s="1" t="s">
        <v>1714</v>
      </c>
      <c r="B1591" s="76">
        <v>70.102744999999999</v>
      </c>
      <c r="C1591" s="76">
        <v>70.724616999999995</v>
      </c>
      <c r="D1591" s="76">
        <v>69.722313</v>
      </c>
      <c r="E1591" s="76">
        <v>69.971062000000003</v>
      </c>
      <c r="F1591" s="76">
        <v>45.325885999999997</v>
      </c>
      <c r="G1591" s="79">
        <v>588300</v>
      </c>
    </row>
    <row r="1592" spans="1:7" x14ac:dyDescent="0.25">
      <c r="A1592" s="1" t="s">
        <v>1715</v>
      </c>
      <c r="B1592" s="76">
        <v>69.978378000000006</v>
      </c>
      <c r="C1592" s="76">
        <v>70.219802999999999</v>
      </c>
      <c r="D1592" s="76">
        <v>68.617583999999994</v>
      </c>
      <c r="E1592" s="76">
        <v>68.771216999999993</v>
      </c>
      <c r="F1592" s="76">
        <v>44.548645</v>
      </c>
      <c r="G1592" s="79">
        <v>1319600</v>
      </c>
    </row>
    <row r="1593" spans="1:7" x14ac:dyDescent="0.25">
      <c r="A1593" s="1" t="s">
        <v>1716</v>
      </c>
      <c r="B1593" s="76">
        <v>68.112769999999998</v>
      </c>
      <c r="C1593" s="76">
        <v>68.120086999999998</v>
      </c>
      <c r="D1593" s="76">
        <v>66.869040999999996</v>
      </c>
      <c r="E1593" s="76">
        <v>67.556747000000001</v>
      </c>
      <c r="F1593" s="76">
        <v>43.761944</v>
      </c>
      <c r="G1593" s="79">
        <v>2029300</v>
      </c>
    </row>
    <row r="1594" spans="1:7" x14ac:dyDescent="0.25">
      <c r="A1594" s="1" t="s">
        <v>1717</v>
      </c>
      <c r="B1594" s="76">
        <v>67.081206999999907</v>
      </c>
      <c r="C1594" s="76">
        <v>67.549430999999998</v>
      </c>
      <c r="D1594" s="76">
        <v>66.722717000000003</v>
      </c>
      <c r="E1594" s="76">
        <v>67.059258</v>
      </c>
      <c r="F1594" s="76">
        <v>43.819305</v>
      </c>
      <c r="G1594" s="79">
        <v>878500</v>
      </c>
    </row>
    <row r="1595" spans="1:7" x14ac:dyDescent="0.25">
      <c r="A1595" s="1" t="s">
        <v>1718</v>
      </c>
      <c r="B1595" s="76">
        <v>67.381164999999996</v>
      </c>
      <c r="C1595" s="76">
        <v>68.661475999999993</v>
      </c>
      <c r="D1595" s="76">
        <v>67.344581999999903</v>
      </c>
      <c r="E1595" s="76">
        <v>67.842078999999998</v>
      </c>
      <c r="F1595" s="76">
        <v>44.330849000000001</v>
      </c>
      <c r="G1595" s="79">
        <v>1019200</v>
      </c>
    </row>
    <row r="1596" spans="1:7" x14ac:dyDescent="0.25">
      <c r="A1596" s="1" t="s">
        <v>1719</v>
      </c>
      <c r="B1596" s="76">
        <v>68.244461000000001</v>
      </c>
      <c r="C1596" s="76">
        <v>69.341872999999893</v>
      </c>
      <c r="D1596" s="76">
        <v>68.200568999999902</v>
      </c>
      <c r="E1596" s="76">
        <v>68.624900999999994</v>
      </c>
      <c r="F1596" s="76">
        <v>44.842357999999997</v>
      </c>
      <c r="G1596" s="79">
        <v>573800</v>
      </c>
    </row>
    <row r="1597" spans="1:7" x14ac:dyDescent="0.25">
      <c r="A1597" s="1" t="s">
        <v>1720</v>
      </c>
      <c r="B1597" s="76">
        <v>68.632216999999997</v>
      </c>
      <c r="C1597" s="76">
        <v>69.224815000000007</v>
      </c>
      <c r="D1597" s="76">
        <v>68.441993999999994</v>
      </c>
      <c r="E1597" s="76">
        <v>68.902907999999996</v>
      </c>
      <c r="F1597" s="76">
        <v>45.024020999999998</v>
      </c>
      <c r="G1597" s="79">
        <v>734900</v>
      </c>
    </row>
    <row r="1598" spans="1:7" x14ac:dyDescent="0.25">
      <c r="A1598" s="1" t="s">
        <v>1721</v>
      </c>
      <c r="B1598" s="76">
        <v>68.902907999999996</v>
      </c>
      <c r="C1598" s="76">
        <v>69.041916000000001</v>
      </c>
      <c r="D1598" s="76">
        <v>68.156669999999906</v>
      </c>
      <c r="E1598" s="76">
        <v>68.690742</v>
      </c>
      <c r="F1598" s="76">
        <v>44.885387000000001</v>
      </c>
      <c r="G1598" s="79">
        <v>795100</v>
      </c>
    </row>
    <row r="1599" spans="1:7" x14ac:dyDescent="0.25">
      <c r="A1599" s="1" t="s">
        <v>1722</v>
      </c>
      <c r="B1599" s="76">
        <v>68.690742</v>
      </c>
      <c r="C1599" s="76">
        <v>69.575989000000007</v>
      </c>
      <c r="D1599" s="76">
        <v>68.668792999999994</v>
      </c>
      <c r="E1599" s="76">
        <v>69.239448999999993</v>
      </c>
      <c r="F1599" s="76">
        <v>45.243930999999897</v>
      </c>
      <c r="G1599" s="79">
        <v>871700</v>
      </c>
    </row>
    <row r="1600" spans="1:7" x14ac:dyDescent="0.25">
      <c r="A1600" s="1" t="s">
        <v>1723</v>
      </c>
      <c r="B1600" s="76">
        <v>69.210181999999904</v>
      </c>
      <c r="C1600" s="76">
        <v>69.714995999999999</v>
      </c>
      <c r="D1600" s="76">
        <v>68.559051999999994</v>
      </c>
      <c r="E1600" s="76">
        <v>68.8078</v>
      </c>
      <c r="F1600" s="76">
        <v>44.961875999999997</v>
      </c>
      <c r="G1600" s="79">
        <v>1463100</v>
      </c>
    </row>
    <row r="1601" spans="1:7" x14ac:dyDescent="0.25">
      <c r="A1601" s="1" t="s">
        <v>1724</v>
      </c>
      <c r="B1601" s="76">
        <v>68.624900999999994</v>
      </c>
      <c r="C1601" s="76">
        <v>68.632216999999997</v>
      </c>
      <c r="D1601" s="76">
        <v>67.439689999999999</v>
      </c>
      <c r="E1601" s="76">
        <v>67.776229999999998</v>
      </c>
      <c r="F1601" s="76">
        <v>44.287799999999997</v>
      </c>
      <c r="G1601" s="79">
        <v>1337700</v>
      </c>
    </row>
    <row r="1602" spans="1:7" x14ac:dyDescent="0.25">
      <c r="A1602" s="1" t="s">
        <v>1725</v>
      </c>
      <c r="B1602" s="76">
        <v>67.666488999999999</v>
      </c>
      <c r="C1602" s="76">
        <v>69.268715</v>
      </c>
      <c r="D1602" s="76">
        <v>67.198265000000006</v>
      </c>
      <c r="E1602" s="76">
        <v>69.166290000000004</v>
      </c>
      <c r="F1602" s="76">
        <v>45.196135999999903</v>
      </c>
      <c r="G1602" s="79">
        <v>1035900</v>
      </c>
    </row>
    <row r="1603" spans="1:7" x14ac:dyDescent="0.25">
      <c r="A1603" s="1" t="s">
        <v>1726</v>
      </c>
      <c r="B1603" s="76">
        <v>69.246764999999996</v>
      </c>
      <c r="C1603" s="76">
        <v>69.400406000000004</v>
      </c>
      <c r="D1603" s="76">
        <v>68.339568999999997</v>
      </c>
      <c r="E1603" s="76">
        <v>68.383468999999906</v>
      </c>
      <c r="F1603" s="76">
        <v>44.684604999999998</v>
      </c>
      <c r="G1603" s="79">
        <v>630500</v>
      </c>
    </row>
    <row r="1604" spans="1:7" x14ac:dyDescent="0.25">
      <c r="A1604" s="1" t="s">
        <v>1727</v>
      </c>
      <c r="B1604" s="76">
        <v>67.454323000000002</v>
      </c>
      <c r="C1604" s="76">
        <v>68.105452999999997</v>
      </c>
      <c r="D1604" s="76">
        <v>66.986091999999999</v>
      </c>
      <c r="E1604" s="76">
        <v>67.059258</v>
      </c>
      <c r="F1604" s="76">
        <v>43.819305</v>
      </c>
      <c r="G1604" s="79">
        <v>1069500</v>
      </c>
    </row>
    <row r="1605" spans="1:7" x14ac:dyDescent="0.25">
      <c r="A1605" s="1" t="s">
        <v>1728</v>
      </c>
      <c r="B1605" s="76">
        <v>67.329948000000002</v>
      </c>
      <c r="C1605" s="76">
        <v>67.820128999999994</v>
      </c>
      <c r="D1605" s="76">
        <v>65.881362999999993</v>
      </c>
      <c r="E1605" s="76">
        <v>66.02037</v>
      </c>
      <c r="F1605" s="76">
        <v>43.140456999999998</v>
      </c>
      <c r="G1605" s="79">
        <v>842900</v>
      </c>
    </row>
    <row r="1606" spans="1:7" x14ac:dyDescent="0.25">
      <c r="A1606" s="1" t="s">
        <v>1729</v>
      </c>
      <c r="B1606" s="76">
        <v>66.093536</v>
      </c>
      <c r="C1606" s="76">
        <v>66.773926000000003</v>
      </c>
      <c r="D1606" s="76">
        <v>65.413139000000001</v>
      </c>
      <c r="E1606" s="76">
        <v>65.822838000000004</v>
      </c>
      <c r="F1606" s="76">
        <v>43.011386999999999</v>
      </c>
      <c r="G1606" s="79">
        <v>1209700</v>
      </c>
    </row>
    <row r="1607" spans="1:7" x14ac:dyDescent="0.25">
      <c r="A1607" s="1" t="s">
        <v>1730</v>
      </c>
      <c r="B1607" s="76">
        <v>65.405822999999998</v>
      </c>
      <c r="C1607" s="76">
        <v>65.596039000000005</v>
      </c>
      <c r="D1607" s="76">
        <v>64.549835000000002</v>
      </c>
      <c r="E1607" s="76">
        <v>65.383872999999994</v>
      </c>
      <c r="F1607" s="76">
        <v>42.724536999999998</v>
      </c>
      <c r="G1607" s="79">
        <v>1541500</v>
      </c>
    </row>
    <row r="1608" spans="1:7" x14ac:dyDescent="0.25">
      <c r="A1608" s="1" t="s">
        <v>1731</v>
      </c>
      <c r="B1608" s="76">
        <v>65.991104000000007</v>
      </c>
      <c r="C1608" s="76">
        <v>66.386177000000004</v>
      </c>
      <c r="D1608" s="76">
        <v>65.061965999999998</v>
      </c>
      <c r="E1608" s="76">
        <v>65.200974000000002</v>
      </c>
      <c r="F1608" s="76">
        <v>42.605034000000003</v>
      </c>
      <c r="G1608" s="79">
        <v>928000</v>
      </c>
    </row>
    <row r="1609" spans="1:7" x14ac:dyDescent="0.25">
      <c r="A1609" s="1" t="s">
        <v>1732</v>
      </c>
      <c r="B1609" s="76">
        <v>64.747375000000005</v>
      </c>
      <c r="C1609" s="76">
        <v>65.910629</v>
      </c>
      <c r="D1609" s="76">
        <v>64.425467999999995</v>
      </c>
      <c r="E1609" s="76">
        <v>64.996116999999998</v>
      </c>
      <c r="F1609" s="76">
        <v>42.471160999999903</v>
      </c>
      <c r="G1609" s="79">
        <v>1030300</v>
      </c>
    </row>
    <row r="1610" spans="1:7" x14ac:dyDescent="0.25">
      <c r="A1610" s="1" t="s">
        <v>1733</v>
      </c>
      <c r="B1610" s="76">
        <v>65.405822999999998</v>
      </c>
      <c r="C1610" s="76">
        <v>66.817824999999999</v>
      </c>
      <c r="D1610" s="76">
        <v>65.361923000000004</v>
      </c>
      <c r="E1610" s="76">
        <v>66.569076999999993</v>
      </c>
      <c r="F1610" s="76">
        <v>43.498989000000002</v>
      </c>
      <c r="G1610" s="79">
        <v>826900</v>
      </c>
    </row>
    <row r="1611" spans="1:7" x14ac:dyDescent="0.25">
      <c r="A1611" s="1" t="s">
        <v>1734</v>
      </c>
      <c r="B1611" s="76">
        <v>66.795876000000007</v>
      </c>
      <c r="C1611" s="76">
        <v>67.110466000000002</v>
      </c>
      <c r="D1611" s="76">
        <v>66.393493999999905</v>
      </c>
      <c r="E1611" s="76">
        <v>66.971466000000007</v>
      </c>
      <c r="F1611" s="76">
        <v>43.761947999999997</v>
      </c>
      <c r="G1611" s="79">
        <v>505800</v>
      </c>
    </row>
    <row r="1612" spans="1:7" x14ac:dyDescent="0.25">
      <c r="A1612" s="1" t="s">
        <v>1735</v>
      </c>
      <c r="B1612" s="76">
        <v>66.898300000000006</v>
      </c>
      <c r="C1612" s="76">
        <v>67.359215000000006</v>
      </c>
      <c r="D1612" s="76">
        <v>66.591025999999999</v>
      </c>
      <c r="E1612" s="76">
        <v>66.700767999999997</v>
      </c>
      <c r="F1612" s="76">
        <v>43.585051999999997</v>
      </c>
      <c r="G1612" s="79">
        <v>881000</v>
      </c>
    </row>
    <row r="1613" spans="1:7" x14ac:dyDescent="0.25">
      <c r="A1613" s="1" t="s">
        <v>1736</v>
      </c>
      <c r="B1613" s="76">
        <v>67.103149000000002</v>
      </c>
      <c r="C1613" s="76">
        <v>67.490905999999995</v>
      </c>
      <c r="D1613" s="76">
        <v>64.440093999999903</v>
      </c>
      <c r="E1613" s="76">
        <v>65.764304999999993</v>
      </c>
      <c r="F1613" s="76">
        <v>42.973121999999996</v>
      </c>
      <c r="G1613" s="79">
        <v>3055600</v>
      </c>
    </row>
    <row r="1614" spans="1:7" x14ac:dyDescent="0.25">
      <c r="A1614" s="1" t="s">
        <v>1737</v>
      </c>
      <c r="B1614" s="76">
        <v>65.991104000000007</v>
      </c>
      <c r="C1614" s="76">
        <v>66.810508999999996</v>
      </c>
      <c r="D1614" s="76">
        <v>65.888679999999994</v>
      </c>
      <c r="E1614" s="76">
        <v>66.810508999999996</v>
      </c>
      <c r="F1614" s="76">
        <v>43.656768999999997</v>
      </c>
      <c r="G1614" s="79">
        <v>1345500</v>
      </c>
    </row>
    <row r="1615" spans="1:7" x14ac:dyDescent="0.25">
      <c r="A1615" s="1" t="s">
        <v>1738</v>
      </c>
      <c r="B1615" s="76">
        <v>67.227524000000003</v>
      </c>
      <c r="C1615" s="76">
        <v>68.573684999999998</v>
      </c>
      <c r="D1615" s="76">
        <v>67.110466000000002</v>
      </c>
      <c r="E1615" s="76">
        <v>68.346885999999998</v>
      </c>
      <c r="F1615" s="76">
        <v>44.660702000000001</v>
      </c>
      <c r="G1615" s="79">
        <v>1307600</v>
      </c>
    </row>
    <row r="1616" spans="1:7" x14ac:dyDescent="0.25">
      <c r="A1616" s="1" t="s">
        <v>1739</v>
      </c>
      <c r="B1616" s="76">
        <v>68.163985999999994</v>
      </c>
      <c r="C1616" s="76">
        <v>70.000320000000002</v>
      </c>
      <c r="D1616" s="76">
        <v>68.017662000000001</v>
      </c>
      <c r="E1616" s="76">
        <v>68.361519000000001</v>
      </c>
      <c r="F1616" s="76">
        <v>44.670260999999897</v>
      </c>
      <c r="G1616" s="79">
        <v>1442500</v>
      </c>
    </row>
    <row r="1617" spans="1:7" x14ac:dyDescent="0.25">
      <c r="A1617" s="1" t="s">
        <v>1740</v>
      </c>
      <c r="B1617" s="76">
        <v>68.405417999999997</v>
      </c>
      <c r="C1617" s="76">
        <v>68.763908000000001</v>
      </c>
      <c r="D1617" s="76">
        <v>67.637230000000002</v>
      </c>
      <c r="E1617" s="76">
        <v>68.024979000000002</v>
      </c>
      <c r="F1617" s="76">
        <v>44.450358999999999</v>
      </c>
      <c r="G1617" s="79">
        <v>998500</v>
      </c>
    </row>
    <row r="1618" spans="1:7" x14ac:dyDescent="0.25">
      <c r="A1618" s="1" t="s">
        <v>1741</v>
      </c>
      <c r="B1618" s="76">
        <v>68.024979000000002</v>
      </c>
      <c r="C1618" s="76">
        <v>69.115073999999893</v>
      </c>
      <c r="D1618" s="76">
        <v>67.739654999999999</v>
      </c>
      <c r="E1618" s="76">
        <v>68.654160000000005</v>
      </c>
      <c r="F1618" s="76">
        <v>44.861480999999998</v>
      </c>
      <c r="G1618" s="79">
        <v>806600</v>
      </c>
    </row>
    <row r="1619" spans="1:7" x14ac:dyDescent="0.25">
      <c r="A1619" s="1" t="s">
        <v>1742</v>
      </c>
      <c r="B1619" s="76">
        <v>68.405417999999997</v>
      </c>
      <c r="C1619" s="76">
        <v>68.815117000000001</v>
      </c>
      <c r="D1619" s="76">
        <v>67.498221999999998</v>
      </c>
      <c r="E1619" s="76">
        <v>68.515159999999995</v>
      </c>
      <c r="F1619" s="76">
        <v>44.770653000000003</v>
      </c>
      <c r="G1619" s="79">
        <v>1259100</v>
      </c>
    </row>
    <row r="1620" spans="1:7" x14ac:dyDescent="0.25">
      <c r="A1620" s="1" t="s">
        <v>1743</v>
      </c>
      <c r="B1620" s="76">
        <v>68.771216999999993</v>
      </c>
      <c r="C1620" s="76">
        <v>69.458931000000007</v>
      </c>
      <c r="D1620" s="76">
        <v>68.581001000000001</v>
      </c>
      <c r="E1620" s="76">
        <v>69.246764999999996</v>
      </c>
      <c r="F1620" s="76">
        <v>45.248711</v>
      </c>
      <c r="G1620" s="79">
        <v>953500</v>
      </c>
    </row>
    <row r="1621" spans="1:7" x14ac:dyDescent="0.25">
      <c r="A1621" s="1" t="s">
        <v>1744</v>
      </c>
      <c r="B1621" s="76">
        <v>69.356505999999996</v>
      </c>
      <c r="C1621" s="76">
        <v>69.458931000000007</v>
      </c>
      <c r="D1621" s="76">
        <v>68.793166999999997</v>
      </c>
      <c r="E1621" s="76">
        <v>69.173606999999905</v>
      </c>
      <c r="F1621" s="76">
        <v>45.200904999999999</v>
      </c>
      <c r="G1621" s="79">
        <v>1189900</v>
      </c>
    </row>
    <row r="1622" spans="1:7" x14ac:dyDescent="0.25">
      <c r="A1622" s="1" t="s">
        <v>1745</v>
      </c>
      <c r="B1622" s="76">
        <v>69.173606999999905</v>
      </c>
      <c r="C1622" s="76">
        <v>69.605255</v>
      </c>
      <c r="D1622" s="76">
        <v>68.361519000000001</v>
      </c>
      <c r="E1622" s="76">
        <v>68.610268000000005</v>
      </c>
      <c r="F1622" s="76">
        <v>44.832786999999897</v>
      </c>
      <c r="G1622" s="79">
        <v>1335300</v>
      </c>
    </row>
    <row r="1623" spans="1:7" x14ac:dyDescent="0.25">
      <c r="A1623" s="1" t="s">
        <v>1746</v>
      </c>
      <c r="B1623" s="76">
        <v>68.361519000000001</v>
      </c>
      <c r="C1623" s="76">
        <v>68.866332999999997</v>
      </c>
      <c r="D1623" s="76">
        <v>67.783546000000001</v>
      </c>
      <c r="E1623" s="76">
        <v>68.376152000000005</v>
      </c>
      <c r="F1623" s="76">
        <v>44.679809999999897</v>
      </c>
      <c r="G1623" s="79">
        <v>1087800</v>
      </c>
    </row>
    <row r="1624" spans="1:7" x14ac:dyDescent="0.25">
      <c r="A1624" s="1" t="s">
        <v>1747</v>
      </c>
      <c r="B1624" s="76">
        <v>68.412734999999998</v>
      </c>
      <c r="C1624" s="76">
        <v>69.290665000000004</v>
      </c>
      <c r="D1624" s="76">
        <v>68.361519000000001</v>
      </c>
      <c r="E1624" s="76">
        <v>69.246764999999996</v>
      </c>
      <c r="F1624" s="76">
        <v>45.248711</v>
      </c>
      <c r="G1624" s="79">
        <v>987700</v>
      </c>
    </row>
    <row r="1625" spans="1:7" x14ac:dyDescent="0.25">
      <c r="A1625" s="1" t="s">
        <v>1748</v>
      </c>
      <c r="B1625" s="76">
        <v>69.239448999999993</v>
      </c>
      <c r="C1625" s="76">
        <v>69.678413000000006</v>
      </c>
      <c r="D1625" s="76">
        <v>69.078498999999994</v>
      </c>
      <c r="E1625" s="76">
        <v>69.407721999999893</v>
      </c>
      <c r="F1625" s="76">
        <v>45.353889000000002</v>
      </c>
      <c r="G1625" s="79">
        <v>1067400</v>
      </c>
    </row>
    <row r="1626" spans="1:7" x14ac:dyDescent="0.25">
      <c r="A1626" s="1" t="s">
        <v>1749</v>
      </c>
      <c r="B1626" s="76">
        <v>69.795470999999907</v>
      </c>
      <c r="C1626" s="76">
        <v>70.373443999999907</v>
      </c>
      <c r="D1626" s="76">
        <v>69.575989000000007</v>
      </c>
      <c r="E1626" s="76">
        <v>70.212485999999998</v>
      </c>
      <c r="F1626" s="76">
        <v>45.879761000000002</v>
      </c>
      <c r="G1626" s="79">
        <v>1519200</v>
      </c>
    </row>
    <row r="1627" spans="1:7" x14ac:dyDescent="0.25">
      <c r="A1627" s="1" t="s">
        <v>1750</v>
      </c>
      <c r="B1627" s="76">
        <v>70.088119999999904</v>
      </c>
      <c r="C1627" s="76">
        <v>70.256385999999907</v>
      </c>
      <c r="D1627" s="76">
        <v>68.932175000000001</v>
      </c>
      <c r="E1627" s="76">
        <v>69.195556999999994</v>
      </c>
      <c r="F1627" s="76">
        <v>45.215247999999903</v>
      </c>
      <c r="G1627" s="79">
        <v>1184100</v>
      </c>
    </row>
    <row r="1628" spans="1:7" x14ac:dyDescent="0.25">
      <c r="A1628" s="1" t="s">
        <v>1751</v>
      </c>
      <c r="B1628" s="76">
        <v>69.195556999999994</v>
      </c>
      <c r="C1628" s="76">
        <v>70.073486000000003</v>
      </c>
      <c r="D1628" s="76">
        <v>69.056549000000004</v>
      </c>
      <c r="E1628" s="76">
        <v>69.780838000000003</v>
      </c>
      <c r="F1628" s="76">
        <v>45.597709999999999</v>
      </c>
      <c r="G1628" s="79">
        <v>821000</v>
      </c>
    </row>
    <row r="1629" spans="1:7" x14ac:dyDescent="0.25">
      <c r="A1629" s="1" t="s">
        <v>1752</v>
      </c>
      <c r="B1629" s="76">
        <v>69.780838000000003</v>
      </c>
      <c r="C1629" s="76">
        <v>69.934478999999996</v>
      </c>
      <c r="D1629" s="76">
        <v>69.173606999999905</v>
      </c>
      <c r="E1629" s="76">
        <v>69.261398</v>
      </c>
      <c r="F1629" s="76">
        <v>45.258285999999998</v>
      </c>
      <c r="G1629" s="79">
        <v>801800</v>
      </c>
    </row>
    <row r="1630" spans="1:7" x14ac:dyDescent="0.25">
      <c r="A1630" s="1" t="s">
        <v>1753</v>
      </c>
      <c r="B1630" s="76">
        <v>69.268715</v>
      </c>
      <c r="C1630" s="76">
        <v>69.268715</v>
      </c>
      <c r="D1630" s="76">
        <v>68.427368000000001</v>
      </c>
      <c r="E1630" s="76">
        <v>68.771216999999993</v>
      </c>
      <c r="F1630" s="76">
        <v>44.937984</v>
      </c>
      <c r="G1630" s="79">
        <v>754700</v>
      </c>
    </row>
    <row r="1631" spans="1:7" x14ac:dyDescent="0.25">
      <c r="A1631" s="1" t="s">
        <v>1754</v>
      </c>
      <c r="B1631" s="76">
        <v>68.990700000000004</v>
      </c>
      <c r="C1631" s="76">
        <v>69.693046999999893</v>
      </c>
      <c r="D1631" s="76">
        <v>68.778533999999993</v>
      </c>
      <c r="E1631" s="76">
        <v>69.539412999999996</v>
      </c>
      <c r="F1631" s="76">
        <v>45.439957</v>
      </c>
      <c r="G1631" s="79">
        <v>611000</v>
      </c>
    </row>
    <row r="1632" spans="1:7" x14ac:dyDescent="0.25">
      <c r="A1632" s="1" t="s">
        <v>1755</v>
      </c>
      <c r="B1632" s="76">
        <v>69.546722000000003</v>
      </c>
      <c r="C1632" s="76">
        <v>69.941794999999999</v>
      </c>
      <c r="D1632" s="76">
        <v>69.290665000000004</v>
      </c>
      <c r="E1632" s="76">
        <v>69.612572</v>
      </c>
      <c r="F1632" s="76">
        <v>45.487755</v>
      </c>
      <c r="G1632" s="79">
        <v>703600</v>
      </c>
    </row>
    <row r="1633" spans="1:7" x14ac:dyDescent="0.25">
      <c r="A1633" s="1" t="s">
        <v>1756</v>
      </c>
      <c r="B1633" s="76">
        <v>69.685730000000007</v>
      </c>
      <c r="C1633" s="76">
        <v>70.146644999999907</v>
      </c>
      <c r="D1633" s="76">
        <v>69.612572</v>
      </c>
      <c r="E1633" s="76">
        <v>69.934478999999996</v>
      </c>
      <c r="F1633" s="76">
        <v>45.698096999999997</v>
      </c>
      <c r="G1633" s="79">
        <v>558800</v>
      </c>
    </row>
    <row r="1634" spans="1:7" x14ac:dyDescent="0.25">
      <c r="A1634" s="1" t="s">
        <v>1757</v>
      </c>
      <c r="B1634" s="76">
        <v>70.227118999999902</v>
      </c>
      <c r="C1634" s="76">
        <v>71.170897999999994</v>
      </c>
      <c r="D1634" s="76">
        <v>70.058852999999999</v>
      </c>
      <c r="E1634" s="76">
        <v>71.112365999999994</v>
      </c>
      <c r="F1634" s="76">
        <v>46.467776999999998</v>
      </c>
      <c r="G1634" s="79">
        <v>1209400</v>
      </c>
    </row>
    <row r="1635" spans="1:7" x14ac:dyDescent="0.25">
      <c r="A1635" s="1" t="s">
        <v>1758</v>
      </c>
      <c r="B1635" s="76">
        <v>71.112365999999994</v>
      </c>
      <c r="C1635" s="76">
        <v>71.778130000000004</v>
      </c>
      <c r="D1635" s="76">
        <v>70.746566999999999</v>
      </c>
      <c r="E1635" s="76">
        <v>71.368431000000001</v>
      </c>
      <c r="F1635" s="76">
        <v>46.635089999999998</v>
      </c>
      <c r="G1635" s="79">
        <v>1076300</v>
      </c>
    </row>
    <row r="1636" spans="1:7" x14ac:dyDescent="0.25">
      <c r="A1636" s="1" t="s">
        <v>1759</v>
      </c>
      <c r="B1636" s="76">
        <v>71.946404000000001</v>
      </c>
      <c r="C1636" s="76">
        <v>72.502426</v>
      </c>
      <c r="D1636" s="76">
        <v>71.683021999999994</v>
      </c>
      <c r="E1636" s="76">
        <v>72.421951000000007</v>
      </c>
      <c r="F1636" s="76">
        <v>47.323521</v>
      </c>
      <c r="G1636" s="79">
        <v>432600</v>
      </c>
    </row>
    <row r="1637" spans="1:7" x14ac:dyDescent="0.25">
      <c r="A1637" s="1" t="s">
        <v>1760</v>
      </c>
      <c r="B1637" s="76">
        <v>72.239043999999893</v>
      </c>
      <c r="C1637" s="76">
        <v>72.597533999999996</v>
      </c>
      <c r="D1637" s="76">
        <v>71.639129999999994</v>
      </c>
      <c r="E1637" s="76">
        <v>72.282944000000001</v>
      </c>
      <c r="F1637" s="76">
        <v>47.232677000000002</v>
      </c>
      <c r="G1637" s="79">
        <v>747300</v>
      </c>
    </row>
    <row r="1638" spans="1:7" x14ac:dyDescent="0.25">
      <c r="A1638" s="1" t="s">
        <v>1761</v>
      </c>
      <c r="B1638" s="76">
        <v>72.282944000000001</v>
      </c>
      <c r="C1638" s="76">
        <v>72.465843000000007</v>
      </c>
      <c r="D1638" s="76">
        <v>71.756186999999997</v>
      </c>
      <c r="E1638" s="76">
        <v>72.100037</v>
      </c>
      <c r="F1638" s="76">
        <v>47.113163</v>
      </c>
      <c r="G1638" s="79">
        <v>760300</v>
      </c>
    </row>
    <row r="1639" spans="1:7" x14ac:dyDescent="0.25">
      <c r="A1639" s="1" t="s">
        <v>1762</v>
      </c>
      <c r="B1639" s="76">
        <v>72.063461000000004</v>
      </c>
      <c r="C1639" s="76">
        <v>72.882857999999999</v>
      </c>
      <c r="D1639" s="76">
        <v>71.756186999999997</v>
      </c>
      <c r="E1639" s="76">
        <v>71.953719999999905</v>
      </c>
      <c r="F1639" s="76">
        <v>47.017550999999997</v>
      </c>
      <c r="G1639" s="79">
        <v>632400</v>
      </c>
    </row>
    <row r="1640" spans="1:7" x14ac:dyDescent="0.25">
      <c r="A1640" s="1" t="s">
        <v>1763</v>
      </c>
      <c r="B1640" s="76">
        <v>71.961037000000005</v>
      </c>
      <c r="C1640" s="76">
        <v>72.904808000000003</v>
      </c>
      <c r="D1640" s="76">
        <v>71.961037000000005</v>
      </c>
      <c r="E1640" s="76">
        <v>72.904808000000003</v>
      </c>
      <c r="F1640" s="76">
        <v>47.639026999999999</v>
      </c>
      <c r="G1640" s="79">
        <v>527500</v>
      </c>
    </row>
    <row r="1641" spans="1:7" x14ac:dyDescent="0.25">
      <c r="A1641" s="1" t="s">
        <v>1764</v>
      </c>
      <c r="B1641" s="76">
        <v>72.926757999999893</v>
      </c>
      <c r="C1641" s="76">
        <v>73.160872999999995</v>
      </c>
      <c r="D1641" s="76">
        <v>72.575583999999907</v>
      </c>
      <c r="E1641" s="76">
        <v>72.897491000000002</v>
      </c>
      <c r="F1641" s="76">
        <v>47.634253999999999</v>
      </c>
      <c r="G1641" s="79">
        <v>687800</v>
      </c>
    </row>
    <row r="1642" spans="1:7" x14ac:dyDescent="0.25">
      <c r="A1642" s="1" t="s">
        <v>1765</v>
      </c>
      <c r="B1642" s="76">
        <v>73.160872999999995</v>
      </c>
      <c r="C1642" s="76">
        <v>73.570571999999999</v>
      </c>
      <c r="D1642" s="76">
        <v>73.043816000000007</v>
      </c>
      <c r="E1642" s="76">
        <v>73.570571999999999</v>
      </c>
      <c r="F1642" s="76">
        <v>48.074069999999999</v>
      </c>
      <c r="G1642" s="79">
        <v>947800</v>
      </c>
    </row>
    <row r="1643" spans="1:7" x14ac:dyDescent="0.25">
      <c r="A1643" s="1" t="s">
        <v>1766</v>
      </c>
      <c r="B1643" s="76">
        <v>73.585205000000002</v>
      </c>
      <c r="C1643" s="76">
        <v>73.980277999999998</v>
      </c>
      <c r="D1643" s="76">
        <v>72.860916000000003</v>
      </c>
      <c r="E1643" s="76">
        <v>73.007232999999999</v>
      </c>
      <c r="F1643" s="76">
        <v>47.705967000000001</v>
      </c>
      <c r="G1643" s="79">
        <v>1395500</v>
      </c>
    </row>
    <row r="1644" spans="1:7" x14ac:dyDescent="0.25">
      <c r="A1644" s="1" t="s">
        <v>1767</v>
      </c>
      <c r="B1644" s="76">
        <v>72.999915999999999</v>
      </c>
      <c r="C1644" s="76">
        <v>73.102340999999996</v>
      </c>
      <c r="D1644" s="76">
        <v>72.421951000000007</v>
      </c>
      <c r="E1644" s="76">
        <v>72.568268000000003</v>
      </c>
      <c r="F1644" s="76">
        <v>47.419139999999999</v>
      </c>
      <c r="G1644" s="79">
        <v>1642900</v>
      </c>
    </row>
    <row r="1645" spans="1:7" x14ac:dyDescent="0.25">
      <c r="A1645" s="1" t="s">
        <v>1768</v>
      </c>
      <c r="B1645" s="76">
        <v>72.707274999999996</v>
      </c>
      <c r="C1645" s="76">
        <v>72.999915999999999</v>
      </c>
      <c r="D1645" s="76">
        <v>72.546317999999999</v>
      </c>
      <c r="E1645" s="76">
        <v>72.743857999999904</v>
      </c>
      <c r="F1645" s="76">
        <v>47.533870999999998</v>
      </c>
      <c r="G1645" s="79">
        <v>848300</v>
      </c>
    </row>
    <row r="1646" spans="1:7" x14ac:dyDescent="0.25">
      <c r="A1646" s="1" t="s">
        <v>1769</v>
      </c>
      <c r="B1646" s="76">
        <v>72.838965999999999</v>
      </c>
      <c r="C1646" s="76">
        <v>73.577888000000002</v>
      </c>
      <c r="D1646" s="76">
        <v>72.736542</v>
      </c>
      <c r="E1646" s="76">
        <v>73.577888000000002</v>
      </c>
      <c r="F1646" s="76">
        <v>48.078850000000003</v>
      </c>
      <c r="G1646" s="79">
        <v>757900</v>
      </c>
    </row>
    <row r="1647" spans="1:7" x14ac:dyDescent="0.25">
      <c r="A1647" s="1" t="s">
        <v>1770</v>
      </c>
      <c r="B1647" s="76">
        <v>73.804687999999999</v>
      </c>
      <c r="C1647" s="76">
        <v>75.728820999999996</v>
      </c>
      <c r="D1647" s="76">
        <v>73.687629999999999</v>
      </c>
      <c r="E1647" s="76">
        <v>75.721503999999996</v>
      </c>
      <c r="F1647" s="76">
        <v>49.479579999999999</v>
      </c>
      <c r="G1647" s="79">
        <v>915100</v>
      </c>
    </row>
    <row r="1648" spans="1:7" x14ac:dyDescent="0.25">
      <c r="A1648" s="1" t="s">
        <v>1771</v>
      </c>
      <c r="B1648" s="76">
        <v>75.801979000000003</v>
      </c>
      <c r="C1648" s="76">
        <v>76.072677999999996</v>
      </c>
      <c r="D1648" s="76">
        <v>75.099639999999994</v>
      </c>
      <c r="E1648" s="76">
        <v>75.136215000000007</v>
      </c>
      <c r="F1648" s="76">
        <v>49.097136999999996</v>
      </c>
      <c r="G1648" s="79">
        <v>907800</v>
      </c>
    </row>
    <row r="1649" spans="1:7" x14ac:dyDescent="0.25">
      <c r="A1649" s="1" t="s">
        <v>1772</v>
      </c>
      <c r="B1649" s="76">
        <v>75.502021999999997</v>
      </c>
      <c r="C1649" s="76">
        <v>75.545920999999893</v>
      </c>
      <c r="D1649" s="76">
        <v>74.002219999999994</v>
      </c>
      <c r="E1649" s="76">
        <v>74.338759999999994</v>
      </c>
      <c r="F1649" s="76">
        <v>48.576034999999997</v>
      </c>
      <c r="G1649" s="79">
        <v>1134600</v>
      </c>
    </row>
    <row r="1650" spans="1:7" x14ac:dyDescent="0.25">
      <c r="A1650" s="1" t="s">
        <v>1773</v>
      </c>
      <c r="B1650" s="76">
        <v>74.777725000000004</v>
      </c>
      <c r="C1650" s="76">
        <v>75.575180000000003</v>
      </c>
      <c r="D1650" s="76">
        <v>74.528983999999994</v>
      </c>
      <c r="E1650" s="76">
        <v>75.575180000000003</v>
      </c>
      <c r="F1650" s="76">
        <v>49.383972</v>
      </c>
      <c r="G1650" s="79">
        <v>790200</v>
      </c>
    </row>
    <row r="1651" spans="1:7" x14ac:dyDescent="0.25">
      <c r="A1651" s="1" t="s">
        <v>1774</v>
      </c>
      <c r="B1651" s="76">
        <v>75.758087000000003</v>
      </c>
      <c r="C1651" s="76">
        <v>75.97757</v>
      </c>
      <c r="D1651" s="76">
        <v>74.989898999999994</v>
      </c>
      <c r="E1651" s="76">
        <v>75.684921000000003</v>
      </c>
      <c r="F1651" s="76">
        <v>49.455661999999997</v>
      </c>
      <c r="G1651" s="79">
        <v>826900</v>
      </c>
    </row>
    <row r="1652" spans="1:7" x14ac:dyDescent="0.25">
      <c r="A1652" s="1" t="s">
        <v>1775</v>
      </c>
      <c r="B1652" s="76">
        <v>75.692238000000003</v>
      </c>
      <c r="C1652" s="76">
        <v>76.592117000000002</v>
      </c>
      <c r="D1652" s="76">
        <v>75.245956000000007</v>
      </c>
      <c r="E1652" s="76">
        <v>75.809296000000003</v>
      </c>
      <c r="F1652" s="76">
        <v>49.536941999999897</v>
      </c>
      <c r="G1652" s="79">
        <v>852500</v>
      </c>
    </row>
    <row r="1653" spans="1:7" x14ac:dyDescent="0.25">
      <c r="A1653" s="1" t="s">
        <v>1776</v>
      </c>
      <c r="B1653" s="76">
        <v>76.138518999999903</v>
      </c>
      <c r="C1653" s="76">
        <v>76.672591999999995</v>
      </c>
      <c r="D1653" s="76">
        <v>75.443489</v>
      </c>
      <c r="E1653" s="76">
        <v>75.531288000000004</v>
      </c>
      <c r="F1653" s="76">
        <v>49.355288999999999</v>
      </c>
      <c r="G1653" s="79">
        <v>549700</v>
      </c>
    </row>
    <row r="1654" spans="1:7" x14ac:dyDescent="0.25">
      <c r="A1654" s="1" t="s">
        <v>1777</v>
      </c>
      <c r="B1654" s="76">
        <v>76.262893999999903</v>
      </c>
      <c r="C1654" s="76">
        <v>77.031081999999998</v>
      </c>
      <c r="D1654" s="76">
        <v>75.940986999999893</v>
      </c>
      <c r="E1654" s="76">
        <v>76.892075000000006</v>
      </c>
      <c r="F1654" s="76">
        <v>50.244484</v>
      </c>
      <c r="G1654" s="79">
        <v>835300</v>
      </c>
    </row>
    <row r="1655" spans="1:7" x14ac:dyDescent="0.25">
      <c r="A1655" s="1" t="s">
        <v>1778</v>
      </c>
      <c r="B1655" s="76">
        <v>76.892075000000006</v>
      </c>
      <c r="C1655" s="76">
        <v>77.074981999999906</v>
      </c>
      <c r="D1655" s="76">
        <v>75.962935999999999</v>
      </c>
      <c r="E1655" s="76">
        <v>76.489693000000003</v>
      </c>
      <c r="F1655" s="76">
        <v>49.981537000000003</v>
      </c>
      <c r="G1655" s="79">
        <v>764000</v>
      </c>
    </row>
    <row r="1656" spans="1:7" x14ac:dyDescent="0.25">
      <c r="A1656" s="1" t="s">
        <v>1779</v>
      </c>
      <c r="B1656" s="76">
        <v>76.489693000000003</v>
      </c>
      <c r="C1656" s="76">
        <v>76.965239999999994</v>
      </c>
      <c r="D1656" s="76">
        <v>75.494704999999996</v>
      </c>
      <c r="E1656" s="76">
        <v>76.277527000000006</v>
      </c>
      <c r="F1656" s="76">
        <v>49.842906999999997</v>
      </c>
      <c r="G1656" s="79">
        <v>1161500</v>
      </c>
    </row>
    <row r="1657" spans="1:7" x14ac:dyDescent="0.25">
      <c r="A1657" s="1" t="s">
        <v>1780</v>
      </c>
      <c r="B1657" s="76">
        <v>75.904404</v>
      </c>
      <c r="C1657" s="76">
        <v>75.911719999999903</v>
      </c>
      <c r="D1657" s="76">
        <v>74.624092000000005</v>
      </c>
      <c r="E1657" s="76">
        <v>74.719200000000001</v>
      </c>
      <c r="F1657" s="76">
        <v>48.824638</v>
      </c>
      <c r="G1657" s="79">
        <v>1250900</v>
      </c>
    </row>
    <row r="1658" spans="1:7" x14ac:dyDescent="0.25">
      <c r="A1658" s="1" t="s">
        <v>1781</v>
      </c>
      <c r="B1658" s="76">
        <v>74.558243000000004</v>
      </c>
      <c r="C1658" s="76">
        <v>75.911719999999903</v>
      </c>
      <c r="D1658" s="76">
        <v>73.929062000000002</v>
      </c>
      <c r="E1658" s="76">
        <v>75.721503999999996</v>
      </c>
      <c r="F1658" s="76">
        <v>49.479579999999999</v>
      </c>
      <c r="G1658" s="79">
        <v>1769400</v>
      </c>
    </row>
    <row r="1659" spans="1:7" x14ac:dyDescent="0.25">
      <c r="A1659" s="1" t="s">
        <v>1782</v>
      </c>
      <c r="B1659" s="76">
        <v>76.453109999999995</v>
      </c>
      <c r="C1659" s="76">
        <v>77.499313000000001</v>
      </c>
      <c r="D1659" s="76">
        <v>76.453109999999995</v>
      </c>
      <c r="E1659" s="76">
        <v>76.994499000000005</v>
      </c>
      <c r="F1659" s="76">
        <v>50.311405000000001</v>
      </c>
      <c r="G1659" s="79">
        <v>1405400</v>
      </c>
    </row>
    <row r="1660" spans="1:7" x14ac:dyDescent="0.25">
      <c r="A1660" s="1" t="s">
        <v>1783</v>
      </c>
      <c r="B1660" s="76">
        <v>76.409217999999996</v>
      </c>
      <c r="C1660" s="76">
        <v>76.453109999999995</v>
      </c>
      <c r="D1660" s="76">
        <v>74.997208000000001</v>
      </c>
      <c r="E1660" s="76">
        <v>75.333748</v>
      </c>
      <c r="F1660" s="76">
        <v>49.603270999999999</v>
      </c>
      <c r="G1660" s="79">
        <v>1077100</v>
      </c>
    </row>
    <row r="1661" spans="1:7" x14ac:dyDescent="0.25">
      <c r="A1661" s="1" t="s">
        <v>1784</v>
      </c>
      <c r="B1661" s="76">
        <v>75.319121999999993</v>
      </c>
      <c r="C1661" s="76">
        <v>75.333748</v>
      </c>
      <c r="D1661" s="76">
        <v>73.994904000000005</v>
      </c>
      <c r="E1661" s="76">
        <v>74.068068999999994</v>
      </c>
      <c r="F1661" s="76">
        <v>48.769894000000001</v>
      </c>
      <c r="G1661" s="79">
        <v>975500</v>
      </c>
    </row>
    <row r="1662" spans="1:7" x14ac:dyDescent="0.25">
      <c r="A1662" s="1" t="s">
        <v>1785</v>
      </c>
      <c r="B1662" s="76">
        <v>74.733832999999905</v>
      </c>
      <c r="C1662" s="76">
        <v>74.755782999999994</v>
      </c>
      <c r="D1662" s="76">
        <v>73.621787999999995</v>
      </c>
      <c r="E1662" s="76">
        <v>74.038803000000001</v>
      </c>
      <c r="F1662" s="76">
        <v>48.750617999999903</v>
      </c>
      <c r="G1662" s="79">
        <v>1324700</v>
      </c>
    </row>
    <row r="1663" spans="1:7" x14ac:dyDescent="0.25">
      <c r="A1663" s="1" t="s">
        <v>1786</v>
      </c>
      <c r="B1663" s="76">
        <v>74.111960999999994</v>
      </c>
      <c r="C1663" s="76">
        <v>74.258285999999998</v>
      </c>
      <c r="D1663" s="76">
        <v>73.351089000000002</v>
      </c>
      <c r="E1663" s="76">
        <v>73.921745000000001</v>
      </c>
      <c r="F1663" s="76">
        <v>48.673549999999999</v>
      </c>
      <c r="G1663" s="79">
        <v>777500</v>
      </c>
    </row>
    <row r="1664" spans="1:7" x14ac:dyDescent="0.25">
      <c r="A1664" s="1" t="s">
        <v>1787</v>
      </c>
      <c r="B1664" s="76">
        <v>73.819321000000002</v>
      </c>
      <c r="C1664" s="76">
        <v>74.082702999999995</v>
      </c>
      <c r="D1664" s="76">
        <v>73.087715000000003</v>
      </c>
      <c r="E1664" s="76">
        <v>73.343772999999999</v>
      </c>
      <c r="F1664" s="76">
        <v>48.29298</v>
      </c>
      <c r="G1664" s="79">
        <v>696300</v>
      </c>
    </row>
    <row r="1665" spans="1:7" x14ac:dyDescent="0.25">
      <c r="A1665" s="1" t="s">
        <v>1788</v>
      </c>
      <c r="B1665" s="76">
        <v>73.965644999999995</v>
      </c>
      <c r="C1665" s="76">
        <v>74.982581999999994</v>
      </c>
      <c r="D1665" s="76">
        <v>73.753478999999999</v>
      </c>
      <c r="E1665" s="76">
        <v>74.250968999999998</v>
      </c>
      <c r="F1665" s="76">
        <v>48.890326999999999</v>
      </c>
      <c r="G1665" s="79">
        <v>777000</v>
      </c>
    </row>
    <row r="1666" spans="1:7" x14ac:dyDescent="0.25">
      <c r="A1666" s="1" t="s">
        <v>1789</v>
      </c>
      <c r="B1666" s="76">
        <v>75.136215000000007</v>
      </c>
      <c r="C1666" s="76">
        <v>75.333748</v>
      </c>
      <c r="D1666" s="76">
        <v>74.346076999999994</v>
      </c>
      <c r="E1666" s="76">
        <v>74.719200000000001</v>
      </c>
      <c r="F1666" s="76">
        <v>49.198615999999902</v>
      </c>
      <c r="G1666" s="79">
        <v>632600</v>
      </c>
    </row>
    <row r="1667" spans="1:7" x14ac:dyDescent="0.25">
      <c r="A1667" s="1" t="s">
        <v>1790</v>
      </c>
      <c r="B1667" s="76">
        <v>75.962935999999999</v>
      </c>
      <c r="C1667" s="76">
        <v>75.962935999999999</v>
      </c>
      <c r="D1667" s="76">
        <v>74.777725000000004</v>
      </c>
      <c r="E1667" s="76">
        <v>75.114265000000003</v>
      </c>
      <c r="F1667" s="76">
        <v>49.458759000000001</v>
      </c>
      <c r="G1667" s="79">
        <v>760300</v>
      </c>
    </row>
    <row r="1668" spans="1:7" x14ac:dyDescent="0.25">
      <c r="A1668" s="1" t="s">
        <v>1791</v>
      </c>
      <c r="B1668" s="76">
        <v>75.355698000000004</v>
      </c>
      <c r="C1668" s="76">
        <v>75.838561999999996</v>
      </c>
      <c r="D1668" s="76">
        <v>74.536300999999995</v>
      </c>
      <c r="E1668" s="76">
        <v>75.721503999999996</v>
      </c>
      <c r="F1668" s="76">
        <v>49.858604</v>
      </c>
      <c r="G1668" s="79">
        <v>1481800</v>
      </c>
    </row>
    <row r="1669" spans="1:7" x14ac:dyDescent="0.25">
      <c r="A1669" s="1" t="s">
        <v>1792</v>
      </c>
      <c r="B1669" s="76">
        <v>75.838561999999996</v>
      </c>
      <c r="C1669" s="76">
        <v>76.218993999999995</v>
      </c>
      <c r="D1669" s="76">
        <v>75.567863000000003</v>
      </c>
      <c r="E1669" s="76">
        <v>76.197051999999999</v>
      </c>
      <c r="F1669" s="76">
        <v>50.171706999999998</v>
      </c>
      <c r="G1669" s="79">
        <v>879500</v>
      </c>
    </row>
    <row r="1670" spans="1:7" x14ac:dyDescent="0.25">
      <c r="A1670" s="1" t="s">
        <v>1793</v>
      </c>
      <c r="B1670" s="76">
        <v>76.153152000000006</v>
      </c>
      <c r="C1670" s="76">
        <v>76.892075000000006</v>
      </c>
      <c r="D1670" s="76">
        <v>75.889770999999996</v>
      </c>
      <c r="E1670" s="76">
        <v>76.855498999999995</v>
      </c>
      <c r="F1670" s="76">
        <v>50.605286</v>
      </c>
      <c r="G1670" s="79">
        <v>835200</v>
      </c>
    </row>
    <row r="1671" spans="1:7" x14ac:dyDescent="0.25">
      <c r="A1671" s="1" t="s">
        <v>1794</v>
      </c>
      <c r="B1671" s="76">
        <v>76.892075000000006</v>
      </c>
      <c r="C1671" s="76">
        <v>77.491996999999998</v>
      </c>
      <c r="D1671" s="76">
        <v>76.511641999999995</v>
      </c>
      <c r="E1671" s="76">
        <v>77.491996999999998</v>
      </c>
      <c r="F1671" s="76">
        <v>51.024380000000001</v>
      </c>
      <c r="G1671" s="79">
        <v>1044500</v>
      </c>
    </row>
    <row r="1672" spans="1:7" x14ac:dyDescent="0.25">
      <c r="A1672" s="1" t="s">
        <v>1795</v>
      </c>
      <c r="B1672" s="76">
        <v>77.916327999999993</v>
      </c>
      <c r="C1672" s="76">
        <v>77.916327999999993</v>
      </c>
      <c r="D1672" s="76">
        <v>76.409217999999996</v>
      </c>
      <c r="E1672" s="76">
        <v>76.482376000000002</v>
      </c>
      <c r="F1672" s="76">
        <v>50.359589</v>
      </c>
      <c r="G1672" s="79">
        <v>569500</v>
      </c>
    </row>
    <row r="1673" spans="1:7" x14ac:dyDescent="0.25">
      <c r="A1673" s="1" t="s">
        <v>1796</v>
      </c>
      <c r="B1673" s="76">
        <v>76.489693000000003</v>
      </c>
      <c r="C1673" s="76">
        <v>76.782332999999994</v>
      </c>
      <c r="D1673" s="76">
        <v>75.728820999999996</v>
      </c>
      <c r="E1673" s="76">
        <v>76.716492000000002</v>
      </c>
      <c r="F1673" s="76">
        <v>50.513740999999897</v>
      </c>
      <c r="G1673" s="79">
        <v>700000</v>
      </c>
    </row>
    <row r="1674" spans="1:7" x14ac:dyDescent="0.25">
      <c r="A1674" s="1" t="s">
        <v>1797</v>
      </c>
      <c r="B1674" s="76">
        <v>76.716492000000002</v>
      </c>
      <c r="C1674" s="76">
        <v>76.899390999999994</v>
      </c>
      <c r="D1674" s="76">
        <v>76.270209999999906</v>
      </c>
      <c r="E1674" s="76">
        <v>76.504326000000006</v>
      </c>
      <c r="F1674" s="76">
        <v>50.374023000000001</v>
      </c>
      <c r="G1674" s="79">
        <v>361200</v>
      </c>
    </row>
    <row r="1675" spans="1:7" x14ac:dyDescent="0.25">
      <c r="A1675" s="1" t="s">
        <v>1798</v>
      </c>
      <c r="B1675" s="76">
        <v>76.504326000000006</v>
      </c>
      <c r="C1675" s="76">
        <v>77.806586999999993</v>
      </c>
      <c r="D1675" s="76">
        <v>76.226310999999995</v>
      </c>
      <c r="E1675" s="76">
        <v>77.477363999999994</v>
      </c>
      <c r="F1675" s="76">
        <v>51.014728999999903</v>
      </c>
      <c r="G1675" s="79">
        <v>845500</v>
      </c>
    </row>
    <row r="1676" spans="1:7" x14ac:dyDescent="0.25">
      <c r="A1676" s="1" t="s">
        <v>1799</v>
      </c>
      <c r="B1676" s="76">
        <v>77.221298000000004</v>
      </c>
      <c r="C1676" s="76">
        <v>77.543212999999994</v>
      </c>
      <c r="D1676" s="76">
        <v>76.723807999999906</v>
      </c>
      <c r="E1676" s="76">
        <v>77.250564999999995</v>
      </c>
      <c r="F1676" s="76">
        <v>50.865386999999998</v>
      </c>
      <c r="G1676" s="79">
        <v>568000</v>
      </c>
    </row>
    <row r="1677" spans="1:7" x14ac:dyDescent="0.25">
      <c r="A1677" s="1" t="s">
        <v>1800</v>
      </c>
      <c r="B1677" s="76">
        <v>77.352988999999994</v>
      </c>
      <c r="C1677" s="76">
        <v>77.974861000000004</v>
      </c>
      <c r="D1677" s="76">
        <v>77.118874000000005</v>
      </c>
      <c r="E1677" s="76">
        <v>77.733429000000001</v>
      </c>
      <c r="F1677" s="76">
        <v>51.183349999999997</v>
      </c>
      <c r="G1677" s="79">
        <v>509100</v>
      </c>
    </row>
    <row r="1678" spans="1:7" x14ac:dyDescent="0.25">
      <c r="A1678" s="1" t="s">
        <v>1801</v>
      </c>
      <c r="B1678" s="76">
        <v>77.916327999999993</v>
      </c>
      <c r="C1678" s="76">
        <v>78.069969</v>
      </c>
      <c r="D1678" s="76">
        <v>77.360305999999994</v>
      </c>
      <c r="E1678" s="76">
        <v>77.484679999999997</v>
      </c>
      <c r="F1678" s="76">
        <v>51.019542999999999</v>
      </c>
      <c r="G1678" s="79">
        <v>495000</v>
      </c>
    </row>
    <row r="1679" spans="1:7" x14ac:dyDescent="0.25">
      <c r="A1679" s="1" t="s">
        <v>1802</v>
      </c>
      <c r="B1679" s="76">
        <v>77.770004</v>
      </c>
      <c r="C1679" s="76">
        <v>78.077286000000001</v>
      </c>
      <c r="D1679" s="76">
        <v>77.535895999999994</v>
      </c>
      <c r="E1679" s="76">
        <v>77.762694999999994</v>
      </c>
      <c r="F1679" s="76">
        <v>51.202618000000001</v>
      </c>
      <c r="G1679" s="79">
        <v>566700</v>
      </c>
    </row>
    <row r="1680" spans="1:7" x14ac:dyDescent="0.25">
      <c r="A1680" s="1" t="s">
        <v>1803</v>
      </c>
      <c r="B1680" s="76">
        <v>77.762694999999994</v>
      </c>
      <c r="C1680" s="76">
        <v>78.34066</v>
      </c>
      <c r="D1680" s="76">
        <v>77.609054999999998</v>
      </c>
      <c r="E1680" s="76">
        <v>78.230919</v>
      </c>
      <c r="F1680" s="76">
        <v>51.510921000000003</v>
      </c>
      <c r="G1680" s="79">
        <v>553900</v>
      </c>
    </row>
    <row r="1681" spans="1:7" x14ac:dyDescent="0.25">
      <c r="A1681" s="1" t="s">
        <v>1804</v>
      </c>
      <c r="B1681" s="76">
        <v>78.062652999999997</v>
      </c>
      <c r="C1681" s="76">
        <v>78.245552000000004</v>
      </c>
      <c r="D1681" s="76">
        <v>77.565155000000004</v>
      </c>
      <c r="E1681" s="76">
        <v>77.616371000000001</v>
      </c>
      <c r="F1681" s="76">
        <v>51.106262000000001</v>
      </c>
      <c r="G1681" s="79">
        <v>683300</v>
      </c>
    </row>
    <row r="1682" spans="1:7" x14ac:dyDescent="0.25">
      <c r="A1682" s="1" t="s">
        <v>1805</v>
      </c>
      <c r="B1682" s="76">
        <v>77.374938999999998</v>
      </c>
      <c r="C1682" s="76">
        <v>77.499313000000001</v>
      </c>
      <c r="D1682" s="76">
        <v>76.679908999999995</v>
      </c>
      <c r="E1682" s="76">
        <v>76.826233000000002</v>
      </c>
      <c r="F1682" s="76">
        <v>50.585987000000003</v>
      </c>
      <c r="G1682" s="79">
        <v>605900</v>
      </c>
    </row>
    <row r="1683" spans="1:7" x14ac:dyDescent="0.25">
      <c r="A1683" s="1" t="s">
        <v>1806</v>
      </c>
      <c r="B1683" s="76">
        <v>77.096930999999998</v>
      </c>
      <c r="C1683" s="76">
        <v>78.223602</v>
      </c>
      <c r="D1683" s="76">
        <v>76.028778000000003</v>
      </c>
      <c r="E1683" s="76">
        <v>78.069969</v>
      </c>
      <c r="F1683" s="76">
        <v>51.404933999999997</v>
      </c>
      <c r="G1683" s="79">
        <v>823000</v>
      </c>
    </row>
    <row r="1684" spans="1:7" x14ac:dyDescent="0.25">
      <c r="A1684" s="1" t="s">
        <v>1807</v>
      </c>
      <c r="B1684" s="76">
        <v>77.733429000000001</v>
      </c>
      <c r="C1684" s="76">
        <v>78.208977000000004</v>
      </c>
      <c r="D1684" s="76">
        <v>77.045715000000001</v>
      </c>
      <c r="E1684" s="76">
        <v>78.208977000000004</v>
      </c>
      <c r="F1684" s="76">
        <v>51.496468</v>
      </c>
      <c r="G1684" s="79">
        <v>884000</v>
      </c>
    </row>
    <row r="1685" spans="1:7" x14ac:dyDescent="0.25">
      <c r="A1685" s="1" t="s">
        <v>1808</v>
      </c>
      <c r="B1685" s="76">
        <v>77.770004</v>
      </c>
      <c r="C1685" s="76">
        <v>78.984482</v>
      </c>
      <c r="D1685" s="76">
        <v>77.557838000000004</v>
      </c>
      <c r="E1685" s="76">
        <v>78.779624999999996</v>
      </c>
      <c r="F1685" s="76">
        <v>51.872199999999999</v>
      </c>
      <c r="G1685" s="79">
        <v>1018500</v>
      </c>
    </row>
    <row r="1686" spans="1:7" x14ac:dyDescent="0.25">
      <c r="A1686" s="1" t="s">
        <v>1809</v>
      </c>
      <c r="B1686" s="76">
        <v>78.903998999999999</v>
      </c>
      <c r="C1686" s="76">
        <v>80.550117</v>
      </c>
      <c r="D1686" s="76">
        <v>78.538200000000003</v>
      </c>
      <c r="E1686" s="76">
        <v>80.096526999999995</v>
      </c>
      <c r="F1686" s="76">
        <v>52.739303999999997</v>
      </c>
      <c r="G1686" s="79">
        <v>920500</v>
      </c>
    </row>
    <row r="1687" spans="1:7" x14ac:dyDescent="0.25">
      <c r="A1687" s="1" t="s">
        <v>1810</v>
      </c>
      <c r="B1687" s="76">
        <v>79.745354000000006</v>
      </c>
      <c r="C1687" s="76">
        <v>79.913619999999995</v>
      </c>
      <c r="D1687" s="76">
        <v>79.306388999999996</v>
      </c>
      <c r="E1687" s="76">
        <v>79.745354000000006</v>
      </c>
      <c r="F1687" s="76">
        <v>52.508082999999999</v>
      </c>
      <c r="G1687" s="79">
        <v>529700</v>
      </c>
    </row>
    <row r="1688" spans="1:7" x14ac:dyDescent="0.25">
      <c r="A1688" s="1" t="s">
        <v>1811</v>
      </c>
      <c r="B1688" s="76">
        <v>80.323325999999994</v>
      </c>
      <c r="C1688" s="76">
        <v>80.476958999999994</v>
      </c>
      <c r="D1688" s="76">
        <v>79.972153000000006</v>
      </c>
      <c r="E1688" s="76">
        <v>80.308693000000005</v>
      </c>
      <c r="F1688" s="76">
        <v>52.879004999999999</v>
      </c>
      <c r="G1688" s="79">
        <v>1268700</v>
      </c>
    </row>
    <row r="1689" spans="1:7" x14ac:dyDescent="0.25">
      <c r="A1689" s="1" t="s">
        <v>1812</v>
      </c>
      <c r="B1689" s="76">
        <v>80.308693000000005</v>
      </c>
      <c r="C1689" s="76">
        <v>80.381850999999997</v>
      </c>
      <c r="D1689" s="76">
        <v>79.299071999999995</v>
      </c>
      <c r="E1689" s="76">
        <v>80.184318999999903</v>
      </c>
      <c r="F1689" s="76">
        <v>52.797122999999999</v>
      </c>
      <c r="G1689" s="79">
        <v>707800</v>
      </c>
    </row>
    <row r="1690" spans="1:7" x14ac:dyDescent="0.25">
      <c r="A1690" s="1" t="s">
        <v>1813</v>
      </c>
      <c r="B1690" s="76">
        <v>80.374534999999995</v>
      </c>
      <c r="C1690" s="76">
        <v>81.332938999999996</v>
      </c>
      <c r="D1690" s="76">
        <v>80.301376000000005</v>
      </c>
      <c r="E1690" s="76">
        <v>81.084198000000001</v>
      </c>
      <c r="F1690" s="76">
        <v>53.389640999999997</v>
      </c>
      <c r="G1690" s="79">
        <v>916700</v>
      </c>
    </row>
    <row r="1691" spans="1:7" x14ac:dyDescent="0.25">
      <c r="A1691" s="1" t="s">
        <v>1814</v>
      </c>
      <c r="B1691" s="76">
        <v>81.391471999999993</v>
      </c>
      <c r="C1691" s="76">
        <v>81.925545</v>
      </c>
      <c r="D1691" s="76">
        <v>80.235527000000005</v>
      </c>
      <c r="E1691" s="76">
        <v>80.323325999999994</v>
      </c>
      <c r="F1691" s="76">
        <v>52.888652999999998</v>
      </c>
      <c r="G1691" s="79">
        <v>1027800</v>
      </c>
    </row>
    <row r="1692" spans="1:7" x14ac:dyDescent="0.25">
      <c r="A1692" s="1" t="s">
        <v>1815</v>
      </c>
      <c r="B1692" s="76">
        <v>80.396484000000001</v>
      </c>
      <c r="C1692" s="76">
        <v>81.098831000000004</v>
      </c>
      <c r="D1692" s="76">
        <v>79.481971999999999</v>
      </c>
      <c r="E1692" s="76">
        <v>79.818511999999998</v>
      </c>
      <c r="F1692" s="76">
        <v>52.556263000000001</v>
      </c>
      <c r="G1692" s="79">
        <v>1249100</v>
      </c>
    </row>
    <row r="1693" spans="1:7" x14ac:dyDescent="0.25">
      <c r="A1693" s="1" t="s">
        <v>1816</v>
      </c>
      <c r="B1693" s="76">
        <v>79.818511999999998</v>
      </c>
      <c r="C1693" s="76">
        <v>80.359900999999994</v>
      </c>
      <c r="D1693" s="76">
        <v>79.328331000000006</v>
      </c>
      <c r="E1693" s="76">
        <v>80.220894000000001</v>
      </c>
      <c r="F1693" s="76">
        <v>52.821201000000002</v>
      </c>
      <c r="G1693" s="79">
        <v>679500</v>
      </c>
    </row>
    <row r="1694" spans="1:7" x14ac:dyDescent="0.25">
      <c r="A1694" s="1" t="s">
        <v>1817</v>
      </c>
      <c r="B1694" s="76">
        <v>80.403801000000001</v>
      </c>
      <c r="C1694" s="76">
        <v>80.411118000000002</v>
      </c>
      <c r="D1694" s="76">
        <v>79.467338999999996</v>
      </c>
      <c r="E1694" s="76">
        <v>79.869727999999995</v>
      </c>
      <c r="F1694" s="76">
        <v>52.589962</v>
      </c>
      <c r="G1694" s="79">
        <v>792800</v>
      </c>
    </row>
    <row r="1695" spans="1:7" x14ac:dyDescent="0.25">
      <c r="A1695" s="1" t="s">
        <v>1818</v>
      </c>
      <c r="B1695" s="76">
        <v>79.869727999999995</v>
      </c>
      <c r="C1695" s="76">
        <v>80.279426999999998</v>
      </c>
      <c r="D1695" s="76">
        <v>79.321021999999999</v>
      </c>
      <c r="E1695" s="76">
        <v>79.686820999999995</v>
      </c>
      <c r="F1695" s="76">
        <v>52.469555</v>
      </c>
      <c r="G1695" s="79">
        <v>1038000</v>
      </c>
    </row>
    <row r="1696" spans="1:7" x14ac:dyDescent="0.25">
      <c r="A1696" s="1" t="s">
        <v>1819</v>
      </c>
      <c r="B1696" s="76">
        <v>79.686820999999995</v>
      </c>
      <c r="C1696" s="76">
        <v>81.062247999999997</v>
      </c>
      <c r="D1696" s="76">
        <v>79.299071999999995</v>
      </c>
      <c r="E1696" s="76">
        <v>81.032981999999905</v>
      </c>
      <c r="F1696" s="76">
        <v>53.355888</v>
      </c>
      <c r="G1696" s="79">
        <v>843900</v>
      </c>
    </row>
    <row r="1697" spans="1:7" x14ac:dyDescent="0.25">
      <c r="A1697" s="1" t="s">
        <v>1820</v>
      </c>
      <c r="B1697" s="76">
        <v>81.215889000000004</v>
      </c>
      <c r="C1697" s="76">
        <v>81.369522000000003</v>
      </c>
      <c r="D1697" s="76">
        <v>79.913619999999995</v>
      </c>
      <c r="E1697" s="76">
        <v>80.133101999999994</v>
      </c>
      <c r="F1697" s="76">
        <v>52.763390000000001</v>
      </c>
      <c r="G1697" s="79">
        <v>865900</v>
      </c>
    </row>
    <row r="1698" spans="1:7" x14ac:dyDescent="0.25">
      <c r="A1698" s="1" t="s">
        <v>1821</v>
      </c>
      <c r="B1698" s="76">
        <v>80.996398999999997</v>
      </c>
      <c r="C1698" s="76">
        <v>80.996398999999997</v>
      </c>
      <c r="D1698" s="76">
        <v>79.738037000000006</v>
      </c>
      <c r="E1698" s="76">
        <v>79.745354000000006</v>
      </c>
      <c r="F1698" s="76">
        <v>52.508082999999999</v>
      </c>
      <c r="G1698" s="79">
        <v>1069800</v>
      </c>
    </row>
    <row r="1699" spans="1:7" x14ac:dyDescent="0.25">
      <c r="A1699" s="1" t="s">
        <v>1822</v>
      </c>
      <c r="B1699" s="76">
        <v>79.891669999999905</v>
      </c>
      <c r="C1699" s="76">
        <v>80.286743000000001</v>
      </c>
      <c r="D1699" s="76">
        <v>78.962531999999996</v>
      </c>
      <c r="E1699" s="76">
        <v>79.679503999999994</v>
      </c>
      <c r="F1699" s="76">
        <v>52.464721999999902</v>
      </c>
      <c r="G1699" s="79">
        <v>661500</v>
      </c>
    </row>
    <row r="1700" spans="1:7" x14ac:dyDescent="0.25">
      <c r="A1700" s="1" t="s">
        <v>1823</v>
      </c>
      <c r="B1700" s="76">
        <v>79.818511999999998</v>
      </c>
      <c r="C1700" s="76">
        <v>81.171988999999996</v>
      </c>
      <c r="D1700" s="76">
        <v>79.774612000000005</v>
      </c>
      <c r="E1700" s="76">
        <v>80.967140000000001</v>
      </c>
      <c r="F1700" s="76">
        <v>53.312564999999999</v>
      </c>
      <c r="G1700" s="79">
        <v>901300</v>
      </c>
    </row>
    <row r="1701" spans="1:7" x14ac:dyDescent="0.25">
      <c r="A1701" s="1" t="s">
        <v>1824</v>
      </c>
      <c r="B1701" s="76">
        <v>81.150040000000004</v>
      </c>
      <c r="C1701" s="76">
        <v>82.284035000000003</v>
      </c>
      <c r="D1701" s="76">
        <v>80.952506999999997</v>
      </c>
      <c r="E1701" s="76">
        <v>82.232818999999907</v>
      </c>
      <c r="F1701" s="76">
        <v>54.145938999999998</v>
      </c>
      <c r="G1701" s="79">
        <v>807000</v>
      </c>
    </row>
    <row r="1702" spans="1:7" x14ac:dyDescent="0.25">
      <c r="A1702" s="1" t="s">
        <v>1825</v>
      </c>
      <c r="B1702" s="76">
        <v>82.123076999999995</v>
      </c>
      <c r="C1702" s="76">
        <v>83.191231000000002</v>
      </c>
      <c r="D1702" s="76">
        <v>82.086501999999996</v>
      </c>
      <c r="E1702" s="76">
        <v>83.037589999999994</v>
      </c>
      <c r="F1702" s="76">
        <v>54.675837999999999</v>
      </c>
      <c r="G1702" s="79">
        <v>1175600</v>
      </c>
    </row>
    <row r="1703" spans="1:7" x14ac:dyDescent="0.25">
      <c r="A1703" s="1" t="s">
        <v>1826</v>
      </c>
      <c r="B1703" s="76">
        <v>83.037589999999994</v>
      </c>
      <c r="C1703" s="76">
        <v>83.037589999999994</v>
      </c>
      <c r="D1703" s="76">
        <v>81.918227999999999</v>
      </c>
      <c r="E1703" s="76">
        <v>81.932861000000003</v>
      </c>
      <c r="F1703" s="76">
        <v>53.948443999999903</v>
      </c>
      <c r="G1703" s="79">
        <v>1843300</v>
      </c>
    </row>
    <row r="1704" spans="1:7" x14ac:dyDescent="0.25">
      <c r="A1704" s="1" t="s">
        <v>1827</v>
      </c>
      <c r="B1704" s="76">
        <v>81.940178000000003</v>
      </c>
      <c r="C1704" s="76">
        <v>82.796157999999906</v>
      </c>
      <c r="D1704" s="76">
        <v>81.164672999999993</v>
      </c>
      <c r="E1704" s="76">
        <v>82.781525000000002</v>
      </c>
      <c r="F1704" s="76">
        <v>54.507252000000001</v>
      </c>
      <c r="G1704" s="79">
        <v>712800</v>
      </c>
    </row>
    <row r="1705" spans="1:7" x14ac:dyDescent="0.25">
      <c r="A1705" s="1" t="s">
        <v>1828</v>
      </c>
      <c r="B1705" s="76">
        <v>82.781525000000002</v>
      </c>
      <c r="C1705" s="76">
        <v>83.279021999999998</v>
      </c>
      <c r="D1705" s="76">
        <v>81.508529999999993</v>
      </c>
      <c r="E1705" s="76">
        <v>82.642525000000006</v>
      </c>
      <c r="F1705" s="76">
        <v>54.415706999999998</v>
      </c>
      <c r="G1705" s="79">
        <v>1214700</v>
      </c>
    </row>
    <row r="1706" spans="1:7" x14ac:dyDescent="0.25">
      <c r="A1706" s="1" t="s">
        <v>1829</v>
      </c>
      <c r="B1706" s="76">
        <v>82.825423999999998</v>
      </c>
      <c r="C1706" s="76">
        <v>83.403396999999998</v>
      </c>
      <c r="D1706" s="76">
        <v>81.940178000000003</v>
      </c>
      <c r="E1706" s="76">
        <v>82.503517000000002</v>
      </c>
      <c r="F1706" s="76">
        <v>54.324181000000003</v>
      </c>
      <c r="G1706" s="79">
        <v>880500</v>
      </c>
    </row>
    <row r="1707" spans="1:7" x14ac:dyDescent="0.25">
      <c r="A1707" s="1" t="s">
        <v>1830</v>
      </c>
      <c r="B1707" s="76">
        <v>82.671782999999905</v>
      </c>
      <c r="C1707" s="76">
        <v>82.891266000000002</v>
      </c>
      <c r="D1707" s="76">
        <v>81.932861000000003</v>
      </c>
      <c r="E1707" s="76">
        <v>82.305983999999995</v>
      </c>
      <c r="F1707" s="76">
        <v>54.194122</v>
      </c>
      <c r="G1707" s="79">
        <v>969200</v>
      </c>
    </row>
    <row r="1708" spans="1:7" x14ac:dyDescent="0.25">
      <c r="A1708" s="1" t="s">
        <v>1831</v>
      </c>
      <c r="B1708" s="76">
        <v>82.379142999999999</v>
      </c>
      <c r="C1708" s="76">
        <v>83.439980000000006</v>
      </c>
      <c r="D1708" s="76">
        <v>82.284035000000003</v>
      </c>
      <c r="E1708" s="76">
        <v>82.993697999999995</v>
      </c>
      <c r="F1708" s="76">
        <v>54.646931000000002</v>
      </c>
      <c r="G1708" s="79">
        <v>767100</v>
      </c>
    </row>
    <row r="1709" spans="1:7" x14ac:dyDescent="0.25">
      <c r="A1709" s="1" t="s">
        <v>1832</v>
      </c>
      <c r="B1709" s="76">
        <v>83.140015000000005</v>
      </c>
      <c r="C1709" s="76">
        <v>83.527771000000001</v>
      </c>
      <c r="D1709" s="76">
        <v>83.022956999999906</v>
      </c>
      <c r="E1709" s="76">
        <v>83.403396999999998</v>
      </c>
      <c r="F1709" s="76">
        <v>54.916705999999998</v>
      </c>
      <c r="G1709" s="79">
        <v>597000</v>
      </c>
    </row>
    <row r="1710" spans="1:7" x14ac:dyDescent="0.25">
      <c r="A1710" s="1" t="s">
        <v>1833</v>
      </c>
      <c r="B1710" s="76">
        <v>83.403396999999998</v>
      </c>
      <c r="C1710" s="76">
        <v>83.754570000000001</v>
      </c>
      <c r="D1710" s="76">
        <v>83.154647999999995</v>
      </c>
      <c r="E1710" s="76">
        <v>83.425345999999905</v>
      </c>
      <c r="F1710" s="76">
        <v>54.931156000000001</v>
      </c>
      <c r="G1710" s="79">
        <v>776800</v>
      </c>
    </row>
    <row r="1711" spans="1:7" x14ac:dyDescent="0.25">
      <c r="A1711" s="1" t="s">
        <v>1834</v>
      </c>
      <c r="B1711" s="76">
        <v>83.696037000000004</v>
      </c>
      <c r="C1711" s="76">
        <v>84.295958999999996</v>
      </c>
      <c r="D1711" s="76">
        <v>83.644829000000001</v>
      </c>
      <c r="E1711" s="76">
        <v>83.937468999999993</v>
      </c>
      <c r="F1711" s="76">
        <v>55.268374999999999</v>
      </c>
      <c r="G1711" s="79">
        <v>1075000</v>
      </c>
    </row>
    <row r="1712" spans="1:7" x14ac:dyDescent="0.25">
      <c r="A1712" s="1" t="s">
        <v>1835</v>
      </c>
      <c r="B1712" s="76">
        <v>84.025261</v>
      </c>
      <c r="C1712" s="76">
        <v>84.369118</v>
      </c>
      <c r="D1712" s="76">
        <v>83.498504999999994</v>
      </c>
      <c r="E1712" s="76">
        <v>83.944785999999993</v>
      </c>
      <c r="F1712" s="76">
        <v>55.27319</v>
      </c>
      <c r="G1712" s="79">
        <v>451900</v>
      </c>
    </row>
    <row r="1713" spans="1:7" x14ac:dyDescent="0.25">
      <c r="A1713" s="1" t="s">
        <v>1836</v>
      </c>
      <c r="B1713" s="76">
        <v>84.295958999999996</v>
      </c>
      <c r="C1713" s="76">
        <v>84.295958999999996</v>
      </c>
      <c r="D1713" s="76">
        <v>83.403396999999998</v>
      </c>
      <c r="E1713" s="76">
        <v>84.105743000000004</v>
      </c>
      <c r="F1713" s="76">
        <v>55.379173000000002</v>
      </c>
      <c r="G1713" s="79">
        <v>615900</v>
      </c>
    </row>
    <row r="1714" spans="1:7" x14ac:dyDescent="0.25">
      <c r="A1714" s="1" t="s">
        <v>1837</v>
      </c>
      <c r="B1714" s="76">
        <v>84.105743000000004</v>
      </c>
      <c r="C1714" s="76">
        <v>84.617867000000004</v>
      </c>
      <c r="D1714" s="76">
        <v>83.549720999999906</v>
      </c>
      <c r="E1714" s="76">
        <v>84.595917</v>
      </c>
      <c r="F1714" s="76">
        <v>55.701939000000003</v>
      </c>
      <c r="G1714" s="79">
        <v>695800</v>
      </c>
    </row>
    <row r="1715" spans="1:7" x14ac:dyDescent="0.25">
      <c r="A1715" s="1" t="s">
        <v>1838</v>
      </c>
      <c r="B1715" s="76">
        <v>84.449592999999993</v>
      </c>
      <c r="C1715" s="76">
        <v>84.610550000000003</v>
      </c>
      <c r="D1715" s="76">
        <v>83.608245999999994</v>
      </c>
      <c r="E1715" s="76">
        <v>84.208168000000001</v>
      </c>
      <c r="F1715" s="76">
        <v>55.446606000000003</v>
      </c>
      <c r="G1715" s="79">
        <v>684100</v>
      </c>
    </row>
    <row r="1716" spans="1:7" x14ac:dyDescent="0.25">
      <c r="A1716" s="1" t="s">
        <v>1839</v>
      </c>
      <c r="B1716" s="76">
        <v>84.383751000000004</v>
      </c>
      <c r="C1716" s="76">
        <v>85.093413999999996</v>
      </c>
      <c r="D1716" s="76">
        <v>83.915520000000001</v>
      </c>
      <c r="E1716" s="76">
        <v>84.683707999999996</v>
      </c>
      <c r="F1716" s="76">
        <v>55.759726999999998</v>
      </c>
      <c r="G1716" s="79">
        <v>1064700</v>
      </c>
    </row>
    <row r="1717" spans="1:7" x14ac:dyDescent="0.25">
      <c r="A1717" s="1" t="s">
        <v>1840</v>
      </c>
      <c r="B1717" s="76">
        <v>85.122672999999907</v>
      </c>
      <c r="C1717" s="76">
        <v>86.095718000000005</v>
      </c>
      <c r="D1717" s="76">
        <v>84.632499999999993</v>
      </c>
      <c r="E1717" s="76">
        <v>85.898178000000001</v>
      </c>
      <c r="F1717" s="76">
        <v>56.559418000000001</v>
      </c>
      <c r="G1717" s="79">
        <v>1098600</v>
      </c>
    </row>
    <row r="1718" spans="1:7" x14ac:dyDescent="0.25">
      <c r="A1718" s="1" t="s">
        <v>1841</v>
      </c>
      <c r="B1718" s="76">
        <v>85.905495000000002</v>
      </c>
      <c r="C1718" s="76">
        <v>86.505416999999994</v>
      </c>
      <c r="D1718" s="76">
        <v>85.415320999999906</v>
      </c>
      <c r="E1718" s="76">
        <v>85.605536999999998</v>
      </c>
      <c r="F1718" s="76">
        <v>56.366706999999998</v>
      </c>
      <c r="G1718" s="79">
        <v>853900</v>
      </c>
    </row>
    <row r="1719" spans="1:7" x14ac:dyDescent="0.25">
      <c r="A1719" s="1" t="s">
        <v>1842</v>
      </c>
      <c r="B1719" s="76">
        <v>85.605536999999998</v>
      </c>
      <c r="C1719" s="76">
        <v>86.798057999999997</v>
      </c>
      <c r="D1719" s="76">
        <v>85.378737999999998</v>
      </c>
      <c r="E1719" s="76">
        <v>86.439575000000005</v>
      </c>
      <c r="F1719" s="76">
        <v>56.915863000000002</v>
      </c>
      <c r="G1719" s="79">
        <v>1345400</v>
      </c>
    </row>
    <row r="1720" spans="1:7" x14ac:dyDescent="0.25">
      <c r="A1720" s="1" t="s">
        <v>1843</v>
      </c>
      <c r="B1720" s="76">
        <v>86.476151000000002</v>
      </c>
      <c r="C1720" s="76">
        <v>87.346763999999993</v>
      </c>
      <c r="D1720" s="76">
        <v>86.285933999999997</v>
      </c>
      <c r="E1720" s="76">
        <v>87.244338999999997</v>
      </c>
      <c r="F1720" s="76">
        <v>57.445762999999999</v>
      </c>
      <c r="G1720" s="79">
        <v>1439700</v>
      </c>
    </row>
    <row r="1721" spans="1:7" x14ac:dyDescent="0.25">
      <c r="A1721" s="1" t="s">
        <v>1844</v>
      </c>
      <c r="B1721" s="76">
        <v>87.390663000000004</v>
      </c>
      <c r="C1721" s="76">
        <v>87.712569999999999</v>
      </c>
      <c r="D1721" s="76">
        <v>86.922432000000001</v>
      </c>
      <c r="E1721" s="76">
        <v>87.127280999999996</v>
      </c>
      <c r="F1721" s="76">
        <v>57.368693999999998</v>
      </c>
      <c r="G1721" s="79">
        <v>1064600</v>
      </c>
    </row>
    <row r="1722" spans="1:7" x14ac:dyDescent="0.25">
      <c r="A1722" s="1" t="s">
        <v>1845</v>
      </c>
      <c r="B1722" s="76">
        <v>87.127280999999996</v>
      </c>
      <c r="C1722" s="76">
        <v>87.127280999999996</v>
      </c>
      <c r="D1722" s="76">
        <v>84.742241000000007</v>
      </c>
      <c r="E1722" s="76">
        <v>85.378737999999998</v>
      </c>
      <c r="F1722" s="76">
        <v>56.217350000000003</v>
      </c>
      <c r="G1722" s="79">
        <v>1500600</v>
      </c>
    </row>
    <row r="1723" spans="1:7" x14ac:dyDescent="0.25">
      <c r="A1723" s="1" t="s">
        <v>1846</v>
      </c>
      <c r="B1723" s="76">
        <v>84.135002</v>
      </c>
      <c r="C1723" s="76">
        <v>84.749556999999996</v>
      </c>
      <c r="D1723" s="76">
        <v>82.423041999999995</v>
      </c>
      <c r="E1723" s="76">
        <v>83.403396999999998</v>
      </c>
      <c r="F1723" s="76">
        <v>55.578712000000003</v>
      </c>
      <c r="G1723" s="79">
        <v>1610000</v>
      </c>
    </row>
    <row r="1724" spans="1:7" x14ac:dyDescent="0.25">
      <c r="A1724" s="1" t="s">
        <v>1847</v>
      </c>
      <c r="B1724" s="76">
        <v>83.220489999999998</v>
      </c>
      <c r="C1724" s="76">
        <v>85.034881999999996</v>
      </c>
      <c r="D1724" s="76">
        <v>83.220489999999998</v>
      </c>
      <c r="E1724" s="76">
        <v>84.581283999999997</v>
      </c>
      <c r="F1724" s="76">
        <v>56.363639999999997</v>
      </c>
      <c r="G1724" s="79">
        <v>1011900</v>
      </c>
    </row>
    <row r="1725" spans="1:7" x14ac:dyDescent="0.25">
      <c r="A1725" s="1" t="s">
        <v>1848</v>
      </c>
      <c r="B1725" s="76">
        <v>84.544708</v>
      </c>
      <c r="C1725" s="76">
        <v>84.552017000000006</v>
      </c>
      <c r="D1725" s="76">
        <v>83.469238000000004</v>
      </c>
      <c r="E1725" s="76">
        <v>83.622878999999998</v>
      </c>
      <c r="F1725" s="76">
        <v>55.724971999999902</v>
      </c>
      <c r="G1725" s="79">
        <v>671700</v>
      </c>
    </row>
    <row r="1726" spans="1:7" x14ac:dyDescent="0.25">
      <c r="A1726" s="1" t="s">
        <v>1849</v>
      </c>
      <c r="B1726" s="76">
        <v>83.732619999999997</v>
      </c>
      <c r="C1726" s="76">
        <v>84.383751000000004</v>
      </c>
      <c r="D1726" s="76">
        <v>82.905899000000005</v>
      </c>
      <c r="E1726" s="76">
        <v>84.098427000000001</v>
      </c>
      <c r="F1726" s="76">
        <v>56.041851000000001</v>
      </c>
      <c r="G1726" s="79">
        <v>789500</v>
      </c>
    </row>
    <row r="1727" spans="1:7" x14ac:dyDescent="0.25">
      <c r="A1727" s="1" t="s">
        <v>1850</v>
      </c>
      <c r="B1727" s="76">
        <v>84.142319000000001</v>
      </c>
      <c r="C1727" s="76">
        <v>84.727607999999904</v>
      </c>
      <c r="D1727" s="76">
        <v>83.469238000000004</v>
      </c>
      <c r="E1727" s="76">
        <v>84.383751000000004</v>
      </c>
      <c r="F1727" s="76">
        <v>56.231991000000001</v>
      </c>
      <c r="G1727" s="79">
        <v>777600</v>
      </c>
    </row>
    <row r="1728" spans="1:7" x14ac:dyDescent="0.25">
      <c r="A1728" s="1" t="s">
        <v>1851</v>
      </c>
      <c r="B1728" s="76">
        <v>84.866614999999996</v>
      </c>
      <c r="C1728" s="76">
        <v>85.261680999999996</v>
      </c>
      <c r="D1728" s="76">
        <v>84.295958999999996</v>
      </c>
      <c r="E1728" s="76">
        <v>85.254363999999995</v>
      </c>
      <c r="F1728" s="76">
        <v>56.812176000000001</v>
      </c>
      <c r="G1728" s="79">
        <v>560500</v>
      </c>
    </row>
    <row r="1729" spans="1:7" x14ac:dyDescent="0.25">
      <c r="A1729" s="1" t="s">
        <v>1852</v>
      </c>
      <c r="B1729" s="76">
        <v>85.254363999999995</v>
      </c>
      <c r="C1729" s="76">
        <v>85.707961999999995</v>
      </c>
      <c r="D1729" s="76">
        <v>85.203156000000007</v>
      </c>
      <c r="E1729" s="76">
        <v>85.481162999999995</v>
      </c>
      <c r="F1729" s="76">
        <v>56.963287000000001</v>
      </c>
      <c r="G1729" s="79">
        <v>677300</v>
      </c>
    </row>
    <row r="1730" spans="1:7" x14ac:dyDescent="0.25">
      <c r="A1730" s="1" t="s">
        <v>1853</v>
      </c>
      <c r="B1730" s="76">
        <v>85.605536999999998</v>
      </c>
      <c r="C1730" s="76">
        <v>86.585892000000001</v>
      </c>
      <c r="D1730" s="76">
        <v>85.400688000000002</v>
      </c>
      <c r="E1730" s="76">
        <v>86.359093000000001</v>
      </c>
      <c r="F1730" s="76">
        <v>57.548316999999997</v>
      </c>
      <c r="G1730" s="79">
        <v>842900</v>
      </c>
    </row>
    <row r="1731" spans="1:7" x14ac:dyDescent="0.25">
      <c r="A1731" s="1" t="s">
        <v>1854</v>
      </c>
      <c r="B1731" s="76">
        <v>85.086097999999893</v>
      </c>
      <c r="C1731" s="76">
        <v>85.781120000000001</v>
      </c>
      <c r="D1731" s="76">
        <v>84.317909</v>
      </c>
      <c r="E1731" s="76">
        <v>84.837349000000003</v>
      </c>
      <c r="F1731" s="76">
        <v>56.534267</v>
      </c>
      <c r="G1731" s="79">
        <v>4681400</v>
      </c>
    </row>
    <row r="1732" spans="1:7" x14ac:dyDescent="0.25">
      <c r="A1732" s="1" t="s">
        <v>1855</v>
      </c>
      <c r="B1732" s="76">
        <v>85.129990000000006</v>
      </c>
      <c r="C1732" s="76">
        <v>86.388358999999994</v>
      </c>
      <c r="D1732" s="76">
        <v>85.086097999999893</v>
      </c>
      <c r="E1732" s="76">
        <v>86.256668000000005</v>
      </c>
      <c r="F1732" s="76">
        <v>57.480075999999997</v>
      </c>
      <c r="G1732" s="79">
        <v>2245500</v>
      </c>
    </row>
    <row r="1733" spans="1:7" x14ac:dyDescent="0.25">
      <c r="A1733" s="1" t="s">
        <v>1856</v>
      </c>
      <c r="B1733" s="76">
        <v>86.168876999999995</v>
      </c>
      <c r="C1733" s="76">
        <v>86.293250999999998</v>
      </c>
      <c r="D1733" s="76">
        <v>85.473845999999995</v>
      </c>
      <c r="E1733" s="76">
        <v>85.598220999999995</v>
      </c>
      <c r="F1733" s="76">
        <v>57.041313000000002</v>
      </c>
      <c r="G1733" s="79">
        <v>837900</v>
      </c>
    </row>
    <row r="1734" spans="1:7" x14ac:dyDescent="0.25">
      <c r="A1734" s="1" t="s">
        <v>1857</v>
      </c>
      <c r="B1734" s="76">
        <v>86.293250999999998</v>
      </c>
      <c r="C1734" s="76">
        <v>91.451087999999999</v>
      </c>
      <c r="D1734" s="76">
        <v>86.263984999999906</v>
      </c>
      <c r="E1734" s="76">
        <v>88.458809000000002</v>
      </c>
      <c r="F1734" s="76">
        <v>58.947539999999996</v>
      </c>
      <c r="G1734" s="79">
        <v>3523600</v>
      </c>
    </row>
    <row r="1735" spans="1:7" x14ac:dyDescent="0.25">
      <c r="A1735" s="1" t="s">
        <v>1858</v>
      </c>
      <c r="B1735" s="76">
        <v>88.744140999999999</v>
      </c>
      <c r="C1735" s="76">
        <v>90.521950000000004</v>
      </c>
      <c r="D1735" s="76">
        <v>88.692924000000005</v>
      </c>
      <c r="E1735" s="76">
        <v>89.826920000000001</v>
      </c>
      <c r="F1735" s="76">
        <v>59.859229999999997</v>
      </c>
      <c r="G1735" s="79">
        <v>3326700</v>
      </c>
    </row>
    <row r="1736" spans="1:7" x14ac:dyDescent="0.25">
      <c r="A1736" s="1" t="s">
        <v>1859</v>
      </c>
      <c r="B1736" s="76">
        <v>89.980559999999997</v>
      </c>
      <c r="C1736" s="76">
        <v>91.451087999999999</v>
      </c>
      <c r="D1736" s="76">
        <v>89.980559999999997</v>
      </c>
      <c r="E1736" s="76">
        <v>91.414512999999999</v>
      </c>
      <c r="F1736" s="76">
        <v>60.917170999999897</v>
      </c>
      <c r="G1736" s="79">
        <v>1805400</v>
      </c>
    </row>
    <row r="1737" spans="1:7" x14ac:dyDescent="0.25">
      <c r="A1737" s="1" t="s">
        <v>1860</v>
      </c>
      <c r="B1737" s="76">
        <v>91.195030000000003</v>
      </c>
      <c r="C1737" s="76">
        <v>92.124167999999997</v>
      </c>
      <c r="D1737" s="76">
        <v>90.778008</v>
      </c>
      <c r="E1737" s="76">
        <v>91.773003000000003</v>
      </c>
      <c r="F1737" s="76">
        <v>61.156101</v>
      </c>
      <c r="G1737" s="79">
        <v>311500</v>
      </c>
    </row>
    <row r="1738" spans="1:7" x14ac:dyDescent="0.25">
      <c r="A1738" s="1" t="s">
        <v>1861</v>
      </c>
      <c r="B1738" s="76">
        <v>91.773003000000003</v>
      </c>
      <c r="C1738" s="76">
        <v>91.773003000000003</v>
      </c>
      <c r="D1738" s="76">
        <v>89.153839000000005</v>
      </c>
      <c r="E1738" s="76">
        <v>89.241630999999998</v>
      </c>
      <c r="F1738" s="76">
        <v>59.469214999999998</v>
      </c>
      <c r="G1738" s="79">
        <v>1383800</v>
      </c>
    </row>
    <row r="1739" spans="1:7" x14ac:dyDescent="0.25">
      <c r="A1739" s="1" t="s">
        <v>1862</v>
      </c>
      <c r="B1739" s="76">
        <v>89.292846999999995</v>
      </c>
      <c r="C1739" s="76">
        <v>89.775711000000001</v>
      </c>
      <c r="D1739" s="76">
        <v>88.480758999999907</v>
      </c>
      <c r="E1739" s="76">
        <v>89.512328999999994</v>
      </c>
      <c r="F1739" s="76">
        <v>59.649593000000003</v>
      </c>
      <c r="G1739" s="79">
        <v>1173400</v>
      </c>
    </row>
    <row r="1740" spans="1:7" x14ac:dyDescent="0.25">
      <c r="A1740" s="1" t="s">
        <v>1863</v>
      </c>
      <c r="B1740" s="76">
        <v>89.878135999999998</v>
      </c>
      <c r="C1740" s="76">
        <v>90.719481999999999</v>
      </c>
      <c r="D1740" s="76">
        <v>89.585487000000001</v>
      </c>
      <c r="E1740" s="76">
        <v>90.558525000000003</v>
      </c>
      <c r="F1740" s="76">
        <v>60.346764</v>
      </c>
      <c r="G1740" s="79">
        <v>1315800</v>
      </c>
    </row>
    <row r="1741" spans="1:7" x14ac:dyDescent="0.25">
      <c r="A1741" s="1" t="s">
        <v>1864</v>
      </c>
      <c r="B1741" s="76">
        <v>91.663261000000006</v>
      </c>
      <c r="C1741" s="76">
        <v>92.519240999999994</v>
      </c>
      <c r="D1741" s="76">
        <v>90.858490000000003</v>
      </c>
      <c r="E1741" s="76">
        <v>92.263176000000001</v>
      </c>
      <c r="F1741" s="76">
        <v>61.482692999999998</v>
      </c>
      <c r="G1741" s="79">
        <v>1989100</v>
      </c>
    </row>
    <row r="1742" spans="1:7" x14ac:dyDescent="0.25">
      <c r="A1742" s="1" t="s">
        <v>1865</v>
      </c>
      <c r="B1742" s="76">
        <v>92.263176000000001</v>
      </c>
      <c r="C1742" s="76">
        <v>92.475341999999998</v>
      </c>
      <c r="D1742" s="76">
        <v>91.319405000000003</v>
      </c>
      <c r="E1742" s="76">
        <v>91.992485000000002</v>
      </c>
      <c r="F1742" s="76">
        <v>61.302329999999998</v>
      </c>
      <c r="G1742" s="79">
        <v>1071500</v>
      </c>
    </row>
    <row r="1743" spans="1:7" x14ac:dyDescent="0.25">
      <c r="A1743" s="1" t="s">
        <v>1866</v>
      </c>
      <c r="B1743" s="76">
        <v>92.724091000000001</v>
      </c>
      <c r="C1743" s="76">
        <v>94.809173999999999</v>
      </c>
      <c r="D1743" s="76">
        <v>92.482658000000001</v>
      </c>
      <c r="E1743" s="76">
        <v>94.736014999999995</v>
      </c>
      <c r="F1743" s="76">
        <v>63.130557999999901</v>
      </c>
      <c r="G1743" s="79">
        <v>1428700</v>
      </c>
    </row>
    <row r="1744" spans="1:7" x14ac:dyDescent="0.25">
      <c r="A1744" s="1" t="s">
        <v>1867</v>
      </c>
      <c r="B1744" s="76">
        <v>95.109138000000002</v>
      </c>
      <c r="C1744" s="76">
        <v>96.096808999999993</v>
      </c>
      <c r="D1744" s="76">
        <v>94.062934999999996</v>
      </c>
      <c r="E1744" s="76">
        <v>94.260468000000003</v>
      </c>
      <c r="F1744" s="76">
        <v>62.813685999999997</v>
      </c>
      <c r="G1744" s="79">
        <v>1876500</v>
      </c>
    </row>
    <row r="1745" spans="1:7" x14ac:dyDescent="0.25">
      <c r="A1745" s="1" t="s">
        <v>1868</v>
      </c>
      <c r="B1745" s="76">
        <v>91.443779000000006</v>
      </c>
      <c r="C1745" s="76">
        <v>92.175384999999906</v>
      </c>
      <c r="D1745" s="76">
        <v>90.931647999999996</v>
      </c>
      <c r="E1745" s="76">
        <v>91.816895000000002</v>
      </c>
      <c r="F1745" s="76">
        <v>61.185326000000003</v>
      </c>
      <c r="G1745" s="79">
        <v>3767400</v>
      </c>
    </row>
    <row r="1746" spans="1:7" x14ac:dyDescent="0.25">
      <c r="A1746" s="1" t="s">
        <v>1869</v>
      </c>
      <c r="B1746" s="76">
        <v>92.877730999999997</v>
      </c>
      <c r="C1746" s="76">
        <v>92.877730999999997</v>
      </c>
      <c r="D1746" s="76">
        <v>91.399878999999999</v>
      </c>
      <c r="E1746" s="76">
        <v>91.590096000000003</v>
      </c>
      <c r="F1746" s="76">
        <v>61.034171999999998</v>
      </c>
      <c r="G1746" s="79">
        <v>1286700</v>
      </c>
    </row>
    <row r="1747" spans="1:7" x14ac:dyDescent="0.25">
      <c r="A1747" s="1" t="s">
        <v>1870</v>
      </c>
      <c r="B1747" s="76">
        <v>91.597412000000006</v>
      </c>
      <c r="C1747" s="76">
        <v>92.511925000000005</v>
      </c>
      <c r="D1747" s="76">
        <v>91.451087999999999</v>
      </c>
      <c r="E1747" s="76">
        <v>92.153435000000002</v>
      </c>
      <c r="F1747" s="76">
        <v>61.409583999999903</v>
      </c>
      <c r="G1747" s="79">
        <v>821500</v>
      </c>
    </row>
    <row r="1748" spans="1:7" x14ac:dyDescent="0.25">
      <c r="A1748" s="1" t="s">
        <v>1871</v>
      </c>
      <c r="B1748" s="76">
        <v>92.153435000000002</v>
      </c>
      <c r="C1748" s="76">
        <v>92.424132999999998</v>
      </c>
      <c r="D1748" s="76">
        <v>91.729102999999995</v>
      </c>
      <c r="E1748" s="76">
        <v>91.985168000000002</v>
      </c>
      <c r="F1748" s="76">
        <v>61.297451000000002</v>
      </c>
      <c r="G1748" s="79">
        <v>1055500</v>
      </c>
    </row>
    <row r="1749" spans="1:7" x14ac:dyDescent="0.25">
      <c r="A1749" s="1" t="s">
        <v>1872</v>
      </c>
      <c r="B1749" s="76">
        <v>91.816895000000002</v>
      </c>
      <c r="C1749" s="76">
        <v>92.072959999999995</v>
      </c>
      <c r="D1749" s="76">
        <v>90.653640999999993</v>
      </c>
      <c r="E1749" s="76">
        <v>91.158446999999995</v>
      </c>
      <c r="F1749" s="76">
        <v>60.746555000000001</v>
      </c>
      <c r="G1749" s="79">
        <v>1033600</v>
      </c>
    </row>
    <row r="1750" spans="1:7" x14ac:dyDescent="0.25">
      <c r="A1750" s="1" t="s">
        <v>1873</v>
      </c>
      <c r="B1750" s="76">
        <v>91.524253999999999</v>
      </c>
      <c r="C1750" s="76">
        <v>91.633994999999999</v>
      </c>
      <c r="D1750" s="76">
        <v>89.885452000000001</v>
      </c>
      <c r="E1750" s="76">
        <v>90.529266000000007</v>
      </c>
      <c r="F1750" s="76">
        <v>60.327270999999897</v>
      </c>
      <c r="G1750" s="79">
        <v>914900</v>
      </c>
    </row>
    <row r="1751" spans="1:7" x14ac:dyDescent="0.25">
      <c r="A1751" s="1" t="s">
        <v>1874</v>
      </c>
      <c r="B1751" s="76">
        <v>90.712165999999996</v>
      </c>
      <c r="C1751" s="76">
        <v>91.268187999999995</v>
      </c>
      <c r="D1751" s="76">
        <v>90.602424999999997</v>
      </c>
      <c r="E1751" s="76">
        <v>90.719481999999999</v>
      </c>
      <c r="F1751" s="76">
        <v>60.454025000000001</v>
      </c>
      <c r="G1751" s="79">
        <v>700600</v>
      </c>
    </row>
    <row r="1752" spans="1:7" x14ac:dyDescent="0.25">
      <c r="A1752" s="1" t="s">
        <v>1875</v>
      </c>
      <c r="B1752" s="76">
        <v>90.719481999999999</v>
      </c>
      <c r="C1752" s="76">
        <v>91.385245999999995</v>
      </c>
      <c r="D1752" s="76">
        <v>89.804969999999997</v>
      </c>
      <c r="E1752" s="76">
        <v>90.265884</v>
      </c>
      <c r="F1752" s="76">
        <v>60.151759999999904</v>
      </c>
      <c r="G1752" s="79">
        <v>1622200</v>
      </c>
    </row>
    <row r="1753" spans="1:7" x14ac:dyDescent="0.25">
      <c r="A1753" s="1" t="s">
        <v>1876</v>
      </c>
      <c r="B1753" s="76">
        <v>90.302466999999993</v>
      </c>
      <c r="C1753" s="76">
        <v>90.829223999999996</v>
      </c>
      <c r="D1753" s="76">
        <v>89.497695999999905</v>
      </c>
      <c r="E1753" s="76">
        <v>89.965926999999994</v>
      </c>
      <c r="F1753" s="76">
        <v>59.951861999999998</v>
      </c>
      <c r="G1753" s="79">
        <v>722300</v>
      </c>
    </row>
    <row r="1754" spans="1:7" x14ac:dyDescent="0.25">
      <c r="A1754" s="1" t="s">
        <v>1877</v>
      </c>
      <c r="B1754" s="76">
        <v>89.768394000000001</v>
      </c>
      <c r="C1754" s="76">
        <v>89.768394000000001</v>
      </c>
      <c r="D1754" s="76">
        <v>88.180801000000002</v>
      </c>
      <c r="E1754" s="76">
        <v>89.512328999999994</v>
      </c>
      <c r="F1754" s="76">
        <v>59.649593000000003</v>
      </c>
      <c r="G1754" s="79">
        <v>1485900</v>
      </c>
    </row>
    <row r="1755" spans="1:7" x14ac:dyDescent="0.25">
      <c r="A1755" s="1" t="s">
        <v>1878</v>
      </c>
      <c r="B1755" s="76">
        <v>89.614754000000005</v>
      </c>
      <c r="C1755" s="76">
        <v>90.390259</v>
      </c>
      <c r="D1755" s="76">
        <v>89.256264000000002</v>
      </c>
      <c r="E1755" s="76">
        <v>89.826920000000001</v>
      </c>
      <c r="F1755" s="76">
        <v>59.859229999999997</v>
      </c>
      <c r="G1755" s="79">
        <v>1069100</v>
      </c>
    </row>
    <row r="1756" spans="1:7" x14ac:dyDescent="0.25">
      <c r="A1756" s="1" t="s">
        <v>1879</v>
      </c>
      <c r="B1756" s="76">
        <v>89.826920000000001</v>
      </c>
      <c r="C1756" s="76">
        <v>90.265884</v>
      </c>
      <c r="D1756" s="76">
        <v>88.736823999999999</v>
      </c>
      <c r="E1756" s="76">
        <v>88.736823999999999</v>
      </c>
      <c r="F1756" s="76">
        <v>59.132828000000003</v>
      </c>
      <c r="G1756" s="79">
        <v>911100</v>
      </c>
    </row>
    <row r="1757" spans="1:7" x14ac:dyDescent="0.25">
      <c r="A1757" s="1" t="s">
        <v>1880</v>
      </c>
      <c r="B1757" s="76">
        <v>88.641716000000002</v>
      </c>
      <c r="C1757" s="76">
        <v>88.707557999999906</v>
      </c>
      <c r="D1757" s="76">
        <v>87.566245999999893</v>
      </c>
      <c r="E1757" s="76">
        <v>87.763785999999996</v>
      </c>
      <c r="F1757" s="76">
        <v>58.484389999999998</v>
      </c>
      <c r="G1757" s="79">
        <v>1365500</v>
      </c>
    </row>
    <row r="1758" spans="1:7" x14ac:dyDescent="0.25">
      <c r="A1758" s="1" t="s">
        <v>1881</v>
      </c>
      <c r="B1758" s="76">
        <v>87.675987000000006</v>
      </c>
      <c r="C1758" s="76">
        <v>88.297859000000003</v>
      </c>
      <c r="D1758" s="76">
        <v>87.536986999999996</v>
      </c>
      <c r="E1758" s="76">
        <v>87.829628</v>
      </c>
      <c r="F1758" s="76">
        <v>58.528275000000001</v>
      </c>
      <c r="G1758" s="79">
        <v>825800</v>
      </c>
    </row>
    <row r="1759" spans="1:7" x14ac:dyDescent="0.25">
      <c r="A1759" s="1" t="s">
        <v>1882</v>
      </c>
      <c r="B1759" s="76">
        <v>87.829628</v>
      </c>
      <c r="C1759" s="76">
        <v>88.158851999999996</v>
      </c>
      <c r="D1759" s="76">
        <v>87.697936999999996</v>
      </c>
      <c r="E1759" s="76">
        <v>88.034476999999995</v>
      </c>
      <c r="F1759" s="76">
        <v>58.6647829999999</v>
      </c>
      <c r="G1759" s="79">
        <v>932900</v>
      </c>
    </row>
    <row r="1760" spans="1:7" x14ac:dyDescent="0.25">
      <c r="A1760" s="1" t="s">
        <v>1883</v>
      </c>
      <c r="B1760" s="76">
        <v>88.034476999999995</v>
      </c>
      <c r="C1760" s="76">
        <v>88.407600000000002</v>
      </c>
      <c r="D1760" s="76">
        <v>87.683304000000007</v>
      </c>
      <c r="E1760" s="76">
        <v>88.400283999999999</v>
      </c>
      <c r="F1760" s="76">
        <v>58.908554000000002</v>
      </c>
      <c r="G1760" s="79">
        <v>1113100</v>
      </c>
    </row>
    <row r="1761" spans="1:7" x14ac:dyDescent="0.25">
      <c r="A1761" s="1" t="s">
        <v>1884</v>
      </c>
      <c r="B1761" s="76">
        <v>88.524658000000002</v>
      </c>
      <c r="C1761" s="76">
        <v>89.387955000000005</v>
      </c>
      <c r="D1761" s="76">
        <v>88.414917000000003</v>
      </c>
      <c r="E1761" s="76">
        <v>88.890456999999998</v>
      </c>
      <c r="F1761" s="76">
        <v>59.235202999999998</v>
      </c>
      <c r="G1761" s="79">
        <v>1081600</v>
      </c>
    </row>
    <row r="1762" spans="1:7" x14ac:dyDescent="0.25">
      <c r="A1762" s="1" t="s">
        <v>1885</v>
      </c>
      <c r="B1762" s="76">
        <v>89.775711000000001</v>
      </c>
      <c r="C1762" s="76">
        <v>89.775711000000001</v>
      </c>
      <c r="D1762" s="76">
        <v>88.327126000000007</v>
      </c>
      <c r="E1762" s="76">
        <v>89.044097999999906</v>
      </c>
      <c r="F1762" s="76">
        <v>59.337589000000001</v>
      </c>
      <c r="G1762" s="79">
        <v>1736300</v>
      </c>
    </row>
    <row r="1763" spans="1:7" x14ac:dyDescent="0.25">
      <c r="A1763" s="1" t="s">
        <v>1886</v>
      </c>
      <c r="B1763" s="76">
        <v>89.548912000000001</v>
      </c>
      <c r="C1763" s="76">
        <v>89.622069999999994</v>
      </c>
      <c r="D1763" s="76">
        <v>88.788032999999999</v>
      </c>
      <c r="E1763" s="76">
        <v>89.256264000000002</v>
      </c>
      <c r="F1763" s="76">
        <v>59.478977</v>
      </c>
      <c r="G1763" s="79">
        <v>2615600</v>
      </c>
    </row>
    <row r="1764" spans="1:7" x14ac:dyDescent="0.25">
      <c r="A1764" s="1" t="s">
        <v>1887</v>
      </c>
      <c r="B1764" s="76">
        <v>88.868515000000002</v>
      </c>
      <c r="C1764" s="76">
        <v>89.066047999999995</v>
      </c>
      <c r="D1764" s="76">
        <v>87.237021999999996</v>
      </c>
      <c r="E1764" s="76">
        <v>87.463820999999996</v>
      </c>
      <c r="F1764" s="76">
        <v>58.284500000000001</v>
      </c>
      <c r="G1764" s="79">
        <v>1816900</v>
      </c>
    </row>
    <row r="1765" spans="1:7" x14ac:dyDescent="0.25">
      <c r="A1765" s="1" t="s">
        <v>1888</v>
      </c>
      <c r="B1765" s="76">
        <v>85.971343999999903</v>
      </c>
      <c r="C1765" s="76">
        <v>87.251655999999997</v>
      </c>
      <c r="D1765" s="76">
        <v>85.078781000000006</v>
      </c>
      <c r="E1765" s="76">
        <v>86.432259000000002</v>
      </c>
      <c r="F1765" s="76">
        <v>57.597099</v>
      </c>
      <c r="G1765" s="79">
        <v>2464600</v>
      </c>
    </row>
    <row r="1766" spans="1:7" x14ac:dyDescent="0.25">
      <c r="A1766" s="1" t="s">
        <v>1889</v>
      </c>
      <c r="B1766" s="76">
        <v>87.061440000000005</v>
      </c>
      <c r="C1766" s="76">
        <v>88.041793999999996</v>
      </c>
      <c r="D1766" s="76">
        <v>86.271300999999994</v>
      </c>
      <c r="E1766" s="76">
        <v>87.719887</v>
      </c>
      <c r="F1766" s="76">
        <v>58.455154</v>
      </c>
      <c r="G1766" s="79">
        <v>1787200</v>
      </c>
    </row>
    <row r="1767" spans="1:7" x14ac:dyDescent="0.25">
      <c r="A1767" s="1" t="s">
        <v>1890</v>
      </c>
      <c r="B1767" s="76">
        <v>87.727203000000003</v>
      </c>
      <c r="C1767" s="76">
        <v>88.963622999999998</v>
      </c>
      <c r="D1767" s="76">
        <v>87.244338999999997</v>
      </c>
      <c r="E1767" s="76">
        <v>88.927040000000005</v>
      </c>
      <c r="F1767" s="76">
        <v>59.25956</v>
      </c>
      <c r="G1767" s="79">
        <v>1741200</v>
      </c>
    </row>
    <row r="1768" spans="1:7" x14ac:dyDescent="0.25">
      <c r="A1768" s="1" t="s">
        <v>1891</v>
      </c>
      <c r="B1768" s="76">
        <v>89.256264000000002</v>
      </c>
      <c r="C1768" s="76">
        <v>90.602424999999997</v>
      </c>
      <c r="D1768" s="76">
        <v>89.146523000000002</v>
      </c>
      <c r="E1768" s="76">
        <v>89.797652999999997</v>
      </c>
      <c r="F1768" s="76">
        <v>59.839740999999997</v>
      </c>
      <c r="G1768" s="79">
        <v>1240700</v>
      </c>
    </row>
    <row r="1769" spans="1:7" x14ac:dyDescent="0.25">
      <c r="A1769" s="1" t="s">
        <v>1892</v>
      </c>
      <c r="B1769" s="76">
        <v>89.614754000000005</v>
      </c>
      <c r="C1769" s="76">
        <v>90.456100000000006</v>
      </c>
      <c r="D1769" s="76">
        <v>89.526961999999997</v>
      </c>
      <c r="E1769" s="76">
        <v>89.973243999999994</v>
      </c>
      <c r="F1769" s="76">
        <v>59.956744999999998</v>
      </c>
      <c r="G1769" s="79">
        <v>926400</v>
      </c>
    </row>
    <row r="1770" spans="1:7" x14ac:dyDescent="0.25">
      <c r="A1770" s="1" t="s">
        <v>1893</v>
      </c>
      <c r="B1770" s="76">
        <v>89.987876999999997</v>
      </c>
      <c r="C1770" s="76">
        <v>92.211967000000001</v>
      </c>
      <c r="D1770" s="76">
        <v>89.929344</v>
      </c>
      <c r="E1770" s="76">
        <v>92.131484999999998</v>
      </c>
      <c r="F1770" s="76">
        <v>61.394969999999901</v>
      </c>
      <c r="G1770" s="79">
        <v>1626900</v>
      </c>
    </row>
    <row r="1771" spans="1:7" x14ac:dyDescent="0.25">
      <c r="A1771" s="1" t="s">
        <v>1894</v>
      </c>
      <c r="B1771" s="76">
        <v>91.890052999999995</v>
      </c>
      <c r="C1771" s="76">
        <v>92.365600999999998</v>
      </c>
      <c r="D1771" s="76">
        <v>89.314796000000001</v>
      </c>
      <c r="E1771" s="76">
        <v>89.658653000000001</v>
      </c>
      <c r="F1771" s="76">
        <v>59.747101000000001</v>
      </c>
      <c r="G1771" s="79">
        <v>2570100</v>
      </c>
    </row>
    <row r="1772" spans="1:7" x14ac:dyDescent="0.25">
      <c r="A1772" s="1" t="s">
        <v>1895</v>
      </c>
      <c r="B1772" s="76">
        <v>88.846564999999998</v>
      </c>
      <c r="C1772" s="76">
        <v>88.978256000000002</v>
      </c>
      <c r="D1772" s="76">
        <v>87.536986999999996</v>
      </c>
      <c r="E1772" s="76">
        <v>87.719887</v>
      </c>
      <c r="F1772" s="76">
        <v>58.455154</v>
      </c>
      <c r="G1772" s="79">
        <v>5374100</v>
      </c>
    </row>
    <row r="1773" spans="1:7" x14ac:dyDescent="0.25">
      <c r="A1773" s="1" t="s">
        <v>1896</v>
      </c>
      <c r="B1773" s="76">
        <v>87.866210999999893</v>
      </c>
      <c r="C1773" s="76">
        <v>89.965926999999994</v>
      </c>
      <c r="D1773" s="76">
        <v>87.675987000000006</v>
      </c>
      <c r="E1773" s="76">
        <v>89.695228999999998</v>
      </c>
      <c r="F1773" s="76">
        <v>59.771487999999998</v>
      </c>
      <c r="G1773" s="79">
        <v>2095500</v>
      </c>
    </row>
    <row r="1774" spans="1:7" x14ac:dyDescent="0.25">
      <c r="A1774" s="1" t="s">
        <v>1897</v>
      </c>
      <c r="B1774" s="76">
        <v>89.622069999999994</v>
      </c>
      <c r="C1774" s="76">
        <v>89.943977000000004</v>
      </c>
      <c r="D1774" s="76">
        <v>88.941672999999994</v>
      </c>
      <c r="E1774" s="76">
        <v>89.131889000000001</v>
      </c>
      <c r="F1774" s="76">
        <v>59.396065</v>
      </c>
      <c r="G1774" s="79">
        <v>1127600</v>
      </c>
    </row>
    <row r="1775" spans="1:7" x14ac:dyDescent="0.25">
      <c r="A1775" s="1" t="s">
        <v>1898</v>
      </c>
      <c r="B1775" s="76">
        <v>89.300162999999998</v>
      </c>
      <c r="C1775" s="76">
        <v>90.280518000000001</v>
      </c>
      <c r="D1775" s="76">
        <v>89.263580000000005</v>
      </c>
      <c r="E1775" s="76">
        <v>89.563537999999994</v>
      </c>
      <c r="F1775" s="76">
        <v>59.683723000000001</v>
      </c>
      <c r="G1775" s="79">
        <v>736100</v>
      </c>
    </row>
    <row r="1776" spans="1:7" x14ac:dyDescent="0.25">
      <c r="A1776" s="1" t="s">
        <v>1899</v>
      </c>
      <c r="B1776" s="76">
        <v>89.987876999999997</v>
      </c>
      <c r="C1776" s="76">
        <v>91.297454999999999</v>
      </c>
      <c r="D1776" s="76">
        <v>89.929344</v>
      </c>
      <c r="E1776" s="76">
        <v>91.195030000000003</v>
      </c>
      <c r="F1776" s="76">
        <v>60.770927</v>
      </c>
      <c r="G1776" s="79">
        <v>956700</v>
      </c>
    </row>
    <row r="1777" spans="1:7" x14ac:dyDescent="0.25">
      <c r="A1777" s="1" t="s">
        <v>1900</v>
      </c>
      <c r="B1777" s="76">
        <v>91.670569999999998</v>
      </c>
      <c r="C1777" s="76">
        <v>92.358283999999998</v>
      </c>
      <c r="D1777" s="76">
        <v>90.799956999999907</v>
      </c>
      <c r="E1777" s="76">
        <v>92.007110999999995</v>
      </c>
      <c r="F1777" s="76">
        <v>61.312068999999902</v>
      </c>
      <c r="G1777" s="79">
        <v>2144800</v>
      </c>
    </row>
    <row r="1778" spans="1:7" x14ac:dyDescent="0.25">
      <c r="A1778" s="1" t="s">
        <v>1901</v>
      </c>
      <c r="B1778" s="76">
        <v>92.007110999999995</v>
      </c>
      <c r="C1778" s="76">
        <v>92.138801999999998</v>
      </c>
      <c r="D1778" s="76">
        <v>90.229301000000007</v>
      </c>
      <c r="E1778" s="76">
        <v>90.917015000000006</v>
      </c>
      <c r="F1778" s="76">
        <v>60.585667000000001</v>
      </c>
      <c r="G1778" s="79">
        <v>1657200</v>
      </c>
    </row>
    <row r="1779" spans="1:7" x14ac:dyDescent="0.25">
      <c r="A1779" s="1" t="s">
        <v>1902</v>
      </c>
      <c r="B1779" s="76">
        <v>90.331733999999997</v>
      </c>
      <c r="C1779" s="76">
        <v>91.531570000000002</v>
      </c>
      <c r="D1779" s="76">
        <v>90.295151000000004</v>
      </c>
      <c r="E1779" s="76">
        <v>91.531570000000002</v>
      </c>
      <c r="F1779" s="76">
        <v>61.415259999999897</v>
      </c>
      <c r="G1779" s="79">
        <v>1373200</v>
      </c>
    </row>
    <row r="1780" spans="1:7" x14ac:dyDescent="0.25">
      <c r="A1780" s="1" t="s">
        <v>1903</v>
      </c>
      <c r="B1780" s="76">
        <v>91.531570000000002</v>
      </c>
      <c r="C1780" s="76">
        <v>92.072959999999995</v>
      </c>
      <c r="D1780" s="76">
        <v>89.892760999999993</v>
      </c>
      <c r="E1780" s="76">
        <v>90.390259</v>
      </c>
      <c r="F1780" s="76">
        <v>60.649467000000001</v>
      </c>
      <c r="G1780" s="79">
        <v>2629400</v>
      </c>
    </row>
    <row r="1781" spans="1:7" x14ac:dyDescent="0.25">
      <c r="A1781" s="1" t="s">
        <v>1904</v>
      </c>
      <c r="B1781" s="76">
        <v>90.426841999999994</v>
      </c>
      <c r="C1781" s="76">
        <v>90.426841999999994</v>
      </c>
      <c r="D1781" s="76">
        <v>88.488074999999995</v>
      </c>
      <c r="E1781" s="76">
        <v>89.512328999999994</v>
      </c>
      <c r="F1781" s="76">
        <v>60.060406</v>
      </c>
      <c r="G1781" s="79">
        <v>3401800</v>
      </c>
    </row>
    <row r="1782" spans="1:7" x14ac:dyDescent="0.25">
      <c r="A1782" s="1" t="s">
        <v>1905</v>
      </c>
      <c r="B1782" s="76">
        <v>89.490379000000004</v>
      </c>
      <c r="C1782" s="76">
        <v>92.219284000000002</v>
      </c>
      <c r="D1782" s="76">
        <v>88.480758999999907</v>
      </c>
      <c r="E1782" s="76">
        <v>91.992485000000002</v>
      </c>
      <c r="F1782" s="76">
        <v>61.724536999999998</v>
      </c>
      <c r="G1782" s="79">
        <v>4208900</v>
      </c>
    </row>
    <row r="1783" spans="1:7" x14ac:dyDescent="0.25">
      <c r="A1783" s="1" t="s">
        <v>1906</v>
      </c>
      <c r="B1783" s="76">
        <v>91.524253999999999</v>
      </c>
      <c r="C1783" s="76">
        <v>92.833832000000001</v>
      </c>
      <c r="D1783" s="76">
        <v>91.312088000000003</v>
      </c>
      <c r="E1783" s="76">
        <v>91.707153000000005</v>
      </c>
      <c r="F1783" s="76">
        <v>61.533057999999997</v>
      </c>
      <c r="G1783" s="79">
        <v>1978200</v>
      </c>
    </row>
    <row r="1784" spans="1:7" x14ac:dyDescent="0.25">
      <c r="A1784" s="1" t="s">
        <v>1907</v>
      </c>
      <c r="B1784" s="76">
        <v>91.231605999999999</v>
      </c>
      <c r="C1784" s="76">
        <v>91.860793999999999</v>
      </c>
      <c r="D1784" s="76">
        <v>91.121864000000002</v>
      </c>
      <c r="E1784" s="76">
        <v>91.524253999999999</v>
      </c>
      <c r="F1784" s="76">
        <v>61.410342999999997</v>
      </c>
      <c r="G1784" s="79">
        <v>1602200</v>
      </c>
    </row>
    <row r="1785" spans="1:7" x14ac:dyDescent="0.25">
      <c r="A1785" s="1" t="s">
        <v>1908</v>
      </c>
      <c r="B1785" s="76">
        <v>92.182700999999994</v>
      </c>
      <c r="C1785" s="76">
        <v>93.426436999999893</v>
      </c>
      <c r="D1785" s="76">
        <v>91.904685999999998</v>
      </c>
      <c r="E1785" s="76">
        <v>92.914306999999994</v>
      </c>
      <c r="F1785" s="76">
        <v>62.343047999999897</v>
      </c>
      <c r="G1785" s="79">
        <v>2302300</v>
      </c>
    </row>
    <row r="1786" spans="1:7" x14ac:dyDescent="0.25">
      <c r="A1786" s="1" t="s">
        <v>1909</v>
      </c>
      <c r="B1786" s="76">
        <v>95.138396999999998</v>
      </c>
      <c r="C1786" s="76">
        <v>99.425629000000001</v>
      </c>
      <c r="D1786" s="76">
        <v>94.019035000000002</v>
      </c>
      <c r="E1786" s="76">
        <v>99.315887000000004</v>
      </c>
      <c r="F1786" s="76">
        <v>66.638335999999995</v>
      </c>
      <c r="G1786" s="79">
        <v>7241900</v>
      </c>
    </row>
    <row r="1787" spans="1:7" x14ac:dyDescent="0.25">
      <c r="A1787" s="1" t="s">
        <v>1910</v>
      </c>
      <c r="B1787" s="76">
        <v>99.53537</v>
      </c>
      <c r="C1787" s="76">
        <v>99.901168999999996</v>
      </c>
      <c r="D1787" s="76">
        <v>97.706344999999999</v>
      </c>
      <c r="E1787" s="76">
        <v>98.511116000000001</v>
      </c>
      <c r="F1787" s="76">
        <v>66.098357999999905</v>
      </c>
      <c r="G1787" s="79">
        <v>3096100</v>
      </c>
    </row>
    <row r="1788" spans="1:7" x14ac:dyDescent="0.25">
      <c r="A1788" s="1" t="s">
        <v>1911</v>
      </c>
      <c r="B1788" s="76">
        <v>98.364791999999994</v>
      </c>
      <c r="C1788" s="76">
        <v>99.513419999999996</v>
      </c>
      <c r="D1788" s="76">
        <v>95.401779000000005</v>
      </c>
      <c r="E1788" s="76">
        <v>97.552711000000002</v>
      </c>
      <c r="F1788" s="76">
        <v>65.455292</v>
      </c>
      <c r="G1788" s="79">
        <v>4365600</v>
      </c>
    </row>
    <row r="1789" spans="1:7" x14ac:dyDescent="0.25">
      <c r="A1789" s="1" t="s">
        <v>1912</v>
      </c>
      <c r="B1789" s="76">
        <v>97.230796999999995</v>
      </c>
      <c r="C1789" s="76">
        <v>97.303962999999996</v>
      </c>
      <c r="D1789" s="76">
        <v>95.153030000000001</v>
      </c>
      <c r="E1789" s="76">
        <v>96.126068000000004</v>
      </c>
      <c r="F1789" s="76">
        <v>64.498054999999994</v>
      </c>
      <c r="G1789" s="79">
        <v>2254900</v>
      </c>
    </row>
    <row r="1790" spans="1:7" x14ac:dyDescent="0.25">
      <c r="A1790" s="1" t="s">
        <v>1913</v>
      </c>
      <c r="B1790" s="76">
        <v>95.482253999999998</v>
      </c>
      <c r="C1790" s="76">
        <v>98.386741999999998</v>
      </c>
      <c r="D1790" s="76">
        <v>95.138396999999998</v>
      </c>
      <c r="E1790" s="76">
        <v>98.269683999999998</v>
      </c>
      <c r="F1790" s="76">
        <v>65.936378000000005</v>
      </c>
      <c r="G1790" s="79">
        <v>2183700</v>
      </c>
    </row>
    <row r="1791" spans="1:7" x14ac:dyDescent="0.25">
      <c r="A1791" s="1" t="s">
        <v>1914</v>
      </c>
      <c r="B1791" s="76">
        <v>97.962409999999906</v>
      </c>
      <c r="C1791" s="76">
        <v>98.811072999999993</v>
      </c>
      <c r="D1791" s="76">
        <v>97.040581000000003</v>
      </c>
      <c r="E1791" s="76">
        <v>97.969727000000006</v>
      </c>
      <c r="F1791" s="76">
        <v>65.735106999999999</v>
      </c>
      <c r="G1791" s="79">
        <v>2201100</v>
      </c>
    </row>
    <row r="1792" spans="1:7" x14ac:dyDescent="0.25">
      <c r="A1792" s="1" t="s">
        <v>1915</v>
      </c>
      <c r="B1792" s="76">
        <v>98.152625999999998</v>
      </c>
      <c r="C1792" s="76">
        <v>98.481849999999994</v>
      </c>
      <c r="D1792" s="76">
        <v>96.674773999999999</v>
      </c>
      <c r="E1792" s="76">
        <v>97.523444999999995</v>
      </c>
      <c r="F1792" s="76">
        <v>65.435668999999905</v>
      </c>
      <c r="G1792" s="79">
        <v>1908100</v>
      </c>
    </row>
    <row r="1793" spans="1:7" x14ac:dyDescent="0.25">
      <c r="A1793" s="1" t="s">
        <v>1916</v>
      </c>
      <c r="B1793" s="76">
        <v>97.523444999999995</v>
      </c>
      <c r="C1793" s="76">
        <v>98.035567999999998</v>
      </c>
      <c r="D1793" s="76">
        <v>96.499190999999996</v>
      </c>
      <c r="E1793" s="76">
        <v>98.028251999999995</v>
      </c>
      <c r="F1793" s="76">
        <v>65.774367999999996</v>
      </c>
      <c r="G1793" s="79">
        <v>1598700</v>
      </c>
    </row>
    <row r="1794" spans="1:7" x14ac:dyDescent="0.25">
      <c r="A1794" s="1" t="s">
        <v>1917</v>
      </c>
      <c r="B1794" s="76">
        <v>98.035567999999998</v>
      </c>
      <c r="C1794" s="76">
        <v>98.942763999999997</v>
      </c>
      <c r="D1794" s="76">
        <v>96.565033</v>
      </c>
      <c r="E1794" s="76">
        <v>98.598906999999997</v>
      </c>
      <c r="F1794" s="76">
        <v>66.157264999999995</v>
      </c>
      <c r="G1794" s="79">
        <v>1666100</v>
      </c>
    </row>
    <row r="1795" spans="1:7" x14ac:dyDescent="0.25">
      <c r="A1795" s="1" t="s">
        <v>1918</v>
      </c>
      <c r="B1795" s="76">
        <v>98.525749000000005</v>
      </c>
      <c r="C1795" s="76">
        <v>99.008606</v>
      </c>
      <c r="D1795" s="76">
        <v>98.189208999999906</v>
      </c>
      <c r="E1795" s="76">
        <v>98.862289000000004</v>
      </c>
      <c r="F1795" s="76">
        <v>66.333977000000004</v>
      </c>
      <c r="G1795" s="79">
        <v>1210500</v>
      </c>
    </row>
    <row r="1796" spans="1:7" x14ac:dyDescent="0.25">
      <c r="A1796" s="1" t="s">
        <v>1919</v>
      </c>
      <c r="B1796" s="76">
        <v>98.035567999999998</v>
      </c>
      <c r="C1796" s="76">
        <v>99.498786999999993</v>
      </c>
      <c r="D1796" s="76">
        <v>97.757560999999995</v>
      </c>
      <c r="E1796" s="76">
        <v>98.108733999999998</v>
      </c>
      <c r="F1796" s="76">
        <v>65.828377000000003</v>
      </c>
      <c r="G1796" s="79">
        <v>1357200</v>
      </c>
    </row>
    <row r="1797" spans="1:7" x14ac:dyDescent="0.25">
      <c r="A1797" s="1" t="s">
        <v>1920</v>
      </c>
      <c r="B1797" s="76">
        <v>98.108733999999998</v>
      </c>
      <c r="C1797" s="76">
        <v>98.342842000000005</v>
      </c>
      <c r="D1797" s="76">
        <v>96.345551</v>
      </c>
      <c r="E1797" s="76">
        <v>96.57235</v>
      </c>
      <c r="F1797" s="76">
        <v>64.797493000000003</v>
      </c>
      <c r="G1797" s="79">
        <v>1246200</v>
      </c>
    </row>
    <row r="1798" spans="1:7" x14ac:dyDescent="0.25">
      <c r="A1798" s="1" t="s">
        <v>1921</v>
      </c>
      <c r="B1798" s="76">
        <v>96.821097999999907</v>
      </c>
      <c r="C1798" s="76">
        <v>97.567336999999995</v>
      </c>
      <c r="D1798" s="76">
        <v>94.692115999999999</v>
      </c>
      <c r="E1798" s="76">
        <v>96.682091</v>
      </c>
      <c r="F1798" s="76">
        <v>64.871131999999903</v>
      </c>
      <c r="G1798" s="79">
        <v>1793200</v>
      </c>
    </row>
    <row r="1799" spans="1:7" x14ac:dyDescent="0.25">
      <c r="A1799" s="1" t="s">
        <v>1922</v>
      </c>
      <c r="B1799" s="76">
        <v>96.543091000000004</v>
      </c>
      <c r="C1799" s="76">
        <v>97.998992999999999</v>
      </c>
      <c r="D1799" s="76">
        <v>91.531570000000002</v>
      </c>
      <c r="E1799" s="76">
        <v>92.987472999999994</v>
      </c>
      <c r="F1799" s="76">
        <v>62.392150999999998</v>
      </c>
      <c r="G1799" s="79">
        <v>2460100</v>
      </c>
    </row>
    <row r="1800" spans="1:7" x14ac:dyDescent="0.25">
      <c r="A1800" s="1" t="s">
        <v>1923</v>
      </c>
      <c r="B1800" s="76">
        <v>93.916611000000003</v>
      </c>
      <c r="C1800" s="76">
        <v>94.472633000000002</v>
      </c>
      <c r="D1800" s="76">
        <v>92.906989999999993</v>
      </c>
      <c r="E1800" s="76">
        <v>93.060631000000001</v>
      </c>
      <c r="F1800" s="76">
        <v>62.441207999999897</v>
      </c>
      <c r="G1800" s="79">
        <v>2712700</v>
      </c>
    </row>
    <row r="1801" spans="1:7" x14ac:dyDescent="0.25">
      <c r="A1801" s="1" t="s">
        <v>1924</v>
      </c>
      <c r="B1801" s="76">
        <v>93.638603000000003</v>
      </c>
      <c r="C1801" s="76">
        <v>93.733711</v>
      </c>
      <c r="D1801" s="76">
        <v>90.360991999999996</v>
      </c>
      <c r="E1801" s="76">
        <v>92.182700999999994</v>
      </c>
      <c r="F1801" s="76">
        <v>61.852153999999999</v>
      </c>
      <c r="G1801" s="79">
        <v>2629100</v>
      </c>
    </row>
    <row r="1802" spans="1:7" x14ac:dyDescent="0.25">
      <c r="A1802" s="1" t="s">
        <v>1925</v>
      </c>
      <c r="B1802" s="76">
        <v>91.487670999999906</v>
      </c>
      <c r="C1802" s="76">
        <v>91.824211000000005</v>
      </c>
      <c r="D1802" s="76">
        <v>88.773406999999906</v>
      </c>
      <c r="E1802" s="76">
        <v>88.963622999999998</v>
      </c>
      <c r="F1802" s="76">
        <v>59.692253000000001</v>
      </c>
      <c r="G1802" s="79">
        <v>2778800</v>
      </c>
    </row>
    <row r="1803" spans="1:7" x14ac:dyDescent="0.25">
      <c r="A1803" s="1" t="s">
        <v>1926</v>
      </c>
      <c r="B1803" s="76">
        <v>88.788032999999999</v>
      </c>
      <c r="C1803" s="76">
        <v>89.402587999999994</v>
      </c>
      <c r="D1803" s="76">
        <v>85.598220999999995</v>
      </c>
      <c r="E1803" s="76">
        <v>85.861603000000002</v>
      </c>
      <c r="F1803" s="76">
        <v>57.610886000000001</v>
      </c>
      <c r="G1803" s="79">
        <v>2737600</v>
      </c>
    </row>
    <row r="1804" spans="1:7" x14ac:dyDescent="0.25">
      <c r="A1804" s="1" t="s">
        <v>1927</v>
      </c>
      <c r="B1804" s="76">
        <v>86.103034999999906</v>
      </c>
      <c r="C1804" s="76">
        <v>90.639007999999905</v>
      </c>
      <c r="D1804" s="76">
        <v>86.103034999999906</v>
      </c>
      <c r="E1804" s="76">
        <v>89.900077999999993</v>
      </c>
      <c r="F1804" s="76">
        <v>60.32058</v>
      </c>
      <c r="G1804" s="79">
        <v>2163900</v>
      </c>
    </row>
    <row r="1805" spans="1:7" x14ac:dyDescent="0.25">
      <c r="A1805" s="1" t="s">
        <v>1928</v>
      </c>
      <c r="B1805" s="76">
        <v>89.980559999999997</v>
      </c>
      <c r="C1805" s="76">
        <v>89.980559999999997</v>
      </c>
      <c r="D1805" s="76">
        <v>87.917418999999995</v>
      </c>
      <c r="E1805" s="76">
        <v>88.180801000000002</v>
      </c>
      <c r="F1805" s="76">
        <v>59.166984999999997</v>
      </c>
      <c r="G1805" s="79">
        <v>1793700</v>
      </c>
    </row>
    <row r="1806" spans="1:7" x14ac:dyDescent="0.25">
      <c r="A1806" s="1" t="s">
        <v>1929</v>
      </c>
      <c r="B1806" s="76">
        <v>89.987876999999997</v>
      </c>
      <c r="C1806" s="76">
        <v>91.633994999999999</v>
      </c>
      <c r="D1806" s="76">
        <v>89.826920000000001</v>
      </c>
      <c r="E1806" s="76">
        <v>90.331733999999997</v>
      </c>
      <c r="F1806" s="76">
        <v>60.610202999999998</v>
      </c>
      <c r="G1806" s="79">
        <v>1753100</v>
      </c>
    </row>
    <row r="1807" spans="1:7" x14ac:dyDescent="0.25">
      <c r="A1807" s="1" t="s">
        <v>1930</v>
      </c>
      <c r="B1807" s="76">
        <v>91.026756000000006</v>
      </c>
      <c r="C1807" s="76">
        <v>91.597412000000006</v>
      </c>
      <c r="D1807" s="76">
        <v>90.324416999999997</v>
      </c>
      <c r="E1807" s="76">
        <v>90.982864000000006</v>
      </c>
      <c r="F1807" s="76">
        <v>61.047080999999999</v>
      </c>
      <c r="G1807" s="79">
        <v>1058600</v>
      </c>
    </row>
    <row r="1808" spans="1:7" x14ac:dyDescent="0.25">
      <c r="A1808" s="1" t="s">
        <v>1931</v>
      </c>
      <c r="B1808" s="76">
        <v>90.580475000000007</v>
      </c>
      <c r="C1808" s="76">
        <v>91.794944999999998</v>
      </c>
      <c r="D1808" s="76">
        <v>89.995193</v>
      </c>
      <c r="E1808" s="76">
        <v>91.026756000000006</v>
      </c>
      <c r="F1808" s="76">
        <v>61.076552999999997</v>
      </c>
      <c r="G1808" s="79">
        <v>1011900</v>
      </c>
    </row>
    <row r="1809" spans="1:7" x14ac:dyDescent="0.25">
      <c r="A1809" s="1" t="s">
        <v>1932</v>
      </c>
      <c r="B1809" s="76">
        <v>90.602424999999997</v>
      </c>
      <c r="C1809" s="76">
        <v>91.004807</v>
      </c>
      <c r="D1809" s="76">
        <v>87.800361999999893</v>
      </c>
      <c r="E1809" s="76">
        <v>87.910103000000007</v>
      </c>
      <c r="F1809" s="76">
        <v>58.985347999999902</v>
      </c>
      <c r="G1809" s="79">
        <v>2394100</v>
      </c>
    </row>
    <row r="1810" spans="1:7" x14ac:dyDescent="0.25">
      <c r="A1810" s="1" t="s">
        <v>1933</v>
      </c>
      <c r="B1810" s="76">
        <v>88.158851999999996</v>
      </c>
      <c r="C1810" s="76">
        <v>89.658653000000001</v>
      </c>
      <c r="D1810" s="76">
        <v>87.434562999999997</v>
      </c>
      <c r="E1810" s="76">
        <v>89.256264000000002</v>
      </c>
      <c r="F1810" s="76">
        <v>59.888596</v>
      </c>
      <c r="G1810" s="79">
        <v>2328900</v>
      </c>
    </row>
    <row r="1811" spans="1:7" x14ac:dyDescent="0.25">
      <c r="A1811" s="1" t="s">
        <v>1934</v>
      </c>
      <c r="B1811" s="76">
        <v>89.409903999999997</v>
      </c>
      <c r="C1811" s="76">
        <v>90.119559999999893</v>
      </c>
      <c r="D1811" s="76">
        <v>88.436867000000007</v>
      </c>
      <c r="E1811" s="76">
        <v>89.424537999999998</v>
      </c>
      <c r="F1811" s="76">
        <v>60.001494999999998</v>
      </c>
      <c r="G1811" s="79">
        <v>1207600</v>
      </c>
    </row>
    <row r="1812" spans="1:7" x14ac:dyDescent="0.25">
      <c r="A1812" s="1" t="s">
        <v>1935</v>
      </c>
      <c r="B1812" s="76">
        <v>89.768394000000001</v>
      </c>
      <c r="C1812" s="76">
        <v>89.863502999999994</v>
      </c>
      <c r="D1812" s="76">
        <v>87.910103000000007</v>
      </c>
      <c r="E1812" s="76">
        <v>88.458809000000002</v>
      </c>
      <c r="F1812" s="76">
        <v>59.353530999999997</v>
      </c>
      <c r="G1812" s="79">
        <v>2093500</v>
      </c>
    </row>
    <row r="1813" spans="1:7" x14ac:dyDescent="0.25">
      <c r="A1813" s="1" t="s">
        <v>1936</v>
      </c>
      <c r="B1813" s="76">
        <v>88.458809000000002</v>
      </c>
      <c r="C1813" s="76">
        <v>89.087997000000001</v>
      </c>
      <c r="D1813" s="76">
        <v>87.917418999999995</v>
      </c>
      <c r="E1813" s="76">
        <v>88.978256000000002</v>
      </c>
      <c r="F1813" s="76">
        <v>59.702052999999999</v>
      </c>
      <c r="G1813" s="79">
        <v>1130900</v>
      </c>
    </row>
    <row r="1814" spans="1:7" x14ac:dyDescent="0.25">
      <c r="A1814" s="1" t="s">
        <v>1937</v>
      </c>
      <c r="B1814" s="76">
        <v>88.817299000000006</v>
      </c>
      <c r="C1814" s="76">
        <v>89.644019999999998</v>
      </c>
      <c r="D1814" s="76">
        <v>88.312492000000006</v>
      </c>
      <c r="E1814" s="76">
        <v>89.519645999999995</v>
      </c>
      <c r="F1814" s="76">
        <v>60.065314999999998</v>
      </c>
      <c r="G1814" s="79">
        <v>941700</v>
      </c>
    </row>
    <row r="1815" spans="1:7" x14ac:dyDescent="0.25">
      <c r="A1815" s="1" t="s">
        <v>1938</v>
      </c>
      <c r="B1815" s="76">
        <v>89.761077999999998</v>
      </c>
      <c r="C1815" s="76">
        <v>91.494986999999995</v>
      </c>
      <c r="D1815" s="76">
        <v>88.992889000000005</v>
      </c>
      <c r="E1815" s="76">
        <v>91.429146000000003</v>
      </c>
      <c r="F1815" s="76">
        <v>61.346545999999996</v>
      </c>
      <c r="G1815" s="79">
        <v>2116500</v>
      </c>
    </row>
    <row r="1816" spans="1:7" x14ac:dyDescent="0.25">
      <c r="A1816" s="1" t="s">
        <v>1939</v>
      </c>
      <c r="B1816" s="76">
        <v>89.131889000000001</v>
      </c>
      <c r="C1816" s="76">
        <v>90.046402</v>
      </c>
      <c r="D1816" s="76">
        <v>88.773406999999906</v>
      </c>
      <c r="E1816" s="76">
        <v>89.351371999999998</v>
      </c>
      <c r="F1816" s="76">
        <v>59.952404000000001</v>
      </c>
      <c r="G1816" s="79">
        <v>5502100</v>
      </c>
    </row>
    <row r="1817" spans="1:7" x14ac:dyDescent="0.25">
      <c r="A1817" s="1" t="s">
        <v>1940</v>
      </c>
      <c r="B1817" s="76">
        <v>89.431854000000001</v>
      </c>
      <c r="C1817" s="76">
        <v>90.207358999999997</v>
      </c>
      <c r="D1817" s="76">
        <v>89.329430000000002</v>
      </c>
      <c r="E1817" s="76">
        <v>89.380638000000005</v>
      </c>
      <c r="F1817" s="76">
        <v>59.972037999999998</v>
      </c>
      <c r="G1817" s="79">
        <v>1702500</v>
      </c>
    </row>
    <row r="1818" spans="1:7" x14ac:dyDescent="0.25">
      <c r="A1818" s="1" t="s">
        <v>1941</v>
      </c>
      <c r="B1818" s="76">
        <v>89.241630999999998</v>
      </c>
      <c r="C1818" s="76">
        <v>90.112243999999905</v>
      </c>
      <c r="D1818" s="76">
        <v>87.661361999999997</v>
      </c>
      <c r="E1818" s="76">
        <v>88.297859000000003</v>
      </c>
      <c r="F1818" s="76">
        <v>59.245541000000003</v>
      </c>
      <c r="G1818" s="79">
        <v>2009600</v>
      </c>
    </row>
    <row r="1819" spans="1:7" x14ac:dyDescent="0.25">
      <c r="A1819" s="1" t="s">
        <v>1942</v>
      </c>
      <c r="B1819" s="76">
        <v>88.297859000000003</v>
      </c>
      <c r="C1819" s="76">
        <v>88.297859000000003</v>
      </c>
      <c r="D1819" s="76">
        <v>86.498099999999994</v>
      </c>
      <c r="E1819" s="76">
        <v>86.951697999999993</v>
      </c>
      <c r="F1819" s="76">
        <v>58.342278</v>
      </c>
      <c r="G1819" s="79">
        <v>1675900</v>
      </c>
    </row>
    <row r="1820" spans="1:7" x14ac:dyDescent="0.25">
      <c r="A1820" s="1" t="s">
        <v>1943</v>
      </c>
      <c r="B1820" s="76">
        <v>86.512732999999997</v>
      </c>
      <c r="C1820" s="76">
        <v>87.010222999999996</v>
      </c>
      <c r="D1820" s="76">
        <v>85.568954000000005</v>
      </c>
      <c r="E1820" s="76">
        <v>86.329833999999906</v>
      </c>
      <c r="F1820" s="76">
        <v>57.925041</v>
      </c>
      <c r="G1820" s="79">
        <v>1878500</v>
      </c>
    </row>
    <row r="1821" spans="1:7" x14ac:dyDescent="0.25">
      <c r="A1821" s="1" t="s">
        <v>1944</v>
      </c>
      <c r="B1821" s="76">
        <v>87.105339000000001</v>
      </c>
      <c r="C1821" s="76">
        <v>87.119964999999993</v>
      </c>
      <c r="D1821" s="76">
        <v>85.598220999999995</v>
      </c>
      <c r="E1821" s="76">
        <v>85.920128000000005</v>
      </c>
      <c r="F1821" s="76">
        <v>57.650126999999998</v>
      </c>
      <c r="G1821" s="79">
        <v>1986100</v>
      </c>
    </row>
    <row r="1822" spans="1:7" x14ac:dyDescent="0.25">
      <c r="A1822" s="1" t="s">
        <v>1945</v>
      </c>
      <c r="B1822" s="76">
        <v>86.103034999999906</v>
      </c>
      <c r="C1822" s="76">
        <v>87.646728999999993</v>
      </c>
      <c r="D1822" s="76">
        <v>85.927443999999994</v>
      </c>
      <c r="E1822" s="76">
        <v>87.310187999999997</v>
      </c>
      <c r="F1822" s="76">
        <v>58.582825</v>
      </c>
      <c r="G1822" s="79">
        <v>1670700</v>
      </c>
    </row>
    <row r="1823" spans="1:7" x14ac:dyDescent="0.25">
      <c r="A1823" s="1" t="s">
        <v>1946</v>
      </c>
      <c r="B1823" s="76">
        <v>87.310187999999997</v>
      </c>
      <c r="C1823" s="76">
        <v>88.005211000000003</v>
      </c>
      <c r="D1823" s="76">
        <v>86.680999999999997</v>
      </c>
      <c r="E1823" s="76">
        <v>87.946686</v>
      </c>
      <c r="F1823" s="76">
        <v>59.009884</v>
      </c>
      <c r="G1823" s="79">
        <v>1394800</v>
      </c>
    </row>
    <row r="1824" spans="1:7" x14ac:dyDescent="0.25">
      <c r="A1824" s="1" t="s">
        <v>1947</v>
      </c>
      <c r="B1824" s="76">
        <v>88.517341999999999</v>
      </c>
      <c r="C1824" s="76">
        <v>88.970939999999999</v>
      </c>
      <c r="D1824" s="76">
        <v>87.800361999999893</v>
      </c>
      <c r="E1824" s="76">
        <v>88.466125000000005</v>
      </c>
      <c r="F1824" s="76">
        <v>59.358432999999998</v>
      </c>
      <c r="G1824" s="79">
        <v>1299300</v>
      </c>
    </row>
    <row r="1825" spans="1:7" x14ac:dyDescent="0.25">
      <c r="A1825" s="1" t="s">
        <v>1948</v>
      </c>
      <c r="B1825" s="76">
        <v>88.466125000000005</v>
      </c>
      <c r="C1825" s="76">
        <v>88.700241000000005</v>
      </c>
      <c r="D1825" s="76">
        <v>87.090705999999997</v>
      </c>
      <c r="E1825" s="76">
        <v>87.895469999999904</v>
      </c>
      <c r="F1825" s="76">
        <v>58.975574000000002</v>
      </c>
      <c r="G1825" s="79">
        <v>1206200</v>
      </c>
    </row>
    <row r="1826" spans="1:7" x14ac:dyDescent="0.25">
      <c r="A1826" s="1" t="s">
        <v>1949</v>
      </c>
      <c r="B1826" s="76">
        <v>87.895469999999904</v>
      </c>
      <c r="C1826" s="76">
        <v>88.297859000000003</v>
      </c>
      <c r="D1826" s="76">
        <v>87.595511999999999</v>
      </c>
      <c r="E1826" s="76">
        <v>87.895469999999904</v>
      </c>
      <c r="F1826" s="76">
        <v>58.975574000000002</v>
      </c>
      <c r="G1826" s="79">
        <v>751800</v>
      </c>
    </row>
    <row r="1827" spans="1:7" x14ac:dyDescent="0.25">
      <c r="A1827" s="1" t="s">
        <v>1950</v>
      </c>
      <c r="B1827" s="76">
        <v>88.078377000000003</v>
      </c>
      <c r="C1827" s="76">
        <v>88.568550000000002</v>
      </c>
      <c r="D1827" s="76">
        <v>87.778412000000003</v>
      </c>
      <c r="E1827" s="76">
        <v>88.341751000000002</v>
      </c>
      <c r="F1827" s="76">
        <v>59.274985999999998</v>
      </c>
      <c r="G1827" s="79">
        <v>848200</v>
      </c>
    </row>
    <row r="1828" spans="1:7" x14ac:dyDescent="0.25">
      <c r="A1828" s="1" t="s">
        <v>1951</v>
      </c>
      <c r="B1828" s="76">
        <v>88.517341999999999</v>
      </c>
      <c r="C1828" s="76">
        <v>89.073363999999998</v>
      </c>
      <c r="D1828" s="76">
        <v>88.224693000000002</v>
      </c>
      <c r="E1828" s="76">
        <v>88.978256000000002</v>
      </c>
      <c r="F1828" s="76">
        <v>59.702052999999999</v>
      </c>
      <c r="G1828" s="79">
        <v>1072400</v>
      </c>
    </row>
    <row r="1829" spans="1:7" x14ac:dyDescent="0.25">
      <c r="A1829" s="1" t="s">
        <v>1952</v>
      </c>
      <c r="B1829" s="76">
        <v>88.524658000000002</v>
      </c>
      <c r="C1829" s="76">
        <v>89.256264000000002</v>
      </c>
      <c r="D1829" s="76">
        <v>86.615157999999994</v>
      </c>
      <c r="E1829" s="76">
        <v>87.163864000000004</v>
      </c>
      <c r="F1829" s="76">
        <v>58.484665</v>
      </c>
      <c r="G1829" s="79">
        <v>1271900</v>
      </c>
    </row>
    <row r="1830" spans="1:7" x14ac:dyDescent="0.25">
      <c r="A1830" s="1" t="s">
        <v>1953</v>
      </c>
      <c r="B1830" s="76">
        <v>84.639815999999996</v>
      </c>
      <c r="C1830" s="76">
        <v>87.302871999999994</v>
      </c>
      <c r="D1830" s="76">
        <v>84.639815999999996</v>
      </c>
      <c r="E1830" s="76">
        <v>87.090705999999997</v>
      </c>
      <c r="F1830" s="76">
        <v>58.435589</v>
      </c>
      <c r="G1830" s="79">
        <v>1433800</v>
      </c>
    </row>
    <row r="1831" spans="1:7" x14ac:dyDescent="0.25">
      <c r="A1831" s="1" t="s">
        <v>1954</v>
      </c>
      <c r="B1831" s="76">
        <v>89.607437000000004</v>
      </c>
      <c r="C1831" s="76">
        <v>89.607437000000004</v>
      </c>
      <c r="D1831" s="76">
        <v>86.300567999999998</v>
      </c>
      <c r="E1831" s="76">
        <v>88.049109999999999</v>
      </c>
      <c r="F1831" s="76">
        <v>59.078648000000001</v>
      </c>
      <c r="G1831" s="79">
        <v>1280800</v>
      </c>
    </row>
    <row r="1832" spans="1:7" x14ac:dyDescent="0.25">
      <c r="A1832" s="1" t="s">
        <v>1955</v>
      </c>
      <c r="B1832" s="76">
        <v>88.473442000000006</v>
      </c>
      <c r="C1832" s="76">
        <v>88.517341999999999</v>
      </c>
      <c r="D1832" s="76">
        <v>87.507720999999904</v>
      </c>
      <c r="E1832" s="76">
        <v>88.158851999999996</v>
      </c>
      <c r="F1832" s="76">
        <v>59.152282999999997</v>
      </c>
      <c r="G1832" s="79">
        <v>1155700</v>
      </c>
    </row>
    <row r="1833" spans="1:7" x14ac:dyDescent="0.25">
      <c r="A1833" s="1" t="s">
        <v>1956</v>
      </c>
      <c r="B1833" s="76">
        <v>90.690216000000007</v>
      </c>
      <c r="C1833" s="76">
        <v>90.690216000000007</v>
      </c>
      <c r="D1833" s="76">
        <v>87.749153000000007</v>
      </c>
      <c r="E1833" s="76">
        <v>88.846564999999998</v>
      </c>
      <c r="F1833" s="76">
        <v>59.613712</v>
      </c>
      <c r="G1833" s="79">
        <v>941900</v>
      </c>
    </row>
    <row r="1834" spans="1:7" x14ac:dyDescent="0.25">
      <c r="A1834" s="1" t="s">
        <v>1957</v>
      </c>
      <c r="B1834" s="76">
        <v>88.846564999999998</v>
      </c>
      <c r="C1834" s="76">
        <v>88.846564999999998</v>
      </c>
      <c r="D1834" s="76">
        <v>87.734519999999904</v>
      </c>
      <c r="E1834" s="76">
        <v>87.741837000000004</v>
      </c>
      <c r="F1834" s="76">
        <v>58.872439999999997</v>
      </c>
      <c r="G1834" s="79">
        <v>1788700</v>
      </c>
    </row>
    <row r="1835" spans="1:7" x14ac:dyDescent="0.25">
      <c r="A1835" s="1" t="s">
        <v>1958</v>
      </c>
      <c r="B1835" s="76">
        <v>87.749153000000007</v>
      </c>
      <c r="C1835" s="76">
        <v>88.319808999999907</v>
      </c>
      <c r="D1835" s="76">
        <v>87.178496999999993</v>
      </c>
      <c r="E1835" s="76">
        <v>87.866210999999893</v>
      </c>
      <c r="F1835" s="76">
        <v>58.955893999999901</v>
      </c>
      <c r="G1835" s="79">
        <v>1037300</v>
      </c>
    </row>
    <row r="1836" spans="1:7" x14ac:dyDescent="0.25">
      <c r="A1836" s="1" t="s">
        <v>1959</v>
      </c>
      <c r="B1836" s="76">
        <v>88.319808999999907</v>
      </c>
      <c r="C1836" s="76">
        <v>88.927040000000005</v>
      </c>
      <c r="D1836" s="76">
        <v>88.319808999999907</v>
      </c>
      <c r="E1836" s="76">
        <v>88.714873999999995</v>
      </c>
      <c r="F1836" s="76">
        <v>59.525332999999897</v>
      </c>
      <c r="G1836" s="79">
        <v>1279400</v>
      </c>
    </row>
    <row r="1837" spans="1:7" x14ac:dyDescent="0.25">
      <c r="A1837" s="1" t="s">
        <v>1960</v>
      </c>
      <c r="B1837" s="76">
        <v>88.714873999999995</v>
      </c>
      <c r="C1837" s="76">
        <v>89.717178000000004</v>
      </c>
      <c r="D1837" s="76">
        <v>88.524658000000002</v>
      </c>
      <c r="E1837" s="76">
        <v>89.658653000000001</v>
      </c>
      <c r="F1837" s="76">
        <v>60.158580999999998</v>
      </c>
      <c r="G1837" s="79">
        <v>1444900</v>
      </c>
    </row>
    <row r="1838" spans="1:7" x14ac:dyDescent="0.25">
      <c r="A1838" s="1" t="s">
        <v>1961</v>
      </c>
      <c r="B1838" s="76">
        <v>89.936661000000001</v>
      </c>
      <c r="C1838" s="76">
        <v>89.973243999999994</v>
      </c>
      <c r="D1838" s="76">
        <v>88.575867000000002</v>
      </c>
      <c r="E1838" s="76">
        <v>88.780715999999998</v>
      </c>
      <c r="F1838" s="76">
        <v>59.569515000000003</v>
      </c>
      <c r="G1838" s="79">
        <v>866000</v>
      </c>
    </row>
    <row r="1839" spans="1:7" x14ac:dyDescent="0.25">
      <c r="A1839" s="1" t="s">
        <v>1962</v>
      </c>
      <c r="B1839" s="76">
        <v>89.080680999999998</v>
      </c>
      <c r="C1839" s="76">
        <v>89.468429999999998</v>
      </c>
      <c r="D1839" s="76">
        <v>87.778412000000003</v>
      </c>
      <c r="E1839" s="76">
        <v>89.036781000000005</v>
      </c>
      <c r="F1839" s="76">
        <v>59.741337000000001</v>
      </c>
      <c r="G1839" s="79">
        <v>1064800</v>
      </c>
    </row>
    <row r="1840" spans="1:7" x14ac:dyDescent="0.25">
      <c r="A1840" s="1" t="s">
        <v>1963</v>
      </c>
      <c r="B1840" s="76">
        <v>88.853881999999999</v>
      </c>
      <c r="C1840" s="76">
        <v>89.366005000000001</v>
      </c>
      <c r="D1840" s="76">
        <v>88.312492000000006</v>
      </c>
      <c r="E1840" s="76">
        <v>88.890456999999998</v>
      </c>
      <c r="F1840" s="76">
        <v>59.6431579999999</v>
      </c>
      <c r="G1840" s="79">
        <v>892100</v>
      </c>
    </row>
    <row r="1841" spans="1:7" x14ac:dyDescent="0.25">
      <c r="A1841" s="1" t="s">
        <v>1964</v>
      </c>
      <c r="B1841" s="76">
        <v>88.283225999999999</v>
      </c>
      <c r="C1841" s="76">
        <v>88.853881999999999</v>
      </c>
      <c r="D1841" s="76">
        <v>87.793044999999907</v>
      </c>
      <c r="E1841" s="76">
        <v>88.649033000000003</v>
      </c>
      <c r="F1841" s="76">
        <v>59.900227000000001</v>
      </c>
      <c r="G1841" s="79">
        <v>773900</v>
      </c>
    </row>
    <row r="1842" spans="1:7" x14ac:dyDescent="0.25">
      <c r="A1842" s="1" t="s">
        <v>1965</v>
      </c>
      <c r="B1842" s="76">
        <v>88.831931999999995</v>
      </c>
      <c r="C1842" s="76">
        <v>88.839248999999995</v>
      </c>
      <c r="D1842" s="76">
        <v>86.768799000000001</v>
      </c>
      <c r="E1842" s="76">
        <v>86.790740999999997</v>
      </c>
      <c r="F1842" s="76">
        <v>58.644587999999999</v>
      </c>
      <c r="G1842" s="79">
        <v>1217200</v>
      </c>
    </row>
    <row r="1843" spans="1:7" x14ac:dyDescent="0.25">
      <c r="A1843" s="1" t="s">
        <v>1966</v>
      </c>
      <c r="B1843" s="76">
        <v>86.863906999999998</v>
      </c>
      <c r="C1843" s="76">
        <v>87.741837000000004</v>
      </c>
      <c r="D1843" s="76">
        <v>85.210471999999996</v>
      </c>
      <c r="E1843" s="76">
        <v>86.571258999999998</v>
      </c>
      <c r="F1843" s="76">
        <v>58.496272999999903</v>
      </c>
      <c r="G1843" s="79">
        <v>1960800</v>
      </c>
    </row>
    <row r="1844" spans="1:7" x14ac:dyDescent="0.25">
      <c r="A1844" s="1" t="s">
        <v>1967</v>
      </c>
      <c r="B1844" s="76">
        <v>86.512732999999997</v>
      </c>
      <c r="C1844" s="76">
        <v>88.319808999999907</v>
      </c>
      <c r="D1844" s="76">
        <v>86.359093000000001</v>
      </c>
      <c r="E1844" s="76">
        <v>88.122268999999903</v>
      </c>
      <c r="F1844" s="76">
        <v>59.5443</v>
      </c>
      <c r="G1844" s="79">
        <v>1805500</v>
      </c>
    </row>
    <row r="1845" spans="1:7" x14ac:dyDescent="0.25">
      <c r="A1845" s="1" t="s">
        <v>1968</v>
      </c>
      <c r="B1845" s="76">
        <v>89.819603000000001</v>
      </c>
      <c r="C1845" s="76">
        <v>89.819603000000001</v>
      </c>
      <c r="D1845" s="76">
        <v>87.866210999999893</v>
      </c>
      <c r="E1845" s="76">
        <v>88.144217999999995</v>
      </c>
      <c r="F1845" s="76">
        <v>59.559123999999997</v>
      </c>
      <c r="G1845" s="79">
        <v>992600</v>
      </c>
    </row>
    <row r="1846" spans="1:7" x14ac:dyDescent="0.25">
      <c r="A1846" s="1" t="s">
        <v>1969</v>
      </c>
      <c r="B1846" s="76">
        <v>88.327126000000007</v>
      </c>
      <c r="C1846" s="76">
        <v>88.524658000000002</v>
      </c>
      <c r="D1846" s="76">
        <v>87.105339000000001</v>
      </c>
      <c r="E1846" s="76">
        <v>87.471137999999996</v>
      </c>
      <c r="F1846" s="76">
        <v>59.104317000000002</v>
      </c>
      <c r="G1846" s="79">
        <v>1254600</v>
      </c>
    </row>
    <row r="1847" spans="1:7" x14ac:dyDescent="0.25">
      <c r="A1847" s="1" t="s">
        <v>1970</v>
      </c>
      <c r="B1847" s="76">
        <v>88.436867000000007</v>
      </c>
      <c r="C1847" s="76">
        <v>88.436867000000007</v>
      </c>
      <c r="D1847" s="76">
        <v>87.756469999999993</v>
      </c>
      <c r="E1847" s="76">
        <v>88.136902000000006</v>
      </c>
      <c r="F1847" s="76">
        <v>59.554203000000001</v>
      </c>
      <c r="G1847" s="79">
        <v>930300</v>
      </c>
    </row>
    <row r="1848" spans="1:7" x14ac:dyDescent="0.25">
      <c r="A1848" s="1" t="s">
        <v>1971</v>
      </c>
      <c r="B1848" s="76">
        <v>88.136902000000006</v>
      </c>
      <c r="C1848" s="76">
        <v>88.136902000000006</v>
      </c>
      <c r="D1848" s="76">
        <v>87.134597999999997</v>
      </c>
      <c r="E1848" s="76">
        <v>87.134597999999997</v>
      </c>
      <c r="F1848" s="76">
        <v>58.876914999999997</v>
      </c>
      <c r="G1848" s="79">
        <v>1321700</v>
      </c>
    </row>
    <row r="1849" spans="1:7" x14ac:dyDescent="0.25">
      <c r="A1849" s="1" t="s">
        <v>1972</v>
      </c>
      <c r="B1849" s="76">
        <v>87.141914</v>
      </c>
      <c r="C1849" s="76">
        <v>88.341751000000002</v>
      </c>
      <c r="D1849" s="76">
        <v>87.134597999999997</v>
      </c>
      <c r="E1849" s="76">
        <v>87.932052999999996</v>
      </c>
      <c r="F1849" s="76">
        <v>59.415764000000003</v>
      </c>
      <c r="G1849" s="79">
        <v>1218300</v>
      </c>
    </row>
    <row r="1850" spans="1:7" x14ac:dyDescent="0.25">
      <c r="A1850" s="1" t="s">
        <v>1973</v>
      </c>
      <c r="B1850" s="76">
        <v>87.749153000000007</v>
      </c>
      <c r="C1850" s="76">
        <v>87.997901999999996</v>
      </c>
      <c r="D1850" s="76">
        <v>86.263984999999906</v>
      </c>
      <c r="E1850" s="76">
        <v>86.366408999999905</v>
      </c>
      <c r="F1850" s="76">
        <v>58.357838000000001</v>
      </c>
      <c r="G1850" s="79">
        <v>1302400</v>
      </c>
    </row>
    <row r="1851" spans="1:7" x14ac:dyDescent="0.25">
      <c r="A1851" s="1" t="s">
        <v>1974</v>
      </c>
      <c r="B1851" s="76">
        <v>86.476151000000002</v>
      </c>
      <c r="C1851" s="76">
        <v>87.690619999999996</v>
      </c>
      <c r="D1851" s="76">
        <v>86.410308999999998</v>
      </c>
      <c r="E1851" s="76">
        <v>87.544303999999997</v>
      </c>
      <c r="F1851" s="76">
        <v>59.153758999999901</v>
      </c>
      <c r="G1851" s="79">
        <v>858200</v>
      </c>
    </row>
    <row r="1852" spans="1:7" x14ac:dyDescent="0.25">
      <c r="A1852" s="1" t="s">
        <v>1975</v>
      </c>
      <c r="B1852" s="76">
        <v>87.793044999999907</v>
      </c>
      <c r="C1852" s="76">
        <v>88.217383999999996</v>
      </c>
      <c r="D1852" s="76">
        <v>86.849273999999994</v>
      </c>
      <c r="E1852" s="76">
        <v>86.893165999999994</v>
      </c>
      <c r="F1852" s="76">
        <v>58.713776000000003</v>
      </c>
      <c r="G1852" s="79">
        <v>817200</v>
      </c>
    </row>
    <row r="1853" spans="1:7" x14ac:dyDescent="0.25">
      <c r="A1853" s="1" t="s">
        <v>1976</v>
      </c>
      <c r="B1853" s="76">
        <v>86.900481999999997</v>
      </c>
      <c r="C1853" s="76">
        <v>87.573562999999993</v>
      </c>
      <c r="D1853" s="76">
        <v>85.261680999999996</v>
      </c>
      <c r="E1853" s="76">
        <v>85.364104999999995</v>
      </c>
      <c r="F1853" s="76">
        <v>57.680591999999997</v>
      </c>
      <c r="G1853" s="79">
        <v>1409700</v>
      </c>
    </row>
    <row r="1854" spans="1:7" x14ac:dyDescent="0.25">
      <c r="A1854" s="1" t="s">
        <v>1977</v>
      </c>
      <c r="B1854" s="76">
        <v>85.488479999999996</v>
      </c>
      <c r="C1854" s="76">
        <v>85.803069999999906</v>
      </c>
      <c r="D1854" s="76">
        <v>83.637512000000001</v>
      </c>
      <c r="E1854" s="76">
        <v>84.281326000000007</v>
      </c>
      <c r="F1854" s="76">
        <v>56.948962999999999</v>
      </c>
      <c r="G1854" s="79">
        <v>1999600</v>
      </c>
    </row>
    <row r="1855" spans="1:7" x14ac:dyDescent="0.25">
      <c r="A1855" s="1" t="s">
        <v>1978</v>
      </c>
      <c r="B1855" s="76">
        <v>83.783828999999997</v>
      </c>
      <c r="C1855" s="76">
        <v>84.076476999999997</v>
      </c>
      <c r="D1855" s="76">
        <v>82.737633000000002</v>
      </c>
      <c r="E1855" s="76">
        <v>83.066856000000001</v>
      </c>
      <c r="F1855" s="76">
        <v>56.128337999999999</v>
      </c>
      <c r="G1855" s="79">
        <v>2073300</v>
      </c>
    </row>
    <row r="1856" spans="1:7" x14ac:dyDescent="0.25">
      <c r="A1856" s="1" t="s">
        <v>1979</v>
      </c>
      <c r="B1856" s="76">
        <v>83.330230999999998</v>
      </c>
      <c r="C1856" s="76">
        <v>83.388762999999997</v>
      </c>
      <c r="D1856" s="76">
        <v>81.46463</v>
      </c>
      <c r="E1856" s="76">
        <v>81.567054999999996</v>
      </c>
      <c r="F1856" s="76">
        <v>55.114922</v>
      </c>
      <c r="G1856" s="79">
        <v>2410900</v>
      </c>
    </row>
    <row r="1857" spans="1:7" x14ac:dyDescent="0.25">
      <c r="A1857" s="1" t="s">
        <v>1980</v>
      </c>
      <c r="B1857" s="76">
        <v>79.043006999999903</v>
      </c>
      <c r="C1857" s="76">
        <v>83.425345999999905</v>
      </c>
      <c r="D1857" s="76">
        <v>76.109252999999995</v>
      </c>
      <c r="E1857" s="76">
        <v>82.744949000000005</v>
      </c>
      <c r="F1857" s="76">
        <v>55.910831000000002</v>
      </c>
      <c r="G1857" s="79">
        <v>3065200</v>
      </c>
    </row>
    <row r="1858" spans="1:7" x14ac:dyDescent="0.25">
      <c r="A1858" s="1" t="s">
        <v>1981</v>
      </c>
      <c r="B1858" s="76">
        <v>83.235123000000002</v>
      </c>
      <c r="C1858" s="76">
        <v>84.434967</v>
      </c>
      <c r="D1858" s="76">
        <v>82.854691000000003</v>
      </c>
      <c r="E1858" s="76">
        <v>84.010627999999997</v>
      </c>
      <c r="F1858" s="76">
        <v>56.766025999999997</v>
      </c>
      <c r="G1858" s="79">
        <v>1666200</v>
      </c>
    </row>
    <row r="1859" spans="1:7" x14ac:dyDescent="0.25">
      <c r="A1859" s="1" t="s">
        <v>1982</v>
      </c>
      <c r="B1859" s="76">
        <v>83.586295999999905</v>
      </c>
      <c r="C1859" s="76">
        <v>84.844666000000004</v>
      </c>
      <c r="D1859" s="76">
        <v>82.818107999999995</v>
      </c>
      <c r="E1859" s="76">
        <v>82.840057000000002</v>
      </c>
      <c r="F1859" s="76">
        <v>55.975101000000002</v>
      </c>
      <c r="G1859" s="79">
        <v>1552700</v>
      </c>
    </row>
    <row r="1860" spans="1:7" x14ac:dyDescent="0.25">
      <c r="A1860" s="1" t="s">
        <v>1983</v>
      </c>
      <c r="B1860" s="76">
        <v>82.818107999999995</v>
      </c>
      <c r="C1860" s="76">
        <v>83.037589999999994</v>
      </c>
      <c r="D1860" s="76">
        <v>80.725707999999997</v>
      </c>
      <c r="E1860" s="76">
        <v>81.486580000000004</v>
      </c>
      <c r="F1860" s="76">
        <v>55.060555000000001</v>
      </c>
      <c r="G1860" s="79">
        <v>1819900</v>
      </c>
    </row>
    <row r="1861" spans="1:7" x14ac:dyDescent="0.25">
      <c r="A1861" s="1" t="s">
        <v>1984</v>
      </c>
      <c r="B1861" s="76">
        <v>81.669478999999995</v>
      </c>
      <c r="C1861" s="76">
        <v>83.030272999999994</v>
      </c>
      <c r="D1861" s="76">
        <v>81.384155000000007</v>
      </c>
      <c r="E1861" s="76">
        <v>82.042603</v>
      </c>
      <c r="F1861" s="76">
        <v>55.4362449999999</v>
      </c>
      <c r="G1861" s="79">
        <v>1497100</v>
      </c>
    </row>
    <row r="1862" spans="1:7" x14ac:dyDescent="0.25">
      <c r="A1862" s="1" t="s">
        <v>1985</v>
      </c>
      <c r="B1862" s="76">
        <v>83.878943999999905</v>
      </c>
      <c r="C1862" s="76">
        <v>85.173889000000003</v>
      </c>
      <c r="D1862" s="76">
        <v>83.571663000000001</v>
      </c>
      <c r="E1862" s="76">
        <v>84.976356999999993</v>
      </c>
      <c r="F1862" s="76">
        <v>57.418590999999999</v>
      </c>
      <c r="G1862" s="79">
        <v>2466500</v>
      </c>
    </row>
    <row r="1863" spans="1:7" x14ac:dyDescent="0.25">
      <c r="A1863" s="1" t="s">
        <v>1986</v>
      </c>
      <c r="B1863" s="76">
        <v>85.049515</v>
      </c>
      <c r="C1863" s="76">
        <v>88.034476999999995</v>
      </c>
      <c r="D1863" s="76">
        <v>84.866614999999996</v>
      </c>
      <c r="E1863" s="76">
        <v>87.55162</v>
      </c>
      <c r="F1863" s="76">
        <v>59.158687999999998</v>
      </c>
      <c r="G1863" s="79">
        <v>3042500</v>
      </c>
    </row>
    <row r="1864" spans="1:7" x14ac:dyDescent="0.25">
      <c r="A1864" s="1" t="s">
        <v>1987</v>
      </c>
      <c r="B1864" s="76">
        <v>87.566245999999893</v>
      </c>
      <c r="C1864" s="76">
        <v>88.627082999999999</v>
      </c>
      <c r="D1864" s="76">
        <v>86.666366999999994</v>
      </c>
      <c r="E1864" s="76">
        <v>88.531975000000003</v>
      </c>
      <c r="F1864" s="76">
        <v>59.821128999999999</v>
      </c>
      <c r="G1864" s="79">
        <v>2706200</v>
      </c>
    </row>
    <row r="1865" spans="1:7" x14ac:dyDescent="0.25">
      <c r="A1865" s="1" t="s">
        <v>1988</v>
      </c>
      <c r="B1865" s="76">
        <v>88.890456999999998</v>
      </c>
      <c r="C1865" s="76">
        <v>88.927040000000005</v>
      </c>
      <c r="D1865" s="76">
        <v>87.558929000000006</v>
      </c>
      <c r="E1865" s="76">
        <v>88.166167999999999</v>
      </c>
      <c r="F1865" s="76">
        <v>59.573920999999999</v>
      </c>
      <c r="G1865" s="79">
        <v>2216000</v>
      </c>
    </row>
    <row r="1866" spans="1:7" x14ac:dyDescent="0.25">
      <c r="A1866" s="1" t="s">
        <v>1989</v>
      </c>
      <c r="B1866" s="76">
        <v>88.166167999999999</v>
      </c>
      <c r="C1866" s="76">
        <v>90.185410000000005</v>
      </c>
      <c r="D1866" s="76">
        <v>87.785728000000006</v>
      </c>
      <c r="E1866" s="76">
        <v>88.444175999999999</v>
      </c>
      <c r="F1866" s="76">
        <v>59.761798999999897</v>
      </c>
      <c r="G1866" s="79">
        <v>1719400</v>
      </c>
    </row>
    <row r="1867" spans="1:7" x14ac:dyDescent="0.25">
      <c r="A1867" s="1" t="s">
        <v>1990</v>
      </c>
      <c r="B1867" s="76">
        <v>87.280922000000004</v>
      </c>
      <c r="C1867" s="76">
        <v>88.444175999999999</v>
      </c>
      <c r="D1867" s="76">
        <v>86.878540000000001</v>
      </c>
      <c r="E1867" s="76">
        <v>86.907798999999997</v>
      </c>
      <c r="F1867" s="76">
        <v>58.723663000000002</v>
      </c>
      <c r="G1867" s="79">
        <v>1380700</v>
      </c>
    </row>
    <row r="1868" spans="1:7" x14ac:dyDescent="0.25">
      <c r="A1868" s="1" t="s">
        <v>1991</v>
      </c>
      <c r="B1868" s="76">
        <v>86.761482000000001</v>
      </c>
      <c r="C1868" s="76">
        <v>87.361396999999997</v>
      </c>
      <c r="D1868" s="76">
        <v>85.949393999999998</v>
      </c>
      <c r="E1868" s="76">
        <v>86.095718000000005</v>
      </c>
      <c r="F1868" s="76">
        <v>58.174933999999901</v>
      </c>
      <c r="G1868" s="79">
        <v>1805500</v>
      </c>
    </row>
    <row r="1869" spans="1:7" x14ac:dyDescent="0.25">
      <c r="A1869" s="1" t="s">
        <v>1992</v>
      </c>
      <c r="B1869" s="76">
        <v>85.598220999999995</v>
      </c>
      <c r="C1869" s="76">
        <v>85.715278999999995</v>
      </c>
      <c r="D1869" s="76">
        <v>83.037589999999994</v>
      </c>
      <c r="E1869" s="76">
        <v>83.630195999999998</v>
      </c>
      <c r="F1869" s="76">
        <v>56.508980000000001</v>
      </c>
      <c r="G1869" s="79">
        <v>2305100</v>
      </c>
    </row>
    <row r="1870" spans="1:7" x14ac:dyDescent="0.25">
      <c r="A1870" s="1" t="s">
        <v>1993</v>
      </c>
      <c r="B1870" s="76">
        <v>83.476555000000005</v>
      </c>
      <c r="C1870" s="76">
        <v>85.422638000000006</v>
      </c>
      <c r="D1870" s="76">
        <v>83.037589999999994</v>
      </c>
      <c r="E1870" s="76">
        <v>85.320212999999995</v>
      </c>
      <c r="F1870" s="76">
        <v>57.650936000000002</v>
      </c>
      <c r="G1870" s="79">
        <v>1578400</v>
      </c>
    </row>
    <row r="1871" spans="1:7" x14ac:dyDescent="0.25">
      <c r="A1871" s="1" t="s">
        <v>1994</v>
      </c>
      <c r="B1871" s="76">
        <v>84.5886</v>
      </c>
      <c r="C1871" s="76">
        <v>84.749556999999996</v>
      </c>
      <c r="D1871" s="76">
        <v>83.513137999999998</v>
      </c>
      <c r="E1871" s="76">
        <v>83.586295999999905</v>
      </c>
      <c r="F1871" s="76">
        <v>56.479308999999901</v>
      </c>
      <c r="G1871" s="79">
        <v>1218200</v>
      </c>
    </row>
    <row r="1872" spans="1:7" x14ac:dyDescent="0.25">
      <c r="A1872" s="1" t="s">
        <v>1995</v>
      </c>
      <c r="B1872" s="76">
        <v>83.571663000000001</v>
      </c>
      <c r="C1872" s="76">
        <v>83.586295999999905</v>
      </c>
      <c r="D1872" s="76">
        <v>81.764595</v>
      </c>
      <c r="E1872" s="76">
        <v>81.815804</v>
      </c>
      <c r="F1872" s="76">
        <v>55.282996999999902</v>
      </c>
      <c r="G1872" s="79">
        <v>2060300</v>
      </c>
    </row>
    <row r="1873" spans="1:7" x14ac:dyDescent="0.25">
      <c r="A1873" s="1" t="s">
        <v>1996</v>
      </c>
      <c r="B1873" s="76">
        <v>82.181609999999907</v>
      </c>
      <c r="C1873" s="76">
        <v>84.149635000000004</v>
      </c>
      <c r="D1873" s="76">
        <v>82.159660000000002</v>
      </c>
      <c r="E1873" s="76">
        <v>84.010627999999997</v>
      </c>
      <c r="F1873" s="76">
        <v>56.766025999999997</v>
      </c>
      <c r="G1873" s="79">
        <v>1796200</v>
      </c>
    </row>
    <row r="1874" spans="1:7" x14ac:dyDescent="0.25">
      <c r="A1874" s="1" t="s">
        <v>1997</v>
      </c>
      <c r="B1874" s="76">
        <v>83.586295999999905</v>
      </c>
      <c r="C1874" s="76">
        <v>84.135002</v>
      </c>
      <c r="D1874" s="76">
        <v>82.964431999999903</v>
      </c>
      <c r="E1874" s="76">
        <v>83.681404000000001</v>
      </c>
      <c r="F1874" s="76">
        <v>56.543579000000001</v>
      </c>
      <c r="G1874" s="79">
        <v>1703200</v>
      </c>
    </row>
    <row r="1875" spans="1:7" x14ac:dyDescent="0.25">
      <c r="A1875" s="1" t="s">
        <v>1998</v>
      </c>
      <c r="B1875" s="76">
        <v>84.317909</v>
      </c>
      <c r="C1875" s="76">
        <v>85.671379000000002</v>
      </c>
      <c r="D1875" s="76">
        <v>83.922836000000004</v>
      </c>
      <c r="E1875" s="76">
        <v>85.268996999999999</v>
      </c>
      <c r="F1875" s="76">
        <v>57.616340999999998</v>
      </c>
      <c r="G1875" s="79">
        <v>1885800</v>
      </c>
    </row>
    <row r="1876" spans="1:7" x14ac:dyDescent="0.25">
      <c r="A1876" s="1" t="s">
        <v>1999</v>
      </c>
      <c r="B1876" s="76">
        <v>85.598220999999995</v>
      </c>
      <c r="C1876" s="76">
        <v>85.598220999999995</v>
      </c>
      <c r="D1876" s="76">
        <v>84.208168000000001</v>
      </c>
      <c r="E1876" s="76">
        <v>84.281326000000007</v>
      </c>
      <c r="F1876" s="76">
        <v>56.948962999999999</v>
      </c>
      <c r="G1876" s="79">
        <v>1426100</v>
      </c>
    </row>
    <row r="1877" spans="1:7" x14ac:dyDescent="0.25">
      <c r="A1877" s="1" t="s">
        <v>2000</v>
      </c>
      <c r="B1877" s="76">
        <v>84.281326000000007</v>
      </c>
      <c r="C1877" s="76">
        <v>84.391068000000004</v>
      </c>
      <c r="D1877" s="76">
        <v>83.344864000000001</v>
      </c>
      <c r="E1877" s="76">
        <v>83.974052</v>
      </c>
      <c r="F1877" s="76">
        <v>56.741325000000003</v>
      </c>
      <c r="G1877" s="79">
        <v>1433400</v>
      </c>
    </row>
    <row r="1878" spans="1:7" x14ac:dyDescent="0.25">
      <c r="A1878" s="1" t="s">
        <v>2001</v>
      </c>
      <c r="B1878" s="76">
        <v>84.156952000000004</v>
      </c>
      <c r="C1878" s="76">
        <v>84.237426999999997</v>
      </c>
      <c r="D1878" s="76">
        <v>81.632903999999996</v>
      </c>
      <c r="E1878" s="76">
        <v>81.632903999999996</v>
      </c>
      <c r="F1878" s="76">
        <v>55.159405</v>
      </c>
      <c r="G1878" s="79">
        <v>1446800</v>
      </c>
    </row>
    <row r="1879" spans="1:7" x14ac:dyDescent="0.25">
      <c r="A1879" s="1" t="s">
        <v>2002</v>
      </c>
      <c r="B1879" s="76">
        <v>81.267096999999893</v>
      </c>
      <c r="C1879" s="76">
        <v>81.435370999999904</v>
      </c>
      <c r="D1879" s="76">
        <v>79.255172999999999</v>
      </c>
      <c r="E1879" s="76">
        <v>80.776916999999997</v>
      </c>
      <c r="F1879" s="76">
        <v>54.581017000000003</v>
      </c>
      <c r="G1879" s="79">
        <v>3688100</v>
      </c>
    </row>
    <row r="1880" spans="1:7" x14ac:dyDescent="0.25">
      <c r="A1880" s="1" t="s">
        <v>2003</v>
      </c>
      <c r="B1880" s="76">
        <v>80.191634999999906</v>
      </c>
      <c r="C1880" s="76">
        <v>80.498908999999998</v>
      </c>
      <c r="D1880" s="76">
        <v>79.357596999999998</v>
      </c>
      <c r="E1880" s="76">
        <v>79.913619999999995</v>
      </c>
      <c r="F1880" s="76">
        <v>53.997677000000003</v>
      </c>
      <c r="G1880" s="79">
        <v>1823800</v>
      </c>
    </row>
    <row r="1881" spans="1:7" x14ac:dyDescent="0.25">
      <c r="A1881" s="1" t="s">
        <v>2004</v>
      </c>
      <c r="B1881" s="76">
        <v>79.474654999999998</v>
      </c>
      <c r="C1881" s="76">
        <v>80.272109999999998</v>
      </c>
      <c r="D1881" s="76">
        <v>77.923644999999993</v>
      </c>
      <c r="E1881" s="76">
        <v>78.552825999999996</v>
      </c>
      <c r="F1881" s="76">
        <v>53.078208999999902</v>
      </c>
      <c r="G1881" s="79">
        <v>1920900</v>
      </c>
    </row>
    <row r="1882" spans="1:7" x14ac:dyDescent="0.25">
      <c r="A1882" s="1" t="s">
        <v>2005</v>
      </c>
      <c r="B1882" s="76">
        <v>79.379547000000002</v>
      </c>
      <c r="C1882" s="76">
        <v>79.708770999999999</v>
      </c>
      <c r="D1882" s="76">
        <v>78.062652999999997</v>
      </c>
      <c r="E1882" s="76">
        <v>78.867424</v>
      </c>
      <c r="F1882" s="76">
        <v>53.290774999999996</v>
      </c>
      <c r="G1882" s="79">
        <v>1900200</v>
      </c>
    </row>
    <row r="1883" spans="1:7" x14ac:dyDescent="0.25">
      <c r="A1883" s="1" t="s">
        <v>2006</v>
      </c>
      <c r="B1883" s="76">
        <v>78.867424</v>
      </c>
      <c r="C1883" s="76">
        <v>82.518150000000006</v>
      </c>
      <c r="D1883" s="76">
        <v>77.382255999999998</v>
      </c>
      <c r="E1883" s="76">
        <v>81.837753000000006</v>
      </c>
      <c r="F1883" s="76">
        <v>55.297820999999999</v>
      </c>
      <c r="G1883" s="79">
        <v>2923600</v>
      </c>
    </row>
    <row r="1884" spans="1:7" x14ac:dyDescent="0.25">
      <c r="A1884" s="1" t="s">
        <v>2007</v>
      </c>
      <c r="B1884" s="76">
        <v>81.801169999999999</v>
      </c>
      <c r="C1884" s="76">
        <v>82.532783999999893</v>
      </c>
      <c r="D1884" s="76">
        <v>79.481971999999999</v>
      </c>
      <c r="E1884" s="76">
        <v>80.542808999999906</v>
      </c>
      <c r="F1884" s="76">
        <v>54.4228319999999</v>
      </c>
      <c r="G1884" s="79">
        <v>2152100</v>
      </c>
    </row>
    <row r="1885" spans="1:7" x14ac:dyDescent="0.25">
      <c r="A1885" s="1" t="s">
        <v>2008</v>
      </c>
      <c r="B1885" s="76">
        <v>80.550117</v>
      </c>
      <c r="C1885" s="76">
        <v>81.632903999999996</v>
      </c>
      <c r="D1885" s="76">
        <v>79.774612000000005</v>
      </c>
      <c r="E1885" s="76">
        <v>80.359900999999994</v>
      </c>
      <c r="F1885" s="76">
        <v>54.299252000000003</v>
      </c>
      <c r="G1885" s="79">
        <v>2401800</v>
      </c>
    </row>
    <row r="1886" spans="1:7" x14ac:dyDescent="0.25">
      <c r="A1886" s="1" t="s">
        <v>2009</v>
      </c>
      <c r="B1886" s="76">
        <v>81.976760999999996</v>
      </c>
      <c r="C1886" s="76">
        <v>84.010627999999997</v>
      </c>
      <c r="D1886" s="76">
        <v>81.647537</v>
      </c>
      <c r="E1886" s="76">
        <v>83.959418999999997</v>
      </c>
      <c r="F1886" s="76">
        <v>56.731448999999998</v>
      </c>
      <c r="G1886" s="79">
        <v>2757400</v>
      </c>
    </row>
    <row r="1887" spans="1:7" x14ac:dyDescent="0.25">
      <c r="A1887" s="1" t="s">
        <v>2010</v>
      </c>
      <c r="B1887" s="76">
        <v>83.725303999999994</v>
      </c>
      <c r="C1887" s="76">
        <v>84.632499999999993</v>
      </c>
      <c r="D1887" s="76">
        <v>83.154647999999995</v>
      </c>
      <c r="E1887" s="76">
        <v>83.330230999999998</v>
      </c>
      <c r="F1887" s="76">
        <v>56.306297000000001</v>
      </c>
      <c r="G1887" s="79">
        <v>876500</v>
      </c>
    </row>
    <row r="1888" spans="1:7" x14ac:dyDescent="0.25">
      <c r="A1888" s="1" t="s">
        <v>2011</v>
      </c>
      <c r="B1888" s="76">
        <v>84.720291000000003</v>
      </c>
      <c r="C1888" s="76">
        <v>85.751862000000003</v>
      </c>
      <c r="D1888" s="76">
        <v>83.835044999999994</v>
      </c>
      <c r="E1888" s="76">
        <v>84.142319000000001</v>
      </c>
      <c r="F1888" s="76">
        <v>56.855018999999899</v>
      </c>
      <c r="G1888" s="79">
        <v>1759500</v>
      </c>
    </row>
    <row r="1889" spans="1:7" x14ac:dyDescent="0.25">
      <c r="A1889" s="1" t="s">
        <v>2012</v>
      </c>
      <c r="B1889" s="76">
        <v>84.025261</v>
      </c>
      <c r="C1889" s="76">
        <v>84.281326000000007</v>
      </c>
      <c r="D1889" s="76">
        <v>83.279021999999998</v>
      </c>
      <c r="E1889" s="76">
        <v>83.827727999999993</v>
      </c>
      <c r="F1889" s="76">
        <v>56.642467000000003</v>
      </c>
      <c r="G1889" s="79">
        <v>1047600</v>
      </c>
    </row>
    <row r="1890" spans="1:7" x14ac:dyDescent="0.25">
      <c r="A1890" s="1" t="s">
        <v>2013</v>
      </c>
      <c r="B1890" s="76">
        <v>83.820412000000005</v>
      </c>
      <c r="C1890" s="76">
        <v>84.691024999999996</v>
      </c>
      <c r="D1890" s="76">
        <v>83.030272999999994</v>
      </c>
      <c r="E1890" s="76">
        <v>84.573966999999996</v>
      </c>
      <c r="F1890" s="76">
        <v>57.146698000000001</v>
      </c>
      <c r="G1890" s="79">
        <v>1689400</v>
      </c>
    </row>
    <row r="1891" spans="1:7" x14ac:dyDescent="0.25">
      <c r="A1891" s="1" t="s">
        <v>2014</v>
      </c>
      <c r="B1891" s="76">
        <v>83.739936999999998</v>
      </c>
      <c r="C1891" s="76">
        <v>84.047211000000004</v>
      </c>
      <c r="D1891" s="76">
        <v>82.605941999999999</v>
      </c>
      <c r="E1891" s="76">
        <v>82.781525000000002</v>
      </c>
      <c r="F1891" s="76">
        <v>55.935547</v>
      </c>
      <c r="G1891" s="79">
        <v>2260200</v>
      </c>
    </row>
    <row r="1892" spans="1:7" x14ac:dyDescent="0.25">
      <c r="A1892" s="1" t="s">
        <v>2015</v>
      </c>
      <c r="B1892" s="76">
        <v>82.488883999999999</v>
      </c>
      <c r="C1892" s="76">
        <v>82.598624999999998</v>
      </c>
      <c r="D1892" s="76">
        <v>81.340255999999997</v>
      </c>
      <c r="E1892" s="76">
        <v>82.027968999999999</v>
      </c>
      <c r="F1892" s="76">
        <v>55.426356999999904</v>
      </c>
      <c r="G1892" s="79">
        <v>1624800</v>
      </c>
    </row>
    <row r="1893" spans="1:7" x14ac:dyDescent="0.25">
      <c r="A1893" s="1" t="s">
        <v>2016</v>
      </c>
      <c r="B1893" s="76">
        <v>81.976760999999996</v>
      </c>
      <c r="C1893" s="76">
        <v>82.613258000000002</v>
      </c>
      <c r="D1893" s="76">
        <v>81.669478999999995</v>
      </c>
      <c r="E1893" s="76">
        <v>82.488883999999999</v>
      </c>
      <c r="F1893" s="76">
        <v>55.737797</v>
      </c>
      <c r="G1893" s="79">
        <v>2057600</v>
      </c>
    </row>
    <row r="1894" spans="1:7" x14ac:dyDescent="0.25">
      <c r="A1894" s="1" t="s">
        <v>2017</v>
      </c>
      <c r="B1894" s="76">
        <v>82.920531999999994</v>
      </c>
      <c r="C1894" s="76">
        <v>83.681404000000001</v>
      </c>
      <c r="D1894" s="76">
        <v>82.518150000000006</v>
      </c>
      <c r="E1894" s="76">
        <v>83.439980000000006</v>
      </c>
      <c r="F1894" s="76">
        <v>56.380465999999998</v>
      </c>
      <c r="G1894" s="79">
        <v>1307100</v>
      </c>
    </row>
    <row r="1895" spans="1:7" x14ac:dyDescent="0.25">
      <c r="A1895" s="1" t="s">
        <v>2018</v>
      </c>
      <c r="B1895" s="76">
        <v>83.622878999999998</v>
      </c>
      <c r="C1895" s="76">
        <v>84.369118</v>
      </c>
      <c r="D1895" s="76">
        <v>83.161963999999998</v>
      </c>
      <c r="E1895" s="76">
        <v>83.213181000000006</v>
      </c>
      <c r="F1895" s="76">
        <v>56.227203000000003</v>
      </c>
      <c r="G1895" s="79">
        <v>1512200</v>
      </c>
    </row>
    <row r="1896" spans="1:7" x14ac:dyDescent="0.25">
      <c r="A1896" s="1" t="s">
        <v>2019</v>
      </c>
      <c r="B1896" s="76">
        <v>83.717986999999994</v>
      </c>
      <c r="C1896" s="76">
        <v>83.988686000000001</v>
      </c>
      <c r="D1896" s="76">
        <v>83.132698000000005</v>
      </c>
      <c r="E1896" s="76">
        <v>83.227806000000001</v>
      </c>
      <c r="F1896" s="76">
        <v>56.237090999999999</v>
      </c>
      <c r="G1896" s="79">
        <v>1498000</v>
      </c>
    </row>
    <row r="1897" spans="1:7" x14ac:dyDescent="0.25">
      <c r="A1897" s="1" t="s">
        <v>2020</v>
      </c>
      <c r="B1897" s="76">
        <v>82.964431999999903</v>
      </c>
      <c r="C1897" s="76">
        <v>83.571663000000001</v>
      </c>
      <c r="D1897" s="76">
        <v>82.079184999999995</v>
      </c>
      <c r="E1897" s="76">
        <v>83.447288999999998</v>
      </c>
      <c r="F1897" s="76">
        <v>56.385387000000001</v>
      </c>
      <c r="G1897" s="79">
        <v>2179500</v>
      </c>
    </row>
    <row r="1898" spans="1:7" x14ac:dyDescent="0.25">
      <c r="A1898" s="1" t="s">
        <v>2021</v>
      </c>
      <c r="B1898" s="76">
        <v>83.805779000000001</v>
      </c>
      <c r="C1898" s="76">
        <v>84.215485000000001</v>
      </c>
      <c r="D1898" s="76">
        <v>83.030272999999994</v>
      </c>
      <c r="E1898" s="76">
        <v>83.549720999999906</v>
      </c>
      <c r="F1898" s="76">
        <v>56.454585999999999</v>
      </c>
      <c r="G1898" s="79">
        <v>1083100</v>
      </c>
    </row>
    <row r="1899" spans="1:7" x14ac:dyDescent="0.25">
      <c r="A1899" s="1" t="s">
        <v>2022</v>
      </c>
      <c r="B1899" s="76">
        <v>83.037589999999994</v>
      </c>
      <c r="C1899" s="76">
        <v>83.235123000000002</v>
      </c>
      <c r="D1899" s="76">
        <v>81.164672999999993</v>
      </c>
      <c r="E1899" s="76">
        <v>82.181609999999907</v>
      </c>
      <c r="F1899" s="76">
        <v>55.530147999999997</v>
      </c>
      <c r="G1899" s="79">
        <v>2040100</v>
      </c>
    </row>
    <row r="1900" spans="1:7" x14ac:dyDescent="0.25">
      <c r="A1900" s="1" t="s">
        <v>2023</v>
      </c>
      <c r="B1900" s="76">
        <v>82.671782999999905</v>
      </c>
      <c r="C1900" s="76">
        <v>82.788841000000005</v>
      </c>
      <c r="D1900" s="76">
        <v>80.667175</v>
      </c>
      <c r="E1900" s="76">
        <v>80.667175</v>
      </c>
      <c r="F1900" s="76">
        <v>54.506866000000002</v>
      </c>
      <c r="G1900" s="79">
        <v>1454100</v>
      </c>
    </row>
    <row r="1901" spans="1:7" x14ac:dyDescent="0.25">
      <c r="A1901" s="1" t="s">
        <v>2024</v>
      </c>
      <c r="B1901" s="76">
        <v>80.418433999999905</v>
      </c>
      <c r="C1901" s="76">
        <v>81.179305999999997</v>
      </c>
      <c r="D1901" s="76">
        <v>78.728415999999996</v>
      </c>
      <c r="E1901" s="76">
        <v>79.255172999999999</v>
      </c>
      <c r="F1901" s="76">
        <v>53.552783999999903</v>
      </c>
      <c r="G1901" s="79">
        <v>1887900</v>
      </c>
    </row>
    <row r="1902" spans="1:7" x14ac:dyDescent="0.25">
      <c r="A1902" s="1" t="s">
        <v>2025</v>
      </c>
      <c r="B1902" s="76">
        <v>80.476958999999994</v>
      </c>
      <c r="C1902" s="76">
        <v>80.623283000000001</v>
      </c>
      <c r="D1902" s="76">
        <v>78.282134999999997</v>
      </c>
      <c r="E1902" s="76">
        <v>79.474654999999998</v>
      </c>
      <c r="F1902" s="76">
        <v>53.701073000000001</v>
      </c>
      <c r="G1902" s="79">
        <v>1921900</v>
      </c>
    </row>
    <row r="1903" spans="1:7" x14ac:dyDescent="0.25">
      <c r="A1903" s="1" t="s">
        <v>2026</v>
      </c>
      <c r="B1903" s="76">
        <v>80.484275999999994</v>
      </c>
      <c r="C1903" s="76">
        <v>80.484275999999994</v>
      </c>
      <c r="D1903" s="76">
        <v>75.772712999999996</v>
      </c>
      <c r="E1903" s="76">
        <v>77.331039000000004</v>
      </c>
      <c r="F1903" s="76">
        <v>52.252651</v>
      </c>
      <c r="G1903" s="79">
        <v>3197000</v>
      </c>
    </row>
    <row r="1904" spans="1:7" x14ac:dyDescent="0.25">
      <c r="A1904" s="1" t="s">
        <v>2027</v>
      </c>
      <c r="B1904" s="76">
        <v>75.092322999999993</v>
      </c>
      <c r="C1904" s="76">
        <v>79.635611999999995</v>
      </c>
      <c r="D1904" s="76">
        <v>75.092322999999993</v>
      </c>
      <c r="E1904" s="76">
        <v>75.121581999999904</v>
      </c>
      <c r="F1904" s="76">
        <v>50.759726999999998</v>
      </c>
      <c r="G1904" s="79">
        <v>2798300</v>
      </c>
    </row>
    <row r="1905" spans="1:7" x14ac:dyDescent="0.25">
      <c r="A1905" s="1" t="s">
        <v>2028</v>
      </c>
      <c r="B1905" s="76">
        <v>75.136215000000007</v>
      </c>
      <c r="C1905" s="76">
        <v>76.182418999999996</v>
      </c>
      <c r="D1905" s="76">
        <v>74.389977000000002</v>
      </c>
      <c r="E1905" s="76">
        <v>75.787345999999999</v>
      </c>
      <c r="F1905" s="76">
        <v>51.209553</v>
      </c>
      <c r="G1905" s="79">
        <v>2168700</v>
      </c>
    </row>
    <row r="1906" spans="1:7" x14ac:dyDescent="0.25">
      <c r="A1906" s="1" t="s">
        <v>2029</v>
      </c>
      <c r="B1906" s="76">
        <v>78.282134999999997</v>
      </c>
      <c r="C1906" s="76">
        <v>80.476958999999994</v>
      </c>
      <c r="D1906" s="76">
        <v>77.557838000000004</v>
      </c>
      <c r="E1906" s="76">
        <v>78.304085000000001</v>
      </c>
      <c r="F1906" s="76">
        <v>52.910125999999998</v>
      </c>
      <c r="G1906" s="79">
        <v>3439700</v>
      </c>
    </row>
    <row r="1907" spans="1:7" x14ac:dyDescent="0.25">
      <c r="A1907" s="1" t="s">
        <v>2030</v>
      </c>
      <c r="B1907" s="76">
        <v>78.208977000000004</v>
      </c>
      <c r="C1907" s="76">
        <v>79.430762999999999</v>
      </c>
      <c r="D1907" s="76">
        <v>76.562850999999995</v>
      </c>
      <c r="E1907" s="76">
        <v>78.984482</v>
      </c>
      <c r="F1907" s="76">
        <v>53.369877000000002</v>
      </c>
      <c r="G1907" s="79">
        <v>2710300</v>
      </c>
    </row>
    <row r="1908" spans="1:7" x14ac:dyDescent="0.25">
      <c r="A1908" s="1" t="s">
        <v>2031</v>
      </c>
      <c r="B1908" s="76">
        <v>79.035690000000002</v>
      </c>
      <c r="C1908" s="76">
        <v>80.579383999999905</v>
      </c>
      <c r="D1908" s="76">
        <v>78.625991999999997</v>
      </c>
      <c r="E1908" s="76">
        <v>79.913619999999995</v>
      </c>
      <c r="F1908" s="76">
        <v>53.997677000000003</v>
      </c>
      <c r="G1908" s="79">
        <v>2863900</v>
      </c>
    </row>
    <row r="1909" spans="1:7" x14ac:dyDescent="0.25">
      <c r="A1909" s="1" t="s">
        <v>2032</v>
      </c>
      <c r="B1909" s="76">
        <v>80.257476999999994</v>
      </c>
      <c r="C1909" s="76">
        <v>80.330635000000001</v>
      </c>
      <c r="D1909" s="76">
        <v>75.538605000000004</v>
      </c>
      <c r="E1909" s="76">
        <v>76.928657999999999</v>
      </c>
      <c r="F1909" s="76">
        <v>51.980750999999998</v>
      </c>
      <c r="G1909" s="79">
        <v>2450400</v>
      </c>
    </row>
    <row r="1910" spans="1:7" x14ac:dyDescent="0.25">
      <c r="A1910" s="1" t="s">
        <v>2033</v>
      </c>
      <c r="B1910" s="76">
        <v>79.152748000000003</v>
      </c>
      <c r="C1910" s="76">
        <v>79.152748000000003</v>
      </c>
      <c r="D1910" s="76">
        <v>74.989898999999994</v>
      </c>
      <c r="E1910" s="76">
        <v>78.633308</v>
      </c>
      <c r="F1910" s="76">
        <v>53.132576</v>
      </c>
      <c r="G1910" s="79">
        <v>1961900</v>
      </c>
    </row>
    <row r="1911" spans="1:7" x14ac:dyDescent="0.25">
      <c r="A1911" s="1" t="s">
        <v>2034</v>
      </c>
      <c r="B1911" s="76">
        <v>77.184722999999906</v>
      </c>
      <c r="C1911" s="76">
        <v>79.745354000000006</v>
      </c>
      <c r="D1911" s="76">
        <v>76.818916000000002</v>
      </c>
      <c r="E1911" s="76">
        <v>78.260184999999893</v>
      </c>
      <c r="F1911" s="76">
        <v>53.302005999999999</v>
      </c>
      <c r="G1911" s="79">
        <v>2005300</v>
      </c>
    </row>
    <row r="1912" spans="1:7" x14ac:dyDescent="0.25">
      <c r="A1912" s="1" t="s">
        <v>2035</v>
      </c>
      <c r="B1912" s="76">
        <v>75.706870999999893</v>
      </c>
      <c r="C1912" s="76">
        <v>82.708365999999998</v>
      </c>
      <c r="D1912" s="76">
        <v>75.706870999999893</v>
      </c>
      <c r="E1912" s="76">
        <v>81.398787999999996</v>
      </c>
      <c r="F1912" s="76">
        <v>55.439663000000003</v>
      </c>
      <c r="G1912" s="79">
        <v>3045200</v>
      </c>
    </row>
    <row r="1913" spans="1:7" x14ac:dyDescent="0.25">
      <c r="A1913" s="1" t="s">
        <v>2036</v>
      </c>
      <c r="B1913" s="76">
        <v>76.679908999999995</v>
      </c>
      <c r="C1913" s="76">
        <v>82.393776000000003</v>
      </c>
      <c r="D1913" s="76">
        <v>61.155174000000002</v>
      </c>
      <c r="E1913" s="76">
        <v>80.733024999999998</v>
      </c>
      <c r="F1913" s="76">
        <v>54.986229000000002</v>
      </c>
      <c r="G1913" s="79">
        <v>2658400</v>
      </c>
    </row>
    <row r="1914" spans="1:7" x14ac:dyDescent="0.25">
      <c r="A1914" s="1" t="s">
        <v>2037</v>
      </c>
      <c r="B1914" s="76">
        <v>79.218590000000006</v>
      </c>
      <c r="C1914" s="76">
        <v>80.001411000000004</v>
      </c>
      <c r="D1914" s="76">
        <v>76.087311</v>
      </c>
      <c r="E1914" s="76">
        <v>76.306792999999999</v>
      </c>
      <c r="F1914" s="76">
        <v>51.971572999999999</v>
      </c>
      <c r="G1914" s="79">
        <v>3331200</v>
      </c>
    </row>
    <row r="1915" spans="1:7" x14ac:dyDescent="0.25">
      <c r="A1915" s="1" t="s">
        <v>2038</v>
      </c>
      <c r="B1915" s="76">
        <v>76.818916000000002</v>
      </c>
      <c r="C1915" s="76">
        <v>77.535895999999994</v>
      </c>
      <c r="D1915" s="76">
        <v>75.355698000000004</v>
      </c>
      <c r="E1915" s="76">
        <v>75.626396</v>
      </c>
      <c r="F1915" s="76">
        <v>51.508167</v>
      </c>
      <c r="G1915" s="79">
        <v>2097300</v>
      </c>
    </row>
    <row r="1916" spans="1:7" x14ac:dyDescent="0.25">
      <c r="A1916" s="1" t="s">
        <v>2039</v>
      </c>
      <c r="B1916" s="76">
        <v>75.626396</v>
      </c>
      <c r="C1916" s="76">
        <v>76.328734999999995</v>
      </c>
      <c r="D1916" s="76">
        <v>72.063461000000004</v>
      </c>
      <c r="E1916" s="76">
        <v>72.070778000000004</v>
      </c>
      <c r="F1916" s="76">
        <v>49.086478999999997</v>
      </c>
      <c r="G1916" s="79">
        <v>2812200</v>
      </c>
    </row>
    <row r="1917" spans="1:7" x14ac:dyDescent="0.25">
      <c r="A1917" s="1" t="s">
        <v>2040</v>
      </c>
      <c r="B1917" s="76">
        <v>71.624495999999994</v>
      </c>
      <c r="C1917" s="76">
        <v>74.038803000000001</v>
      </c>
      <c r="D1917" s="76">
        <v>71.126998999999998</v>
      </c>
      <c r="E1917" s="76">
        <v>71.500121999999905</v>
      </c>
      <c r="F1917" s="76">
        <v>48.697814999999999</v>
      </c>
      <c r="G1917" s="79">
        <v>3016300</v>
      </c>
    </row>
    <row r="1918" spans="1:7" x14ac:dyDescent="0.25">
      <c r="A1918" s="1" t="s">
        <v>2041</v>
      </c>
      <c r="B1918" s="76">
        <v>71.024574000000001</v>
      </c>
      <c r="C1918" s="76">
        <v>73.124290000000002</v>
      </c>
      <c r="D1918" s="76">
        <v>67.849395999999999</v>
      </c>
      <c r="E1918" s="76">
        <v>72.758492000000004</v>
      </c>
      <c r="F1918" s="76">
        <v>49.554881999999999</v>
      </c>
      <c r="G1918" s="79">
        <v>6452900</v>
      </c>
    </row>
    <row r="1919" spans="1:7" x14ac:dyDescent="0.25">
      <c r="A1919" s="1" t="s">
        <v>2042</v>
      </c>
      <c r="B1919" s="76">
        <v>74.989898999999994</v>
      </c>
      <c r="C1919" s="76">
        <v>77.023765999999995</v>
      </c>
      <c r="D1919" s="76">
        <v>70.600243000000006</v>
      </c>
      <c r="E1919" s="76">
        <v>73.234031999999999</v>
      </c>
      <c r="F1919" s="76">
        <v>49.878749999999997</v>
      </c>
      <c r="G1919" s="79">
        <v>4117700</v>
      </c>
    </row>
    <row r="1920" spans="1:7" x14ac:dyDescent="0.25">
      <c r="A1920" s="1" t="s">
        <v>2043</v>
      </c>
      <c r="B1920" s="76">
        <v>73.380356000000006</v>
      </c>
      <c r="C1920" s="76">
        <v>76.116569999999996</v>
      </c>
      <c r="D1920" s="76">
        <v>72.714591999999996</v>
      </c>
      <c r="E1920" s="76">
        <v>75.838561999999996</v>
      </c>
      <c r="F1920" s="76">
        <v>51.652676</v>
      </c>
      <c r="G1920" s="79">
        <v>2645100</v>
      </c>
    </row>
    <row r="1921" spans="1:7" x14ac:dyDescent="0.25">
      <c r="A1921" s="1" t="s">
        <v>2044</v>
      </c>
      <c r="B1921" s="76">
        <v>75.838561999999996</v>
      </c>
      <c r="C1921" s="76">
        <v>78.479668000000004</v>
      </c>
      <c r="D1921" s="76">
        <v>75.143531999999993</v>
      </c>
      <c r="E1921" s="76">
        <v>78.479668000000004</v>
      </c>
      <c r="F1921" s="76">
        <v>53.451507999999997</v>
      </c>
      <c r="G1921" s="79">
        <v>2448900</v>
      </c>
    </row>
    <row r="1922" spans="1:7" x14ac:dyDescent="0.25">
      <c r="A1922" s="1" t="s">
        <v>2045</v>
      </c>
      <c r="B1922" s="76">
        <v>79.086905999999999</v>
      </c>
      <c r="C1922" s="76">
        <v>79.262489000000002</v>
      </c>
      <c r="D1922" s="76">
        <v>77.938277999999997</v>
      </c>
      <c r="E1922" s="76">
        <v>78.691833000000003</v>
      </c>
      <c r="F1922" s="76">
        <v>53.5959819999999</v>
      </c>
      <c r="G1922" s="79">
        <v>1711400</v>
      </c>
    </row>
    <row r="1923" spans="1:7" x14ac:dyDescent="0.25">
      <c r="A1923" s="1" t="s">
        <v>2046</v>
      </c>
      <c r="B1923" s="76">
        <v>79.628295999999906</v>
      </c>
      <c r="C1923" s="76">
        <v>79.964836000000005</v>
      </c>
      <c r="D1923" s="76">
        <v>77.199355999999995</v>
      </c>
      <c r="E1923" s="76">
        <v>78.026069999999905</v>
      </c>
      <c r="F1923" s="76">
        <v>53.142543999999901</v>
      </c>
      <c r="G1923" s="79">
        <v>1503200</v>
      </c>
    </row>
    <row r="1924" spans="1:7" x14ac:dyDescent="0.25">
      <c r="A1924" s="1" t="s">
        <v>2047</v>
      </c>
      <c r="B1924" s="76">
        <v>77.565155000000004</v>
      </c>
      <c r="C1924" s="76">
        <v>78.091918999999905</v>
      </c>
      <c r="D1924" s="76">
        <v>76.928657999999999</v>
      </c>
      <c r="E1924" s="76">
        <v>77.909012000000004</v>
      </c>
      <c r="F1924" s="76">
        <v>53.062831999999901</v>
      </c>
      <c r="G1924" s="79">
        <v>1070900</v>
      </c>
    </row>
    <row r="1925" spans="1:7" x14ac:dyDescent="0.25">
      <c r="A1925" s="1" t="s">
        <v>2048</v>
      </c>
      <c r="B1925" s="76">
        <v>77.916327999999993</v>
      </c>
      <c r="C1925" s="76">
        <v>77.916327999999993</v>
      </c>
      <c r="D1925" s="76">
        <v>76.087311</v>
      </c>
      <c r="E1925" s="76">
        <v>76.453109999999995</v>
      </c>
      <c r="F1925" s="76">
        <v>52.071224000000001</v>
      </c>
      <c r="G1925" s="79">
        <v>1145000</v>
      </c>
    </row>
    <row r="1926" spans="1:7" x14ac:dyDescent="0.25">
      <c r="A1926" s="1" t="s">
        <v>2049</v>
      </c>
      <c r="B1926" s="76">
        <v>76.526275999999996</v>
      </c>
      <c r="C1926" s="76">
        <v>76.811599999999999</v>
      </c>
      <c r="D1926" s="76">
        <v>73.526679999999999</v>
      </c>
      <c r="E1926" s="76">
        <v>73.570571999999999</v>
      </c>
      <c r="F1926" s="76">
        <v>50.107966999999903</v>
      </c>
      <c r="G1926" s="79">
        <v>2157300</v>
      </c>
    </row>
    <row r="1927" spans="1:7" x14ac:dyDescent="0.25">
      <c r="A1927" s="1" t="s">
        <v>2050</v>
      </c>
      <c r="B1927" s="76">
        <v>74.258285999999998</v>
      </c>
      <c r="C1927" s="76">
        <v>75.831244999999996</v>
      </c>
      <c r="D1927" s="76">
        <v>73.892478999999994</v>
      </c>
      <c r="E1927" s="76">
        <v>75.831244999999996</v>
      </c>
      <c r="F1927" s="76">
        <v>51.647675</v>
      </c>
      <c r="G1927" s="79">
        <v>1674900</v>
      </c>
    </row>
    <row r="1928" spans="1:7" x14ac:dyDescent="0.25">
      <c r="A1928" s="1" t="s">
        <v>2051</v>
      </c>
      <c r="B1928" s="76">
        <v>75.063057000000001</v>
      </c>
      <c r="C1928" s="76">
        <v>76.899390999999994</v>
      </c>
      <c r="D1928" s="76">
        <v>75.063057000000001</v>
      </c>
      <c r="E1928" s="76">
        <v>76.584800999999999</v>
      </c>
      <c r="F1928" s="76">
        <v>52.160922999999997</v>
      </c>
      <c r="G1928" s="79">
        <v>1118600</v>
      </c>
    </row>
    <row r="1929" spans="1:7" x14ac:dyDescent="0.25">
      <c r="A1929" s="1" t="s">
        <v>2052</v>
      </c>
      <c r="B1929" s="76">
        <v>77.221298000000004</v>
      </c>
      <c r="C1929" s="76">
        <v>79.006423999999996</v>
      </c>
      <c r="D1929" s="76">
        <v>76.299476999999996</v>
      </c>
      <c r="E1929" s="76">
        <v>77.982178000000005</v>
      </c>
      <c r="F1929" s="76">
        <v>53.112658999999901</v>
      </c>
      <c r="G1929" s="79">
        <v>2009300</v>
      </c>
    </row>
    <row r="1930" spans="1:7" x14ac:dyDescent="0.25">
      <c r="A1930" s="1" t="s">
        <v>2053</v>
      </c>
      <c r="B1930" s="76">
        <v>77.828536999999997</v>
      </c>
      <c r="C1930" s="76">
        <v>79.891669999999905</v>
      </c>
      <c r="D1930" s="76">
        <v>77.404205000000005</v>
      </c>
      <c r="E1930" s="76">
        <v>79.035690000000002</v>
      </c>
      <c r="F1930" s="76">
        <v>53.830176999999999</v>
      </c>
      <c r="G1930" s="79">
        <v>1318100</v>
      </c>
    </row>
    <row r="1931" spans="1:7" x14ac:dyDescent="0.25">
      <c r="A1931" s="1" t="s">
        <v>2054</v>
      </c>
      <c r="B1931" s="76">
        <v>78.304085000000001</v>
      </c>
      <c r="C1931" s="76">
        <v>78.479668000000004</v>
      </c>
      <c r="D1931" s="76">
        <v>76.643332999999998</v>
      </c>
      <c r="E1931" s="76">
        <v>76.928657999999999</v>
      </c>
      <c r="F1931" s="76">
        <v>52.395111</v>
      </c>
      <c r="G1931" s="79">
        <v>1438100</v>
      </c>
    </row>
    <row r="1932" spans="1:7" x14ac:dyDescent="0.25">
      <c r="A1932" s="1" t="s">
        <v>2055</v>
      </c>
      <c r="B1932" s="76">
        <v>77.053032000000002</v>
      </c>
      <c r="C1932" s="76">
        <v>78.077286000000001</v>
      </c>
      <c r="D1932" s="76">
        <v>76.160468999999907</v>
      </c>
      <c r="E1932" s="76">
        <v>77.784637000000004</v>
      </c>
      <c r="F1932" s="76">
        <v>52.978110999999998</v>
      </c>
      <c r="G1932" s="79">
        <v>860100</v>
      </c>
    </row>
    <row r="1933" spans="1:7" x14ac:dyDescent="0.25">
      <c r="A1933" s="1" t="s">
        <v>2056</v>
      </c>
      <c r="B1933" s="76">
        <v>76.672591999999995</v>
      </c>
      <c r="C1933" s="76">
        <v>77.265197999999998</v>
      </c>
      <c r="D1933" s="76">
        <v>75.780028999999999</v>
      </c>
      <c r="E1933" s="76">
        <v>76.445792999999995</v>
      </c>
      <c r="F1933" s="76">
        <v>52.066249999999997</v>
      </c>
      <c r="G1933" s="79">
        <v>1257000</v>
      </c>
    </row>
    <row r="1934" spans="1:7" x14ac:dyDescent="0.25">
      <c r="A1934" s="1" t="s">
        <v>2057</v>
      </c>
      <c r="B1934" s="76">
        <v>76.796966999999995</v>
      </c>
      <c r="C1934" s="76">
        <v>77.001816000000005</v>
      </c>
      <c r="D1934" s="76">
        <v>74.346076999999994</v>
      </c>
      <c r="E1934" s="76">
        <v>75.560547</v>
      </c>
      <c r="F1934" s="76">
        <v>51.463321999999998</v>
      </c>
      <c r="G1934" s="79">
        <v>1720800</v>
      </c>
    </row>
    <row r="1935" spans="1:7" x14ac:dyDescent="0.25">
      <c r="A1935" s="1" t="s">
        <v>2058</v>
      </c>
      <c r="B1935" s="76">
        <v>76.160468999999907</v>
      </c>
      <c r="C1935" s="76">
        <v>76.811599999999999</v>
      </c>
      <c r="D1935" s="76">
        <v>75.487388999999993</v>
      </c>
      <c r="E1935" s="76">
        <v>76.028778000000003</v>
      </c>
      <c r="F1935" s="76">
        <v>51.782215000000001</v>
      </c>
      <c r="G1935" s="79">
        <v>1349400</v>
      </c>
    </row>
    <row r="1936" spans="1:7" x14ac:dyDescent="0.25">
      <c r="A1936" s="1" t="s">
        <v>2059</v>
      </c>
      <c r="B1936" s="76">
        <v>75.099639999999994</v>
      </c>
      <c r="C1936" s="76">
        <v>76.394584999999907</v>
      </c>
      <c r="D1936" s="76">
        <v>75.099639999999994</v>
      </c>
      <c r="E1936" s="76">
        <v>75.721503999999996</v>
      </c>
      <c r="F1936" s="76">
        <v>51.572936999999897</v>
      </c>
      <c r="G1936" s="79">
        <v>1199300</v>
      </c>
    </row>
    <row r="1937" spans="1:7" x14ac:dyDescent="0.25">
      <c r="A1937" s="1" t="s">
        <v>2060</v>
      </c>
      <c r="B1937" s="76">
        <v>76.087311</v>
      </c>
      <c r="C1937" s="76">
        <v>77.426154999999994</v>
      </c>
      <c r="D1937" s="76">
        <v>76.014144999999999</v>
      </c>
      <c r="E1937" s="76">
        <v>76.723807999999906</v>
      </c>
      <c r="F1937" s="76">
        <v>52.255595999999997</v>
      </c>
      <c r="G1937" s="79">
        <v>1282600</v>
      </c>
    </row>
    <row r="1938" spans="1:7" x14ac:dyDescent="0.25">
      <c r="A1938" s="1" t="s">
        <v>2061</v>
      </c>
      <c r="B1938" s="76">
        <v>76.306792999999999</v>
      </c>
      <c r="C1938" s="76">
        <v>76.972556999999995</v>
      </c>
      <c r="D1938" s="76">
        <v>75.582497000000004</v>
      </c>
      <c r="E1938" s="76">
        <v>76.950606999999906</v>
      </c>
      <c r="F1938" s="76">
        <v>52.410057000000002</v>
      </c>
      <c r="G1938" s="79">
        <v>1192600</v>
      </c>
    </row>
    <row r="1939" spans="1:7" x14ac:dyDescent="0.25">
      <c r="A1939" s="1" t="s">
        <v>2062</v>
      </c>
      <c r="B1939" s="76">
        <v>76.636016999999995</v>
      </c>
      <c r="C1939" s="76">
        <v>76.935974000000002</v>
      </c>
      <c r="D1939" s="76">
        <v>75.421547000000004</v>
      </c>
      <c r="E1939" s="76">
        <v>75.823929000000007</v>
      </c>
      <c r="F1939" s="76">
        <v>51.642707999999999</v>
      </c>
      <c r="G1939" s="79">
        <v>694500</v>
      </c>
    </row>
    <row r="1940" spans="1:7" x14ac:dyDescent="0.25">
      <c r="A1940" s="1" t="s">
        <v>2063</v>
      </c>
      <c r="B1940" s="76">
        <v>76.270209999999906</v>
      </c>
      <c r="C1940" s="76">
        <v>78.435776000000004</v>
      </c>
      <c r="D1940" s="76">
        <v>75.589813000000007</v>
      </c>
      <c r="E1940" s="76">
        <v>78.435776000000004</v>
      </c>
      <c r="F1940" s="76">
        <v>53.421607999999999</v>
      </c>
      <c r="G1940" s="79">
        <v>1832500</v>
      </c>
    </row>
    <row r="1941" spans="1:7" x14ac:dyDescent="0.25">
      <c r="A1941" s="1" t="s">
        <v>2064</v>
      </c>
      <c r="B1941" s="76">
        <v>78.457718</v>
      </c>
      <c r="C1941" s="76">
        <v>80.652550000000005</v>
      </c>
      <c r="D1941" s="76">
        <v>78.457718</v>
      </c>
      <c r="E1941" s="76">
        <v>79.920936999999995</v>
      </c>
      <c r="F1941" s="76">
        <v>54.4331209999999</v>
      </c>
      <c r="G1941" s="79">
        <v>2130900</v>
      </c>
    </row>
    <row r="1942" spans="1:7" x14ac:dyDescent="0.25">
      <c r="A1942" s="1" t="s">
        <v>2065</v>
      </c>
      <c r="B1942" s="76">
        <v>79.913619999999995</v>
      </c>
      <c r="C1942" s="76">
        <v>80.074577000000005</v>
      </c>
      <c r="D1942" s="76">
        <v>78.304085000000001</v>
      </c>
      <c r="E1942" s="76">
        <v>78.304085000000001</v>
      </c>
      <c r="F1942" s="76">
        <v>53.331916999999997</v>
      </c>
      <c r="G1942" s="79">
        <v>1061200</v>
      </c>
    </row>
    <row r="1943" spans="1:7" x14ac:dyDescent="0.25">
      <c r="A1943" s="1" t="s">
        <v>2066</v>
      </c>
      <c r="B1943" s="76">
        <v>79.489288000000002</v>
      </c>
      <c r="C1943" s="76">
        <v>80.008728000000005</v>
      </c>
      <c r="D1943" s="76">
        <v>77.916327999999993</v>
      </c>
      <c r="E1943" s="76">
        <v>77.945594999999997</v>
      </c>
      <c r="F1943" s="76">
        <v>53.087752999999999</v>
      </c>
      <c r="G1943" s="79">
        <v>2038700</v>
      </c>
    </row>
    <row r="1944" spans="1:7" x14ac:dyDescent="0.25">
      <c r="A1944" s="1" t="s">
        <v>2067</v>
      </c>
      <c r="B1944" s="76">
        <v>77.930961999999994</v>
      </c>
      <c r="C1944" s="76">
        <v>79.738037000000006</v>
      </c>
      <c r="D1944" s="76">
        <v>77.930961999999994</v>
      </c>
      <c r="E1944" s="76">
        <v>79.525870999999995</v>
      </c>
      <c r="F1944" s="76">
        <v>54.164051000000001</v>
      </c>
      <c r="G1944" s="79">
        <v>1226700</v>
      </c>
    </row>
    <row r="1945" spans="1:7" x14ac:dyDescent="0.25">
      <c r="A1945" s="1" t="s">
        <v>2068</v>
      </c>
      <c r="B1945" s="76">
        <v>79.233222999999995</v>
      </c>
      <c r="C1945" s="76">
        <v>79.277121999999906</v>
      </c>
      <c r="D1945" s="76">
        <v>77.265197999999998</v>
      </c>
      <c r="E1945" s="76">
        <v>77.879752999999994</v>
      </c>
      <c r="F1945" s="76">
        <v>53.042881000000001</v>
      </c>
      <c r="G1945" s="79">
        <v>1149000</v>
      </c>
    </row>
    <row r="1946" spans="1:7" x14ac:dyDescent="0.25">
      <c r="A1946" s="1" t="s">
        <v>2069</v>
      </c>
      <c r="B1946" s="76">
        <v>78.428459000000004</v>
      </c>
      <c r="C1946" s="76">
        <v>79.679503999999994</v>
      </c>
      <c r="D1946" s="76">
        <v>78.055335999999997</v>
      </c>
      <c r="E1946" s="76">
        <v>79.145432</v>
      </c>
      <c r="F1946" s="76">
        <v>53.904941999999998</v>
      </c>
      <c r="G1946" s="79">
        <v>1529700</v>
      </c>
    </row>
    <row r="1947" spans="1:7" x14ac:dyDescent="0.25">
      <c r="A1947" s="1" t="s">
        <v>2070</v>
      </c>
      <c r="B1947" s="76">
        <v>79.394180000000006</v>
      </c>
      <c r="C1947" s="76">
        <v>80.250159999999994</v>
      </c>
      <c r="D1947" s="76">
        <v>79.138114999999999</v>
      </c>
      <c r="E1947" s="76">
        <v>80.250159999999994</v>
      </c>
      <c r="F1947" s="76">
        <v>54.657341000000002</v>
      </c>
      <c r="G1947" s="79">
        <v>1140800</v>
      </c>
    </row>
    <row r="1948" spans="1:7" x14ac:dyDescent="0.25">
      <c r="A1948" s="1" t="s">
        <v>2071</v>
      </c>
      <c r="B1948" s="76">
        <v>80.140418999999994</v>
      </c>
      <c r="C1948" s="76">
        <v>80.842765999999997</v>
      </c>
      <c r="D1948" s="76">
        <v>79.438071999999906</v>
      </c>
      <c r="E1948" s="76">
        <v>80.001411000000004</v>
      </c>
      <c r="F1948" s="76">
        <v>54.487926000000002</v>
      </c>
      <c r="G1948" s="79">
        <v>1468900</v>
      </c>
    </row>
    <row r="1949" spans="1:7" x14ac:dyDescent="0.25">
      <c r="A1949" s="1" t="s">
        <v>2072</v>
      </c>
      <c r="B1949" s="76">
        <v>81.084198000000001</v>
      </c>
      <c r="C1949" s="76">
        <v>82.591308999999995</v>
      </c>
      <c r="D1949" s="76">
        <v>79.818511999999998</v>
      </c>
      <c r="E1949" s="76">
        <v>82.371825999999999</v>
      </c>
      <c r="F1949" s="76">
        <v>56.10239</v>
      </c>
      <c r="G1949" s="79">
        <v>2091600</v>
      </c>
    </row>
    <row r="1950" spans="1:7" x14ac:dyDescent="0.25">
      <c r="A1950" s="1" t="s">
        <v>2073</v>
      </c>
      <c r="B1950" s="76">
        <v>82.525467000000006</v>
      </c>
      <c r="C1950" s="76">
        <v>83.498504999999994</v>
      </c>
      <c r="D1950" s="76">
        <v>82.247451999999996</v>
      </c>
      <c r="E1950" s="76">
        <v>83.498504999999994</v>
      </c>
      <c r="F1950" s="76">
        <v>56.869762000000001</v>
      </c>
      <c r="G1950" s="79">
        <v>1929500</v>
      </c>
    </row>
    <row r="1951" spans="1:7" x14ac:dyDescent="0.25">
      <c r="A1951" s="1" t="s">
        <v>2074</v>
      </c>
      <c r="B1951" s="76">
        <v>83.074173000000002</v>
      </c>
      <c r="C1951" s="76">
        <v>83.900886999999997</v>
      </c>
      <c r="D1951" s="76">
        <v>82.525467000000006</v>
      </c>
      <c r="E1951" s="76">
        <v>83.366814000000005</v>
      </c>
      <c r="F1951" s="76">
        <v>56.780064000000003</v>
      </c>
      <c r="G1951" s="79">
        <v>1195700</v>
      </c>
    </row>
    <row r="1952" spans="1:7" x14ac:dyDescent="0.25">
      <c r="A1952" s="1" t="s">
        <v>2075</v>
      </c>
      <c r="B1952" s="76">
        <v>83.476555000000005</v>
      </c>
      <c r="C1952" s="76">
        <v>83.696037000000004</v>
      </c>
      <c r="D1952" s="76">
        <v>82.006019999999907</v>
      </c>
      <c r="E1952" s="76">
        <v>83.696037000000004</v>
      </c>
      <c r="F1952" s="76">
        <v>57.004275999999997</v>
      </c>
      <c r="G1952" s="79">
        <v>1222000</v>
      </c>
    </row>
    <row r="1953" spans="1:7" x14ac:dyDescent="0.25">
      <c r="A1953" s="1" t="s">
        <v>2076</v>
      </c>
      <c r="B1953" s="76">
        <v>83.959418999999997</v>
      </c>
      <c r="C1953" s="76">
        <v>85.129990000000006</v>
      </c>
      <c r="D1953" s="76">
        <v>83.257071999999994</v>
      </c>
      <c r="E1953" s="76">
        <v>84.815398999999999</v>
      </c>
      <c r="F1953" s="76">
        <v>57.766663000000001</v>
      </c>
      <c r="G1953" s="79">
        <v>1802400</v>
      </c>
    </row>
    <row r="1954" spans="1:7" x14ac:dyDescent="0.25">
      <c r="A1954" s="1" t="s">
        <v>2077</v>
      </c>
      <c r="B1954" s="76">
        <v>84.354484999999997</v>
      </c>
      <c r="C1954" s="76">
        <v>85.422638000000006</v>
      </c>
      <c r="D1954" s="76">
        <v>83.696037000000004</v>
      </c>
      <c r="E1954" s="76">
        <v>84.398383999999993</v>
      </c>
      <c r="F1954" s="76">
        <v>57.482647</v>
      </c>
      <c r="G1954" s="79">
        <v>1130000</v>
      </c>
    </row>
    <row r="1955" spans="1:7" x14ac:dyDescent="0.25">
      <c r="A1955" s="1" t="s">
        <v>2078</v>
      </c>
      <c r="B1955" s="76">
        <v>84.720291000000003</v>
      </c>
      <c r="C1955" s="76">
        <v>85.781120000000001</v>
      </c>
      <c r="D1955" s="76">
        <v>83.915520000000001</v>
      </c>
      <c r="E1955" s="76">
        <v>85.737228000000002</v>
      </c>
      <c r="F1955" s="76">
        <v>58.394511999999999</v>
      </c>
      <c r="G1955" s="79">
        <v>1736700</v>
      </c>
    </row>
    <row r="1956" spans="1:7" x14ac:dyDescent="0.25">
      <c r="A1956" s="1" t="s">
        <v>2079</v>
      </c>
      <c r="B1956" s="76">
        <v>85.422638000000006</v>
      </c>
      <c r="C1956" s="76">
        <v>85.444580000000002</v>
      </c>
      <c r="D1956" s="76">
        <v>83.637512000000001</v>
      </c>
      <c r="E1956" s="76">
        <v>84.310592999999997</v>
      </c>
      <c r="F1956" s="76">
        <v>57.867270999999903</v>
      </c>
      <c r="G1956" s="79">
        <v>1480200</v>
      </c>
    </row>
    <row r="1957" spans="1:7" x14ac:dyDescent="0.25">
      <c r="A1957" s="1" t="s">
        <v>2080</v>
      </c>
      <c r="B1957" s="76">
        <v>84.866614999999996</v>
      </c>
      <c r="C1957" s="76">
        <v>85.905495000000002</v>
      </c>
      <c r="D1957" s="76">
        <v>84.25206</v>
      </c>
      <c r="E1957" s="76">
        <v>84.947090000000003</v>
      </c>
      <c r="F1957" s="76">
        <v>58.304145999999903</v>
      </c>
      <c r="G1957" s="79">
        <v>1656700</v>
      </c>
    </row>
    <row r="1958" spans="1:7" x14ac:dyDescent="0.25">
      <c r="A1958" s="1" t="s">
        <v>2081</v>
      </c>
      <c r="B1958" s="76">
        <v>84.317909</v>
      </c>
      <c r="C1958" s="76">
        <v>84.756873999999996</v>
      </c>
      <c r="D1958" s="76">
        <v>82.722999999999999</v>
      </c>
      <c r="E1958" s="76">
        <v>83.052222999999998</v>
      </c>
      <c r="F1958" s="76">
        <v>57.003590000000003</v>
      </c>
      <c r="G1958" s="79">
        <v>1969400</v>
      </c>
    </row>
    <row r="1959" spans="1:7" x14ac:dyDescent="0.25">
      <c r="A1959" s="1" t="s">
        <v>2082</v>
      </c>
      <c r="B1959" s="76">
        <v>83.066856000000001</v>
      </c>
      <c r="C1959" s="76">
        <v>83.396079999999998</v>
      </c>
      <c r="D1959" s="76">
        <v>80.703757999999993</v>
      </c>
      <c r="E1959" s="76">
        <v>81.025665000000004</v>
      </c>
      <c r="F1959" s="76">
        <v>55.612639999999999</v>
      </c>
      <c r="G1959" s="79">
        <v>1343500</v>
      </c>
    </row>
    <row r="1960" spans="1:7" x14ac:dyDescent="0.25">
      <c r="A1960" s="1" t="s">
        <v>2083</v>
      </c>
      <c r="B1960" s="76">
        <v>81.032981999999905</v>
      </c>
      <c r="C1960" s="76">
        <v>81.186622999999997</v>
      </c>
      <c r="D1960" s="76">
        <v>79.664870999999906</v>
      </c>
      <c r="E1960" s="76">
        <v>79.694137999999995</v>
      </c>
      <c r="F1960" s="76">
        <v>54.698733999999902</v>
      </c>
      <c r="G1960" s="79">
        <v>1218200</v>
      </c>
    </row>
    <row r="1961" spans="1:7" x14ac:dyDescent="0.25">
      <c r="A1961" s="1" t="s">
        <v>2084</v>
      </c>
      <c r="B1961" s="76">
        <v>80.806182999999905</v>
      </c>
      <c r="C1961" s="76">
        <v>80.967140000000001</v>
      </c>
      <c r="D1961" s="76">
        <v>78.911315999999999</v>
      </c>
      <c r="E1961" s="76">
        <v>80.967140000000001</v>
      </c>
      <c r="F1961" s="76">
        <v>55.572471999999998</v>
      </c>
      <c r="G1961" s="79">
        <v>1717600</v>
      </c>
    </row>
    <row r="1962" spans="1:7" x14ac:dyDescent="0.25">
      <c r="A1962" s="1" t="s">
        <v>2085</v>
      </c>
      <c r="B1962" s="76">
        <v>80.242843999999906</v>
      </c>
      <c r="C1962" s="76">
        <v>82.006019999999907</v>
      </c>
      <c r="D1962" s="76">
        <v>78.903998999999999</v>
      </c>
      <c r="E1962" s="76">
        <v>81.267096999999893</v>
      </c>
      <c r="F1962" s="76">
        <v>55.778346999999997</v>
      </c>
      <c r="G1962" s="79">
        <v>1194700</v>
      </c>
    </row>
    <row r="1963" spans="1:7" x14ac:dyDescent="0.25">
      <c r="A1963" s="1" t="s">
        <v>2086</v>
      </c>
      <c r="B1963" s="76">
        <v>80.769607999999906</v>
      </c>
      <c r="C1963" s="76">
        <v>80.828132999999994</v>
      </c>
      <c r="D1963" s="76">
        <v>78.069969</v>
      </c>
      <c r="E1963" s="76">
        <v>78.406509</v>
      </c>
      <c r="F1963" s="76">
        <v>53.814964000000003</v>
      </c>
      <c r="G1963" s="79">
        <v>1587800</v>
      </c>
    </row>
    <row r="1964" spans="1:7" x14ac:dyDescent="0.25">
      <c r="A1964" s="1" t="s">
        <v>2087</v>
      </c>
      <c r="B1964" s="76">
        <v>77.982178000000005</v>
      </c>
      <c r="C1964" s="76">
        <v>79.701453999999998</v>
      </c>
      <c r="D1964" s="76">
        <v>77.265197999999998</v>
      </c>
      <c r="E1964" s="76">
        <v>79.269806000000003</v>
      </c>
      <c r="F1964" s="76">
        <v>54.407481999999902</v>
      </c>
      <c r="G1964" s="79">
        <v>1653000</v>
      </c>
    </row>
    <row r="1965" spans="1:7" x14ac:dyDescent="0.25">
      <c r="A1965" s="1" t="s">
        <v>2088</v>
      </c>
      <c r="B1965" s="76">
        <v>79.840462000000002</v>
      </c>
      <c r="C1965" s="76">
        <v>80.703757999999993</v>
      </c>
      <c r="D1965" s="76">
        <v>78.472351000000003</v>
      </c>
      <c r="E1965" s="76">
        <v>79.496605000000002</v>
      </c>
      <c r="F1965" s="76">
        <v>54.563164</v>
      </c>
      <c r="G1965" s="79">
        <v>1236800</v>
      </c>
    </row>
    <row r="1966" spans="1:7" x14ac:dyDescent="0.25">
      <c r="A1966" s="1" t="s">
        <v>2089</v>
      </c>
      <c r="B1966" s="76">
        <v>79.123481999999996</v>
      </c>
      <c r="C1966" s="76">
        <v>79.430762999999999</v>
      </c>
      <c r="D1966" s="76">
        <v>77.740746000000001</v>
      </c>
      <c r="E1966" s="76">
        <v>79.262489000000002</v>
      </c>
      <c r="F1966" s="76">
        <v>54.402462</v>
      </c>
      <c r="G1966" s="79">
        <v>1247800</v>
      </c>
    </row>
    <row r="1967" spans="1:7" x14ac:dyDescent="0.25">
      <c r="A1967" s="1" t="s">
        <v>2090</v>
      </c>
      <c r="B1967" s="76">
        <v>79.496605000000002</v>
      </c>
      <c r="C1967" s="76">
        <v>81.369522000000003</v>
      </c>
      <c r="D1967" s="76">
        <v>79.203963999999999</v>
      </c>
      <c r="E1967" s="76">
        <v>80.586699999999993</v>
      </c>
      <c r="F1967" s="76">
        <v>55.311347999999903</v>
      </c>
      <c r="G1967" s="79">
        <v>2209000</v>
      </c>
    </row>
    <row r="1968" spans="1:7" x14ac:dyDescent="0.25">
      <c r="A1968" s="1" t="s">
        <v>2091</v>
      </c>
      <c r="B1968" s="76">
        <v>80.945189999999997</v>
      </c>
      <c r="C1968" s="76">
        <v>82.708365999999998</v>
      </c>
      <c r="D1968" s="76">
        <v>79.781929000000005</v>
      </c>
      <c r="E1968" s="76">
        <v>81.310997</v>
      </c>
      <c r="F1968" s="76">
        <v>55.808471999999902</v>
      </c>
      <c r="G1968" s="79">
        <v>1748400</v>
      </c>
    </row>
    <row r="1969" spans="1:7" x14ac:dyDescent="0.25">
      <c r="A1969" s="1" t="s">
        <v>2092</v>
      </c>
      <c r="B1969" s="76">
        <v>81.589005</v>
      </c>
      <c r="C1969" s="76">
        <v>81.874336</v>
      </c>
      <c r="D1969" s="76">
        <v>80.008728000000005</v>
      </c>
      <c r="E1969" s="76">
        <v>80.418433999999905</v>
      </c>
      <c r="F1969" s="76">
        <v>55.195857999999902</v>
      </c>
      <c r="G1969" s="79">
        <v>1077800</v>
      </c>
    </row>
    <row r="1970" spans="1:7" x14ac:dyDescent="0.25">
      <c r="A1970" s="1" t="s">
        <v>2093</v>
      </c>
      <c r="B1970" s="76">
        <v>81.493895999999907</v>
      </c>
      <c r="C1970" s="76">
        <v>81.493895999999907</v>
      </c>
      <c r="D1970" s="76">
        <v>80.016044999999906</v>
      </c>
      <c r="E1970" s="76">
        <v>80.389167999999998</v>
      </c>
      <c r="F1970" s="76">
        <v>55.175750999999998</v>
      </c>
      <c r="G1970" s="79">
        <v>1073100</v>
      </c>
    </row>
    <row r="1971" spans="1:7" x14ac:dyDescent="0.25">
      <c r="A1971" s="1" t="s">
        <v>2094</v>
      </c>
      <c r="B1971" s="76">
        <v>81.069564999999997</v>
      </c>
      <c r="C1971" s="76">
        <v>81.867019999999997</v>
      </c>
      <c r="D1971" s="76">
        <v>79.635611999999995</v>
      </c>
      <c r="E1971" s="76">
        <v>81.735328999999993</v>
      </c>
      <c r="F1971" s="76">
        <v>56.099708999999997</v>
      </c>
      <c r="G1971" s="79">
        <v>1356200</v>
      </c>
    </row>
    <row r="1972" spans="1:7" x14ac:dyDescent="0.25">
      <c r="A1972" s="1" t="s">
        <v>2095</v>
      </c>
      <c r="B1972" s="76">
        <v>80.198952000000006</v>
      </c>
      <c r="C1972" s="76">
        <v>81.574370999999999</v>
      </c>
      <c r="D1972" s="76">
        <v>76.423850999999999</v>
      </c>
      <c r="E1972" s="76">
        <v>78.918633</v>
      </c>
      <c r="F1972" s="76">
        <v>54.166462000000003</v>
      </c>
      <c r="G1972" s="79">
        <v>1986000</v>
      </c>
    </row>
    <row r="1973" spans="1:7" x14ac:dyDescent="0.25">
      <c r="A1973" s="1" t="s">
        <v>2096</v>
      </c>
      <c r="B1973" s="76">
        <v>79.043006999999903</v>
      </c>
      <c r="C1973" s="76">
        <v>79.10154</v>
      </c>
      <c r="D1973" s="76">
        <v>75.831244999999996</v>
      </c>
      <c r="E1973" s="76">
        <v>77.155456999999998</v>
      </c>
      <c r="F1973" s="76">
        <v>52.95628</v>
      </c>
      <c r="G1973" s="79">
        <v>2196800</v>
      </c>
    </row>
    <row r="1974" spans="1:7" x14ac:dyDescent="0.25">
      <c r="A1974" s="1" t="s">
        <v>2097</v>
      </c>
      <c r="B1974" s="76">
        <v>76.855498999999995</v>
      </c>
      <c r="C1974" s="76">
        <v>77.228615000000005</v>
      </c>
      <c r="D1974" s="76">
        <v>75.224007</v>
      </c>
      <c r="E1974" s="76">
        <v>75.867828000000003</v>
      </c>
      <c r="F1974" s="76">
        <v>52.072510000000001</v>
      </c>
      <c r="G1974" s="79">
        <v>1620800</v>
      </c>
    </row>
    <row r="1975" spans="1:7" x14ac:dyDescent="0.25">
      <c r="A1975" s="1" t="s">
        <v>2098</v>
      </c>
      <c r="B1975" s="76">
        <v>76.606750000000005</v>
      </c>
      <c r="C1975" s="76">
        <v>76.679908999999995</v>
      </c>
      <c r="D1975" s="76">
        <v>74.155861000000002</v>
      </c>
      <c r="E1975" s="76">
        <v>75.553229999999999</v>
      </c>
      <c r="F1975" s="76">
        <v>51.856583000000001</v>
      </c>
      <c r="G1975" s="79">
        <v>1744700</v>
      </c>
    </row>
    <row r="1976" spans="1:7" x14ac:dyDescent="0.25">
      <c r="A1976" s="1" t="s">
        <v>2099</v>
      </c>
      <c r="B1976" s="76">
        <v>74.338759999999994</v>
      </c>
      <c r="C1976" s="76">
        <v>75.092322999999993</v>
      </c>
      <c r="D1976" s="76">
        <v>72.465843000000007</v>
      </c>
      <c r="E1976" s="76">
        <v>72.465843000000007</v>
      </c>
      <c r="F1976" s="76">
        <v>49.737521999999998</v>
      </c>
      <c r="G1976" s="79">
        <v>1823000</v>
      </c>
    </row>
    <row r="1977" spans="1:7" x14ac:dyDescent="0.25">
      <c r="A1977" s="1" t="s">
        <v>2100</v>
      </c>
      <c r="B1977" s="76">
        <v>72.473159999999993</v>
      </c>
      <c r="C1977" s="76">
        <v>73.629104999999996</v>
      </c>
      <c r="D1977" s="76">
        <v>70.856307999999999</v>
      </c>
      <c r="E1977" s="76">
        <v>72.612166999999999</v>
      </c>
      <c r="F1977" s="76">
        <v>49.837971000000003</v>
      </c>
      <c r="G1977" s="79">
        <v>2681400</v>
      </c>
    </row>
    <row r="1978" spans="1:7" x14ac:dyDescent="0.25">
      <c r="A1978" s="1" t="s">
        <v>2101</v>
      </c>
      <c r="B1978" s="76">
        <v>72.187836000000004</v>
      </c>
      <c r="C1978" s="76">
        <v>73.255981000000006</v>
      </c>
      <c r="D1978" s="76">
        <v>71.478172000000001</v>
      </c>
      <c r="E1978" s="76">
        <v>72.304893000000007</v>
      </c>
      <c r="F1978" s="76">
        <v>49.627047999999903</v>
      </c>
      <c r="G1978" s="79">
        <v>1525800</v>
      </c>
    </row>
    <row r="1979" spans="1:7" x14ac:dyDescent="0.25">
      <c r="A1979" s="1" t="s">
        <v>2102</v>
      </c>
      <c r="B1979" s="76">
        <v>72.129302999999993</v>
      </c>
      <c r="C1979" s="76">
        <v>73.380356000000006</v>
      </c>
      <c r="D1979" s="76">
        <v>71.075789999999998</v>
      </c>
      <c r="E1979" s="76">
        <v>71.273323000000005</v>
      </c>
      <c r="F1979" s="76">
        <v>48.919032999999999</v>
      </c>
      <c r="G1979" s="79">
        <v>1614200</v>
      </c>
    </row>
    <row r="1980" spans="1:7" x14ac:dyDescent="0.25">
      <c r="A1980" s="1" t="s">
        <v>2103</v>
      </c>
      <c r="B1980" s="76">
        <v>71.346480999999997</v>
      </c>
      <c r="C1980" s="76">
        <v>73.782737999999995</v>
      </c>
      <c r="D1980" s="76">
        <v>71.346480999999997</v>
      </c>
      <c r="E1980" s="76">
        <v>73.782737999999995</v>
      </c>
      <c r="F1980" s="76">
        <v>50.641387999999999</v>
      </c>
      <c r="G1980" s="79">
        <v>1994300</v>
      </c>
    </row>
    <row r="1981" spans="1:7" x14ac:dyDescent="0.25">
      <c r="A1981" s="1" t="s">
        <v>2104</v>
      </c>
      <c r="B1981" s="76">
        <v>73.855903999999995</v>
      </c>
      <c r="C1981" s="76">
        <v>74.719200000000001</v>
      </c>
      <c r="D1981" s="76">
        <v>71.573279999999997</v>
      </c>
      <c r="E1981" s="76">
        <v>71.748870999999994</v>
      </c>
      <c r="F1981" s="76">
        <v>49.245426000000002</v>
      </c>
      <c r="G1981" s="79">
        <v>2041900</v>
      </c>
    </row>
    <row r="1982" spans="1:7" x14ac:dyDescent="0.25">
      <c r="A1982" s="1" t="s">
        <v>2105</v>
      </c>
      <c r="B1982" s="76">
        <v>71.639129999999994</v>
      </c>
      <c r="C1982" s="76">
        <v>73.292563999999999</v>
      </c>
      <c r="D1982" s="76">
        <v>70.980682000000002</v>
      </c>
      <c r="E1982" s="76">
        <v>71.770813000000004</v>
      </c>
      <c r="F1982" s="76">
        <v>49.260483000000001</v>
      </c>
      <c r="G1982" s="79">
        <v>2045000</v>
      </c>
    </row>
    <row r="1983" spans="1:7" x14ac:dyDescent="0.25">
      <c r="A1983" s="1" t="s">
        <v>2106</v>
      </c>
      <c r="B1983" s="76">
        <v>73.841269999999994</v>
      </c>
      <c r="C1983" s="76">
        <v>73.841269999999994</v>
      </c>
      <c r="D1983" s="76">
        <v>69.919845999999893</v>
      </c>
      <c r="E1983" s="76">
        <v>70.936782999999906</v>
      </c>
      <c r="F1983" s="76">
        <v>48.688034000000002</v>
      </c>
      <c r="G1983" s="79">
        <v>1807600</v>
      </c>
    </row>
    <row r="1984" spans="1:7" x14ac:dyDescent="0.25">
      <c r="A1984" s="1" t="s">
        <v>2107</v>
      </c>
      <c r="B1984" s="76">
        <v>70.102744999999999</v>
      </c>
      <c r="C1984" s="76">
        <v>70.307602000000003</v>
      </c>
      <c r="D1984" s="76">
        <v>67.637230000000002</v>
      </c>
      <c r="E1984" s="76">
        <v>67.746971000000002</v>
      </c>
      <c r="F1984" s="76">
        <v>46.498688000000001</v>
      </c>
      <c r="G1984" s="79">
        <v>2608000</v>
      </c>
    </row>
    <row r="1985" spans="1:7" x14ac:dyDescent="0.25">
      <c r="A1985" s="1" t="s">
        <v>2108</v>
      </c>
      <c r="B1985" s="76">
        <v>67.366530999999995</v>
      </c>
      <c r="C1985" s="76">
        <v>68.990700000000004</v>
      </c>
      <c r="D1985" s="76">
        <v>64.959541000000002</v>
      </c>
      <c r="E1985" s="76">
        <v>66.305701999999997</v>
      </c>
      <c r="F1985" s="76">
        <v>45.509464000000001</v>
      </c>
      <c r="G1985" s="79">
        <v>3062600</v>
      </c>
    </row>
    <row r="1986" spans="1:7" x14ac:dyDescent="0.25">
      <c r="A1986" s="1" t="s">
        <v>2109</v>
      </c>
      <c r="B1986" s="76">
        <v>65.200974000000002</v>
      </c>
      <c r="C1986" s="76">
        <v>66.430068999999904</v>
      </c>
      <c r="D1986" s="76">
        <v>64.791267000000005</v>
      </c>
      <c r="E1986" s="76">
        <v>65.522880999999998</v>
      </c>
      <c r="F1986" s="76">
        <v>44.972172</v>
      </c>
      <c r="G1986" s="79">
        <v>2066300</v>
      </c>
    </row>
    <row r="1987" spans="1:7" x14ac:dyDescent="0.25">
      <c r="A1987" s="1" t="s">
        <v>2110</v>
      </c>
      <c r="B1987" s="76">
        <v>65.844787999999994</v>
      </c>
      <c r="C1987" s="76">
        <v>66.649558999999996</v>
      </c>
      <c r="D1987" s="76">
        <v>65.639938000000001</v>
      </c>
      <c r="E1987" s="76">
        <v>66.452018999999893</v>
      </c>
      <c r="F1987" s="76">
        <v>45.609885999999896</v>
      </c>
      <c r="G1987" s="79">
        <v>970200</v>
      </c>
    </row>
    <row r="1988" spans="1:7" x14ac:dyDescent="0.25">
      <c r="A1988" s="1" t="s">
        <v>2111</v>
      </c>
      <c r="B1988" s="76">
        <v>66.751983999999993</v>
      </c>
      <c r="C1988" s="76">
        <v>66.751983999999993</v>
      </c>
      <c r="D1988" s="76">
        <v>62.918349999999997</v>
      </c>
      <c r="E1988" s="76">
        <v>63.123199</v>
      </c>
      <c r="F1988" s="76">
        <v>43.325122999999998</v>
      </c>
      <c r="G1988" s="79">
        <v>2690500</v>
      </c>
    </row>
    <row r="1989" spans="1:7" x14ac:dyDescent="0.25">
      <c r="A1989" s="1" t="s">
        <v>2112</v>
      </c>
      <c r="B1989" s="76">
        <v>62.194056999999901</v>
      </c>
      <c r="C1989" s="76">
        <v>64.081611999999893</v>
      </c>
      <c r="D1989" s="76">
        <v>62.194056999999901</v>
      </c>
      <c r="E1989" s="76">
        <v>63.715805000000003</v>
      </c>
      <c r="F1989" s="76">
        <v>43.731879999999997</v>
      </c>
      <c r="G1989" s="79">
        <v>2876900</v>
      </c>
    </row>
    <row r="1990" spans="1:7" x14ac:dyDescent="0.25">
      <c r="A1990" s="1" t="s">
        <v>2113</v>
      </c>
      <c r="B1990" s="76">
        <v>64.352303000000006</v>
      </c>
      <c r="C1990" s="76">
        <v>66.364227</v>
      </c>
      <c r="D1990" s="76">
        <v>64.088927999999996</v>
      </c>
      <c r="E1990" s="76">
        <v>65.559455999999997</v>
      </c>
      <c r="F1990" s="76">
        <v>44.997284000000001</v>
      </c>
      <c r="G1990" s="79">
        <v>2953000</v>
      </c>
    </row>
    <row r="1991" spans="1:7" x14ac:dyDescent="0.25">
      <c r="A1991" s="1" t="s">
        <v>2114</v>
      </c>
      <c r="B1991" s="76">
        <v>65.193657000000002</v>
      </c>
      <c r="C1991" s="76">
        <v>66.093536</v>
      </c>
      <c r="D1991" s="76">
        <v>64.323036000000002</v>
      </c>
      <c r="E1991" s="76">
        <v>65.500930999999994</v>
      </c>
      <c r="F1991" s="76">
        <v>44.957099999999997</v>
      </c>
      <c r="G1991" s="79">
        <v>1553200</v>
      </c>
    </row>
    <row r="1992" spans="1:7" x14ac:dyDescent="0.25">
      <c r="A1992" s="1" t="s">
        <v>2115</v>
      </c>
      <c r="B1992" s="76">
        <v>66.576392999999996</v>
      </c>
      <c r="C1992" s="76">
        <v>67.022675000000007</v>
      </c>
      <c r="D1992" s="76">
        <v>65.354607000000001</v>
      </c>
      <c r="E1992" s="76">
        <v>65.844787999999994</v>
      </c>
      <c r="F1992" s="76">
        <v>45.193119000000003</v>
      </c>
      <c r="G1992" s="79">
        <v>3209900</v>
      </c>
    </row>
    <row r="1993" spans="1:7" x14ac:dyDescent="0.25">
      <c r="A1993" s="1" t="s">
        <v>2116</v>
      </c>
      <c r="B1993" s="76">
        <v>65.361923000000004</v>
      </c>
      <c r="C1993" s="76">
        <v>65.742362999999997</v>
      </c>
      <c r="D1993" s="76">
        <v>64.579102000000006</v>
      </c>
      <c r="E1993" s="76">
        <v>65.069282999999999</v>
      </c>
      <c r="F1993" s="76">
        <v>44.660846999999997</v>
      </c>
      <c r="G1993" s="79">
        <v>1364900</v>
      </c>
    </row>
    <row r="1994" spans="1:7" x14ac:dyDescent="0.25">
      <c r="A1994" s="1" t="s">
        <v>2117</v>
      </c>
      <c r="B1994" s="76">
        <v>64.813216999999995</v>
      </c>
      <c r="C1994" s="76">
        <v>65.047332999999995</v>
      </c>
      <c r="D1994" s="76">
        <v>63.481689000000003</v>
      </c>
      <c r="E1994" s="76">
        <v>63.481689000000003</v>
      </c>
      <c r="F1994" s="76">
        <v>43.571174999999997</v>
      </c>
      <c r="G1994" s="79">
        <v>1434500</v>
      </c>
    </row>
    <row r="1995" spans="1:7" x14ac:dyDescent="0.25">
      <c r="A1995" s="1" t="s">
        <v>2118</v>
      </c>
      <c r="B1995" s="76">
        <v>63.942604000000003</v>
      </c>
      <c r="C1995" s="76">
        <v>65.910629</v>
      </c>
      <c r="D1995" s="76">
        <v>63.942604000000003</v>
      </c>
      <c r="E1995" s="76">
        <v>65.691147000000001</v>
      </c>
      <c r="F1995" s="76">
        <v>45.087657999999998</v>
      </c>
      <c r="G1995" s="79">
        <v>1712900</v>
      </c>
    </row>
    <row r="1996" spans="1:7" x14ac:dyDescent="0.25">
      <c r="A1996" s="1" t="s">
        <v>2119</v>
      </c>
      <c r="B1996" s="76">
        <v>67.088523999999893</v>
      </c>
      <c r="C1996" s="76">
        <v>68.039612000000005</v>
      </c>
      <c r="D1996" s="76">
        <v>65.566772</v>
      </c>
      <c r="E1996" s="76">
        <v>68.039612000000005</v>
      </c>
      <c r="F1996" s="76">
        <v>46.699546999999903</v>
      </c>
      <c r="G1996" s="79">
        <v>1464500</v>
      </c>
    </row>
    <row r="1997" spans="1:7" x14ac:dyDescent="0.25">
      <c r="A1997" s="1" t="s">
        <v>2120</v>
      </c>
      <c r="B1997" s="76">
        <v>68.266411000000005</v>
      </c>
      <c r="C1997" s="76">
        <v>68.756591999999998</v>
      </c>
      <c r="D1997" s="76">
        <v>66.642241999999996</v>
      </c>
      <c r="E1997" s="76">
        <v>66.876350000000002</v>
      </c>
      <c r="F1997" s="76">
        <v>45.901138000000003</v>
      </c>
      <c r="G1997" s="79">
        <v>1461300</v>
      </c>
    </row>
    <row r="1998" spans="1:7" x14ac:dyDescent="0.25">
      <c r="A1998" s="1" t="s">
        <v>2121</v>
      </c>
      <c r="B1998" s="76">
        <v>67.198265000000006</v>
      </c>
      <c r="C1998" s="76">
        <v>68.844382999999993</v>
      </c>
      <c r="D1998" s="76">
        <v>66.612976000000003</v>
      </c>
      <c r="E1998" s="76">
        <v>68.727324999999993</v>
      </c>
      <c r="F1998" s="76">
        <v>47.171570000000003</v>
      </c>
      <c r="G1998" s="79">
        <v>907200</v>
      </c>
    </row>
    <row r="1999" spans="1:7" x14ac:dyDescent="0.25">
      <c r="A1999" s="1" t="s">
        <v>2122</v>
      </c>
      <c r="B1999" s="76">
        <v>68.968757999999994</v>
      </c>
      <c r="C1999" s="76">
        <v>69.297980999999993</v>
      </c>
      <c r="D1999" s="76">
        <v>64.879058999999998</v>
      </c>
      <c r="E1999" s="76">
        <v>64.893692000000001</v>
      </c>
      <c r="F1999" s="76">
        <v>44.540317999999999</v>
      </c>
      <c r="G1999" s="79">
        <v>2314100</v>
      </c>
    </row>
    <row r="2000" spans="1:7" x14ac:dyDescent="0.25">
      <c r="A2000" s="1" t="s">
        <v>2123</v>
      </c>
      <c r="B2000" s="76">
        <v>66.839775000000003</v>
      </c>
      <c r="C2000" s="76">
        <v>67.710387999999995</v>
      </c>
      <c r="D2000" s="76">
        <v>64.857117000000002</v>
      </c>
      <c r="E2000" s="76">
        <v>65.617988999999994</v>
      </c>
      <c r="F2000" s="76">
        <v>45.037457000000003</v>
      </c>
      <c r="G2000" s="79">
        <v>2456800</v>
      </c>
    </row>
    <row r="2001" spans="1:7" x14ac:dyDescent="0.25">
      <c r="A2001" s="1" t="s">
        <v>2124</v>
      </c>
      <c r="B2001" s="76">
        <v>65.259499000000005</v>
      </c>
      <c r="C2001" s="76">
        <v>65.735045999999997</v>
      </c>
      <c r="D2001" s="76">
        <v>63.737751000000003</v>
      </c>
      <c r="E2001" s="76">
        <v>65.281447999999997</v>
      </c>
      <c r="F2001" s="76">
        <v>44.806453999999903</v>
      </c>
      <c r="G2001" s="79">
        <v>1821500</v>
      </c>
    </row>
    <row r="2002" spans="1:7" x14ac:dyDescent="0.25">
      <c r="A2002" s="1" t="s">
        <v>2125</v>
      </c>
      <c r="B2002" s="76">
        <v>65.142441000000005</v>
      </c>
      <c r="C2002" s="76">
        <v>65.427773000000002</v>
      </c>
      <c r="D2002" s="76">
        <v>62.918349999999997</v>
      </c>
      <c r="E2002" s="76">
        <v>63.050041</v>
      </c>
      <c r="F2002" s="76">
        <v>43.274925000000003</v>
      </c>
      <c r="G2002" s="79">
        <v>2049200</v>
      </c>
    </row>
    <row r="2003" spans="1:7" x14ac:dyDescent="0.25">
      <c r="A2003" s="1" t="s">
        <v>2126</v>
      </c>
      <c r="B2003" s="76">
        <v>62.654971999999901</v>
      </c>
      <c r="C2003" s="76">
        <v>63.2402569999999</v>
      </c>
      <c r="D2003" s="76">
        <v>61.681930999999999</v>
      </c>
      <c r="E2003" s="76">
        <v>61.835570999999902</v>
      </c>
      <c r="F2003" s="76">
        <v>42.441344999999998</v>
      </c>
      <c r="G2003" s="79">
        <v>1651500</v>
      </c>
    </row>
    <row r="2004" spans="1:7" x14ac:dyDescent="0.25">
      <c r="A2004" s="1" t="s">
        <v>2127</v>
      </c>
      <c r="B2004" s="76">
        <v>62.157477999999998</v>
      </c>
      <c r="C2004" s="76">
        <v>62.984195999999997</v>
      </c>
      <c r="D2004" s="76">
        <v>60.591834999999897</v>
      </c>
      <c r="E2004" s="76">
        <v>62.479385000000001</v>
      </c>
      <c r="F2004" s="76">
        <v>42.883251000000001</v>
      </c>
      <c r="G2004" s="79">
        <v>1784900</v>
      </c>
    </row>
    <row r="2005" spans="1:7" x14ac:dyDescent="0.25">
      <c r="A2005" s="1" t="s">
        <v>2128</v>
      </c>
      <c r="B2005" s="76">
        <v>62.947617000000001</v>
      </c>
      <c r="C2005" s="76">
        <v>63.701172</v>
      </c>
      <c r="D2005" s="76">
        <v>61.828254999999999</v>
      </c>
      <c r="E2005" s="76">
        <v>63.050041</v>
      </c>
      <c r="F2005" s="76">
        <v>43.274925000000003</v>
      </c>
      <c r="G2005" s="79">
        <v>1698600</v>
      </c>
    </row>
    <row r="2006" spans="1:7" x14ac:dyDescent="0.25">
      <c r="A2006" s="1" t="s">
        <v>2129</v>
      </c>
      <c r="B2006" s="76">
        <v>63.64996</v>
      </c>
      <c r="C2006" s="76">
        <v>63.862124999999999</v>
      </c>
      <c r="D2006" s="76">
        <v>61.820937999999998</v>
      </c>
      <c r="E2006" s="76">
        <v>62.647655</v>
      </c>
      <c r="F2006" s="76">
        <v>42.998733999999999</v>
      </c>
      <c r="G2006" s="79">
        <v>1749900</v>
      </c>
    </row>
    <row r="2007" spans="1:7" x14ac:dyDescent="0.25">
      <c r="A2007" s="1" t="s">
        <v>2130</v>
      </c>
      <c r="B2007" s="76">
        <v>63.357315</v>
      </c>
      <c r="C2007" s="76">
        <v>64.213295000000002</v>
      </c>
      <c r="D2007" s="76">
        <v>62.947617000000001</v>
      </c>
      <c r="E2007" s="76">
        <v>63.715805000000003</v>
      </c>
      <c r="F2007" s="76">
        <v>43.731879999999997</v>
      </c>
      <c r="G2007" s="79">
        <v>1478800</v>
      </c>
    </row>
    <row r="2008" spans="1:7" x14ac:dyDescent="0.25">
      <c r="A2008" s="1" t="s">
        <v>2131</v>
      </c>
      <c r="B2008" s="76">
        <v>63.2402569999999</v>
      </c>
      <c r="C2008" s="76">
        <v>65.859420999999998</v>
      </c>
      <c r="D2008" s="76">
        <v>63.2402569999999</v>
      </c>
      <c r="E2008" s="76">
        <v>65.808205000000001</v>
      </c>
      <c r="F2008" s="76">
        <v>45.168007000000003</v>
      </c>
      <c r="G2008" s="79">
        <v>697300</v>
      </c>
    </row>
    <row r="2009" spans="1:7" x14ac:dyDescent="0.25">
      <c r="A2009" s="1" t="s">
        <v>2132</v>
      </c>
      <c r="B2009" s="76">
        <v>65.259499000000005</v>
      </c>
      <c r="C2009" s="76">
        <v>65.647255000000001</v>
      </c>
      <c r="D2009" s="76">
        <v>64.659576000000001</v>
      </c>
      <c r="E2009" s="76">
        <v>65.222915999999998</v>
      </c>
      <c r="F2009" s="76">
        <v>44.766280999999999</v>
      </c>
      <c r="G2009" s="79">
        <v>994400</v>
      </c>
    </row>
    <row r="2010" spans="1:7" x14ac:dyDescent="0.25">
      <c r="A2010" s="1" t="s">
        <v>2133</v>
      </c>
      <c r="B2010" s="76">
        <v>65.208281999999997</v>
      </c>
      <c r="C2010" s="76">
        <v>65.208281999999997</v>
      </c>
      <c r="D2010" s="76">
        <v>63.364631999999901</v>
      </c>
      <c r="E2010" s="76">
        <v>63.686539000000003</v>
      </c>
      <c r="F2010" s="76">
        <v>43.711787999999999</v>
      </c>
      <c r="G2010" s="79">
        <v>1218600</v>
      </c>
    </row>
    <row r="2011" spans="1:7" x14ac:dyDescent="0.25">
      <c r="A2011" s="1" t="s">
        <v>2134</v>
      </c>
      <c r="B2011" s="76">
        <v>64.147452999999999</v>
      </c>
      <c r="C2011" s="76">
        <v>64.352303000000006</v>
      </c>
      <c r="D2011" s="76">
        <v>62.706183999999901</v>
      </c>
      <c r="E2011" s="76">
        <v>63.137832999999901</v>
      </c>
      <c r="F2011" s="76">
        <v>43.335166999999998</v>
      </c>
      <c r="G2011" s="79">
        <v>1331400</v>
      </c>
    </row>
    <row r="2012" spans="1:7" x14ac:dyDescent="0.25">
      <c r="A2012" s="1" t="s">
        <v>2135</v>
      </c>
      <c r="B2012" s="76">
        <v>62.786662999999997</v>
      </c>
      <c r="C2012" s="76">
        <v>64.725425999999999</v>
      </c>
      <c r="D2012" s="76">
        <v>62.786662999999997</v>
      </c>
      <c r="E2012" s="76">
        <v>64.344985999999906</v>
      </c>
      <c r="F2012" s="76">
        <v>44.163699999999999</v>
      </c>
      <c r="G2012" s="79">
        <v>1332700</v>
      </c>
    </row>
    <row r="2013" spans="1:7" x14ac:dyDescent="0.25">
      <c r="A2013" s="1" t="s">
        <v>2136</v>
      </c>
      <c r="B2013" s="76">
        <v>64.023078999999996</v>
      </c>
      <c r="C2013" s="76">
        <v>65.179023999999998</v>
      </c>
      <c r="D2013" s="76">
        <v>63.093936999999997</v>
      </c>
      <c r="E2013" s="76">
        <v>64.147452999999999</v>
      </c>
      <c r="F2013" s="76">
        <v>44.028129999999997</v>
      </c>
      <c r="G2013" s="79">
        <v>1745700</v>
      </c>
    </row>
    <row r="2014" spans="1:7" x14ac:dyDescent="0.25">
      <c r="A2014" s="1" t="s">
        <v>2137</v>
      </c>
      <c r="B2014" s="76">
        <v>63.979182999999999</v>
      </c>
      <c r="C2014" s="76">
        <v>64.198668999999995</v>
      </c>
      <c r="D2014" s="76">
        <v>61.535609999999998</v>
      </c>
      <c r="E2014" s="76">
        <v>61.872149999999998</v>
      </c>
      <c r="F2014" s="76">
        <v>42.466473000000001</v>
      </c>
      <c r="G2014" s="79">
        <v>1964000</v>
      </c>
    </row>
    <row r="2015" spans="1:7" x14ac:dyDescent="0.25">
      <c r="A2015" s="1" t="s">
        <v>2138</v>
      </c>
      <c r="B2015" s="76">
        <v>61.411235999999903</v>
      </c>
      <c r="C2015" s="76">
        <v>61.601455999999999</v>
      </c>
      <c r="D2015" s="76">
        <v>60.087024999999997</v>
      </c>
      <c r="E2015" s="76">
        <v>60.569884999999999</v>
      </c>
      <c r="F2015" s="76">
        <v>41.572639000000002</v>
      </c>
      <c r="G2015" s="79">
        <v>2612700</v>
      </c>
    </row>
    <row r="2016" spans="1:7" x14ac:dyDescent="0.25">
      <c r="A2016" s="1" t="s">
        <v>2139</v>
      </c>
      <c r="B2016" s="76">
        <v>60.818633999999903</v>
      </c>
      <c r="C2016" s="76">
        <v>61.769725999999999</v>
      </c>
      <c r="D2016" s="76">
        <v>59.465156999999998</v>
      </c>
      <c r="E2016" s="76">
        <v>61.389290000000003</v>
      </c>
      <c r="F2016" s="76">
        <v>42.135044000000001</v>
      </c>
      <c r="G2016" s="79">
        <v>2959500</v>
      </c>
    </row>
    <row r="2017" spans="1:7" x14ac:dyDescent="0.25">
      <c r="A2017" s="1" t="s">
        <v>2140</v>
      </c>
      <c r="B2017" s="76">
        <v>61.389290000000003</v>
      </c>
      <c r="C2017" s="76">
        <v>62.896403999999997</v>
      </c>
      <c r="D2017" s="76">
        <v>57.870251000000003</v>
      </c>
      <c r="E2017" s="76">
        <v>57.987308999999897</v>
      </c>
      <c r="F2017" s="76">
        <v>39.800075999999997</v>
      </c>
      <c r="G2017" s="79">
        <v>3010100</v>
      </c>
    </row>
    <row r="2018" spans="1:7" x14ac:dyDescent="0.25">
      <c r="A2018" s="1" t="s">
        <v>2141</v>
      </c>
      <c r="B2018" s="76">
        <v>57.782458999999903</v>
      </c>
      <c r="C2018" s="76">
        <v>60.087024999999997</v>
      </c>
      <c r="D2018" s="76">
        <v>56.619197999999997</v>
      </c>
      <c r="E2018" s="76">
        <v>59.889491999999997</v>
      </c>
      <c r="F2018" s="76">
        <v>41.105656000000003</v>
      </c>
      <c r="G2018" s="79">
        <v>2907700</v>
      </c>
    </row>
    <row r="2019" spans="1:7" x14ac:dyDescent="0.25">
      <c r="A2019" s="1" t="s">
        <v>2142</v>
      </c>
      <c r="B2019" s="76">
        <v>59.157882999999998</v>
      </c>
      <c r="C2019" s="76">
        <v>62.786662999999997</v>
      </c>
      <c r="D2019" s="76">
        <v>58.060471</v>
      </c>
      <c r="E2019" s="76">
        <v>61.542926999999999</v>
      </c>
      <c r="F2019" s="76">
        <v>42.240490000000001</v>
      </c>
      <c r="G2019" s="79">
        <v>3445700</v>
      </c>
    </row>
    <row r="2020" spans="1:7" x14ac:dyDescent="0.25">
      <c r="A2020" s="1" t="s">
        <v>2143</v>
      </c>
      <c r="B2020" s="76">
        <v>61.089328999999999</v>
      </c>
      <c r="C2020" s="76">
        <v>63.0134579999999</v>
      </c>
      <c r="D2020" s="76">
        <v>59.933388000000001</v>
      </c>
      <c r="E2020" s="76">
        <v>61.023482999999999</v>
      </c>
      <c r="F2020" s="76">
        <v>41.883972</v>
      </c>
      <c r="G2020" s="79">
        <v>3022900</v>
      </c>
    </row>
    <row r="2021" spans="1:7" x14ac:dyDescent="0.25">
      <c r="A2021" s="1" t="s">
        <v>2144</v>
      </c>
      <c r="B2021" s="76">
        <v>61.528293999999903</v>
      </c>
      <c r="C2021" s="76">
        <v>61.981892000000002</v>
      </c>
      <c r="D2021" s="76">
        <v>58.996929000000002</v>
      </c>
      <c r="E2021" s="76">
        <v>60.723526</v>
      </c>
      <c r="F2021" s="76">
        <v>41.678100999999998</v>
      </c>
      <c r="G2021" s="79">
        <v>2369200</v>
      </c>
    </row>
    <row r="2022" spans="1:7" x14ac:dyDescent="0.25">
      <c r="A2022" s="1" t="s">
        <v>2145</v>
      </c>
      <c r="B2022" s="76">
        <v>59.318835999999997</v>
      </c>
      <c r="C2022" s="76">
        <v>60.782055</v>
      </c>
      <c r="D2022" s="76">
        <v>58.572593999999903</v>
      </c>
      <c r="E2022" s="76">
        <v>59.809013</v>
      </c>
      <c r="F2022" s="76">
        <v>41.050410999999997</v>
      </c>
      <c r="G2022" s="79">
        <v>2184400</v>
      </c>
    </row>
    <row r="2023" spans="1:7" x14ac:dyDescent="0.25">
      <c r="A2023" s="1" t="s">
        <v>2146</v>
      </c>
      <c r="B2023" s="76">
        <v>58.967663000000002</v>
      </c>
      <c r="C2023" s="76">
        <v>62.025787000000001</v>
      </c>
      <c r="D2023" s="76">
        <v>58.967663000000002</v>
      </c>
      <c r="E2023" s="76">
        <v>60.972270999999999</v>
      </c>
      <c r="F2023" s="76">
        <v>41.848812000000002</v>
      </c>
      <c r="G2023" s="79">
        <v>3133100</v>
      </c>
    </row>
    <row r="2024" spans="1:7" x14ac:dyDescent="0.25">
      <c r="A2024" s="1" t="s">
        <v>2147</v>
      </c>
      <c r="B2024" s="76">
        <v>60.906424999999999</v>
      </c>
      <c r="C2024" s="76">
        <v>61.542926999999999</v>
      </c>
      <c r="D2024" s="76">
        <v>59.596848000000001</v>
      </c>
      <c r="E2024" s="76">
        <v>59.845592000000003</v>
      </c>
      <c r="F2024" s="76">
        <v>41.075527000000001</v>
      </c>
      <c r="G2024" s="79">
        <v>2842500</v>
      </c>
    </row>
    <row r="2025" spans="1:7" x14ac:dyDescent="0.25">
      <c r="A2025" s="1" t="s">
        <v>2148</v>
      </c>
      <c r="B2025" s="76">
        <v>59.9846</v>
      </c>
      <c r="C2025" s="76">
        <v>61.103962000000003</v>
      </c>
      <c r="D2025" s="76">
        <v>58.477485999999999</v>
      </c>
      <c r="E2025" s="76">
        <v>59.487105999999997</v>
      </c>
      <c r="F2025" s="76">
        <v>40.829475000000002</v>
      </c>
      <c r="G2025" s="79">
        <v>3265900</v>
      </c>
    </row>
    <row r="2026" spans="1:7" x14ac:dyDescent="0.25">
      <c r="A2026" s="1" t="s">
        <v>2149</v>
      </c>
      <c r="B2026" s="76">
        <v>56.728943000000001</v>
      </c>
      <c r="C2026" s="76">
        <v>61.689246999999902</v>
      </c>
      <c r="D2026" s="76">
        <v>56.728943000000001</v>
      </c>
      <c r="E2026" s="76">
        <v>61.030799999999999</v>
      </c>
      <c r="F2026" s="76">
        <v>41.888987999999998</v>
      </c>
      <c r="G2026" s="79">
        <v>3363900</v>
      </c>
    </row>
    <row r="2027" spans="1:7" x14ac:dyDescent="0.25">
      <c r="A2027" s="1" t="s">
        <v>2150</v>
      </c>
      <c r="B2027" s="76">
        <v>59.962649999999996</v>
      </c>
      <c r="C2027" s="76">
        <v>68.215194999999994</v>
      </c>
      <c r="D2027" s="76">
        <v>59.962649999999996</v>
      </c>
      <c r="E2027" s="76">
        <v>67.827445999999995</v>
      </c>
      <c r="F2027" s="76">
        <v>46.553925</v>
      </c>
      <c r="G2027" s="79">
        <v>6310600</v>
      </c>
    </row>
    <row r="2028" spans="1:7" x14ac:dyDescent="0.25">
      <c r="A2028" s="1" t="s">
        <v>2151</v>
      </c>
      <c r="B2028" s="76">
        <v>67.490905999999995</v>
      </c>
      <c r="C2028" s="76">
        <v>67.703071999999906</v>
      </c>
      <c r="D2028" s="76">
        <v>65.105857999999998</v>
      </c>
      <c r="E2028" s="76">
        <v>65.786254999999997</v>
      </c>
      <c r="F2028" s="76">
        <v>45.152931000000002</v>
      </c>
      <c r="G2028" s="79">
        <v>3007500</v>
      </c>
    </row>
    <row r="2029" spans="1:7" x14ac:dyDescent="0.25">
      <c r="A2029" s="1" t="s">
        <v>2152</v>
      </c>
      <c r="B2029" s="76">
        <v>66.400809999999893</v>
      </c>
      <c r="C2029" s="76">
        <v>67.308006000000006</v>
      </c>
      <c r="D2029" s="76">
        <v>63.64996</v>
      </c>
      <c r="E2029" s="76">
        <v>64.725425999999999</v>
      </c>
      <c r="F2029" s="76">
        <v>44.424827999999998</v>
      </c>
      <c r="G2029" s="79">
        <v>2464700</v>
      </c>
    </row>
    <row r="2030" spans="1:7" x14ac:dyDescent="0.25">
      <c r="A2030" s="1" t="s">
        <v>2153</v>
      </c>
      <c r="B2030" s="76">
        <v>64.088927999999996</v>
      </c>
      <c r="C2030" s="76">
        <v>66.620293000000004</v>
      </c>
      <c r="D2030" s="76">
        <v>63.467055999999999</v>
      </c>
      <c r="E2030" s="76">
        <v>66.576392999999996</v>
      </c>
      <c r="F2030" s="76">
        <v>46.164883000000003</v>
      </c>
      <c r="G2030" s="79">
        <v>2073700</v>
      </c>
    </row>
    <row r="2031" spans="1:7" x14ac:dyDescent="0.25">
      <c r="A2031" s="1" t="s">
        <v>2154</v>
      </c>
      <c r="B2031" s="76">
        <v>66.825142</v>
      </c>
      <c r="C2031" s="76">
        <v>66.876350000000002</v>
      </c>
      <c r="D2031" s="76">
        <v>65.076599000000002</v>
      </c>
      <c r="E2031" s="76">
        <v>65.961844999999997</v>
      </c>
      <c r="F2031" s="76">
        <v>45.738746999999996</v>
      </c>
      <c r="G2031" s="79">
        <v>1463600</v>
      </c>
    </row>
    <row r="2032" spans="1:7" x14ac:dyDescent="0.25">
      <c r="A2032" s="1" t="s">
        <v>2155</v>
      </c>
      <c r="B2032" s="76">
        <v>66.013053999999997</v>
      </c>
      <c r="C2032" s="76">
        <v>67.351897999999906</v>
      </c>
      <c r="D2032" s="76">
        <v>64.118187000000006</v>
      </c>
      <c r="E2032" s="76">
        <v>64.549835000000002</v>
      </c>
      <c r="F2032" s="76">
        <v>44.759655000000002</v>
      </c>
      <c r="G2032" s="79">
        <v>2193400</v>
      </c>
    </row>
    <row r="2033" spans="1:7" x14ac:dyDescent="0.25">
      <c r="A2033" s="1" t="s">
        <v>2156</v>
      </c>
      <c r="B2033" s="76">
        <v>63.942604000000003</v>
      </c>
      <c r="C2033" s="76">
        <v>67.476272999999907</v>
      </c>
      <c r="D2033" s="76">
        <v>63.467055999999999</v>
      </c>
      <c r="E2033" s="76">
        <v>66.064269999999993</v>
      </c>
      <c r="F2033" s="76">
        <v>45.809775999999999</v>
      </c>
      <c r="G2033" s="79">
        <v>3084300</v>
      </c>
    </row>
    <row r="2034" spans="1:7" x14ac:dyDescent="0.25">
      <c r="A2034" s="1" t="s">
        <v>2157</v>
      </c>
      <c r="B2034" s="76">
        <v>66.254486</v>
      </c>
      <c r="C2034" s="76">
        <v>69.085814999999997</v>
      </c>
      <c r="D2034" s="76">
        <v>65.808205000000001</v>
      </c>
      <c r="E2034" s="76">
        <v>68.771216999999993</v>
      </c>
      <c r="F2034" s="76">
        <v>47.686813000000001</v>
      </c>
      <c r="G2034" s="79">
        <v>2780200</v>
      </c>
    </row>
    <row r="2035" spans="1:7" x14ac:dyDescent="0.25">
      <c r="A2035" s="1" t="s">
        <v>2158</v>
      </c>
      <c r="B2035" s="76">
        <v>68.778533999999993</v>
      </c>
      <c r="C2035" s="76">
        <v>69.166290000000004</v>
      </c>
      <c r="D2035" s="76">
        <v>67.205581999999893</v>
      </c>
      <c r="E2035" s="76">
        <v>68.339568999999997</v>
      </c>
      <c r="F2035" s="76">
        <v>47.387496999999897</v>
      </c>
      <c r="G2035" s="79">
        <v>2129900</v>
      </c>
    </row>
    <row r="2036" spans="1:7" x14ac:dyDescent="0.25">
      <c r="A2036" s="1" t="s">
        <v>2159</v>
      </c>
      <c r="B2036" s="76">
        <v>67.088523999999893</v>
      </c>
      <c r="C2036" s="76">
        <v>68.676108999999997</v>
      </c>
      <c r="D2036" s="76">
        <v>66.005736999999996</v>
      </c>
      <c r="E2036" s="76">
        <v>66.005736999999996</v>
      </c>
      <c r="F2036" s="76">
        <v>45.769176000000002</v>
      </c>
      <c r="G2036" s="79">
        <v>2788200</v>
      </c>
    </row>
    <row r="2037" spans="1:7" x14ac:dyDescent="0.25">
      <c r="A2037" s="1" t="s">
        <v>2160</v>
      </c>
      <c r="B2037" s="76">
        <v>66.086219999999997</v>
      </c>
      <c r="C2037" s="76">
        <v>66.554443000000006</v>
      </c>
      <c r="D2037" s="76">
        <v>64.059662000000003</v>
      </c>
      <c r="E2037" s="76">
        <v>64.147452999999999</v>
      </c>
      <c r="F2037" s="76">
        <v>44.480632999999997</v>
      </c>
      <c r="G2037" s="79">
        <v>1946200</v>
      </c>
    </row>
    <row r="2038" spans="1:7" x14ac:dyDescent="0.25">
      <c r="A2038" s="1" t="s">
        <v>2161</v>
      </c>
      <c r="B2038" s="76">
        <v>64.344985999999906</v>
      </c>
      <c r="C2038" s="76">
        <v>66.108161999999993</v>
      </c>
      <c r="D2038" s="76">
        <v>63.64996</v>
      </c>
      <c r="E2038" s="76">
        <v>65.720412999999994</v>
      </c>
      <c r="F2038" s="76">
        <v>45.571342000000001</v>
      </c>
      <c r="G2038" s="79">
        <v>1960000</v>
      </c>
    </row>
    <row r="2039" spans="1:7" x14ac:dyDescent="0.25">
      <c r="A2039" s="1" t="s">
        <v>2162</v>
      </c>
      <c r="B2039" s="76">
        <v>65.325339999999997</v>
      </c>
      <c r="C2039" s="76">
        <v>65.544822999999994</v>
      </c>
      <c r="D2039" s="76">
        <v>62.201374000000001</v>
      </c>
      <c r="E2039" s="76">
        <v>62.984195999999997</v>
      </c>
      <c r="F2039" s="76">
        <v>43.674014999999997</v>
      </c>
      <c r="G2039" s="79">
        <v>2174300</v>
      </c>
    </row>
    <row r="2040" spans="1:7" x14ac:dyDescent="0.25">
      <c r="A2040" s="1" t="s">
        <v>2163</v>
      </c>
      <c r="B2040" s="76">
        <v>63.071987</v>
      </c>
      <c r="C2040" s="76">
        <v>63.452427</v>
      </c>
      <c r="D2040" s="76">
        <v>61.725830000000002</v>
      </c>
      <c r="E2040" s="76">
        <v>61.959941999999998</v>
      </c>
      <c r="F2040" s="76">
        <v>42.963778999999903</v>
      </c>
      <c r="G2040" s="79">
        <v>1590200</v>
      </c>
    </row>
    <row r="2041" spans="1:7" x14ac:dyDescent="0.25">
      <c r="A2041" s="1" t="s">
        <v>2164</v>
      </c>
      <c r="B2041" s="76">
        <v>62.062369999999902</v>
      </c>
      <c r="C2041" s="76">
        <v>64.359618999999995</v>
      </c>
      <c r="D2041" s="76">
        <v>62.055053999999998</v>
      </c>
      <c r="E2041" s="76">
        <v>63.854808999999896</v>
      </c>
      <c r="F2041" s="76">
        <v>44.277701999999998</v>
      </c>
      <c r="G2041" s="79">
        <v>1900200</v>
      </c>
    </row>
    <row r="2042" spans="1:7" x14ac:dyDescent="0.25">
      <c r="A2042" s="1" t="s">
        <v>2165</v>
      </c>
      <c r="B2042" s="76">
        <v>64.235244999999907</v>
      </c>
      <c r="C2042" s="76">
        <v>65.208281999999997</v>
      </c>
      <c r="D2042" s="76">
        <v>62.750079999999997</v>
      </c>
      <c r="E2042" s="76">
        <v>64.644951000000006</v>
      </c>
      <c r="F2042" s="76">
        <v>44.825606999999998</v>
      </c>
      <c r="G2042" s="79">
        <v>2093900</v>
      </c>
    </row>
    <row r="2043" spans="1:7" x14ac:dyDescent="0.25">
      <c r="A2043" s="1" t="s">
        <v>2166</v>
      </c>
      <c r="B2043" s="76">
        <v>64.652259999999998</v>
      </c>
      <c r="C2043" s="76">
        <v>64.930274999999995</v>
      </c>
      <c r="D2043" s="76">
        <v>62.837874999999997</v>
      </c>
      <c r="E2043" s="76">
        <v>63.401210999999897</v>
      </c>
      <c r="F2043" s="76">
        <v>43.963183999999998</v>
      </c>
      <c r="G2043" s="79">
        <v>1675500</v>
      </c>
    </row>
    <row r="2044" spans="1:7" x14ac:dyDescent="0.25">
      <c r="A2044" s="1" t="s">
        <v>2167</v>
      </c>
      <c r="B2044" s="76">
        <v>63.298786</v>
      </c>
      <c r="C2044" s="76">
        <v>63.547534999999897</v>
      </c>
      <c r="D2044" s="76">
        <v>62.113582999999998</v>
      </c>
      <c r="E2044" s="76">
        <v>63.547534999999897</v>
      </c>
      <c r="F2044" s="76">
        <v>44.064636</v>
      </c>
      <c r="G2044" s="79">
        <v>1527800</v>
      </c>
    </row>
    <row r="2045" spans="1:7" x14ac:dyDescent="0.25">
      <c r="A2045" s="1" t="s">
        <v>2168</v>
      </c>
      <c r="B2045" s="76">
        <v>64.271827999999999</v>
      </c>
      <c r="C2045" s="76">
        <v>64.557152000000002</v>
      </c>
      <c r="D2045" s="76">
        <v>62.186740999999998</v>
      </c>
      <c r="E2045" s="76">
        <v>62.786662999999997</v>
      </c>
      <c r="F2045" s="76">
        <v>43.537047999999999</v>
      </c>
      <c r="G2045" s="79">
        <v>1386900</v>
      </c>
    </row>
    <row r="2046" spans="1:7" x14ac:dyDescent="0.25">
      <c r="A2046" s="1" t="s">
        <v>2169</v>
      </c>
      <c r="B2046" s="76">
        <v>62.120899000000001</v>
      </c>
      <c r="C2046" s="76">
        <v>64.118187000000006</v>
      </c>
      <c r="D2046" s="76">
        <v>62.003841000000001</v>
      </c>
      <c r="E2046" s="76">
        <v>64.103554000000003</v>
      </c>
      <c r="F2046" s="76">
        <v>44.450190999999997</v>
      </c>
      <c r="G2046" s="79">
        <v>1733700</v>
      </c>
    </row>
    <row r="2047" spans="1:7" x14ac:dyDescent="0.25">
      <c r="A2047" s="1" t="s">
        <v>2170</v>
      </c>
      <c r="B2047" s="76">
        <v>64.066978000000006</v>
      </c>
      <c r="C2047" s="76">
        <v>64.805901000000006</v>
      </c>
      <c r="D2047" s="76">
        <v>62.515965000000001</v>
      </c>
      <c r="E2047" s="76">
        <v>62.750079999999997</v>
      </c>
      <c r="F2047" s="76">
        <v>43.511681000000003</v>
      </c>
      <c r="G2047" s="79">
        <v>2070400</v>
      </c>
    </row>
    <row r="2048" spans="1:7" x14ac:dyDescent="0.25">
      <c r="A2048" s="1" t="s">
        <v>2171</v>
      </c>
      <c r="B2048" s="76">
        <v>63.101253999999997</v>
      </c>
      <c r="C2048" s="76">
        <v>63.986499999999999</v>
      </c>
      <c r="D2048" s="76">
        <v>62.128211999999998</v>
      </c>
      <c r="E2048" s="76">
        <v>63.986499999999999</v>
      </c>
      <c r="F2048" s="76">
        <v>44.369030000000002</v>
      </c>
      <c r="G2048" s="79">
        <v>1597100</v>
      </c>
    </row>
    <row r="2049" spans="1:7" x14ac:dyDescent="0.25">
      <c r="A2049" s="1" t="s">
        <v>2172</v>
      </c>
      <c r="B2049" s="76">
        <v>63.913338000000003</v>
      </c>
      <c r="C2049" s="76">
        <v>65.947211999999993</v>
      </c>
      <c r="D2049" s="76">
        <v>63.020775</v>
      </c>
      <c r="E2049" s="76">
        <v>65.947211999999993</v>
      </c>
      <c r="F2049" s="76">
        <v>45.7286</v>
      </c>
      <c r="G2049" s="79">
        <v>2099700</v>
      </c>
    </row>
    <row r="2050" spans="1:7" x14ac:dyDescent="0.25">
      <c r="A2050" s="1" t="s">
        <v>2173</v>
      </c>
      <c r="B2050" s="76">
        <v>64.674210000000002</v>
      </c>
      <c r="C2050" s="76">
        <v>66.210587000000004</v>
      </c>
      <c r="D2050" s="76">
        <v>64.432777000000002</v>
      </c>
      <c r="E2050" s="76">
        <v>65.354607000000001</v>
      </c>
      <c r="F2050" s="76">
        <v>45.317687999999997</v>
      </c>
      <c r="G2050" s="79">
        <v>3299800</v>
      </c>
    </row>
    <row r="2051" spans="1:7" x14ac:dyDescent="0.25">
      <c r="A2051" s="1" t="s">
        <v>2174</v>
      </c>
      <c r="B2051" s="76">
        <v>64.827849999999998</v>
      </c>
      <c r="C2051" s="76">
        <v>65.522880999999998</v>
      </c>
      <c r="D2051" s="76">
        <v>63.606064000000003</v>
      </c>
      <c r="E2051" s="76">
        <v>63.767017000000003</v>
      </c>
      <c r="F2051" s="76">
        <v>44.216834999999897</v>
      </c>
      <c r="G2051" s="79">
        <v>2070900</v>
      </c>
    </row>
    <row r="2052" spans="1:7" x14ac:dyDescent="0.25">
      <c r="A2052" s="1" t="s">
        <v>2175</v>
      </c>
      <c r="B2052" s="76">
        <v>63.759701</v>
      </c>
      <c r="C2052" s="76">
        <v>63.759701</v>
      </c>
      <c r="D2052" s="76">
        <v>61.499031000000002</v>
      </c>
      <c r="E2052" s="76">
        <v>61.842888000000002</v>
      </c>
      <c r="F2052" s="76">
        <v>42.882618000000001</v>
      </c>
      <c r="G2052" s="79">
        <v>2179500</v>
      </c>
    </row>
    <row r="2053" spans="1:7" x14ac:dyDescent="0.25">
      <c r="A2053" s="1" t="s">
        <v>2176</v>
      </c>
      <c r="B2053" s="76">
        <v>61.038116000000002</v>
      </c>
      <c r="C2053" s="76">
        <v>62.084316000000001</v>
      </c>
      <c r="D2053" s="76">
        <v>60.730843</v>
      </c>
      <c r="E2053" s="76">
        <v>61.133223999999998</v>
      </c>
      <c r="F2053" s="76">
        <v>42.390518</v>
      </c>
      <c r="G2053" s="79">
        <v>2215200</v>
      </c>
    </row>
    <row r="2054" spans="1:7" x14ac:dyDescent="0.25">
      <c r="A2054" s="1" t="s">
        <v>2177</v>
      </c>
      <c r="B2054" s="76">
        <v>61.674618000000002</v>
      </c>
      <c r="C2054" s="76">
        <v>62.047736999999998</v>
      </c>
      <c r="D2054" s="76">
        <v>60.218716000000001</v>
      </c>
      <c r="E2054" s="76">
        <v>61.542926999999999</v>
      </c>
      <c r="F2054" s="76">
        <v>42.674624999999999</v>
      </c>
      <c r="G2054" s="79">
        <v>2874500</v>
      </c>
    </row>
    <row r="2055" spans="1:7" x14ac:dyDescent="0.25">
      <c r="A2055" s="1" t="s">
        <v>2178</v>
      </c>
      <c r="B2055" s="76">
        <v>61.206386999999999</v>
      </c>
      <c r="C2055" s="76">
        <v>61.499031000000002</v>
      </c>
      <c r="D2055" s="76">
        <v>60.028495999999997</v>
      </c>
      <c r="E2055" s="76">
        <v>60.621097999999897</v>
      </c>
      <c r="F2055" s="76">
        <v>42.035423000000002</v>
      </c>
      <c r="G2055" s="79">
        <v>2488700</v>
      </c>
    </row>
    <row r="2056" spans="1:7" x14ac:dyDescent="0.25">
      <c r="A2056" s="1" t="s">
        <v>2179</v>
      </c>
      <c r="B2056" s="76">
        <v>61.082011999999999</v>
      </c>
      <c r="C2056" s="76">
        <v>62.003841000000001</v>
      </c>
      <c r="D2056" s="76">
        <v>60.386986</v>
      </c>
      <c r="E2056" s="76">
        <v>61.308810999999999</v>
      </c>
      <c r="F2056" s="76">
        <v>42.512295000000002</v>
      </c>
      <c r="G2056" s="79">
        <v>1454200</v>
      </c>
    </row>
    <row r="2057" spans="1:7" x14ac:dyDescent="0.25">
      <c r="A2057" s="1" t="s">
        <v>2180</v>
      </c>
      <c r="B2057" s="76">
        <v>60.884480000000003</v>
      </c>
      <c r="C2057" s="76">
        <v>61.206386999999999</v>
      </c>
      <c r="D2057" s="76">
        <v>58.221423999999999</v>
      </c>
      <c r="E2057" s="76">
        <v>58.360427999999999</v>
      </c>
      <c r="F2057" s="76">
        <v>40.467841999999997</v>
      </c>
      <c r="G2057" s="79">
        <v>2382600</v>
      </c>
    </row>
    <row r="2058" spans="1:7" x14ac:dyDescent="0.25">
      <c r="A2058" s="1" t="s">
        <v>2181</v>
      </c>
      <c r="B2058" s="76">
        <v>58.294581999999998</v>
      </c>
      <c r="C2058" s="76">
        <v>59.904120999999897</v>
      </c>
      <c r="D2058" s="76">
        <v>57.73856</v>
      </c>
      <c r="E2058" s="76">
        <v>59.260306999999997</v>
      </c>
      <c r="F2058" s="76">
        <v>41.091839</v>
      </c>
      <c r="G2058" s="79">
        <v>3277200</v>
      </c>
    </row>
    <row r="2059" spans="1:7" x14ac:dyDescent="0.25">
      <c r="A2059" s="1" t="s">
        <v>2182</v>
      </c>
      <c r="B2059" s="76">
        <v>59.135932999999902</v>
      </c>
      <c r="C2059" s="76">
        <v>59.450527000000001</v>
      </c>
      <c r="D2059" s="76">
        <v>57.577606000000003</v>
      </c>
      <c r="E2059" s="76">
        <v>57.723930000000003</v>
      </c>
      <c r="F2059" s="76">
        <v>40.026485000000001</v>
      </c>
      <c r="G2059" s="79">
        <v>2319600</v>
      </c>
    </row>
    <row r="2060" spans="1:7" x14ac:dyDescent="0.25">
      <c r="A2060" s="1" t="s">
        <v>2183</v>
      </c>
      <c r="B2060" s="76">
        <v>61.074695999999904</v>
      </c>
      <c r="C2060" s="76">
        <v>63.137832999999901</v>
      </c>
      <c r="D2060" s="76">
        <v>58.894505000000002</v>
      </c>
      <c r="E2060" s="76">
        <v>62.859820999999997</v>
      </c>
      <c r="F2060" s="76">
        <v>43.587775999999998</v>
      </c>
      <c r="G2060" s="79">
        <v>3311000</v>
      </c>
    </row>
    <row r="2061" spans="1:7" x14ac:dyDescent="0.25">
      <c r="A2061" s="1" t="s">
        <v>2184</v>
      </c>
      <c r="B2061" s="76">
        <v>62.552546999999997</v>
      </c>
      <c r="C2061" s="76">
        <v>63.64996</v>
      </c>
      <c r="D2061" s="76">
        <v>60.804001</v>
      </c>
      <c r="E2061" s="76">
        <v>60.804001</v>
      </c>
      <c r="F2061" s="76">
        <v>42.162247000000001</v>
      </c>
      <c r="G2061" s="79">
        <v>2599100</v>
      </c>
    </row>
    <row r="2062" spans="1:7" x14ac:dyDescent="0.25">
      <c r="A2062" s="1" t="s">
        <v>2185</v>
      </c>
      <c r="B2062" s="76">
        <v>59.596848000000001</v>
      </c>
      <c r="C2062" s="76">
        <v>62.589126999999998</v>
      </c>
      <c r="D2062" s="76">
        <v>58.528697999999999</v>
      </c>
      <c r="E2062" s="76">
        <v>61.777042000000002</v>
      </c>
      <c r="F2062" s="76">
        <v>42.836951999999997</v>
      </c>
      <c r="G2062" s="79">
        <v>2651300</v>
      </c>
    </row>
    <row r="2063" spans="1:7" x14ac:dyDescent="0.25">
      <c r="A2063" s="1" t="s">
        <v>2186</v>
      </c>
      <c r="B2063" s="76">
        <v>62.098948999999998</v>
      </c>
      <c r="C2063" s="76">
        <v>62.259903000000001</v>
      </c>
      <c r="D2063" s="76">
        <v>58.426272999999902</v>
      </c>
      <c r="E2063" s="76">
        <v>58.879870999999902</v>
      </c>
      <c r="F2063" s="76">
        <v>40.828021999999997</v>
      </c>
      <c r="G2063" s="79">
        <v>3579800</v>
      </c>
    </row>
    <row r="2064" spans="1:7" x14ac:dyDescent="0.25">
      <c r="A2064" s="1" t="s">
        <v>2187</v>
      </c>
      <c r="B2064" s="76">
        <v>57.723930000000003</v>
      </c>
      <c r="C2064" s="76">
        <v>58.543331000000002</v>
      </c>
      <c r="D2064" s="76">
        <v>56.070492000000002</v>
      </c>
      <c r="E2064" s="76">
        <v>57.606873</v>
      </c>
      <c r="F2064" s="76">
        <v>39.945328000000003</v>
      </c>
      <c r="G2064" s="79">
        <v>3638100</v>
      </c>
    </row>
    <row r="2065" spans="1:7" x14ac:dyDescent="0.25">
      <c r="A2065" s="1" t="s">
        <v>2188</v>
      </c>
      <c r="B2065" s="76">
        <v>57.694664000000003</v>
      </c>
      <c r="C2065" s="76">
        <v>60.145553999999997</v>
      </c>
      <c r="D2065" s="76">
        <v>57.4239689999999</v>
      </c>
      <c r="E2065" s="76">
        <v>60.138236999999997</v>
      </c>
      <c r="F2065" s="76">
        <v>41.700588000000003</v>
      </c>
      <c r="G2065" s="79">
        <v>4560400</v>
      </c>
    </row>
    <row r="2066" spans="1:7" x14ac:dyDescent="0.25">
      <c r="A2066" s="1" t="s">
        <v>2189</v>
      </c>
      <c r="B2066" s="76">
        <v>61.067379000000003</v>
      </c>
      <c r="C2066" s="76">
        <v>61.279548999999903</v>
      </c>
      <c r="D2066" s="76">
        <v>59.655375999999997</v>
      </c>
      <c r="E2066" s="76">
        <v>59.969966999999997</v>
      </c>
      <c r="F2066" s="76">
        <v>41.583915999999903</v>
      </c>
      <c r="G2066" s="79">
        <v>2492900</v>
      </c>
    </row>
    <row r="2067" spans="1:7" x14ac:dyDescent="0.25">
      <c r="A2067" s="1" t="s">
        <v>2190</v>
      </c>
      <c r="B2067" s="76">
        <v>60.035812</v>
      </c>
      <c r="C2067" s="76">
        <v>63.232943999999897</v>
      </c>
      <c r="D2067" s="76">
        <v>60.035812</v>
      </c>
      <c r="E2067" s="76">
        <v>63.006144999999997</v>
      </c>
      <c r="F2067" s="76">
        <v>43.689228</v>
      </c>
      <c r="G2067" s="79">
        <v>3567000</v>
      </c>
    </row>
    <row r="2068" spans="1:7" x14ac:dyDescent="0.25">
      <c r="A2068" s="1" t="s">
        <v>2191</v>
      </c>
      <c r="B2068" s="76">
        <v>63.503639</v>
      </c>
      <c r="C2068" s="76">
        <v>65.032700000000006</v>
      </c>
      <c r="D2068" s="76">
        <v>63.152465999999997</v>
      </c>
      <c r="E2068" s="76">
        <v>64.344985999999906</v>
      </c>
      <c r="F2068" s="76">
        <v>44.617603000000003</v>
      </c>
      <c r="G2068" s="79">
        <v>3269900</v>
      </c>
    </row>
    <row r="2069" spans="1:7" x14ac:dyDescent="0.25">
      <c r="A2069" s="1" t="s">
        <v>2192</v>
      </c>
      <c r="B2069" s="76">
        <v>64.593734999999995</v>
      </c>
      <c r="C2069" s="76">
        <v>65.296081999999998</v>
      </c>
      <c r="D2069" s="76">
        <v>63.964550000000003</v>
      </c>
      <c r="E2069" s="76">
        <v>65.274131999999994</v>
      </c>
      <c r="F2069" s="76">
        <v>45.261887000000002</v>
      </c>
      <c r="G2069" s="79">
        <v>2411500</v>
      </c>
    </row>
    <row r="2070" spans="1:7" x14ac:dyDescent="0.25">
      <c r="A2070" s="1" t="s">
        <v>2193</v>
      </c>
      <c r="B2070" s="76">
        <v>64.747375000000005</v>
      </c>
      <c r="C2070" s="76">
        <v>64.871750000000006</v>
      </c>
      <c r="D2070" s="76">
        <v>63.569481000000003</v>
      </c>
      <c r="E2070" s="76">
        <v>63.723121999999996</v>
      </c>
      <c r="F2070" s="76">
        <v>44.186394</v>
      </c>
      <c r="G2070" s="79">
        <v>1934400</v>
      </c>
    </row>
    <row r="2071" spans="1:7" x14ac:dyDescent="0.25">
      <c r="A2071" s="1" t="s">
        <v>2194</v>
      </c>
      <c r="B2071" s="76">
        <v>64.001129000000006</v>
      </c>
      <c r="C2071" s="76">
        <v>64.893692000000001</v>
      </c>
      <c r="D2071" s="76">
        <v>63.518268999999997</v>
      </c>
      <c r="E2071" s="76">
        <v>63.620697</v>
      </c>
      <c r="F2071" s="76">
        <v>44.115378999999997</v>
      </c>
      <c r="G2071" s="79">
        <v>2003600</v>
      </c>
    </row>
    <row r="2072" spans="1:7" x14ac:dyDescent="0.25">
      <c r="A2072" s="1" t="s">
        <v>2195</v>
      </c>
      <c r="B2072" s="76">
        <v>63.679221999999903</v>
      </c>
      <c r="C2072" s="76">
        <v>64.762000999999998</v>
      </c>
      <c r="D2072" s="76">
        <v>63.093936999999997</v>
      </c>
      <c r="E2072" s="76">
        <v>64.103554000000003</v>
      </c>
      <c r="F2072" s="76">
        <v>44.450190999999997</v>
      </c>
      <c r="G2072" s="79">
        <v>2371800</v>
      </c>
    </row>
    <row r="2073" spans="1:7" x14ac:dyDescent="0.25">
      <c r="A2073" s="1" t="s">
        <v>2196</v>
      </c>
      <c r="B2073" s="76">
        <v>64.205985999999996</v>
      </c>
      <c r="C2073" s="76">
        <v>65.149756999999994</v>
      </c>
      <c r="D2073" s="76">
        <v>63.071987</v>
      </c>
      <c r="E2073" s="76">
        <v>63.071987</v>
      </c>
      <c r="F2073" s="76">
        <v>43.734885999999896</v>
      </c>
      <c r="G2073" s="79">
        <v>2126900</v>
      </c>
    </row>
    <row r="2074" spans="1:7" x14ac:dyDescent="0.25">
      <c r="A2074" s="1" t="s">
        <v>2197</v>
      </c>
      <c r="B2074" s="76">
        <v>64.527893000000006</v>
      </c>
      <c r="C2074" s="76">
        <v>66.634925999999993</v>
      </c>
      <c r="D2074" s="76">
        <v>63.774333999999897</v>
      </c>
      <c r="E2074" s="76">
        <v>66.525184999999993</v>
      </c>
      <c r="F2074" s="76">
        <v>46.129387000000001</v>
      </c>
      <c r="G2074" s="79">
        <v>2802700</v>
      </c>
    </row>
    <row r="2075" spans="1:7" x14ac:dyDescent="0.25">
      <c r="A2075" s="1" t="s">
        <v>2198</v>
      </c>
      <c r="B2075" s="76">
        <v>66.525184999999993</v>
      </c>
      <c r="C2075" s="76">
        <v>67.593329999999995</v>
      </c>
      <c r="D2075" s="76">
        <v>65.552138999999997</v>
      </c>
      <c r="E2075" s="76">
        <v>66.678818000000007</v>
      </c>
      <c r="F2075" s="76">
        <v>46.235915999999897</v>
      </c>
      <c r="G2075" s="79">
        <v>2306300</v>
      </c>
    </row>
    <row r="2076" spans="1:7" x14ac:dyDescent="0.25">
      <c r="A2076" s="1" t="s">
        <v>2199</v>
      </c>
      <c r="B2076" s="76">
        <v>66.276436000000004</v>
      </c>
      <c r="C2076" s="76">
        <v>68.646850999999998</v>
      </c>
      <c r="D2076" s="76">
        <v>66.02037</v>
      </c>
      <c r="E2076" s="76">
        <v>68.449309999999997</v>
      </c>
      <c r="F2076" s="76">
        <v>47.463596000000003</v>
      </c>
      <c r="G2076" s="79">
        <v>2035000</v>
      </c>
    </row>
    <row r="2077" spans="1:7" x14ac:dyDescent="0.25">
      <c r="A2077" s="1" t="s">
        <v>2200</v>
      </c>
      <c r="B2077" s="76">
        <v>68.581001000000001</v>
      </c>
      <c r="C2077" s="76">
        <v>68.690742</v>
      </c>
      <c r="D2077" s="76">
        <v>65.500930999999994</v>
      </c>
      <c r="E2077" s="76">
        <v>65.676513999999997</v>
      </c>
      <c r="F2077" s="76">
        <v>45.540889999999997</v>
      </c>
      <c r="G2077" s="79">
        <v>2992600</v>
      </c>
    </row>
    <row r="2078" spans="1:7" x14ac:dyDescent="0.25">
      <c r="A2078" s="1" t="s">
        <v>2201</v>
      </c>
      <c r="B2078" s="76">
        <v>66.035004000000001</v>
      </c>
      <c r="C2078" s="76">
        <v>66.386177000000004</v>
      </c>
      <c r="D2078" s="76">
        <v>64.762000999999998</v>
      </c>
      <c r="E2078" s="76">
        <v>65.500930999999994</v>
      </c>
      <c r="F2078" s="76">
        <v>45.419150999999999</v>
      </c>
      <c r="G2078" s="79">
        <v>2558200</v>
      </c>
    </row>
    <row r="2079" spans="1:7" x14ac:dyDescent="0.25">
      <c r="A2079" s="1" t="s">
        <v>2202</v>
      </c>
      <c r="B2079" s="76">
        <v>65.398505999999998</v>
      </c>
      <c r="C2079" s="76">
        <v>65.844787999999994</v>
      </c>
      <c r="D2079" s="76">
        <v>64.703475999999995</v>
      </c>
      <c r="E2079" s="76">
        <v>64.981491000000005</v>
      </c>
      <c r="F2079" s="76">
        <v>45.058959999999999</v>
      </c>
      <c r="G2079" s="79">
        <v>1691200</v>
      </c>
    </row>
    <row r="2080" spans="1:7" x14ac:dyDescent="0.25">
      <c r="A2080" s="1" t="s">
        <v>2203</v>
      </c>
      <c r="B2080" s="76">
        <v>65.405822999999998</v>
      </c>
      <c r="C2080" s="76">
        <v>65.844787999999994</v>
      </c>
      <c r="D2080" s="76">
        <v>63.796280000000003</v>
      </c>
      <c r="E2080" s="76">
        <v>63.898707999999999</v>
      </c>
      <c r="F2080" s="76">
        <v>44.308143999999999</v>
      </c>
      <c r="G2080" s="79">
        <v>1636600</v>
      </c>
    </row>
    <row r="2081" spans="1:7" x14ac:dyDescent="0.25">
      <c r="A2081" s="1" t="s">
        <v>2204</v>
      </c>
      <c r="B2081" s="76">
        <v>64.052344999999903</v>
      </c>
      <c r="C2081" s="76">
        <v>65.164390999999995</v>
      </c>
      <c r="D2081" s="76">
        <v>63.408526999999999</v>
      </c>
      <c r="E2081" s="76">
        <v>64.659576000000001</v>
      </c>
      <c r="F2081" s="76">
        <v>44.835757999999998</v>
      </c>
      <c r="G2081" s="79">
        <v>1463600</v>
      </c>
    </row>
    <row r="2082" spans="1:7" x14ac:dyDescent="0.25">
      <c r="A2082" s="1" t="s">
        <v>2205</v>
      </c>
      <c r="B2082" s="76">
        <v>64.374251999999998</v>
      </c>
      <c r="C2082" s="76">
        <v>64.747375000000005</v>
      </c>
      <c r="D2082" s="76">
        <v>63.686539000000003</v>
      </c>
      <c r="E2082" s="76">
        <v>63.942604000000003</v>
      </c>
      <c r="F2082" s="76">
        <v>44.338592999999896</v>
      </c>
      <c r="G2082" s="79">
        <v>2340800</v>
      </c>
    </row>
    <row r="2083" spans="1:7" x14ac:dyDescent="0.25">
      <c r="A2083" s="1" t="s">
        <v>2206</v>
      </c>
      <c r="B2083" s="76">
        <v>63.745068000000003</v>
      </c>
      <c r="C2083" s="76">
        <v>64.571784999999906</v>
      </c>
      <c r="D2083" s="76">
        <v>63.035407999999997</v>
      </c>
      <c r="E2083" s="76">
        <v>63.137832999999901</v>
      </c>
      <c r="F2083" s="76">
        <v>43.780555999999997</v>
      </c>
      <c r="G2083" s="79">
        <v>1327700</v>
      </c>
    </row>
    <row r="2084" spans="1:7" x14ac:dyDescent="0.25">
      <c r="A2084" s="1" t="s">
        <v>2207</v>
      </c>
      <c r="B2084" s="76">
        <v>63.452427</v>
      </c>
      <c r="C2084" s="76">
        <v>64.162086000000002</v>
      </c>
      <c r="D2084" s="76">
        <v>62.874454</v>
      </c>
      <c r="E2084" s="76">
        <v>63.927970999999999</v>
      </c>
      <c r="F2084" s="76">
        <v>44.328441999999903</v>
      </c>
      <c r="G2084" s="79">
        <v>1744000</v>
      </c>
    </row>
    <row r="2085" spans="1:7" x14ac:dyDescent="0.25">
      <c r="A2085" s="1" t="s">
        <v>2208</v>
      </c>
      <c r="B2085" s="76">
        <v>64.630318000000003</v>
      </c>
      <c r="C2085" s="76">
        <v>66.744667000000007</v>
      </c>
      <c r="D2085" s="76">
        <v>64.081611999999893</v>
      </c>
      <c r="E2085" s="76">
        <v>66.664185000000003</v>
      </c>
      <c r="F2085" s="76">
        <v>46.225760999999999</v>
      </c>
      <c r="G2085" s="79">
        <v>2061700</v>
      </c>
    </row>
    <row r="2086" spans="1:7" x14ac:dyDescent="0.25">
      <c r="A2086" s="1" t="s">
        <v>2209</v>
      </c>
      <c r="B2086" s="76">
        <v>66.334960999999893</v>
      </c>
      <c r="C2086" s="76">
        <v>67.212890999999999</v>
      </c>
      <c r="D2086" s="76">
        <v>65.852103999999997</v>
      </c>
      <c r="E2086" s="76">
        <v>67.154365999999996</v>
      </c>
      <c r="F2086" s="76">
        <v>46.565655</v>
      </c>
      <c r="G2086" s="79">
        <v>1146100</v>
      </c>
    </row>
    <row r="2087" spans="1:7" x14ac:dyDescent="0.25">
      <c r="A2087" s="1" t="s">
        <v>2210</v>
      </c>
      <c r="B2087" s="76">
        <v>68.156669999999906</v>
      </c>
      <c r="C2087" s="76">
        <v>68.500525999999994</v>
      </c>
      <c r="D2087" s="76">
        <v>66.773926000000003</v>
      </c>
      <c r="E2087" s="76">
        <v>67.293373000000003</v>
      </c>
      <c r="F2087" s="76">
        <v>46.662064000000001</v>
      </c>
      <c r="G2087" s="79">
        <v>1873300</v>
      </c>
    </row>
    <row r="2088" spans="1:7" x14ac:dyDescent="0.25">
      <c r="A2088" s="1" t="s">
        <v>2211</v>
      </c>
      <c r="B2088" s="76">
        <v>66.795876000000007</v>
      </c>
      <c r="C2088" s="76">
        <v>67.249473999999907</v>
      </c>
      <c r="D2088" s="76">
        <v>66.364227</v>
      </c>
      <c r="E2088" s="76">
        <v>66.561759999999893</v>
      </c>
      <c r="F2088" s="76">
        <v>46.154755000000002</v>
      </c>
      <c r="G2088" s="79">
        <v>1124400</v>
      </c>
    </row>
    <row r="2089" spans="1:7" x14ac:dyDescent="0.25">
      <c r="A2089" s="1" t="s">
        <v>2212</v>
      </c>
      <c r="B2089" s="76">
        <v>66.751983999999993</v>
      </c>
      <c r="C2089" s="76">
        <v>67.783546000000001</v>
      </c>
      <c r="D2089" s="76">
        <v>66.261803</v>
      </c>
      <c r="E2089" s="76">
        <v>66.861725000000007</v>
      </c>
      <c r="F2089" s="76">
        <v>46.362740000000002</v>
      </c>
      <c r="G2089" s="79">
        <v>1732700</v>
      </c>
    </row>
    <row r="2090" spans="1:7" x14ac:dyDescent="0.25">
      <c r="A2090" s="1" t="s">
        <v>2213</v>
      </c>
      <c r="B2090" s="76">
        <v>67.564064000000002</v>
      </c>
      <c r="C2090" s="76">
        <v>68.976073999999997</v>
      </c>
      <c r="D2090" s="76">
        <v>66.934882999999999</v>
      </c>
      <c r="E2090" s="76">
        <v>68.251778000000002</v>
      </c>
      <c r="F2090" s="76">
        <v>47.326617999999897</v>
      </c>
      <c r="G2090" s="79">
        <v>1763300</v>
      </c>
    </row>
    <row r="2091" spans="1:7" x14ac:dyDescent="0.25">
      <c r="A2091" s="1" t="s">
        <v>2214</v>
      </c>
      <c r="B2091" s="76">
        <v>66.773926000000003</v>
      </c>
      <c r="C2091" s="76">
        <v>69.612572</v>
      </c>
      <c r="D2091" s="76">
        <v>66.678818000000007</v>
      </c>
      <c r="E2091" s="76">
        <v>69.524780000000007</v>
      </c>
      <c r="F2091" s="76">
        <v>48.209332000000003</v>
      </c>
      <c r="G2091" s="79">
        <v>2661300</v>
      </c>
    </row>
    <row r="2092" spans="1:7" x14ac:dyDescent="0.25">
      <c r="A2092" s="1" t="s">
        <v>2215</v>
      </c>
      <c r="B2092" s="76">
        <v>69.714995999999999</v>
      </c>
      <c r="C2092" s="76">
        <v>70.153960999999995</v>
      </c>
      <c r="D2092" s="76">
        <v>68.478577000000001</v>
      </c>
      <c r="E2092" s="76">
        <v>69.327240000000003</v>
      </c>
      <c r="F2092" s="76">
        <v>48.072369000000002</v>
      </c>
      <c r="G2092" s="79">
        <v>1344900</v>
      </c>
    </row>
    <row r="2093" spans="1:7" x14ac:dyDescent="0.25">
      <c r="A2093" s="1" t="s">
        <v>2216</v>
      </c>
      <c r="B2093" s="76">
        <v>69.466247999999993</v>
      </c>
      <c r="C2093" s="76">
        <v>69.693046999999893</v>
      </c>
      <c r="D2093" s="76">
        <v>68.771216999999993</v>
      </c>
      <c r="E2093" s="76">
        <v>69.561356000000004</v>
      </c>
      <c r="F2093" s="76">
        <v>48.234698999999999</v>
      </c>
      <c r="G2093" s="79">
        <v>1913900</v>
      </c>
    </row>
    <row r="2094" spans="1:7" x14ac:dyDescent="0.25">
      <c r="A2094" s="1" t="s">
        <v>2217</v>
      </c>
      <c r="B2094" s="76">
        <v>69.502831</v>
      </c>
      <c r="C2094" s="76">
        <v>69.875953999999993</v>
      </c>
      <c r="D2094" s="76">
        <v>68.976073999999997</v>
      </c>
      <c r="E2094" s="76">
        <v>69.319930999999997</v>
      </c>
      <c r="F2094" s="76">
        <v>48.067314000000003</v>
      </c>
      <c r="G2094" s="79">
        <v>2200600</v>
      </c>
    </row>
    <row r="2095" spans="1:7" x14ac:dyDescent="0.25">
      <c r="A2095" s="1" t="s">
        <v>2218</v>
      </c>
      <c r="B2095" s="76">
        <v>69.393089000000003</v>
      </c>
      <c r="C2095" s="76">
        <v>70.234436000000002</v>
      </c>
      <c r="D2095" s="76">
        <v>68.105452999999997</v>
      </c>
      <c r="E2095" s="76">
        <v>68.105452999999997</v>
      </c>
      <c r="F2095" s="76">
        <v>47.225155000000001</v>
      </c>
      <c r="G2095" s="79">
        <v>1646900</v>
      </c>
    </row>
    <row r="2096" spans="1:7" x14ac:dyDescent="0.25">
      <c r="A2096" s="1" t="s">
        <v>2219</v>
      </c>
      <c r="B2096" s="76">
        <v>68.412734999999998</v>
      </c>
      <c r="C2096" s="76">
        <v>70.146644999999907</v>
      </c>
      <c r="D2096" s="76">
        <v>67.864029000000002</v>
      </c>
      <c r="E2096" s="76">
        <v>69.912529000000006</v>
      </c>
      <c r="F2096" s="76">
        <v>48.478194999999999</v>
      </c>
      <c r="G2096" s="79">
        <v>2299800</v>
      </c>
    </row>
    <row r="2097" spans="1:7" x14ac:dyDescent="0.25">
      <c r="A2097" s="1" t="s">
        <v>2220</v>
      </c>
      <c r="B2097" s="76">
        <v>71.075789999999998</v>
      </c>
      <c r="C2097" s="76">
        <v>71.587913999999998</v>
      </c>
      <c r="D2097" s="76">
        <v>70.014954000000003</v>
      </c>
      <c r="E2097" s="76">
        <v>70.256385999999907</v>
      </c>
      <c r="F2097" s="76">
        <v>48.716644000000002</v>
      </c>
      <c r="G2097" s="79">
        <v>2187100</v>
      </c>
    </row>
    <row r="2098" spans="1:7" x14ac:dyDescent="0.25">
      <c r="A2098" s="1" t="s">
        <v>2221</v>
      </c>
      <c r="B2098" s="76">
        <v>70.132011000000006</v>
      </c>
      <c r="C2098" s="76">
        <v>72.941390999999996</v>
      </c>
      <c r="D2098" s="76">
        <v>69.788155000000003</v>
      </c>
      <c r="E2098" s="76">
        <v>70.314918999999904</v>
      </c>
      <c r="F2098" s="76">
        <v>48.757240000000003</v>
      </c>
      <c r="G2098" s="79">
        <v>1276800</v>
      </c>
    </row>
    <row r="2099" spans="1:7" x14ac:dyDescent="0.25">
      <c r="A2099" s="1" t="s">
        <v>2222</v>
      </c>
      <c r="B2099" s="76">
        <v>69.158974000000001</v>
      </c>
      <c r="C2099" s="76">
        <v>70.600243000000006</v>
      </c>
      <c r="D2099" s="76">
        <v>69.158974000000001</v>
      </c>
      <c r="E2099" s="76">
        <v>70.556342999999998</v>
      </c>
      <c r="F2099" s="76">
        <v>48.924621999999999</v>
      </c>
      <c r="G2099" s="79">
        <v>1314300</v>
      </c>
    </row>
    <row r="2100" spans="1:7" x14ac:dyDescent="0.25">
      <c r="A2100" s="1" t="s">
        <v>2223</v>
      </c>
      <c r="B2100" s="76">
        <v>70.717299999999994</v>
      </c>
      <c r="C2100" s="76">
        <v>70.966048999999998</v>
      </c>
      <c r="D2100" s="76">
        <v>69.041916000000001</v>
      </c>
      <c r="E2100" s="76">
        <v>69.107757999999905</v>
      </c>
      <c r="F2100" s="76">
        <v>47.920180999999999</v>
      </c>
      <c r="G2100" s="79">
        <v>1330800</v>
      </c>
    </row>
    <row r="2101" spans="1:7" x14ac:dyDescent="0.25">
      <c r="A2101" s="1" t="s">
        <v>2224</v>
      </c>
      <c r="B2101" s="76">
        <v>68.990700000000004</v>
      </c>
      <c r="C2101" s="76">
        <v>69.210181999999904</v>
      </c>
      <c r="D2101" s="76">
        <v>68.039612000000005</v>
      </c>
      <c r="E2101" s="76">
        <v>68.324935999999994</v>
      </c>
      <c r="F2101" s="76">
        <v>47.833098999999997</v>
      </c>
      <c r="G2101" s="79">
        <v>1160700</v>
      </c>
    </row>
    <row r="2102" spans="1:7" x14ac:dyDescent="0.25">
      <c r="A2102" s="1" t="s">
        <v>2225</v>
      </c>
      <c r="B2102" s="76">
        <v>67.988395999999995</v>
      </c>
      <c r="C2102" s="76">
        <v>68.873649999999998</v>
      </c>
      <c r="D2102" s="76">
        <v>67.308006000000006</v>
      </c>
      <c r="E2102" s="76">
        <v>67.659171999999998</v>
      </c>
      <c r="F2102" s="76">
        <v>47.367016</v>
      </c>
      <c r="G2102" s="79">
        <v>1019800</v>
      </c>
    </row>
    <row r="2103" spans="1:7" x14ac:dyDescent="0.25">
      <c r="A2103" s="1" t="s">
        <v>2226</v>
      </c>
      <c r="B2103" s="76">
        <v>68.332252999999994</v>
      </c>
      <c r="C2103" s="76">
        <v>69.941794999999999</v>
      </c>
      <c r="D2103" s="76">
        <v>67.673805000000002</v>
      </c>
      <c r="E2103" s="76">
        <v>69.890579000000002</v>
      </c>
      <c r="F2103" s="76">
        <v>48.929161000000001</v>
      </c>
      <c r="G2103" s="79">
        <v>1173400</v>
      </c>
    </row>
    <row r="2104" spans="1:7" x14ac:dyDescent="0.25">
      <c r="A2104" s="1" t="s">
        <v>2227</v>
      </c>
      <c r="B2104" s="76">
        <v>70.256385999999907</v>
      </c>
      <c r="C2104" s="76">
        <v>70.329543999999999</v>
      </c>
      <c r="D2104" s="76">
        <v>69.297980999999993</v>
      </c>
      <c r="E2104" s="76">
        <v>70.161277999999996</v>
      </c>
      <c r="F2104" s="76">
        <v>49.118693999999998</v>
      </c>
      <c r="G2104" s="79">
        <v>1067200</v>
      </c>
    </row>
    <row r="2105" spans="1:7" x14ac:dyDescent="0.25">
      <c r="A2105" s="1" t="s">
        <v>2228</v>
      </c>
      <c r="B2105" s="76">
        <v>70.702667000000005</v>
      </c>
      <c r="C2105" s="76">
        <v>71.587913999999998</v>
      </c>
      <c r="D2105" s="76">
        <v>70.161277999999996</v>
      </c>
      <c r="E2105" s="76">
        <v>71.178214999999994</v>
      </c>
      <c r="F2105" s="76">
        <v>49.830630999999997</v>
      </c>
      <c r="G2105" s="79">
        <v>1426800</v>
      </c>
    </row>
    <row r="2106" spans="1:7" x14ac:dyDescent="0.25">
      <c r="A2106" s="1" t="s">
        <v>2229</v>
      </c>
      <c r="B2106" s="76">
        <v>71.031891000000002</v>
      </c>
      <c r="C2106" s="76">
        <v>71.712288000000001</v>
      </c>
      <c r="D2106" s="76">
        <v>70.461235000000002</v>
      </c>
      <c r="E2106" s="76">
        <v>71.712288000000001</v>
      </c>
      <c r="F2106" s="76">
        <v>50.204521</v>
      </c>
      <c r="G2106" s="79">
        <v>1188100</v>
      </c>
    </row>
    <row r="2107" spans="1:7" x14ac:dyDescent="0.25">
      <c r="A2107" s="1" t="s">
        <v>2230</v>
      </c>
      <c r="B2107" s="76">
        <v>71.595230000000001</v>
      </c>
      <c r="C2107" s="76">
        <v>71.909820999999994</v>
      </c>
      <c r="D2107" s="76">
        <v>70.468552000000003</v>
      </c>
      <c r="E2107" s="76">
        <v>71.083106999999998</v>
      </c>
      <c r="F2107" s="76">
        <v>49.764046</v>
      </c>
      <c r="G2107" s="79">
        <v>1226100</v>
      </c>
    </row>
    <row r="2108" spans="1:7" x14ac:dyDescent="0.25">
      <c r="A2108" s="1" t="s">
        <v>2231</v>
      </c>
      <c r="B2108" s="76">
        <v>71.309905999999998</v>
      </c>
      <c r="C2108" s="76">
        <v>72.260993999999997</v>
      </c>
      <c r="D2108" s="76">
        <v>70.922150000000002</v>
      </c>
      <c r="E2108" s="76">
        <v>71.763503999999998</v>
      </c>
      <c r="F2108" s="76">
        <v>50.240372000000001</v>
      </c>
      <c r="G2108" s="79">
        <v>1145500</v>
      </c>
    </row>
    <row r="2109" spans="1:7" x14ac:dyDescent="0.25">
      <c r="A2109" s="1" t="s">
        <v>2232</v>
      </c>
      <c r="B2109" s="76">
        <v>71.587913999999998</v>
      </c>
      <c r="C2109" s="76">
        <v>71.800078999999997</v>
      </c>
      <c r="D2109" s="76">
        <v>70.197861000000003</v>
      </c>
      <c r="E2109" s="76">
        <v>70.527084000000002</v>
      </c>
      <c r="F2109" s="76">
        <v>49.374778999999997</v>
      </c>
      <c r="G2109" s="79">
        <v>1211500</v>
      </c>
    </row>
    <row r="2110" spans="1:7" x14ac:dyDescent="0.25">
      <c r="A2110" s="1" t="s">
        <v>2233</v>
      </c>
      <c r="B2110" s="76">
        <v>70.439284999999998</v>
      </c>
      <c r="C2110" s="76">
        <v>71.470855999999998</v>
      </c>
      <c r="D2110" s="76">
        <v>69.173606999999905</v>
      </c>
      <c r="E2110" s="76">
        <v>69.276031000000003</v>
      </c>
      <c r="F2110" s="76">
        <v>48.498932000000003</v>
      </c>
      <c r="G2110" s="79">
        <v>1639600</v>
      </c>
    </row>
    <row r="2111" spans="1:7" x14ac:dyDescent="0.25">
      <c r="A2111" s="1" t="s">
        <v>2234</v>
      </c>
      <c r="B2111" s="76">
        <v>69.210181999999904</v>
      </c>
      <c r="C2111" s="76">
        <v>69.810103999999995</v>
      </c>
      <c r="D2111" s="76">
        <v>68.939491000000004</v>
      </c>
      <c r="E2111" s="76">
        <v>69.232132000000007</v>
      </c>
      <c r="F2111" s="76">
        <v>48.468212000000001</v>
      </c>
      <c r="G2111" s="79">
        <v>1110700</v>
      </c>
    </row>
    <row r="2112" spans="1:7" x14ac:dyDescent="0.25">
      <c r="A2112" s="1" t="s">
        <v>2235</v>
      </c>
      <c r="B2112" s="76">
        <v>68.668792999999994</v>
      </c>
      <c r="C2112" s="76">
        <v>69.495514</v>
      </c>
      <c r="D2112" s="76">
        <v>68.632216999999997</v>
      </c>
      <c r="E2112" s="76">
        <v>68.998016000000007</v>
      </c>
      <c r="F2112" s="76">
        <v>48.304313999999998</v>
      </c>
      <c r="G2112" s="79">
        <v>1143500</v>
      </c>
    </row>
    <row r="2113" spans="1:7" x14ac:dyDescent="0.25">
      <c r="A2113" s="1" t="s">
        <v>2236</v>
      </c>
      <c r="B2113" s="76">
        <v>69.283348000000004</v>
      </c>
      <c r="C2113" s="76">
        <v>70.424660000000003</v>
      </c>
      <c r="D2113" s="76">
        <v>69.151657</v>
      </c>
      <c r="E2113" s="76">
        <v>70.219802999999999</v>
      </c>
      <c r="F2113" s="76">
        <v>49.159667999999897</v>
      </c>
      <c r="G2113" s="79">
        <v>760900</v>
      </c>
    </row>
    <row r="2114" spans="1:7" x14ac:dyDescent="0.25">
      <c r="A2114" s="1" t="s">
        <v>2237</v>
      </c>
      <c r="B2114" s="76">
        <v>70.468552000000003</v>
      </c>
      <c r="C2114" s="76">
        <v>70.819725000000005</v>
      </c>
      <c r="D2114" s="76">
        <v>69.700362999999996</v>
      </c>
      <c r="E2114" s="76">
        <v>70.497817999999995</v>
      </c>
      <c r="F2114" s="76">
        <v>49.354289999999999</v>
      </c>
      <c r="G2114" s="79">
        <v>1262500</v>
      </c>
    </row>
    <row r="2115" spans="1:7" x14ac:dyDescent="0.25">
      <c r="A2115" s="1" t="s">
        <v>2238</v>
      </c>
      <c r="B2115" s="76">
        <v>70.827042000000006</v>
      </c>
      <c r="C2115" s="76">
        <v>71.829346000000001</v>
      </c>
      <c r="D2115" s="76">
        <v>70.307602000000003</v>
      </c>
      <c r="E2115" s="76">
        <v>71.807395999999997</v>
      </c>
      <c r="F2115" s="76">
        <v>50.271099</v>
      </c>
      <c r="G2115" s="79">
        <v>1596100</v>
      </c>
    </row>
    <row r="2116" spans="1:7" x14ac:dyDescent="0.25">
      <c r="A2116" s="1" t="s">
        <v>2239</v>
      </c>
      <c r="B2116" s="76">
        <v>71.807395999999997</v>
      </c>
      <c r="C2116" s="76">
        <v>72.107353000000003</v>
      </c>
      <c r="D2116" s="76">
        <v>71.105048999999994</v>
      </c>
      <c r="E2116" s="76">
        <v>71.500121999999905</v>
      </c>
      <c r="F2116" s="76">
        <v>50.055991999999897</v>
      </c>
      <c r="G2116" s="79">
        <v>1019000</v>
      </c>
    </row>
    <row r="2117" spans="1:7" x14ac:dyDescent="0.25">
      <c r="A2117" s="1" t="s">
        <v>2240</v>
      </c>
      <c r="B2117" s="76">
        <v>71.331847999999994</v>
      </c>
      <c r="C2117" s="76">
        <v>71.361114999999998</v>
      </c>
      <c r="D2117" s="76">
        <v>69.056549000000004</v>
      </c>
      <c r="E2117" s="76">
        <v>69.554039000000003</v>
      </c>
      <c r="F2117" s="76">
        <v>48.693581000000002</v>
      </c>
      <c r="G2117" s="79">
        <v>1398600</v>
      </c>
    </row>
    <row r="2118" spans="1:7" x14ac:dyDescent="0.25">
      <c r="A2118" s="1" t="s">
        <v>2241</v>
      </c>
      <c r="B2118" s="76">
        <v>69.993003999999999</v>
      </c>
      <c r="C2118" s="76">
        <v>70.234436000000002</v>
      </c>
      <c r="D2118" s="76">
        <v>68.851699999999994</v>
      </c>
      <c r="E2118" s="76">
        <v>69.72963</v>
      </c>
      <c r="F2118" s="76">
        <v>48.816493999999999</v>
      </c>
      <c r="G2118" s="79">
        <v>1496200</v>
      </c>
    </row>
    <row r="2119" spans="1:7" x14ac:dyDescent="0.25">
      <c r="A2119" s="1" t="s">
        <v>2242</v>
      </c>
      <c r="B2119" s="76">
        <v>69.612572</v>
      </c>
      <c r="C2119" s="76">
        <v>70.783141999999998</v>
      </c>
      <c r="D2119" s="76">
        <v>69.173606999999905</v>
      </c>
      <c r="E2119" s="76">
        <v>70.06617</v>
      </c>
      <c r="F2119" s="76">
        <v>49.052109000000002</v>
      </c>
      <c r="G2119" s="79">
        <v>1287600</v>
      </c>
    </row>
    <row r="2120" spans="1:7" x14ac:dyDescent="0.25">
      <c r="A2120" s="1" t="s">
        <v>2243</v>
      </c>
      <c r="B2120" s="76">
        <v>70.351493999999903</v>
      </c>
      <c r="C2120" s="76">
        <v>72.260993999999997</v>
      </c>
      <c r="D2120" s="76">
        <v>70.000320000000002</v>
      </c>
      <c r="E2120" s="76">
        <v>72.260993999999997</v>
      </c>
      <c r="F2120" s="76">
        <v>50.588664999999999</v>
      </c>
      <c r="G2120" s="79">
        <v>1012500</v>
      </c>
    </row>
    <row r="2121" spans="1:7" x14ac:dyDescent="0.25">
      <c r="A2121" s="1" t="s">
        <v>2244</v>
      </c>
      <c r="B2121" s="76">
        <v>71.690337999999997</v>
      </c>
      <c r="C2121" s="76">
        <v>71.697654999999997</v>
      </c>
      <c r="D2121" s="76">
        <v>68.068877999999998</v>
      </c>
      <c r="E2121" s="76">
        <v>68.383468999999906</v>
      </c>
      <c r="F2121" s="76">
        <v>47.874068999999999</v>
      </c>
      <c r="G2121" s="79">
        <v>1911900</v>
      </c>
    </row>
    <row r="2122" spans="1:7" x14ac:dyDescent="0.25">
      <c r="A2122" s="1" t="s">
        <v>2245</v>
      </c>
      <c r="B2122" s="76">
        <v>68.456626999999997</v>
      </c>
      <c r="C2122" s="76">
        <v>69.407721999999893</v>
      </c>
      <c r="D2122" s="76">
        <v>66.883667000000003</v>
      </c>
      <c r="E2122" s="76">
        <v>67.066574000000003</v>
      </c>
      <c r="F2122" s="76">
        <v>46.952140999999997</v>
      </c>
      <c r="G2122" s="79">
        <v>1530400</v>
      </c>
    </row>
    <row r="2123" spans="1:7" x14ac:dyDescent="0.25">
      <c r="A2123" s="1" t="s">
        <v>2246</v>
      </c>
      <c r="B2123" s="76">
        <v>66.795876000000007</v>
      </c>
      <c r="C2123" s="76">
        <v>67.776229999999998</v>
      </c>
      <c r="D2123" s="76">
        <v>66.130111999999997</v>
      </c>
      <c r="E2123" s="76">
        <v>67.498221999999998</v>
      </c>
      <c r="F2123" s="76">
        <v>47.254325999999999</v>
      </c>
      <c r="G2123" s="79">
        <v>1914300</v>
      </c>
    </row>
    <row r="2124" spans="1:7" x14ac:dyDescent="0.25">
      <c r="A2124" s="1" t="s">
        <v>2247</v>
      </c>
      <c r="B2124" s="76">
        <v>67.234840000000005</v>
      </c>
      <c r="C2124" s="76">
        <v>67.703071999999906</v>
      </c>
      <c r="D2124" s="76">
        <v>66.122794999999996</v>
      </c>
      <c r="E2124" s="76">
        <v>66.342277999999993</v>
      </c>
      <c r="F2124" s="76">
        <v>46.445065</v>
      </c>
      <c r="G2124" s="79">
        <v>1577500</v>
      </c>
    </row>
    <row r="2125" spans="1:7" x14ac:dyDescent="0.25">
      <c r="A2125" s="1" t="s">
        <v>2248</v>
      </c>
      <c r="B2125" s="76">
        <v>67.176315000000002</v>
      </c>
      <c r="C2125" s="76">
        <v>68.302993999999998</v>
      </c>
      <c r="D2125" s="76">
        <v>67.161681999999999</v>
      </c>
      <c r="E2125" s="76">
        <v>68.302993999999998</v>
      </c>
      <c r="F2125" s="76">
        <v>47.817726</v>
      </c>
      <c r="G2125" s="79">
        <v>1854300</v>
      </c>
    </row>
    <row r="2126" spans="1:7" x14ac:dyDescent="0.25">
      <c r="A2126" s="1" t="s">
        <v>2249</v>
      </c>
      <c r="B2126" s="76">
        <v>68.485893000000004</v>
      </c>
      <c r="C2126" s="76">
        <v>69.012649999999994</v>
      </c>
      <c r="D2126" s="76">
        <v>67.059258</v>
      </c>
      <c r="E2126" s="76">
        <v>68.902907999999996</v>
      </c>
      <c r="F2126" s="76">
        <v>48.237732000000001</v>
      </c>
      <c r="G2126" s="79">
        <v>1233400</v>
      </c>
    </row>
    <row r="2127" spans="1:7" x14ac:dyDescent="0.25">
      <c r="A2127" s="1" t="s">
        <v>2250</v>
      </c>
      <c r="B2127" s="76">
        <v>68.961440999999994</v>
      </c>
      <c r="C2127" s="76">
        <v>70.922150000000002</v>
      </c>
      <c r="D2127" s="76">
        <v>68.961440999999994</v>
      </c>
      <c r="E2127" s="76">
        <v>70.688034000000002</v>
      </c>
      <c r="F2127" s="76">
        <v>49.487460999999897</v>
      </c>
      <c r="G2127" s="79">
        <v>1740100</v>
      </c>
    </row>
    <row r="2128" spans="1:7" x14ac:dyDescent="0.25">
      <c r="A2128" s="1" t="s">
        <v>2251</v>
      </c>
      <c r="B2128" s="76">
        <v>71.097740000000002</v>
      </c>
      <c r="C2128" s="76">
        <v>71.317222999999998</v>
      </c>
      <c r="D2128" s="76">
        <v>68.624900999999994</v>
      </c>
      <c r="E2128" s="76">
        <v>68.683425999999997</v>
      </c>
      <c r="F2128" s="76">
        <v>48.084068000000002</v>
      </c>
      <c r="G2128" s="79">
        <v>1362900</v>
      </c>
    </row>
    <row r="2129" spans="1:7" x14ac:dyDescent="0.25">
      <c r="A2129" s="1" t="s">
        <v>2252</v>
      </c>
      <c r="B2129" s="76">
        <v>67.995711999999997</v>
      </c>
      <c r="C2129" s="76">
        <v>68.756591999999998</v>
      </c>
      <c r="D2129" s="76">
        <v>67.198265000000006</v>
      </c>
      <c r="E2129" s="76">
        <v>67.549430999999998</v>
      </c>
      <c r="F2129" s="76">
        <v>47.290184000000004</v>
      </c>
      <c r="G2129" s="79">
        <v>1621300</v>
      </c>
    </row>
    <row r="2130" spans="1:7" x14ac:dyDescent="0.25">
      <c r="A2130" s="1" t="s">
        <v>2253</v>
      </c>
      <c r="B2130" s="76">
        <v>67.527489000000003</v>
      </c>
      <c r="C2130" s="76">
        <v>68.895591999999994</v>
      </c>
      <c r="D2130" s="76">
        <v>67.037307999999996</v>
      </c>
      <c r="E2130" s="76">
        <v>68.888274999999993</v>
      </c>
      <c r="F2130" s="76">
        <v>48.227474000000001</v>
      </c>
      <c r="G2130" s="79">
        <v>1348600</v>
      </c>
    </row>
    <row r="2131" spans="1:7" x14ac:dyDescent="0.25">
      <c r="A2131" s="1" t="s">
        <v>2254</v>
      </c>
      <c r="B2131" s="76">
        <v>69.012649999999994</v>
      </c>
      <c r="C2131" s="76">
        <v>69.012649999999994</v>
      </c>
      <c r="D2131" s="76">
        <v>67.329948000000002</v>
      </c>
      <c r="E2131" s="76">
        <v>67.505538999999999</v>
      </c>
      <c r="F2131" s="76">
        <v>47.259459999999997</v>
      </c>
      <c r="G2131" s="79">
        <v>1726400</v>
      </c>
    </row>
    <row r="2132" spans="1:7" x14ac:dyDescent="0.25">
      <c r="A2132" s="1" t="s">
        <v>2255</v>
      </c>
      <c r="B2132" s="76">
        <v>68.076194999999998</v>
      </c>
      <c r="C2132" s="76">
        <v>68.310310000000001</v>
      </c>
      <c r="D2132" s="76">
        <v>65.544822999999994</v>
      </c>
      <c r="E2132" s="76">
        <v>65.68383</v>
      </c>
      <c r="F2132" s="76">
        <v>45.984107999999999</v>
      </c>
      <c r="G2132" s="79">
        <v>1618400</v>
      </c>
    </row>
    <row r="2133" spans="1:7" x14ac:dyDescent="0.25">
      <c r="A2133" s="1" t="s">
        <v>2256</v>
      </c>
      <c r="B2133" s="76">
        <v>65.68383</v>
      </c>
      <c r="C2133" s="76">
        <v>66.605659000000003</v>
      </c>
      <c r="D2133" s="76">
        <v>64.710792999999995</v>
      </c>
      <c r="E2133" s="76">
        <v>65.588722000000004</v>
      </c>
      <c r="F2133" s="76">
        <v>45.917503000000004</v>
      </c>
      <c r="G2133" s="79">
        <v>1658300</v>
      </c>
    </row>
    <row r="2134" spans="1:7" x14ac:dyDescent="0.25">
      <c r="A2134" s="1" t="s">
        <v>2257</v>
      </c>
      <c r="B2134" s="76">
        <v>65.778937999999997</v>
      </c>
      <c r="C2134" s="76">
        <v>67.805495999999906</v>
      </c>
      <c r="D2134" s="76">
        <v>65.771621999999994</v>
      </c>
      <c r="E2134" s="76">
        <v>66.927566999999996</v>
      </c>
      <c r="F2134" s="76">
        <v>46.854827999999998</v>
      </c>
      <c r="G2134" s="79">
        <v>2113400</v>
      </c>
    </row>
    <row r="2135" spans="1:7" x14ac:dyDescent="0.25">
      <c r="A2135" s="1" t="s">
        <v>2258</v>
      </c>
      <c r="B2135" s="76">
        <v>66.195960999999997</v>
      </c>
      <c r="C2135" s="76">
        <v>66.283752000000007</v>
      </c>
      <c r="D2135" s="76">
        <v>63.971867000000003</v>
      </c>
      <c r="E2135" s="76">
        <v>64.125504000000006</v>
      </c>
      <c r="F2135" s="76">
        <v>44.893158</v>
      </c>
      <c r="G2135" s="79">
        <v>1865500</v>
      </c>
    </row>
    <row r="2136" spans="1:7" x14ac:dyDescent="0.25">
      <c r="A2136" s="1" t="s">
        <v>2259</v>
      </c>
      <c r="B2136" s="76">
        <v>64.213295000000002</v>
      </c>
      <c r="C2136" s="76">
        <v>64.901009000000002</v>
      </c>
      <c r="D2136" s="76">
        <v>63.386581</v>
      </c>
      <c r="E2136" s="76">
        <v>63.767017000000003</v>
      </c>
      <c r="F2136" s="76">
        <v>44.642189000000002</v>
      </c>
      <c r="G2136" s="79">
        <v>2173900</v>
      </c>
    </row>
    <row r="2137" spans="1:7" x14ac:dyDescent="0.25">
      <c r="A2137" s="1" t="s">
        <v>2260</v>
      </c>
      <c r="B2137" s="76">
        <v>66.722717000000003</v>
      </c>
      <c r="C2137" s="76">
        <v>66.722717000000003</v>
      </c>
      <c r="D2137" s="76">
        <v>63.547534999999897</v>
      </c>
      <c r="E2137" s="76">
        <v>64.381568999999999</v>
      </c>
      <c r="F2137" s="76">
        <v>45.072421999999897</v>
      </c>
      <c r="G2137" s="79">
        <v>1704700</v>
      </c>
    </row>
    <row r="2138" spans="1:7" x14ac:dyDescent="0.25">
      <c r="A2138" s="1" t="s">
        <v>2261</v>
      </c>
      <c r="B2138" s="76">
        <v>63.518268999999997</v>
      </c>
      <c r="C2138" s="76">
        <v>64.849800000000002</v>
      </c>
      <c r="D2138" s="76">
        <v>62.925666999999997</v>
      </c>
      <c r="E2138" s="76">
        <v>64.849800000000002</v>
      </c>
      <c r="F2138" s="76">
        <v>45.400219</v>
      </c>
      <c r="G2138" s="79">
        <v>2299700</v>
      </c>
    </row>
    <row r="2139" spans="1:7" x14ac:dyDescent="0.25">
      <c r="A2139" s="1" t="s">
        <v>2262</v>
      </c>
      <c r="B2139" s="76">
        <v>64.805901000000006</v>
      </c>
      <c r="C2139" s="76">
        <v>65.735045999999997</v>
      </c>
      <c r="D2139" s="76">
        <v>63.993816000000002</v>
      </c>
      <c r="E2139" s="76">
        <v>63.993816000000002</v>
      </c>
      <c r="F2139" s="76">
        <v>44.800956999999997</v>
      </c>
      <c r="G2139" s="79">
        <v>1758500</v>
      </c>
    </row>
    <row r="2140" spans="1:7" x14ac:dyDescent="0.25">
      <c r="A2140" s="1" t="s">
        <v>2263</v>
      </c>
      <c r="B2140" s="76">
        <v>64.725425999999999</v>
      </c>
      <c r="C2140" s="76">
        <v>65.442397999999997</v>
      </c>
      <c r="D2140" s="76">
        <v>63.584114</v>
      </c>
      <c r="E2140" s="76">
        <v>64.220612000000003</v>
      </c>
      <c r="F2140" s="76">
        <v>44.959732000000002</v>
      </c>
      <c r="G2140" s="79">
        <v>843400</v>
      </c>
    </row>
    <row r="2141" spans="1:7" x14ac:dyDescent="0.25">
      <c r="A2141" s="1" t="s">
        <v>2264</v>
      </c>
      <c r="B2141" s="76">
        <v>64.696158999999994</v>
      </c>
      <c r="C2141" s="76">
        <v>65.493613999999994</v>
      </c>
      <c r="D2141" s="76">
        <v>62.186740999999998</v>
      </c>
      <c r="E2141" s="76">
        <v>62.625706000000001</v>
      </c>
      <c r="F2141" s="76">
        <v>43.843165999999997</v>
      </c>
      <c r="G2141" s="79">
        <v>2142200</v>
      </c>
    </row>
    <row r="2142" spans="1:7" x14ac:dyDescent="0.25">
      <c r="A2142" s="1" t="s">
        <v>2265</v>
      </c>
      <c r="B2142" s="76">
        <v>62.545231000000001</v>
      </c>
      <c r="C2142" s="76">
        <v>67.885970999999998</v>
      </c>
      <c r="D2142" s="76">
        <v>61.989207999999998</v>
      </c>
      <c r="E2142" s="76">
        <v>67.095839999999995</v>
      </c>
      <c r="F2142" s="76">
        <v>46.972636999999999</v>
      </c>
      <c r="G2142" s="79">
        <v>2564700</v>
      </c>
    </row>
    <row r="2143" spans="1:7" x14ac:dyDescent="0.25">
      <c r="A2143" s="1" t="s">
        <v>2266</v>
      </c>
      <c r="B2143" s="76">
        <v>66.986091999999999</v>
      </c>
      <c r="C2143" s="76">
        <v>66.986091999999999</v>
      </c>
      <c r="D2143" s="76">
        <v>62.611075999999997</v>
      </c>
      <c r="E2143" s="76">
        <v>62.830558999999901</v>
      </c>
      <c r="F2143" s="76">
        <v>43.986575999999999</v>
      </c>
      <c r="G2143" s="79">
        <v>2648900</v>
      </c>
    </row>
    <row r="2144" spans="1:7" x14ac:dyDescent="0.25">
      <c r="A2144" s="1" t="s">
        <v>2267</v>
      </c>
      <c r="B2144" s="76">
        <v>62.713501000000001</v>
      </c>
      <c r="C2144" s="76">
        <v>65.113174000000001</v>
      </c>
      <c r="D2144" s="76">
        <v>62.552546999999997</v>
      </c>
      <c r="E2144" s="76">
        <v>64.066978000000006</v>
      </c>
      <c r="F2144" s="76">
        <v>44.852184000000001</v>
      </c>
      <c r="G2144" s="79">
        <v>3040500</v>
      </c>
    </row>
    <row r="2145" spans="1:7" x14ac:dyDescent="0.25">
      <c r="A2145" s="1" t="s">
        <v>2268</v>
      </c>
      <c r="B2145" s="76">
        <v>62.772030000000001</v>
      </c>
      <c r="C2145" s="76">
        <v>65.881362999999993</v>
      </c>
      <c r="D2145" s="76">
        <v>62.596443000000001</v>
      </c>
      <c r="E2145" s="76">
        <v>64.132819999999995</v>
      </c>
      <c r="F2145" s="76">
        <v>44.898284999999902</v>
      </c>
      <c r="G2145" s="79">
        <v>2975400</v>
      </c>
    </row>
    <row r="2146" spans="1:7" x14ac:dyDescent="0.25">
      <c r="A2146" s="1" t="s">
        <v>2269</v>
      </c>
      <c r="B2146" s="76">
        <v>64.813216999999995</v>
      </c>
      <c r="C2146" s="76">
        <v>65.105857999999998</v>
      </c>
      <c r="D2146" s="76">
        <v>61.974575000000002</v>
      </c>
      <c r="E2146" s="76">
        <v>62.376961000000001</v>
      </c>
      <c r="F2146" s="76">
        <v>43.669024999999998</v>
      </c>
      <c r="G2146" s="79">
        <v>2735900</v>
      </c>
    </row>
    <row r="2147" spans="1:7" x14ac:dyDescent="0.25">
      <c r="A2147" s="1" t="s">
        <v>2270</v>
      </c>
      <c r="B2147" s="76">
        <v>61.535609999999998</v>
      </c>
      <c r="C2147" s="76">
        <v>64.637633999999906</v>
      </c>
      <c r="D2147" s="76">
        <v>61.403918999999902</v>
      </c>
      <c r="E2147" s="76">
        <v>62.611075999999997</v>
      </c>
      <c r="F2147" s="76">
        <v>43.832928000000003</v>
      </c>
      <c r="G2147" s="79">
        <v>3466700</v>
      </c>
    </row>
    <row r="2148" spans="1:7" x14ac:dyDescent="0.25">
      <c r="A2148" s="1" t="s">
        <v>2271</v>
      </c>
      <c r="B2148" s="76">
        <v>62.713501000000001</v>
      </c>
      <c r="C2148" s="76">
        <v>66.232535999999996</v>
      </c>
      <c r="D2148" s="76">
        <v>61.725830000000002</v>
      </c>
      <c r="E2148" s="76">
        <v>65.866737000000001</v>
      </c>
      <c r="F2148" s="76">
        <v>46.112144000000001</v>
      </c>
      <c r="G2148" s="79">
        <v>4163200</v>
      </c>
    </row>
    <row r="2149" spans="1:7" x14ac:dyDescent="0.25">
      <c r="A2149" s="1" t="s">
        <v>2272</v>
      </c>
      <c r="B2149" s="76">
        <v>66.283752000000007</v>
      </c>
      <c r="C2149" s="76">
        <v>66.781242000000006</v>
      </c>
      <c r="D2149" s="76">
        <v>63.993816000000002</v>
      </c>
      <c r="E2149" s="76">
        <v>65.888679999999994</v>
      </c>
      <c r="F2149" s="76">
        <v>46.127513999999998</v>
      </c>
      <c r="G2149" s="79">
        <v>3959900</v>
      </c>
    </row>
    <row r="2150" spans="1:7" x14ac:dyDescent="0.25">
      <c r="A2150" s="1" t="s">
        <v>2273</v>
      </c>
      <c r="B2150" s="76">
        <v>65.976478999999998</v>
      </c>
      <c r="C2150" s="76">
        <v>66.744667000000007</v>
      </c>
      <c r="D2150" s="76">
        <v>64.864432999999906</v>
      </c>
      <c r="E2150" s="76">
        <v>66.744667000000007</v>
      </c>
      <c r="F2150" s="76">
        <v>46.726787999999999</v>
      </c>
      <c r="G2150" s="79">
        <v>2883200</v>
      </c>
    </row>
    <row r="2151" spans="1:7" x14ac:dyDescent="0.25">
      <c r="A2151" s="1" t="s">
        <v>2274</v>
      </c>
      <c r="B2151" s="76">
        <v>66.905617000000007</v>
      </c>
      <c r="C2151" s="76">
        <v>67.015357999999907</v>
      </c>
      <c r="D2151" s="76">
        <v>65.969161999999997</v>
      </c>
      <c r="E2151" s="76">
        <v>66.569076999999993</v>
      </c>
      <c r="F2151" s="76">
        <v>46.603854999999903</v>
      </c>
      <c r="G2151" s="79">
        <v>3374200</v>
      </c>
    </row>
    <row r="2152" spans="1:7" x14ac:dyDescent="0.25">
      <c r="A2152" s="1" t="s">
        <v>2275</v>
      </c>
      <c r="B2152" s="76">
        <v>65.691147000000001</v>
      </c>
      <c r="C2152" s="76">
        <v>68.939491000000004</v>
      </c>
      <c r="D2152" s="76">
        <v>64.922957999999994</v>
      </c>
      <c r="E2152" s="76">
        <v>68.720008999999905</v>
      </c>
      <c r="F2152" s="76">
        <v>48.109684000000001</v>
      </c>
      <c r="G2152" s="79">
        <v>2745200</v>
      </c>
    </row>
    <row r="2153" spans="1:7" x14ac:dyDescent="0.25">
      <c r="A2153" s="1" t="s">
        <v>2276</v>
      </c>
      <c r="B2153" s="76">
        <v>68.954123999999993</v>
      </c>
      <c r="C2153" s="76">
        <v>72.063461000000004</v>
      </c>
      <c r="D2153" s="76">
        <v>68.661475999999993</v>
      </c>
      <c r="E2153" s="76">
        <v>70.212485999999998</v>
      </c>
      <c r="F2153" s="76">
        <v>49.154544999999999</v>
      </c>
      <c r="G2153" s="79">
        <v>3044800</v>
      </c>
    </row>
    <row r="2154" spans="1:7" x14ac:dyDescent="0.25">
      <c r="A2154" s="1" t="s">
        <v>2277</v>
      </c>
      <c r="B2154" s="76">
        <v>70.453918000000002</v>
      </c>
      <c r="C2154" s="76">
        <v>70.607558999999995</v>
      </c>
      <c r="D2154" s="76">
        <v>65.332656999999998</v>
      </c>
      <c r="E2154" s="76">
        <v>65.544822999999994</v>
      </c>
      <c r="F2154" s="76">
        <v>45.886783999999999</v>
      </c>
      <c r="G2154" s="79">
        <v>3051200</v>
      </c>
    </row>
    <row r="2155" spans="1:7" x14ac:dyDescent="0.25">
      <c r="A2155" s="1" t="s">
        <v>2278</v>
      </c>
      <c r="B2155" s="76">
        <v>65.647255000000001</v>
      </c>
      <c r="C2155" s="76">
        <v>68.485893000000004</v>
      </c>
      <c r="D2155" s="76">
        <v>65.186340000000001</v>
      </c>
      <c r="E2155" s="76">
        <v>67.308006000000006</v>
      </c>
      <c r="F2155" s="76">
        <v>47.121169999999999</v>
      </c>
      <c r="G2155" s="79">
        <v>2246500</v>
      </c>
    </row>
    <row r="2156" spans="1:7" x14ac:dyDescent="0.25">
      <c r="A2156" s="1" t="s">
        <v>2279</v>
      </c>
      <c r="B2156" s="76">
        <v>67.176315000000002</v>
      </c>
      <c r="C2156" s="76">
        <v>68.251778000000002</v>
      </c>
      <c r="D2156" s="76">
        <v>64.703475999999995</v>
      </c>
      <c r="E2156" s="76">
        <v>65.105857999999998</v>
      </c>
      <c r="F2156" s="76">
        <v>45.579478999999999</v>
      </c>
      <c r="G2156" s="79">
        <v>2669400</v>
      </c>
    </row>
    <row r="2157" spans="1:7" x14ac:dyDescent="0.25">
      <c r="A2157" s="1" t="s">
        <v>2280</v>
      </c>
      <c r="B2157" s="76">
        <v>65.296081999999998</v>
      </c>
      <c r="C2157" s="76">
        <v>69.956429</v>
      </c>
      <c r="D2157" s="76">
        <v>65.259499000000005</v>
      </c>
      <c r="E2157" s="76">
        <v>69.649154999999993</v>
      </c>
      <c r="F2157" s="76">
        <v>48.760154999999997</v>
      </c>
      <c r="G2157" s="79">
        <v>4094100</v>
      </c>
    </row>
    <row r="2158" spans="1:7" x14ac:dyDescent="0.25">
      <c r="A2158" s="1" t="s">
        <v>2281</v>
      </c>
      <c r="B2158" s="76">
        <v>70.051536999999996</v>
      </c>
      <c r="C2158" s="76">
        <v>70.724616999999995</v>
      </c>
      <c r="D2158" s="76">
        <v>67.490905999999995</v>
      </c>
      <c r="E2158" s="76">
        <v>69.261398</v>
      </c>
      <c r="F2158" s="76">
        <v>48.488696999999902</v>
      </c>
      <c r="G2158" s="79">
        <v>2907900</v>
      </c>
    </row>
    <row r="2159" spans="1:7" x14ac:dyDescent="0.25">
      <c r="A2159" s="1" t="s">
        <v>2282</v>
      </c>
      <c r="B2159" s="76">
        <v>68.046927999999994</v>
      </c>
      <c r="C2159" s="76">
        <v>70.475868000000006</v>
      </c>
      <c r="D2159" s="76">
        <v>67.783546000000001</v>
      </c>
      <c r="E2159" s="76">
        <v>69.554039000000003</v>
      </c>
      <c r="F2159" s="76">
        <v>48.693581000000002</v>
      </c>
      <c r="G2159" s="79">
        <v>2078900</v>
      </c>
    </row>
    <row r="2160" spans="1:7" x14ac:dyDescent="0.25">
      <c r="A2160" s="1" t="s">
        <v>2283</v>
      </c>
      <c r="B2160" s="76">
        <v>69.385773</v>
      </c>
      <c r="C2160" s="76">
        <v>69.985694999999893</v>
      </c>
      <c r="D2160" s="76">
        <v>67.351897999999906</v>
      </c>
      <c r="E2160" s="76">
        <v>69.071181999999993</v>
      </c>
      <c r="F2160" s="76">
        <v>48.355540999999903</v>
      </c>
      <c r="G2160" s="79">
        <v>1623900</v>
      </c>
    </row>
    <row r="2161" spans="1:7" x14ac:dyDescent="0.25">
      <c r="A2161" s="1" t="s">
        <v>2284</v>
      </c>
      <c r="B2161" s="76">
        <v>69.063866000000004</v>
      </c>
      <c r="C2161" s="76">
        <v>69.063866000000004</v>
      </c>
      <c r="D2161" s="76">
        <v>67.322631999999999</v>
      </c>
      <c r="E2161" s="76">
        <v>67.600646999999995</v>
      </c>
      <c r="F2161" s="76">
        <v>47.326034999999997</v>
      </c>
      <c r="G2161" s="79">
        <v>1903400</v>
      </c>
    </row>
    <row r="2162" spans="1:7" x14ac:dyDescent="0.25">
      <c r="A2162" s="1" t="s">
        <v>2285</v>
      </c>
      <c r="B2162" s="76">
        <v>68.324935999999994</v>
      </c>
      <c r="C2162" s="76">
        <v>72.458527000000004</v>
      </c>
      <c r="D2162" s="76">
        <v>67.110466000000002</v>
      </c>
      <c r="E2162" s="76">
        <v>71.778130000000004</v>
      </c>
      <c r="F2162" s="76">
        <v>50.250617999999903</v>
      </c>
      <c r="G2162" s="79">
        <v>3120200</v>
      </c>
    </row>
    <row r="2163" spans="1:7" x14ac:dyDescent="0.25">
      <c r="A2163" s="1" t="s">
        <v>2286</v>
      </c>
      <c r="B2163" s="76">
        <v>71.770813000000004</v>
      </c>
      <c r="C2163" s="76">
        <v>73.153556999999907</v>
      </c>
      <c r="D2163" s="76">
        <v>70.483184999999906</v>
      </c>
      <c r="E2163" s="76">
        <v>72.517059000000003</v>
      </c>
      <c r="F2163" s="76">
        <v>50.767932999999999</v>
      </c>
      <c r="G2163" s="79">
        <v>2381200</v>
      </c>
    </row>
    <row r="2164" spans="1:7" x14ac:dyDescent="0.25">
      <c r="A2164" s="1" t="s">
        <v>2287</v>
      </c>
      <c r="B2164" s="76">
        <v>71.339164999999994</v>
      </c>
      <c r="C2164" s="76">
        <v>73.160872999999995</v>
      </c>
      <c r="D2164" s="76">
        <v>70.731933999999995</v>
      </c>
      <c r="E2164" s="76">
        <v>71.492805000000004</v>
      </c>
      <c r="F2164" s="76">
        <v>50.509483000000003</v>
      </c>
      <c r="G2164" s="79">
        <v>3997100</v>
      </c>
    </row>
    <row r="2165" spans="1:7" x14ac:dyDescent="0.25">
      <c r="A2165" s="1" t="s">
        <v>2288</v>
      </c>
      <c r="B2165" s="76">
        <v>71.426963999999998</v>
      </c>
      <c r="C2165" s="76">
        <v>74.243651999999997</v>
      </c>
      <c r="D2165" s="76">
        <v>71.426963999999998</v>
      </c>
      <c r="E2165" s="76">
        <v>73.833954000000006</v>
      </c>
      <c r="F2165" s="76">
        <v>52.163502000000001</v>
      </c>
      <c r="G2165" s="79">
        <v>2810800</v>
      </c>
    </row>
    <row r="2166" spans="1:7" x14ac:dyDescent="0.25">
      <c r="A2166" s="1" t="s">
        <v>2289</v>
      </c>
      <c r="B2166" s="76">
        <v>73.907111999999998</v>
      </c>
      <c r="C2166" s="76">
        <v>77.067665000000005</v>
      </c>
      <c r="D2166" s="76">
        <v>73.160872999999995</v>
      </c>
      <c r="E2166" s="76">
        <v>76.123885999999999</v>
      </c>
      <c r="F2166" s="76">
        <v>53.781353000000003</v>
      </c>
      <c r="G2166" s="79">
        <v>2593500</v>
      </c>
    </row>
    <row r="2167" spans="1:7" x14ac:dyDescent="0.25">
      <c r="A2167" s="1" t="s">
        <v>2290</v>
      </c>
      <c r="B2167" s="76">
        <v>74.88015</v>
      </c>
      <c r="C2167" s="76">
        <v>76.014144999999999</v>
      </c>
      <c r="D2167" s="76">
        <v>73.263297999999907</v>
      </c>
      <c r="E2167" s="76">
        <v>73.994904000000005</v>
      </c>
      <c r="F2167" s="76">
        <v>52.277214000000001</v>
      </c>
      <c r="G2167" s="79">
        <v>2507300</v>
      </c>
    </row>
    <row r="2168" spans="1:7" x14ac:dyDescent="0.25">
      <c r="A2168" s="1" t="s">
        <v>2291</v>
      </c>
      <c r="B2168" s="76">
        <v>73.746161999999998</v>
      </c>
      <c r="C2168" s="76">
        <v>73.994904000000005</v>
      </c>
      <c r="D2168" s="76">
        <v>72.143935999999997</v>
      </c>
      <c r="E2168" s="76">
        <v>73.109656999999999</v>
      </c>
      <c r="F2168" s="76">
        <v>51.651802000000004</v>
      </c>
      <c r="G2168" s="79">
        <v>2529000</v>
      </c>
    </row>
    <row r="2169" spans="1:7" x14ac:dyDescent="0.25">
      <c r="A2169" s="1" t="s">
        <v>2292</v>
      </c>
      <c r="B2169" s="76">
        <v>72.085410999999993</v>
      </c>
      <c r="C2169" s="76">
        <v>74.726517000000001</v>
      </c>
      <c r="D2169" s="76">
        <v>72.063461000000004</v>
      </c>
      <c r="E2169" s="76">
        <v>74.558243000000004</v>
      </c>
      <c r="F2169" s="76">
        <v>52.675201000000001</v>
      </c>
      <c r="G2169" s="79">
        <v>1971700</v>
      </c>
    </row>
    <row r="2170" spans="1:7" x14ac:dyDescent="0.25">
      <c r="A2170" s="1" t="s">
        <v>2293</v>
      </c>
      <c r="B2170" s="76">
        <v>74.550926000000004</v>
      </c>
      <c r="C2170" s="76">
        <v>75.538605000000004</v>
      </c>
      <c r="D2170" s="76">
        <v>73.490096999999906</v>
      </c>
      <c r="E2170" s="76">
        <v>74.785042000000004</v>
      </c>
      <c r="F2170" s="76">
        <v>52.835456999999998</v>
      </c>
      <c r="G2170" s="79">
        <v>1554400</v>
      </c>
    </row>
    <row r="2171" spans="1:7" x14ac:dyDescent="0.25">
      <c r="A2171" s="1" t="s">
        <v>2294</v>
      </c>
      <c r="B2171" s="76">
        <v>75.443489</v>
      </c>
      <c r="C2171" s="76">
        <v>75.443489</v>
      </c>
      <c r="D2171" s="76">
        <v>72.004929000000004</v>
      </c>
      <c r="E2171" s="76">
        <v>72.356102000000007</v>
      </c>
      <c r="F2171" s="76">
        <v>51.119422999999998</v>
      </c>
      <c r="G2171" s="79">
        <v>2486900</v>
      </c>
    </row>
    <row r="2172" spans="1:7" x14ac:dyDescent="0.25">
      <c r="A2172" s="1" t="s">
        <v>2295</v>
      </c>
      <c r="B2172" s="76">
        <v>71.697654999999997</v>
      </c>
      <c r="C2172" s="76">
        <v>71.902503999999993</v>
      </c>
      <c r="D2172" s="76">
        <v>70.278335999999996</v>
      </c>
      <c r="E2172" s="76">
        <v>70.827042000000006</v>
      </c>
      <c r="F2172" s="76">
        <v>50.039124000000001</v>
      </c>
      <c r="G2172" s="79">
        <v>2402300</v>
      </c>
    </row>
    <row r="2173" spans="1:7" x14ac:dyDescent="0.25">
      <c r="A2173" s="1" t="s">
        <v>2296</v>
      </c>
      <c r="B2173" s="76">
        <v>71.068473999999995</v>
      </c>
      <c r="C2173" s="76">
        <v>71.573279999999997</v>
      </c>
      <c r="D2173" s="76">
        <v>69.436981000000003</v>
      </c>
      <c r="E2173" s="76">
        <v>70.987999000000002</v>
      </c>
      <c r="F2173" s="76">
        <v>50.152846999999902</v>
      </c>
      <c r="G2173" s="79">
        <v>2043300</v>
      </c>
    </row>
    <row r="2174" spans="1:7" x14ac:dyDescent="0.25">
      <c r="A2174" s="1" t="s">
        <v>2297</v>
      </c>
      <c r="B2174" s="76">
        <v>70.175910999999999</v>
      </c>
      <c r="C2174" s="76">
        <v>71.192847999999998</v>
      </c>
      <c r="D2174" s="76">
        <v>69.722313</v>
      </c>
      <c r="E2174" s="76">
        <v>70.256385999999907</v>
      </c>
      <c r="F2174" s="76">
        <v>49.635952000000003</v>
      </c>
      <c r="G2174" s="79">
        <v>2167000</v>
      </c>
    </row>
    <row r="2175" spans="1:7" x14ac:dyDescent="0.25">
      <c r="A2175" s="1" t="s">
        <v>2298</v>
      </c>
      <c r="B2175" s="76">
        <v>70.987999000000002</v>
      </c>
      <c r="C2175" s="76">
        <v>73.636420999999999</v>
      </c>
      <c r="D2175" s="76">
        <v>70.966048999999998</v>
      </c>
      <c r="E2175" s="76">
        <v>73.307198</v>
      </c>
      <c r="F2175" s="76">
        <v>51.791347999999999</v>
      </c>
      <c r="G2175" s="79">
        <v>2077200</v>
      </c>
    </row>
    <row r="2176" spans="1:7" x14ac:dyDescent="0.25">
      <c r="A2176" s="1" t="s">
        <v>2299</v>
      </c>
      <c r="B2176" s="76">
        <v>72.582901000000007</v>
      </c>
      <c r="C2176" s="76">
        <v>73.029181999999906</v>
      </c>
      <c r="D2176" s="76">
        <v>70.314918999999904</v>
      </c>
      <c r="E2176" s="76">
        <v>70.578293000000002</v>
      </c>
      <c r="F2176" s="76">
        <v>49.863388</v>
      </c>
      <c r="G2176" s="79">
        <v>2069100</v>
      </c>
    </row>
    <row r="2177" spans="1:7" x14ac:dyDescent="0.25">
      <c r="A2177" s="1" t="s">
        <v>2300</v>
      </c>
      <c r="B2177" s="76">
        <v>70.512450999999999</v>
      </c>
      <c r="C2177" s="76">
        <v>71.163581999999906</v>
      </c>
      <c r="D2177" s="76">
        <v>69.188239999999993</v>
      </c>
      <c r="E2177" s="76">
        <v>70.607558999999995</v>
      </c>
      <c r="F2177" s="76">
        <v>49.884064000000002</v>
      </c>
      <c r="G2177" s="79">
        <v>1624200</v>
      </c>
    </row>
    <row r="2178" spans="1:7" x14ac:dyDescent="0.25">
      <c r="A2178" s="1" t="s">
        <v>2301</v>
      </c>
      <c r="B2178" s="76">
        <v>70.402709999999999</v>
      </c>
      <c r="C2178" s="76">
        <v>72.048828</v>
      </c>
      <c r="D2178" s="76">
        <v>70.073486000000003</v>
      </c>
      <c r="E2178" s="76">
        <v>71.456222999999994</v>
      </c>
      <c r="F2178" s="76">
        <v>50.483643000000001</v>
      </c>
      <c r="G2178" s="79">
        <v>1257500</v>
      </c>
    </row>
    <row r="2179" spans="1:7" x14ac:dyDescent="0.25">
      <c r="A2179" s="1" t="s">
        <v>2302</v>
      </c>
      <c r="B2179" s="76">
        <v>72.180518999999904</v>
      </c>
      <c r="C2179" s="76">
        <v>73.980277999999998</v>
      </c>
      <c r="D2179" s="76">
        <v>71.573279999999997</v>
      </c>
      <c r="E2179" s="76">
        <v>73.585205000000002</v>
      </c>
      <c r="F2179" s="76">
        <v>51.987769999999998</v>
      </c>
      <c r="G2179" s="79">
        <v>1618400</v>
      </c>
    </row>
    <row r="2180" spans="1:7" x14ac:dyDescent="0.25">
      <c r="A2180" s="1" t="s">
        <v>2303</v>
      </c>
      <c r="B2180" s="76">
        <v>73.007232999999999</v>
      </c>
      <c r="C2180" s="76">
        <v>73.921745000000001</v>
      </c>
      <c r="D2180" s="76">
        <v>72.502426</v>
      </c>
      <c r="E2180" s="76">
        <v>72.765807999999893</v>
      </c>
      <c r="F2180" s="76">
        <v>51.408862999999997</v>
      </c>
      <c r="G2180" s="79">
        <v>1354300</v>
      </c>
    </row>
    <row r="2181" spans="1:7" x14ac:dyDescent="0.25">
      <c r="A2181" s="1" t="s">
        <v>2304</v>
      </c>
      <c r="B2181" s="76">
        <v>74.616776000000002</v>
      </c>
      <c r="C2181" s="76">
        <v>74.821624999999997</v>
      </c>
      <c r="D2181" s="76">
        <v>72.465843000000007</v>
      </c>
      <c r="E2181" s="76">
        <v>73.848586999999995</v>
      </c>
      <c r="F2181" s="76">
        <v>52.173831999999997</v>
      </c>
      <c r="G2181" s="79">
        <v>1658300</v>
      </c>
    </row>
    <row r="2182" spans="1:7" x14ac:dyDescent="0.25">
      <c r="A2182" s="1" t="s">
        <v>2305</v>
      </c>
      <c r="B2182" s="76">
        <v>73.885161999999994</v>
      </c>
      <c r="C2182" s="76">
        <v>75.333748</v>
      </c>
      <c r="D2182" s="76">
        <v>73.270615000000006</v>
      </c>
      <c r="E2182" s="76">
        <v>75.180115000000001</v>
      </c>
      <c r="F2182" s="76">
        <v>53.114573999999998</v>
      </c>
      <c r="G2182" s="79">
        <v>1413800</v>
      </c>
    </row>
    <row r="2183" spans="1:7" x14ac:dyDescent="0.25">
      <c r="A2183" s="1" t="s">
        <v>2306</v>
      </c>
      <c r="B2183" s="76">
        <v>74.697249999999997</v>
      </c>
      <c r="C2183" s="76">
        <v>75.041106999999997</v>
      </c>
      <c r="D2183" s="76">
        <v>73.051131999999996</v>
      </c>
      <c r="E2183" s="76">
        <v>73.482780000000005</v>
      </c>
      <c r="F2183" s="76">
        <v>51.915413000000001</v>
      </c>
      <c r="G2183" s="79">
        <v>2509500</v>
      </c>
    </row>
    <row r="2184" spans="1:7" x14ac:dyDescent="0.25">
      <c r="A2184" s="1" t="s">
        <v>2307</v>
      </c>
      <c r="B2184" s="76">
        <v>72.531693000000004</v>
      </c>
      <c r="C2184" s="76">
        <v>73.453513999999998</v>
      </c>
      <c r="D2184" s="76">
        <v>71.609863000000004</v>
      </c>
      <c r="E2184" s="76">
        <v>73.182822999999999</v>
      </c>
      <c r="F2184" s="76">
        <v>51.703487000000003</v>
      </c>
      <c r="G2184" s="79">
        <v>2663300</v>
      </c>
    </row>
    <row r="2185" spans="1:7" x14ac:dyDescent="0.25">
      <c r="A2185" s="1" t="s">
        <v>2308</v>
      </c>
      <c r="B2185" s="76">
        <v>75.97757</v>
      </c>
      <c r="C2185" s="76">
        <v>76.701858999999999</v>
      </c>
      <c r="D2185" s="76">
        <v>73.951012000000006</v>
      </c>
      <c r="E2185" s="76">
        <v>76.701858999999999</v>
      </c>
      <c r="F2185" s="76">
        <v>54.189663000000003</v>
      </c>
      <c r="G2185" s="79">
        <v>3811900</v>
      </c>
    </row>
    <row r="2186" spans="1:7" x14ac:dyDescent="0.25">
      <c r="A2186" s="1" t="s">
        <v>2309</v>
      </c>
      <c r="B2186" s="76">
        <v>76.804282999999998</v>
      </c>
      <c r="C2186" s="76">
        <v>76.811599999999999</v>
      </c>
      <c r="D2186" s="76">
        <v>72.992598999999998</v>
      </c>
      <c r="E2186" s="76">
        <v>73.680312999999998</v>
      </c>
      <c r="F2186" s="76">
        <v>52.054966</v>
      </c>
      <c r="G2186" s="79">
        <v>3388800</v>
      </c>
    </row>
    <row r="2187" spans="1:7" x14ac:dyDescent="0.25">
      <c r="A2187" s="1" t="s">
        <v>2310</v>
      </c>
      <c r="B2187" s="76">
        <v>74.550926000000004</v>
      </c>
      <c r="C2187" s="76">
        <v>75.011841000000004</v>
      </c>
      <c r="D2187" s="76">
        <v>72.304893000000007</v>
      </c>
      <c r="E2187" s="76">
        <v>74.148544000000001</v>
      </c>
      <c r="F2187" s="76">
        <v>52.385756999999998</v>
      </c>
      <c r="G2187" s="79">
        <v>2475600</v>
      </c>
    </row>
    <row r="2188" spans="1:7" x14ac:dyDescent="0.25">
      <c r="A2188" s="1" t="s">
        <v>2311</v>
      </c>
      <c r="B2188" s="76">
        <v>72.392685</v>
      </c>
      <c r="C2188" s="76">
        <v>75.392280999999997</v>
      </c>
      <c r="D2188" s="76">
        <v>71.946404000000001</v>
      </c>
      <c r="E2188" s="76">
        <v>75.267905999999996</v>
      </c>
      <c r="F2188" s="76">
        <v>53.176589999999997</v>
      </c>
      <c r="G2188" s="79">
        <v>2292700</v>
      </c>
    </row>
    <row r="2189" spans="1:7" x14ac:dyDescent="0.25">
      <c r="A2189" s="1" t="s">
        <v>2312</v>
      </c>
      <c r="B2189" s="76">
        <v>74.148544000000001</v>
      </c>
      <c r="C2189" s="76">
        <v>76.058043999999995</v>
      </c>
      <c r="D2189" s="76">
        <v>73.438880999999995</v>
      </c>
      <c r="E2189" s="76">
        <v>75.970253</v>
      </c>
      <c r="F2189" s="76">
        <v>53.672787</v>
      </c>
      <c r="G2189" s="79">
        <v>2026100</v>
      </c>
    </row>
    <row r="2190" spans="1:7" x14ac:dyDescent="0.25">
      <c r="A2190" s="1" t="s">
        <v>2313</v>
      </c>
      <c r="B2190" s="76">
        <v>72.421951000000007</v>
      </c>
      <c r="C2190" s="76">
        <v>72.421951000000007</v>
      </c>
      <c r="D2190" s="76">
        <v>64.893692000000001</v>
      </c>
      <c r="E2190" s="76">
        <v>64.893692000000001</v>
      </c>
      <c r="F2190" s="76">
        <v>45.847225000000002</v>
      </c>
      <c r="G2190" s="79">
        <v>8820200</v>
      </c>
    </row>
    <row r="2191" spans="1:7" x14ac:dyDescent="0.25">
      <c r="A2191" s="1" t="s">
        <v>2314</v>
      </c>
      <c r="B2191" s="76">
        <v>64.366935999999995</v>
      </c>
      <c r="C2191" s="76">
        <v>70.856307999999999</v>
      </c>
      <c r="D2191" s="76">
        <v>64.323036000000002</v>
      </c>
      <c r="E2191" s="76">
        <v>69.590621999999996</v>
      </c>
      <c r="F2191" s="76">
        <v>49.165603999999902</v>
      </c>
      <c r="G2191" s="79">
        <v>6473100</v>
      </c>
    </row>
    <row r="2192" spans="1:7" x14ac:dyDescent="0.25">
      <c r="A2192" s="1" t="s">
        <v>2315</v>
      </c>
      <c r="B2192" s="76">
        <v>67.403114000000002</v>
      </c>
      <c r="C2192" s="76">
        <v>69.532096999999993</v>
      </c>
      <c r="D2192" s="76">
        <v>63.869441999999999</v>
      </c>
      <c r="E2192" s="76">
        <v>64.381568999999999</v>
      </c>
      <c r="F2192" s="76">
        <v>45.485419999999998</v>
      </c>
      <c r="G2192" s="79">
        <v>5188600</v>
      </c>
    </row>
    <row r="2193" spans="1:7" x14ac:dyDescent="0.25">
      <c r="A2193" s="1" t="s">
        <v>2316</v>
      </c>
      <c r="B2193" s="76">
        <v>63.642643</v>
      </c>
      <c r="C2193" s="76">
        <v>73.833954000000006</v>
      </c>
      <c r="D2193" s="76">
        <v>62.003841000000001</v>
      </c>
      <c r="E2193" s="76">
        <v>73.833954000000006</v>
      </c>
      <c r="F2193" s="76">
        <v>52.163502000000001</v>
      </c>
      <c r="G2193" s="79">
        <v>8607400</v>
      </c>
    </row>
    <row r="2194" spans="1:7" x14ac:dyDescent="0.25">
      <c r="A2194" s="1" t="s">
        <v>2317</v>
      </c>
      <c r="B2194" s="76">
        <v>73.929062000000002</v>
      </c>
      <c r="C2194" s="76">
        <v>79.123481999999996</v>
      </c>
      <c r="D2194" s="76">
        <v>69.941794999999999</v>
      </c>
      <c r="E2194" s="76">
        <v>77.360305999999994</v>
      </c>
      <c r="F2194" s="76">
        <v>54.654883999999903</v>
      </c>
      <c r="G2194" s="79">
        <v>8221100</v>
      </c>
    </row>
    <row r="2195" spans="1:7" x14ac:dyDescent="0.25">
      <c r="A2195" s="1" t="s">
        <v>2318</v>
      </c>
      <c r="B2195" s="76">
        <v>76.284842999999995</v>
      </c>
      <c r="C2195" s="76">
        <v>76.599434000000002</v>
      </c>
      <c r="D2195" s="76">
        <v>67.820128999999994</v>
      </c>
      <c r="E2195" s="76">
        <v>68.368835000000004</v>
      </c>
      <c r="F2195" s="76">
        <v>48.302417999999903</v>
      </c>
      <c r="G2195" s="79">
        <v>4322400</v>
      </c>
    </row>
    <row r="2196" spans="1:7" x14ac:dyDescent="0.25">
      <c r="A2196" s="1" t="s">
        <v>2319</v>
      </c>
      <c r="B2196" s="76">
        <v>68.822432999999904</v>
      </c>
      <c r="C2196" s="76">
        <v>71.185531999999995</v>
      </c>
      <c r="D2196" s="76">
        <v>67.622596999999999</v>
      </c>
      <c r="E2196" s="76">
        <v>67.849395999999999</v>
      </c>
      <c r="F2196" s="76">
        <v>47.935428999999999</v>
      </c>
      <c r="G2196" s="79">
        <v>4176400</v>
      </c>
    </row>
    <row r="2197" spans="1:7" x14ac:dyDescent="0.25">
      <c r="A2197" s="1" t="s">
        <v>2320</v>
      </c>
      <c r="B2197" s="76">
        <v>68.515159999999995</v>
      </c>
      <c r="C2197" s="76">
        <v>69.349189999999993</v>
      </c>
      <c r="D2197" s="76">
        <v>65.771621999999994</v>
      </c>
      <c r="E2197" s="76">
        <v>66.912932999999995</v>
      </c>
      <c r="F2197" s="76">
        <v>47.273823</v>
      </c>
      <c r="G2197" s="79">
        <v>3139900</v>
      </c>
    </row>
    <row r="2198" spans="1:7" x14ac:dyDescent="0.25">
      <c r="A2198" s="1" t="s">
        <v>2321</v>
      </c>
      <c r="B2198" s="76">
        <v>67.629913000000002</v>
      </c>
      <c r="C2198" s="76">
        <v>68.683425999999997</v>
      </c>
      <c r="D2198" s="76">
        <v>65.566772</v>
      </c>
      <c r="E2198" s="76">
        <v>67.586014000000006</v>
      </c>
      <c r="F2198" s="76">
        <v>47.749352000000002</v>
      </c>
      <c r="G2198" s="79">
        <v>2777400</v>
      </c>
    </row>
    <row r="2199" spans="1:7" x14ac:dyDescent="0.25">
      <c r="A2199" s="1" t="s">
        <v>2322</v>
      </c>
      <c r="B2199" s="76">
        <v>66.210587000000004</v>
      </c>
      <c r="C2199" s="76">
        <v>69.539412999999996</v>
      </c>
      <c r="D2199" s="76">
        <v>65.442397999999997</v>
      </c>
      <c r="E2199" s="76">
        <v>69.290665000000004</v>
      </c>
      <c r="F2199" s="76">
        <v>48.953685999999998</v>
      </c>
      <c r="G2199" s="79">
        <v>2860900</v>
      </c>
    </row>
    <row r="2200" spans="1:7" x14ac:dyDescent="0.25">
      <c r="A2200" s="1" t="s">
        <v>2323</v>
      </c>
      <c r="B2200" s="76">
        <v>67.490905999999995</v>
      </c>
      <c r="C2200" s="76">
        <v>68.368835000000004</v>
      </c>
      <c r="D2200" s="76">
        <v>60.723526</v>
      </c>
      <c r="E2200" s="76">
        <v>63.108569999999901</v>
      </c>
      <c r="F2200" s="76">
        <v>44.586052000000002</v>
      </c>
      <c r="G2200" s="79">
        <v>4679100</v>
      </c>
    </row>
    <row r="2201" spans="1:7" x14ac:dyDescent="0.25">
      <c r="A2201" s="1" t="s">
        <v>2324</v>
      </c>
      <c r="B2201" s="76">
        <v>64.557152000000002</v>
      </c>
      <c r="C2201" s="76">
        <v>66.934882999999999</v>
      </c>
      <c r="D2201" s="76">
        <v>63.927970999999999</v>
      </c>
      <c r="E2201" s="76">
        <v>66.539817999999997</v>
      </c>
      <c r="F2201" s="76">
        <v>47.010219999999997</v>
      </c>
      <c r="G2201" s="79">
        <v>3481500</v>
      </c>
    </row>
    <row r="2202" spans="1:7" x14ac:dyDescent="0.25">
      <c r="A2202" s="1" t="s">
        <v>2325</v>
      </c>
      <c r="B2202" s="76">
        <v>65.478981000000005</v>
      </c>
      <c r="C2202" s="76">
        <v>66.320328000000003</v>
      </c>
      <c r="D2202" s="76">
        <v>63.898707999999999</v>
      </c>
      <c r="E2202" s="76">
        <v>65.947211999999993</v>
      </c>
      <c r="F2202" s="76">
        <v>46.591540999999999</v>
      </c>
      <c r="G2202" s="79">
        <v>2766200</v>
      </c>
    </row>
    <row r="2203" spans="1:7" x14ac:dyDescent="0.25">
      <c r="A2203" s="1" t="s">
        <v>2326</v>
      </c>
      <c r="B2203" s="76">
        <v>65.617988999999994</v>
      </c>
      <c r="C2203" s="76">
        <v>66.086219999999997</v>
      </c>
      <c r="D2203" s="76">
        <v>61.367339999999999</v>
      </c>
      <c r="E2203" s="76">
        <v>61.733142999999998</v>
      </c>
      <c r="F2203" s="76">
        <v>43.614319000000002</v>
      </c>
      <c r="G2203" s="79">
        <v>4132000</v>
      </c>
    </row>
    <row r="2204" spans="1:7" x14ac:dyDescent="0.25">
      <c r="A2204" s="1" t="s">
        <v>2327</v>
      </c>
      <c r="B2204" s="76">
        <v>63.035407999999997</v>
      </c>
      <c r="C2204" s="76">
        <v>64.388885000000002</v>
      </c>
      <c r="D2204" s="76">
        <v>58.492118999999903</v>
      </c>
      <c r="E2204" s="76">
        <v>58.748179999999998</v>
      </c>
      <c r="F2204" s="76">
        <v>41.505443999999997</v>
      </c>
      <c r="G2204" s="79">
        <v>5169700</v>
      </c>
    </row>
    <row r="2205" spans="1:7" x14ac:dyDescent="0.25">
      <c r="A2205" s="1" t="s">
        <v>2328</v>
      </c>
      <c r="B2205" s="76">
        <v>56.809418000000001</v>
      </c>
      <c r="C2205" s="76">
        <v>60.284560999999997</v>
      </c>
      <c r="D2205" s="76">
        <v>54.117095999999997</v>
      </c>
      <c r="E2205" s="76">
        <v>58.243369999999999</v>
      </c>
      <c r="F2205" s="76">
        <v>41.148795999999997</v>
      </c>
      <c r="G2205" s="79">
        <v>6350500</v>
      </c>
    </row>
    <row r="2206" spans="1:7" x14ac:dyDescent="0.25">
      <c r="A2206" s="1" t="s">
        <v>2329</v>
      </c>
      <c r="B2206" s="76">
        <v>59.077404000000001</v>
      </c>
      <c r="C2206" s="76">
        <v>61.323443999999903</v>
      </c>
      <c r="D2206" s="76">
        <v>53.122107999999997</v>
      </c>
      <c r="E2206" s="76">
        <v>53.663502000000001</v>
      </c>
      <c r="F2206" s="76">
        <v>37.913131999999997</v>
      </c>
      <c r="G2206" s="79">
        <v>6395000</v>
      </c>
    </row>
    <row r="2207" spans="1:7" x14ac:dyDescent="0.25">
      <c r="A2207" s="1" t="s">
        <v>2330</v>
      </c>
      <c r="B2207" s="76">
        <v>51.285769999999999</v>
      </c>
      <c r="C2207" s="76">
        <v>58.843288000000001</v>
      </c>
      <c r="D2207" s="76">
        <v>51.285769999999999</v>
      </c>
      <c r="E2207" s="76">
        <v>56.333874000000002</v>
      </c>
      <c r="F2207" s="76">
        <v>39.799746999999897</v>
      </c>
      <c r="G2207" s="79">
        <v>6853500</v>
      </c>
    </row>
    <row r="2208" spans="1:7" x14ac:dyDescent="0.25">
      <c r="A2208" s="1" t="s">
        <v>2331</v>
      </c>
      <c r="B2208" s="76">
        <v>56.677726999999997</v>
      </c>
      <c r="C2208" s="76">
        <v>58.206791000000003</v>
      </c>
      <c r="D2208" s="76">
        <v>49.749392999999998</v>
      </c>
      <c r="E2208" s="76">
        <v>49.749392999999998</v>
      </c>
      <c r="F2208" s="76">
        <v>35.147826999999999</v>
      </c>
      <c r="G2208" s="79">
        <v>7618100</v>
      </c>
    </row>
    <row r="2209" spans="1:7" x14ac:dyDescent="0.25">
      <c r="A2209" s="1" t="s">
        <v>2332</v>
      </c>
      <c r="B2209" s="76">
        <v>49.303111999999999</v>
      </c>
      <c r="C2209" s="76">
        <v>57.233748999999897</v>
      </c>
      <c r="D2209" s="76">
        <v>46.932701000000002</v>
      </c>
      <c r="E2209" s="76">
        <v>57.233748999999897</v>
      </c>
      <c r="F2209" s="76">
        <v>40.435504999999999</v>
      </c>
      <c r="G2209" s="79">
        <v>12246400</v>
      </c>
    </row>
    <row r="2210" spans="1:7" x14ac:dyDescent="0.25">
      <c r="A2210" s="1" t="s">
        <v>2333</v>
      </c>
      <c r="B2210" s="76">
        <v>58.931083999999998</v>
      </c>
      <c r="C2210" s="76">
        <v>59.318835999999997</v>
      </c>
      <c r="D2210" s="76">
        <v>52.873362999999998</v>
      </c>
      <c r="E2210" s="76">
        <v>57.884884</v>
      </c>
      <c r="F2210" s="76">
        <v>40.895519</v>
      </c>
      <c r="G2210" s="79">
        <v>5836300</v>
      </c>
    </row>
    <row r="2211" spans="1:7" x14ac:dyDescent="0.25">
      <c r="A2211" s="1" t="s">
        <v>2334</v>
      </c>
      <c r="B2211" s="76">
        <v>59.252991000000002</v>
      </c>
      <c r="C2211" s="76">
        <v>59.252991000000002</v>
      </c>
      <c r="D2211" s="76">
        <v>47.700890000000001</v>
      </c>
      <c r="E2211" s="76">
        <v>51.944220999999999</v>
      </c>
      <c r="F2211" s="76">
        <v>36.698462999999997</v>
      </c>
      <c r="G2211" s="79">
        <v>7139700</v>
      </c>
    </row>
    <row r="2212" spans="1:7" x14ac:dyDescent="0.25">
      <c r="A2212" s="1" t="s">
        <v>2335</v>
      </c>
      <c r="B2212" s="76">
        <v>50.780963999999997</v>
      </c>
      <c r="C2212" s="76">
        <v>51.527203</v>
      </c>
      <c r="D2212" s="76">
        <v>43.955050999999997</v>
      </c>
      <c r="E2212" s="76">
        <v>45.228050000000003</v>
      </c>
      <c r="F2212" s="76">
        <v>31.953503000000001</v>
      </c>
      <c r="G2212" s="79">
        <v>6230900</v>
      </c>
    </row>
    <row r="2213" spans="1:7" x14ac:dyDescent="0.25">
      <c r="A2213" s="1" t="s">
        <v>2336</v>
      </c>
      <c r="B2213" s="76">
        <v>46.852221999999998</v>
      </c>
      <c r="C2213" s="76">
        <v>49.632335999999903</v>
      </c>
      <c r="D2213" s="76">
        <v>43.128334000000002</v>
      </c>
      <c r="E2213" s="76">
        <v>48.300808000000004</v>
      </c>
      <c r="F2213" s="76">
        <v>34.124400999999999</v>
      </c>
      <c r="G2213" s="79">
        <v>6950500</v>
      </c>
    </row>
    <row r="2214" spans="1:7" x14ac:dyDescent="0.25">
      <c r="A2214" s="1" t="s">
        <v>2337</v>
      </c>
      <c r="B2214" s="76">
        <v>46.793694000000002</v>
      </c>
      <c r="C2214" s="76">
        <v>50.568793999999997</v>
      </c>
      <c r="D2214" s="76">
        <v>45.827971999999903</v>
      </c>
      <c r="E2214" s="76">
        <v>48.593451999999999</v>
      </c>
      <c r="F2214" s="76">
        <v>34.331153999999998</v>
      </c>
      <c r="G2214" s="79">
        <v>4134500</v>
      </c>
    </row>
    <row r="2215" spans="1:7" x14ac:dyDescent="0.25">
      <c r="A2215" s="1" t="s">
        <v>2338</v>
      </c>
      <c r="B2215" s="76">
        <v>48.981204999999903</v>
      </c>
      <c r="C2215" s="76">
        <v>49.829871999999902</v>
      </c>
      <c r="D2215" s="76">
        <v>46.369362000000002</v>
      </c>
      <c r="E2215" s="76">
        <v>49.529910999999998</v>
      </c>
      <c r="F2215" s="76">
        <v>34.992759999999997</v>
      </c>
      <c r="G2215" s="79">
        <v>3133200</v>
      </c>
    </row>
    <row r="2216" spans="1:7" x14ac:dyDescent="0.25">
      <c r="A2216" s="1" t="s">
        <v>2339</v>
      </c>
      <c r="B2216" s="76">
        <v>48.088642</v>
      </c>
      <c r="C2216" s="76">
        <v>50.488318999999997</v>
      </c>
      <c r="D2216" s="76">
        <v>46.683951999999998</v>
      </c>
      <c r="E2216" s="76">
        <v>46.830275999999998</v>
      </c>
      <c r="F2216" s="76">
        <v>33.085479999999997</v>
      </c>
      <c r="G2216" s="79">
        <v>2714500</v>
      </c>
    </row>
    <row r="2217" spans="1:7" x14ac:dyDescent="0.25">
      <c r="A2217" s="1" t="s">
        <v>2340</v>
      </c>
      <c r="B2217" s="76">
        <v>45.571907000000003</v>
      </c>
      <c r="C2217" s="76">
        <v>46.310833000000002</v>
      </c>
      <c r="D2217" s="76">
        <v>42.864955999999999</v>
      </c>
      <c r="E2217" s="76">
        <v>44.364753999999998</v>
      </c>
      <c r="F2217" s="76">
        <v>31.343588</v>
      </c>
      <c r="G2217" s="79">
        <v>6425200</v>
      </c>
    </row>
    <row r="2218" spans="1:7" x14ac:dyDescent="0.25">
      <c r="A2218" s="1" t="s">
        <v>2341</v>
      </c>
      <c r="B2218" s="76">
        <v>45.359741</v>
      </c>
      <c r="C2218" s="76">
        <v>46.347411999999998</v>
      </c>
      <c r="D2218" s="76">
        <v>39.514187</v>
      </c>
      <c r="E2218" s="76">
        <v>44.116005000000001</v>
      </c>
      <c r="F2218" s="76">
        <v>31.167846999999998</v>
      </c>
      <c r="G2218" s="79">
        <v>6502800</v>
      </c>
    </row>
    <row r="2219" spans="1:7" x14ac:dyDescent="0.25">
      <c r="A2219" s="1" t="s">
        <v>2342</v>
      </c>
      <c r="B2219" s="76">
        <v>39.133750999999997</v>
      </c>
      <c r="C2219" s="76">
        <v>45.871867999999999</v>
      </c>
      <c r="D2219" s="76">
        <v>39.031326</v>
      </c>
      <c r="E2219" s="76">
        <v>41.555374</v>
      </c>
      <c r="F2219" s="76">
        <v>29.358775999999999</v>
      </c>
      <c r="G2219" s="79">
        <v>5497700</v>
      </c>
    </row>
    <row r="2220" spans="1:7" x14ac:dyDescent="0.25">
      <c r="A2220" s="1" t="s">
        <v>2343</v>
      </c>
      <c r="B2220" s="76">
        <v>39.960467999999999</v>
      </c>
      <c r="C2220" s="76">
        <v>44.430599000000001</v>
      </c>
      <c r="D2220" s="76">
        <v>39.762935999999897</v>
      </c>
      <c r="E2220" s="76">
        <v>40.553069999999998</v>
      </c>
      <c r="F2220" s="76">
        <v>28.650649999999999</v>
      </c>
      <c r="G2220" s="79">
        <v>4535800</v>
      </c>
    </row>
    <row r="2221" spans="1:7" x14ac:dyDescent="0.25">
      <c r="A2221" s="1" t="s">
        <v>2344</v>
      </c>
      <c r="B2221" s="76">
        <v>41.855334999999997</v>
      </c>
      <c r="C2221" s="76">
        <v>49.412852999999998</v>
      </c>
      <c r="D2221" s="76">
        <v>39.411762000000003</v>
      </c>
      <c r="E2221" s="76">
        <v>49.025100999999999</v>
      </c>
      <c r="F2221" s="76">
        <v>34.636111999999997</v>
      </c>
      <c r="G2221" s="79">
        <v>7995700</v>
      </c>
    </row>
    <row r="2222" spans="1:7" x14ac:dyDescent="0.25">
      <c r="A2222" s="1" t="s">
        <v>2345</v>
      </c>
      <c r="B2222" s="76">
        <v>48.278861999999997</v>
      </c>
      <c r="C2222" s="76">
        <v>48.534923999999997</v>
      </c>
      <c r="D2222" s="76">
        <v>44.123321999999902</v>
      </c>
      <c r="E2222" s="76">
        <v>45.608490000000003</v>
      </c>
      <c r="F2222" s="76">
        <v>32.222285999999997</v>
      </c>
      <c r="G2222" s="79">
        <v>6370200</v>
      </c>
    </row>
    <row r="2223" spans="1:7" x14ac:dyDescent="0.25">
      <c r="A2223" s="1" t="s">
        <v>2346</v>
      </c>
      <c r="B2223" s="76">
        <v>46.903434999999902</v>
      </c>
      <c r="C2223" s="76">
        <v>47.569198999999998</v>
      </c>
      <c r="D2223" s="76">
        <v>45.023201</v>
      </c>
      <c r="E2223" s="76">
        <v>46.940018000000002</v>
      </c>
      <c r="F2223" s="76">
        <v>33.163006000000003</v>
      </c>
      <c r="G2223" s="79">
        <v>2794900</v>
      </c>
    </row>
    <row r="2224" spans="1:7" x14ac:dyDescent="0.25">
      <c r="A2224" s="1" t="s">
        <v>2347</v>
      </c>
      <c r="B2224" s="76">
        <v>46.713219000000002</v>
      </c>
      <c r="C2224" s="76">
        <v>52.03933</v>
      </c>
      <c r="D2224" s="76">
        <v>46.127929999999999</v>
      </c>
      <c r="E2224" s="76">
        <v>51.614998</v>
      </c>
      <c r="F2224" s="76">
        <v>36.465877999999996</v>
      </c>
      <c r="G2224" s="79">
        <v>5111800</v>
      </c>
    </row>
    <row r="2225" spans="1:7" x14ac:dyDescent="0.25">
      <c r="A2225" s="1" t="s">
        <v>2348</v>
      </c>
      <c r="B2225" s="76">
        <v>51.315036999999997</v>
      </c>
      <c r="C2225" s="76">
        <v>52.207599999999999</v>
      </c>
      <c r="D2225" s="76">
        <v>48.615397999999999</v>
      </c>
      <c r="E2225" s="76">
        <v>48.973888000000002</v>
      </c>
      <c r="F2225" s="76">
        <v>34.599930000000001</v>
      </c>
      <c r="G2225" s="79">
        <v>2966000</v>
      </c>
    </row>
    <row r="2226" spans="1:7" x14ac:dyDescent="0.25">
      <c r="A2226" s="1" t="s">
        <v>2349</v>
      </c>
      <c r="B2226" s="76">
        <v>49.968876000000002</v>
      </c>
      <c r="C2226" s="76">
        <v>55.375464999999998</v>
      </c>
      <c r="D2226" s="76">
        <v>49.932296999999998</v>
      </c>
      <c r="E2226" s="76">
        <v>54.943817000000003</v>
      </c>
      <c r="F2226" s="76">
        <v>38.817677000000003</v>
      </c>
      <c r="G2226" s="79">
        <v>5686500</v>
      </c>
    </row>
    <row r="2227" spans="1:7" x14ac:dyDescent="0.25">
      <c r="A2227" s="1" t="s">
        <v>2350</v>
      </c>
      <c r="B2227" s="76">
        <v>54.080517</v>
      </c>
      <c r="C2227" s="76">
        <v>54.080517</v>
      </c>
      <c r="D2227" s="76">
        <v>48.169117</v>
      </c>
      <c r="E2227" s="76">
        <v>49.032416999999903</v>
      </c>
      <c r="F2227" s="76">
        <v>34.641289</v>
      </c>
      <c r="G2227" s="79">
        <v>5206300</v>
      </c>
    </row>
    <row r="2228" spans="1:7" x14ac:dyDescent="0.25">
      <c r="A2228" s="1" t="s">
        <v>2351</v>
      </c>
      <c r="B2228" s="76">
        <v>48.388603000000003</v>
      </c>
      <c r="C2228" s="76">
        <v>49.639651999999998</v>
      </c>
      <c r="D2228" s="76">
        <v>46.479103000000002</v>
      </c>
      <c r="E2228" s="76">
        <v>46.683951999999998</v>
      </c>
      <c r="F2228" s="76">
        <v>32.982101</v>
      </c>
      <c r="G2228" s="79">
        <v>4251100</v>
      </c>
    </row>
    <row r="2229" spans="1:7" x14ac:dyDescent="0.25">
      <c r="A2229" s="1" t="s">
        <v>2352</v>
      </c>
      <c r="B2229" s="76">
        <v>46.874171999999902</v>
      </c>
      <c r="C2229" s="76">
        <v>50.093249999999998</v>
      </c>
      <c r="D2229" s="76">
        <v>44.635447999999997</v>
      </c>
      <c r="E2229" s="76">
        <v>49.134841999999999</v>
      </c>
      <c r="F2229" s="76">
        <v>35.238273999999997</v>
      </c>
      <c r="G2229" s="79">
        <v>3690000</v>
      </c>
    </row>
    <row r="2230" spans="1:7" x14ac:dyDescent="0.25">
      <c r="A2230" s="1" t="s">
        <v>2353</v>
      </c>
      <c r="B2230" s="76">
        <v>49.420169999999999</v>
      </c>
      <c r="C2230" s="76">
        <v>49.771343000000002</v>
      </c>
      <c r="D2230" s="76">
        <v>44.467177999999997</v>
      </c>
      <c r="E2230" s="76">
        <v>45.030518000000001</v>
      </c>
      <c r="F2230" s="76">
        <v>32.294753999999998</v>
      </c>
      <c r="G2230" s="79">
        <v>4224800</v>
      </c>
    </row>
    <row r="2231" spans="1:7" x14ac:dyDescent="0.25">
      <c r="A2231" s="1" t="s">
        <v>2354</v>
      </c>
      <c r="B2231" s="76">
        <v>44.291592000000001</v>
      </c>
      <c r="C2231" s="76">
        <v>47.554569000000001</v>
      </c>
      <c r="D2231" s="76">
        <v>43.091754999999999</v>
      </c>
      <c r="E2231" s="76">
        <v>45.549960999999897</v>
      </c>
      <c r="F2231" s="76">
        <v>32.667278000000003</v>
      </c>
      <c r="G2231" s="79">
        <v>4697600</v>
      </c>
    </row>
    <row r="2232" spans="1:7" x14ac:dyDescent="0.25">
      <c r="A2232" s="1" t="s">
        <v>2355</v>
      </c>
      <c r="B2232" s="76">
        <v>43.618510999999998</v>
      </c>
      <c r="C2232" s="76">
        <v>45.491432000000003</v>
      </c>
      <c r="D2232" s="76">
        <v>40.436015999999903</v>
      </c>
      <c r="E2232" s="76">
        <v>40.853031000000001</v>
      </c>
      <c r="F2232" s="76">
        <v>29.298760999999999</v>
      </c>
      <c r="G2232" s="79">
        <v>6558500</v>
      </c>
    </row>
    <row r="2233" spans="1:7" x14ac:dyDescent="0.25">
      <c r="A2233" s="1" t="s">
        <v>2356</v>
      </c>
      <c r="B2233" s="76">
        <v>41.291995999999997</v>
      </c>
      <c r="C2233" s="76">
        <v>46.508365999999903</v>
      </c>
      <c r="D2233" s="76">
        <v>39.038643</v>
      </c>
      <c r="E2233" s="76">
        <v>45.008567999999997</v>
      </c>
      <c r="F2233" s="76">
        <v>32.279007</v>
      </c>
      <c r="G2233" s="79">
        <v>7885000</v>
      </c>
    </row>
    <row r="2234" spans="1:7" x14ac:dyDescent="0.25">
      <c r="A2234" s="1" t="s">
        <v>2357</v>
      </c>
      <c r="B2234" s="76">
        <v>43.040543</v>
      </c>
      <c r="C2234" s="76">
        <v>45.045150999999997</v>
      </c>
      <c r="D2234" s="76">
        <v>39.879992999999999</v>
      </c>
      <c r="E2234" s="76">
        <v>41.174937999999997</v>
      </c>
      <c r="F2234" s="76">
        <v>29.529624999999999</v>
      </c>
      <c r="G2234" s="79">
        <v>4675000</v>
      </c>
    </row>
    <row r="2235" spans="1:7" x14ac:dyDescent="0.25">
      <c r="A2235" s="1" t="s">
        <v>2358</v>
      </c>
      <c r="B2235" s="76">
        <v>40.648181999999998</v>
      </c>
      <c r="C2235" s="76">
        <v>41.431003999999902</v>
      </c>
      <c r="D2235" s="76">
        <v>38.438724999999998</v>
      </c>
      <c r="E2235" s="76">
        <v>39.089855</v>
      </c>
      <c r="F2235" s="76">
        <v>28.034264</v>
      </c>
      <c r="G2235" s="79">
        <v>5237700</v>
      </c>
    </row>
    <row r="2236" spans="1:7" x14ac:dyDescent="0.25">
      <c r="A2236" s="1" t="s">
        <v>2359</v>
      </c>
      <c r="B2236" s="76">
        <v>39.836094000000003</v>
      </c>
      <c r="C2236" s="76">
        <v>40.384803999999903</v>
      </c>
      <c r="D2236" s="76">
        <v>37.868068999999998</v>
      </c>
      <c r="E2236" s="76">
        <v>39.623927999999999</v>
      </c>
      <c r="F2236" s="76">
        <v>28.417290000000001</v>
      </c>
      <c r="G2236" s="79">
        <v>5778200</v>
      </c>
    </row>
    <row r="2237" spans="1:7" x14ac:dyDescent="0.25">
      <c r="A2237" s="1" t="s">
        <v>2360</v>
      </c>
      <c r="B2237" s="76">
        <v>38.950848000000001</v>
      </c>
      <c r="C2237" s="76">
        <v>40.084842999999999</v>
      </c>
      <c r="D2237" s="76">
        <v>33.705215000000003</v>
      </c>
      <c r="E2237" s="76">
        <v>34.509982999999998</v>
      </c>
      <c r="F2237" s="76">
        <v>24.749693000000001</v>
      </c>
      <c r="G2237" s="79">
        <v>9361500</v>
      </c>
    </row>
    <row r="2238" spans="1:7" x14ac:dyDescent="0.25">
      <c r="A2238" s="1" t="s">
        <v>2361</v>
      </c>
      <c r="B2238" s="76">
        <v>32.790703000000001</v>
      </c>
      <c r="C2238" s="76">
        <v>35.870776999999997</v>
      </c>
      <c r="D2238" s="76">
        <v>29.578940999999901</v>
      </c>
      <c r="E2238" s="76">
        <v>30.464188</v>
      </c>
      <c r="F2238" s="76">
        <v>21.848154000000001</v>
      </c>
      <c r="G2238" s="79">
        <v>12758900</v>
      </c>
    </row>
    <row r="2239" spans="1:7" x14ac:dyDescent="0.25">
      <c r="A2239" s="1" t="s">
        <v>2362</v>
      </c>
      <c r="B2239" s="76">
        <v>31.525020999999999</v>
      </c>
      <c r="C2239" s="76">
        <v>32.666328</v>
      </c>
      <c r="D2239" s="76">
        <v>26.820775999999999</v>
      </c>
      <c r="E2239" s="76">
        <v>32.402949999999997</v>
      </c>
      <c r="F2239" s="76">
        <v>23.238581</v>
      </c>
      <c r="G2239" s="79">
        <v>12475500</v>
      </c>
    </row>
    <row r="2240" spans="1:7" x14ac:dyDescent="0.25">
      <c r="A2240" s="1" t="s">
        <v>2363</v>
      </c>
      <c r="B2240" s="76">
        <v>33.690581999999999</v>
      </c>
      <c r="C2240" s="76">
        <v>38.870373000000001</v>
      </c>
      <c r="D2240" s="76">
        <v>32.593170000000001</v>
      </c>
      <c r="E2240" s="76">
        <v>38.46067</v>
      </c>
      <c r="F2240" s="76">
        <v>27.583019</v>
      </c>
      <c r="G2240" s="79">
        <v>11090400</v>
      </c>
    </row>
    <row r="2241" spans="1:7" x14ac:dyDescent="0.25">
      <c r="A2241" s="1" t="s">
        <v>2364</v>
      </c>
      <c r="B2241" s="76">
        <v>40.231163000000002</v>
      </c>
      <c r="C2241" s="76">
        <v>40.896926999999998</v>
      </c>
      <c r="D2241" s="76">
        <v>35.709823999999998</v>
      </c>
      <c r="E2241" s="76">
        <v>39.828780999999999</v>
      </c>
      <c r="F2241" s="76">
        <v>28.564207</v>
      </c>
      <c r="G2241" s="79">
        <v>9442500</v>
      </c>
    </row>
    <row r="2242" spans="1:7" x14ac:dyDescent="0.25">
      <c r="A2242" s="1" t="s">
        <v>2365</v>
      </c>
      <c r="B2242" s="76">
        <v>39.177647</v>
      </c>
      <c r="C2242" s="76">
        <v>42.067501</v>
      </c>
      <c r="D2242" s="76">
        <v>37.677849000000002</v>
      </c>
      <c r="E2242" s="76">
        <v>41.116408999999997</v>
      </c>
      <c r="F2242" s="76">
        <v>29.487649999999999</v>
      </c>
      <c r="G2242" s="79">
        <v>7849100</v>
      </c>
    </row>
    <row r="2243" spans="1:7" x14ac:dyDescent="0.25">
      <c r="A2243" s="1" t="s">
        <v>2366</v>
      </c>
      <c r="B2243" s="76">
        <v>41.123725999999998</v>
      </c>
      <c r="C2243" s="76">
        <v>41.482215999999902</v>
      </c>
      <c r="D2243" s="76">
        <v>39.104488000000003</v>
      </c>
      <c r="E2243" s="76">
        <v>39.104488000000003</v>
      </c>
      <c r="F2243" s="76">
        <v>28.044751999999999</v>
      </c>
      <c r="G2243" s="79">
        <v>3371900</v>
      </c>
    </row>
    <row r="2244" spans="1:7" x14ac:dyDescent="0.25">
      <c r="A2244" s="1" t="s">
        <v>2367</v>
      </c>
      <c r="B2244" s="76">
        <v>37.919280999999998</v>
      </c>
      <c r="C2244" s="76">
        <v>38.446036999999997</v>
      </c>
      <c r="D2244" s="76">
        <v>30.588559999999902</v>
      </c>
      <c r="E2244" s="76">
        <v>31.510386999999898</v>
      </c>
      <c r="F2244" s="76">
        <v>22.598457</v>
      </c>
      <c r="G2244" s="79">
        <v>8863500</v>
      </c>
    </row>
    <row r="2245" spans="1:7" x14ac:dyDescent="0.25">
      <c r="A2245" s="1" t="s">
        <v>2368</v>
      </c>
      <c r="B2245" s="76">
        <v>32.373688000000001</v>
      </c>
      <c r="C2245" s="76">
        <v>35.241591999999997</v>
      </c>
      <c r="D2245" s="76">
        <v>32.227364000000001</v>
      </c>
      <c r="E2245" s="76">
        <v>34.700203000000002</v>
      </c>
      <c r="F2245" s="76">
        <v>24.886116000000001</v>
      </c>
      <c r="G2245" s="79">
        <v>10957600</v>
      </c>
    </row>
    <row r="2246" spans="1:7" x14ac:dyDescent="0.25">
      <c r="A2246" s="1" t="s">
        <v>2369</v>
      </c>
      <c r="B2246" s="76">
        <v>33.961277000000003</v>
      </c>
      <c r="C2246" s="76">
        <v>37.809539999999998</v>
      </c>
      <c r="D2246" s="76">
        <v>32.373688000000001</v>
      </c>
      <c r="E2246" s="76">
        <v>37.758327000000001</v>
      </c>
      <c r="F2246" s="76">
        <v>27.079322999999999</v>
      </c>
      <c r="G2246" s="79">
        <v>7855200</v>
      </c>
    </row>
    <row r="2247" spans="1:7" x14ac:dyDescent="0.25">
      <c r="A2247" s="1" t="s">
        <v>2370</v>
      </c>
      <c r="B2247" s="76">
        <v>36.434115999999896</v>
      </c>
      <c r="C2247" s="76">
        <v>40.962771999999902</v>
      </c>
      <c r="D2247" s="76">
        <v>36.009780999999997</v>
      </c>
      <c r="E2247" s="76">
        <v>36.880398</v>
      </c>
      <c r="F2247" s="76">
        <v>26.44969</v>
      </c>
      <c r="G2247" s="79">
        <v>8072500</v>
      </c>
    </row>
    <row r="2248" spans="1:7" x14ac:dyDescent="0.25">
      <c r="A2248" s="1" t="s">
        <v>2371</v>
      </c>
      <c r="B2248" s="76">
        <v>36.148788000000003</v>
      </c>
      <c r="C2248" s="76">
        <v>41.335892000000001</v>
      </c>
      <c r="D2248" s="76">
        <v>35.402546000000001</v>
      </c>
      <c r="E2248" s="76">
        <v>41.160308999999998</v>
      </c>
      <c r="F2248" s="76">
        <v>29.519130999999899</v>
      </c>
      <c r="G2248" s="79">
        <v>7387700</v>
      </c>
    </row>
    <row r="2249" spans="1:7" x14ac:dyDescent="0.25">
      <c r="A2249" s="1" t="s">
        <v>2372</v>
      </c>
      <c r="B2249" s="76">
        <v>42.089450999999997</v>
      </c>
      <c r="C2249" s="76">
        <v>45.067096999999997</v>
      </c>
      <c r="D2249" s="76">
        <v>41.445633000000001</v>
      </c>
      <c r="E2249" s="76">
        <v>45.052467</v>
      </c>
      <c r="F2249" s="76">
        <v>32.310485999999997</v>
      </c>
      <c r="G2249" s="79">
        <v>9750300</v>
      </c>
    </row>
    <row r="2250" spans="1:7" x14ac:dyDescent="0.25">
      <c r="A2250" s="1" t="s">
        <v>2373</v>
      </c>
      <c r="B2250" s="76">
        <v>44.152588000000002</v>
      </c>
      <c r="C2250" s="76">
        <v>44.832985000000001</v>
      </c>
      <c r="D2250" s="76">
        <v>40.523808000000002</v>
      </c>
      <c r="E2250" s="76">
        <v>41.109093000000001</v>
      </c>
      <c r="F2250" s="76">
        <v>29.482412</v>
      </c>
      <c r="G2250" s="79">
        <v>6986800</v>
      </c>
    </row>
    <row r="2251" spans="1:7" x14ac:dyDescent="0.25">
      <c r="A2251" s="1" t="s">
        <v>2374</v>
      </c>
      <c r="B2251" s="76">
        <v>41.467582999999998</v>
      </c>
      <c r="C2251" s="76">
        <v>45.403636999999897</v>
      </c>
      <c r="D2251" s="76">
        <v>41.438319999999997</v>
      </c>
      <c r="E2251" s="76">
        <v>44.452545000000001</v>
      </c>
      <c r="F2251" s="76">
        <v>31.880248999999999</v>
      </c>
      <c r="G2251" s="79">
        <v>5683300</v>
      </c>
    </row>
    <row r="2252" spans="1:7" x14ac:dyDescent="0.25">
      <c r="A2252" s="1" t="s">
        <v>2375</v>
      </c>
      <c r="B2252" s="76">
        <v>43.238075000000002</v>
      </c>
      <c r="C2252" s="76">
        <v>44.276961999999997</v>
      </c>
      <c r="D2252" s="76">
        <v>38.519199</v>
      </c>
      <c r="E2252" s="76">
        <v>38.782578000000001</v>
      </c>
      <c r="F2252" s="76">
        <v>27.813884999999999</v>
      </c>
      <c r="G2252" s="79">
        <v>9778500</v>
      </c>
    </row>
    <row r="2253" spans="1:7" x14ac:dyDescent="0.25">
      <c r="A2253" s="1" t="s">
        <v>2376</v>
      </c>
      <c r="B2253" s="76">
        <v>37.546162000000002</v>
      </c>
      <c r="C2253" s="76">
        <v>42.725947999999903</v>
      </c>
      <c r="D2253" s="76">
        <v>36.807235999999897</v>
      </c>
      <c r="E2253" s="76">
        <v>42.608893999999999</v>
      </c>
      <c r="F2253" s="76">
        <v>30.558022999999999</v>
      </c>
      <c r="G2253" s="79">
        <v>9790200</v>
      </c>
    </row>
    <row r="2254" spans="1:7" x14ac:dyDescent="0.25">
      <c r="A2254" s="1" t="s">
        <v>2377</v>
      </c>
      <c r="B2254" s="76">
        <v>43.479506999999998</v>
      </c>
      <c r="C2254" s="76">
        <v>43.516086999999999</v>
      </c>
      <c r="D2254" s="76">
        <v>39.302021000000003</v>
      </c>
      <c r="E2254" s="76">
        <v>41.270049999999998</v>
      </c>
      <c r="F2254" s="76">
        <v>29.597849</v>
      </c>
      <c r="G2254" s="79">
        <v>5904800</v>
      </c>
    </row>
    <row r="2255" spans="1:7" x14ac:dyDescent="0.25">
      <c r="A2255" s="1" t="s">
        <v>2378</v>
      </c>
      <c r="B2255" s="76">
        <v>41.965076000000003</v>
      </c>
      <c r="C2255" s="76">
        <v>47.079020999999997</v>
      </c>
      <c r="D2255" s="76">
        <v>41.050567999999998</v>
      </c>
      <c r="E2255" s="76">
        <v>47.079020999999997</v>
      </c>
      <c r="F2255" s="76">
        <v>33.763888999999999</v>
      </c>
      <c r="G2255" s="79">
        <v>9318900</v>
      </c>
    </row>
    <row r="2256" spans="1:7" x14ac:dyDescent="0.25">
      <c r="A2256" s="1" t="s">
        <v>2379</v>
      </c>
      <c r="B2256" s="76">
        <v>46.435206999999998</v>
      </c>
      <c r="C2256" s="76">
        <v>48.908042999999999</v>
      </c>
      <c r="D2256" s="76">
        <v>44.130637999999998</v>
      </c>
      <c r="E2256" s="76">
        <v>46.881489000000002</v>
      </c>
      <c r="F2256" s="76">
        <v>33.622227000000002</v>
      </c>
      <c r="G2256" s="79">
        <v>6803100</v>
      </c>
    </row>
    <row r="2257" spans="1:7" x14ac:dyDescent="0.25">
      <c r="A2257" s="1" t="s">
        <v>2380</v>
      </c>
      <c r="B2257" s="76">
        <v>47.298504000000001</v>
      </c>
      <c r="C2257" s="76">
        <v>47.503352999999997</v>
      </c>
      <c r="D2257" s="76">
        <v>42.082134000000003</v>
      </c>
      <c r="E2257" s="76">
        <v>42.616207000000003</v>
      </c>
      <c r="F2257" s="76">
        <v>30.563274</v>
      </c>
      <c r="G2257" s="79">
        <v>7214800</v>
      </c>
    </row>
    <row r="2258" spans="1:7" x14ac:dyDescent="0.25">
      <c r="A2258" s="1" t="s">
        <v>2381</v>
      </c>
      <c r="B2258" s="76">
        <v>43.889206000000001</v>
      </c>
      <c r="C2258" s="76">
        <v>44.628132000000001</v>
      </c>
      <c r="D2258" s="76">
        <v>42.177242</v>
      </c>
      <c r="E2258" s="76">
        <v>43.903838999999998</v>
      </c>
      <c r="F2258" s="76">
        <v>31.486737999999999</v>
      </c>
      <c r="G2258" s="79">
        <v>5472000</v>
      </c>
    </row>
    <row r="2259" spans="1:7" x14ac:dyDescent="0.25">
      <c r="A2259" s="1" t="s">
        <v>2382</v>
      </c>
      <c r="B2259" s="76">
        <v>44.964672</v>
      </c>
      <c r="C2259" s="76">
        <v>44.964672</v>
      </c>
      <c r="D2259" s="76">
        <v>40.501857999999999</v>
      </c>
      <c r="E2259" s="76">
        <v>42.228454999999997</v>
      </c>
      <c r="F2259" s="76">
        <v>30.285191999999999</v>
      </c>
      <c r="G2259" s="79">
        <v>4104000</v>
      </c>
    </row>
    <row r="2260" spans="1:7" x14ac:dyDescent="0.25">
      <c r="A2260" s="1" t="s">
        <v>2383</v>
      </c>
      <c r="B2260" s="76">
        <v>42.652790000000003</v>
      </c>
      <c r="C2260" s="76">
        <v>44.057476000000001</v>
      </c>
      <c r="D2260" s="76">
        <v>42.323566</v>
      </c>
      <c r="E2260" s="76">
        <v>42.901534999999903</v>
      </c>
      <c r="F2260" s="76">
        <v>30.767903999999898</v>
      </c>
      <c r="G2260" s="79">
        <v>3103300</v>
      </c>
    </row>
    <row r="2261" spans="1:7" x14ac:dyDescent="0.25">
      <c r="A2261" s="1" t="s">
        <v>2384</v>
      </c>
      <c r="B2261" s="76">
        <v>42.689368999999999</v>
      </c>
      <c r="C2261" s="76">
        <v>43.018593000000003</v>
      </c>
      <c r="D2261" s="76">
        <v>41.833385</v>
      </c>
      <c r="E2261" s="76">
        <v>42.908852000000003</v>
      </c>
      <c r="F2261" s="76">
        <v>30.773157000000001</v>
      </c>
      <c r="G2261" s="79">
        <v>1029200</v>
      </c>
    </row>
    <row r="2262" spans="1:7" x14ac:dyDescent="0.25">
      <c r="A2262" s="1" t="s">
        <v>2385</v>
      </c>
      <c r="B2262" s="76">
        <v>43.142966999999999</v>
      </c>
      <c r="C2262" s="76">
        <v>43.508769999999998</v>
      </c>
      <c r="D2262" s="76">
        <v>41.987026</v>
      </c>
      <c r="E2262" s="76">
        <v>43.150283999999999</v>
      </c>
      <c r="F2262" s="76">
        <v>30.946303999999898</v>
      </c>
      <c r="G2262" s="79">
        <v>1251300</v>
      </c>
    </row>
    <row r="2263" spans="1:7" x14ac:dyDescent="0.25">
      <c r="A2263" s="1" t="s">
        <v>2386</v>
      </c>
      <c r="B2263" s="76">
        <v>42.645472999999903</v>
      </c>
      <c r="C2263" s="76">
        <v>42.682053000000003</v>
      </c>
      <c r="D2263" s="76">
        <v>39.623927999999999</v>
      </c>
      <c r="E2263" s="76">
        <v>40.779868999999998</v>
      </c>
      <c r="F2263" s="76">
        <v>29.246296000000001</v>
      </c>
      <c r="G2263" s="79">
        <v>3267700</v>
      </c>
    </row>
    <row r="2264" spans="1:7" x14ac:dyDescent="0.25">
      <c r="A2264" s="1" t="s">
        <v>2387</v>
      </c>
      <c r="B2264" s="76">
        <v>40.977406000000002</v>
      </c>
      <c r="C2264" s="76">
        <v>42.733265000000003</v>
      </c>
      <c r="D2264" s="76">
        <v>40.545757000000002</v>
      </c>
      <c r="E2264" s="76">
        <v>42.564995000000003</v>
      </c>
      <c r="F2264" s="76">
        <v>30.526537000000001</v>
      </c>
      <c r="G2264" s="79">
        <v>2847000</v>
      </c>
    </row>
    <row r="2265" spans="1:7" x14ac:dyDescent="0.25">
      <c r="A2265" s="1" t="s">
        <v>2388</v>
      </c>
      <c r="B2265" s="76">
        <v>42.433307999999997</v>
      </c>
      <c r="C2265" s="76">
        <v>44.598869000000001</v>
      </c>
      <c r="D2265" s="76">
        <v>41.95776</v>
      </c>
      <c r="E2265" s="76">
        <v>44.152588000000002</v>
      </c>
      <c r="F2265" s="76">
        <v>31.665128999999901</v>
      </c>
      <c r="G2265" s="79">
        <v>4089300</v>
      </c>
    </row>
    <row r="2266" spans="1:7" x14ac:dyDescent="0.25">
      <c r="A2266" s="1" t="s">
        <v>2389</v>
      </c>
      <c r="B2266" s="76">
        <v>44.028213999999998</v>
      </c>
      <c r="C2266" s="76">
        <v>44.298907999999997</v>
      </c>
      <c r="D2266" s="76">
        <v>42.360146</v>
      </c>
      <c r="E2266" s="76">
        <v>42.645472999999903</v>
      </c>
      <c r="F2266" s="76">
        <v>30.584258999999999</v>
      </c>
      <c r="G2266" s="79">
        <v>3231000</v>
      </c>
    </row>
    <row r="2267" spans="1:7" x14ac:dyDescent="0.25">
      <c r="A2267" s="1" t="s">
        <v>2390</v>
      </c>
      <c r="B2267" s="76">
        <v>42.586945</v>
      </c>
      <c r="C2267" s="76">
        <v>43.084437999999999</v>
      </c>
      <c r="D2267" s="76">
        <v>41.350524999999998</v>
      </c>
      <c r="E2267" s="76">
        <v>42.038238999999997</v>
      </c>
      <c r="F2267" s="76">
        <v>30.148775000000001</v>
      </c>
      <c r="G2267" s="79">
        <v>4869000</v>
      </c>
    </row>
    <row r="2268" spans="1:7" x14ac:dyDescent="0.25">
      <c r="A2268" s="1" t="s">
        <v>2391</v>
      </c>
      <c r="B2268" s="76">
        <v>42.499148999999903</v>
      </c>
      <c r="C2268" s="76">
        <v>45.601172999999903</v>
      </c>
      <c r="D2268" s="76">
        <v>41.233466999999997</v>
      </c>
      <c r="E2268" s="76">
        <v>45.176837999999996</v>
      </c>
      <c r="F2268" s="76">
        <v>32.399684999999998</v>
      </c>
      <c r="G2268" s="79">
        <v>6851200</v>
      </c>
    </row>
    <row r="2269" spans="1:7" x14ac:dyDescent="0.25">
      <c r="A2269" s="1" t="s">
        <v>2392</v>
      </c>
      <c r="B2269" s="76">
        <v>44.116005000000001</v>
      </c>
      <c r="C2269" s="76">
        <v>44.467177999999997</v>
      </c>
      <c r="D2269" s="76">
        <v>42.652790000000003</v>
      </c>
      <c r="E2269" s="76">
        <v>42.974696999999999</v>
      </c>
      <c r="F2269" s="76">
        <v>30.82037</v>
      </c>
      <c r="G2269" s="79">
        <v>4399900</v>
      </c>
    </row>
    <row r="2270" spans="1:7" x14ac:dyDescent="0.25">
      <c r="A2270" s="1" t="s">
        <v>2393</v>
      </c>
      <c r="B2270" s="76">
        <v>41.335892000000001</v>
      </c>
      <c r="C2270" s="76">
        <v>42.528416</v>
      </c>
      <c r="D2270" s="76">
        <v>40.472594999999998</v>
      </c>
      <c r="E2270" s="76">
        <v>42.272354</v>
      </c>
      <c r="F2270" s="76">
        <v>30.316659999999999</v>
      </c>
      <c r="G2270" s="79">
        <v>4686000</v>
      </c>
    </row>
    <row r="2271" spans="1:7" x14ac:dyDescent="0.25">
      <c r="A2271" s="1" t="s">
        <v>2394</v>
      </c>
      <c r="B2271" s="76">
        <v>42.374778999999997</v>
      </c>
      <c r="C2271" s="76">
        <v>42.945430999999999</v>
      </c>
      <c r="D2271" s="76">
        <v>40.004364000000002</v>
      </c>
      <c r="E2271" s="76">
        <v>40.297009000000003</v>
      </c>
      <c r="F2271" s="76">
        <v>28.900002000000001</v>
      </c>
      <c r="G2271" s="79">
        <v>4260600</v>
      </c>
    </row>
    <row r="2272" spans="1:7" x14ac:dyDescent="0.25">
      <c r="A2272" s="1" t="s">
        <v>2395</v>
      </c>
      <c r="B2272" s="76">
        <v>40.040946999999903</v>
      </c>
      <c r="C2272" s="76">
        <v>40.136054999999999</v>
      </c>
      <c r="D2272" s="76">
        <v>37.480315999999902</v>
      </c>
      <c r="E2272" s="76">
        <v>38.029021999999998</v>
      </c>
      <c r="F2272" s="76">
        <v>27.273454999999998</v>
      </c>
      <c r="G2272" s="79">
        <v>4930300</v>
      </c>
    </row>
    <row r="2273" spans="1:7" x14ac:dyDescent="0.25">
      <c r="A2273" s="1" t="s">
        <v>2396</v>
      </c>
      <c r="B2273" s="76">
        <v>38.292400000000001</v>
      </c>
      <c r="C2273" s="76">
        <v>39.989734999999897</v>
      </c>
      <c r="D2273" s="76">
        <v>37.480315999999902</v>
      </c>
      <c r="E2273" s="76">
        <v>39.638560999999903</v>
      </c>
      <c r="F2273" s="76">
        <v>28.427778</v>
      </c>
      <c r="G2273" s="79">
        <v>4279400</v>
      </c>
    </row>
    <row r="2274" spans="1:7" x14ac:dyDescent="0.25">
      <c r="A2274" s="1" t="s">
        <v>2397</v>
      </c>
      <c r="B2274" s="76">
        <v>38.175342999999998</v>
      </c>
      <c r="C2274" s="76">
        <v>38.606994999999998</v>
      </c>
      <c r="D2274" s="76">
        <v>36.529223999999999</v>
      </c>
      <c r="E2274" s="76">
        <v>37.055981000000003</v>
      </c>
      <c r="F2274" s="76">
        <v>26.575619</v>
      </c>
      <c r="G2274" s="79">
        <v>6269100</v>
      </c>
    </row>
    <row r="2275" spans="1:7" x14ac:dyDescent="0.25">
      <c r="A2275" s="1" t="s">
        <v>2398</v>
      </c>
      <c r="B2275" s="76">
        <v>36.799919000000003</v>
      </c>
      <c r="C2275" s="76">
        <v>39.031326</v>
      </c>
      <c r="D2275" s="76">
        <v>34.648990999999903</v>
      </c>
      <c r="E2275" s="76">
        <v>37.494948999999998</v>
      </c>
      <c r="F2275" s="76">
        <v>26.890440000000002</v>
      </c>
      <c r="G2275" s="79">
        <v>7885100</v>
      </c>
    </row>
    <row r="2276" spans="1:7" x14ac:dyDescent="0.25">
      <c r="A2276" s="1" t="s">
        <v>2399</v>
      </c>
      <c r="B2276" s="76">
        <v>38.482619999999997</v>
      </c>
      <c r="C2276" s="76">
        <v>39.404446</v>
      </c>
      <c r="D2276" s="76">
        <v>36.4268</v>
      </c>
      <c r="E2276" s="76">
        <v>39.133750999999997</v>
      </c>
      <c r="F2276" s="76">
        <v>28.065746000000001</v>
      </c>
      <c r="G2276" s="79">
        <v>5715600</v>
      </c>
    </row>
    <row r="2277" spans="1:7" x14ac:dyDescent="0.25">
      <c r="A2277" s="1" t="s">
        <v>2400</v>
      </c>
      <c r="B2277" s="76">
        <v>38.555779000000001</v>
      </c>
      <c r="C2277" s="76">
        <v>38.870373000000001</v>
      </c>
      <c r="D2277" s="76">
        <v>34.473403999999903</v>
      </c>
      <c r="E2277" s="76">
        <v>34.831890000000001</v>
      </c>
      <c r="F2277" s="76">
        <v>24.980553</v>
      </c>
      <c r="G2277" s="79">
        <v>7197100</v>
      </c>
    </row>
    <row r="2278" spans="1:7" x14ac:dyDescent="0.25">
      <c r="A2278" s="1" t="s">
        <v>2401</v>
      </c>
      <c r="B2278" s="76">
        <v>36.170734000000003</v>
      </c>
      <c r="C2278" s="76">
        <v>39.184963000000003</v>
      </c>
      <c r="D2278" s="76">
        <v>35.080638999999998</v>
      </c>
      <c r="E2278" s="76">
        <v>39.111801</v>
      </c>
      <c r="F2278" s="76">
        <v>28.049999</v>
      </c>
      <c r="G2278" s="79">
        <v>9610100</v>
      </c>
    </row>
    <row r="2279" spans="1:7" x14ac:dyDescent="0.25">
      <c r="A2279" s="1" t="s">
        <v>2402</v>
      </c>
      <c r="B2279" s="76">
        <v>37.151092999999896</v>
      </c>
      <c r="C2279" s="76">
        <v>38.672835999999997</v>
      </c>
      <c r="D2279" s="76">
        <v>35.878093999999997</v>
      </c>
      <c r="E2279" s="76">
        <v>36.946238999999998</v>
      </c>
      <c r="F2279" s="76">
        <v>26.4969099999999</v>
      </c>
      <c r="G2279" s="79">
        <v>6769400</v>
      </c>
    </row>
    <row r="2280" spans="1:7" x14ac:dyDescent="0.25">
      <c r="A2280" s="1" t="s">
        <v>2403</v>
      </c>
      <c r="B2280" s="76">
        <v>35.526919999999997</v>
      </c>
      <c r="C2280" s="76">
        <v>37.677849000000002</v>
      </c>
      <c r="D2280" s="76">
        <v>34.934319000000002</v>
      </c>
      <c r="E2280" s="76">
        <v>37.458365999999998</v>
      </c>
      <c r="F2280" s="76">
        <v>26.864196999999901</v>
      </c>
      <c r="G2280" s="79">
        <v>5333100</v>
      </c>
    </row>
    <row r="2281" spans="1:7" x14ac:dyDescent="0.25">
      <c r="A2281" s="1" t="s">
        <v>2404</v>
      </c>
      <c r="B2281" s="76">
        <v>38.424090999999997</v>
      </c>
      <c r="C2281" s="76">
        <v>39.053272</v>
      </c>
      <c r="D2281" s="76">
        <v>36.624332000000003</v>
      </c>
      <c r="E2281" s="76">
        <v>37.304728999999902</v>
      </c>
      <c r="F2281" s="76">
        <v>26.754013</v>
      </c>
      <c r="G2281" s="79">
        <v>5660500</v>
      </c>
    </row>
    <row r="2282" spans="1:7" x14ac:dyDescent="0.25">
      <c r="A2282" s="1" t="s">
        <v>2405</v>
      </c>
      <c r="B2282" s="76">
        <v>37.985126000000001</v>
      </c>
      <c r="C2282" s="76">
        <v>38.738681999999997</v>
      </c>
      <c r="D2282" s="76">
        <v>37.070613999999999</v>
      </c>
      <c r="E2282" s="76">
        <v>37.846119000000002</v>
      </c>
      <c r="F2282" s="76">
        <v>27.142284</v>
      </c>
      <c r="G2282" s="79">
        <v>4417600</v>
      </c>
    </row>
    <row r="2283" spans="1:7" x14ac:dyDescent="0.25">
      <c r="A2283" s="1" t="s">
        <v>2406</v>
      </c>
      <c r="B2283" s="76">
        <v>39.104488000000003</v>
      </c>
      <c r="C2283" s="76">
        <v>42.155296</v>
      </c>
      <c r="D2283" s="76">
        <v>38.950848000000001</v>
      </c>
      <c r="E2283" s="76">
        <v>41.848019000000001</v>
      </c>
      <c r="F2283" s="76">
        <v>30.012334999999901</v>
      </c>
      <c r="G2283" s="79">
        <v>7905200</v>
      </c>
    </row>
    <row r="2284" spans="1:7" x14ac:dyDescent="0.25">
      <c r="A2284" s="1" t="s">
        <v>2407</v>
      </c>
      <c r="B2284" s="76">
        <v>40.684761000000002</v>
      </c>
      <c r="C2284" s="76">
        <v>41.687064999999997</v>
      </c>
      <c r="D2284" s="76">
        <v>38.643574000000001</v>
      </c>
      <c r="E2284" s="76">
        <v>38.870373000000001</v>
      </c>
      <c r="F2284" s="76">
        <v>27.876853999999899</v>
      </c>
      <c r="G2284" s="79">
        <v>7393400</v>
      </c>
    </row>
    <row r="2285" spans="1:7" x14ac:dyDescent="0.25">
      <c r="A2285" s="1" t="s">
        <v>2408</v>
      </c>
      <c r="B2285" s="76">
        <v>39.675139999999999</v>
      </c>
      <c r="C2285" s="76">
        <v>39.997046999999903</v>
      </c>
      <c r="D2285" s="76">
        <v>36.485329</v>
      </c>
      <c r="E2285" s="76">
        <v>37.173037999999998</v>
      </c>
      <c r="F2285" s="76">
        <v>26.659569000000001</v>
      </c>
      <c r="G2285" s="79">
        <v>7375000</v>
      </c>
    </row>
    <row r="2286" spans="1:7" x14ac:dyDescent="0.25">
      <c r="A2286" s="1" t="s">
        <v>2409</v>
      </c>
      <c r="B2286" s="76">
        <v>36.243895999999999</v>
      </c>
      <c r="C2286" s="76">
        <v>38.014389000000001</v>
      </c>
      <c r="D2286" s="76">
        <v>35.848827</v>
      </c>
      <c r="E2286" s="76">
        <v>37.772960999999903</v>
      </c>
      <c r="F2286" s="76">
        <v>27.089812999999999</v>
      </c>
      <c r="G2286" s="79">
        <v>6196900</v>
      </c>
    </row>
    <row r="2287" spans="1:7" x14ac:dyDescent="0.25">
      <c r="A2287" s="1" t="s">
        <v>2410</v>
      </c>
      <c r="B2287" s="76">
        <v>37.319363000000003</v>
      </c>
      <c r="C2287" s="76">
        <v>37.436419999999998</v>
      </c>
      <c r="D2287" s="76">
        <v>35.775664999999996</v>
      </c>
      <c r="E2287" s="76">
        <v>36.404850000000003</v>
      </c>
      <c r="F2287" s="76">
        <v>26.779288999999999</v>
      </c>
      <c r="G2287" s="79">
        <v>5923600</v>
      </c>
    </row>
    <row r="2288" spans="1:7" x14ac:dyDescent="0.25">
      <c r="A2288" s="1" t="s">
        <v>2411</v>
      </c>
      <c r="B2288" s="76">
        <v>36.59507</v>
      </c>
      <c r="C2288" s="76">
        <v>37.502262000000002</v>
      </c>
      <c r="D2288" s="76">
        <v>35.958568999999997</v>
      </c>
      <c r="E2288" s="76">
        <v>36.134155</v>
      </c>
      <c r="F2288" s="76">
        <v>26.580164</v>
      </c>
      <c r="G2288" s="79">
        <v>6198200</v>
      </c>
    </row>
    <row r="2289" spans="1:7" x14ac:dyDescent="0.25">
      <c r="A2289" s="1" t="s">
        <v>2412</v>
      </c>
      <c r="B2289" s="76">
        <v>35.607394999999997</v>
      </c>
      <c r="C2289" s="76">
        <v>37.429103999999903</v>
      </c>
      <c r="D2289" s="76">
        <v>34.436824999999999</v>
      </c>
      <c r="E2289" s="76">
        <v>35.724452999999997</v>
      </c>
      <c r="F2289" s="76">
        <v>26.278790000000001</v>
      </c>
      <c r="G2289" s="79">
        <v>6869700</v>
      </c>
    </row>
    <row r="2290" spans="1:7" x14ac:dyDescent="0.25">
      <c r="A2290" s="1" t="s">
        <v>2413</v>
      </c>
      <c r="B2290" s="76">
        <v>36.346321000000003</v>
      </c>
      <c r="C2290" s="76">
        <v>39.082538999999997</v>
      </c>
      <c r="D2290" s="76">
        <v>35.731769999999997</v>
      </c>
      <c r="E2290" s="76">
        <v>38.709418999999997</v>
      </c>
      <c r="F2290" s="76">
        <v>28.474530999999999</v>
      </c>
      <c r="G2290" s="79">
        <v>6308100</v>
      </c>
    </row>
    <row r="2291" spans="1:7" x14ac:dyDescent="0.25">
      <c r="A2291" s="1" t="s">
        <v>2414</v>
      </c>
      <c r="B2291" s="76">
        <v>38.628940999999998</v>
      </c>
      <c r="C2291" s="76">
        <v>39.587348999999897</v>
      </c>
      <c r="D2291" s="76">
        <v>37.853436000000002</v>
      </c>
      <c r="E2291" s="76">
        <v>39.353233000000003</v>
      </c>
      <c r="F2291" s="76">
        <v>28.948110999999901</v>
      </c>
      <c r="G2291" s="79">
        <v>4174400</v>
      </c>
    </row>
    <row r="2292" spans="1:7" x14ac:dyDescent="0.25">
      <c r="A2292" s="1" t="s">
        <v>2415</v>
      </c>
      <c r="B2292" s="76">
        <v>38.409458000000001</v>
      </c>
      <c r="C2292" s="76">
        <v>39.353233000000003</v>
      </c>
      <c r="D2292" s="76">
        <v>34.744098999999999</v>
      </c>
      <c r="E2292" s="76">
        <v>35.131850999999997</v>
      </c>
      <c r="F2292" s="76">
        <v>25.842873000000001</v>
      </c>
      <c r="G2292" s="79">
        <v>8627600</v>
      </c>
    </row>
    <row r="2293" spans="1:7" x14ac:dyDescent="0.25">
      <c r="A2293" s="1" t="s">
        <v>2416</v>
      </c>
      <c r="B2293" s="76">
        <v>35.541553</v>
      </c>
      <c r="C2293" s="76">
        <v>36.434115999999896</v>
      </c>
      <c r="D2293" s="76">
        <v>34.210025999999999</v>
      </c>
      <c r="E2293" s="76">
        <v>36.265846000000003</v>
      </c>
      <c r="F2293" s="76">
        <v>26.677040000000002</v>
      </c>
      <c r="G2293" s="79">
        <v>6531400</v>
      </c>
    </row>
    <row r="2294" spans="1:7" x14ac:dyDescent="0.25">
      <c r="A2294" s="1" t="s">
        <v>2417</v>
      </c>
      <c r="B2294" s="76">
        <v>35.373283000000001</v>
      </c>
      <c r="C2294" s="76">
        <v>35.600082</v>
      </c>
      <c r="D2294" s="76">
        <v>32.278576000000001</v>
      </c>
      <c r="E2294" s="76">
        <v>34.985531000000002</v>
      </c>
      <c r="F2294" s="76">
        <v>25.735240999999998</v>
      </c>
      <c r="G2294" s="79">
        <v>9402600</v>
      </c>
    </row>
    <row r="2295" spans="1:7" x14ac:dyDescent="0.25">
      <c r="A2295" s="1" t="s">
        <v>2418</v>
      </c>
      <c r="B2295" s="76">
        <v>34.670937000000002</v>
      </c>
      <c r="C2295" s="76">
        <v>34.963580999999998</v>
      </c>
      <c r="D2295" s="76">
        <v>31.042158000000001</v>
      </c>
      <c r="E2295" s="76">
        <v>31.305537999999999</v>
      </c>
      <c r="F2295" s="76">
        <v>23.028251999999998</v>
      </c>
      <c r="G2295" s="79">
        <v>11734400</v>
      </c>
    </row>
    <row r="2296" spans="1:7" x14ac:dyDescent="0.25">
      <c r="A2296" s="1" t="s">
        <v>2419</v>
      </c>
      <c r="B2296" s="76">
        <v>29.498464999999999</v>
      </c>
      <c r="C2296" s="76">
        <v>30.244705</v>
      </c>
      <c r="D2296" s="76">
        <v>27.567017</v>
      </c>
      <c r="E2296" s="76">
        <v>27.910872999999999</v>
      </c>
      <c r="F2296" s="76">
        <v>20.531151000000001</v>
      </c>
      <c r="G2296" s="79">
        <v>12555200</v>
      </c>
    </row>
    <row r="2297" spans="1:7" x14ac:dyDescent="0.25">
      <c r="A2297" s="1" t="s">
        <v>2420</v>
      </c>
      <c r="B2297" s="76">
        <v>28.32789</v>
      </c>
      <c r="C2297" s="76">
        <v>28.964390000000002</v>
      </c>
      <c r="D2297" s="76">
        <v>26.396441999999901</v>
      </c>
      <c r="E2297" s="76">
        <v>28.518108000000002</v>
      </c>
      <c r="F2297" s="76">
        <v>20.977826999999898</v>
      </c>
      <c r="G2297" s="79">
        <v>9711900</v>
      </c>
    </row>
    <row r="2298" spans="1:7" x14ac:dyDescent="0.25">
      <c r="A2298" s="1" t="s">
        <v>2421</v>
      </c>
      <c r="B2298" s="76">
        <v>29.118027000000001</v>
      </c>
      <c r="C2298" s="76">
        <v>29.432618999999999</v>
      </c>
      <c r="D2298" s="76">
        <v>27.018310999999901</v>
      </c>
      <c r="E2298" s="76">
        <v>27.41338</v>
      </c>
      <c r="F2298" s="76">
        <v>20.165195000000001</v>
      </c>
      <c r="G2298" s="79">
        <v>7723500</v>
      </c>
    </row>
    <row r="2299" spans="1:7" x14ac:dyDescent="0.25">
      <c r="A2299" s="1" t="s">
        <v>2422</v>
      </c>
      <c r="B2299" s="76">
        <v>26.491551999999999</v>
      </c>
      <c r="C2299" s="76">
        <v>30.120331</v>
      </c>
      <c r="D2299" s="76">
        <v>26.016006000000001</v>
      </c>
      <c r="E2299" s="76">
        <v>29.659417999999999</v>
      </c>
      <c r="F2299" s="76">
        <v>21.817373</v>
      </c>
      <c r="G2299" s="79">
        <v>9527700</v>
      </c>
    </row>
    <row r="2300" spans="1:7" x14ac:dyDescent="0.25">
      <c r="A2300" s="1" t="s">
        <v>2423</v>
      </c>
      <c r="B2300" s="76">
        <v>30.186176</v>
      </c>
      <c r="C2300" s="76">
        <v>30.186176</v>
      </c>
      <c r="D2300" s="76">
        <v>26.579346000000001</v>
      </c>
      <c r="E2300" s="76">
        <v>26.696403999999902</v>
      </c>
      <c r="F2300" s="76">
        <v>19.637786999999999</v>
      </c>
      <c r="G2300" s="79">
        <v>8366100</v>
      </c>
    </row>
    <row r="2301" spans="1:7" x14ac:dyDescent="0.25">
      <c r="A2301" s="1" t="s">
        <v>2424</v>
      </c>
      <c r="B2301" s="76">
        <v>26.725665999999901</v>
      </c>
      <c r="C2301" s="76">
        <v>28.166937000000001</v>
      </c>
      <c r="D2301" s="76">
        <v>24.669846</v>
      </c>
      <c r="E2301" s="76">
        <v>27.632861999999999</v>
      </c>
      <c r="F2301" s="76">
        <v>20.326649</v>
      </c>
      <c r="G2301" s="79">
        <v>13258400</v>
      </c>
    </row>
    <row r="2302" spans="1:7" x14ac:dyDescent="0.25">
      <c r="A2302" s="1" t="s">
        <v>2425</v>
      </c>
      <c r="B2302" s="76">
        <v>27.318269999999998</v>
      </c>
      <c r="C2302" s="76">
        <v>28.781488</v>
      </c>
      <c r="D2302" s="76">
        <v>25.737995000000002</v>
      </c>
      <c r="E2302" s="76">
        <v>27.41338</v>
      </c>
      <c r="F2302" s="76">
        <v>20.165195000000001</v>
      </c>
      <c r="G2302" s="79">
        <v>12276700</v>
      </c>
    </row>
    <row r="2303" spans="1:7" x14ac:dyDescent="0.25">
      <c r="A2303" s="1" t="s">
        <v>2426</v>
      </c>
      <c r="B2303" s="76">
        <v>27.1207349999999</v>
      </c>
      <c r="C2303" s="76">
        <v>27.918189999999999</v>
      </c>
      <c r="D2303" s="76">
        <v>25.277082</v>
      </c>
      <c r="E2303" s="76">
        <v>25.481932</v>
      </c>
      <c r="F2303" s="76">
        <v>18.744430999999999</v>
      </c>
      <c r="G2303" s="79">
        <v>12063800</v>
      </c>
    </row>
    <row r="2304" spans="1:7" x14ac:dyDescent="0.25">
      <c r="A2304" s="1" t="s">
        <v>2427</v>
      </c>
      <c r="B2304" s="76">
        <v>24.706426999999898</v>
      </c>
      <c r="C2304" s="76">
        <v>25.781891000000002</v>
      </c>
      <c r="D2304" s="76">
        <v>23.696805999999999</v>
      </c>
      <c r="E2304" s="76">
        <v>23.945553</v>
      </c>
      <c r="F2304" s="76">
        <v>17.614273000000001</v>
      </c>
      <c r="G2304" s="79">
        <v>13453400</v>
      </c>
    </row>
    <row r="2305" spans="1:7" x14ac:dyDescent="0.25">
      <c r="A2305" s="1" t="s">
        <v>2428</v>
      </c>
      <c r="B2305" s="76">
        <v>23.433427999999999</v>
      </c>
      <c r="C2305" s="76">
        <v>23.521221000000001</v>
      </c>
      <c r="D2305" s="76">
        <v>21.765360000000001</v>
      </c>
      <c r="E2305" s="76">
        <v>22.043371</v>
      </c>
      <c r="F2305" s="76">
        <v>16.215029000000001</v>
      </c>
      <c r="G2305" s="79">
        <v>12559800</v>
      </c>
    </row>
    <row r="2306" spans="1:7" x14ac:dyDescent="0.25">
      <c r="A2306" s="1" t="s">
        <v>2429</v>
      </c>
      <c r="B2306" s="76">
        <v>22.855457000000001</v>
      </c>
      <c r="C2306" s="76">
        <v>24.355255</v>
      </c>
      <c r="D2306" s="76">
        <v>21.011803</v>
      </c>
      <c r="E2306" s="76">
        <v>23.170048000000001</v>
      </c>
      <c r="F2306" s="76">
        <v>17.043814000000001</v>
      </c>
      <c r="G2306" s="79">
        <v>15822500</v>
      </c>
    </row>
    <row r="2307" spans="1:7" x14ac:dyDescent="0.25">
      <c r="A2307" s="1" t="s">
        <v>2430</v>
      </c>
      <c r="B2307" s="76">
        <v>23.887025999999999</v>
      </c>
      <c r="C2307" s="76">
        <v>24.252828999999998</v>
      </c>
      <c r="D2307" s="76">
        <v>22.233588999999998</v>
      </c>
      <c r="E2307" s="76">
        <v>22.994463</v>
      </c>
      <c r="F2307" s="76">
        <v>16.914653999999999</v>
      </c>
      <c r="G2307" s="79">
        <v>10084400</v>
      </c>
    </row>
    <row r="2308" spans="1:7" x14ac:dyDescent="0.25">
      <c r="A2308" s="1" t="s">
        <v>2431</v>
      </c>
      <c r="B2308" s="76">
        <v>22.336013999999999</v>
      </c>
      <c r="C2308" s="76">
        <v>22.518916999999998</v>
      </c>
      <c r="D2308" s="76">
        <v>20.763055999999999</v>
      </c>
      <c r="E2308" s="76">
        <v>21.180073</v>
      </c>
      <c r="F2308" s="76">
        <v>15.579992000000001</v>
      </c>
      <c r="G2308" s="79">
        <v>10947500</v>
      </c>
    </row>
    <row r="2309" spans="1:7" x14ac:dyDescent="0.25">
      <c r="A2309" s="1" t="s">
        <v>2432</v>
      </c>
      <c r="B2309" s="76">
        <v>21.487348999999998</v>
      </c>
      <c r="C2309" s="76">
        <v>21.582457999999999</v>
      </c>
      <c r="D2309" s="76">
        <v>19.760752</v>
      </c>
      <c r="E2309" s="76">
        <v>21.443453000000002</v>
      </c>
      <c r="F2309" s="76">
        <v>15.773733999999999</v>
      </c>
      <c r="G2309" s="79">
        <v>14041900</v>
      </c>
    </row>
    <row r="2310" spans="1:7" x14ac:dyDescent="0.25">
      <c r="A2310" s="1" t="s">
        <v>2433</v>
      </c>
      <c r="B2310" s="76">
        <v>21.33371</v>
      </c>
      <c r="C2310" s="76">
        <v>21.911681999999999</v>
      </c>
      <c r="D2310" s="76">
        <v>20.419198999999999</v>
      </c>
      <c r="E2310" s="76">
        <v>21.670249999999999</v>
      </c>
      <c r="F2310" s="76">
        <v>15.940567</v>
      </c>
      <c r="G2310" s="79">
        <v>10574500</v>
      </c>
    </row>
    <row r="2311" spans="1:7" x14ac:dyDescent="0.25">
      <c r="A2311" s="1" t="s">
        <v>2434</v>
      </c>
      <c r="B2311" s="76">
        <v>22.511600000000001</v>
      </c>
      <c r="C2311" s="76">
        <v>26.476918999999999</v>
      </c>
      <c r="D2311" s="76">
        <v>22.175059999999998</v>
      </c>
      <c r="E2311" s="76">
        <v>26.476918999999999</v>
      </c>
      <c r="F2311" s="76">
        <v>19.476336</v>
      </c>
      <c r="G2311" s="79">
        <v>18119000</v>
      </c>
    </row>
    <row r="2312" spans="1:7" x14ac:dyDescent="0.25">
      <c r="A2312" s="1" t="s">
        <v>2435</v>
      </c>
      <c r="B2312" s="76">
        <v>26.857357</v>
      </c>
      <c r="C2312" s="76">
        <v>26.901253000000001</v>
      </c>
      <c r="D2312" s="76">
        <v>25.211237000000001</v>
      </c>
      <c r="E2312" s="76">
        <v>25.979424999999999</v>
      </c>
      <c r="F2312" s="76">
        <v>19.110379999999999</v>
      </c>
      <c r="G2312" s="79">
        <v>12551800</v>
      </c>
    </row>
    <row r="2313" spans="1:7" x14ac:dyDescent="0.25">
      <c r="A2313" s="1" t="s">
        <v>2436</v>
      </c>
      <c r="B2313" s="76">
        <v>25.950160999999898</v>
      </c>
      <c r="C2313" s="76">
        <v>28.701009999999901</v>
      </c>
      <c r="D2313" s="76">
        <v>25.562407999999898</v>
      </c>
      <c r="E2313" s="76">
        <v>28.554689</v>
      </c>
      <c r="F2313" s="76">
        <v>21.004735999999902</v>
      </c>
      <c r="G2313" s="79">
        <v>11203500</v>
      </c>
    </row>
    <row r="2314" spans="1:7" x14ac:dyDescent="0.25">
      <c r="A2314" s="1" t="s">
        <v>2437</v>
      </c>
      <c r="B2314" s="76">
        <v>28.32789</v>
      </c>
      <c r="C2314" s="76">
        <v>28.679061999999998</v>
      </c>
      <c r="D2314" s="76">
        <v>26.484235999999999</v>
      </c>
      <c r="E2314" s="76">
        <v>27.332903000000002</v>
      </c>
      <c r="F2314" s="76">
        <v>20.106000999999999</v>
      </c>
      <c r="G2314" s="79">
        <v>7655300</v>
      </c>
    </row>
    <row r="2315" spans="1:7" x14ac:dyDescent="0.25">
      <c r="A2315" s="1" t="s">
        <v>2438</v>
      </c>
      <c r="B2315" s="76">
        <v>27.779184000000001</v>
      </c>
      <c r="C2315" s="76">
        <v>28.174251999999999</v>
      </c>
      <c r="D2315" s="76">
        <v>25.050283</v>
      </c>
      <c r="E2315" s="76">
        <v>25.379507</v>
      </c>
      <c r="F2315" s="76">
        <v>18.669080999999998</v>
      </c>
      <c r="G2315" s="79">
        <v>10141800</v>
      </c>
    </row>
    <row r="2316" spans="1:7" x14ac:dyDescent="0.25">
      <c r="A2316" s="1" t="s">
        <v>2439</v>
      </c>
      <c r="B2316" s="76">
        <v>25.094179</v>
      </c>
      <c r="C2316" s="76">
        <v>27.435327999999998</v>
      </c>
      <c r="D2316" s="76">
        <v>24.772272000000001</v>
      </c>
      <c r="E2316" s="76">
        <v>27.398745999999999</v>
      </c>
      <c r="F2316" s="76">
        <v>20.154427999999999</v>
      </c>
      <c r="G2316" s="79">
        <v>10149200</v>
      </c>
    </row>
    <row r="2317" spans="1:7" x14ac:dyDescent="0.25">
      <c r="A2317" s="1" t="s">
        <v>2440</v>
      </c>
      <c r="B2317" s="76">
        <v>26.586659999999998</v>
      </c>
      <c r="C2317" s="76">
        <v>29.322877999999999</v>
      </c>
      <c r="D2317" s="76">
        <v>25.613620999999998</v>
      </c>
      <c r="E2317" s="76">
        <v>28.810751</v>
      </c>
      <c r="F2317" s="76">
        <v>21.193100000000001</v>
      </c>
      <c r="G2317" s="79">
        <v>11947300</v>
      </c>
    </row>
    <row r="2318" spans="1:7" x14ac:dyDescent="0.25">
      <c r="A2318" s="1" t="s">
        <v>2441</v>
      </c>
      <c r="B2318" s="76">
        <v>29.205819999999999</v>
      </c>
      <c r="C2318" s="76">
        <v>29.417988000000001</v>
      </c>
      <c r="D2318" s="76">
        <v>26.703717999999999</v>
      </c>
      <c r="E2318" s="76">
        <v>27.040258000000001</v>
      </c>
      <c r="F2318" s="76">
        <v>19.890729999999898</v>
      </c>
      <c r="G2318" s="79">
        <v>9004900</v>
      </c>
    </row>
    <row r="2319" spans="1:7" x14ac:dyDescent="0.25">
      <c r="A2319" s="1" t="s">
        <v>2442</v>
      </c>
      <c r="B2319" s="76">
        <v>26.828092999999999</v>
      </c>
      <c r="C2319" s="76">
        <v>26.828092999999999</v>
      </c>
      <c r="D2319" s="76">
        <v>23.506588000000001</v>
      </c>
      <c r="E2319" s="76">
        <v>23.579750000000001</v>
      </c>
      <c r="F2319" s="76">
        <v>17.345185999999899</v>
      </c>
      <c r="G2319" s="79">
        <v>11216100</v>
      </c>
    </row>
    <row r="2320" spans="1:7" x14ac:dyDescent="0.25">
      <c r="A2320" s="1" t="s">
        <v>2443</v>
      </c>
      <c r="B2320" s="76">
        <v>24.552789999999899</v>
      </c>
      <c r="C2320" s="76">
        <v>27.1719469999999</v>
      </c>
      <c r="D2320" s="76">
        <v>24.245514</v>
      </c>
      <c r="E2320" s="76">
        <v>26.937833999999999</v>
      </c>
      <c r="F2320" s="76">
        <v>19.815383999999899</v>
      </c>
      <c r="G2320" s="79">
        <v>16671700</v>
      </c>
    </row>
    <row r="2321" spans="1:7" x14ac:dyDescent="0.25">
      <c r="A2321" s="1" t="s">
        <v>2444</v>
      </c>
      <c r="B2321" s="76">
        <v>26.359863000000001</v>
      </c>
      <c r="C2321" s="76">
        <v>27.984034000000001</v>
      </c>
      <c r="D2321" s="76">
        <v>25.130759999999999</v>
      </c>
      <c r="E2321" s="76">
        <v>25.723364</v>
      </c>
      <c r="F2321" s="76">
        <v>18.922024</v>
      </c>
      <c r="G2321" s="79">
        <v>10819400</v>
      </c>
    </row>
    <row r="2322" spans="1:7" x14ac:dyDescent="0.25">
      <c r="A2322" s="1" t="s">
        <v>2445</v>
      </c>
      <c r="B2322" s="76">
        <v>26.294017999999902</v>
      </c>
      <c r="C2322" s="76">
        <v>26.418391999999901</v>
      </c>
      <c r="D2322" s="76">
        <v>23.265158</v>
      </c>
      <c r="E2322" s="76">
        <v>24.882013000000001</v>
      </c>
      <c r="F2322" s="76">
        <v>18.303128999999998</v>
      </c>
      <c r="G2322" s="79">
        <v>13029800</v>
      </c>
    </row>
    <row r="2323" spans="1:7" x14ac:dyDescent="0.25">
      <c r="A2323" s="1" t="s">
        <v>2446</v>
      </c>
      <c r="B2323" s="76">
        <v>25.320978</v>
      </c>
      <c r="C2323" s="76">
        <v>26.608609999999999</v>
      </c>
      <c r="D2323" s="76">
        <v>23.835812000000001</v>
      </c>
      <c r="E2323" s="76">
        <v>26.447654999999902</v>
      </c>
      <c r="F2323" s="76">
        <v>19.454813000000001</v>
      </c>
      <c r="G2323" s="79">
        <v>10813600</v>
      </c>
    </row>
    <row r="2324" spans="1:7" x14ac:dyDescent="0.25">
      <c r="A2324" s="1" t="s">
        <v>2447</v>
      </c>
      <c r="B2324" s="76">
        <v>25.511195999999899</v>
      </c>
      <c r="C2324" s="76">
        <v>26.096482999999999</v>
      </c>
      <c r="D2324" s="76">
        <v>24.882013000000001</v>
      </c>
      <c r="E2324" s="76">
        <v>25.320978</v>
      </c>
      <c r="F2324" s="76">
        <v>18.626031999999999</v>
      </c>
      <c r="G2324" s="79">
        <v>7352700</v>
      </c>
    </row>
    <row r="2325" spans="1:7" x14ac:dyDescent="0.25">
      <c r="A2325" s="1" t="s">
        <v>2448</v>
      </c>
      <c r="B2325" s="76">
        <v>24.106507999999899</v>
      </c>
      <c r="C2325" s="76">
        <v>24.611319000000002</v>
      </c>
      <c r="D2325" s="76">
        <v>22.723766000000001</v>
      </c>
      <c r="E2325" s="76">
        <v>22.833507999999998</v>
      </c>
      <c r="F2325" s="76">
        <v>16.796249</v>
      </c>
      <c r="G2325" s="79">
        <v>7365300</v>
      </c>
    </row>
    <row r="2326" spans="1:7" x14ac:dyDescent="0.25">
      <c r="A2326" s="1" t="s">
        <v>2449</v>
      </c>
      <c r="B2326" s="76">
        <v>23.118835000000001</v>
      </c>
      <c r="C2326" s="76">
        <v>24.706426999999898</v>
      </c>
      <c r="D2326" s="76">
        <v>22.943251</v>
      </c>
      <c r="E2326" s="76">
        <v>24.318673999999898</v>
      </c>
      <c r="F2326" s="76">
        <v>17.888739000000001</v>
      </c>
      <c r="G2326" s="79">
        <v>11341400</v>
      </c>
    </row>
    <row r="2327" spans="1:7" x14ac:dyDescent="0.25">
      <c r="A2327" s="1" t="s">
        <v>2450</v>
      </c>
      <c r="B2327" s="76">
        <v>23.652909999999999</v>
      </c>
      <c r="C2327" s="76">
        <v>25.050283</v>
      </c>
      <c r="D2327" s="76">
        <v>23.411479999999901</v>
      </c>
      <c r="E2327" s="76">
        <v>24.647898000000001</v>
      </c>
      <c r="F2327" s="76">
        <v>18.130917</v>
      </c>
      <c r="G2327" s="79">
        <v>7548400</v>
      </c>
    </row>
    <row r="2328" spans="1:7" x14ac:dyDescent="0.25">
      <c r="A2328" s="1" t="s">
        <v>2451</v>
      </c>
      <c r="B2328" s="76">
        <v>25.467300000000002</v>
      </c>
      <c r="C2328" s="76">
        <v>26.886621000000002</v>
      </c>
      <c r="D2328" s="76">
        <v>25.028335999999999</v>
      </c>
      <c r="E2328" s="76">
        <v>26.272069999999999</v>
      </c>
      <c r="F2328" s="76">
        <v>19.325652999999999</v>
      </c>
      <c r="G2328" s="79">
        <v>10945000</v>
      </c>
    </row>
    <row r="2329" spans="1:7" x14ac:dyDescent="0.25">
      <c r="A2329" s="1" t="s">
        <v>2452</v>
      </c>
      <c r="B2329" s="76">
        <v>25.803840999999998</v>
      </c>
      <c r="C2329" s="76">
        <v>29.783790999999901</v>
      </c>
      <c r="D2329" s="76">
        <v>25.752625999999999</v>
      </c>
      <c r="E2329" s="76">
        <v>29.747211</v>
      </c>
      <c r="F2329" s="76">
        <v>21.881951999999998</v>
      </c>
      <c r="G2329" s="79">
        <v>14275500</v>
      </c>
    </row>
    <row r="2330" spans="1:7" x14ac:dyDescent="0.25">
      <c r="A2330" s="1" t="s">
        <v>2453</v>
      </c>
      <c r="B2330" s="76">
        <v>28.759539</v>
      </c>
      <c r="C2330" s="76">
        <v>29.659417999999999</v>
      </c>
      <c r="D2330" s="76">
        <v>27.559699999999999</v>
      </c>
      <c r="E2330" s="76">
        <v>29.015602000000001</v>
      </c>
      <c r="F2330" s="76">
        <v>21.343783999999999</v>
      </c>
      <c r="G2330" s="79">
        <v>10500300</v>
      </c>
    </row>
    <row r="2331" spans="1:7" x14ac:dyDescent="0.25">
      <c r="A2331" s="1" t="s">
        <v>2454</v>
      </c>
      <c r="B2331" s="76">
        <v>27.925504999999902</v>
      </c>
      <c r="C2331" s="76">
        <v>28.115722999999999</v>
      </c>
      <c r="D2331" s="76">
        <v>25.628253999999998</v>
      </c>
      <c r="E2331" s="76">
        <v>25.686782999999998</v>
      </c>
      <c r="F2331" s="76">
        <v>18.895115000000001</v>
      </c>
      <c r="G2331" s="79">
        <v>9394300</v>
      </c>
    </row>
    <row r="2332" spans="1:7" x14ac:dyDescent="0.25">
      <c r="A2332" s="1" t="s">
        <v>2455</v>
      </c>
      <c r="B2332" s="76">
        <v>26.111115999999999</v>
      </c>
      <c r="C2332" s="76">
        <v>26.652505999999999</v>
      </c>
      <c r="D2332" s="76">
        <v>25.335608999999899</v>
      </c>
      <c r="E2332" s="76">
        <v>26.096482999999999</v>
      </c>
      <c r="F2332" s="76">
        <v>19.196493</v>
      </c>
      <c r="G2332" s="79">
        <v>7915800</v>
      </c>
    </row>
    <row r="2333" spans="1:7" x14ac:dyDescent="0.25">
      <c r="A2333" s="1" t="s">
        <v>2456</v>
      </c>
      <c r="B2333" s="76">
        <v>27.230475999999999</v>
      </c>
      <c r="C2333" s="76">
        <v>30.822676000000001</v>
      </c>
      <c r="D2333" s="76">
        <v>26.959782000000001</v>
      </c>
      <c r="E2333" s="76">
        <v>30.5154</v>
      </c>
      <c r="F2333" s="76">
        <v>22.447029000000001</v>
      </c>
      <c r="G2333" s="79">
        <v>12933200</v>
      </c>
    </row>
    <row r="2334" spans="1:7" x14ac:dyDescent="0.25">
      <c r="A2334" s="1" t="s">
        <v>2457</v>
      </c>
      <c r="B2334" s="76">
        <v>29.498464999999999</v>
      </c>
      <c r="C2334" s="76">
        <v>31.561599999999999</v>
      </c>
      <c r="D2334" s="76">
        <v>28.913177000000001</v>
      </c>
      <c r="E2334" s="76">
        <v>30.764146999999902</v>
      </c>
      <c r="F2334" s="76">
        <v>22.630011</v>
      </c>
      <c r="G2334" s="79">
        <v>9101100</v>
      </c>
    </row>
    <row r="2335" spans="1:7" x14ac:dyDescent="0.25">
      <c r="A2335" s="1" t="s">
        <v>2458</v>
      </c>
      <c r="B2335" s="76">
        <v>29.937428999999899</v>
      </c>
      <c r="C2335" s="76">
        <v>30.420292</v>
      </c>
      <c r="D2335" s="76">
        <v>27.252426</v>
      </c>
      <c r="E2335" s="76">
        <v>27.479222999999902</v>
      </c>
      <c r="F2335" s="76">
        <v>20.213629000000001</v>
      </c>
      <c r="G2335" s="79">
        <v>11571100</v>
      </c>
    </row>
    <row r="2336" spans="1:7" x14ac:dyDescent="0.25">
      <c r="A2336" s="1" t="s">
        <v>2459</v>
      </c>
      <c r="B2336" s="76">
        <v>26.915885999999901</v>
      </c>
      <c r="C2336" s="76">
        <v>30.303234</v>
      </c>
      <c r="D2336" s="76">
        <v>26.776879999999998</v>
      </c>
      <c r="E2336" s="76">
        <v>30.186176</v>
      </c>
      <c r="F2336" s="76">
        <v>22.204853</v>
      </c>
      <c r="G2336" s="79">
        <v>11223300</v>
      </c>
    </row>
    <row r="2337" spans="1:7" x14ac:dyDescent="0.25">
      <c r="A2337" s="1" t="s">
        <v>2460</v>
      </c>
      <c r="B2337" s="76">
        <v>29.710629999999998</v>
      </c>
      <c r="C2337" s="76">
        <v>32.651699000000001</v>
      </c>
      <c r="D2337" s="76">
        <v>28.5985849999999</v>
      </c>
      <c r="E2337" s="76">
        <v>31.327485999999901</v>
      </c>
      <c r="F2337" s="76">
        <v>23.044397</v>
      </c>
      <c r="G2337" s="79">
        <v>9963800</v>
      </c>
    </row>
    <row r="2338" spans="1:7" x14ac:dyDescent="0.25">
      <c r="A2338" s="1" t="s">
        <v>2461</v>
      </c>
      <c r="B2338" s="76">
        <v>31.268957</v>
      </c>
      <c r="C2338" s="76">
        <v>34.451453999999998</v>
      </c>
      <c r="D2338" s="76">
        <v>30.793410999999999</v>
      </c>
      <c r="E2338" s="76">
        <v>33.661315999999999</v>
      </c>
      <c r="F2338" s="76">
        <v>24.761158000000002</v>
      </c>
      <c r="G2338" s="79">
        <v>13847300</v>
      </c>
    </row>
    <row r="2339" spans="1:7" x14ac:dyDescent="0.25">
      <c r="A2339" s="1" t="s">
        <v>2462</v>
      </c>
      <c r="B2339" s="76">
        <v>32.819969</v>
      </c>
      <c r="C2339" s="76">
        <v>32.900444</v>
      </c>
      <c r="D2339" s="76">
        <v>29.359459000000001</v>
      </c>
      <c r="E2339" s="76">
        <v>29.483830999999999</v>
      </c>
      <c r="F2339" s="76">
        <v>21.688210999999999</v>
      </c>
      <c r="G2339" s="79">
        <v>11854900</v>
      </c>
    </row>
    <row r="2340" spans="1:7" x14ac:dyDescent="0.25">
      <c r="A2340" s="1" t="s">
        <v>2463</v>
      </c>
      <c r="B2340" s="76">
        <v>28.832701</v>
      </c>
      <c r="C2340" s="76">
        <v>34.385609000000002</v>
      </c>
      <c r="D2340" s="76">
        <v>28.6497969999999</v>
      </c>
      <c r="E2340" s="76">
        <v>34.385609000000002</v>
      </c>
      <c r="F2340" s="76">
        <v>25.293945000000001</v>
      </c>
      <c r="G2340" s="79">
        <v>13928900</v>
      </c>
    </row>
    <row r="2341" spans="1:7" x14ac:dyDescent="0.25">
      <c r="A2341" s="1" t="s">
        <v>2464</v>
      </c>
      <c r="B2341" s="76">
        <v>32.146889000000002</v>
      </c>
      <c r="C2341" s="76">
        <v>34.546565999999999</v>
      </c>
      <c r="D2341" s="76">
        <v>31.795715000000001</v>
      </c>
      <c r="E2341" s="76">
        <v>33.119926</v>
      </c>
      <c r="F2341" s="76">
        <v>24.362907</v>
      </c>
      <c r="G2341" s="79">
        <v>33638200</v>
      </c>
    </row>
    <row r="2342" spans="1:7" x14ac:dyDescent="0.25">
      <c r="A2342" s="1" t="s">
        <v>2465</v>
      </c>
      <c r="B2342" s="76">
        <v>33.807639999999999</v>
      </c>
      <c r="C2342" s="76">
        <v>34.385609000000002</v>
      </c>
      <c r="D2342" s="76">
        <v>32.556587</v>
      </c>
      <c r="E2342" s="76">
        <v>34.136864000000003</v>
      </c>
      <c r="F2342" s="76">
        <v>25.110966000000001</v>
      </c>
      <c r="G2342" s="79">
        <v>9873500</v>
      </c>
    </row>
    <row r="2343" spans="1:7" x14ac:dyDescent="0.25">
      <c r="A2343" s="1" t="s">
        <v>2466</v>
      </c>
      <c r="B2343" s="76">
        <v>34.385609000000002</v>
      </c>
      <c r="C2343" s="76">
        <v>36.551169999999999</v>
      </c>
      <c r="D2343" s="76">
        <v>33.266250999999997</v>
      </c>
      <c r="E2343" s="76">
        <v>35.695189999999997</v>
      </c>
      <c r="F2343" s="76">
        <v>26.257262999999998</v>
      </c>
      <c r="G2343" s="79">
        <v>13314900</v>
      </c>
    </row>
    <row r="2344" spans="1:7" x14ac:dyDescent="0.25">
      <c r="A2344" s="1" t="s">
        <v>2467</v>
      </c>
      <c r="B2344" s="76">
        <v>34.517299999999999</v>
      </c>
      <c r="C2344" s="76">
        <v>35.095271999999902</v>
      </c>
      <c r="D2344" s="76">
        <v>32.410266999999997</v>
      </c>
      <c r="E2344" s="76">
        <v>33.514995999999996</v>
      </c>
      <c r="F2344" s="76">
        <v>24.653523999999901</v>
      </c>
      <c r="G2344" s="79">
        <v>10974800</v>
      </c>
    </row>
    <row r="2345" spans="1:7" x14ac:dyDescent="0.25">
      <c r="A2345" s="1" t="s">
        <v>2468</v>
      </c>
      <c r="B2345" s="76">
        <v>32.717540999999997</v>
      </c>
      <c r="C2345" s="76">
        <v>34.978214000000001</v>
      </c>
      <c r="D2345" s="76">
        <v>32.629748999999997</v>
      </c>
      <c r="E2345" s="76">
        <v>34.188076000000002</v>
      </c>
      <c r="F2345" s="76">
        <v>25.148641999999999</v>
      </c>
      <c r="G2345" s="79">
        <v>7677800</v>
      </c>
    </row>
    <row r="2346" spans="1:7" x14ac:dyDescent="0.25">
      <c r="A2346" s="1" t="s">
        <v>2469</v>
      </c>
      <c r="B2346" s="76">
        <v>34.319766999999999</v>
      </c>
      <c r="C2346" s="76">
        <v>36.126838999999997</v>
      </c>
      <c r="D2346" s="76">
        <v>33.814957</v>
      </c>
      <c r="E2346" s="76">
        <v>35.592765999999997</v>
      </c>
      <c r="F2346" s="76">
        <v>26.181926999999899</v>
      </c>
      <c r="G2346" s="79">
        <v>9531200</v>
      </c>
    </row>
    <row r="2347" spans="1:7" x14ac:dyDescent="0.25">
      <c r="A2347" s="1" t="s">
        <v>2470</v>
      </c>
      <c r="B2347" s="76">
        <v>36.317059</v>
      </c>
      <c r="C2347" s="76">
        <v>37.055981000000003</v>
      </c>
      <c r="D2347" s="76">
        <v>35.080638999999998</v>
      </c>
      <c r="E2347" s="76">
        <v>35.768352999999998</v>
      </c>
      <c r="F2347" s="76">
        <v>26.311087000000001</v>
      </c>
      <c r="G2347" s="79">
        <v>10592300</v>
      </c>
    </row>
    <row r="2348" spans="1:7" x14ac:dyDescent="0.25">
      <c r="A2348" s="1" t="s">
        <v>2471</v>
      </c>
      <c r="B2348" s="76">
        <v>35.468390999999997</v>
      </c>
      <c r="C2348" s="76">
        <v>35.768352999999998</v>
      </c>
      <c r="D2348" s="76">
        <v>34.275866999999998</v>
      </c>
      <c r="E2348" s="76">
        <v>34.773361000000001</v>
      </c>
      <c r="F2348" s="76">
        <v>25.579179999999901</v>
      </c>
      <c r="G2348" s="79">
        <v>8994700</v>
      </c>
    </row>
    <row r="2349" spans="1:7" x14ac:dyDescent="0.25">
      <c r="A2349" s="1" t="s">
        <v>2472</v>
      </c>
      <c r="B2349" s="76">
        <v>35.717135999999897</v>
      </c>
      <c r="C2349" s="76">
        <v>38.409458000000001</v>
      </c>
      <c r="D2349" s="76">
        <v>35.329383999999997</v>
      </c>
      <c r="E2349" s="76">
        <v>38.380195999999998</v>
      </c>
      <c r="F2349" s="76">
        <v>28.232346</v>
      </c>
      <c r="G2349" s="79">
        <v>9673600</v>
      </c>
    </row>
    <row r="2350" spans="1:7" x14ac:dyDescent="0.25">
      <c r="A2350" s="1" t="s">
        <v>2473</v>
      </c>
      <c r="B2350" s="76">
        <v>38.189976000000001</v>
      </c>
      <c r="C2350" s="76">
        <v>38.431407999999998</v>
      </c>
      <c r="D2350" s="76">
        <v>36.609698999999999</v>
      </c>
      <c r="E2350" s="76">
        <v>36.968189000000002</v>
      </c>
      <c r="F2350" s="76">
        <v>27.193681999999999</v>
      </c>
      <c r="G2350" s="79">
        <v>7537000</v>
      </c>
    </row>
    <row r="2351" spans="1:7" x14ac:dyDescent="0.25">
      <c r="A2351" s="1" t="s">
        <v>2474</v>
      </c>
      <c r="B2351" s="76">
        <v>37.619320000000002</v>
      </c>
      <c r="C2351" s="76">
        <v>39.506869999999999</v>
      </c>
      <c r="D2351" s="76">
        <v>37.370575000000002</v>
      </c>
      <c r="E2351" s="76">
        <v>39.404446</v>
      </c>
      <c r="F2351" s="76">
        <v>28.985785999999901</v>
      </c>
      <c r="G2351" s="79">
        <v>8618400</v>
      </c>
    </row>
    <row r="2352" spans="1:7" x14ac:dyDescent="0.25">
      <c r="A2352" s="1" t="s">
        <v>2475</v>
      </c>
      <c r="B2352" s="76">
        <v>39.506869999999999</v>
      </c>
      <c r="C2352" s="76">
        <v>39.506869999999999</v>
      </c>
      <c r="D2352" s="76">
        <v>34.180759000000002</v>
      </c>
      <c r="E2352" s="76">
        <v>35.080638999999998</v>
      </c>
      <c r="F2352" s="76">
        <v>26.300353999999999</v>
      </c>
      <c r="G2352" s="79">
        <v>10843400</v>
      </c>
    </row>
    <row r="2353" spans="1:7" x14ac:dyDescent="0.25">
      <c r="A2353" s="1" t="s">
        <v>2476</v>
      </c>
      <c r="B2353" s="76">
        <v>36.346321000000003</v>
      </c>
      <c r="C2353" s="76">
        <v>38.007071999999901</v>
      </c>
      <c r="D2353" s="76">
        <v>35.153801000000001</v>
      </c>
      <c r="E2353" s="76">
        <v>37.919280999999998</v>
      </c>
      <c r="F2353" s="76">
        <v>28.428512999999999</v>
      </c>
      <c r="G2353" s="79">
        <v>9411200</v>
      </c>
    </row>
    <row r="2354" spans="1:7" x14ac:dyDescent="0.25">
      <c r="A2354" s="1" t="s">
        <v>2477</v>
      </c>
      <c r="B2354" s="76">
        <v>36.887710999999904</v>
      </c>
      <c r="C2354" s="76">
        <v>37.290095999999998</v>
      </c>
      <c r="D2354" s="76">
        <v>35.987834999999997</v>
      </c>
      <c r="E2354" s="76">
        <v>36.119521999999897</v>
      </c>
      <c r="F2354" s="76">
        <v>27.079214</v>
      </c>
      <c r="G2354" s="79">
        <v>6801600</v>
      </c>
    </row>
    <row r="2355" spans="1:7" x14ac:dyDescent="0.25">
      <c r="A2355" s="1" t="s">
        <v>2478</v>
      </c>
      <c r="B2355" s="76">
        <v>36.536541</v>
      </c>
      <c r="C2355" s="76">
        <v>37.034034999999903</v>
      </c>
      <c r="D2355" s="76">
        <v>33.514995999999996</v>
      </c>
      <c r="E2355" s="76">
        <v>34.736781999999998</v>
      </c>
      <c r="F2355" s="76">
        <v>26.042555</v>
      </c>
      <c r="G2355" s="79">
        <v>8172700</v>
      </c>
    </row>
    <row r="2356" spans="1:7" x14ac:dyDescent="0.25">
      <c r="A2356" s="1" t="s">
        <v>2479</v>
      </c>
      <c r="B2356" s="76">
        <v>33.997855999999999</v>
      </c>
      <c r="C2356" s="76">
        <v>33.997855999999999</v>
      </c>
      <c r="D2356" s="76">
        <v>31.795715000000001</v>
      </c>
      <c r="E2356" s="76">
        <v>32.190784000000001</v>
      </c>
      <c r="F2356" s="76">
        <v>24.133793000000001</v>
      </c>
      <c r="G2356" s="79">
        <v>9899600</v>
      </c>
    </row>
    <row r="2357" spans="1:7" x14ac:dyDescent="0.25">
      <c r="A2357" s="1" t="s">
        <v>2480</v>
      </c>
      <c r="B2357" s="76">
        <v>32.132255999999998</v>
      </c>
      <c r="C2357" s="76">
        <v>33.727160999999903</v>
      </c>
      <c r="D2357" s="76">
        <v>30.947050000000001</v>
      </c>
      <c r="E2357" s="76">
        <v>33.288196999999997</v>
      </c>
      <c r="F2357" s="76">
        <v>24.956538999999999</v>
      </c>
      <c r="G2357" s="79">
        <v>7950300</v>
      </c>
    </row>
    <row r="2358" spans="1:7" x14ac:dyDescent="0.25">
      <c r="A2358" s="1" t="s">
        <v>2481</v>
      </c>
      <c r="B2358" s="76">
        <v>33.149192999999997</v>
      </c>
      <c r="C2358" s="76">
        <v>33.449150000000003</v>
      </c>
      <c r="D2358" s="76">
        <v>31.737185999999902</v>
      </c>
      <c r="E2358" s="76">
        <v>32.439529</v>
      </c>
      <c r="F2358" s="76">
        <v>24.320281999999999</v>
      </c>
      <c r="G2358" s="79">
        <v>9182600</v>
      </c>
    </row>
    <row r="2359" spans="1:7" x14ac:dyDescent="0.25">
      <c r="A2359" s="1" t="s">
        <v>2482</v>
      </c>
      <c r="B2359" s="76">
        <v>32.915076999999997</v>
      </c>
      <c r="C2359" s="76">
        <v>35.731769999999997</v>
      </c>
      <c r="D2359" s="76">
        <v>32.666328</v>
      </c>
      <c r="E2359" s="76">
        <v>35.519604000000001</v>
      </c>
      <c r="F2359" s="76">
        <v>26.629447999999901</v>
      </c>
      <c r="G2359" s="79">
        <v>8331600</v>
      </c>
    </row>
    <row r="2360" spans="1:7" x14ac:dyDescent="0.25">
      <c r="A2360" s="1" t="s">
        <v>2483</v>
      </c>
      <c r="B2360" s="76">
        <v>34.714835999999998</v>
      </c>
      <c r="C2360" s="76">
        <v>35.900039999999997</v>
      </c>
      <c r="D2360" s="76">
        <v>33.873486</v>
      </c>
      <c r="E2360" s="76">
        <v>34.795310999999998</v>
      </c>
      <c r="F2360" s="76">
        <v>26.086431999999999</v>
      </c>
      <c r="G2360" s="79">
        <v>5931900</v>
      </c>
    </row>
    <row r="2361" spans="1:7" x14ac:dyDescent="0.25">
      <c r="A2361" s="1" t="s">
        <v>2484</v>
      </c>
      <c r="B2361" s="76">
        <v>35.600082</v>
      </c>
      <c r="C2361" s="76">
        <v>36.463378999999897</v>
      </c>
      <c r="D2361" s="76">
        <v>33.822272999999903</v>
      </c>
      <c r="E2361" s="76">
        <v>33.990543000000002</v>
      </c>
      <c r="F2361" s="76">
        <v>25.483091000000002</v>
      </c>
      <c r="G2361" s="79">
        <v>6955400</v>
      </c>
    </row>
    <row r="2362" spans="1:7" x14ac:dyDescent="0.25">
      <c r="A2362" s="1" t="s">
        <v>2485</v>
      </c>
      <c r="B2362" s="76">
        <v>33.288196999999997</v>
      </c>
      <c r="C2362" s="76">
        <v>34.641674000000002</v>
      </c>
      <c r="D2362" s="76">
        <v>32.944339999999997</v>
      </c>
      <c r="E2362" s="76">
        <v>33.932014000000002</v>
      </c>
      <c r="F2362" s="76">
        <v>25.439215000000001</v>
      </c>
      <c r="G2362" s="79">
        <v>4926500</v>
      </c>
    </row>
    <row r="2363" spans="1:7" x14ac:dyDescent="0.25">
      <c r="A2363" s="1" t="s">
        <v>2486</v>
      </c>
      <c r="B2363" s="76">
        <v>33.939326999999999</v>
      </c>
      <c r="C2363" s="76">
        <v>34.356346000000002</v>
      </c>
      <c r="D2363" s="76">
        <v>32.841915</v>
      </c>
      <c r="E2363" s="76">
        <v>32.885810999999997</v>
      </c>
      <c r="F2363" s="76">
        <v>24.654859999999999</v>
      </c>
      <c r="G2363" s="79">
        <v>3760500</v>
      </c>
    </row>
    <row r="2364" spans="1:7" x14ac:dyDescent="0.25">
      <c r="A2364" s="1" t="s">
        <v>2487</v>
      </c>
      <c r="B2364" s="76">
        <v>32.988239</v>
      </c>
      <c r="C2364" s="76">
        <v>35.3367</v>
      </c>
      <c r="D2364" s="76">
        <v>32.490746000000001</v>
      </c>
      <c r="E2364" s="76">
        <v>35.058689000000001</v>
      </c>
      <c r="F2364" s="76">
        <v>26.283895000000001</v>
      </c>
      <c r="G2364" s="79">
        <v>7236600</v>
      </c>
    </row>
    <row r="2365" spans="1:7" x14ac:dyDescent="0.25">
      <c r="A2365" s="1" t="s">
        <v>2488</v>
      </c>
      <c r="B2365" s="76">
        <v>35.205013000000001</v>
      </c>
      <c r="C2365" s="76">
        <v>35.205013000000001</v>
      </c>
      <c r="D2365" s="76">
        <v>32.76144</v>
      </c>
      <c r="E2365" s="76">
        <v>33.010185</v>
      </c>
      <c r="F2365" s="76">
        <v>24.748107999999998</v>
      </c>
      <c r="G2365" s="79">
        <v>7818300</v>
      </c>
    </row>
    <row r="2366" spans="1:7" x14ac:dyDescent="0.25">
      <c r="A2366" s="1" t="s">
        <v>2489</v>
      </c>
      <c r="B2366" s="76">
        <v>33.573523999999999</v>
      </c>
      <c r="C2366" s="76">
        <v>34.166125999999998</v>
      </c>
      <c r="D2366" s="76">
        <v>32.359054999999998</v>
      </c>
      <c r="E2366" s="76">
        <v>34.056384999999999</v>
      </c>
      <c r="F2366" s="76">
        <v>25.532454999999999</v>
      </c>
      <c r="G2366" s="79">
        <v>5366600</v>
      </c>
    </row>
    <row r="2367" spans="1:7" x14ac:dyDescent="0.25">
      <c r="A2367" s="1" t="s">
        <v>2490</v>
      </c>
      <c r="B2367" s="76">
        <v>34.210025999999999</v>
      </c>
      <c r="C2367" s="76">
        <v>34.210025999999999</v>
      </c>
      <c r="D2367" s="76">
        <v>33.032134999999997</v>
      </c>
      <c r="E2367" s="76">
        <v>34.136864000000003</v>
      </c>
      <c r="F2367" s="76">
        <v>25.592789</v>
      </c>
      <c r="G2367" s="79">
        <v>7697100</v>
      </c>
    </row>
    <row r="2368" spans="1:7" x14ac:dyDescent="0.25">
      <c r="A2368" s="1" t="s">
        <v>2491</v>
      </c>
      <c r="B2368" s="76">
        <v>34.861156000000001</v>
      </c>
      <c r="C2368" s="76">
        <v>36.938927</v>
      </c>
      <c r="D2368" s="76">
        <v>34.253921999999903</v>
      </c>
      <c r="E2368" s="76">
        <v>35.885406000000003</v>
      </c>
      <c r="F2368" s="76">
        <v>26.903691999999999</v>
      </c>
      <c r="G2368" s="79">
        <v>7367400</v>
      </c>
    </row>
    <row r="2369" spans="1:7" x14ac:dyDescent="0.25">
      <c r="A2369" s="1" t="s">
        <v>2492</v>
      </c>
      <c r="B2369" s="76">
        <v>35.578133000000001</v>
      </c>
      <c r="C2369" s="76">
        <v>36.163418</v>
      </c>
      <c r="D2369" s="76">
        <v>35.066006000000002</v>
      </c>
      <c r="E2369" s="76">
        <v>35.314754000000001</v>
      </c>
      <c r="F2369" s="76">
        <v>26.475871999999999</v>
      </c>
      <c r="G2369" s="79">
        <v>5525200</v>
      </c>
    </row>
    <row r="2370" spans="1:7" x14ac:dyDescent="0.25">
      <c r="A2370" s="1" t="s">
        <v>2493</v>
      </c>
      <c r="B2370" s="76">
        <v>34.992846999999998</v>
      </c>
      <c r="C2370" s="76">
        <v>35.695189999999997</v>
      </c>
      <c r="D2370" s="76">
        <v>34.451453999999998</v>
      </c>
      <c r="E2370" s="76">
        <v>35.109901000000001</v>
      </c>
      <c r="F2370" s="76">
        <v>26.322289999999999</v>
      </c>
      <c r="G2370" s="79">
        <v>4869000</v>
      </c>
    </row>
    <row r="2371" spans="1:7" x14ac:dyDescent="0.25">
      <c r="A2371" s="1" t="s">
        <v>2494</v>
      </c>
      <c r="B2371" s="76">
        <v>35.775664999999996</v>
      </c>
      <c r="C2371" s="76">
        <v>37.275463000000002</v>
      </c>
      <c r="D2371" s="76">
        <v>34.180759000000002</v>
      </c>
      <c r="E2371" s="76">
        <v>36.734074</v>
      </c>
      <c r="F2371" s="76">
        <v>27.539950999999999</v>
      </c>
      <c r="G2371" s="79">
        <v>7153000</v>
      </c>
    </row>
    <row r="2372" spans="1:7" x14ac:dyDescent="0.25">
      <c r="A2372" s="1" t="s">
        <v>2495</v>
      </c>
      <c r="B2372" s="76">
        <v>37.231566999999998</v>
      </c>
      <c r="C2372" s="76">
        <v>37.487633000000002</v>
      </c>
      <c r="D2372" s="76">
        <v>35.307437999999998</v>
      </c>
      <c r="E2372" s="76">
        <v>35.651294999999998</v>
      </c>
      <c r="F2372" s="76">
        <v>26.728166999999999</v>
      </c>
      <c r="G2372" s="79">
        <v>5461600</v>
      </c>
    </row>
    <row r="2373" spans="1:7" x14ac:dyDescent="0.25">
      <c r="A2373" s="1" t="s">
        <v>2496</v>
      </c>
      <c r="B2373" s="76">
        <v>35.468390999999997</v>
      </c>
      <c r="C2373" s="76">
        <v>36.543858</v>
      </c>
      <c r="D2373" s="76">
        <v>35.300120999999997</v>
      </c>
      <c r="E2373" s="76">
        <v>36.141472</v>
      </c>
      <c r="F2373" s="76">
        <v>27.095670999999999</v>
      </c>
      <c r="G2373" s="79">
        <v>5704900</v>
      </c>
    </row>
    <row r="2374" spans="1:7" x14ac:dyDescent="0.25">
      <c r="A2374" s="1" t="s">
        <v>2497</v>
      </c>
      <c r="B2374" s="76">
        <v>36.573120000000003</v>
      </c>
      <c r="C2374" s="76">
        <v>36.624332000000003</v>
      </c>
      <c r="D2374" s="76">
        <v>35.687874000000001</v>
      </c>
      <c r="E2374" s="76">
        <v>36.353637999999997</v>
      </c>
      <c r="F2374" s="76">
        <v>27.254732000000001</v>
      </c>
      <c r="G2374" s="79">
        <v>3133600</v>
      </c>
    </row>
    <row r="2375" spans="1:7" x14ac:dyDescent="0.25">
      <c r="A2375" s="1" t="s">
        <v>2498</v>
      </c>
      <c r="B2375" s="76">
        <v>36.792603</v>
      </c>
      <c r="C2375" s="76">
        <v>36.807235999999897</v>
      </c>
      <c r="D2375" s="76">
        <v>34.407558000000002</v>
      </c>
      <c r="E2375" s="76">
        <v>35.365966999999998</v>
      </c>
      <c r="F2375" s="76">
        <v>26.514263</v>
      </c>
      <c r="G2375" s="79">
        <v>4997600</v>
      </c>
    </row>
    <row r="2376" spans="1:7" x14ac:dyDescent="0.25">
      <c r="A2376" s="1" t="s">
        <v>2499</v>
      </c>
      <c r="B2376" s="76">
        <v>35.131850999999997</v>
      </c>
      <c r="C2376" s="76">
        <v>35.483024999999998</v>
      </c>
      <c r="D2376" s="76">
        <v>33.946643999999999</v>
      </c>
      <c r="E2376" s="76">
        <v>34.092967999999999</v>
      </c>
      <c r="F2376" s="76">
        <v>25.559875000000002</v>
      </c>
      <c r="G2376" s="79">
        <v>4988900</v>
      </c>
    </row>
    <row r="2377" spans="1:7" x14ac:dyDescent="0.25">
      <c r="A2377" s="1" t="s">
        <v>2500</v>
      </c>
      <c r="B2377" s="76">
        <v>34.107596999999998</v>
      </c>
      <c r="C2377" s="76">
        <v>35.534236999999997</v>
      </c>
      <c r="D2377" s="76">
        <v>33.946643999999999</v>
      </c>
      <c r="E2377" s="76">
        <v>35.512287000000001</v>
      </c>
      <c r="F2377" s="76">
        <v>26.623964000000001</v>
      </c>
      <c r="G2377" s="79">
        <v>3680400</v>
      </c>
    </row>
    <row r="2378" spans="1:7" x14ac:dyDescent="0.25">
      <c r="A2378" s="1" t="s">
        <v>2501</v>
      </c>
      <c r="B2378" s="76">
        <v>34.575828999999999</v>
      </c>
      <c r="C2378" s="76">
        <v>35.117218000000001</v>
      </c>
      <c r="D2378" s="76">
        <v>33.544261999999897</v>
      </c>
      <c r="E2378" s="76">
        <v>33.873486</v>
      </c>
      <c r="F2378" s="76">
        <v>25.395329999999898</v>
      </c>
      <c r="G2378" s="79">
        <v>4845200</v>
      </c>
    </row>
    <row r="2379" spans="1:7" x14ac:dyDescent="0.25">
      <c r="A2379" s="1" t="s">
        <v>2502</v>
      </c>
      <c r="B2379" s="76">
        <v>34.546565999999999</v>
      </c>
      <c r="C2379" s="76">
        <v>34.546565999999999</v>
      </c>
      <c r="D2379" s="76">
        <v>32.432217000000001</v>
      </c>
      <c r="E2379" s="76">
        <v>33.054080999999996</v>
      </c>
      <c r="F2379" s="76">
        <v>24.781009999999998</v>
      </c>
      <c r="G2379" s="79">
        <v>4221300</v>
      </c>
    </row>
    <row r="2380" spans="1:7" x14ac:dyDescent="0.25">
      <c r="A2380" s="1" t="s">
        <v>2503</v>
      </c>
      <c r="B2380" s="76">
        <v>33.039451999999997</v>
      </c>
      <c r="C2380" s="76">
        <v>33.354042</v>
      </c>
      <c r="D2380" s="76">
        <v>31.612814</v>
      </c>
      <c r="E2380" s="76">
        <v>32.161518000000001</v>
      </c>
      <c r="F2380" s="76">
        <v>24.111857999999899</v>
      </c>
      <c r="G2380" s="79">
        <v>5541400</v>
      </c>
    </row>
    <row r="2381" spans="1:7" x14ac:dyDescent="0.25">
      <c r="A2381" s="1" t="s">
        <v>2504</v>
      </c>
      <c r="B2381" s="76">
        <v>32.395634000000001</v>
      </c>
      <c r="C2381" s="76">
        <v>32.944339999999997</v>
      </c>
      <c r="D2381" s="76">
        <v>32.051777000000001</v>
      </c>
      <c r="E2381" s="76">
        <v>32.841915</v>
      </c>
      <c r="F2381" s="76">
        <v>24.621953999999999</v>
      </c>
      <c r="G2381" s="79">
        <v>4123200</v>
      </c>
    </row>
    <row r="2382" spans="1:7" x14ac:dyDescent="0.25">
      <c r="A2382" s="1" t="s">
        <v>2505</v>
      </c>
      <c r="B2382" s="76">
        <v>33.258934000000004</v>
      </c>
      <c r="C2382" s="76">
        <v>33.595473999999903</v>
      </c>
      <c r="D2382" s="76">
        <v>32.337105000000001</v>
      </c>
      <c r="E2382" s="76">
        <v>32.995552000000004</v>
      </c>
      <c r="F2382" s="76">
        <v>24.737138999999999</v>
      </c>
      <c r="G2382" s="79">
        <v>4976100</v>
      </c>
    </row>
    <row r="2383" spans="1:7" x14ac:dyDescent="0.25">
      <c r="A2383" s="1" t="s">
        <v>2506</v>
      </c>
      <c r="B2383" s="76">
        <v>32.732174000000001</v>
      </c>
      <c r="C2383" s="76">
        <v>32.805335999999997</v>
      </c>
      <c r="D2383" s="76">
        <v>30.610509999999898</v>
      </c>
      <c r="E2383" s="76">
        <v>30.786095</v>
      </c>
      <c r="F2383" s="76">
        <v>23.080684999999999</v>
      </c>
      <c r="G2383" s="79">
        <v>6212600</v>
      </c>
    </row>
    <row r="2384" spans="1:7" x14ac:dyDescent="0.25">
      <c r="A2384" s="1" t="s">
        <v>2507</v>
      </c>
      <c r="B2384" s="76">
        <v>31.268957</v>
      </c>
      <c r="C2384" s="76">
        <v>31.678657999999999</v>
      </c>
      <c r="D2384" s="76">
        <v>30.566611999999999</v>
      </c>
      <c r="E2384" s="76">
        <v>31.232375999999999</v>
      </c>
      <c r="F2384" s="76">
        <v>23.415265999999999</v>
      </c>
      <c r="G2384" s="79">
        <v>5421800</v>
      </c>
    </row>
    <row r="2385" spans="1:7" x14ac:dyDescent="0.25">
      <c r="A2385" s="1" t="s">
        <v>2508</v>
      </c>
      <c r="B2385" s="76">
        <v>31.532336999999998</v>
      </c>
      <c r="C2385" s="76">
        <v>32.132255999999998</v>
      </c>
      <c r="D2385" s="76">
        <v>31.2982219999999</v>
      </c>
      <c r="E2385" s="76">
        <v>31.7079219999999</v>
      </c>
      <c r="F2385" s="76">
        <v>23.771788000000001</v>
      </c>
      <c r="G2385" s="79">
        <v>3513200</v>
      </c>
    </row>
    <row r="2386" spans="1:7" x14ac:dyDescent="0.25">
      <c r="A2386" s="1" t="s">
        <v>2509</v>
      </c>
      <c r="B2386" s="76">
        <v>31.451858999999999</v>
      </c>
      <c r="C2386" s="76">
        <v>32.410266999999997</v>
      </c>
      <c r="D2386" s="76">
        <v>31.195796999999999</v>
      </c>
      <c r="E2386" s="76">
        <v>32.322474999999997</v>
      </c>
      <c r="F2386" s="76">
        <v>24.232520999999998</v>
      </c>
      <c r="G2386" s="79">
        <v>4329700</v>
      </c>
    </row>
    <row r="2387" spans="1:7" x14ac:dyDescent="0.25">
      <c r="A2387" s="1" t="s">
        <v>2510</v>
      </c>
      <c r="B2387" s="76">
        <v>32.329788000000001</v>
      </c>
      <c r="C2387" s="76">
        <v>32.841915</v>
      </c>
      <c r="D2387" s="76">
        <v>31.817663</v>
      </c>
      <c r="E2387" s="76">
        <v>32.600487000000001</v>
      </c>
      <c r="F2387" s="76">
        <v>24.440951999999999</v>
      </c>
      <c r="G2387" s="79">
        <v>3955200</v>
      </c>
    </row>
    <row r="2388" spans="1:7" x14ac:dyDescent="0.25">
      <c r="A2388" s="1" t="s">
        <v>2511</v>
      </c>
      <c r="B2388" s="76">
        <v>32.768757000000001</v>
      </c>
      <c r="C2388" s="76">
        <v>33.002868999999997</v>
      </c>
      <c r="D2388" s="76">
        <v>32.095675999999997</v>
      </c>
      <c r="E2388" s="76">
        <v>32.520007999999997</v>
      </c>
      <c r="F2388" s="76">
        <v>24.380617000000001</v>
      </c>
      <c r="G2388" s="79">
        <v>3763700</v>
      </c>
    </row>
    <row r="2389" spans="1:7" x14ac:dyDescent="0.25">
      <c r="A2389" s="1" t="s">
        <v>2512</v>
      </c>
      <c r="B2389" s="76">
        <v>32.622433000000001</v>
      </c>
      <c r="C2389" s="76">
        <v>33.244301</v>
      </c>
      <c r="D2389" s="76">
        <v>32.556587</v>
      </c>
      <c r="E2389" s="76">
        <v>32.944339999999997</v>
      </c>
      <c r="F2389" s="76">
        <v>24.698744000000001</v>
      </c>
      <c r="G2389" s="79">
        <v>3401900</v>
      </c>
    </row>
    <row r="2390" spans="1:7" x14ac:dyDescent="0.25">
      <c r="A2390" s="1" t="s">
        <v>2513</v>
      </c>
      <c r="B2390" s="76">
        <v>33.119926</v>
      </c>
      <c r="C2390" s="76">
        <v>33.807639999999999</v>
      </c>
      <c r="D2390" s="76">
        <v>32.995552000000004</v>
      </c>
      <c r="E2390" s="76">
        <v>33.295513</v>
      </c>
      <c r="F2390" s="76">
        <v>24.962021</v>
      </c>
      <c r="G2390" s="79">
        <v>2640500</v>
      </c>
    </row>
    <row r="2391" spans="1:7" x14ac:dyDescent="0.25">
      <c r="A2391" s="1" t="s">
        <v>2514</v>
      </c>
      <c r="B2391" s="76">
        <v>32.600487000000001</v>
      </c>
      <c r="C2391" s="76">
        <v>32.893127</v>
      </c>
      <c r="D2391" s="76">
        <v>30.9251</v>
      </c>
      <c r="E2391" s="76">
        <v>31.078738999999999</v>
      </c>
      <c r="F2391" s="76">
        <v>23.300076000000001</v>
      </c>
      <c r="G2391" s="79">
        <v>5206900</v>
      </c>
    </row>
    <row r="2392" spans="1:7" x14ac:dyDescent="0.25">
      <c r="A2392" s="1" t="s">
        <v>2515</v>
      </c>
      <c r="B2392" s="76">
        <v>30.486134999999901</v>
      </c>
      <c r="C2392" s="76">
        <v>32.044463999999998</v>
      </c>
      <c r="D2392" s="76">
        <v>30.456871</v>
      </c>
      <c r="E2392" s="76">
        <v>32.022514000000001</v>
      </c>
      <c r="F2392" s="76">
        <v>24.007642999999899</v>
      </c>
      <c r="G2392" s="79">
        <v>4573400</v>
      </c>
    </row>
    <row r="2393" spans="1:7" x14ac:dyDescent="0.25">
      <c r="A2393" s="1" t="s">
        <v>2516</v>
      </c>
      <c r="B2393" s="76">
        <v>31.861560999999998</v>
      </c>
      <c r="C2393" s="76">
        <v>31.942038</v>
      </c>
      <c r="D2393" s="76">
        <v>29.908165</v>
      </c>
      <c r="E2393" s="76">
        <v>30.091065999999898</v>
      </c>
      <c r="F2393" s="76">
        <v>22.559611999999898</v>
      </c>
      <c r="G2393" s="79">
        <v>5287400</v>
      </c>
    </row>
    <row r="2394" spans="1:7" x14ac:dyDescent="0.25">
      <c r="A2394" s="1" t="s">
        <v>2517</v>
      </c>
      <c r="B2394" s="76">
        <v>30.595877000000002</v>
      </c>
      <c r="C2394" s="76">
        <v>30.595877000000002</v>
      </c>
      <c r="D2394" s="76">
        <v>29.008285999999998</v>
      </c>
      <c r="E2394" s="76">
        <v>29.966694</v>
      </c>
      <c r="F2394" s="76">
        <v>22.466372</v>
      </c>
      <c r="G2394" s="79">
        <v>5324900</v>
      </c>
    </row>
    <row r="2395" spans="1:7" x14ac:dyDescent="0.25">
      <c r="A2395" s="1" t="s">
        <v>2518</v>
      </c>
      <c r="B2395" s="76">
        <v>30.449553999999999</v>
      </c>
      <c r="C2395" s="76">
        <v>30.500768999999998</v>
      </c>
      <c r="D2395" s="76">
        <v>29.491147999999999</v>
      </c>
      <c r="E2395" s="76">
        <v>29.586258000000001</v>
      </c>
      <c r="F2395" s="76">
        <v>22.181151999999901</v>
      </c>
      <c r="G2395" s="79">
        <v>3087600</v>
      </c>
    </row>
    <row r="2396" spans="1:7" x14ac:dyDescent="0.25">
      <c r="A2396" s="1" t="s">
        <v>2519</v>
      </c>
      <c r="B2396" s="76">
        <v>29.491147999999999</v>
      </c>
      <c r="C2396" s="76">
        <v>30.054486999999899</v>
      </c>
      <c r="D2396" s="76">
        <v>29.103394999999999</v>
      </c>
      <c r="E2396" s="76">
        <v>29.864269</v>
      </c>
      <c r="F2396" s="76">
        <v>22.389582000000001</v>
      </c>
      <c r="G2396" s="79">
        <v>4037700</v>
      </c>
    </row>
    <row r="2397" spans="1:7" x14ac:dyDescent="0.25">
      <c r="A2397" s="1" t="s">
        <v>2520</v>
      </c>
      <c r="B2397" s="76">
        <v>30.186176</v>
      </c>
      <c r="C2397" s="76">
        <v>31.012893999999999</v>
      </c>
      <c r="D2397" s="76">
        <v>29.374089999999999</v>
      </c>
      <c r="E2397" s="76">
        <v>30.903151999999999</v>
      </c>
      <c r="F2397" s="76">
        <v>23.16844</v>
      </c>
      <c r="G2397" s="79">
        <v>5434000</v>
      </c>
    </row>
    <row r="2398" spans="1:7" x14ac:dyDescent="0.25">
      <c r="A2398" s="1" t="s">
        <v>2521</v>
      </c>
      <c r="B2398" s="76">
        <v>31.049475000000001</v>
      </c>
      <c r="C2398" s="76">
        <v>31.290904999999999</v>
      </c>
      <c r="D2398" s="76">
        <v>30.252021999999901</v>
      </c>
      <c r="E2398" s="76">
        <v>31.078738999999999</v>
      </c>
      <c r="F2398" s="76">
        <v>23.300076000000001</v>
      </c>
      <c r="G2398" s="79">
        <v>3634400</v>
      </c>
    </row>
    <row r="2399" spans="1:7" x14ac:dyDescent="0.25">
      <c r="A2399" s="1" t="s">
        <v>2522</v>
      </c>
      <c r="B2399" s="76">
        <v>31.488440000000001</v>
      </c>
      <c r="C2399" s="76">
        <v>33.332091999999903</v>
      </c>
      <c r="D2399" s="76">
        <v>31.488440000000001</v>
      </c>
      <c r="E2399" s="76">
        <v>32.827281999999997</v>
      </c>
      <c r="F2399" s="76">
        <v>24.610980999999999</v>
      </c>
      <c r="G2399" s="79">
        <v>6094000</v>
      </c>
    </row>
    <row r="2400" spans="1:7" x14ac:dyDescent="0.25">
      <c r="A2400" s="1" t="s">
        <v>2523</v>
      </c>
      <c r="B2400" s="76">
        <v>32.527324999999998</v>
      </c>
      <c r="C2400" s="76">
        <v>33.551575</v>
      </c>
      <c r="D2400" s="76">
        <v>32.124938999999998</v>
      </c>
      <c r="E2400" s="76">
        <v>33.236984</v>
      </c>
      <c r="F2400" s="76">
        <v>24.918147999999999</v>
      </c>
      <c r="G2400" s="79">
        <v>3664200</v>
      </c>
    </row>
    <row r="2401" spans="1:7" x14ac:dyDescent="0.25">
      <c r="A2401" s="1" t="s">
        <v>2524</v>
      </c>
      <c r="B2401" s="76">
        <v>32.995552000000004</v>
      </c>
      <c r="C2401" s="76">
        <v>33.13456</v>
      </c>
      <c r="D2401" s="76">
        <v>31.905456999999998</v>
      </c>
      <c r="E2401" s="76">
        <v>32.037147999999902</v>
      </c>
      <c r="F2401" s="76">
        <v>24.018609999999999</v>
      </c>
      <c r="G2401" s="79">
        <v>5288200</v>
      </c>
    </row>
    <row r="2402" spans="1:7" x14ac:dyDescent="0.25">
      <c r="A2402" s="1" t="s">
        <v>2525</v>
      </c>
      <c r="B2402" s="76">
        <v>32.410266999999997</v>
      </c>
      <c r="C2402" s="76">
        <v>34.436824999999999</v>
      </c>
      <c r="D2402" s="76">
        <v>32.402949999999997</v>
      </c>
      <c r="E2402" s="76">
        <v>34.436824999999999</v>
      </c>
      <c r="F2402" s="76">
        <v>25.817682000000001</v>
      </c>
      <c r="G2402" s="79">
        <v>5952900</v>
      </c>
    </row>
    <row r="2403" spans="1:7" x14ac:dyDescent="0.25">
      <c r="A2403" s="1" t="s">
        <v>2526</v>
      </c>
      <c r="B2403" s="76">
        <v>34.839207000000002</v>
      </c>
      <c r="C2403" s="76">
        <v>35.124534999999902</v>
      </c>
      <c r="D2403" s="76">
        <v>33.756428</v>
      </c>
      <c r="E2403" s="76">
        <v>34.722149000000002</v>
      </c>
      <c r="F2403" s="76">
        <v>26.031587999999999</v>
      </c>
      <c r="G2403" s="79">
        <v>4212700</v>
      </c>
    </row>
    <row r="2404" spans="1:7" x14ac:dyDescent="0.25">
      <c r="A2404" s="1" t="s">
        <v>2527</v>
      </c>
      <c r="B2404" s="76">
        <v>34.766047999999998</v>
      </c>
      <c r="C2404" s="76">
        <v>36.009780999999997</v>
      </c>
      <c r="D2404" s="76">
        <v>34.129546999999903</v>
      </c>
      <c r="E2404" s="76">
        <v>35.578133000000001</v>
      </c>
      <c r="F2404" s="76">
        <v>26.673328000000001</v>
      </c>
      <c r="G2404" s="79">
        <v>5240600</v>
      </c>
    </row>
    <row r="2405" spans="1:7" x14ac:dyDescent="0.25">
      <c r="A2405" s="1" t="s">
        <v>2528</v>
      </c>
      <c r="B2405" s="76">
        <v>35.570816000000001</v>
      </c>
      <c r="C2405" s="76">
        <v>37.304728999999902</v>
      </c>
      <c r="D2405" s="76">
        <v>35.219642999999998</v>
      </c>
      <c r="E2405" s="76">
        <v>36.587752999999999</v>
      </c>
      <c r="F2405" s="76">
        <v>27.430247999999999</v>
      </c>
      <c r="G2405" s="79">
        <v>5746400</v>
      </c>
    </row>
    <row r="2406" spans="1:7" x14ac:dyDescent="0.25">
      <c r="A2406" s="1" t="s">
        <v>2529</v>
      </c>
      <c r="B2406" s="76">
        <v>36.492645000000003</v>
      </c>
      <c r="C2406" s="76">
        <v>37.019401999999999</v>
      </c>
      <c r="D2406" s="76">
        <v>35.782981999999997</v>
      </c>
      <c r="E2406" s="76">
        <v>36.968189000000002</v>
      </c>
      <c r="F2406" s="76">
        <v>27.715466999999901</v>
      </c>
      <c r="G2406" s="79">
        <v>3202100</v>
      </c>
    </row>
    <row r="2407" spans="1:7" x14ac:dyDescent="0.25">
      <c r="A2407" s="1" t="s">
        <v>2530</v>
      </c>
      <c r="B2407" s="76">
        <v>37.202304999999903</v>
      </c>
      <c r="C2407" s="76">
        <v>37.312046000000002</v>
      </c>
      <c r="D2407" s="76">
        <v>36.448746</v>
      </c>
      <c r="E2407" s="76">
        <v>37.180354999999999</v>
      </c>
      <c r="F2407" s="76">
        <v>27.874521000000001</v>
      </c>
      <c r="G2407" s="79">
        <v>3188900</v>
      </c>
    </row>
    <row r="2408" spans="1:7" x14ac:dyDescent="0.25">
      <c r="A2408" s="1" t="s">
        <v>2531</v>
      </c>
      <c r="B2408" s="76">
        <v>36.916977000000003</v>
      </c>
      <c r="C2408" s="76">
        <v>37.165721999999903</v>
      </c>
      <c r="D2408" s="76">
        <v>36.646281999999999</v>
      </c>
      <c r="E2408" s="76">
        <v>36.975506000000003</v>
      </c>
      <c r="F2408" s="76">
        <v>27.720953000000002</v>
      </c>
      <c r="G2408" s="79">
        <v>4420400</v>
      </c>
    </row>
    <row r="2409" spans="1:7" x14ac:dyDescent="0.25">
      <c r="A2409" s="1" t="s">
        <v>2532</v>
      </c>
      <c r="B2409" s="76">
        <v>36.375587000000003</v>
      </c>
      <c r="C2409" s="76">
        <v>36.982821999999999</v>
      </c>
      <c r="D2409" s="76">
        <v>35.782981999999997</v>
      </c>
      <c r="E2409" s="76">
        <v>36.346321000000003</v>
      </c>
      <c r="F2409" s="76">
        <v>27.249243</v>
      </c>
      <c r="G2409" s="79">
        <v>3242400</v>
      </c>
    </row>
    <row r="2410" spans="1:7" x14ac:dyDescent="0.25">
      <c r="A2410" s="1" t="s">
        <v>2533</v>
      </c>
      <c r="B2410" s="76">
        <v>36.829182000000003</v>
      </c>
      <c r="C2410" s="76">
        <v>38.204608999999998</v>
      </c>
      <c r="D2410" s="76">
        <v>36.704810999999999</v>
      </c>
      <c r="E2410" s="76">
        <v>37.268149999999999</v>
      </c>
      <c r="F2410" s="76">
        <v>27.940359000000001</v>
      </c>
      <c r="G2410" s="79">
        <v>5038400</v>
      </c>
    </row>
    <row r="2411" spans="1:7" x14ac:dyDescent="0.25">
      <c r="A2411" s="1" t="s">
        <v>2534</v>
      </c>
      <c r="B2411" s="76">
        <v>36.858447999999903</v>
      </c>
      <c r="C2411" s="76">
        <v>37.531528000000002</v>
      </c>
      <c r="D2411" s="76">
        <v>36.156104999999997</v>
      </c>
      <c r="E2411" s="76">
        <v>37.326678999999999</v>
      </c>
      <c r="F2411" s="76">
        <v>27.984231999999999</v>
      </c>
      <c r="G2411" s="79">
        <v>3782700</v>
      </c>
    </row>
    <row r="2412" spans="1:7" x14ac:dyDescent="0.25">
      <c r="A2412" s="1" t="s">
        <v>2535</v>
      </c>
      <c r="B2412" s="76">
        <v>37.685164999999998</v>
      </c>
      <c r="C2412" s="76">
        <v>38.233871000000001</v>
      </c>
      <c r="D2412" s="76">
        <v>37.268149999999999</v>
      </c>
      <c r="E2412" s="76">
        <v>37.911963999999998</v>
      </c>
      <c r="F2412" s="76">
        <v>28.423022999999901</v>
      </c>
      <c r="G2412" s="79">
        <v>3551200</v>
      </c>
    </row>
    <row r="2413" spans="1:7" x14ac:dyDescent="0.25">
      <c r="A2413" s="1" t="s">
        <v>2536</v>
      </c>
      <c r="B2413" s="76">
        <v>37.429103999999903</v>
      </c>
      <c r="C2413" s="76">
        <v>40.018996999999999</v>
      </c>
      <c r="D2413" s="76">
        <v>36.675545</v>
      </c>
      <c r="E2413" s="76">
        <v>39.477607999999996</v>
      </c>
      <c r="F2413" s="76">
        <v>29.596814999999999</v>
      </c>
      <c r="G2413" s="79">
        <v>5841600</v>
      </c>
    </row>
    <row r="2414" spans="1:7" x14ac:dyDescent="0.25">
      <c r="A2414" s="1" t="s">
        <v>2537</v>
      </c>
      <c r="B2414" s="76">
        <v>39.455658</v>
      </c>
      <c r="C2414" s="76">
        <v>41.328578999999998</v>
      </c>
      <c r="D2414" s="76">
        <v>39.141067999999997</v>
      </c>
      <c r="E2414" s="76">
        <v>40.933509999999998</v>
      </c>
      <c r="F2414" s="76">
        <v>30.688313000000001</v>
      </c>
      <c r="G2414" s="79">
        <v>5406400</v>
      </c>
    </row>
    <row r="2415" spans="1:7" x14ac:dyDescent="0.25">
      <c r="A2415" s="1" t="s">
        <v>2538</v>
      </c>
      <c r="B2415" s="76">
        <v>41.035933999999997</v>
      </c>
      <c r="C2415" s="76">
        <v>42.513782999999997</v>
      </c>
      <c r="D2415" s="76">
        <v>40.970089000000002</v>
      </c>
      <c r="E2415" s="76">
        <v>41.028618000000002</v>
      </c>
      <c r="F2415" s="76">
        <v>30.759622999999898</v>
      </c>
      <c r="G2415" s="79">
        <v>5996500</v>
      </c>
    </row>
    <row r="2416" spans="1:7" x14ac:dyDescent="0.25">
      <c r="A2416" s="1" t="s">
        <v>2539</v>
      </c>
      <c r="B2416" s="76">
        <v>41.226151000000002</v>
      </c>
      <c r="C2416" s="76">
        <v>43.698990000000002</v>
      </c>
      <c r="D2416" s="76">
        <v>41.211520999999998</v>
      </c>
      <c r="E2416" s="76">
        <v>43.581932000000002</v>
      </c>
      <c r="F2416" s="76">
        <v>33.061793999999999</v>
      </c>
      <c r="G2416" s="79">
        <v>7575400</v>
      </c>
    </row>
    <row r="2417" spans="1:7" x14ac:dyDescent="0.25">
      <c r="A2417" s="1" t="s">
        <v>2540</v>
      </c>
      <c r="B2417" s="76">
        <v>43.494140999999999</v>
      </c>
      <c r="C2417" s="76">
        <v>44.020896999999998</v>
      </c>
      <c r="D2417" s="76">
        <v>42.696686</v>
      </c>
      <c r="E2417" s="76">
        <v>43.340499999999999</v>
      </c>
      <c r="F2417" s="76">
        <v>32.878634999999903</v>
      </c>
      <c r="G2417" s="79">
        <v>5355800</v>
      </c>
    </row>
    <row r="2418" spans="1:7" x14ac:dyDescent="0.25">
      <c r="A2418" s="1" t="s">
        <v>2541</v>
      </c>
      <c r="B2418" s="76">
        <v>43.186863000000002</v>
      </c>
      <c r="C2418" s="76">
        <v>43.186863000000002</v>
      </c>
      <c r="D2418" s="76">
        <v>41.804122999999997</v>
      </c>
      <c r="E2418" s="76">
        <v>42.308933000000003</v>
      </c>
      <c r="F2418" s="76">
        <v>32.096077000000001</v>
      </c>
      <c r="G2418" s="79">
        <v>4480200</v>
      </c>
    </row>
    <row r="2419" spans="1:7" x14ac:dyDescent="0.25">
      <c r="A2419" s="1" t="s">
        <v>2542</v>
      </c>
      <c r="B2419" s="76">
        <v>42.404040999999999</v>
      </c>
      <c r="C2419" s="76">
        <v>43.603881999999999</v>
      </c>
      <c r="D2419" s="76">
        <v>42.352829</v>
      </c>
      <c r="E2419" s="76">
        <v>42.564995000000003</v>
      </c>
      <c r="F2419" s="76">
        <v>32.290329</v>
      </c>
      <c r="G2419" s="79">
        <v>5308200</v>
      </c>
    </row>
    <row r="2420" spans="1:7" x14ac:dyDescent="0.25">
      <c r="A2420" s="1" t="s">
        <v>2543</v>
      </c>
      <c r="B2420" s="76">
        <v>42.784477000000003</v>
      </c>
      <c r="C2420" s="76">
        <v>43.084437999999999</v>
      </c>
      <c r="D2420" s="76">
        <v>41.672432000000001</v>
      </c>
      <c r="E2420" s="76">
        <v>42.374778999999997</v>
      </c>
      <c r="F2420" s="76">
        <v>32.146037999999997</v>
      </c>
      <c r="G2420" s="79">
        <v>3526900</v>
      </c>
    </row>
    <row r="2421" spans="1:7" x14ac:dyDescent="0.25">
      <c r="A2421" s="1" t="s">
        <v>2544</v>
      </c>
      <c r="B2421" s="76">
        <v>41.943126999999997</v>
      </c>
      <c r="C2421" s="76">
        <v>42.177242</v>
      </c>
      <c r="D2421" s="76">
        <v>40.743290000000002</v>
      </c>
      <c r="E2421" s="76">
        <v>41.877285000000001</v>
      </c>
      <c r="F2421" s="76">
        <v>31.768615999999898</v>
      </c>
      <c r="G2421" s="79">
        <v>3477600</v>
      </c>
    </row>
    <row r="2422" spans="1:7" x14ac:dyDescent="0.25">
      <c r="A2422" s="1" t="s">
        <v>2545</v>
      </c>
      <c r="B2422" s="76">
        <v>40.926192999999998</v>
      </c>
      <c r="C2422" s="76">
        <v>40.926192999999998</v>
      </c>
      <c r="D2422" s="76">
        <v>38.555779000000001</v>
      </c>
      <c r="E2422" s="76">
        <v>38.709418999999997</v>
      </c>
      <c r="F2422" s="76">
        <v>29.365445999999999</v>
      </c>
      <c r="G2422" s="79">
        <v>5130800</v>
      </c>
    </row>
    <row r="2423" spans="1:7" x14ac:dyDescent="0.25">
      <c r="A2423" s="1" t="s">
        <v>2546</v>
      </c>
      <c r="B2423" s="76">
        <v>38.965480999999997</v>
      </c>
      <c r="C2423" s="76">
        <v>40.165317999999999</v>
      </c>
      <c r="D2423" s="76">
        <v>38.724049000000001</v>
      </c>
      <c r="E2423" s="76">
        <v>39.653193999999999</v>
      </c>
      <c r="F2423" s="76">
        <v>30.081409000000001</v>
      </c>
      <c r="G2423" s="79">
        <v>4296200</v>
      </c>
    </row>
    <row r="2424" spans="1:7" x14ac:dyDescent="0.25">
      <c r="A2424" s="1" t="s">
        <v>2547</v>
      </c>
      <c r="B2424" s="76">
        <v>38.811844000000001</v>
      </c>
      <c r="C2424" s="76">
        <v>39.638560999999903</v>
      </c>
      <c r="D2424" s="76">
        <v>38.724049000000001</v>
      </c>
      <c r="E2424" s="76">
        <v>39.462975</v>
      </c>
      <c r="F2424" s="76">
        <v>29.937093999999998</v>
      </c>
      <c r="G2424" s="79">
        <v>2906500</v>
      </c>
    </row>
    <row r="2425" spans="1:7" x14ac:dyDescent="0.25">
      <c r="A2425" s="1" t="s">
        <v>2548</v>
      </c>
      <c r="B2425" s="76">
        <v>39.514187</v>
      </c>
      <c r="C2425" s="76">
        <v>40.823768999999999</v>
      </c>
      <c r="D2425" s="76">
        <v>39.3386</v>
      </c>
      <c r="E2425" s="76">
        <v>40.618915999999999</v>
      </c>
      <c r="F2425" s="76">
        <v>30.814001000000001</v>
      </c>
      <c r="G2425" s="79">
        <v>3741300</v>
      </c>
    </row>
    <row r="2426" spans="1:7" x14ac:dyDescent="0.25">
      <c r="A2426" s="1" t="s">
        <v>2549</v>
      </c>
      <c r="B2426" s="76">
        <v>41.043250999999998</v>
      </c>
      <c r="C2426" s="76">
        <v>42.711319000000003</v>
      </c>
      <c r="D2426" s="76">
        <v>40.823768999999999</v>
      </c>
      <c r="E2426" s="76">
        <v>41.570006999999997</v>
      </c>
      <c r="F2426" s="76">
        <v>31.535519000000001</v>
      </c>
      <c r="G2426" s="79">
        <v>4286800</v>
      </c>
    </row>
    <row r="2427" spans="1:7" x14ac:dyDescent="0.25">
      <c r="A2427" s="1" t="s">
        <v>2550</v>
      </c>
      <c r="B2427" s="76">
        <v>41.730961000000001</v>
      </c>
      <c r="C2427" s="76">
        <v>42.279666999999897</v>
      </c>
      <c r="D2427" s="76">
        <v>40.772556000000002</v>
      </c>
      <c r="E2427" s="76">
        <v>40.962771999999902</v>
      </c>
      <c r="F2427" s="76">
        <v>31.074856</v>
      </c>
      <c r="G2427" s="79">
        <v>3997100</v>
      </c>
    </row>
    <row r="2428" spans="1:7" x14ac:dyDescent="0.25">
      <c r="A2428" s="1" t="s">
        <v>2551</v>
      </c>
      <c r="B2428" s="76">
        <v>41.350524999999998</v>
      </c>
      <c r="C2428" s="76">
        <v>42.301617</v>
      </c>
      <c r="D2428" s="76">
        <v>41.189571000000001</v>
      </c>
      <c r="E2428" s="76">
        <v>42.038238999999997</v>
      </c>
      <c r="F2428" s="76">
        <v>31.890721999999901</v>
      </c>
      <c r="G2428" s="79">
        <v>3103600</v>
      </c>
    </row>
    <row r="2429" spans="1:7" x14ac:dyDescent="0.25">
      <c r="A2429" s="1" t="s">
        <v>2552</v>
      </c>
      <c r="B2429" s="76">
        <v>41.884602000000001</v>
      </c>
      <c r="C2429" s="76">
        <v>42.828377000000003</v>
      </c>
      <c r="D2429" s="76">
        <v>41.496848999999997</v>
      </c>
      <c r="E2429" s="76">
        <v>42.806426999999999</v>
      </c>
      <c r="F2429" s="76">
        <v>32.473488000000003</v>
      </c>
      <c r="G2429" s="79">
        <v>2847200</v>
      </c>
    </row>
    <row r="2430" spans="1:7" x14ac:dyDescent="0.25">
      <c r="A2430" s="1" t="s">
        <v>2553</v>
      </c>
      <c r="B2430" s="76">
        <v>42.967381000000003</v>
      </c>
      <c r="C2430" s="76">
        <v>42.967381000000003</v>
      </c>
      <c r="D2430" s="76">
        <v>41.343207999999997</v>
      </c>
      <c r="E2430" s="76">
        <v>42.462569999999999</v>
      </c>
      <c r="F2430" s="76">
        <v>32.212634999999999</v>
      </c>
      <c r="G2430" s="79">
        <v>4419600</v>
      </c>
    </row>
    <row r="2431" spans="1:7" x14ac:dyDescent="0.25">
      <c r="A2431" s="1" t="s">
        <v>2554</v>
      </c>
      <c r="B2431" s="76">
        <v>42.660107000000004</v>
      </c>
      <c r="C2431" s="76">
        <v>43.018593000000003</v>
      </c>
      <c r="D2431" s="76">
        <v>41.416370000000001</v>
      </c>
      <c r="E2431" s="76">
        <v>42.191875000000003</v>
      </c>
      <c r="F2431" s="76">
        <v>32.007281999999996</v>
      </c>
      <c r="G2431" s="79">
        <v>3563100</v>
      </c>
    </row>
    <row r="2432" spans="1:7" x14ac:dyDescent="0.25">
      <c r="A2432" s="1" t="s">
        <v>2555</v>
      </c>
      <c r="B2432" s="76">
        <v>41.628535999999997</v>
      </c>
      <c r="C2432" s="76">
        <v>42.308933000000003</v>
      </c>
      <c r="D2432" s="76">
        <v>41.270049999999998</v>
      </c>
      <c r="E2432" s="76">
        <v>42.082134000000003</v>
      </c>
      <c r="F2432" s="76">
        <v>31.924026000000001</v>
      </c>
      <c r="G2432" s="79">
        <v>3591900</v>
      </c>
    </row>
    <row r="2433" spans="1:7" x14ac:dyDescent="0.25">
      <c r="A2433" s="1" t="s">
        <v>2556</v>
      </c>
      <c r="B2433" s="76">
        <v>41.789490000000001</v>
      </c>
      <c r="C2433" s="76">
        <v>42.345511999999999</v>
      </c>
      <c r="D2433" s="76">
        <v>40.070209999999904</v>
      </c>
      <c r="E2433" s="76">
        <v>40.179951000000003</v>
      </c>
      <c r="F2433" s="76">
        <v>30.481009999999898</v>
      </c>
      <c r="G2433" s="79">
        <v>5361000</v>
      </c>
    </row>
    <row r="2434" spans="1:7" x14ac:dyDescent="0.25">
      <c r="A2434" s="1" t="s">
        <v>2557</v>
      </c>
      <c r="B2434" s="76">
        <v>39.755619000000003</v>
      </c>
      <c r="C2434" s="76">
        <v>40.318958000000002</v>
      </c>
      <c r="D2434" s="76">
        <v>39.484923999999999</v>
      </c>
      <c r="E2434" s="76">
        <v>39.733668999999999</v>
      </c>
      <c r="F2434" s="76">
        <v>30.1424599999999</v>
      </c>
      <c r="G2434" s="79">
        <v>4183000</v>
      </c>
    </row>
    <row r="2435" spans="1:7" x14ac:dyDescent="0.25">
      <c r="A2435" s="1" t="s">
        <v>2558</v>
      </c>
      <c r="B2435" s="76">
        <v>40.099476000000003</v>
      </c>
      <c r="C2435" s="76">
        <v>40.362853999999999</v>
      </c>
      <c r="D2435" s="76">
        <v>39.075221999999997</v>
      </c>
      <c r="E2435" s="76">
        <v>39.704407000000003</v>
      </c>
      <c r="F2435" s="76">
        <v>30.120240999999901</v>
      </c>
      <c r="G2435" s="79">
        <v>3884800</v>
      </c>
    </row>
    <row r="2436" spans="1:7" x14ac:dyDescent="0.25">
      <c r="A2436" s="1" t="s">
        <v>2559</v>
      </c>
      <c r="B2436" s="76">
        <v>39.755619000000003</v>
      </c>
      <c r="C2436" s="76">
        <v>40.392116999999999</v>
      </c>
      <c r="D2436" s="76">
        <v>38.950848000000001</v>
      </c>
      <c r="E2436" s="76">
        <v>40.275058999999999</v>
      </c>
      <c r="F2436" s="76">
        <v>30.553159999999998</v>
      </c>
      <c r="G2436" s="79">
        <v>3103800</v>
      </c>
    </row>
    <row r="2437" spans="1:7" x14ac:dyDescent="0.25">
      <c r="A2437" s="1" t="s">
        <v>2560</v>
      </c>
      <c r="B2437" s="76">
        <v>40.560386999999999</v>
      </c>
      <c r="C2437" s="76">
        <v>42.023604999999897</v>
      </c>
      <c r="D2437" s="76">
        <v>40.560386999999999</v>
      </c>
      <c r="E2437" s="76">
        <v>42.001655999999997</v>
      </c>
      <c r="F2437" s="76">
        <v>31.862964999999999</v>
      </c>
      <c r="G2437" s="79">
        <v>3351900</v>
      </c>
    </row>
    <row r="2438" spans="1:7" x14ac:dyDescent="0.25">
      <c r="A2438" s="1" t="s">
        <v>2561</v>
      </c>
      <c r="B2438" s="76">
        <v>42.067501</v>
      </c>
      <c r="C2438" s="76">
        <v>43.406345000000002</v>
      </c>
      <c r="D2438" s="76">
        <v>41.431003999999902</v>
      </c>
      <c r="E2438" s="76">
        <v>43.362450000000003</v>
      </c>
      <c r="F2438" s="76">
        <v>32.895282999999999</v>
      </c>
      <c r="G2438" s="79">
        <v>4408700</v>
      </c>
    </row>
    <row r="2439" spans="1:7" x14ac:dyDescent="0.25">
      <c r="A2439" s="1" t="s">
        <v>2562</v>
      </c>
      <c r="B2439" s="76">
        <v>43.033225999999999</v>
      </c>
      <c r="C2439" s="76">
        <v>44.174534000000001</v>
      </c>
      <c r="D2439" s="76">
        <v>42.528416</v>
      </c>
      <c r="E2439" s="76">
        <v>44.006264000000002</v>
      </c>
      <c r="F2439" s="76">
        <v>33.383690000000001</v>
      </c>
      <c r="G2439" s="79">
        <v>3748400</v>
      </c>
    </row>
    <row r="2440" spans="1:7" x14ac:dyDescent="0.25">
      <c r="A2440" s="1" t="s">
        <v>2563</v>
      </c>
      <c r="B2440" s="76">
        <v>44.108691999999998</v>
      </c>
      <c r="C2440" s="76">
        <v>44.474494999999997</v>
      </c>
      <c r="D2440" s="76">
        <v>43.230758999999999</v>
      </c>
      <c r="E2440" s="76">
        <v>43.911155999999998</v>
      </c>
      <c r="F2440" s="76">
        <v>33.311534999999999</v>
      </c>
      <c r="G2440" s="79">
        <v>3499300</v>
      </c>
    </row>
    <row r="2441" spans="1:7" x14ac:dyDescent="0.25">
      <c r="A2441" s="1" t="s">
        <v>2564</v>
      </c>
      <c r="B2441" s="76">
        <v>43.479506999999998</v>
      </c>
      <c r="C2441" s="76">
        <v>45.754809999999999</v>
      </c>
      <c r="D2441" s="76">
        <v>43.194179999999903</v>
      </c>
      <c r="E2441" s="76">
        <v>45.623119000000003</v>
      </c>
      <c r="F2441" s="76">
        <v>34.610259999999997</v>
      </c>
      <c r="G2441" s="79">
        <v>3327700</v>
      </c>
    </row>
    <row r="2442" spans="1:7" x14ac:dyDescent="0.25">
      <c r="A2442" s="1" t="s">
        <v>2565</v>
      </c>
      <c r="B2442" s="76">
        <v>45.608490000000003</v>
      </c>
      <c r="C2442" s="76">
        <v>47.378982999999998</v>
      </c>
      <c r="D2442" s="76">
        <v>44.474494999999997</v>
      </c>
      <c r="E2442" s="76">
        <v>46.581527999999999</v>
      </c>
      <c r="F2442" s="76">
        <v>35.337325999999997</v>
      </c>
      <c r="G2442" s="79">
        <v>5406600</v>
      </c>
    </row>
    <row r="2443" spans="1:7" x14ac:dyDescent="0.25">
      <c r="A2443" s="1" t="s">
        <v>2566</v>
      </c>
      <c r="B2443" s="76">
        <v>46.742480999999998</v>
      </c>
      <c r="C2443" s="76">
        <v>49.625019000000002</v>
      </c>
      <c r="D2443" s="76">
        <v>46.647372999999902</v>
      </c>
      <c r="E2443" s="76">
        <v>49.486015000000002</v>
      </c>
      <c r="F2443" s="76">
        <v>37.540706999999998</v>
      </c>
      <c r="G2443" s="79">
        <v>6043400</v>
      </c>
    </row>
    <row r="2444" spans="1:7" x14ac:dyDescent="0.25">
      <c r="A2444" s="1" t="s">
        <v>2567</v>
      </c>
      <c r="B2444" s="76">
        <v>49.478698999999999</v>
      </c>
      <c r="C2444" s="76">
        <v>51.380882</v>
      </c>
      <c r="D2444" s="76">
        <v>48.893409999999903</v>
      </c>
      <c r="E2444" s="76">
        <v>49.720131000000002</v>
      </c>
      <c r="F2444" s="76">
        <v>37.718307000000003</v>
      </c>
      <c r="G2444" s="79">
        <v>6704300</v>
      </c>
    </row>
    <row r="2445" spans="1:7" x14ac:dyDescent="0.25">
      <c r="A2445" s="1" t="s">
        <v>2568</v>
      </c>
      <c r="B2445" s="76">
        <v>50.020088000000001</v>
      </c>
      <c r="C2445" s="76">
        <v>50.349311999999998</v>
      </c>
      <c r="D2445" s="76">
        <v>49.032416999999903</v>
      </c>
      <c r="E2445" s="76">
        <v>49.866450999999998</v>
      </c>
      <c r="F2445" s="76">
        <v>37.829310999999997</v>
      </c>
      <c r="G2445" s="79">
        <v>4679300</v>
      </c>
    </row>
    <row r="2446" spans="1:7" x14ac:dyDescent="0.25">
      <c r="A2446" s="1" t="s">
        <v>2569</v>
      </c>
      <c r="B2446" s="76">
        <v>48.812934999999896</v>
      </c>
      <c r="C2446" s="76">
        <v>49.376274000000002</v>
      </c>
      <c r="D2446" s="76">
        <v>48.286175</v>
      </c>
      <c r="E2446" s="76">
        <v>48.805618000000003</v>
      </c>
      <c r="F2446" s="76">
        <v>37.024529000000001</v>
      </c>
      <c r="G2446" s="79">
        <v>3162000</v>
      </c>
    </row>
    <row r="2447" spans="1:7" x14ac:dyDescent="0.25">
      <c r="A2447" s="1" t="s">
        <v>2570</v>
      </c>
      <c r="B2447" s="76">
        <v>49.208003999999903</v>
      </c>
      <c r="C2447" s="76">
        <v>50.832175999999997</v>
      </c>
      <c r="D2447" s="76">
        <v>49.134841999999999</v>
      </c>
      <c r="E2447" s="76">
        <v>50.656590000000001</v>
      </c>
      <c r="F2447" s="76">
        <v>38.428719000000001</v>
      </c>
      <c r="G2447" s="79">
        <v>3700000</v>
      </c>
    </row>
    <row r="2448" spans="1:7" x14ac:dyDescent="0.25">
      <c r="A2448" s="1" t="s">
        <v>2571</v>
      </c>
      <c r="B2448" s="76">
        <v>51.007759</v>
      </c>
      <c r="C2448" s="76">
        <v>51.007759</v>
      </c>
      <c r="D2448" s="76">
        <v>48.630032</v>
      </c>
      <c r="E2448" s="76">
        <v>48.659298</v>
      </c>
      <c r="F2448" s="76">
        <v>36.913550999999998</v>
      </c>
      <c r="G2448" s="79">
        <v>4431700</v>
      </c>
    </row>
    <row r="2449" spans="1:7" x14ac:dyDescent="0.25">
      <c r="A2449" s="1" t="s">
        <v>2572</v>
      </c>
      <c r="B2449" s="76">
        <v>49.127524999999999</v>
      </c>
      <c r="C2449" s="76">
        <v>49.500647999999998</v>
      </c>
      <c r="D2449" s="76">
        <v>46.632739999999998</v>
      </c>
      <c r="E2449" s="76">
        <v>46.852221999999998</v>
      </c>
      <c r="F2449" s="76">
        <v>35.542675000000003</v>
      </c>
      <c r="G2449" s="79">
        <v>4889700</v>
      </c>
    </row>
    <row r="2450" spans="1:7" x14ac:dyDescent="0.25">
      <c r="A2450" s="1" t="s">
        <v>2573</v>
      </c>
      <c r="B2450" s="76">
        <v>46.391308000000002</v>
      </c>
      <c r="C2450" s="76">
        <v>47.305819999999997</v>
      </c>
      <c r="D2450" s="76">
        <v>46.091351000000003</v>
      </c>
      <c r="E2450" s="76">
        <v>46.427890999999903</v>
      </c>
      <c r="F2450" s="76">
        <v>35.220771999999997</v>
      </c>
      <c r="G2450" s="79">
        <v>4388600</v>
      </c>
    </row>
    <row r="2451" spans="1:7" x14ac:dyDescent="0.25">
      <c r="A2451" s="1" t="s">
        <v>2574</v>
      </c>
      <c r="B2451" s="76">
        <v>46.749797999999998</v>
      </c>
      <c r="C2451" s="76">
        <v>49.310428999999999</v>
      </c>
      <c r="D2451" s="76">
        <v>46.354728999999999</v>
      </c>
      <c r="E2451" s="76">
        <v>49.237266999999903</v>
      </c>
      <c r="F2451" s="76">
        <v>37.352004999999998</v>
      </c>
      <c r="G2451" s="79">
        <v>5542300</v>
      </c>
    </row>
    <row r="2452" spans="1:7" x14ac:dyDescent="0.25">
      <c r="A2452" s="1" t="s">
        <v>2575</v>
      </c>
      <c r="B2452" s="76">
        <v>49.442120000000003</v>
      </c>
      <c r="C2452" s="76">
        <v>49.603072999999902</v>
      </c>
      <c r="D2452" s="76">
        <v>47.225341999999998</v>
      </c>
      <c r="E2452" s="76">
        <v>47.386299000000001</v>
      </c>
      <c r="F2452" s="76">
        <v>35.947825999999999</v>
      </c>
      <c r="G2452" s="79">
        <v>4358300</v>
      </c>
    </row>
    <row r="2453" spans="1:7" x14ac:dyDescent="0.25">
      <c r="A2453" s="1" t="s">
        <v>2576</v>
      </c>
      <c r="B2453" s="76">
        <v>47.971584</v>
      </c>
      <c r="C2453" s="76">
        <v>48.015479999999997</v>
      </c>
      <c r="D2453" s="76">
        <v>46.369362000000002</v>
      </c>
      <c r="E2453" s="76">
        <v>47.122917000000001</v>
      </c>
      <c r="F2453" s="76">
        <v>35.748027999999998</v>
      </c>
      <c r="G2453" s="79">
        <v>5321300</v>
      </c>
    </row>
    <row r="2454" spans="1:7" x14ac:dyDescent="0.25">
      <c r="A2454" s="1" t="s">
        <v>2577</v>
      </c>
      <c r="B2454" s="76">
        <v>46.859538999999998</v>
      </c>
      <c r="C2454" s="76">
        <v>47.027808999999998</v>
      </c>
      <c r="D2454" s="76">
        <v>44.642764999999997</v>
      </c>
      <c r="E2454" s="76">
        <v>44.737873</v>
      </c>
      <c r="F2454" s="76">
        <v>33.938693999999998</v>
      </c>
      <c r="G2454" s="79">
        <v>6451700</v>
      </c>
    </row>
    <row r="2455" spans="1:7" x14ac:dyDescent="0.25">
      <c r="A2455" s="1" t="s">
        <v>2578</v>
      </c>
      <c r="B2455" s="76">
        <v>43.501452999999998</v>
      </c>
      <c r="C2455" s="76">
        <v>45.674332</v>
      </c>
      <c r="D2455" s="76">
        <v>43.164916999999903</v>
      </c>
      <c r="E2455" s="76">
        <v>44.255012999999998</v>
      </c>
      <c r="F2455" s="76">
        <v>33.572387999999997</v>
      </c>
      <c r="G2455" s="79">
        <v>5116700</v>
      </c>
    </row>
    <row r="2456" spans="1:7" x14ac:dyDescent="0.25">
      <c r="A2456" s="1" t="s">
        <v>2579</v>
      </c>
      <c r="B2456" s="76">
        <v>44.774456000000001</v>
      </c>
      <c r="C2456" s="76">
        <v>45.930396999999999</v>
      </c>
      <c r="D2456" s="76">
        <v>44.481811999999998</v>
      </c>
      <c r="E2456" s="76">
        <v>45.315845000000003</v>
      </c>
      <c r="F2456" s="76">
        <v>34.377150999999998</v>
      </c>
      <c r="G2456" s="79">
        <v>4271400</v>
      </c>
    </row>
    <row r="2457" spans="1:7" x14ac:dyDescent="0.25">
      <c r="A2457" s="1" t="s">
        <v>2580</v>
      </c>
      <c r="B2457" s="76">
        <v>45.710915</v>
      </c>
      <c r="C2457" s="76">
        <v>46.449837000000002</v>
      </c>
      <c r="D2457" s="76">
        <v>44.701293999999997</v>
      </c>
      <c r="E2457" s="76">
        <v>45.403636999999897</v>
      </c>
      <c r="F2457" s="76">
        <v>34.443756</v>
      </c>
      <c r="G2457" s="79">
        <v>4058700</v>
      </c>
    </row>
    <row r="2458" spans="1:7" x14ac:dyDescent="0.25">
      <c r="A2458" s="1" t="s">
        <v>2581</v>
      </c>
      <c r="B2458" s="76">
        <v>44.928092999999997</v>
      </c>
      <c r="C2458" s="76">
        <v>45.469481999999999</v>
      </c>
      <c r="D2458" s="76">
        <v>44.423282999999998</v>
      </c>
      <c r="E2458" s="76">
        <v>45.147575000000003</v>
      </c>
      <c r="F2458" s="76">
        <v>34.249499999999998</v>
      </c>
      <c r="G2458" s="79">
        <v>2400900</v>
      </c>
    </row>
    <row r="2459" spans="1:7" x14ac:dyDescent="0.25">
      <c r="A2459" s="1" t="s">
        <v>2582</v>
      </c>
      <c r="B2459" s="76">
        <v>45.579223999999897</v>
      </c>
      <c r="C2459" s="76">
        <v>46.522998999999999</v>
      </c>
      <c r="D2459" s="76">
        <v>45.389004</v>
      </c>
      <c r="E2459" s="76">
        <v>45.908446999999903</v>
      </c>
      <c r="F2459" s="76">
        <v>34.826709999999999</v>
      </c>
      <c r="G2459" s="79">
        <v>2700900</v>
      </c>
    </row>
    <row r="2460" spans="1:7" x14ac:dyDescent="0.25">
      <c r="A2460" s="1" t="s">
        <v>2583</v>
      </c>
      <c r="B2460" s="76">
        <v>45.827971999999903</v>
      </c>
      <c r="C2460" s="76">
        <v>46.544949000000003</v>
      </c>
      <c r="D2460" s="76">
        <v>45.169521000000003</v>
      </c>
      <c r="E2460" s="76">
        <v>46.508365999999903</v>
      </c>
      <c r="F2460" s="76">
        <v>35.281818000000001</v>
      </c>
      <c r="G2460" s="79">
        <v>2001800</v>
      </c>
    </row>
    <row r="2461" spans="1:7" x14ac:dyDescent="0.25">
      <c r="A2461" s="1" t="s">
        <v>2584</v>
      </c>
      <c r="B2461" s="76">
        <v>46.508365999999903</v>
      </c>
      <c r="C2461" s="76">
        <v>46.969279999999998</v>
      </c>
      <c r="D2461" s="76">
        <v>45.952342999999999</v>
      </c>
      <c r="E2461" s="76">
        <v>46.252303999999903</v>
      </c>
      <c r="F2461" s="76">
        <v>35.087558999999999</v>
      </c>
      <c r="G2461" s="79">
        <v>1414400</v>
      </c>
    </row>
    <row r="2462" spans="1:7" x14ac:dyDescent="0.25">
      <c r="A2462" s="1" t="s">
        <v>2585</v>
      </c>
      <c r="B2462" s="76">
        <v>45.95966</v>
      </c>
      <c r="C2462" s="76">
        <v>46.252303999999903</v>
      </c>
      <c r="D2462" s="76">
        <v>44.993938</v>
      </c>
      <c r="E2462" s="76">
        <v>45.462165999999897</v>
      </c>
      <c r="F2462" s="76">
        <v>34.488154999999999</v>
      </c>
      <c r="G2462" s="79">
        <v>2476400</v>
      </c>
    </row>
    <row r="2463" spans="1:7" x14ac:dyDescent="0.25">
      <c r="A2463" s="1" t="s">
        <v>2586</v>
      </c>
      <c r="B2463" s="76">
        <v>45.857234999999903</v>
      </c>
      <c r="C2463" s="76">
        <v>47.642361000000001</v>
      </c>
      <c r="D2463" s="76">
        <v>45.857234999999903</v>
      </c>
      <c r="E2463" s="76">
        <v>47.327770000000001</v>
      </c>
      <c r="F2463" s="76">
        <v>35.903422999999997</v>
      </c>
      <c r="G2463" s="79">
        <v>4539900</v>
      </c>
    </row>
    <row r="2464" spans="1:7" x14ac:dyDescent="0.25">
      <c r="A2464" s="1" t="s">
        <v>2587</v>
      </c>
      <c r="B2464" s="76">
        <v>46.449837000000002</v>
      </c>
      <c r="C2464" s="76">
        <v>47.064388000000001</v>
      </c>
      <c r="D2464" s="76">
        <v>46.069400999999999</v>
      </c>
      <c r="E2464" s="76">
        <v>46.237670999999999</v>
      </c>
      <c r="F2464" s="76">
        <v>35.076481000000001</v>
      </c>
      <c r="G2464" s="79">
        <v>2948300</v>
      </c>
    </row>
    <row r="2465" spans="1:7" x14ac:dyDescent="0.25">
      <c r="A2465" s="1" t="s">
        <v>2588</v>
      </c>
      <c r="B2465" s="76">
        <v>45.323161999999897</v>
      </c>
      <c r="C2465" s="76">
        <v>46.062083999999999</v>
      </c>
      <c r="D2465" s="76">
        <v>44.262329000000001</v>
      </c>
      <c r="E2465" s="76">
        <v>44.832985000000001</v>
      </c>
      <c r="F2465" s="76">
        <v>34.010857000000001</v>
      </c>
      <c r="G2465" s="79">
        <v>5540300</v>
      </c>
    </row>
    <row r="2466" spans="1:7" x14ac:dyDescent="0.25">
      <c r="A2466" s="1" t="s">
        <v>2589</v>
      </c>
      <c r="B2466" s="76">
        <v>45.228050000000003</v>
      </c>
      <c r="C2466" s="76">
        <v>46.325465999999999</v>
      </c>
      <c r="D2466" s="76">
        <v>45.052467</v>
      </c>
      <c r="E2466" s="76">
        <v>46.230353999999998</v>
      </c>
      <c r="F2466" s="76">
        <v>35.070910999999903</v>
      </c>
      <c r="G2466" s="79">
        <v>3945400</v>
      </c>
    </row>
    <row r="2467" spans="1:7" x14ac:dyDescent="0.25">
      <c r="A2467" s="1" t="s">
        <v>2590</v>
      </c>
      <c r="B2467" s="76">
        <v>46.435206999999998</v>
      </c>
      <c r="C2467" s="76">
        <v>46.435206999999998</v>
      </c>
      <c r="D2467" s="76">
        <v>44.993938</v>
      </c>
      <c r="E2467" s="76">
        <v>45.352424999999997</v>
      </c>
      <c r="F2467" s="76">
        <v>34.404899999999998</v>
      </c>
      <c r="G2467" s="79">
        <v>5214400</v>
      </c>
    </row>
    <row r="2468" spans="1:7" x14ac:dyDescent="0.25">
      <c r="A2468" s="1" t="s">
        <v>2591</v>
      </c>
      <c r="B2468" s="76">
        <v>45.125625999999997</v>
      </c>
      <c r="C2468" s="76">
        <v>46.040137999999999</v>
      </c>
      <c r="D2468" s="76">
        <v>44.233063000000001</v>
      </c>
      <c r="E2468" s="76">
        <v>44.335487000000001</v>
      </c>
      <c r="F2468" s="76">
        <v>33.633445999999999</v>
      </c>
      <c r="G2468" s="79">
        <v>3901400</v>
      </c>
    </row>
    <row r="2469" spans="1:7" x14ac:dyDescent="0.25">
      <c r="A2469" s="1" t="s">
        <v>2592</v>
      </c>
      <c r="B2469" s="76">
        <v>44.364753999999998</v>
      </c>
      <c r="C2469" s="76">
        <v>45.279263</v>
      </c>
      <c r="D2469" s="76">
        <v>43.230758999999999</v>
      </c>
      <c r="E2469" s="76">
        <v>45.162208999999997</v>
      </c>
      <c r="F2469" s="76">
        <v>34.260609000000002</v>
      </c>
      <c r="G2469" s="79">
        <v>4001800</v>
      </c>
    </row>
    <row r="2470" spans="1:7" x14ac:dyDescent="0.25">
      <c r="A2470" s="1" t="s">
        <v>2593</v>
      </c>
      <c r="B2470" s="76">
        <v>45.491432000000003</v>
      </c>
      <c r="C2470" s="76">
        <v>45.506062</v>
      </c>
      <c r="D2470" s="76">
        <v>44.086742000000001</v>
      </c>
      <c r="E2470" s="76">
        <v>44.452545000000001</v>
      </c>
      <c r="F2470" s="76">
        <v>33.722248</v>
      </c>
      <c r="G2470" s="79">
        <v>2756300</v>
      </c>
    </row>
    <row r="2471" spans="1:7" x14ac:dyDescent="0.25">
      <c r="A2471" s="1" t="s">
        <v>2594</v>
      </c>
      <c r="B2471" s="76">
        <v>44.613498999999997</v>
      </c>
      <c r="C2471" s="76">
        <v>46.223038000000003</v>
      </c>
      <c r="D2471" s="76">
        <v>44.101376000000002</v>
      </c>
      <c r="E2471" s="76">
        <v>44.262329000000001</v>
      </c>
      <c r="F2471" s="76">
        <v>33.577953000000001</v>
      </c>
      <c r="G2471" s="79">
        <v>4426400</v>
      </c>
    </row>
    <row r="2472" spans="1:7" x14ac:dyDescent="0.25">
      <c r="A2472" s="1" t="s">
        <v>2595</v>
      </c>
      <c r="B2472" s="76">
        <v>44.174534000000001</v>
      </c>
      <c r="C2472" s="76">
        <v>44.525706999999997</v>
      </c>
      <c r="D2472" s="76">
        <v>43.128334000000002</v>
      </c>
      <c r="E2472" s="76">
        <v>43.442928000000002</v>
      </c>
      <c r="F2472" s="76">
        <v>32.956333000000001</v>
      </c>
      <c r="G2472" s="79">
        <v>3716400</v>
      </c>
    </row>
    <row r="2473" spans="1:7" x14ac:dyDescent="0.25">
      <c r="A2473" s="1" t="s">
        <v>2596</v>
      </c>
      <c r="B2473" s="76">
        <v>43.238075000000002</v>
      </c>
      <c r="C2473" s="76">
        <v>43.911155999999998</v>
      </c>
      <c r="D2473" s="76">
        <v>41.365158000000001</v>
      </c>
      <c r="E2473" s="76">
        <v>41.496848999999997</v>
      </c>
      <c r="F2473" s="76">
        <v>31.480015000000002</v>
      </c>
      <c r="G2473" s="79">
        <v>4634700</v>
      </c>
    </row>
    <row r="2474" spans="1:7" x14ac:dyDescent="0.25">
      <c r="A2474" s="1" t="s">
        <v>2597</v>
      </c>
      <c r="B2474" s="76">
        <v>42.2943</v>
      </c>
      <c r="C2474" s="76">
        <v>44.328175000000002</v>
      </c>
      <c r="D2474" s="76">
        <v>42.213825</v>
      </c>
      <c r="E2474" s="76">
        <v>44.218432999999997</v>
      </c>
      <c r="F2474" s="76">
        <v>33.544646999999998</v>
      </c>
      <c r="G2474" s="79">
        <v>4289200</v>
      </c>
    </row>
    <row r="2475" spans="1:7" x14ac:dyDescent="0.25">
      <c r="A2475" s="1" t="s">
        <v>2598</v>
      </c>
      <c r="B2475" s="76">
        <v>43.977001000000001</v>
      </c>
      <c r="C2475" s="76">
        <v>44.020896999999998</v>
      </c>
      <c r="D2475" s="76">
        <v>42.184559</v>
      </c>
      <c r="E2475" s="76">
        <v>43.574615000000001</v>
      </c>
      <c r="F2475" s="76">
        <v>33.056240000000003</v>
      </c>
      <c r="G2475" s="79">
        <v>6677900</v>
      </c>
    </row>
    <row r="2476" spans="1:7" x14ac:dyDescent="0.25">
      <c r="A2476" s="1" t="s">
        <v>2599</v>
      </c>
      <c r="B2476" s="76">
        <v>43.794097999999998</v>
      </c>
      <c r="C2476" s="76">
        <v>44.847614</v>
      </c>
      <c r="D2476" s="76">
        <v>42.286982999999999</v>
      </c>
      <c r="E2476" s="76">
        <v>44.072108999999998</v>
      </c>
      <c r="F2476" s="76">
        <v>33.433647000000001</v>
      </c>
      <c r="G2476" s="79">
        <v>5335200</v>
      </c>
    </row>
    <row r="2477" spans="1:7" x14ac:dyDescent="0.25">
      <c r="A2477" s="1" t="s">
        <v>2600</v>
      </c>
      <c r="B2477" s="76">
        <v>43.457557999999999</v>
      </c>
      <c r="C2477" s="76">
        <v>45.279263</v>
      </c>
      <c r="D2477" s="76">
        <v>43.201495999999999</v>
      </c>
      <c r="E2477" s="76">
        <v>45.184154999999997</v>
      </c>
      <c r="F2477" s="76">
        <v>34.277259999999998</v>
      </c>
      <c r="G2477" s="79">
        <v>4159300</v>
      </c>
    </row>
    <row r="2478" spans="1:7" x14ac:dyDescent="0.25">
      <c r="A2478" s="1" t="s">
        <v>2601</v>
      </c>
      <c r="B2478" s="76">
        <v>45.410953999999997</v>
      </c>
      <c r="C2478" s="76">
        <v>46.201091999999903</v>
      </c>
      <c r="D2478" s="76">
        <v>43.991633999999998</v>
      </c>
      <c r="E2478" s="76">
        <v>44.108691999999998</v>
      </c>
      <c r="F2478" s="76">
        <v>33.461387999999999</v>
      </c>
      <c r="G2478" s="79">
        <v>4276200</v>
      </c>
    </row>
    <row r="2479" spans="1:7" x14ac:dyDescent="0.25">
      <c r="A2479" s="1" t="s">
        <v>2602</v>
      </c>
      <c r="B2479" s="76">
        <v>44.511074000000001</v>
      </c>
      <c r="C2479" s="76">
        <v>45.762127</v>
      </c>
      <c r="D2479" s="76">
        <v>44.364753999999998</v>
      </c>
      <c r="E2479" s="76">
        <v>45.630435999999897</v>
      </c>
      <c r="F2479" s="76">
        <v>34.615806999999997</v>
      </c>
      <c r="G2479" s="79">
        <v>3310600</v>
      </c>
    </row>
    <row r="2480" spans="1:7" x14ac:dyDescent="0.25">
      <c r="A2480" s="1" t="s">
        <v>2603</v>
      </c>
      <c r="B2480" s="76">
        <v>44.825668</v>
      </c>
      <c r="C2480" s="76">
        <v>45.323161999999897</v>
      </c>
      <c r="D2480" s="76">
        <v>44.101376000000002</v>
      </c>
      <c r="E2480" s="76">
        <v>44.613498999999997</v>
      </c>
      <c r="F2480" s="76">
        <v>34.186374999999998</v>
      </c>
      <c r="G2480" s="79">
        <v>2574600</v>
      </c>
    </row>
    <row r="2481" spans="1:7" x14ac:dyDescent="0.25">
      <c r="A2481" s="1" t="s">
        <v>2604</v>
      </c>
      <c r="B2481" s="76">
        <v>45.030518000000001</v>
      </c>
      <c r="C2481" s="76">
        <v>47.005859000000001</v>
      </c>
      <c r="D2481" s="76">
        <v>45.030518000000001</v>
      </c>
      <c r="E2481" s="76">
        <v>46.961964000000002</v>
      </c>
      <c r="F2481" s="76">
        <v>35.985950000000003</v>
      </c>
      <c r="G2481" s="79">
        <v>3641600</v>
      </c>
    </row>
    <row r="2482" spans="1:7" x14ac:dyDescent="0.25">
      <c r="A2482" s="1" t="s">
        <v>2605</v>
      </c>
      <c r="B2482" s="76">
        <v>46.559578000000002</v>
      </c>
      <c r="C2482" s="76">
        <v>47.115600999999998</v>
      </c>
      <c r="D2482" s="76">
        <v>45.637752999999996</v>
      </c>
      <c r="E2482" s="76">
        <v>46.676636000000002</v>
      </c>
      <c r="F2482" s="76">
        <v>35.767302999999998</v>
      </c>
      <c r="G2482" s="79">
        <v>2863500</v>
      </c>
    </row>
    <row r="2483" spans="1:7" x14ac:dyDescent="0.25">
      <c r="A2483" s="1" t="s">
        <v>2606</v>
      </c>
      <c r="B2483" s="76">
        <v>47.203395999999998</v>
      </c>
      <c r="C2483" s="76">
        <v>47.971584</v>
      </c>
      <c r="D2483" s="76">
        <v>46.881489000000002</v>
      </c>
      <c r="E2483" s="76">
        <v>47.708205999999997</v>
      </c>
      <c r="F2483" s="76">
        <v>36.557780999999999</v>
      </c>
      <c r="G2483" s="79">
        <v>2936600</v>
      </c>
    </row>
    <row r="2484" spans="1:7" x14ac:dyDescent="0.25">
      <c r="A2484" s="1" t="s">
        <v>2607</v>
      </c>
      <c r="B2484" s="76">
        <v>47.635044000000001</v>
      </c>
      <c r="C2484" s="76">
        <v>47.920372</v>
      </c>
      <c r="D2484" s="76">
        <v>46.720534999999998</v>
      </c>
      <c r="E2484" s="76">
        <v>46.866855999999999</v>
      </c>
      <c r="F2484" s="76">
        <v>35.913071000000002</v>
      </c>
      <c r="G2484" s="79">
        <v>2724100</v>
      </c>
    </row>
    <row r="2485" spans="1:7" x14ac:dyDescent="0.25">
      <c r="A2485" s="1" t="s">
        <v>2608</v>
      </c>
      <c r="B2485" s="76">
        <v>47.108288000000002</v>
      </c>
      <c r="C2485" s="76">
        <v>48.110591999999997</v>
      </c>
      <c r="D2485" s="76">
        <v>46.983913000000001</v>
      </c>
      <c r="E2485" s="76">
        <v>47.781364000000004</v>
      </c>
      <c r="F2485" s="76">
        <v>36.613838000000001</v>
      </c>
      <c r="G2485" s="79">
        <v>2371000</v>
      </c>
    </row>
    <row r="2486" spans="1:7" x14ac:dyDescent="0.25">
      <c r="A2486" s="1" t="s">
        <v>2609</v>
      </c>
      <c r="B2486" s="76">
        <v>48.147171</v>
      </c>
      <c r="C2486" s="76">
        <v>49.361640999999999</v>
      </c>
      <c r="D2486" s="76">
        <v>48.132537999999997</v>
      </c>
      <c r="E2486" s="76">
        <v>48.886096999999999</v>
      </c>
      <c r="F2486" s="76">
        <v>37.460369</v>
      </c>
      <c r="G2486" s="79">
        <v>3465200</v>
      </c>
    </row>
    <row r="2487" spans="1:7" x14ac:dyDescent="0.25">
      <c r="A2487" s="1" t="s">
        <v>2610</v>
      </c>
      <c r="B2487" s="76">
        <v>48.849513999999999</v>
      </c>
      <c r="C2487" s="76">
        <v>49.332377999999999</v>
      </c>
      <c r="D2487" s="76">
        <v>48.300808000000004</v>
      </c>
      <c r="E2487" s="76">
        <v>48.366652999999999</v>
      </c>
      <c r="F2487" s="76">
        <v>37.062344000000003</v>
      </c>
      <c r="G2487" s="79">
        <v>3321000</v>
      </c>
    </row>
    <row r="2488" spans="1:7" x14ac:dyDescent="0.25">
      <c r="A2488" s="1" t="s">
        <v>2611</v>
      </c>
      <c r="B2488" s="76">
        <v>48.512974</v>
      </c>
      <c r="C2488" s="76">
        <v>49.712814000000002</v>
      </c>
      <c r="D2488" s="76">
        <v>48.213017000000001</v>
      </c>
      <c r="E2488" s="76">
        <v>49.529910999999998</v>
      </c>
      <c r="F2488" s="76">
        <v>37.953709000000003</v>
      </c>
      <c r="G2488" s="79">
        <v>2758000</v>
      </c>
    </row>
    <row r="2489" spans="1:7" x14ac:dyDescent="0.25">
      <c r="A2489" s="1" t="s">
        <v>2612</v>
      </c>
      <c r="B2489" s="76">
        <v>49.105578999999999</v>
      </c>
      <c r="C2489" s="76">
        <v>49.142158999999999</v>
      </c>
      <c r="D2489" s="76">
        <v>47.613093999999997</v>
      </c>
      <c r="E2489" s="76">
        <v>47.744785</v>
      </c>
      <c r="F2489" s="76">
        <v>36.585811999999997</v>
      </c>
      <c r="G2489" s="79">
        <v>3076200</v>
      </c>
    </row>
    <row r="2490" spans="1:7" x14ac:dyDescent="0.25">
      <c r="A2490" s="1" t="s">
        <v>2613</v>
      </c>
      <c r="B2490" s="76">
        <v>47.378982999999998</v>
      </c>
      <c r="C2490" s="76">
        <v>47.656993999999997</v>
      </c>
      <c r="D2490" s="76">
        <v>47.005859000000001</v>
      </c>
      <c r="E2490" s="76">
        <v>47.071705000000001</v>
      </c>
      <c r="F2490" s="76">
        <v>36.070045</v>
      </c>
      <c r="G2490" s="79">
        <v>3843900</v>
      </c>
    </row>
    <row r="2491" spans="1:7" x14ac:dyDescent="0.25">
      <c r="A2491" s="1" t="s">
        <v>2614</v>
      </c>
      <c r="B2491" s="76">
        <v>47.978901</v>
      </c>
      <c r="C2491" s="76">
        <v>48.695877000000003</v>
      </c>
      <c r="D2491" s="76">
        <v>47.583832000000001</v>
      </c>
      <c r="E2491" s="76">
        <v>47.898421999999997</v>
      </c>
      <c r="F2491" s="76">
        <v>36.703540999999902</v>
      </c>
      <c r="G2491" s="79">
        <v>3080500</v>
      </c>
    </row>
    <row r="2492" spans="1:7" x14ac:dyDescent="0.25">
      <c r="A2492" s="1" t="s">
        <v>2615</v>
      </c>
      <c r="B2492" s="76">
        <v>48.059376</v>
      </c>
      <c r="C2492" s="76">
        <v>48.059376</v>
      </c>
      <c r="D2492" s="76">
        <v>46.376677999999998</v>
      </c>
      <c r="E2492" s="76">
        <v>46.683951999999998</v>
      </c>
      <c r="F2492" s="76">
        <v>35.772922999999999</v>
      </c>
      <c r="G2492" s="79">
        <v>3013500</v>
      </c>
    </row>
    <row r="2493" spans="1:7" x14ac:dyDescent="0.25">
      <c r="A2493" s="1" t="s">
        <v>2616</v>
      </c>
      <c r="B2493" s="76">
        <v>46.837589000000001</v>
      </c>
      <c r="C2493" s="76">
        <v>47.444828000000001</v>
      </c>
      <c r="D2493" s="76">
        <v>46.683951999999998</v>
      </c>
      <c r="E2493" s="76">
        <v>47.013176000000001</v>
      </c>
      <c r="F2493" s="76">
        <v>36.025199999999998</v>
      </c>
      <c r="G2493" s="79">
        <v>1922700</v>
      </c>
    </row>
    <row r="2494" spans="1:7" x14ac:dyDescent="0.25">
      <c r="A2494" s="1" t="s">
        <v>2617</v>
      </c>
      <c r="B2494" s="76">
        <v>45.381691000000004</v>
      </c>
      <c r="C2494" s="76">
        <v>46.398623999999998</v>
      </c>
      <c r="D2494" s="76">
        <v>45.008567999999997</v>
      </c>
      <c r="E2494" s="76">
        <v>45.396320000000003</v>
      </c>
      <c r="F2494" s="76">
        <v>34.786231999999998</v>
      </c>
      <c r="G2494" s="79">
        <v>1457600</v>
      </c>
    </row>
    <row r="2495" spans="1:7" x14ac:dyDescent="0.25">
      <c r="A2495" s="1" t="s">
        <v>2618</v>
      </c>
      <c r="B2495" s="76">
        <v>45.645068999999999</v>
      </c>
      <c r="C2495" s="76">
        <v>48.037430000000001</v>
      </c>
      <c r="D2495" s="76">
        <v>45.315845000000003</v>
      </c>
      <c r="E2495" s="76">
        <v>47.891106000000001</v>
      </c>
      <c r="F2495" s="76">
        <v>36.697936999999897</v>
      </c>
      <c r="G2495" s="79">
        <v>4551000</v>
      </c>
    </row>
    <row r="2496" spans="1:7" x14ac:dyDescent="0.25">
      <c r="A2496" s="1" t="s">
        <v>2619</v>
      </c>
      <c r="B2496" s="76">
        <v>48.234962000000003</v>
      </c>
      <c r="C2496" s="76">
        <v>49.303111999999999</v>
      </c>
      <c r="D2496" s="76">
        <v>47.847209999999997</v>
      </c>
      <c r="E2496" s="76">
        <v>48.886096999999999</v>
      </c>
      <c r="F2496" s="76">
        <v>37.460369</v>
      </c>
      <c r="G2496" s="79">
        <v>3613900</v>
      </c>
    </row>
    <row r="2497" spans="1:7" x14ac:dyDescent="0.25">
      <c r="A2497" s="1" t="s">
        <v>2620</v>
      </c>
      <c r="B2497" s="76">
        <v>48.739773</v>
      </c>
      <c r="C2497" s="76">
        <v>50.568793999999997</v>
      </c>
      <c r="D2497" s="76">
        <v>48.571503</v>
      </c>
      <c r="E2497" s="76">
        <v>50.232253999999998</v>
      </c>
      <c r="F2497" s="76">
        <v>38.491894000000002</v>
      </c>
      <c r="G2497" s="79">
        <v>3664000</v>
      </c>
    </row>
    <row r="2498" spans="1:7" x14ac:dyDescent="0.25">
      <c r="A2498" s="1" t="s">
        <v>2621</v>
      </c>
      <c r="B2498" s="76">
        <v>49.793289000000001</v>
      </c>
      <c r="C2498" s="76">
        <v>51.702789000000003</v>
      </c>
      <c r="D2498" s="76">
        <v>49.742077000000002</v>
      </c>
      <c r="E2498" s="76">
        <v>49.968876000000002</v>
      </c>
      <c r="F2498" s="76">
        <v>38.290084999999998</v>
      </c>
      <c r="G2498" s="79">
        <v>5600900</v>
      </c>
    </row>
    <row r="2499" spans="1:7" x14ac:dyDescent="0.25">
      <c r="A2499" s="1" t="s">
        <v>2622</v>
      </c>
      <c r="B2499" s="76">
        <v>50.715117999999997</v>
      </c>
      <c r="C2499" s="76">
        <v>51.622310999999897</v>
      </c>
      <c r="D2499" s="76">
        <v>50.429789999999997</v>
      </c>
      <c r="E2499" s="76">
        <v>51.351616</v>
      </c>
      <c r="F2499" s="76">
        <v>39.349651000000001</v>
      </c>
      <c r="G2499" s="79">
        <v>4827900</v>
      </c>
    </row>
    <row r="2500" spans="1:7" x14ac:dyDescent="0.25">
      <c r="A2500" s="1" t="s">
        <v>2623</v>
      </c>
      <c r="B2500" s="76">
        <v>51.022391999999897</v>
      </c>
      <c r="C2500" s="76">
        <v>51.300404</v>
      </c>
      <c r="D2500" s="76">
        <v>50.217624999999998</v>
      </c>
      <c r="E2500" s="76">
        <v>50.488318999999997</v>
      </c>
      <c r="F2500" s="76">
        <v>38.688117999999903</v>
      </c>
      <c r="G2500" s="79">
        <v>5222400</v>
      </c>
    </row>
    <row r="2501" spans="1:7" x14ac:dyDescent="0.25">
      <c r="A2501" s="1" t="s">
        <v>2624</v>
      </c>
      <c r="B2501" s="76">
        <v>50.305415999999902</v>
      </c>
      <c r="C2501" s="76">
        <v>51.102871</v>
      </c>
      <c r="D2501" s="76">
        <v>50.042037999999998</v>
      </c>
      <c r="E2501" s="76">
        <v>50.429789999999997</v>
      </c>
      <c r="F2501" s="76">
        <v>38.643268999999997</v>
      </c>
      <c r="G2501" s="79">
        <v>4493200</v>
      </c>
    </row>
    <row r="2502" spans="1:7" x14ac:dyDescent="0.25">
      <c r="A2502" s="1" t="s">
        <v>2625</v>
      </c>
      <c r="B2502" s="76">
        <v>50.751697999999998</v>
      </c>
      <c r="C2502" s="76">
        <v>51.102871</v>
      </c>
      <c r="D2502" s="76">
        <v>50.115195999999997</v>
      </c>
      <c r="E2502" s="76">
        <v>50.554164999999998</v>
      </c>
      <c r="F2502" s="76">
        <v>38.738582999999998</v>
      </c>
      <c r="G2502" s="79">
        <v>3390900</v>
      </c>
    </row>
    <row r="2503" spans="1:7" x14ac:dyDescent="0.25">
      <c r="A2503" s="1" t="s">
        <v>2626</v>
      </c>
      <c r="B2503" s="76">
        <v>50.766331000000001</v>
      </c>
      <c r="C2503" s="76">
        <v>51.044342</v>
      </c>
      <c r="D2503" s="76">
        <v>49.961559000000001</v>
      </c>
      <c r="E2503" s="76">
        <v>50.320048999999997</v>
      </c>
      <c r="F2503" s="76">
        <v>38.559176999999998</v>
      </c>
      <c r="G2503" s="79">
        <v>2450600</v>
      </c>
    </row>
    <row r="2504" spans="1:7" x14ac:dyDescent="0.25">
      <c r="A2504" s="1" t="s">
        <v>2627</v>
      </c>
      <c r="B2504" s="76">
        <v>50.576110999999997</v>
      </c>
      <c r="C2504" s="76">
        <v>51.022391999999897</v>
      </c>
      <c r="D2504" s="76">
        <v>50.063983999999998</v>
      </c>
      <c r="E2504" s="76">
        <v>50.963863000000003</v>
      </c>
      <c r="F2504" s="76">
        <v>39.052512999999998</v>
      </c>
      <c r="G2504" s="79">
        <v>2726100</v>
      </c>
    </row>
    <row r="2505" spans="1:7" x14ac:dyDescent="0.25">
      <c r="A2505" s="1" t="s">
        <v>2628</v>
      </c>
      <c r="B2505" s="76">
        <v>51.073605000000001</v>
      </c>
      <c r="C2505" s="76">
        <v>51.936904999999904</v>
      </c>
      <c r="D2505" s="76">
        <v>50.488318999999997</v>
      </c>
      <c r="E2505" s="76">
        <v>51.871059000000002</v>
      </c>
      <c r="F2505" s="76">
        <v>39.747684</v>
      </c>
      <c r="G2505" s="79">
        <v>3551700</v>
      </c>
    </row>
    <row r="2506" spans="1:7" x14ac:dyDescent="0.25">
      <c r="A2506" s="1" t="s">
        <v>2629</v>
      </c>
      <c r="B2506" s="76">
        <v>51.388199</v>
      </c>
      <c r="C2506" s="76">
        <v>51.622310999999897</v>
      </c>
      <c r="D2506" s="76">
        <v>50.919967999999997</v>
      </c>
      <c r="E2506" s="76">
        <v>51.110188000000001</v>
      </c>
      <c r="F2506" s="76">
        <v>39.164645999999998</v>
      </c>
      <c r="G2506" s="79">
        <v>2768500</v>
      </c>
    </row>
    <row r="2507" spans="1:7" x14ac:dyDescent="0.25">
      <c r="A2507" s="1" t="s">
        <v>2630</v>
      </c>
      <c r="B2507" s="76">
        <v>51.475990000000003</v>
      </c>
      <c r="C2507" s="76">
        <v>51.871059000000002</v>
      </c>
      <c r="D2507" s="76">
        <v>50.956547</v>
      </c>
      <c r="E2507" s="76">
        <v>51.212612</v>
      </c>
      <c r="F2507" s="76">
        <v>39.243125999999997</v>
      </c>
      <c r="G2507" s="79">
        <v>2894300</v>
      </c>
    </row>
    <row r="2508" spans="1:7" x14ac:dyDescent="0.25">
      <c r="A2508" s="1" t="s">
        <v>2631</v>
      </c>
      <c r="B2508" s="76">
        <v>50.868755</v>
      </c>
      <c r="C2508" s="76">
        <v>51.402828</v>
      </c>
      <c r="D2508" s="76">
        <v>50.605376999999997</v>
      </c>
      <c r="E2508" s="76">
        <v>50.94923</v>
      </c>
      <c r="F2508" s="76">
        <v>39.041305999999999</v>
      </c>
      <c r="G2508" s="79">
        <v>3497000</v>
      </c>
    </row>
    <row r="2509" spans="1:7" x14ac:dyDescent="0.25">
      <c r="A2509" s="1" t="s">
        <v>2632</v>
      </c>
      <c r="B2509" s="76">
        <v>51.000445999999997</v>
      </c>
      <c r="C2509" s="76">
        <v>51.154083</v>
      </c>
      <c r="D2509" s="76">
        <v>50.107883000000001</v>
      </c>
      <c r="E2509" s="76">
        <v>50.883389000000001</v>
      </c>
      <c r="F2509" s="76">
        <v>38.990859999999998</v>
      </c>
      <c r="G2509" s="79">
        <v>3410500</v>
      </c>
    </row>
    <row r="2510" spans="1:7" x14ac:dyDescent="0.25">
      <c r="A2510" s="1" t="s">
        <v>2633</v>
      </c>
      <c r="B2510" s="76">
        <v>50.993130000000001</v>
      </c>
      <c r="C2510" s="76">
        <v>51.629626999999999</v>
      </c>
      <c r="D2510" s="76">
        <v>50.956547</v>
      </c>
      <c r="E2510" s="76">
        <v>51.468674</v>
      </c>
      <c r="F2510" s="76">
        <v>39.439346</v>
      </c>
      <c r="G2510" s="79">
        <v>2012600</v>
      </c>
    </row>
    <row r="2511" spans="1:7" x14ac:dyDescent="0.25">
      <c r="A2511" s="1" t="s">
        <v>2634</v>
      </c>
      <c r="B2511" s="76">
        <v>51.468674</v>
      </c>
      <c r="C2511" s="76">
        <v>51.914954999999999</v>
      </c>
      <c r="D2511" s="76">
        <v>51.110188000000001</v>
      </c>
      <c r="E2511" s="76">
        <v>51.578415</v>
      </c>
      <c r="F2511" s="76">
        <v>39.523440999999998</v>
      </c>
      <c r="G2511" s="79">
        <v>2162500</v>
      </c>
    </row>
    <row r="2512" spans="1:7" x14ac:dyDescent="0.25">
      <c r="A2512" s="1" t="s">
        <v>2635</v>
      </c>
      <c r="B2512" s="76">
        <v>51.512568999999999</v>
      </c>
      <c r="C2512" s="76">
        <v>52.741672999999999</v>
      </c>
      <c r="D2512" s="76">
        <v>51.512568999999999</v>
      </c>
      <c r="E2512" s="76">
        <v>51.914954999999999</v>
      </c>
      <c r="F2512" s="76">
        <v>39.781321999999903</v>
      </c>
      <c r="G2512" s="79">
        <v>2342000</v>
      </c>
    </row>
    <row r="2513" spans="1:7" x14ac:dyDescent="0.25">
      <c r="A2513" s="1" t="s">
        <v>2636</v>
      </c>
      <c r="B2513" s="76">
        <v>51.929588000000003</v>
      </c>
      <c r="C2513" s="76">
        <v>52.748989000000002</v>
      </c>
      <c r="D2513" s="76">
        <v>51.907639000000003</v>
      </c>
      <c r="E2513" s="76">
        <v>52.705092999999998</v>
      </c>
      <c r="F2513" s="76">
        <v>40.386783999999999</v>
      </c>
      <c r="G2513" s="79">
        <v>1076200</v>
      </c>
    </row>
    <row r="2514" spans="1:7" x14ac:dyDescent="0.25">
      <c r="A2514" s="1" t="s">
        <v>2637</v>
      </c>
      <c r="B2514" s="76">
        <v>52.983105000000002</v>
      </c>
      <c r="C2514" s="76">
        <v>54.109782999999901</v>
      </c>
      <c r="D2514" s="76">
        <v>52.763621999999998</v>
      </c>
      <c r="E2514" s="76">
        <v>53.041633999999902</v>
      </c>
      <c r="F2514" s="76">
        <v>40.644683999999998</v>
      </c>
      <c r="G2514" s="79">
        <v>2014800</v>
      </c>
    </row>
    <row r="2515" spans="1:7" x14ac:dyDescent="0.25">
      <c r="A2515" s="1" t="s">
        <v>2638</v>
      </c>
      <c r="B2515" s="76">
        <v>53.253799000000001</v>
      </c>
      <c r="C2515" s="76">
        <v>53.465964999999997</v>
      </c>
      <c r="D2515" s="76">
        <v>52.156387000000002</v>
      </c>
      <c r="E2515" s="76">
        <v>52.236862000000002</v>
      </c>
      <c r="F2515" s="76">
        <v>40.027991999999998</v>
      </c>
      <c r="G2515" s="79">
        <v>1521500</v>
      </c>
    </row>
    <row r="2516" spans="1:7" x14ac:dyDescent="0.25">
      <c r="A2516" s="1" t="s">
        <v>2639</v>
      </c>
      <c r="B2516" s="76">
        <v>51.914954999999999</v>
      </c>
      <c r="C2516" s="76">
        <v>52.214915999999903</v>
      </c>
      <c r="D2516" s="76">
        <v>51.454040999999997</v>
      </c>
      <c r="E2516" s="76">
        <v>52.214915999999903</v>
      </c>
      <c r="F2516" s="76">
        <v>40.011169000000002</v>
      </c>
      <c r="G2516" s="79">
        <v>1408900</v>
      </c>
    </row>
    <row r="2517" spans="1:7" x14ac:dyDescent="0.25">
      <c r="A2517" s="1" t="s">
        <v>2640</v>
      </c>
      <c r="B2517" s="76">
        <v>52.171016999999999</v>
      </c>
      <c r="C2517" s="76">
        <v>52.851413999999998</v>
      </c>
      <c r="D2517" s="76">
        <v>51.154083</v>
      </c>
      <c r="E2517" s="76">
        <v>51.168715999999897</v>
      </c>
      <c r="F2517" s="76">
        <v>39.209496000000001</v>
      </c>
      <c r="G2517" s="79">
        <v>1760300</v>
      </c>
    </row>
    <row r="2518" spans="1:7" x14ac:dyDescent="0.25">
      <c r="A2518" s="1" t="s">
        <v>2641</v>
      </c>
      <c r="B2518" s="76">
        <v>51.680840000000003</v>
      </c>
      <c r="C2518" s="76">
        <v>52.266128999999999</v>
      </c>
      <c r="D2518" s="76">
        <v>50.927284</v>
      </c>
      <c r="E2518" s="76">
        <v>51.227241999999997</v>
      </c>
      <c r="F2518" s="76">
        <v>39.254340999999997</v>
      </c>
      <c r="G2518" s="79">
        <v>2307500</v>
      </c>
    </row>
    <row r="2519" spans="1:7" x14ac:dyDescent="0.25">
      <c r="A2519" s="1" t="s">
        <v>2642</v>
      </c>
      <c r="B2519" s="76">
        <v>51.263824</v>
      </c>
      <c r="C2519" s="76">
        <v>51.263824</v>
      </c>
      <c r="D2519" s="76">
        <v>50.232253999999998</v>
      </c>
      <c r="E2519" s="76">
        <v>50.839489</v>
      </c>
      <c r="F2519" s="76">
        <v>38.957217999999997</v>
      </c>
      <c r="G2519" s="79">
        <v>2752000</v>
      </c>
    </row>
    <row r="2520" spans="1:7" x14ac:dyDescent="0.25">
      <c r="A2520" s="1" t="s">
        <v>2643</v>
      </c>
      <c r="B2520" s="76">
        <v>50.905334000000003</v>
      </c>
      <c r="C2520" s="76">
        <v>51.358932000000003</v>
      </c>
      <c r="D2520" s="76">
        <v>50.276153999999998</v>
      </c>
      <c r="E2520" s="76">
        <v>50.634639999999997</v>
      </c>
      <c r="F2520" s="76">
        <v>38.800235999999998</v>
      </c>
      <c r="G2520" s="79">
        <v>2105000</v>
      </c>
    </row>
    <row r="2521" spans="1:7" x14ac:dyDescent="0.25">
      <c r="A2521" s="1" t="s">
        <v>2644</v>
      </c>
      <c r="B2521" s="76">
        <v>50.481003000000001</v>
      </c>
      <c r="C2521" s="76">
        <v>52.017379999999903</v>
      </c>
      <c r="D2521" s="76">
        <v>50.188358000000001</v>
      </c>
      <c r="E2521" s="76">
        <v>51.417460999999903</v>
      </c>
      <c r="F2521" s="76">
        <v>39.400104999999897</v>
      </c>
      <c r="G2521" s="79">
        <v>2492100</v>
      </c>
    </row>
    <row r="2522" spans="1:7" x14ac:dyDescent="0.25">
      <c r="A2522" s="1" t="s">
        <v>2645</v>
      </c>
      <c r="B2522" s="76">
        <v>51.007759</v>
      </c>
      <c r="C2522" s="76">
        <v>51.234558</v>
      </c>
      <c r="D2522" s="76">
        <v>50.363945000000001</v>
      </c>
      <c r="E2522" s="76">
        <v>50.846806000000001</v>
      </c>
      <c r="F2522" s="76">
        <v>38.962814000000002</v>
      </c>
      <c r="G2522" s="79">
        <v>1729900</v>
      </c>
    </row>
    <row r="2523" spans="1:7" x14ac:dyDescent="0.25">
      <c r="A2523" s="1" t="s">
        <v>2646</v>
      </c>
      <c r="B2523" s="76">
        <v>51.044342</v>
      </c>
      <c r="C2523" s="76">
        <v>51.315036999999997</v>
      </c>
      <c r="D2523" s="76">
        <v>50.590744000000001</v>
      </c>
      <c r="E2523" s="76">
        <v>51.007759</v>
      </c>
      <c r="F2523" s="76">
        <v>39.086162999999999</v>
      </c>
      <c r="G2523" s="79">
        <v>1449600</v>
      </c>
    </row>
    <row r="2524" spans="1:7" x14ac:dyDescent="0.25">
      <c r="A2524" s="1" t="s">
        <v>2647</v>
      </c>
      <c r="B2524" s="76">
        <v>50.649273000000001</v>
      </c>
      <c r="C2524" s="76">
        <v>51.000445999999997</v>
      </c>
      <c r="D2524" s="76">
        <v>49.749392999999998</v>
      </c>
      <c r="E2524" s="76">
        <v>50.305415999999902</v>
      </c>
      <c r="F2524" s="76">
        <v>38.547961999999998</v>
      </c>
      <c r="G2524" s="79">
        <v>2121200</v>
      </c>
    </row>
    <row r="2525" spans="1:7" x14ac:dyDescent="0.25">
      <c r="A2525" s="1" t="s">
        <v>2648</v>
      </c>
      <c r="B2525" s="76">
        <v>50.473686000000001</v>
      </c>
      <c r="C2525" s="76">
        <v>51.644259999999903</v>
      </c>
      <c r="D2525" s="76">
        <v>50.151778999999998</v>
      </c>
      <c r="E2525" s="76">
        <v>51.549151999999999</v>
      </c>
      <c r="F2525" s="76">
        <v>39.501015000000002</v>
      </c>
      <c r="G2525" s="79">
        <v>2809700</v>
      </c>
    </row>
    <row r="2526" spans="1:7" x14ac:dyDescent="0.25">
      <c r="A2526" s="1" t="s">
        <v>2649</v>
      </c>
      <c r="B2526" s="76">
        <v>51.380882</v>
      </c>
      <c r="C2526" s="76">
        <v>51.863742999999999</v>
      </c>
      <c r="D2526" s="76">
        <v>51.132133000000003</v>
      </c>
      <c r="E2526" s="76">
        <v>51.761318000000003</v>
      </c>
      <c r="F2526" s="76">
        <v>39.663585999999903</v>
      </c>
      <c r="G2526" s="79">
        <v>2268900</v>
      </c>
    </row>
    <row r="2527" spans="1:7" x14ac:dyDescent="0.25">
      <c r="A2527" s="1" t="s">
        <v>2650</v>
      </c>
      <c r="B2527" s="76">
        <v>51.585732</v>
      </c>
      <c r="C2527" s="76">
        <v>51.812531</v>
      </c>
      <c r="D2527" s="76">
        <v>51.022391999999897</v>
      </c>
      <c r="E2527" s="76">
        <v>51.285769999999999</v>
      </c>
      <c r="F2527" s="76">
        <v>39.299205999999998</v>
      </c>
      <c r="G2527" s="79">
        <v>2863700</v>
      </c>
    </row>
    <row r="2528" spans="1:7" x14ac:dyDescent="0.25">
      <c r="A2528" s="1" t="s">
        <v>2651</v>
      </c>
      <c r="B2528" s="76">
        <v>51.315036999999997</v>
      </c>
      <c r="C2528" s="76">
        <v>51.980801</v>
      </c>
      <c r="D2528" s="76">
        <v>51.080920999999996</v>
      </c>
      <c r="E2528" s="76">
        <v>51.710106000000003</v>
      </c>
      <c r="F2528" s="76">
        <v>39.624347999999998</v>
      </c>
      <c r="G2528" s="79">
        <v>3320500</v>
      </c>
    </row>
    <row r="2529" spans="1:7" x14ac:dyDescent="0.25">
      <c r="A2529" s="1" t="s">
        <v>2652</v>
      </c>
      <c r="B2529" s="76">
        <v>51.366248999999897</v>
      </c>
      <c r="C2529" s="76">
        <v>51.366248999999897</v>
      </c>
      <c r="D2529" s="76">
        <v>50.378577999999997</v>
      </c>
      <c r="E2529" s="76">
        <v>50.590744000000001</v>
      </c>
      <c r="F2529" s="76">
        <v>38.766613</v>
      </c>
      <c r="G2529" s="79">
        <v>2609200</v>
      </c>
    </row>
    <row r="2530" spans="1:7" x14ac:dyDescent="0.25">
      <c r="A2530" s="1" t="s">
        <v>2653</v>
      </c>
      <c r="B2530" s="76">
        <v>50.612693999999998</v>
      </c>
      <c r="C2530" s="76">
        <v>50.934601000000001</v>
      </c>
      <c r="D2530" s="76">
        <v>48.593451999999999</v>
      </c>
      <c r="E2530" s="76">
        <v>48.651980999999999</v>
      </c>
      <c r="F2530" s="76">
        <v>37.280971999999998</v>
      </c>
      <c r="G2530" s="79">
        <v>3954100</v>
      </c>
    </row>
    <row r="2531" spans="1:7" x14ac:dyDescent="0.25">
      <c r="A2531" s="1" t="s">
        <v>2654</v>
      </c>
      <c r="B2531" s="76">
        <v>48.637347999999903</v>
      </c>
      <c r="C2531" s="76">
        <v>49.215321000000003</v>
      </c>
      <c r="D2531" s="76">
        <v>47.122917000000001</v>
      </c>
      <c r="E2531" s="76">
        <v>47.342399999999998</v>
      </c>
      <c r="F2531" s="76">
        <v>36.277465999999997</v>
      </c>
      <c r="G2531" s="79">
        <v>3469000</v>
      </c>
    </row>
    <row r="2532" spans="1:7" x14ac:dyDescent="0.25">
      <c r="A2532" s="1" t="s">
        <v>2655</v>
      </c>
      <c r="B2532" s="76">
        <v>48.110591999999997</v>
      </c>
      <c r="C2532" s="76">
        <v>48.110591999999997</v>
      </c>
      <c r="D2532" s="76">
        <v>46.815643000000001</v>
      </c>
      <c r="E2532" s="76">
        <v>47.488723999999998</v>
      </c>
      <c r="F2532" s="76">
        <v>36.389590999999903</v>
      </c>
      <c r="G2532" s="79">
        <v>3221100</v>
      </c>
    </row>
    <row r="2533" spans="1:7" x14ac:dyDescent="0.25">
      <c r="A2533" s="1" t="s">
        <v>2656</v>
      </c>
      <c r="B2533" s="76">
        <v>46.822959999999902</v>
      </c>
      <c r="C2533" s="76">
        <v>47.700890000000001</v>
      </c>
      <c r="D2533" s="76">
        <v>46.640056999999999</v>
      </c>
      <c r="E2533" s="76">
        <v>46.947330000000001</v>
      </c>
      <c r="F2533" s="76">
        <v>36.338627000000002</v>
      </c>
      <c r="G2533" s="79">
        <v>2659100</v>
      </c>
    </row>
    <row r="2534" spans="1:7" x14ac:dyDescent="0.25">
      <c r="A2534" s="1" t="s">
        <v>2657</v>
      </c>
      <c r="B2534" s="76">
        <v>46.786377000000002</v>
      </c>
      <c r="C2534" s="76">
        <v>47.700890000000001</v>
      </c>
      <c r="D2534" s="76">
        <v>46.193775000000002</v>
      </c>
      <c r="E2534" s="76">
        <v>47.620410999999997</v>
      </c>
      <c r="F2534" s="76">
        <v>36.859614999999998</v>
      </c>
      <c r="G2534" s="79">
        <v>2940000</v>
      </c>
    </row>
    <row r="2535" spans="1:7" x14ac:dyDescent="0.25">
      <c r="A2535" s="1" t="s">
        <v>2658</v>
      </c>
      <c r="B2535" s="76">
        <v>47.905738999999997</v>
      </c>
      <c r="C2535" s="76">
        <v>48.022796999999997</v>
      </c>
      <c r="D2535" s="76">
        <v>47.013176000000001</v>
      </c>
      <c r="E2535" s="76">
        <v>47.327770000000001</v>
      </c>
      <c r="F2535" s="76">
        <v>36.633105999999998</v>
      </c>
      <c r="G2535" s="79">
        <v>2597900</v>
      </c>
    </row>
    <row r="2536" spans="1:7" x14ac:dyDescent="0.25">
      <c r="A2536" s="1" t="s">
        <v>2659</v>
      </c>
      <c r="B2536" s="76">
        <v>47.532618999999997</v>
      </c>
      <c r="C2536" s="76">
        <v>48.264229</v>
      </c>
      <c r="D2536" s="76">
        <v>47.013176000000001</v>
      </c>
      <c r="E2536" s="76">
        <v>47.320453999999998</v>
      </c>
      <c r="F2536" s="76">
        <v>36.627440999999997</v>
      </c>
      <c r="G2536" s="79">
        <v>3825800</v>
      </c>
    </row>
    <row r="2537" spans="1:7" x14ac:dyDescent="0.25">
      <c r="A2537" s="1" t="s">
        <v>2660</v>
      </c>
      <c r="B2537" s="76">
        <v>47.678939999999997</v>
      </c>
      <c r="C2537" s="76">
        <v>48.330073999999897</v>
      </c>
      <c r="D2537" s="76">
        <v>47.583832000000001</v>
      </c>
      <c r="E2537" s="76">
        <v>48.330073999999897</v>
      </c>
      <c r="F2537" s="76">
        <v>37.408920000000002</v>
      </c>
      <c r="G2537" s="79">
        <v>3043300</v>
      </c>
    </row>
    <row r="2538" spans="1:7" x14ac:dyDescent="0.25">
      <c r="A2538" s="1" t="s">
        <v>2661</v>
      </c>
      <c r="B2538" s="76">
        <v>48.483711</v>
      </c>
      <c r="C2538" s="76">
        <v>49.032416999999903</v>
      </c>
      <c r="D2538" s="76">
        <v>47.832580999999998</v>
      </c>
      <c r="E2538" s="76">
        <v>48.922676000000003</v>
      </c>
      <c r="F2538" s="76">
        <v>37.867603000000003</v>
      </c>
      <c r="G2538" s="79">
        <v>3185800</v>
      </c>
    </row>
    <row r="2539" spans="1:7" x14ac:dyDescent="0.25">
      <c r="A2539" s="1" t="s">
        <v>2662</v>
      </c>
      <c r="B2539" s="76">
        <v>48.600769</v>
      </c>
      <c r="C2539" s="76">
        <v>48.615397999999999</v>
      </c>
      <c r="D2539" s="76">
        <v>47.642361000000001</v>
      </c>
      <c r="E2539" s="76">
        <v>47.942321999999997</v>
      </c>
      <c r="F2539" s="76">
        <v>37.108784</v>
      </c>
      <c r="G2539" s="79">
        <v>2344400</v>
      </c>
    </row>
    <row r="2540" spans="1:7" x14ac:dyDescent="0.25">
      <c r="A2540" s="1" t="s">
        <v>2663</v>
      </c>
      <c r="B2540" s="76">
        <v>47.642361000000001</v>
      </c>
      <c r="C2540" s="76">
        <v>47.803314</v>
      </c>
      <c r="D2540" s="76">
        <v>46.120612999999999</v>
      </c>
      <c r="E2540" s="76">
        <v>46.186458999999999</v>
      </c>
      <c r="F2540" s="76">
        <v>35.749690999999999</v>
      </c>
      <c r="G2540" s="79">
        <v>4845800</v>
      </c>
    </row>
    <row r="2541" spans="1:7" x14ac:dyDescent="0.25">
      <c r="A2541" s="1" t="s">
        <v>2664</v>
      </c>
      <c r="B2541" s="76">
        <v>46.332782999999999</v>
      </c>
      <c r="C2541" s="76">
        <v>47.335082999999997</v>
      </c>
      <c r="D2541" s="76">
        <v>45.549960999999897</v>
      </c>
      <c r="E2541" s="76">
        <v>47.020493000000002</v>
      </c>
      <c r="F2541" s="76">
        <v>36.395255999999897</v>
      </c>
      <c r="G2541" s="79">
        <v>4193900</v>
      </c>
    </row>
    <row r="2542" spans="1:7" x14ac:dyDescent="0.25">
      <c r="A2542" s="1" t="s">
        <v>2665</v>
      </c>
      <c r="B2542" s="76">
        <v>46.903434999999902</v>
      </c>
      <c r="C2542" s="76">
        <v>47.532618999999997</v>
      </c>
      <c r="D2542" s="76">
        <v>45.871867999999999</v>
      </c>
      <c r="E2542" s="76">
        <v>45.996243</v>
      </c>
      <c r="F2542" s="76">
        <v>35.602454999999999</v>
      </c>
      <c r="G2542" s="79">
        <v>2840500</v>
      </c>
    </row>
    <row r="2543" spans="1:7" x14ac:dyDescent="0.25">
      <c r="A2543" s="1" t="s">
        <v>2666</v>
      </c>
      <c r="B2543" s="76">
        <v>46.559578000000002</v>
      </c>
      <c r="C2543" s="76">
        <v>46.859538999999998</v>
      </c>
      <c r="D2543" s="76">
        <v>45.345108000000003</v>
      </c>
      <c r="E2543" s="76">
        <v>46.098666999999999</v>
      </c>
      <c r="F2543" s="76">
        <v>35.681746999999902</v>
      </c>
      <c r="G2543" s="79">
        <v>3291000</v>
      </c>
    </row>
    <row r="2544" spans="1:7" x14ac:dyDescent="0.25">
      <c r="A2544" s="1" t="s">
        <v>2667</v>
      </c>
      <c r="B2544" s="76">
        <v>46.032821999999904</v>
      </c>
      <c r="C2544" s="76">
        <v>46.603476999999998</v>
      </c>
      <c r="D2544" s="76">
        <v>45.184154999999997</v>
      </c>
      <c r="E2544" s="76">
        <v>45.915764000000003</v>
      </c>
      <c r="F2544" s="76">
        <v>35.540165000000002</v>
      </c>
      <c r="G2544" s="79">
        <v>3038700</v>
      </c>
    </row>
    <row r="2545" spans="1:7" x14ac:dyDescent="0.25">
      <c r="A2545" s="1" t="s">
        <v>2668</v>
      </c>
      <c r="B2545" s="76">
        <v>45.857234999999903</v>
      </c>
      <c r="C2545" s="76">
        <v>46.084034000000003</v>
      </c>
      <c r="D2545" s="76">
        <v>45.271949999999997</v>
      </c>
      <c r="E2545" s="76">
        <v>45.718231000000003</v>
      </c>
      <c r="F2545" s="76">
        <v>35.387267999999999</v>
      </c>
      <c r="G2545" s="79">
        <v>3228200</v>
      </c>
    </row>
    <row r="2546" spans="1:7" x14ac:dyDescent="0.25">
      <c r="A2546" s="1" t="s">
        <v>2669</v>
      </c>
      <c r="B2546" s="76">
        <v>45.242683</v>
      </c>
      <c r="C2546" s="76">
        <v>46.003554999999999</v>
      </c>
      <c r="D2546" s="76">
        <v>44.811034999999997</v>
      </c>
      <c r="E2546" s="76">
        <v>45.871867999999999</v>
      </c>
      <c r="F2546" s="76">
        <v>35.506183999999998</v>
      </c>
      <c r="G2546" s="79">
        <v>3342600</v>
      </c>
    </row>
    <row r="2547" spans="1:7" x14ac:dyDescent="0.25">
      <c r="A2547" s="1" t="s">
        <v>2670</v>
      </c>
      <c r="B2547" s="76">
        <v>46.208407999999999</v>
      </c>
      <c r="C2547" s="76">
        <v>47.174129000000001</v>
      </c>
      <c r="D2547" s="76">
        <v>45.966976000000003</v>
      </c>
      <c r="E2547" s="76">
        <v>47.130234000000002</v>
      </c>
      <c r="F2547" s="76">
        <v>36.480198000000001</v>
      </c>
      <c r="G2547" s="79">
        <v>3627700</v>
      </c>
    </row>
    <row r="2548" spans="1:7" x14ac:dyDescent="0.25">
      <c r="A2548" s="1" t="s">
        <v>2671</v>
      </c>
      <c r="B2548" s="76">
        <v>47.510669999999998</v>
      </c>
      <c r="C2548" s="76">
        <v>47.510669999999998</v>
      </c>
      <c r="D2548" s="76">
        <v>46.193775000000002</v>
      </c>
      <c r="E2548" s="76">
        <v>46.705902000000002</v>
      </c>
      <c r="F2548" s="76">
        <v>36.151755999999999</v>
      </c>
      <c r="G2548" s="79">
        <v>3262800</v>
      </c>
    </row>
    <row r="2549" spans="1:7" x14ac:dyDescent="0.25">
      <c r="A2549" s="1" t="s">
        <v>2672</v>
      </c>
      <c r="B2549" s="76">
        <v>46.588844000000002</v>
      </c>
      <c r="C2549" s="76">
        <v>47.649676999999997</v>
      </c>
      <c r="D2549" s="76">
        <v>46.296199999999999</v>
      </c>
      <c r="E2549" s="76">
        <v>47.430194999999998</v>
      </c>
      <c r="F2549" s="76">
        <v>36.712387</v>
      </c>
      <c r="G2549" s="79">
        <v>2513100</v>
      </c>
    </row>
    <row r="2550" spans="1:7" x14ac:dyDescent="0.25">
      <c r="A2550" s="1" t="s">
        <v>2673</v>
      </c>
      <c r="B2550" s="76">
        <v>47.203395999999998</v>
      </c>
      <c r="C2550" s="76">
        <v>48.278861999999997</v>
      </c>
      <c r="D2550" s="76">
        <v>46.910750999999998</v>
      </c>
      <c r="E2550" s="76">
        <v>48.008163000000003</v>
      </c>
      <c r="F2550" s="76">
        <v>37.159744000000003</v>
      </c>
      <c r="G2550" s="79">
        <v>2870300</v>
      </c>
    </row>
    <row r="2551" spans="1:7" x14ac:dyDescent="0.25">
      <c r="A2551" s="1" t="s">
        <v>2674</v>
      </c>
      <c r="B2551" s="76">
        <v>48.234962000000003</v>
      </c>
      <c r="C2551" s="76">
        <v>48.388603000000003</v>
      </c>
      <c r="D2551" s="76">
        <v>47.832580999999998</v>
      </c>
      <c r="E2551" s="76">
        <v>48.052062999999997</v>
      </c>
      <c r="F2551" s="76">
        <v>37.193728999999998</v>
      </c>
      <c r="G2551" s="79">
        <v>2155600</v>
      </c>
    </row>
    <row r="2552" spans="1:7" x14ac:dyDescent="0.25">
      <c r="A2552" s="1" t="s">
        <v>2675</v>
      </c>
      <c r="B2552" s="76">
        <v>47.225341999999998</v>
      </c>
      <c r="C2552" s="76">
        <v>48.030113</v>
      </c>
      <c r="D2552" s="76">
        <v>47.181446000000001</v>
      </c>
      <c r="E2552" s="76">
        <v>47.239975000000001</v>
      </c>
      <c r="F2552" s="76">
        <v>36.56514</v>
      </c>
      <c r="G2552" s="79">
        <v>2368100</v>
      </c>
    </row>
    <row r="2553" spans="1:7" x14ac:dyDescent="0.25">
      <c r="A2553" s="1" t="s">
        <v>2676</v>
      </c>
      <c r="B2553" s="76">
        <v>47.620410999999997</v>
      </c>
      <c r="C2553" s="76">
        <v>48.022796999999997</v>
      </c>
      <c r="D2553" s="76">
        <v>47.042442000000001</v>
      </c>
      <c r="E2553" s="76">
        <v>47.781364000000004</v>
      </c>
      <c r="F2553" s="76">
        <v>36.984192</v>
      </c>
      <c r="G2553" s="79">
        <v>2223400</v>
      </c>
    </row>
    <row r="2554" spans="1:7" x14ac:dyDescent="0.25">
      <c r="A2554" s="1" t="s">
        <v>2677</v>
      </c>
      <c r="B2554" s="76">
        <v>47.261924999999998</v>
      </c>
      <c r="C2554" s="76">
        <v>48.103274999999996</v>
      </c>
      <c r="D2554" s="76">
        <v>47.035125999999998</v>
      </c>
      <c r="E2554" s="76">
        <v>48.059376</v>
      </c>
      <c r="F2554" s="76">
        <v>37.199390000000001</v>
      </c>
      <c r="G2554" s="79">
        <v>1689400</v>
      </c>
    </row>
    <row r="2555" spans="1:7" x14ac:dyDescent="0.25">
      <c r="A2555" s="1" t="s">
        <v>2678</v>
      </c>
      <c r="B2555" s="76">
        <v>48.030113</v>
      </c>
      <c r="C2555" s="76">
        <v>48.593451999999999</v>
      </c>
      <c r="D2555" s="76">
        <v>47.452140999999997</v>
      </c>
      <c r="E2555" s="76">
        <v>48.081325999999997</v>
      </c>
      <c r="F2555" s="76">
        <v>37.216372999999997</v>
      </c>
      <c r="G2555" s="79">
        <v>3436800</v>
      </c>
    </row>
    <row r="2556" spans="1:7" x14ac:dyDescent="0.25">
      <c r="A2556" s="1" t="s">
        <v>2679</v>
      </c>
      <c r="B2556" s="76">
        <v>48.278861999999997</v>
      </c>
      <c r="C2556" s="76">
        <v>48.856831</v>
      </c>
      <c r="D2556" s="76">
        <v>48.008163000000003</v>
      </c>
      <c r="E2556" s="76">
        <v>48.425182</v>
      </c>
      <c r="F2556" s="76">
        <v>37.482535999999897</v>
      </c>
      <c r="G2556" s="79">
        <v>1730100</v>
      </c>
    </row>
    <row r="2557" spans="1:7" x14ac:dyDescent="0.25">
      <c r="A2557" s="1" t="s">
        <v>2680</v>
      </c>
      <c r="B2557" s="76">
        <v>48.637347999999903</v>
      </c>
      <c r="C2557" s="76">
        <v>49.017783999999999</v>
      </c>
      <c r="D2557" s="76">
        <v>48.417865999999997</v>
      </c>
      <c r="E2557" s="76">
        <v>48.54224</v>
      </c>
      <c r="F2557" s="76">
        <v>37.573135000000001</v>
      </c>
      <c r="G2557" s="79">
        <v>1814700</v>
      </c>
    </row>
    <row r="2558" spans="1:7" x14ac:dyDescent="0.25">
      <c r="A2558" s="1" t="s">
        <v>2681</v>
      </c>
      <c r="B2558" s="76">
        <v>48.659298</v>
      </c>
      <c r="C2558" s="76">
        <v>49.017783999999999</v>
      </c>
      <c r="D2558" s="76">
        <v>48.249595999999997</v>
      </c>
      <c r="E2558" s="76">
        <v>48.615397999999999</v>
      </c>
      <c r="F2558" s="76">
        <v>37.629764999999999</v>
      </c>
      <c r="G2558" s="79">
        <v>1557500</v>
      </c>
    </row>
    <row r="2559" spans="1:7" x14ac:dyDescent="0.25">
      <c r="A2559" s="1" t="s">
        <v>2682</v>
      </c>
      <c r="B2559" s="76">
        <v>48.600769</v>
      </c>
      <c r="C2559" s="76">
        <v>49.237266999999903</v>
      </c>
      <c r="D2559" s="76">
        <v>48.491028</v>
      </c>
      <c r="E2559" s="76">
        <v>49.112895999999999</v>
      </c>
      <c r="F2559" s="76">
        <v>38.014839000000002</v>
      </c>
      <c r="G2559" s="79">
        <v>1991600</v>
      </c>
    </row>
    <row r="2560" spans="1:7" x14ac:dyDescent="0.25">
      <c r="A2560" s="1" t="s">
        <v>2683</v>
      </c>
      <c r="B2560" s="76">
        <v>49.368957999999999</v>
      </c>
      <c r="C2560" s="76">
        <v>50.780963999999997</v>
      </c>
      <c r="D2560" s="76">
        <v>49.164107999999999</v>
      </c>
      <c r="E2560" s="76">
        <v>50.671219000000001</v>
      </c>
      <c r="F2560" s="76">
        <v>39.221020000000003</v>
      </c>
      <c r="G2560" s="79">
        <v>2285200</v>
      </c>
    </row>
    <row r="2561" spans="1:7" x14ac:dyDescent="0.25">
      <c r="A2561" s="1" t="s">
        <v>2684</v>
      </c>
      <c r="B2561" s="76">
        <v>50.678534999999997</v>
      </c>
      <c r="C2561" s="76">
        <v>51.797896999999999</v>
      </c>
      <c r="D2561" s="76">
        <v>50.671219000000001</v>
      </c>
      <c r="E2561" s="76">
        <v>51.600364999999996</v>
      </c>
      <c r="F2561" s="76">
        <v>39.940207999999998</v>
      </c>
      <c r="G2561" s="79">
        <v>1721900</v>
      </c>
    </row>
    <row r="2562" spans="1:7" x14ac:dyDescent="0.25">
      <c r="A2562" s="1" t="s">
        <v>2685</v>
      </c>
      <c r="B2562" s="76">
        <v>51.351616</v>
      </c>
      <c r="C2562" s="76">
        <v>52.646563999999998</v>
      </c>
      <c r="D2562" s="76">
        <v>51.234558</v>
      </c>
      <c r="E2562" s="76">
        <v>52.266128999999999</v>
      </c>
      <c r="F2562" s="76">
        <v>40.455535999999903</v>
      </c>
      <c r="G2562" s="79">
        <v>2177400</v>
      </c>
    </row>
    <row r="2563" spans="1:7" x14ac:dyDescent="0.25">
      <c r="A2563" s="1" t="s">
        <v>2686</v>
      </c>
      <c r="B2563" s="76">
        <v>52.244178999999903</v>
      </c>
      <c r="C2563" s="76">
        <v>53.246482999999998</v>
      </c>
      <c r="D2563" s="76">
        <v>52.119803999999903</v>
      </c>
      <c r="E2563" s="76">
        <v>53.239165999999997</v>
      </c>
      <c r="F2563" s="76">
        <v>41.208697999999998</v>
      </c>
      <c r="G2563" s="79">
        <v>2195200</v>
      </c>
    </row>
    <row r="2564" spans="1:7" x14ac:dyDescent="0.25">
      <c r="A2564" s="1" t="s">
        <v>2687</v>
      </c>
      <c r="B2564" s="76">
        <v>52.851413999999998</v>
      </c>
      <c r="C2564" s="76">
        <v>53.524493999999997</v>
      </c>
      <c r="D2564" s="76">
        <v>52.697777000000002</v>
      </c>
      <c r="E2564" s="76">
        <v>53.509861000000001</v>
      </c>
      <c r="F2564" s="76">
        <v>41.418232000000003</v>
      </c>
      <c r="G2564" s="79">
        <v>1886800</v>
      </c>
    </row>
    <row r="2565" spans="1:7" x14ac:dyDescent="0.25">
      <c r="A2565" s="1" t="s">
        <v>2688</v>
      </c>
      <c r="B2565" s="76">
        <v>53.948830000000001</v>
      </c>
      <c r="C2565" s="76">
        <v>54.197575000000001</v>
      </c>
      <c r="D2565" s="76">
        <v>53.370856999999901</v>
      </c>
      <c r="E2565" s="76">
        <v>53.992725</v>
      </c>
      <c r="F2565" s="76">
        <v>41.791972999999999</v>
      </c>
      <c r="G2565" s="79">
        <v>2195100</v>
      </c>
    </row>
    <row r="2566" spans="1:7" x14ac:dyDescent="0.25">
      <c r="A2566" s="1" t="s">
        <v>2689</v>
      </c>
      <c r="B2566" s="76">
        <v>53.875667999999997</v>
      </c>
      <c r="C2566" s="76">
        <v>54.190257999999901</v>
      </c>
      <c r="D2566" s="76">
        <v>53.180636999999997</v>
      </c>
      <c r="E2566" s="76">
        <v>53.861033999999997</v>
      </c>
      <c r="F2566" s="76">
        <v>41.690047999999997</v>
      </c>
      <c r="G2566" s="79">
        <v>1696400</v>
      </c>
    </row>
    <row r="2567" spans="1:7" x14ac:dyDescent="0.25">
      <c r="A2567" s="1" t="s">
        <v>2690</v>
      </c>
      <c r="B2567" s="76">
        <v>54.065883999999997</v>
      </c>
      <c r="C2567" s="76">
        <v>55.338885999999903</v>
      </c>
      <c r="D2567" s="76">
        <v>53.817138999999997</v>
      </c>
      <c r="E2567" s="76">
        <v>55.170616000000003</v>
      </c>
      <c r="F2567" s="76">
        <v>42.703693000000001</v>
      </c>
      <c r="G2567" s="79">
        <v>2471900</v>
      </c>
    </row>
    <row r="2568" spans="1:7" x14ac:dyDescent="0.25">
      <c r="A2568" s="1" t="s">
        <v>2691</v>
      </c>
      <c r="B2568" s="76">
        <v>55.294986999999999</v>
      </c>
      <c r="C2568" s="76">
        <v>56.129020999999902</v>
      </c>
      <c r="D2568" s="76">
        <v>55.126716999999999</v>
      </c>
      <c r="E2568" s="76">
        <v>55.792479999999998</v>
      </c>
      <c r="F2568" s="76">
        <v>43.185032</v>
      </c>
      <c r="G2568" s="79">
        <v>2272700</v>
      </c>
    </row>
    <row r="2569" spans="1:7" x14ac:dyDescent="0.25">
      <c r="A2569" s="1" t="s">
        <v>2692</v>
      </c>
      <c r="B2569" s="76">
        <v>55.887591999999998</v>
      </c>
      <c r="C2569" s="76">
        <v>56.246077999999997</v>
      </c>
      <c r="D2569" s="76">
        <v>55.477890000000002</v>
      </c>
      <c r="E2569" s="76">
        <v>55.660792999999998</v>
      </c>
      <c r="F2569" s="76">
        <v>43.083110999999903</v>
      </c>
      <c r="G2569" s="79">
        <v>1740200</v>
      </c>
    </row>
    <row r="2570" spans="1:7" x14ac:dyDescent="0.25">
      <c r="A2570" s="1" t="s">
        <v>2693</v>
      </c>
      <c r="B2570" s="76">
        <v>55.185245999999999</v>
      </c>
      <c r="C2570" s="76">
        <v>56.099757999999902</v>
      </c>
      <c r="D2570" s="76">
        <v>54.958447</v>
      </c>
      <c r="E2570" s="76">
        <v>55.185245999999999</v>
      </c>
      <c r="F2570" s="76">
        <v>42.715022999999903</v>
      </c>
      <c r="G2570" s="79">
        <v>2654000</v>
      </c>
    </row>
    <row r="2571" spans="1:7" x14ac:dyDescent="0.25">
      <c r="A2571" s="1" t="s">
        <v>2694</v>
      </c>
      <c r="B2571" s="76">
        <v>54.724334999999897</v>
      </c>
      <c r="C2571" s="76">
        <v>55.880276000000002</v>
      </c>
      <c r="D2571" s="76">
        <v>54.724334999999897</v>
      </c>
      <c r="E2571" s="76">
        <v>55.507153000000002</v>
      </c>
      <c r="F2571" s="76">
        <v>42.964179999999999</v>
      </c>
      <c r="G2571" s="79">
        <v>1760700</v>
      </c>
    </row>
    <row r="2572" spans="1:7" x14ac:dyDescent="0.25">
      <c r="A2572" s="1" t="s">
        <v>2695</v>
      </c>
      <c r="B2572" s="76">
        <v>55.616897999999999</v>
      </c>
      <c r="C2572" s="76">
        <v>55.682738999999998</v>
      </c>
      <c r="D2572" s="76">
        <v>54.892605000000003</v>
      </c>
      <c r="E2572" s="76">
        <v>55.572997999999998</v>
      </c>
      <c r="F2572" s="76">
        <v>43.015159999999902</v>
      </c>
      <c r="G2572" s="79">
        <v>1656600</v>
      </c>
    </row>
    <row r="2573" spans="1:7" x14ac:dyDescent="0.25">
      <c r="A2573" s="1" t="s">
        <v>2696</v>
      </c>
      <c r="B2573" s="76">
        <v>55.404727999999999</v>
      </c>
      <c r="C2573" s="76">
        <v>56.370452999999998</v>
      </c>
      <c r="D2573" s="76">
        <v>55.353515999999999</v>
      </c>
      <c r="E2573" s="76">
        <v>55.887591999999998</v>
      </c>
      <c r="F2573" s="76">
        <v>43.258651999999998</v>
      </c>
      <c r="G2573" s="79">
        <v>1875800</v>
      </c>
    </row>
    <row r="2574" spans="1:7" x14ac:dyDescent="0.25">
      <c r="A2574" s="1" t="s">
        <v>2697</v>
      </c>
      <c r="B2574" s="76">
        <v>56.282660999999997</v>
      </c>
      <c r="C2574" s="76">
        <v>57.358123999999997</v>
      </c>
      <c r="D2574" s="76">
        <v>56.107075000000002</v>
      </c>
      <c r="E2574" s="76">
        <v>56.180232999999902</v>
      </c>
      <c r="F2574" s="76">
        <v>43.485176000000003</v>
      </c>
      <c r="G2574" s="79">
        <v>2359800</v>
      </c>
    </row>
    <row r="2575" spans="1:7" x14ac:dyDescent="0.25">
      <c r="A2575" s="1" t="s">
        <v>2698</v>
      </c>
      <c r="B2575" s="76">
        <v>56.407031999999901</v>
      </c>
      <c r="C2575" s="76">
        <v>56.531405999999997</v>
      </c>
      <c r="D2575" s="76">
        <v>55.660792999999998</v>
      </c>
      <c r="E2575" s="76">
        <v>55.997333999999903</v>
      </c>
      <c r="F2575" s="76">
        <v>43.343601</v>
      </c>
      <c r="G2575" s="79">
        <v>2354800</v>
      </c>
    </row>
    <row r="2576" spans="1:7" x14ac:dyDescent="0.25">
      <c r="A2576" s="1" t="s">
        <v>2699</v>
      </c>
      <c r="B2576" s="76">
        <v>56.209499000000001</v>
      </c>
      <c r="C2576" s="76">
        <v>56.311923999999998</v>
      </c>
      <c r="D2576" s="76">
        <v>55.660792999999998</v>
      </c>
      <c r="E2576" s="76">
        <v>56.289974000000001</v>
      </c>
      <c r="F2576" s="76">
        <v>43.570113999999997</v>
      </c>
      <c r="G2576" s="79">
        <v>1775600</v>
      </c>
    </row>
    <row r="2577" spans="1:7" x14ac:dyDescent="0.25">
      <c r="A2577" s="1" t="s">
        <v>2700</v>
      </c>
      <c r="B2577" s="76">
        <v>56.224132999999902</v>
      </c>
      <c r="C2577" s="76">
        <v>56.597251999999997</v>
      </c>
      <c r="D2577" s="76">
        <v>55.748584999999999</v>
      </c>
      <c r="E2577" s="76">
        <v>56.150969999999901</v>
      </c>
      <c r="F2577" s="76">
        <v>43.462521000000002</v>
      </c>
      <c r="G2577" s="79">
        <v>1507000</v>
      </c>
    </row>
    <row r="2578" spans="1:7" x14ac:dyDescent="0.25">
      <c r="A2578" s="1" t="s">
        <v>2701</v>
      </c>
      <c r="B2578" s="76">
        <v>55.792479999999998</v>
      </c>
      <c r="C2578" s="76">
        <v>56.107075000000002</v>
      </c>
      <c r="D2578" s="76">
        <v>55.346198999999999</v>
      </c>
      <c r="E2578" s="76">
        <v>55.382781999999899</v>
      </c>
      <c r="F2578" s="76">
        <v>42.867930999999999</v>
      </c>
      <c r="G2578" s="79">
        <v>2429800</v>
      </c>
    </row>
    <row r="2579" spans="1:7" x14ac:dyDescent="0.25">
      <c r="A2579" s="1" t="s">
        <v>2702</v>
      </c>
      <c r="B2579" s="76">
        <v>55.763218000000002</v>
      </c>
      <c r="C2579" s="76">
        <v>56.136336999999997</v>
      </c>
      <c r="D2579" s="76">
        <v>55.068187999999999</v>
      </c>
      <c r="E2579" s="76">
        <v>55.492522999999998</v>
      </c>
      <c r="F2579" s="76">
        <v>42.952869</v>
      </c>
      <c r="G2579" s="79">
        <v>2120300</v>
      </c>
    </row>
    <row r="2580" spans="1:7" x14ac:dyDescent="0.25">
      <c r="A2580" s="1" t="s">
        <v>2703</v>
      </c>
      <c r="B2580" s="76">
        <v>55.741267999999998</v>
      </c>
      <c r="C2580" s="76">
        <v>57.343491</v>
      </c>
      <c r="D2580" s="76">
        <v>55.631526999999998</v>
      </c>
      <c r="E2580" s="76">
        <v>57.336177999999997</v>
      </c>
      <c r="F2580" s="76">
        <v>44.379902000000001</v>
      </c>
      <c r="G2580" s="79">
        <v>2104600</v>
      </c>
    </row>
    <row r="2581" spans="1:7" x14ac:dyDescent="0.25">
      <c r="A2581" s="1" t="s">
        <v>2704</v>
      </c>
      <c r="B2581" s="76">
        <v>56.948425</v>
      </c>
      <c r="C2581" s="76">
        <v>58.762813999999999</v>
      </c>
      <c r="D2581" s="76">
        <v>56.919158999999901</v>
      </c>
      <c r="E2581" s="76">
        <v>58.228740999999999</v>
      </c>
      <c r="F2581" s="76">
        <v>45.070774</v>
      </c>
      <c r="G2581" s="79">
        <v>3199900</v>
      </c>
    </row>
    <row r="2582" spans="1:7" x14ac:dyDescent="0.25">
      <c r="A2582" s="1" t="s">
        <v>2705</v>
      </c>
      <c r="B2582" s="76">
        <v>58.192157999999999</v>
      </c>
      <c r="C2582" s="76">
        <v>58.397006999999903</v>
      </c>
      <c r="D2582" s="76">
        <v>56.260711999999998</v>
      </c>
      <c r="E2582" s="76">
        <v>56.516773000000001</v>
      </c>
      <c r="F2582" s="76">
        <v>43.745659000000003</v>
      </c>
      <c r="G2582" s="79">
        <v>2583800</v>
      </c>
    </row>
    <row r="2583" spans="1:7" x14ac:dyDescent="0.25">
      <c r="A2583" s="1" t="s">
        <v>2706</v>
      </c>
      <c r="B2583" s="76">
        <v>56.246077999999997</v>
      </c>
      <c r="C2583" s="76">
        <v>56.721626000000001</v>
      </c>
      <c r="D2583" s="76">
        <v>56.165604000000002</v>
      </c>
      <c r="E2583" s="76">
        <v>56.355819999999902</v>
      </c>
      <c r="F2583" s="76">
        <v>43.621082000000001</v>
      </c>
      <c r="G2583" s="79">
        <v>1807400</v>
      </c>
    </row>
    <row r="2584" spans="1:7" x14ac:dyDescent="0.25">
      <c r="A2584" s="1" t="s">
        <v>2707</v>
      </c>
      <c r="B2584" s="76">
        <v>56.531405999999997</v>
      </c>
      <c r="C2584" s="76">
        <v>57.958041999999999</v>
      </c>
      <c r="D2584" s="76">
        <v>56.487510999999998</v>
      </c>
      <c r="E2584" s="76">
        <v>57.943413</v>
      </c>
      <c r="F2584" s="76">
        <v>44.849930000000001</v>
      </c>
      <c r="G2584" s="79">
        <v>1894100</v>
      </c>
    </row>
    <row r="2585" spans="1:7" x14ac:dyDescent="0.25">
      <c r="A2585" s="1" t="s">
        <v>2708</v>
      </c>
      <c r="B2585" s="76">
        <v>57.855618</v>
      </c>
      <c r="C2585" s="76">
        <v>58.206791000000003</v>
      </c>
      <c r="D2585" s="76">
        <v>57.175219999999896</v>
      </c>
      <c r="E2585" s="76">
        <v>57.241065999999996</v>
      </c>
      <c r="F2585" s="76">
        <v>44.306289999999997</v>
      </c>
      <c r="G2585" s="79">
        <v>1573100</v>
      </c>
    </row>
    <row r="2586" spans="1:7" x14ac:dyDescent="0.25">
      <c r="A2586" s="1" t="s">
        <v>2709</v>
      </c>
      <c r="B2586" s="76">
        <v>57.263016</v>
      </c>
      <c r="C2586" s="76">
        <v>59.991917000000001</v>
      </c>
      <c r="D2586" s="76">
        <v>57.241065999999996</v>
      </c>
      <c r="E2586" s="76">
        <v>59.633426999999998</v>
      </c>
      <c r="F2586" s="76">
        <v>46.158034999999998</v>
      </c>
      <c r="G2586" s="79">
        <v>3179500</v>
      </c>
    </row>
    <row r="2587" spans="1:7" x14ac:dyDescent="0.25">
      <c r="A2587" s="1" t="s">
        <v>2710</v>
      </c>
      <c r="B2587" s="76">
        <v>59.948020999999997</v>
      </c>
      <c r="C2587" s="76">
        <v>60.160187000000001</v>
      </c>
      <c r="D2587" s="76">
        <v>58.850605000000002</v>
      </c>
      <c r="E2587" s="76">
        <v>59.289569999999998</v>
      </c>
      <c r="F2587" s="76">
        <v>45.891899000000002</v>
      </c>
      <c r="G2587" s="79">
        <v>2747500</v>
      </c>
    </row>
    <row r="2588" spans="1:7" x14ac:dyDescent="0.25">
      <c r="A2588" s="1" t="s">
        <v>2711</v>
      </c>
      <c r="B2588" s="76">
        <v>59.055457999999902</v>
      </c>
      <c r="C2588" s="76">
        <v>59.377364999999998</v>
      </c>
      <c r="D2588" s="76">
        <v>57.204487</v>
      </c>
      <c r="E2588" s="76">
        <v>57.241065999999996</v>
      </c>
      <c r="F2588" s="76">
        <v>44.306289999999997</v>
      </c>
      <c r="G2588" s="79">
        <v>3230900</v>
      </c>
    </row>
    <row r="2589" spans="1:7" x14ac:dyDescent="0.25">
      <c r="A2589" s="1" t="s">
        <v>2712</v>
      </c>
      <c r="B2589" s="76">
        <v>57.080112</v>
      </c>
      <c r="C2589" s="76">
        <v>58.301898999999999</v>
      </c>
      <c r="D2589" s="76">
        <v>55.931488000000002</v>
      </c>
      <c r="E2589" s="76">
        <v>56.033912999999998</v>
      </c>
      <c r="F2589" s="76">
        <v>43.371906000000003</v>
      </c>
      <c r="G2589" s="79">
        <v>3275600</v>
      </c>
    </row>
    <row r="2590" spans="1:7" x14ac:dyDescent="0.25">
      <c r="A2590" s="1" t="s">
        <v>2713</v>
      </c>
      <c r="B2590" s="76">
        <v>55.697371999999902</v>
      </c>
      <c r="C2590" s="76">
        <v>56.699677000000001</v>
      </c>
      <c r="D2590" s="76">
        <v>55.309619999999903</v>
      </c>
      <c r="E2590" s="76">
        <v>56.209499000000001</v>
      </c>
      <c r="F2590" s="76">
        <v>43.507820000000002</v>
      </c>
      <c r="G2590" s="79">
        <v>1527100</v>
      </c>
    </row>
    <row r="2591" spans="1:7" x14ac:dyDescent="0.25">
      <c r="A2591" s="1" t="s">
        <v>2714</v>
      </c>
      <c r="B2591" s="76">
        <v>56.597251999999997</v>
      </c>
      <c r="C2591" s="76">
        <v>57.175219999999896</v>
      </c>
      <c r="D2591" s="76">
        <v>55.843693000000002</v>
      </c>
      <c r="E2591" s="76">
        <v>57.131324999999997</v>
      </c>
      <c r="F2591" s="76">
        <v>44.221347999999999</v>
      </c>
      <c r="G2591" s="79">
        <v>1744000</v>
      </c>
    </row>
    <row r="2592" spans="1:7" x14ac:dyDescent="0.25">
      <c r="A2592" s="1" t="s">
        <v>2715</v>
      </c>
      <c r="B2592" s="76">
        <v>57.065479000000003</v>
      </c>
      <c r="C2592" s="76">
        <v>58.660389000000002</v>
      </c>
      <c r="D2592" s="76">
        <v>56.919158999999901</v>
      </c>
      <c r="E2592" s="76">
        <v>58.265319999999903</v>
      </c>
      <c r="F2592" s="76">
        <v>45.099086999999997</v>
      </c>
      <c r="G2592" s="79">
        <v>1833700</v>
      </c>
    </row>
    <row r="2593" spans="1:7" x14ac:dyDescent="0.25">
      <c r="A2593" s="1" t="s">
        <v>2716</v>
      </c>
      <c r="B2593" s="76">
        <v>57.680031</v>
      </c>
      <c r="C2593" s="76">
        <v>59.896808999999998</v>
      </c>
      <c r="D2593" s="76">
        <v>57.431286</v>
      </c>
      <c r="E2593" s="76">
        <v>59.574897999999997</v>
      </c>
      <c r="F2593" s="76">
        <v>46.112740000000002</v>
      </c>
      <c r="G2593" s="79">
        <v>2270100</v>
      </c>
    </row>
    <row r="2594" spans="1:7" x14ac:dyDescent="0.25">
      <c r="A2594" s="1" t="s">
        <v>2717</v>
      </c>
      <c r="B2594" s="76">
        <v>59.743167999999997</v>
      </c>
      <c r="C2594" s="76">
        <v>60.511355999999999</v>
      </c>
      <c r="D2594" s="76">
        <v>58.945717000000002</v>
      </c>
      <c r="E2594" s="76">
        <v>60.365035999999897</v>
      </c>
      <c r="F2594" s="76">
        <v>46.724330999999999</v>
      </c>
      <c r="G2594" s="79">
        <v>2160500</v>
      </c>
    </row>
    <row r="2595" spans="1:7" x14ac:dyDescent="0.25">
      <c r="A2595" s="1" t="s">
        <v>2718</v>
      </c>
      <c r="B2595" s="76">
        <v>60.152869999999901</v>
      </c>
      <c r="C2595" s="76">
        <v>61.542926999999999</v>
      </c>
      <c r="D2595" s="76">
        <v>60.138236999999997</v>
      </c>
      <c r="E2595" s="76">
        <v>61.191752999999999</v>
      </c>
      <c r="F2595" s="76">
        <v>47.364243000000002</v>
      </c>
      <c r="G2595" s="79">
        <v>2452500</v>
      </c>
    </row>
    <row r="2596" spans="1:7" x14ac:dyDescent="0.25">
      <c r="A2596" s="1" t="s">
        <v>2719</v>
      </c>
      <c r="B2596" s="76">
        <v>60.716208999999999</v>
      </c>
      <c r="C2596" s="76">
        <v>60.913741999999999</v>
      </c>
      <c r="D2596" s="76">
        <v>59.187144999999902</v>
      </c>
      <c r="E2596" s="76">
        <v>59.274940000000001</v>
      </c>
      <c r="F2596" s="76">
        <v>45.880565999999902</v>
      </c>
      <c r="G2596" s="79">
        <v>3015300</v>
      </c>
    </row>
    <row r="2597" spans="1:7" x14ac:dyDescent="0.25">
      <c r="A2597" s="1" t="s">
        <v>2720</v>
      </c>
      <c r="B2597" s="76">
        <v>59.582214</v>
      </c>
      <c r="C2597" s="76">
        <v>59.918754999999997</v>
      </c>
      <c r="D2597" s="76">
        <v>59.077404000000001</v>
      </c>
      <c r="E2597" s="76">
        <v>59.604163999999997</v>
      </c>
      <c r="F2597" s="76">
        <v>46.135399</v>
      </c>
      <c r="G2597" s="79">
        <v>2629200</v>
      </c>
    </row>
    <row r="2598" spans="1:7" x14ac:dyDescent="0.25">
      <c r="A2598" s="1" t="s">
        <v>2721</v>
      </c>
      <c r="B2598" s="76">
        <v>60.299191</v>
      </c>
      <c r="C2598" s="76">
        <v>63.218311</v>
      </c>
      <c r="D2598" s="76">
        <v>60.079707999999997</v>
      </c>
      <c r="E2598" s="76">
        <v>63.181728</v>
      </c>
      <c r="F2598" s="76">
        <v>48.904533000000001</v>
      </c>
      <c r="G2598" s="79">
        <v>3190000</v>
      </c>
    </row>
    <row r="2599" spans="1:7" x14ac:dyDescent="0.25">
      <c r="A2599" s="1" t="s">
        <v>2722</v>
      </c>
      <c r="B2599" s="76">
        <v>62.889088000000001</v>
      </c>
      <c r="C2599" s="76">
        <v>63.467055999999999</v>
      </c>
      <c r="D2599" s="76">
        <v>60.782055</v>
      </c>
      <c r="E2599" s="76">
        <v>60.994220999999897</v>
      </c>
      <c r="F2599" s="76">
        <v>47.211342000000002</v>
      </c>
      <c r="G2599" s="79">
        <v>3468700</v>
      </c>
    </row>
    <row r="2600" spans="1:7" x14ac:dyDescent="0.25">
      <c r="A2600" s="1" t="s">
        <v>2723</v>
      </c>
      <c r="B2600" s="76">
        <v>61.506347999999903</v>
      </c>
      <c r="C2600" s="76">
        <v>63.496322999999997</v>
      </c>
      <c r="D2600" s="76">
        <v>61.1185949999999</v>
      </c>
      <c r="E2600" s="76">
        <v>62.954932999999997</v>
      </c>
      <c r="F2600" s="76">
        <v>48.728984999999902</v>
      </c>
      <c r="G2600" s="79">
        <v>2988100</v>
      </c>
    </row>
    <row r="2601" spans="1:7" x14ac:dyDescent="0.25">
      <c r="A2601" s="1" t="s">
        <v>2724</v>
      </c>
      <c r="B2601" s="76">
        <v>62.384276999999997</v>
      </c>
      <c r="C2601" s="76">
        <v>62.662289000000001</v>
      </c>
      <c r="D2601" s="76">
        <v>60.657680999999997</v>
      </c>
      <c r="E2601" s="76">
        <v>61.089328999999999</v>
      </c>
      <c r="F2601" s="76">
        <v>47.284958000000003</v>
      </c>
      <c r="G2601" s="79">
        <v>3263800</v>
      </c>
    </row>
    <row r="2602" spans="1:7" x14ac:dyDescent="0.25">
      <c r="A2602" s="1" t="s">
        <v>2725</v>
      </c>
      <c r="B2602" s="76">
        <v>60.065075</v>
      </c>
      <c r="C2602" s="76">
        <v>61.1478579999999</v>
      </c>
      <c r="D2602" s="76">
        <v>58.448222999999999</v>
      </c>
      <c r="E2602" s="76">
        <v>60.365035999999897</v>
      </c>
      <c r="F2602" s="76">
        <v>46.724330999999999</v>
      </c>
      <c r="G2602" s="79">
        <v>2751800</v>
      </c>
    </row>
    <row r="2603" spans="1:7" x14ac:dyDescent="0.25">
      <c r="A2603" s="1" t="s">
        <v>2726</v>
      </c>
      <c r="B2603" s="76">
        <v>59.296886000000001</v>
      </c>
      <c r="C2603" s="76">
        <v>60.072392000000001</v>
      </c>
      <c r="D2603" s="76">
        <v>53.048949999999998</v>
      </c>
      <c r="E2603" s="76">
        <v>57.336177999999997</v>
      </c>
      <c r="F2603" s="76">
        <v>44.732303999999999</v>
      </c>
      <c r="G2603" s="79">
        <v>4795200</v>
      </c>
    </row>
    <row r="2604" spans="1:7" x14ac:dyDescent="0.25">
      <c r="A2604" s="1" t="s">
        <v>2727</v>
      </c>
      <c r="B2604" s="76">
        <v>57.116694999999901</v>
      </c>
      <c r="C2604" s="76">
        <v>58.609177000000003</v>
      </c>
      <c r="D2604" s="76">
        <v>55.294986999999999</v>
      </c>
      <c r="E2604" s="76">
        <v>55.997333999999903</v>
      </c>
      <c r="F2604" s="76">
        <v>43.687770999999998</v>
      </c>
      <c r="G2604" s="79">
        <v>4361700</v>
      </c>
    </row>
    <row r="2605" spans="1:7" x14ac:dyDescent="0.25">
      <c r="A2605" s="1" t="s">
        <v>2728</v>
      </c>
      <c r="B2605" s="76">
        <v>58.506751999999999</v>
      </c>
      <c r="C2605" s="76">
        <v>59.9846</v>
      </c>
      <c r="D2605" s="76">
        <v>57.943413</v>
      </c>
      <c r="E2605" s="76">
        <v>59.918754999999997</v>
      </c>
      <c r="F2605" s="76">
        <v>46.747166</v>
      </c>
      <c r="G2605" s="79">
        <v>3842000</v>
      </c>
    </row>
    <row r="2606" spans="1:7" x14ac:dyDescent="0.25">
      <c r="A2606" s="1" t="s">
        <v>2729</v>
      </c>
      <c r="B2606" s="76">
        <v>59.004245999999902</v>
      </c>
      <c r="C2606" s="76">
        <v>60.511355999999999</v>
      </c>
      <c r="D2606" s="76">
        <v>58.755496999999998</v>
      </c>
      <c r="E2606" s="76">
        <v>59.904120999999897</v>
      </c>
      <c r="F2606" s="76">
        <v>46.735751999999998</v>
      </c>
      <c r="G2606" s="79">
        <v>2314700</v>
      </c>
    </row>
    <row r="2607" spans="1:7" x14ac:dyDescent="0.25">
      <c r="A2607" s="1" t="s">
        <v>2730</v>
      </c>
      <c r="B2607" s="76">
        <v>60.226031999999996</v>
      </c>
      <c r="C2607" s="76">
        <v>61.140540999999999</v>
      </c>
      <c r="D2607" s="76">
        <v>59.648060000000001</v>
      </c>
      <c r="E2607" s="76">
        <v>60.884480000000003</v>
      </c>
      <c r="F2607" s="76">
        <v>47.500609999999902</v>
      </c>
      <c r="G2607" s="79">
        <v>2316800</v>
      </c>
    </row>
    <row r="2608" spans="1:7" x14ac:dyDescent="0.25">
      <c r="A2608" s="1" t="s">
        <v>2731</v>
      </c>
      <c r="B2608" s="76">
        <v>60.782055</v>
      </c>
      <c r="C2608" s="76">
        <v>60.928375000000003</v>
      </c>
      <c r="D2608" s="76">
        <v>59.677321999999997</v>
      </c>
      <c r="E2608" s="76">
        <v>59.904120999999897</v>
      </c>
      <c r="F2608" s="76">
        <v>46.735751999999998</v>
      </c>
      <c r="G2608" s="79">
        <v>1996400</v>
      </c>
    </row>
    <row r="2609" spans="1:7" x14ac:dyDescent="0.25">
      <c r="A2609" s="1" t="s">
        <v>2732</v>
      </c>
      <c r="B2609" s="76">
        <v>59.450527000000001</v>
      </c>
      <c r="C2609" s="76">
        <v>59.509051999999997</v>
      </c>
      <c r="D2609" s="76">
        <v>57.526393999999897</v>
      </c>
      <c r="E2609" s="76">
        <v>58.199474000000002</v>
      </c>
      <c r="F2609" s="76">
        <v>45.405827000000002</v>
      </c>
      <c r="G2609" s="79">
        <v>2560700</v>
      </c>
    </row>
    <row r="2610" spans="1:7" x14ac:dyDescent="0.25">
      <c r="A2610" s="1" t="s">
        <v>2733</v>
      </c>
      <c r="B2610" s="76">
        <v>58.287266000000002</v>
      </c>
      <c r="C2610" s="76">
        <v>59.238357999999998</v>
      </c>
      <c r="D2610" s="76">
        <v>56.289974000000001</v>
      </c>
      <c r="E2610" s="76">
        <v>58.133628999999999</v>
      </c>
      <c r="F2610" s="76">
        <v>45.354453999999997</v>
      </c>
      <c r="G2610" s="79">
        <v>2555900</v>
      </c>
    </row>
    <row r="2611" spans="1:7" x14ac:dyDescent="0.25">
      <c r="A2611" s="1" t="s">
        <v>2734</v>
      </c>
      <c r="B2611" s="76">
        <v>58.872554999999998</v>
      </c>
      <c r="C2611" s="76">
        <v>59.194462000000001</v>
      </c>
      <c r="D2611" s="76">
        <v>56.202182999999998</v>
      </c>
      <c r="E2611" s="76">
        <v>56.363135999999997</v>
      </c>
      <c r="F2611" s="76">
        <v>43.973151999999999</v>
      </c>
      <c r="G2611" s="79">
        <v>3126500</v>
      </c>
    </row>
    <row r="2612" spans="1:7" x14ac:dyDescent="0.25">
      <c r="A2612" s="1" t="s">
        <v>2735</v>
      </c>
      <c r="B2612" s="76">
        <v>56.070492000000002</v>
      </c>
      <c r="C2612" s="76">
        <v>57.263016</v>
      </c>
      <c r="D2612" s="76">
        <v>54.321948999999996</v>
      </c>
      <c r="E2612" s="76">
        <v>55.894908999999998</v>
      </c>
      <c r="F2612" s="76">
        <v>43.607867999999897</v>
      </c>
      <c r="G2612" s="79">
        <v>3093500</v>
      </c>
    </row>
    <row r="2613" spans="1:7" x14ac:dyDescent="0.25">
      <c r="A2613" s="1" t="s">
        <v>2736</v>
      </c>
      <c r="B2613" s="76">
        <v>54.746281000000003</v>
      </c>
      <c r="C2613" s="76">
        <v>55.616897999999999</v>
      </c>
      <c r="D2613" s="76">
        <v>53.597656000000001</v>
      </c>
      <c r="E2613" s="76">
        <v>53.765926</v>
      </c>
      <c r="F2613" s="76">
        <v>41.946883999999997</v>
      </c>
      <c r="G2613" s="79">
        <v>3776300</v>
      </c>
    </row>
    <row r="2614" spans="1:7" x14ac:dyDescent="0.25">
      <c r="A2614" s="1" t="s">
        <v>2737</v>
      </c>
      <c r="B2614" s="76">
        <v>52.807518000000002</v>
      </c>
      <c r="C2614" s="76">
        <v>55.748584999999999</v>
      </c>
      <c r="D2614" s="76">
        <v>52.456344999999999</v>
      </c>
      <c r="E2614" s="76">
        <v>55.609580999999999</v>
      </c>
      <c r="F2614" s="76">
        <v>43.385258</v>
      </c>
      <c r="G2614" s="79">
        <v>5130000</v>
      </c>
    </row>
    <row r="2615" spans="1:7" x14ac:dyDescent="0.25">
      <c r="A2615" s="1" t="s">
        <v>2738</v>
      </c>
      <c r="B2615" s="76">
        <v>55.704689000000002</v>
      </c>
      <c r="C2615" s="76">
        <v>55.953433999999902</v>
      </c>
      <c r="D2615" s="76">
        <v>53.868350999999997</v>
      </c>
      <c r="E2615" s="76">
        <v>53.90493</v>
      </c>
      <c r="F2615" s="76">
        <v>42.055332</v>
      </c>
      <c r="G2615" s="79">
        <v>2622700</v>
      </c>
    </row>
    <row r="2616" spans="1:7" x14ac:dyDescent="0.25">
      <c r="A2616" s="1" t="s">
        <v>2739</v>
      </c>
      <c r="B2616" s="76">
        <v>52.375869999999999</v>
      </c>
      <c r="C2616" s="76">
        <v>54.621906000000003</v>
      </c>
      <c r="D2616" s="76">
        <v>51.980801</v>
      </c>
      <c r="E2616" s="76">
        <v>54.512165000000003</v>
      </c>
      <c r="F2616" s="76">
        <v>42.529078999999903</v>
      </c>
      <c r="G2616" s="79">
        <v>2985900</v>
      </c>
    </row>
    <row r="2617" spans="1:7" x14ac:dyDescent="0.25">
      <c r="A2617" s="1" t="s">
        <v>2740</v>
      </c>
      <c r="B2617" s="76">
        <v>55.251091000000002</v>
      </c>
      <c r="C2617" s="76">
        <v>55.792479999999998</v>
      </c>
      <c r="D2617" s="76">
        <v>53.861033999999997</v>
      </c>
      <c r="E2617" s="76">
        <v>54.117095999999997</v>
      </c>
      <c r="F2617" s="76">
        <v>42.220863000000001</v>
      </c>
      <c r="G2617" s="79">
        <v>3353400</v>
      </c>
    </row>
    <row r="2618" spans="1:7" x14ac:dyDescent="0.25">
      <c r="A2618" s="1" t="s">
        <v>2741</v>
      </c>
      <c r="B2618" s="76">
        <v>55.243774000000002</v>
      </c>
      <c r="C2618" s="76">
        <v>57.950729000000003</v>
      </c>
      <c r="D2618" s="76">
        <v>55.053557999999903</v>
      </c>
      <c r="E2618" s="76">
        <v>57.855618</v>
      </c>
      <c r="F2618" s="76">
        <v>45.137562000000003</v>
      </c>
      <c r="G2618" s="79">
        <v>3140100</v>
      </c>
    </row>
    <row r="2619" spans="1:7" x14ac:dyDescent="0.25">
      <c r="A2619" s="1" t="s">
        <v>2742</v>
      </c>
      <c r="B2619" s="76">
        <v>58.375060999999903</v>
      </c>
      <c r="C2619" s="76">
        <v>58.375060999999903</v>
      </c>
      <c r="D2619" s="76">
        <v>56.663097</v>
      </c>
      <c r="E2619" s="76">
        <v>56.831367</v>
      </c>
      <c r="F2619" s="76">
        <v>44.338470000000001</v>
      </c>
      <c r="G2619" s="79">
        <v>2582400</v>
      </c>
    </row>
    <row r="2620" spans="1:7" x14ac:dyDescent="0.25">
      <c r="A2620" s="1" t="s">
        <v>2743</v>
      </c>
      <c r="B2620" s="76">
        <v>56.355819999999902</v>
      </c>
      <c r="C2620" s="76">
        <v>57.102061999999997</v>
      </c>
      <c r="D2620" s="76">
        <v>55.360831999999903</v>
      </c>
      <c r="E2620" s="76">
        <v>55.499839999999999</v>
      </c>
      <c r="F2620" s="76">
        <v>43.299633</v>
      </c>
      <c r="G2620" s="79">
        <v>2565700</v>
      </c>
    </row>
    <row r="2621" spans="1:7" x14ac:dyDescent="0.25">
      <c r="A2621" s="1" t="s">
        <v>2744</v>
      </c>
      <c r="B2621" s="76">
        <v>55.829062999999998</v>
      </c>
      <c r="C2621" s="76">
        <v>57.014266999999997</v>
      </c>
      <c r="D2621" s="76">
        <v>55.002345999999903</v>
      </c>
      <c r="E2621" s="76">
        <v>56.963054999999997</v>
      </c>
      <c r="F2621" s="76">
        <v>44.441208000000003</v>
      </c>
      <c r="G2621" s="79">
        <v>2939700</v>
      </c>
    </row>
    <row r="2622" spans="1:7" x14ac:dyDescent="0.25">
      <c r="A2622" s="1" t="s">
        <v>2745</v>
      </c>
      <c r="B2622" s="76">
        <v>56.963054999999997</v>
      </c>
      <c r="C2622" s="76">
        <v>57.050849999999997</v>
      </c>
      <c r="D2622" s="76">
        <v>55.697371999999902</v>
      </c>
      <c r="E2622" s="76">
        <v>56.282660999999997</v>
      </c>
      <c r="F2622" s="76">
        <v>43.910378000000001</v>
      </c>
      <c r="G2622" s="79">
        <v>2063200</v>
      </c>
    </row>
    <row r="2623" spans="1:7" x14ac:dyDescent="0.25">
      <c r="A2623" s="1" t="s">
        <v>2746</v>
      </c>
      <c r="B2623" s="76">
        <v>54.995029000000002</v>
      </c>
      <c r="C2623" s="76">
        <v>55.668109999999999</v>
      </c>
      <c r="D2623" s="76">
        <v>52.529506999999903</v>
      </c>
      <c r="E2623" s="76">
        <v>52.748989000000002</v>
      </c>
      <c r="F2623" s="76">
        <v>41.153495999999997</v>
      </c>
      <c r="G2623" s="79">
        <v>3789200</v>
      </c>
    </row>
    <row r="2624" spans="1:7" x14ac:dyDescent="0.25">
      <c r="A2624" s="1" t="s">
        <v>2747</v>
      </c>
      <c r="B2624" s="76">
        <v>52.961154999999998</v>
      </c>
      <c r="C2624" s="76">
        <v>54.051254</v>
      </c>
      <c r="D2624" s="76">
        <v>52.478293999999899</v>
      </c>
      <c r="E2624" s="76">
        <v>52.522190000000002</v>
      </c>
      <c r="F2624" s="76">
        <v>40.976554999999998</v>
      </c>
      <c r="G2624" s="79">
        <v>2802300</v>
      </c>
    </row>
    <row r="2625" spans="1:7" x14ac:dyDescent="0.25">
      <c r="A2625" s="1" t="s">
        <v>2748</v>
      </c>
      <c r="B2625" s="76">
        <v>52.566085999999999</v>
      </c>
      <c r="C2625" s="76">
        <v>53.517178000000001</v>
      </c>
      <c r="D2625" s="76">
        <v>51.256507999999997</v>
      </c>
      <c r="E2625" s="76">
        <v>53.246482999999998</v>
      </c>
      <c r="F2625" s="76">
        <v>41.541610999999897</v>
      </c>
      <c r="G2625" s="79">
        <v>3361500</v>
      </c>
    </row>
    <row r="2626" spans="1:7" x14ac:dyDescent="0.25">
      <c r="A2626" s="1" t="s">
        <v>2749</v>
      </c>
      <c r="B2626" s="76">
        <v>53.656185000000001</v>
      </c>
      <c r="C2626" s="76">
        <v>55.192562000000002</v>
      </c>
      <c r="D2626" s="76">
        <v>53.166007999999998</v>
      </c>
      <c r="E2626" s="76">
        <v>53.436703000000001</v>
      </c>
      <c r="F2626" s="76">
        <v>41.690036999999997</v>
      </c>
      <c r="G2626" s="79">
        <v>2411300</v>
      </c>
    </row>
    <row r="2627" spans="1:7" x14ac:dyDescent="0.25">
      <c r="A2627" s="1" t="s">
        <v>2750</v>
      </c>
      <c r="B2627" s="76">
        <v>54.263419999999897</v>
      </c>
      <c r="C2627" s="76">
        <v>56.143653999999998</v>
      </c>
      <c r="D2627" s="76">
        <v>54.058570999999901</v>
      </c>
      <c r="E2627" s="76">
        <v>55.931488000000002</v>
      </c>
      <c r="F2627" s="76">
        <v>43.636398</v>
      </c>
      <c r="G2627" s="79">
        <v>2649500</v>
      </c>
    </row>
    <row r="2628" spans="1:7" x14ac:dyDescent="0.25">
      <c r="A2628" s="1" t="s">
        <v>2751</v>
      </c>
      <c r="B2628" s="76">
        <v>55.338885999999903</v>
      </c>
      <c r="C2628" s="76">
        <v>56.407031999999901</v>
      </c>
      <c r="D2628" s="76">
        <v>55.134032999999903</v>
      </c>
      <c r="E2628" s="76">
        <v>56.289974000000001</v>
      </c>
      <c r="F2628" s="76">
        <v>43.916080000000001</v>
      </c>
      <c r="G2628" s="79">
        <v>2302700</v>
      </c>
    </row>
    <row r="2629" spans="1:7" x14ac:dyDescent="0.25">
      <c r="A2629" s="1" t="s">
        <v>2752</v>
      </c>
      <c r="B2629" s="76">
        <v>56.809418000000001</v>
      </c>
      <c r="C2629" s="76">
        <v>57.709296999999999</v>
      </c>
      <c r="D2629" s="76">
        <v>56.363135999999997</v>
      </c>
      <c r="E2629" s="76">
        <v>57.021583999999997</v>
      </c>
      <c r="F2629" s="76">
        <v>44.486854999999998</v>
      </c>
      <c r="G2629" s="79">
        <v>3241800</v>
      </c>
    </row>
    <row r="2630" spans="1:7" x14ac:dyDescent="0.25">
      <c r="A2630" s="1" t="s">
        <v>2753</v>
      </c>
      <c r="B2630" s="76">
        <v>57.541027</v>
      </c>
      <c r="C2630" s="76">
        <v>58.404324000000003</v>
      </c>
      <c r="D2630" s="76">
        <v>56.904525999999997</v>
      </c>
      <c r="E2630" s="76">
        <v>58.236052999999998</v>
      </c>
      <c r="F2630" s="76">
        <v>45.434364000000002</v>
      </c>
      <c r="G2630" s="79">
        <v>2919100</v>
      </c>
    </row>
    <row r="2631" spans="1:7" x14ac:dyDescent="0.25">
      <c r="A2631" s="1" t="s">
        <v>2754</v>
      </c>
      <c r="B2631" s="76">
        <v>57.797089</v>
      </c>
      <c r="C2631" s="76">
        <v>58.462851999999998</v>
      </c>
      <c r="D2631" s="76">
        <v>57.445918999999897</v>
      </c>
      <c r="E2631" s="76">
        <v>58.192157999999999</v>
      </c>
      <c r="F2631" s="76">
        <v>45.400100999999999</v>
      </c>
      <c r="G2631" s="79">
        <v>2310600</v>
      </c>
    </row>
    <row r="2632" spans="1:7" x14ac:dyDescent="0.25">
      <c r="A2632" s="1" t="s">
        <v>2755</v>
      </c>
      <c r="B2632" s="76">
        <v>58.250686999999999</v>
      </c>
      <c r="C2632" s="76">
        <v>58.565277000000002</v>
      </c>
      <c r="D2632" s="76">
        <v>57.511761</v>
      </c>
      <c r="E2632" s="76">
        <v>58.3384819999999</v>
      </c>
      <c r="F2632" s="76">
        <v>45.514274999999998</v>
      </c>
      <c r="G2632" s="79">
        <v>1689500</v>
      </c>
    </row>
    <row r="2633" spans="1:7" x14ac:dyDescent="0.25">
      <c r="A2633" s="1" t="s">
        <v>2756</v>
      </c>
      <c r="B2633" s="76">
        <v>58.521380999999998</v>
      </c>
      <c r="C2633" s="76">
        <v>58.843288000000001</v>
      </c>
      <c r="D2633" s="76">
        <v>57.892200000000003</v>
      </c>
      <c r="E2633" s="76">
        <v>58.075099999999999</v>
      </c>
      <c r="F2633" s="76">
        <v>45.308788</v>
      </c>
      <c r="G2633" s="79">
        <v>3346000</v>
      </c>
    </row>
    <row r="2634" spans="1:7" x14ac:dyDescent="0.25">
      <c r="A2634" s="1" t="s">
        <v>2757</v>
      </c>
      <c r="B2634" s="76">
        <v>58.814025999999998</v>
      </c>
      <c r="C2634" s="76">
        <v>59.626109999999997</v>
      </c>
      <c r="D2634" s="76">
        <v>58.133628999999999</v>
      </c>
      <c r="E2634" s="76">
        <v>58.316531999999903</v>
      </c>
      <c r="F2634" s="76">
        <v>45.497153999999902</v>
      </c>
      <c r="G2634" s="79">
        <v>2406300</v>
      </c>
    </row>
    <row r="2635" spans="1:7" x14ac:dyDescent="0.25">
      <c r="A2635" s="1" t="s">
        <v>2758</v>
      </c>
      <c r="B2635" s="76">
        <v>58.404324000000003</v>
      </c>
      <c r="C2635" s="76">
        <v>58.872554999999998</v>
      </c>
      <c r="D2635" s="76">
        <v>56.487510999999998</v>
      </c>
      <c r="E2635" s="76">
        <v>56.619197999999997</v>
      </c>
      <c r="F2635" s="76">
        <v>44.172932000000003</v>
      </c>
      <c r="G2635" s="79">
        <v>2886500</v>
      </c>
    </row>
    <row r="2636" spans="1:7" x14ac:dyDescent="0.25">
      <c r="A2636" s="1" t="s">
        <v>2759</v>
      </c>
      <c r="B2636" s="76">
        <v>56.626514</v>
      </c>
      <c r="C2636" s="76">
        <v>57.314228</v>
      </c>
      <c r="D2636" s="76">
        <v>55.609580999999999</v>
      </c>
      <c r="E2636" s="76">
        <v>56.802101</v>
      </c>
      <c r="F2636" s="76">
        <v>44.315643000000001</v>
      </c>
      <c r="G2636" s="79">
        <v>2601400</v>
      </c>
    </row>
    <row r="2637" spans="1:7" x14ac:dyDescent="0.25">
      <c r="A2637" s="1" t="s">
        <v>2760</v>
      </c>
      <c r="B2637" s="76">
        <v>56.333874000000002</v>
      </c>
      <c r="C2637" s="76">
        <v>57.189853999999997</v>
      </c>
      <c r="D2637" s="76">
        <v>55.616897999999999</v>
      </c>
      <c r="E2637" s="76">
        <v>55.792479999999998</v>
      </c>
      <c r="F2637" s="76">
        <v>43.527943</v>
      </c>
      <c r="G2637" s="79">
        <v>3133900</v>
      </c>
    </row>
    <row r="2638" spans="1:7" x14ac:dyDescent="0.25">
      <c r="A2638" s="1" t="s">
        <v>2761</v>
      </c>
      <c r="B2638" s="76">
        <v>56.414349000000001</v>
      </c>
      <c r="C2638" s="76">
        <v>57.723930000000003</v>
      </c>
      <c r="D2638" s="76">
        <v>55.990017000000002</v>
      </c>
      <c r="E2638" s="76">
        <v>57.562976999999997</v>
      </c>
      <c r="F2638" s="76">
        <v>44.909244999999999</v>
      </c>
      <c r="G2638" s="79">
        <v>3343000</v>
      </c>
    </row>
    <row r="2639" spans="1:7" x14ac:dyDescent="0.25">
      <c r="A2639" s="1" t="s">
        <v>2762</v>
      </c>
      <c r="B2639" s="76">
        <v>57.943413</v>
      </c>
      <c r="C2639" s="76">
        <v>57.943413</v>
      </c>
      <c r="D2639" s="76">
        <v>56.392403000000002</v>
      </c>
      <c r="E2639" s="76">
        <v>56.546039999999998</v>
      </c>
      <c r="F2639" s="76">
        <v>44.115856000000001</v>
      </c>
      <c r="G2639" s="79">
        <v>1840300</v>
      </c>
    </row>
    <row r="2640" spans="1:7" x14ac:dyDescent="0.25">
      <c r="A2640" s="1" t="s">
        <v>2763</v>
      </c>
      <c r="B2640" s="76">
        <v>55.719321999999998</v>
      </c>
      <c r="C2640" s="76">
        <v>56.304606999999997</v>
      </c>
      <c r="D2640" s="76">
        <v>53.685448000000001</v>
      </c>
      <c r="E2640" s="76">
        <v>54.117095999999997</v>
      </c>
      <c r="F2640" s="76">
        <v>42.220863000000001</v>
      </c>
      <c r="G2640" s="79">
        <v>3244400</v>
      </c>
    </row>
    <row r="2641" spans="1:7" x14ac:dyDescent="0.25">
      <c r="A2641" s="1" t="s">
        <v>2764</v>
      </c>
      <c r="B2641" s="76">
        <v>54.263419999999897</v>
      </c>
      <c r="C2641" s="76">
        <v>55.119399999999999</v>
      </c>
      <c r="D2641" s="76">
        <v>53.195270999999998</v>
      </c>
      <c r="E2641" s="76">
        <v>53.370856999999901</v>
      </c>
      <c r="F2641" s="76">
        <v>41.638663999999999</v>
      </c>
      <c r="G2641" s="79">
        <v>3163000</v>
      </c>
    </row>
    <row r="2642" spans="1:7" x14ac:dyDescent="0.25">
      <c r="A2642" s="1" t="s">
        <v>2765</v>
      </c>
      <c r="B2642" s="76">
        <v>53.546443999999902</v>
      </c>
      <c r="C2642" s="76">
        <v>53.956142</v>
      </c>
      <c r="D2642" s="76">
        <v>52.119803999999903</v>
      </c>
      <c r="E2642" s="76">
        <v>53.392806999999998</v>
      </c>
      <c r="F2642" s="76">
        <v>41.655784999999902</v>
      </c>
      <c r="G2642" s="79">
        <v>2502800</v>
      </c>
    </row>
    <row r="2643" spans="1:7" x14ac:dyDescent="0.25">
      <c r="A2643" s="1" t="s">
        <v>2766</v>
      </c>
      <c r="B2643" s="76">
        <v>53.407435999999997</v>
      </c>
      <c r="C2643" s="76">
        <v>53.795189000000001</v>
      </c>
      <c r="D2643" s="76">
        <v>51.922272</v>
      </c>
      <c r="E2643" s="76">
        <v>52.03933</v>
      </c>
      <c r="F2643" s="76">
        <v>40.599834000000001</v>
      </c>
      <c r="G2643" s="79">
        <v>2264500</v>
      </c>
    </row>
    <row r="2644" spans="1:7" x14ac:dyDescent="0.25">
      <c r="A2644" s="1" t="s">
        <v>2767</v>
      </c>
      <c r="B2644" s="76">
        <v>53.297694999999997</v>
      </c>
      <c r="C2644" s="76">
        <v>53.509861000000001</v>
      </c>
      <c r="D2644" s="76">
        <v>50.181041999999998</v>
      </c>
      <c r="E2644" s="76">
        <v>50.846806000000001</v>
      </c>
      <c r="F2644" s="76">
        <v>39.669449</v>
      </c>
      <c r="G2644" s="79">
        <v>3839400</v>
      </c>
    </row>
    <row r="2645" spans="1:7" x14ac:dyDescent="0.25">
      <c r="A2645" s="1" t="s">
        <v>2768</v>
      </c>
      <c r="B2645" s="76">
        <v>51.102871</v>
      </c>
      <c r="C2645" s="76">
        <v>53.312328000000001</v>
      </c>
      <c r="D2645" s="76">
        <v>50.876072000000001</v>
      </c>
      <c r="E2645" s="76">
        <v>53.305011999999998</v>
      </c>
      <c r="F2645" s="76">
        <v>41.587288000000001</v>
      </c>
      <c r="G2645" s="79">
        <v>3227700</v>
      </c>
    </row>
    <row r="2646" spans="1:7" x14ac:dyDescent="0.25">
      <c r="A2646" s="1" t="s">
        <v>2769</v>
      </c>
      <c r="B2646" s="76">
        <v>53.934195999999901</v>
      </c>
      <c r="C2646" s="76">
        <v>54.278053</v>
      </c>
      <c r="D2646" s="76">
        <v>52.741672999999999</v>
      </c>
      <c r="E2646" s="76">
        <v>53.692763999999997</v>
      </c>
      <c r="F2646" s="76">
        <v>41.889796999999902</v>
      </c>
      <c r="G2646" s="79">
        <v>2307000</v>
      </c>
    </row>
    <row r="2647" spans="1:7" x14ac:dyDescent="0.25">
      <c r="A2647" s="1" t="s">
        <v>2770</v>
      </c>
      <c r="B2647" s="76">
        <v>53.502547999999997</v>
      </c>
      <c r="C2647" s="76">
        <v>54.921866999999999</v>
      </c>
      <c r="D2647" s="76">
        <v>53.458649000000001</v>
      </c>
      <c r="E2647" s="76">
        <v>54.870654999999999</v>
      </c>
      <c r="F2647" s="76">
        <v>42.808757999999997</v>
      </c>
      <c r="G2647" s="79">
        <v>2030500</v>
      </c>
    </row>
    <row r="2648" spans="1:7" x14ac:dyDescent="0.25">
      <c r="A2648" s="1" t="s">
        <v>2771</v>
      </c>
      <c r="B2648" s="76">
        <v>54.695067999999999</v>
      </c>
      <c r="C2648" s="76">
        <v>55.338885999999903</v>
      </c>
      <c r="D2648" s="76">
        <v>54.190257999999901</v>
      </c>
      <c r="E2648" s="76">
        <v>55.324252999999999</v>
      </c>
      <c r="F2648" s="76">
        <v>43.162635999999999</v>
      </c>
      <c r="G2648" s="79">
        <v>2097700</v>
      </c>
    </row>
    <row r="2649" spans="1:7" x14ac:dyDescent="0.25">
      <c r="A2649" s="1" t="s">
        <v>2772</v>
      </c>
      <c r="B2649" s="76">
        <v>55.975383999999998</v>
      </c>
      <c r="C2649" s="76">
        <v>56.728943000000001</v>
      </c>
      <c r="D2649" s="76">
        <v>55.507153000000002</v>
      </c>
      <c r="E2649" s="76">
        <v>56.553356000000001</v>
      </c>
      <c r="F2649" s="76">
        <v>44.121563000000002</v>
      </c>
      <c r="G2649" s="79">
        <v>2240100</v>
      </c>
    </row>
    <row r="2650" spans="1:7" x14ac:dyDescent="0.25">
      <c r="A2650" s="1" t="s">
        <v>2773</v>
      </c>
      <c r="B2650" s="76">
        <v>55.843693000000002</v>
      </c>
      <c r="C2650" s="76">
        <v>56.582618999999902</v>
      </c>
      <c r="D2650" s="76">
        <v>55.316935999999998</v>
      </c>
      <c r="E2650" s="76">
        <v>56.099757999999902</v>
      </c>
      <c r="F2650" s="76">
        <v>43.767676999999999</v>
      </c>
      <c r="G2650" s="79">
        <v>1147600</v>
      </c>
    </row>
    <row r="2651" spans="1:7" x14ac:dyDescent="0.25">
      <c r="A2651" s="1" t="s">
        <v>2774</v>
      </c>
      <c r="B2651" s="76">
        <v>56.224132999999902</v>
      </c>
      <c r="C2651" s="76">
        <v>56.407031999999901</v>
      </c>
      <c r="D2651" s="76">
        <v>54.753596999999999</v>
      </c>
      <c r="E2651" s="76">
        <v>56.246077999999997</v>
      </c>
      <c r="F2651" s="76">
        <v>43.881832000000003</v>
      </c>
      <c r="G2651" s="79">
        <v>1362900</v>
      </c>
    </row>
    <row r="2652" spans="1:7" x14ac:dyDescent="0.25">
      <c r="A2652" s="1" t="s">
        <v>2775</v>
      </c>
      <c r="B2652" s="76">
        <v>55.572997999999998</v>
      </c>
      <c r="C2652" s="76">
        <v>55.858325999999998</v>
      </c>
      <c r="D2652" s="76">
        <v>54.124412999999997</v>
      </c>
      <c r="E2652" s="76">
        <v>54.629222999999897</v>
      </c>
      <c r="F2652" s="76">
        <v>42.620407</v>
      </c>
      <c r="G2652" s="79">
        <v>2645600</v>
      </c>
    </row>
    <row r="2653" spans="1:7" x14ac:dyDescent="0.25">
      <c r="A2653" s="1" t="s">
        <v>2776</v>
      </c>
      <c r="B2653" s="76">
        <v>54.870654999999999</v>
      </c>
      <c r="C2653" s="76">
        <v>55.704689000000002</v>
      </c>
      <c r="D2653" s="76">
        <v>54.043937999999997</v>
      </c>
      <c r="E2653" s="76">
        <v>55.419361000000002</v>
      </c>
      <c r="F2653" s="76">
        <v>43.236846999999997</v>
      </c>
      <c r="G2653" s="79">
        <v>1900300</v>
      </c>
    </row>
    <row r="2654" spans="1:7" x14ac:dyDescent="0.25">
      <c r="A2654" s="1" t="s">
        <v>2777</v>
      </c>
      <c r="B2654" s="76">
        <v>54.541431000000003</v>
      </c>
      <c r="C2654" s="76">
        <v>56.502143999999902</v>
      </c>
      <c r="D2654" s="76">
        <v>54.212207999999997</v>
      </c>
      <c r="E2654" s="76">
        <v>56.443615000000001</v>
      </c>
      <c r="F2654" s="76">
        <v>44.03595</v>
      </c>
      <c r="G2654" s="79">
        <v>1899400</v>
      </c>
    </row>
    <row r="2655" spans="1:7" x14ac:dyDescent="0.25">
      <c r="A2655" s="1" t="s">
        <v>2778</v>
      </c>
      <c r="B2655" s="76">
        <v>57.131324999999997</v>
      </c>
      <c r="C2655" s="76">
        <v>57.314228</v>
      </c>
      <c r="D2655" s="76">
        <v>55.046241999999999</v>
      </c>
      <c r="E2655" s="76">
        <v>55.280356999999903</v>
      </c>
      <c r="F2655" s="76">
        <v>43.128402999999999</v>
      </c>
      <c r="G2655" s="79">
        <v>2100300</v>
      </c>
    </row>
    <row r="2656" spans="1:7" x14ac:dyDescent="0.25">
      <c r="A2656" s="1" t="s">
        <v>2779</v>
      </c>
      <c r="B2656" s="76">
        <v>55.719321999999998</v>
      </c>
      <c r="C2656" s="76">
        <v>58.294581999999998</v>
      </c>
      <c r="D2656" s="76">
        <v>55.719321999999998</v>
      </c>
      <c r="E2656" s="76">
        <v>57.870251000000003</v>
      </c>
      <c r="F2656" s="76">
        <v>45.148983000000001</v>
      </c>
      <c r="G2656" s="79">
        <v>2705100</v>
      </c>
    </row>
    <row r="2657" spans="1:7" x14ac:dyDescent="0.25">
      <c r="A2657" s="1" t="s">
        <v>2780</v>
      </c>
      <c r="B2657" s="76">
        <v>57.797089</v>
      </c>
      <c r="C2657" s="76">
        <v>58.675018000000001</v>
      </c>
      <c r="D2657" s="76">
        <v>56.926476000000001</v>
      </c>
      <c r="E2657" s="76">
        <v>58.616492999999998</v>
      </c>
      <c r="F2657" s="76">
        <v>45.731171000000003</v>
      </c>
      <c r="G2657" s="79">
        <v>1626900</v>
      </c>
    </row>
    <row r="2658" spans="1:7" x14ac:dyDescent="0.25">
      <c r="A2658" s="1" t="s">
        <v>2781</v>
      </c>
      <c r="B2658" s="76">
        <v>58.762813999999999</v>
      </c>
      <c r="C2658" s="76">
        <v>60.760105000000003</v>
      </c>
      <c r="D2658" s="76">
        <v>58.177525000000003</v>
      </c>
      <c r="E2658" s="76">
        <v>60.621097999999897</v>
      </c>
      <c r="F2658" s="76">
        <v>47.295127999999998</v>
      </c>
      <c r="G2658" s="79">
        <v>2224100</v>
      </c>
    </row>
    <row r="2659" spans="1:7" x14ac:dyDescent="0.25">
      <c r="A2659" s="1" t="s">
        <v>2782</v>
      </c>
      <c r="B2659" s="76">
        <v>61.177119999999903</v>
      </c>
      <c r="C2659" s="76">
        <v>61.411235999999903</v>
      </c>
      <c r="D2659" s="76">
        <v>59.830962999999997</v>
      </c>
      <c r="E2659" s="76">
        <v>60.474777000000003</v>
      </c>
      <c r="F2659" s="76">
        <v>47.180962000000001</v>
      </c>
      <c r="G2659" s="79">
        <v>2354900</v>
      </c>
    </row>
    <row r="2660" spans="1:7" x14ac:dyDescent="0.25">
      <c r="A2660" s="1" t="s">
        <v>2783</v>
      </c>
      <c r="B2660" s="76">
        <v>60.328456999999901</v>
      </c>
      <c r="C2660" s="76">
        <v>61.330760999999903</v>
      </c>
      <c r="D2660" s="76">
        <v>59.823646999999902</v>
      </c>
      <c r="E2660" s="76">
        <v>60.796683999999999</v>
      </c>
      <c r="F2660" s="76">
        <v>47.432105999999997</v>
      </c>
      <c r="G2660" s="79">
        <v>1866600</v>
      </c>
    </row>
    <row r="2661" spans="1:7" x14ac:dyDescent="0.25">
      <c r="A2661" s="1" t="s">
        <v>2784</v>
      </c>
      <c r="B2661" s="76">
        <v>61.286864999999999</v>
      </c>
      <c r="C2661" s="76">
        <v>61.286864999999999</v>
      </c>
      <c r="D2661" s="76">
        <v>59.626109999999997</v>
      </c>
      <c r="E2661" s="76">
        <v>60.291874</v>
      </c>
      <c r="F2661" s="76">
        <v>47.038269</v>
      </c>
      <c r="G2661" s="79">
        <v>1291900</v>
      </c>
    </row>
    <row r="2662" spans="1:7" x14ac:dyDescent="0.25">
      <c r="A2662" s="1" t="s">
        <v>2785</v>
      </c>
      <c r="B2662" s="76">
        <v>59.428576999999997</v>
      </c>
      <c r="C2662" s="76">
        <v>60.738154999999999</v>
      </c>
      <c r="D2662" s="76">
        <v>59.406627999999998</v>
      </c>
      <c r="E2662" s="76">
        <v>60.562571999999903</v>
      </c>
      <c r="F2662" s="76">
        <v>47.249462000000001</v>
      </c>
      <c r="G2662" s="79">
        <v>2291900</v>
      </c>
    </row>
    <row r="2663" spans="1:7" x14ac:dyDescent="0.25">
      <c r="A2663" s="1" t="s">
        <v>2786</v>
      </c>
      <c r="B2663" s="76">
        <v>61.4551319999999</v>
      </c>
      <c r="C2663" s="76">
        <v>63.335368999999901</v>
      </c>
      <c r="D2663" s="76">
        <v>60.774737999999999</v>
      </c>
      <c r="E2663" s="76">
        <v>63.218311</v>
      </c>
      <c r="F2663" s="76">
        <v>49.321391999999904</v>
      </c>
      <c r="G2663" s="79">
        <v>2498500</v>
      </c>
    </row>
    <row r="2664" spans="1:7" x14ac:dyDescent="0.25">
      <c r="A2664" s="1" t="s">
        <v>2787</v>
      </c>
      <c r="B2664" s="76">
        <v>62.523280999999997</v>
      </c>
      <c r="C2664" s="76">
        <v>62.874454</v>
      </c>
      <c r="D2664" s="76">
        <v>61.777042000000002</v>
      </c>
      <c r="E2664" s="76">
        <v>62.033104000000002</v>
      </c>
      <c r="F2664" s="76">
        <v>48.396729000000001</v>
      </c>
      <c r="G2664" s="79">
        <v>1989500</v>
      </c>
    </row>
    <row r="2665" spans="1:7" x14ac:dyDescent="0.25">
      <c r="A2665" s="1" t="s">
        <v>2788</v>
      </c>
      <c r="B2665" s="76">
        <v>62.303798999999998</v>
      </c>
      <c r="C2665" s="76">
        <v>62.845188</v>
      </c>
      <c r="D2665" s="76">
        <v>62.120899000000001</v>
      </c>
      <c r="E2665" s="76">
        <v>62.669604999999997</v>
      </c>
      <c r="F2665" s="76">
        <v>48.893321999999998</v>
      </c>
      <c r="G2665" s="79">
        <v>1321500</v>
      </c>
    </row>
    <row r="2666" spans="1:7" x14ac:dyDescent="0.25">
      <c r="A2666" s="1" t="s">
        <v>2789</v>
      </c>
      <c r="B2666" s="76">
        <v>62.179423999999997</v>
      </c>
      <c r="C2666" s="76">
        <v>62.713501000000001</v>
      </c>
      <c r="D2666" s="76">
        <v>61.608771999999902</v>
      </c>
      <c r="E2666" s="76">
        <v>62.150162000000002</v>
      </c>
      <c r="F2666" s="76">
        <v>48.488056</v>
      </c>
      <c r="G2666" s="79">
        <v>1537600</v>
      </c>
    </row>
    <row r="2667" spans="1:7" x14ac:dyDescent="0.25">
      <c r="A2667" s="1" t="s">
        <v>2790</v>
      </c>
      <c r="B2667" s="76">
        <v>61.4551319999999</v>
      </c>
      <c r="C2667" s="76">
        <v>62.150162000000002</v>
      </c>
      <c r="D2667" s="76">
        <v>60.921059</v>
      </c>
      <c r="E2667" s="76">
        <v>62.076999999999998</v>
      </c>
      <c r="F2667" s="76">
        <v>48.430984000000002</v>
      </c>
      <c r="G2667" s="79">
        <v>1610800</v>
      </c>
    </row>
    <row r="2668" spans="1:7" x14ac:dyDescent="0.25">
      <c r="A2668" s="1" t="s">
        <v>2791</v>
      </c>
      <c r="B2668" s="76">
        <v>61.791671999999998</v>
      </c>
      <c r="C2668" s="76">
        <v>62.669604999999997</v>
      </c>
      <c r="D2668" s="76">
        <v>61.586822999999903</v>
      </c>
      <c r="E2668" s="76">
        <v>62.611075999999997</v>
      </c>
      <c r="F2668" s="76">
        <v>49.224747000000001</v>
      </c>
      <c r="G2668" s="79">
        <v>1329800</v>
      </c>
    </row>
    <row r="2669" spans="1:7" x14ac:dyDescent="0.25">
      <c r="A2669" s="1" t="s">
        <v>2792</v>
      </c>
      <c r="B2669" s="76">
        <v>62.069682999999998</v>
      </c>
      <c r="C2669" s="76">
        <v>62.179423999999997</v>
      </c>
      <c r="D2669" s="76">
        <v>60.708893000000003</v>
      </c>
      <c r="E2669" s="76">
        <v>61.425868999999899</v>
      </c>
      <c r="F2669" s="76">
        <v>48.292941999999996</v>
      </c>
      <c r="G2669" s="79">
        <v>1832500</v>
      </c>
    </row>
    <row r="2670" spans="1:7" x14ac:dyDescent="0.25">
      <c r="A2670" s="1" t="s">
        <v>2793</v>
      </c>
      <c r="B2670" s="76">
        <v>60.591834999999897</v>
      </c>
      <c r="C2670" s="76">
        <v>61.023482999999999</v>
      </c>
      <c r="D2670" s="76">
        <v>59.962649999999996</v>
      </c>
      <c r="E2670" s="76">
        <v>60.262611</v>
      </c>
      <c r="F2670" s="76">
        <v>47.37838</v>
      </c>
      <c r="G2670" s="79">
        <v>2325900</v>
      </c>
    </row>
    <row r="2671" spans="1:7" x14ac:dyDescent="0.25">
      <c r="A2671" s="1" t="s">
        <v>2794</v>
      </c>
      <c r="B2671" s="76">
        <v>59.457839999999997</v>
      </c>
      <c r="C2671" s="76">
        <v>60.226031999999996</v>
      </c>
      <c r="D2671" s="76">
        <v>59.304203000000001</v>
      </c>
      <c r="E2671" s="76">
        <v>59.472473000000001</v>
      </c>
      <c r="F2671" s="76">
        <v>46.757187000000002</v>
      </c>
      <c r="G2671" s="79">
        <v>1796200</v>
      </c>
    </row>
    <row r="2672" spans="1:7" x14ac:dyDescent="0.25">
      <c r="A2672" s="1" t="s">
        <v>2795</v>
      </c>
      <c r="B2672" s="76">
        <v>59.443210999999998</v>
      </c>
      <c r="C2672" s="76">
        <v>60.130919999999897</v>
      </c>
      <c r="D2672" s="76">
        <v>59.252991000000002</v>
      </c>
      <c r="E2672" s="76">
        <v>59.260306999999997</v>
      </c>
      <c r="F2672" s="76">
        <v>46.590384999999998</v>
      </c>
      <c r="G2672" s="79">
        <v>1665200</v>
      </c>
    </row>
    <row r="2673" spans="1:7" x14ac:dyDescent="0.25">
      <c r="A2673" s="1" t="s">
        <v>2796</v>
      </c>
      <c r="B2673" s="76">
        <v>59.026192000000002</v>
      </c>
      <c r="C2673" s="76">
        <v>59.838279999999997</v>
      </c>
      <c r="D2673" s="76">
        <v>58.857921999999903</v>
      </c>
      <c r="E2673" s="76">
        <v>59.362731999999902</v>
      </c>
      <c r="F2673" s="76">
        <v>46.670901999999998</v>
      </c>
      <c r="G2673" s="79">
        <v>1277000</v>
      </c>
    </row>
    <row r="2674" spans="1:7" x14ac:dyDescent="0.25">
      <c r="A2674" s="1" t="s">
        <v>2797</v>
      </c>
      <c r="B2674" s="76">
        <v>60.094341</v>
      </c>
      <c r="C2674" s="76">
        <v>61.923363000000002</v>
      </c>
      <c r="D2674" s="76">
        <v>59.721221999999997</v>
      </c>
      <c r="E2674" s="76">
        <v>61.484397999999999</v>
      </c>
      <c r="F2674" s="76">
        <v>48.338954999999999</v>
      </c>
      <c r="G2674" s="79">
        <v>2525800</v>
      </c>
    </row>
    <row r="2675" spans="1:7" x14ac:dyDescent="0.25">
      <c r="A2675" s="1" t="s">
        <v>2798</v>
      </c>
      <c r="B2675" s="76">
        <v>61.484397999999999</v>
      </c>
      <c r="C2675" s="76">
        <v>62.011153999999998</v>
      </c>
      <c r="D2675" s="76">
        <v>61.023482999999999</v>
      </c>
      <c r="E2675" s="76">
        <v>61.469765000000002</v>
      </c>
      <c r="F2675" s="76">
        <v>48.327438000000001</v>
      </c>
      <c r="G2675" s="79">
        <v>1696800</v>
      </c>
    </row>
    <row r="2676" spans="1:7" x14ac:dyDescent="0.25">
      <c r="A2676" s="1" t="s">
        <v>2799</v>
      </c>
      <c r="B2676" s="76">
        <v>61.294178000000002</v>
      </c>
      <c r="C2676" s="76">
        <v>61.323443999999903</v>
      </c>
      <c r="D2676" s="76">
        <v>59.231040999999998</v>
      </c>
      <c r="E2676" s="76">
        <v>59.655375999999997</v>
      </c>
      <c r="F2676" s="76">
        <v>46.900973999999998</v>
      </c>
      <c r="G2676" s="79">
        <v>1869000</v>
      </c>
    </row>
    <row r="2677" spans="1:7" x14ac:dyDescent="0.25">
      <c r="A2677" s="1" t="s">
        <v>2800</v>
      </c>
      <c r="B2677" s="76">
        <v>59.260306999999997</v>
      </c>
      <c r="C2677" s="76">
        <v>59.823646999999902</v>
      </c>
      <c r="D2677" s="76">
        <v>58.748179999999998</v>
      </c>
      <c r="E2677" s="76">
        <v>59.304203000000001</v>
      </c>
      <c r="F2677" s="76">
        <v>46.624885999999996</v>
      </c>
      <c r="G2677" s="79">
        <v>1440500</v>
      </c>
    </row>
    <row r="2678" spans="1:7" x14ac:dyDescent="0.25">
      <c r="A2678" s="1" t="s">
        <v>2801</v>
      </c>
      <c r="B2678" s="76">
        <v>59.779750999999997</v>
      </c>
      <c r="C2678" s="76">
        <v>60.152869999999901</v>
      </c>
      <c r="D2678" s="76">
        <v>59.143250000000002</v>
      </c>
      <c r="E2678" s="76">
        <v>59.231040999999998</v>
      </c>
      <c r="F2678" s="76">
        <v>46.567368000000002</v>
      </c>
      <c r="G2678" s="79">
        <v>1202100</v>
      </c>
    </row>
    <row r="2679" spans="1:7" x14ac:dyDescent="0.25">
      <c r="A2679" s="1" t="s">
        <v>2802</v>
      </c>
      <c r="B2679" s="76">
        <v>58.696967999999998</v>
      </c>
      <c r="C2679" s="76">
        <v>59.209094999999998</v>
      </c>
      <c r="D2679" s="76">
        <v>57.987308999999897</v>
      </c>
      <c r="E2679" s="76">
        <v>58.550647999999903</v>
      </c>
      <c r="F2679" s="76">
        <v>46.032432999999997</v>
      </c>
      <c r="G2679" s="79">
        <v>1378500</v>
      </c>
    </row>
    <row r="2680" spans="1:7" x14ac:dyDescent="0.25">
      <c r="A2680" s="1" t="s">
        <v>2803</v>
      </c>
      <c r="B2680" s="76">
        <v>58.243369999999999</v>
      </c>
      <c r="C2680" s="76">
        <v>59.706589000000001</v>
      </c>
      <c r="D2680" s="76">
        <v>58.243369999999999</v>
      </c>
      <c r="E2680" s="76">
        <v>59.421261000000001</v>
      </c>
      <c r="F2680" s="76">
        <v>46.716907999999997</v>
      </c>
      <c r="G2680" s="79">
        <v>1602500</v>
      </c>
    </row>
    <row r="2681" spans="1:7" x14ac:dyDescent="0.25">
      <c r="A2681" s="1" t="s">
        <v>2804</v>
      </c>
      <c r="B2681" s="76">
        <v>59.772433999999997</v>
      </c>
      <c r="C2681" s="76">
        <v>60.057761999999997</v>
      </c>
      <c r="D2681" s="76">
        <v>58.645755999999999</v>
      </c>
      <c r="E2681" s="76">
        <v>58.843288000000001</v>
      </c>
      <c r="F2681" s="76">
        <v>46.262520000000002</v>
      </c>
      <c r="G2681" s="79">
        <v>1711000</v>
      </c>
    </row>
    <row r="2682" spans="1:7" x14ac:dyDescent="0.25">
      <c r="A2682" s="1" t="s">
        <v>2805</v>
      </c>
      <c r="B2682" s="76">
        <v>59.150565999999998</v>
      </c>
      <c r="C2682" s="76">
        <v>59.743167999999997</v>
      </c>
      <c r="D2682" s="76">
        <v>57.840988000000003</v>
      </c>
      <c r="E2682" s="76">
        <v>59.684638999999997</v>
      </c>
      <c r="F2682" s="76">
        <v>46.923977000000001</v>
      </c>
      <c r="G2682" s="79">
        <v>2250800</v>
      </c>
    </row>
    <row r="2683" spans="1:7" x14ac:dyDescent="0.25">
      <c r="A2683" s="1" t="s">
        <v>2806</v>
      </c>
      <c r="B2683" s="76">
        <v>59.289569999999998</v>
      </c>
      <c r="C2683" s="76">
        <v>60.240662</v>
      </c>
      <c r="D2683" s="76">
        <v>58.843288000000001</v>
      </c>
      <c r="E2683" s="76">
        <v>58.872554999999998</v>
      </c>
      <c r="F2683" s="76">
        <v>46.285530000000001</v>
      </c>
      <c r="G2683" s="79">
        <v>1484400</v>
      </c>
    </row>
    <row r="2684" spans="1:7" x14ac:dyDescent="0.25">
      <c r="A2684" s="1" t="s">
        <v>2807</v>
      </c>
      <c r="B2684" s="76">
        <v>58.828658999999902</v>
      </c>
      <c r="C2684" s="76">
        <v>59.662692999999997</v>
      </c>
      <c r="D2684" s="76">
        <v>58.462851999999998</v>
      </c>
      <c r="E2684" s="76">
        <v>59.304203000000001</v>
      </c>
      <c r="F2684" s="76">
        <v>46.624885999999996</v>
      </c>
      <c r="G2684" s="79">
        <v>1945800</v>
      </c>
    </row>
    <row r="2685" spans="1:7" x14ac:dyDescent="0.25">
      <c r="A2685" s="1" t="s">
        <v>2808</v>
      </c>
      <c r="B2685" s="76">
        <v>60.262611</v>
      </c>
      <c r="C2685" s="76">
        <v>61.872149999999998</v>
      </c>
      <c r="D2685" s="76">
        <v>59.969966999999997</v>
      </c>
      <c r="E2685" s="76">
        <v>61.674618000000002</v>
      </c>
      <c r="F2685" s="76">
        <v>48.488498999999997</v>
      </c>
      <c r="G2685" s="79">
        <v>3060800</v>
      </c>
    </row>
    <row r="2686" spans="1:7" x14ac:dyDescent="0.25">
      <c r="A2686" s="1" t="s">
        <v>2809</v>
      </c>
      <c r="B2686" s="76">
        <v>61.806305000000002</v>
      </c>
      <c r="C2686" s="76">
        <v>63.042724999999997</v>
      </c>
      <c r="D2686" s="76">
        <v>61.718513000000002</v>
      </c>
      <c r="E2686" s="76">
        <v>63.020775</v>
      </c>
      <c r="F2686" s="76">
        <v>49.546844</v>
      </c>
      <c r="G2686" s="79">
        <v>2259000</v>
      </c>
    </row>
    <row r="2687" spans="1:7" x14ac:dyDescent="0.25">
      <c r="A2687" s="1" t="s">
        <v>2810</v>
      </c>
      <c r="B2687" s="76">
        <v>63.437793999999997</v>
      </c>
      <c r="C2687" s="76">
        <v>64.037711999999999</v>
      </c>
      <c r="D2687" s="76">
        <v>62.940300000000001</v>
      </c>
      <c r="E2687" s="76">
        <v>63.949920999999897</v>
      </c>
      <c r="F2687" s="76">
        <v>50.277347999999897</v>
      </c>
      <c r="G2687" s="79">
        <v>1930700</v>
      </c>
    </row>
    <row r="2688" spans="1:7" x14ac:dyDescent="0.25">
      <c r="A2688" s="1" t="s">
        <v>2811</v>
      </c>
      <c r="B2688" s="76">
        <v>63.371947999999897</v>
      </c>
      <c r="C2688" s="76">
        <v>63.510956</v>
      </c>
      <c r="D2688" s="76">
        <v>62.698867999999997</v>
      </c>
      <c r="E2688" s="76">
        <v>62.735447000000001</v>
      </c>
      <c r="F2688" s="76">
        <v>49.322524999999999</v>
      </c>
      <c r="G2688" s="79">
        <v>1615500</v>
      </c>
    </row>
    <row r="2689" spans="1:7" x14ac:dyDescent="0.25">
      <c r="A2689" s="1" t="s">
        <v>2812</v>
      </c>
      <c r="B2689" s="76">
        <v>63.137832999999901</v>
      </c>
      <c r="C2689" s="76">
        <v>63.525585</v>
      </c>
      <c r="D2689" s="76">
        <v>62.501334999999997</v>
      </c>
      <c r="E2689" s="76">
        <v>62.837874999999997</v>
      </c>
      <c r="F2689" s="76">
        <v>49.403048999999903</v>
      </c>
      <c r="G2689" s="79">
        <v>1612600</v>
      </c>
    </row>
    <row r="2690" spans="1:7" x14ac:dyDescent="0.25">
      <c r="A2690" s="1" t="s">
        <v>2813</v>
      </c>
      <c r="B2690" s="76">
        <v>63.613379999999999</v>
      </c>
      <c r="C2690" s="76">
        <v>64.103554000000003</v>
      </c>
      <c r="D2690" s="76">
        <v>61.711196999999999</v>
      </c>
      <c r="E2690" s="76">
        <v>61.857517000000001</v>
      </c>
      <c r="F2690" s="76">
        <v>48.632305000000002</v>
      </c>
      <c r="G2690" s="79">
        <v>1913000</v>
      </c>
    </row>
    <row r="2691" spans="1:7" x14ac:dyDescent="0.25">
      <c r="A2691" s="1" t="s">
        <v>2814</v>
      </c>
      <c r="B2691" s="76">
        <v>62.142844999999902</v>
      </c>
      <c r="C2691" s="76">
        <v>62.530597999999998</v>
      </c>
      <c r="D2691" s="76">
        <v>61.659984999999999</v>
      </c>
      <c r="E2691" s="76">
        <v>62.113582999999998</v>
      </c>
      <c r="F2691" s="76">
        <v>48.833626000000002</v>
      </c>
      <c r="G2691" s="79">
        <v>1489800</v>
      </c>
    </row>
    <row r="2692" spans="1:7" x14ac:dyDescent="0.25">
      <c r="A2692" s="1" t="s">
        <v>2815</v>
      </c>
      <c r="B2692" s="76">
        <v>63.152465999999997</v>
      </c>
      <c r="C2692" s="76">
        <v>63.167099</v>
      </c>
      <c r="D2692" s="76">
        <v>62.296481999999997</v>
      </c>
      <c r="E2692" s="76">
        <v>62.940300000000001</v>
      </c>
      <c r="F2692" s="76">
        <v>49.483584999999998</v>
      </c>
      <c r="G2692" s="79">
        <v>1506900</v>
      </c>
    </row>
    <row r="2693" spans="1:7" x14ac:dyDescent="0.25">
      <c r="A2693" s="1" t="s">
        <v>2816</v>
      </c>
      <c r="B2693" s="76">
        <v>62.764713</v>
      </c>
      <c r="C2693" s="76">
        <v>63.4158439999999</v>
      </c>
      <c r="D2693" s="76">
        <v>62.311115000000001</v>
      </c>
      <c r="E2693" s="76">
        <v>62.750079999999997</v>
      </c>
      <c r="F2693" s="76">
        <v>49.334022999999902</v>
      </c>
      <c r="G2693" s="79">
        <v>2038900</v>
      </c>
    </row>
    <row r="2694" spans="1:7" x14ac:dyDescent="0.25">
      <c r="A2694" s="1" t="s">
        <v>2817</v>
      </c>
      <c r="B2694" s="76">
        <v>62.230640000000001</v>
      </c>
      <c r="C2694" s="76">
        <v>63.679221999999903</v>
      </c>
      <c r="D2694" s="76">
        <v>62.208691000000002</v>
      </c>
      <c r="E2694" s="76">
        <v>63.496322999999997</v>
      </c>
      <c r="F2694" s="76">
        <v>49.920726999999999</v>
      </c>
      <c r="G2694" s="79">
        <v>1308600</v>
      </c>
    </row>
    <row r="2695" spans="1:7" x14ac:dyDescent="0.25">
      <c r="A2695" s="1" t="s">
        <v>2818</v>
      </c>
      <c r="B2695" s="76">
        <v>63.342686</v>
      </c>
      <c r="C2695" s="76">
        <v>63.459739999999996</v>
      </c>
      <c r="D2695" s="76">
        <v>62.545231000000001</v>
      </c>
      <c r="E2695" s="76">
        <v>63.0134579999999</v>
      </c>
      <c r="F2695" s="76">
        <v>49.541103</v>
      </c>
      <c r="G2695" s="79">
        <v>1050300</v>
      </c>
    </row>
    <row r="2696" spans="1:7" x14ac:dyDescent="0.25">
      <c r="A2696" s="1" t="s">
        <v>2819</v>
      </c>
      <c r="B2696" s="76">
        <v>63.27684</v>
      </c>
      <c r="C2696" s="76">
        <v>63.474373</v>
      </c>
      <c r="D2696" s="76">
        <v>62.494018999999902</v>
      </c>
      <c r="E2696" s="76">
        <v>63.306103</v>
      </c>
      <c r="F2696" s="76">
        <v>49.771178999999997</v>
      </c>
      <c r="G2696" s="79">
        <v>2050800</v>
      </c>
    </row>
    <row r="2697" spans="1:7" x14ac:dyDescent="0.25">
      <c r="A2697" s="1" t="s">
        <v>2820</v>
      </c>
      <c r="B2697" s="76">
        <v>63.788967</v>
      </c>
      <c r="C2697" s="76">
        <v>65.135124000000005</v>
      </c>
      <c r="D2697" s="76">
        <v>63.349997999999999</v>
      </c>
      <c r="E2697" s="76">
        <v>64.791267000000005</v>
      </c>
      <c r="F2697" s="76">
        <v>50.938811999999999</v>
      </c>
      <c r="G2697" s="79">
        <v>2104800</v>
      </c>
    </row>
    <row r="2698" spans="1:7" x14ac:dyDescent="0.25">
      <c r="A2698" s="1" t="s">
        <v>2821</v>
      </c>
      <c r="B2698" s="76">
        <v>64.842483999999999</v>
      </c>
      <c r="C2698" s="76">
        <v>65.157073999999994</v>
      </c>
      <c r="D2698" s="76">
        <v>63.788967</v>
      </c>
      <c r="E2698" s="76">
        <v>64.644951000000006</v>
      </c>
      <c r="F2698" s="76">
        <v>50.823768999999999</v>
      </c>
      <c r="G2698" s="79">
        <v>2659200</v>
      </c>
    </row>
    <row r="2699" spans="1:7" x14ac:dyDescent="0.25">
      <c r="A2699" s="1" t="s">
        <v>2822</v>
      </c>
      <c r="B2699" s="76">
        <v>64.176719999999904</v>
      </c>
      <c r="C2699" s="76">
        <v>65.032700000000006</v>
      </c>
      <c r="D2699" s="76">
        <v>63.671908999999999</v>
      </c>
      <c r="E2699" s="76">
        <v>63.854808999999896</v>
      </c>
      <c r="F2699" s="76">
        <v>50.202579</v>
      </c>
      <c r="G2699" s="79">
        <v>2258600</v>
      </c>
    </row>
    <row r="2700" spans="1:7" x14ac:dyDescent="0.25">
      <c r="A2700" s="1" t="s">
        <v>2823</v>
      </c>
      <c r="B2700" s="76">
        <v>63.547534999999897</v>
      </c>
      <c r="C2700" s="76">
        <v>63.635325999999999</v>
      </c>
      <c r="D2700" s="76">
        <v>61.952629000000002</v>
      </c>
      <c r="E2700" s="76">
        <v>61.967257999999902</v>
      </c>
      <c r="F2700" s="76">
        <v>48.718567</v>
      </c>
      <c r="G2700" s="79">
        <v>2167700</v>
      </c>
    </row>
    <row r="2701" spans="1:7" x14ac:dyDescent="0.25">
      <c r="A2701" s="1" t="s">
        <v>2824</v>
      </c>
      <c r="B2701" s="76">
        <v>62.786662999999997</v>
      </c>
      <c r="C2701" s="76">
        <v>63.840178999999999</v>
      </c>
      <c r="D2701" s="76">
        <v>62.457436000000001</v>
      </c>
      <c r="E2701" s="76">
        <v>63.64996</v>
      </c>
      <c r="F2701" s="76">
        <v>50.041514999999997</v>
      </c>
      <c r="G2701" s="79">
        <v>2238500</v>
      </c>
    </row>
    <row r="2702" spans="1:7" x14ac:dyDescent="0.25">
      <c r="A2702" s="1" t="s">
        <v>2825</v>
      </c>
      <c r="B2702" s="76">
        <v>63.393898</v>
      </c>
      <c r="C2702" s="76">
        <v>63.979182999999999</v>
      </c>
      <c r="D2702" s="76">
        <v>62.947617000000001</v>
      </c>
      <c r="E2702" s="76">
        <v>63.540218000000003</v>
      </c>
      <c r="F2702" s="76">
        <v>49.955238000000001</v>
      </c>
      <c r="G2702" s="79">
        <v>2029500</v>
      </c>
    </row>
    <row r="2703" spans="1:7" x14ac:dyDescent="0.25">
      <c r="A2703" s="1" t="s">
        <v>2826</v>
      </c>
      <c r="B2703" s="76">
        <v>63.496322999999997</v>
      </c>
      <c r="C2703" s="76">
        <v>63.525585</v>
      </c>
      <c r="D2703" s="76">
        <v>62.391593999999998</v>
      </c>
      <c r="E2703" s="76">
        <v>63.342686</v>
      </c>
      <c r="F2703" s="76">
        <v>49.799931000000001</v>
      </c>
      <c r="G2703" s="79">
        <v>2345700</v>
      </c>
    </row>
    <row r="2704" spans="1:7" x14ac:dyDescent="0.25">
      <c r="A2704" s="1" t="s">
        <v>2827</v>
      </c>
      <c r="B2704" s="76">
        <v>62.998829000000001</v>
      </c>
      <c r="C2704" s="76">
        <v>63.1597819999999</v>
      </c>
      <c r="D2704" s="76">
        <v>62.216006999999998</v>
      </c>
      <c r="E2704" s="76">
        <v>62.457436000000001</v>
      </c>
      <c r="F2704" s="76">
        <v>49.103951000000002</v>
      </c>
      <c r="G2704" s="79">
        <v>1432800</v>
      </c>
    </row>
    <row r="2705" spans="1:7" x14ac:dyDescent="0.25">
      <c r="A2705" s="1" t="s">
        <v>2828</v>
      </c>
      <c r="B2705" s="76">
        <v>62.786662999999997</v>
      </c>
      <c r="C2705" s="76">
        <v>63.518268999999997</v>
      </c>
      <c r="D2705" s="76">
        <v>62.179423999999997</v>
      </c>
      <c r="E2705" s="76">
        <v>62.574492999999997</v>
      </c>
      <c r="F2705" s="76">
        <v>49.195991999999997</v>
      </c>
      <c r="G2705" s="79">
        <v>2675300</v>
      </c>
    </row>
    <row r="2706" spans="1:7" x14ac:dyDescent="0.25">
      <c r="A2706" s="1" t="s">
        <v>2829</v>
      </c>
      <c r="B2706" s="76">
        <v>63.269523999999997</v>
      </c>
      <c r="C2706" s="76">
        <v>63.335368999999901</v>
      </c>
      <c r="D2706" s="76">
        <v>62.040420999999903</v>
      </c>
      <c r="E2706" s="76">
        <v>62.889088000000001</v>
      </c>
      <c r="F2706" s="76">
        <v>49.443317</v>
      </c>
      <c r="G2706" s="79">
        <v>1817900</v>
      </c>
    </row>
    <row r="2707" spans="1:7" x14ac:dyDescent="0.25">
      <c r="A2707" s="1" t="s">
        <v>2830</v>
      </c>
      <c r="B2707" s="76">
        <v>62.925666999999997</v>
      </c>
      <c r="C2707" s="76">
        <v>63.606064000000003</v>
      </c>
      <c r="D2707" s="76">
        <v>62.589126999999998</v>
      </c>
      <c r="E2707" s="76">
        <v>63.591431</v>
      </c>
      <c r="F2707" s="76">
        <v>49.995490999999902</v>
      </c>
      <c r="G2707" s="79">
        <v>1693600</v>
      </c>
    </row>
    <row r="2708" spans="1:7" x14ac:dyDescent="0.25">
      <c r="A2708" s="1" t="s">
        <v>2831</v>
      </c>
      <c r="B2708" s="76">
        <v>64.359618999999995</v>
      </c>
      <c r="C2708" s="76">
        <v>64.966858000000002</v>
      </c>
      <c r="D2708" s="76">
        <v>63.606064000000003</v>
      </c>
      <c r="E2708" s="76">
        <v>64.644951000000006</v>
      </c>
      <c r="F2708" s="76">
        <v>50.823768999999999</v>
      </c>
      <c r="G2708" s="79">
        <v>2614200</v>
      </c>
    </row>
    <row r="2709" spans="1:7" x14ac:dyDescent="0.25">
      <c r="A2709" s="1" t="s">
        <v>2832</v>
      </c>
      <c r="B2709" s="76">
        <v>64.396202000000002</v>
      </c>
      <c r="C2709" s="76">
        <v>64.725425999999999</v>
      </c>
      <c r="D2709" s="76">
        <v>63.284156999999901</v>
      </c>
      <c r="E2709" s="76">
        <v>63.759701</v>
      </c>
      <c r="F2709" s="76">
        <v>50.127791999999999</v>
      </c>
      <c r="G2709" s="79">
        <v>1841600</v>
      </c>
    </row>
    <row r="2710" spans="1:7" x14ac:dyDescent="0.25">
      <c r="A2710" s="1" t="s">
        <v>2833</v>
      </c>
      <c r="B2710" s="76">
        <v>64.103554000000003</v>
      </c>
      <c r="C2710" s="76">
        <v>64.505943000000002</v>
      </c>
      <c r="D2710" s="76">
        <v>63.525585</v>
      </c>
      <c r="E2710" s="76">
        <v>63.715805000000003</v>
      </c>
      <c r="F2710" s="76">
        <v>50.093280999999998</v>
      </c>
      <c r="G2710" s="79">
        <v>1219700</v>
      </c>
    </row>
    <row r="2711" spans="1:7" x14ac:dyDescent="0.25">
      <c r="A2711" s="1" t="s">
        <v>2834</v>
      </c>
      <c r="B2711" s="76">
        <v>63.869441999999999</v>
      </c>
      <c r="C2711" s="76">
        <v>64.081611999999893</v>
      </c>
      <c r="D2711" s="76">
        <v>63.306103</v>
      </c>
      <c r="E2711" s="76">
        <v>63.613379999999999</v>
      </c>
      <c r="F2711" s="76">
        <v>50.012745000000002</v>
      </c>
      <c r="G2711" s="79">
        <v>1547700</v>
      </c>
    </row>
    <row r="2712" spans="1:7" x14ac:dyDescent="0.25">
      <c r="A2712" s="1" t="s">
        <v>2835</v>
      </c>
      <c r="B2712" s="76">
        <v>63.606064000000003</v>
      </c>
      <c r="C2712" s="76">
        <v>63.979182999999999</v>
      </c>
      <c r="D2712" s="76">
        <v>63.320735999999997</v>
      </c>
      <c r="E2712" s="76">
        <v>63.628009999999897</v>
      </c>
      <c r="F2712" s="76">
        <v>50.024258000000003</v>
      </c>
      <c r="G2712" s="79">
        <v>903900</v>
      </c>
    </row>
    <row r="2713" spans="1:7" x14ac:dyDescent="0.25">
      <c r="A2713" s="1" t="s">
        <v>2836</v>
      </c>
      <c r="B2713" s="76">
        <v>63.284156999999901</v>
      </c>
      <c r="C2713" s="76">
        <v>64.176719999999904</v>
      </c>
      <c r="D2713" s="76">
        <v>62.859820999999997</v>
      </c>
      <c r="E2713" s="76">
        <v>64.052344999999903</v>
      </c>
      <c r="F2713" s="76">
        <v>50.357875999999997</v>
      </c>
      <c r="G2713" s="79">
        <v>1484500</v>
      </c>
    </row>
    <row r="2714" spans="1:7" x14ac:dyDescent="0.25">
      <c r="A2714" s="1" t="s">
        <v>2837</v>
      </c>
      <c r="B2714" s="76">
        <v>64.271827999999999</v>
      </c>
      <c r="C2714" s="76">
        <v>64.974174000000005</v>
      </c>
      <c r="D2714" s="76">
        <v>64.088927999999996</v>
      </c>
      <c r="E2714" s="76">
        <v>64.432777000000002</v>
      </c>
      <c r="F2714" s="76">
        <v>50.656959999999998</v>
      </c>
      <c r="G2714" s="79">
        <v>1994700</v>
      </c>
    </row>
    <row r="2715" spans="1:7" x14ac:dyDescent="0.25">
      <c r="A2715" s="1" t="s">
        <v>2838</v>
      </c>
      <c r="B2715" s="76">
        <v>64.176719999999904</v>
      </c>
      <c r="C2715" s="76">
        <v>64.886375000000001</v>
      </c>
      <c r="D2715" s="76">
        <v>63.869441999999999</v>
      </c>
      <c r="E2715" s="76">
        <v>64.279143999999903</v>
      </c>
      <c r="F2715" s="76">
        <v>50.536181999999997</v>
      </c>
      <c r="G2715" s="79">
        <v>2069400</v>
      </c>
    </row>
    <row r="2716" spans="1:7" x14ac:dyDescent="0.25">
      <c r="A2716" s="1" t="s">
        <v>2839</v>
      </c>
      <c r="B2716" s="76">
        <v>64.835166999999998</v>
      </c>
      <c r="C2716" s="76">
        <v>65.003433000000001</v>
      </c>
      <c r="D2716" s="76">
        <v>63.532902</v>
      </c>
      <c r="E2716" s="76">
        <v>63.803595999999999</v>
      </c>
      <c r="F2716" s="76">
        <v>50.162295999999998</v>
      </c>
      <c r="G2716" s="79">
        <v>1746400</v>
      </c>
    </row>
    <row r="2717" spans="1:7" x14ac:dyDescent="0.25">
      <c r="A2717" s="1" t="s">
        <v>2840</v>
      </c>
      <c r="B2717" s="76">
        <v>63.913338000000003</v>
      </c>
      <c r="C2717" s="76">
        <v>64.922957999999994</v>
      </c>
      <c r="D2717" s="76">
        <v>63.913338000000003</v>
      </c>
      <c r="E2717" s="76">
        <v>64.922957999999994</v>
      </c>
      <c r="F2717" s="76">
        <v>51.042346999999999</v>
      </c>
      <c r="G2717" s="79">
        <v>1953300</v>
      </c>
    </row>
    <row r="2718" spans="1:7" x14ac:dyDescent="0.25">
      <c r="A2718" s="1" t="s">
        <v>2841</v>
      </c>
      <c r="B2718" s="76">
        <v>64.198668999999995</v>
      </c>
      <c r="C2718" s="76">
        <v>64.981491000000005</v>
      </c>
      <c r="D2718" s="76">
        <v>63.613379999999999</v>
      </c>
      <c r="E2718" s="76">
        <v>64.008445999999907</v>
      </c>
      <c r="F2718" s="76">
        <v>50.323349</v>
      </c>
      <c r="G2718" s="79">
        <v>1737600</v>
      </c>
    </row>
    <row r="2719" spans="1:7" x14ac:dyDescent="0.25">
      <c r="A2719" s="1" t="s">
        <v>2842</v>
      </c>
      <c r="B2719" s="76">
        <v>64.096237000000002</v>
      </c>
      <c r="C2719" s="76">
        <v>66.342277999999993</v>
      </c>
      <c r="D2719" s="76">
        <v>64.096237000000002</v>
      </c>
      <c r="E2719" s="76">
        <v>65.698463000000004</v>
      </c>
      <c r="F2719" s="76">
        <v>51.652039000000002</v>
      </c>
      <c r="G2719" s="79">
        <v>2107700</v>
      </c>
    </row>
    <row r="2720" spans="1:7" x14ac:dyDescent="0.25">
      <c r="A2720" s="1" t="s">
        <v>2843</v>
      </c>
      <c r="B2720" s="76">
        <v>66.108161999999993</v>
      </c>
      <c r="C2720" s="76">
        <v>66.759299999999996</v>
      </c>
      <c r="D2720" s="76">
        <v>65.727729999999994</v>
      </c>
      <c r="E2720" s="76">
        <v>66.422759999999997</v>
      </c>
      <c r="F2720" s="76">
        <v>52.221480999999997</v>
      </c>
      <c r="G2720" s="79">
        <v>1880600</v>
      </c>
    </row>
    <row r="2721" spans="1:7" x14ac:dyDescent="0.25">
      <c r="A2721" s="1" t="s">
        <v>2844</v>
      </c>
      <c r="B2721" s="76">
        <v>66.269118999999904</v>
      </c>
      <c r="C2721" s="76">
        <v>66.730034000000003</v>
      </c>
      <c r="D2721" s="76">
        <v>66.100844999999893</v>
      </c>
      <c r="E2721" s="76">
        <v>66.620293000000004</v>
      </c>
      <c r="F2721" s="76">
        <v>52.376781000000001</v>
      </c>
      <c r="G2721" s="79">
        <v>1360900</v>
      </c>
    </row>
    <row r="2722" spans="1:7" x14ac:dyDescent="0.25">
      <c r="A2722" s="1" t="s">
        <v>2845</v>
      </c>
      <c r="B2722" s="76">
        <v>66.861725000000007</v>
      </c>
      <c r="C2722" s="76">
        <v>67.066574000000003</v>
      </c>
      <c r="D2722" s="76">
        <v>66.356910999999997</v>
      </c>
      <c r="E2722" s="76">
        <v>66.634925999999993</v>
      </c>
      <c r="F2722" s="76">
        <v>52.388289999999998</v>
      </c>
      <c r="G2722" s="79">
        <v>1131600</v>
      </c>
    </row>
    <row r="2723" spans="1:7" x14ac:dyDescent="0.25">
      <c r="A2723" s="1" t="s">
        <v>2846</v>
      </c>
      <c r="B2723" s="76">
        <v>66.042319999999904</v>
      </c>
      <c r="C2723" s="76">
        <v>66.203277999999997</v>
      </c>
      <c r="D2723" s="76">
        <v>65.435080999999997</v>
      </c>
      <c r="E2723" s="76">
        <v>65.947211999999993</v>
      </c>
      <c r="F2723" s="76">
        <v>51.847609999999897</v>
      </c>
      <c r="G2723" s="79">
        <v>955200</v>
      </c>
    </row>
    <row r="2724" spans="1:7" x14ac:dyDescent="0.25">
      <c r="A2724" s="1" t="s">
        <v>2847</v>
      </c>
      <c r="B2724" s="76">
        <v>65.639938000000001</v>
      </c>
      <c r="C2724" s="76">
        <v>65.68383</v>
      </c>
      <c r="D2724" s="76">
        <v>64.469359999999995</v>
      </c>
      <c r="E2724" s="76">
        <v>64.937591999999995</v>
      </c>
      <c r="F2724" s="76">
        <v>51.053856000000003</v>
      </c>
      <c r="G2724" s="79">
        <v>1892500</v>
      </c>
    </row>
    <row r="2725" spans="1:7" x14ac:dyDescent="0.25">
      <c r="A2725" s="1" t="s">
        <v>2848</v>
      </c>
      <c r="B2725" s="76">
        <v>65.171706999999998</v>
      </c>
      <c r="C2725" s="76">
        <v>65.559455999999997</v>
      </c>
      <c r="D2725" s="76">
        <v>63.862124999999999</v>
      </c>
      <c r="E2725" s="76">
        <v>64.235244999999907</v>
      </c>
      <c r="F2725" s="76">
        <v>50.501658999999997</v>
      </c>
      <c r="G2725" s="79">
        <v>1878800</v>
      </c>
    </row>
    <row r="2726" spans="1:7" x14ac:dyDescent="0.25">
      <c r="A2726" s="1" t="s">
        <v>2849</v>
      </c>
      <c r="B2726" s="76">
        <v>64.074294999999907</v>
      </c>
      <c r="C2726" s="76">
        <v>64.652259999999998</v>
      </c>
      <c r="D2726" s="76">
        <v>63.906020999999903</v>
      </c>
      <c r="E2726" s="76">
        <v>63.935287000000002</v>
      </c>
      <c r="F2726" s="76">
        <v>50.265834999999903</v>
      </c>
      <c r="G2726" s="79">
        <v>1580000</v>
      </c>
    </row>
    <row r="2727" spans="1:7" x14ac:dyDescent="0.25">
      <c r="A2727" s="1" t="s">
        <v>2850</v>
      </c>
      <c r="B2727" s="76">
        <v>64.476676999999995</v>
      </c>
      <c r="C2727" s="76">
        <v>65.215598999999997</v>
      </c>
      <c r="D2727" s="76">
        <v>63.840178999999999</v>
      </c>
      <c r="E2727" s="76">
        <v>64.440093999999903</v>
      </c>
      <c r="F2727" s="76">
        <v>50.662711999999999</v>
      </c>
      <c r="G2727" s="79">
        <v>1382100</v>
      </c>
    </row>
    <row r="2728" spans="1:7" x14ac:dyDescent="0.25">
      <c r="A2728" s="1" t="s">
        <v>2851</v>
      </c>
      <c r="B2728" s="76">
        <v>65.230232000000001</v>
      </c>
      <c r="C2728" s="76">
        <v>65.376555999999994</v>
      </c>
      <c r="D2728" s="76">
        <v>64.301093999999907</v>
      </c>
      <c r="E2728" s="76">
        <v>65.318023999999994</v>
      </c>
      <c r="F2728" s="76">
        <v>51.352942999999897</v>
      </c>
      <c r="G2728" s="79">
        <v>1396300</v>
      </c>
    </row>
    <row r="2729" spans="1:7" x14ac:dyDescent="0.25">
      <c r="A2729" s="1" t="s">
        <v>2852</v>
      </c>
      <c r="B2729" s="76">
        <v>65.457031000000001</v>
      </c>
      <c r="C2729" s="76">
        <v>65.581406000000001</v>
      </c>
      <c r="D2729" s="76">
        <v>64.564468000000005</v>
      </c>
      <c r="E2729" s="76">
        <v>64.864432999999906</v>
      </c>
      <c r="F2729" s="76">
        <v>50.996333999999997</v>
      </c>
      <c r="G2729" s="79">
        <v>1264700</v>
      </c>
    </row>
    <row r="2730" spans="1:7" x14ac:dyDescent="0.25">
      <c r="A2730" s="1" t="s">
        <v>2853</v>
      </c>
      <c r="B2730" s="76">
        <v>65.179023999999998</v>
      </c>
      <c r="C2730" s="76">
        <v>65.464348000000001</v>
      </c>
      <c r="D2730" s="76">
        <v>64.674210000000002</v>
      </c>
      <c r="E2730" s="76">
        <v>65.142441000000005</v>
      </c>
      <c r="F2730" s="76">
        <v>51.214893000000004</v>
      </c>
      <c r="G2730" s="79">
        <v>3464100</v>
      </c>
    </row>
    <row r="2731" spans="1:7" x14ac:dyDescent="0.25">
      <c r="A2731" s="1" t="s">
        <v>2854</v>
      </c>
      <c r="B2731" s="76">
        <v>64.959541000000002</v>
      </c>
      <c r="C2731" s="76">
        <v>66.539817999999997</v>
      </c>
      <c r="D2731" s="76">
        <v>64.849800000000002</v>
      </c>
      <c r="E2731" s="76">
        <v>65.735045999999997</v>
      </c>
      <c r="F2731" s="76">
        <v>51.680804999999999</v>
      </c>
      <c r="G2731" s="79">
        <v>1788300</v>
      </c>
    </row>
    <row r="2732" spans="1:7" x14ac:dyDescent="0.25">
      <c r="A2732" s="1" t="s">
        <v>2855</v>
      </c>
      <c r="B2732" s="76">
        <v>65.135124000000005</v>
      </c>
      <c r="C2732" s="76">
        <v>65.420456000000001</v>
      </c>
      <c r="D2732" s="76">
        <v>64.249877999999995</v>
      </c>
      <c r="E2732" s="76">
        <v>64.359618999999995</v>
      </c>
      <c r="F2732" s="76">
        <v>50.968178000000002</v>
      </c>
      <c r="G2732" s="79">
        <v>1577100</v>
      </c>
    </row>
    <row r="2733" spans="1:7" x14ac:dyDescent="0.25">
      <c r="A2733" s="1" t="s">
        <v>2856</v>
      </c>
      <c r="B2733" s="76">
        <v>64.396202000000002</v>
      </c>
      <c r="C2733" s="76">
        <v>64.396202000000002</v>
      </c>
      <c r="D2733" s="76">
        <v>61.338078000000003</v>
      </c>
      <c r="E2733" s="76">
        <v>61.806305000000002</v>
      </c>
      <c r="F2733" s="76">
        <v>48.946120999999998</v>
      </c>
      <c r="G2733" s="79">
        <v>2862700</v>
      </c>
    </row>
    <row r="2734" spans="1:7" x14ac:dyDescent="0.25">
      <c r="A2734" s="1" t="s">
        <v>2857</v>
      </c>
      <c r="B2734" s="76">
        <v>61.762408999999998</v>
      </c>
      <c r="C2734" s="76">
        <v>62.537914000000001</v>
      </c>
      <c r="D2734" s="76">
        <v>61.425868999999899</v>
      </c>
      <c r="E2734" s="76">
        <v>62.325747999999997</v>
      </c>
      <c r="F2734" s="76">
        <v>49.357490999999897</v>
      </c>
      <c r="G2734" s="79">
        <v>2642500</v>
      </c>
    </row>
    <row r="2735" spans="1:7" x14ac:dyDescent="0.25">
      <c r="A2735" s="1" t="s">
        <v>2858</v>
      </c>
      <c r="B2735" s="76">
        <v>61.820937999999998</v>
      </c>
      <c r="C2735" s="76">
        <v>62.640338999999997</v>
      </c>
      <c r="D2735" s="76">
        <v>60.869845999999903</v>
      </c>
      <c r="E2735" s="76">
        <v>61.125907999999903</v>
      </c>
      <c r="F2735" s="76">
        <v>48.407302999999999</v>
      </c>
      <c r="G2735" s="79">
        <v>2052700</v>
      </c>
    </row>
    <row r="2736" spans="1:7" x14ac:dyDescent="0.25">
      <c r="A2736" s="1" t="s">
        <v>2859</v>
      </c>
      <c r="B2736" s="76">
        <v>60.664997</v>
      </c>
      <c r="C2736" s="76">
        <v>61.418551999999998</v>
      </c>
      <c r="D2736" s="76">
        <v>60.386986</v>
      </c>
      <c r="E2736" s="76">
        <v>60.789368000000003</v>
      </c>
      <c r="F2736" s="76">
        <v>48.140793000000002</v>
      </c>
      <c r="G2736" s="79">
        <v>2032800</v>
      </c>
    </row>
    <row r="2737" spans="1:7" x14ac:dyDescent="0.25">
      <c r="A2737" s="1" t="s">
        <v>2860</v>
      </c>
      <c r="B2737" s="76">
        <v>61.030799999999999</v>
      </c>
      <c r="C2737" s="76">
        <v>61.308810999999999</v>
      </c>
      <c r="D2737" s="76">
        <v>59.867542</v>
      </c>
      <c r="E2737" s="76">
        <v>59.9772829999999</v>
      </c>
      <c r="F2737" s="76">
        <v>47.497677000000003</v>
      </c>
      <c r="G2737" s="79">
        <v>1643400</v>
      </c>
    </row>
    <row r="2738" spans="1:7" x14ac:dyDescent="0.25">
      <c r="A2738" s="1" t="s">
        <v>2861</v>
      </c>
      <c r="B2738" s="76">
        <v>59.538318999999902</v>
      </c>
      <c r="C2738" s="76">
        <v>59.830962999999997</v>
      </c>
      <c r="D2738" s="76">
        <v>57.336177999999997</v>
      </c>
      <c r="E2738" s="76">
        <v>57.892200000000003</v>
      </c>
      <c r="F2738" s="76">
        <v>45.846432</v>
      </c>
      <c r="G2738" s="79">
        <v>4132400</v>
      </c>
    </row>
    <row r="2739" spans="1:7" x14ac:dyDescent="0.25">
      <c r="A2739" s="1" t="s">
        <v>2862</v>
      </c>
      <c r="B2739" s="76">
        <v>58.067782999999999</v>
      </c>
      <c r="C2739" s="76">
        <v>58.484802000000002</v>
      </c>
      <c r="D2739" s="76">
        <v>57.504447999999996</v>
      </c>
      <c r="E2739" s="76">
        <v>57.797089</v>
      </c>
      <c r="F2739" s="76">
        <v>45.771118000000001</v>
      </c>
      <c r="G2739" s="79">
        <v>1939000</v>
      </c>
    </row>
    <row r="2740" spans="1:7" x14ac:dyDescent="0.25">
      <c r="A2740" s="1" t="s">
        <v>2863</v>
      </c>
      <c r="B2740" s="76">
        <v>58.631122999999903</v>
      </c>
      <c r="C2740" s="76">
        <v>58.740864000000002</v>
      </c>
      <c r="D2740" s="76">
        <v>57.489815</v>
      </c>
      <c r="E2740" s="76">
        <v>57.936095999999999</v>
      </c>
      <c r="F2740" s="76">
        <v>45.881199000000002</v>
      </c>
      <c r="G2740" s="79">
        <v>2540900</v>
      </c>
    </row>
    <row r="2741" spans="1:7" x14ac:dyDescent="0.25">
      <c r="A2741" s="1" t="s">
        <v>2864</v>
      </c>
      <c r="B2741" s="76">
        <v>57.972675000000002</v>
      </c>
      <c r="C2741" s="76">
        <v>58.704284999999999</v>
      </c>
      <c r="D2741" s="76">
        <v>57.109378999999997</v>
      </c>
      <c r="E2741" s="76">
        <v>58.689650999999998</v>
      </c>
      <c r="F2741" s="76">
        <v>46.477965999999903</v>
      </c>
      <c r="G2741" s="79">
        <v>2116600</v>
      </c>
    </row>
    <row r="2742" spans="1:7" x14ac:dyDescent="0.25">
      <c r="A2742" s="1" t="s">
        <v>2865</v>
      </c>
      <c r="B2742" s="76">
        <v>58.477485999999999</v>
      </c>
      <c r="C2742" s="76">
        <v>59.377364999999998</v>
      </c>
      <c r="D2742" s="76">
        <v>58.3384819999999</v>
      </c>
      <c r="E2742" s="76">
        <v>59.231040999999998</v>
      </c>
      <c r="F2742" s="76">
        <v>46.906711999999999</v>
      </c>
      <c r="G2742" s="79">
        <v>2045000</v>
      </c>
    </row>
    <row r="2743" spans="1:7" x14ac:dyDescent="0.25">
      <c r="A2743" s="1" t="s">
        <v>2866</v>
      </c>
      <c r="B2743" s="76">
        <v>58.528697999999999</v>
      </c>
      <c r="C2743" s="76">
        <v>59.062775000000002</v>
      </c>
      <c r="D2743" s="76">
        <v>58.287266000000002</v>
      </c>
      <c r="E2743" s="76">
        <v>59.055457999999902</v>
      </c>
      <c r="F2743" s="76">
        <v>46.767657999999997</v>
      </c>
      <c r="G2743" s="79">
        <v>1883200</v>
      </c>
    </row>
    <row r="2744" spans="1:7" x14ac:dyDescent="0.25">
      <c r="A2744" s="1" t="s">
        <v>2867</v>
      </c>
      <c r="B2744" s="76">
        <v>59.252991000000002</v>
      </c>
      <c r="C2744" s="76">
        <v>60.328456999999901</v>
      </c>
      <c r="D2744" s="76">
        <v>59.172516000000002</v>
      </c>
      <c r="E2744" s="76">
        <v>60.145553999999997</v>
      </c>
      <c r="F2744" s="76">
        <v>47.630927999999997</v>
      </c>
      <c r="G2744" s="79">
        <v>1464400</v>
      </c>
    </row>
    <row r="2745" spans="1:7" x14ac:dyDescent="0.25">
      <c r="A2745" s="1" t="s">
        <v>2868</v>
      </c>
      <c r="B2745" s="76">
        <v>59.479790000000001</v>
      </c>
      <c r="C2745" s="76">
        <v>60.226031999999996</v>
      </c>
      <c r="D2745" s="76">
        <v>59.479790000000001</v>
      </c>
      <c r="E2745" s="76">
        <v>59.816330000000001</v>
      </c>
      <c r="F2745" s="76">
        <v>47.370215999999999</v>
      </c>
      <c r="G2745" s="79">
        <v>576900</v>
      </c>
    </row>
    <row r="2746" spans="1:7" x14ac:dyDescent="0.25">
      <c r="A2746" s="1" t="s">
        <v>2869</v>
      </c>
      <c r="B2746" s="76">
        <v>59.340786000000001</v>
      </c>
      <c r="C2746" s="76">
        <v>60.021178999999997</v>
      </c>
      <c r="D2746" s="76">
        <v>58.909133999999902</v>
      </c>
      <c r="E2746" s="76">
        <v>59.889491999999997</v>
      </c>
      <c r="F2746" s="76">
        <v>47.428153999999999</v>
      </c>
      <c r="G2746" s="79">
        <v>1329300</v>
      </c>
    </row>
    <row r="2747" spans="1:7" x14ac:dyDescent="0.25">
      <c r="A2747" s="1" t="s">
        <v>2870</v>
      </c>
      <c r="B2747" s="76">
        <v>59.443210999999998</v>
      </c>
      <c r="C2747" s="76">
        <v>60.145553999999997</v>
      </c>
      <c r="D2747" s="76">
        <v>59.179828999999998</v>
      </c>
      <c r="E2747" s="76">
        <v>59.684638999999997</v>
      </c>
      <c r="F2747" s="76">
        <v>47.265918999999997</v>
      </c>
      <c r="G2747" s="79">
        <v>2092000</v>
      </c>
    </row>
    <row r="2748" spans="1:7" x14ac:dyDescent="0.25">
      <c r="A2748" s="1" t="s">
        <v>2871</v>
      </c>
      <c r="B2748" s="76">
        <v>60.562571999999903</v>
      </c>
      <c r="C2748" s="76">
        <v>60.613785</v>
      </c>
      <c r="D2748" s="76">
        <v>59.684638999999997</v>
      </c>
      <c r="E2748" s="76">
        <v>59.999232999999997</v>
      </c>
      <c r="F2748" s="76">
        <v>47.515053000000002</v>
      </c>
      <c r="G2748" s="79">
        <v>1580500</v>
      </c>
    </row>
    <row r="2749" spans="1:7" x14ac:dyDescent="0.25">
      <c r="A2749" s="1" t="s">
        <v>2872</v>
      </c>
      <c r="B2749" s="76">
        <v>60.021178999999997</v>
      </c>
      <c r="C2749" s="76">
        <v>60.452831000000003</v>
      </c>
      <c r="D2749" s="76">
        <v>59.589531000000001</v>
      </c>
      <c r="E2749" s="76">
        <v>60.372352999999997</v>
      </c>
      <c r="F2749" s="76">
        <v>47.810538999999999</v>
      </c>
      <c r="G2749" s="79">
        <v>1967800</v>
      </c>
    </row>
    <row r="2750" spans="1:7" x14ac:dyDescent="0.25">
      <c r="A2750" s="1" t="s">
        <v>2873</v>
      </c>
      <c r="B2750" s="76">
        <v>60.108973999999897</v>
      </c>
      <c r="C2750" s="76">
        <v>60.774737999999999</v>
      </c>
      <c r="D2750" s="76">
        <v>59.867542</v>
      </c>
      <c r="E2750" s="76">
        <v>60.613785</v>
      </c>
      <c r="F2750" s="76">
        <v>48.001728</v>
      </c>
      <c r="G2750" s="79">
        <v>990100</v>
      </c>
    </row>
    <row r="2751" spans="1:7" x14ac:dyDescent="0.25">
      <c r="A2751" s="1" t="s">
        <v>2874</v>
      </c>
      <c r="B2751" s="76">
        <v>60.299191</v>
      </c>
      <c r="C2751" s="76">
        <v>60.518673</v>
      </c>
      <c r="D2751" s="76">
        <v>59.399310999999997</v>
      </c>
      <c r="E2751" s="76">
        <v>60.416247999999896</v>
      </c>
      <c r="F2751" s="76">
        <v>47.845303000000001</v>
      </c>
      <c r="G2751" s="79">
        <v>1581100</v>
      </c>
    </row>
    <row r="2752" spans="1:7" x14ac:dyDescent="0.25">
      <c r="A2752" s="1" t="s">
        <v>2875</v>
      </c>
      <c r="B2752" s="76">
        <v>60.804001</v>
      </c>
      <c r="C2752" s="76">
        <v>61.513659999999902</v>
      </c>
      <c r="D2752" s="76">
        <v>60.643046999999903</v>
      </c>
      <c r="E2752" s="76">
        <v>61.1185949999999</v>
      </c>
      <c r="F2752" s="76">
        <v>48.401516000000001</v>
      </c>
      <c r="G2752" s="79">
        <v>2140500</v>
      </c>
    </row>
    <row r="2753" spans="1:7" x14ac:dyDescent="0.25">
      <c r="A2753" s="1" t="s">
        <v>2876</v>
      </c>
      <c r="B2753" s="76">
        <v>61.045432999999903</v>
      </c>
      <c r="C2753" s="76">
        <v>61.125907999999903</v>
      </c>
      <c r="D2753" s="76">
        <v>59.794379999999997</v>
      </c>
      <c r="E2753" s="76">
        <v>60.160187000000001</v>
      </c>
      <c r="F2753" s="76">
        <v>47.642528999999897</v>
      </c>
      <c r="G2753" s="79">
        <v>1967100</v>
      </c>
    </row>
    <row r="2754" spans="1:7" x14ac:dyDescent="0.25">
      <c r="A2754" s="1" t="s">
        <v>2877</v>
      </c>
      <c r="B2754" s="76">
        <v>60.423565000000004</v>
      </c>
      <c r="C2754" s="76">
        <v>60.650364000000003</v>
      </c>
      <c r="D2754" s="76">
        <v>59.443210999999998</v>
      </c>
      <c r="E2754" s="76">
        <v>59.611480999999998</v>
      </c>
      <c r="F2754" s="76">
        <v>47.207985000000001</v>
      </c>
      <c r="G2754" s="79">
        <v>1369500</v>
      </c>
    </row>
    <row r="2755" spans="1:7" x14ac:dyDescent="0.25">
      <c r="A2755" s="1" t="s">
        <v>2878</v>
      </c>
      <c r="B2755" s="76">
        <v>59.574897999999997</v>
      </c>
      <c r="C2755" s="76">
        <v>60.130919999999897</v>
      </c>
      <c r="D2755" s="76">
        <v>59.501739999999998</v>
      </c>
      <c r="E2755" s="76">
        <v>59.823646999999902</v>
      </c>
      <c r="F2755" s="76">
        <v>47.376010999999998</v>
      </c>
      <c r="G2755" s="79">
        <v>1044900</v>
      </c>
    </row>
    <row r="2756" spans="1:7" x14ac:dyDescent="0.25">
      <c r="A2756" s="1" t="s">
        <v>2879</v>
      </c>
      <c r="B2756" s="76">
        <v>59.867542</v>
      </c>
      <c r="C2756" s="76">
        <v>60.599151999999997</v>
      </c>
      <c r="D2756" s="76">
        <v>59.860225999999997</v>
      </c>
      <c r="E2756" s="76">
        <v>60.065075</v>
      </c>
      <c r="F2756" s="76">
        <v>47.567191999999999</v>
      </c>
      <c r="G2756" s="79">
        <v>747600</v>
      </c>
    </row>
    <row r="2757" spans="1:7" x14ac:dyDescent="0.25">
      <c r="A2757" s="1" t="s">
        <v>2880</v>
      </c>
      <c r="B2757" s="76">
        <v>59.955333999999901</v>
      </c>
      <c r="C2757" s="76">
        <v>60.994220999999897</v>
      </c>
      <c r="D2757" s="76">
        <v>59.428576999999997</v>
      </c>
      <c r="E2757" s="76">
        <v>59.670009999999998</v>
      </c>
      <c r="F2757" s="76">
        <v>47.254333000000003</v>
      </c>
      <c r="G2757" s="79">
        <v>1398300</v>
      </c>
    </row>
    <row r="2758" spans="1:7" x14ac:dyDescent="0.25">
      <c r="A2758" s="1" t="s">
        <v>2881</v>
      </c>
      <c r="B2758" s="76">
        <v>59.443210999999998</v>
      </c>
      <c r="C2758" s="76">
        <v>60.174819999999997</v>
      </c>
      <c r="D2758" s="76">
        <v>58.718918000000002</v>
      </c>
      <c r="E2758" s="76">
        <v>58.770130000000002</v>
      </c>
      <c r="F2758" s="76">
        <v>46.541694999999997</v>
      </c>
      <c r="G2758" s="79">
        <v>1618600</v>
      </c>
    </row>
    <row r="2759" spans="1:7" x14ac:dyDescent="0.25">
      <c r="A2759" s="1" t="s">
        <v>2882</v>
      </c>
      <c r="B2759" s="76">
        <v>58.989612999999999</v>
      </c>
      <c r="C2759" s="76">
        <v>59.187144999999902</v>
      </c>
      <c r="D2759" s="76">
        <v>58.294581999999998</v>
      </c>
      <c r="E2759" s="76">
        <v>58.587226999999999</v>
      </c>
      <c r="F2759" s="76">
        <v>46.396839</v>
      </c>
      <c r="G2759" s="79">
        <v>1300800</v>
      </c>
    </row>
    <row r="2760" spans="1:7" x14ac:dyDescent="0.25">
      <c r="A2760" s="1" t="s">
        <v>2883</v>
      </c>
      <c r="B2760" s="76">
        <v>58.579909999999998</v>
      </c>
      <c r="C2760" s="76">
        <v>58.770130000000002</v>
      </c>
      <c r="D2760" s="76">
        <v>58.228740999999999</v>
      </c>
      <c r="E2760" s="76">
        <v>58.455535999999903</v>
      </c>
      <c r="F2760" s="76">
        <v>46.292568000000003</v>
      </c>
      <c r="G2760" s="79">
        <v>2656500</v>
      </c>
    </row>
    <row r="2761" spans="1:7" x14ac:dyDescent="0.25">
      <c r="A2761" s="1" t="s">
        <v>2884</v>
      </c>
      <c r="B2761" s="76">
        <v>58.455535999999903</v>
      </c>
      <c r="C2761" s="76">
        <v>59.040824999999998</v>
      </c>
      <c r="D2761" s="76">
        <v>58.397006999999903</v>
      </c>
      <c r="E2761" s="76">
        <v>59.004245999999902</v>
      </c>
      <c r="F2761" s="76">
        <v>46.727108000000001</v>
      </c>
      <c r="G2761" s="79">
        <v>1825800</v>
      </c>
    </row>
    <row r="2762" spans="1:7" x14ac:dyDescent="0.25">
      <c r="A2762" s="1" t="s">
        <v>2885</v>
      </c>
      <c r="B2762" s="76">
        <v>59.187144999999902</v>
      </c>
      <c r="C2762" s="76">
        <v>59.955333999999901</v>
      </c>
      <c r="D2762" s="76">
        <v>58.777446999999903</v>
      </c>
      <c r="E2762" s="76">
        <v>59.830962999999997</v>
      </c>
      <c r="F2762" s="76">
        <v>47.381802</v>
      </c>
      <c r="G2762" s="79">
        <v>1574100</v>
      </c>
    </row>
    <row r="2763" spans="1:7" x14ac:dyDescent="0.25">
      <c r="A2763" s="1" t="s">
        <v>2886</v>
      </c>
      <c r="B2763" s="76">
        <v>59.816330000000001</v>
      </c>
      <c r="C2763" s="76">
        <v>60.979588</v>
      </c>
      <c r="D2763" s="76">
        <v>59.794379999999997</v>
      </c>
      <c r="E2763" s="76">
        <v>60.357718999999904</v>
      </c>
      <c r="F2763" s="76">
        <v>47.798949999999998</v>
      </c>
      <c r="G2763" s="79">
        <v>1179400</v>
      </c>
    </row>
    <row r="2764" spans="1:7" x14ac:dyDescent="0.25">
      <c r="A2764" s="1" t="s">
        <v>2887</v>
      </c>
      <c r="B2764" s="76">
        <v>60.130919999999897</v>
      </c>
      <c r="C2764" s="76">
        <v>60.584518000000003</v>
      </c>
      <c r="D2764" s="76">
        <v>59.9772829999999</v>
      </c>
      <c r="E2764" s="76">
        <v>60.072392000000001</v>
      </c>
      <c r="F2764" s="76">
        <v>47.572994000000001</v>
      </c>
      <c r="G2764" s="79">
        <v>1133100</v>
      </c>
    </row>
    <row r="2765" spans="1:7" x14ac:dyDescent="0.25">
      <c r="A2765" s="1" t="s">
        <v>2888</v>
      </c>
      <c r="B2765" s="76">
        <v>59.926070999999901</v>
      </c>
      <c r="C2765" s="76">
        <v>60.760105000000003</v>
      </c>
      <c r="D2765" s="76">
        <v>59.743167999999997</v>
      </c>
      <c r="E2765" s="76">
        <v>60.745471999999999</v>
      </c>
      <c r="F2765" s="76">
        <v>48.106029999999997</v>
      </c>
      <c r="G2765" s="79">
        <v>801200</v>
      </c>
    </row>
    <row r="2766" spans="1:7" x14ac:dyDescent="0.25">
      <c r="A2766" s="1" t="s">
        <v>2889</v>
      </c>
      <c r="B2766" s="76">
        <v>60.745471999999999</v>
      </c>
      <c r="C2766" s="76">
        <v>61.111279000000003</v>
      </c>
      <c r="D2766" s="76">
        <v>60.416247999999896</v>
      </c>
      <c r="E2766" s="76">
        <v>60.913741999999999</v>
      </c>
      <c r="F2766" s="76">
        <v>48.239284999999903</v>
      </c>
      <c r="G2766" s="79">
        <v>750600</v>
      </c>
    </row>
    <row r="2767" spans="1:7" x14ac:dyDescent="0.25">
      <c r="A2767" s="1" t="s">
        <v>2890</v>
      </c>
      <c r="B2767" s="76">
        <v>61.030799999999999</v>
      </c>
      <c r="C2767" s="76">
        <v>61.601455999999999</v>
      </c>
      <c r="D2767" s="76">
        <v>60.408931999999901</v>
      </c>
      <c r="E2767" s="76">
        <v>61.4551319999999</v>
      </c>
      <c r="F2767" s="76">
        <v>48.668033999999999</v>
      </c>
      <c r="G2767" s="79">
        <v>1072200</v>
      </c>
    </row>
    <row r="2768" spans="1:7" x14ac:dyDescent="0.25">
      <c r="A2768" s="1" t="s">
        <v>2891</v>
      </c>
      <c r="B2768" s="76">
        <v>61.228335999999999</v>
      </c>
      <c r="C2768" s="76">
        <v>61.499031000000002</v>
      </c>
      <c r="D2768" s="76">
        <v>60.913741999999999</v>
      </c>
      <c r="E2768" s="76">
        <v>61.242966000000003</v>
      </c>
      <c r="F2768" s="76">
        <v>48.500003999999997</v>
      </c>
      <c r="G2768" s="79">
        <v>699900</v>
      </c>
    </row>
    <row r="2769" spans="1:7" x14ac:dyDescent="0.25">
      <c r="A2769" s="1" t="s">
        <v>2892</v>
      </c>
      <c r="B2769" s="76">
        <v>61.221019999999903</v>
      </c>
      <c r="C2769" s="76">
        <v>61.520977000000002</v>
      </c>
      <c r="D2769" s="76">
        <v>60.855212999999999</v>
      </c>
      <c r="E2769" s="76">
        <v>60.964953999999999</v>
      </c>
      <c r="F2769" s="76">
        <v>48.279841999999903</v>
      </c>
      <c r="G2769" s="79">
        <v>1015200</v>
      </c>
    </row>
    <row r="2770" spans="1:7" x14ac:dyDescent="0.25">
      <c r="A2770" s="1" t="s">
        <v>2893</v>
      </c>
      <c r="B2770" s="76">
        <v>61.389290000000003</v>
      </c>
      <c r="C2770" s="76">
        <v>62.567177000000001</v>
      </c>
      <c r="D2770" s="76">
        <v>61.162491000000003</v>
      </c>
      <c r="E2770" s="76">
        <v>62.494018999999902</v>
      </c>
      <c r="F2770" s="76">
        <v>49.490752999999998</v>
      </c>
      <c r="G2770" s="79">
        <v>1765900</v>
      </c>
    </row>
    <row r="2771" spans="1:7" x14ac:dyDescent="0.25">
      <c r="A2771" s="1" t="s">
        <v>2894</v>
      </c>
      <c r="B2771" s="76">
        <v>62.750079999999997</v>
      </c>
      <c r="C2771" s="76">
        <v>62.808608999999997</v>
      </c>
      <c r="D2771" s="76">
        <v>61.206386999999999</v>
      </c>
      <c r="E2771" s="76">
        <v>61.4551319999999</v>
      </c>
      <c r="F2771" s="76">
        <v>48.668033999999999</v>
      </c>
      <c r="G2771" s="79">
        <v>1704800</v>
      </c>
    </row>
    <row r="2772" spans="1:7" x14ac:dyDescent="0.25">
      <c r="A2772" s="1" t="s">
        <v>2895</v>
      </c>
      <c r="B2772" s="76">
        <v>61.235649000000002</v>
      </c>
      <c r="C2772" s="76">
        <v>62.113582999999998</v>
      </c>
      <c r="D2772" s="76">
        <v>61.111279000000003</v>
      </c>
      <c r="E2772" s="76">
        <v>61.681930999999999</v>
      </c>
      <c r="F2772" s="76">
        <v>48.847621999999902</v>
      </c>
      <c r="G2772" s="79">
        <v>1143600</v>
      </c>
    </row>
    <row r="2773" spans="1:7" x14ac:dyDescent="0.25">
      <c r="A2773" s="1" t="s">
        <v>2896</v>
      </c>
      <c r="B2773" s="76">
        <v>61.601455999999999</v>
      </c>
      <c r="C2773" s="76">
        <v>61.828254999999999</v>
      </c>
      <c r="D2773" s="76">
        <v>60.964953999999999</v>
      </c>
      <c r="E2773" s="76">
        <v>61.272231999999903</v>
      </c>
      <c r="F2773" s="76">
        <v>48.523173999999997</v>
      </c>
      <c r="G2773" s="79">
        <v>2138200</v>
      </c>
    </row>
    <row r="2774" spans="1:7" x14ac:dyDescent="0.25">
      <c r="A2774" s="1" t="s">
        <v>2897</v>
      </c>
      <c r="B2774" s="76">
        <v>61.594138999999998</v>
      </c>
      <c r="C2774" s="76">
        <v>61.696564000000002</v>
      </c>
      <c r="D2774" s="76">
        <v>60.555256</v>
      </c>
      <c r="E2774" s="76">
        <v>61.213703000000002</v>
      </c>
      <c r="F2774" s="76">
        <v>48.47683</v>
      </c>
      <c r="G2774" s="79">
        <v>1945800</v>
      </c>
    </row>
    <row r="2775" spans="1:7" x14ac:dyDescent="0.25">
      <c r="A2775" s="1" t="s">
        <v>2898</v>
      </c>
      <c r="B2775" s="76">
        <v>60.723526</v>
      </c>
      <c r="C2775" s="76">
        <v>61.345390000000002</v>
      </c>
      <c r="D2775" s="76">
        <v>60.416247999999896</v>
      </c>
      <c r="E2775" s="76">
        <v>61.023482999999999</v>
      </c>
      <c r="F2775" s="76">
        <v>48.326190999999902</v>
      </c>
      <c r="G2775" s="79">
        <v>1903000</v>
      </c>
    </row>
    <row r="2776" spans="1:7" x14ac:dyDescent="0.25">
      <c r="A2776" s="1" t="s">
        <v>2899</v>
      </c>
      <c r="B2776" s="76">
        <v>61.403918999999902</v>
      </c>
      <c r="C2776" s="76">
        <v>61.477080999999998</v>
      </c>
      <c r="D2776" s="76">
        <v>60.079707999999997</v>
      </c>
      <c r="E2776" s="76">
        <v>60.774737999999999</v>
      </c>
      <c r="F2776" s="76">
        <v>48.129191999999897</v>
      </c>
      <c r="G2776" s="79">
        <v>954500</v>
      </c>
    </row>
    <row r="2777" spans="1:7" x14ac:dyDescent="0.25">
      <c r="A2777" s="1" t="s">
        <v>2900</v>
      </c>
      <c r="B2777" s="76">
        <v>61.806305000000002</v>
      </c>
      <c r="C2777" s="76">
        <v>62.340381999999998</v>
      </c>
      <c r="D2777" s="76">
        <v>61.177119999999903</v>
      </c>
      <c r="E2777" s="76">
        <v>61.491714000000002</v>
      </c>
      <c r="F2777" s="76">
        <v>48.696995000000001</v>
      </c>
      <c r="G2777" s="79">
        <v>1555200</v>
      </c>
    </row>
    <row r="2778" spans="1:7" x14ac:dyDescent="0.25">
      <c r="A2778" s="1" t="s">
        <v>2901</v>
      </c>
      <c r="B2778" s="76">
        <v>61.572189000000002</v>
      </c>
      <c r="C2778" s="76">
        <v>61.740458999999902</v>
      </c>
      <c r="D2778" s="76">
        <v>61.125907999999903</v>
      </c>
      <c r="E2778" s="76">
        <v>61.725830000000002</v>
      </c>
      <c r="F2778" s="76">
        <v>48.882401000000002</v>
      </c>
      <c r="G2778" s="79">
        <v>995200</v>
      </c>
    </row>
    <row r="2779" spans="1:7" x14ac:dyDescent="0.25">
      <c r="A2779" s="1" t="s">
        <v>2902</v>
      </c>
      <c r="B2779" s="76">
        <v>61.557559999999903</v>
      </c>
      <c r="C2779" s="76">
        <v>63.035407999999997</v>
      </c>
      <c r="D2779" s="76">
        <v>61.360022999999998</v>
      </c>
      <c r="E2779" s="76">
        <v>63.035407999999997</v>
      </c>
      <c r="F2779" s="76">
        <v>49.919491000000001</v>
      </c>
      <c r="G2779" s="79">
        <v>1646300</v>
      </c>
    </row>
    <row r="2780" spans="1:7" x14ac:dyDescent="0.25">
      <c r="A2780" s="1" t="s">
        <v>2903</v>
      </c>
      <c r="B2780" s="76">
        <v>63.123199</v>
      </c>
      <c r="C2780" s="76">
        <v>63.723121999999996</v>
      </c>
      <c r="D2780" s="76">
        <v>62.552546999999997</v>
      </c>
      <c r="E2780" s="76">
        <v>63.642643</v>
      </c>
      <c r="F2780" s="76">
        <v>50.400379000000001</v>
      </c>
      <c r="G2780" s="79">
        <v>1367900</v>
      </c>
    </row>
    <row r="2781" spans="1:7" x14ac:dyDescent="0.25">
      <c r="A2781" s="1" t="s">
        <v>2904</v>
      </c>
      <c r="B2781" s="76">
        <v>63.379264999999997</v>
      </c>
      <c r="C2781" s="76">
        <v>63.562168</v>
      </c>
      <c r="D2781" s="76">
        <v>62.376961000000001</v>
      </c>
      <c r="E2781" s="76">
        <v>62.633021999999997</v>
      </c>
      <c r="F2781" s="76">
        <v>49.600830000000002</v>
      </c>
      <c r="G2781" s="79">
        <v>1058400</v>
      </c>
    </row>
    <row r="2782" spans="1:7" x14ac:dyDescent="0.25">
      <c r="A2782" s="1" t="s">
        <v>2905</v>
      </c>
      <c r="B2782" s="76">
        <v>62.435490000000001</v>
      </c>
      <c r="C2782" s="76">
        <v>63.503639</v>
      </c>
      <c r="D2782" s="76">
        <v>62.435490000000001</v>
      </c>
      <c r="E2782" s="76">
        <v>63.306103</v>
      </c>
      <c r="F2782" s="76">
        <v>50.133845999999998</v>
      </c>
      <c r="G2782" s="79">
        <v>1202000</v>
      </c>
    </row>
    <row r="2783" spans="1:7" x14ac:dyDescent="0.25">
      <c r="A2783" s="1" t="s">
        <v>2906</v>
      </c>
      <c r="B2783" s="76">
        <v>63.518268999999997</v>
      </c>
      <c r="C2783" s="76">
        <v>63.518268999999997</v>
      </c>
      <c r="D2783" s="76">
        <v>62.867137999999997</v>
      </c>
      <c r="E2783" s="76">
        <v>63.364631999999901</v>
      </c>
      <c r="F2783" s="76">
        <v>50.180217999999897</v>
      </c>
      <c r="G2783" s="79">
        <v>1018500</v>
      </c>
    </row>
    <row r="2784" spans="1:7" x14ac:dyDescent="0.25">
      <c r="A2784" s="1" t="s">
        <v>2907</v>
      </c>
      <c r="B2784" s="76">
        <v>63.210994999999997</v>
      </c>
      <c r="C2784" s="76">
        <v>63.701172</v>
      </c>
      <c r="D2784" s="76">
        <v>62.779345999999997</v>
      </c>
      <c r="E2784" s="76">
        <v>63.196362000000001</v>
      </c>
      <c r="F2784" s="76">
        <v>50.046951</v>
      </c>
      <c r="G2784" s="79">
        <v>1312300</v>
      </c>
    </row>
    <row r="2785" spans="1:7" x14ac:dyDescent="0.25">
      <c r="A2785" s="1" t="s">
        <v>2908</v>
      </c>
      <c r="B2785" s="76">
        <v>63.101253999999997</v>
      </c>
      <c r="C2785" s="76">
        <v>63.788967</v>
      </c>
      <c r="D2785" s="76">
        <v>62.654971999999901</v>
      </c>
      <c r="E2785" s="76">
        <v>63.759701</v>
      </c>
      <c r="F2785" s="76">
        <v>50.493084000000003</v>
      </c>
      <c r="G2785" s="79">
        <v>1068000</v>
      </c>
    </row>
    <row r="2786" spans="1:7" x14ac:dyDescent="0.25">
      <c r="A2786" s="1" t="s">
        <v>2909</v>
      </c>
      <c r="B2786" s="76">
        <v>63.569481000000003</v>
      </c>
      <c r="C2786" s="76">
        <v>63.891392000000003</v>
      </c>
      <c r="D2786" s="76">
        <v>63.167099</v>
      </c>
      <c r="E2786" s="76">
        <v>63.730437999999999</v>
      </c>
      <c r="F2786" s="76">
        <v>50.872681</v>
      </c>
      <c r="G2786" s="79">
        <v>1452500</v>
      </c>
    </row>
    <row r="2787" spans="1:7" x14ac:dyDescent="0.25">
      <c r="A2787" s="1" t="s">
        <v>2910</v>
      </c>
      <c r="B2787" s="76">
        <v>63.979182999999999</v>
      </c>
      <c r="C2787" s="76">
        <v>64.901009000000002</v>
      </c>
      <c r="D2787" s="76">
        <v>63.810912999999999</v>
      </c>
      <c r="E2787" s="76">
        <v>64.864432999999906</v>
      </c>
      <c r="F2787" s="76">
        <v>51.777892999999999</v>
      </c>
      <c r="G2787" s="79">
        <v>1483200</v>
      </c>
    </row>
    <row r="2788" spans="1:7" x14ac:dyDescent="0.25">
      <c r="A2788" s="1" t="s">
        <v>2911</v>
      </c>
      <c r="B2788" s="76">
        <v>64.798583999999906</v>
      </c>
      <c r="C2788" s="76">
        <v>65.083916000000002</v>
      </c>
      <c r="D2788" s="76">
        <v>63.510956</v>
      </c>
      <c r="E2788" s="76">
        <v>63.781650999999997</v>
      </c>
      <c r="F2788" s="76">
        <v>50.913558999999999</v>
      </c>
      <c r="G2788" s="79">
        <v>1334500</v>
      </c>
    </row>
    <row r="2789" spans="1:7" x14ac:dyDescent="0.25">
      <c r="A2789" s="1" t="s">
        <v>2912</v>
      </c>
      <c r="B2789" s="76">
        <v>64.052344999999903</v>
      </c>
      <c r="C2789" s="76">
        <v>64.769317999999998</v>
      </c>
      <c r="D2789" s="76">
        <v>63.935287000000002</v>
      </c>
      <c r="E2789" s="76">
        <v>64.447411000000002</v>
      </c>
      <c r="F2789" s="76">
        <v>51.445011000000001</v>
      </c>
      <c r="G2789" s="79">
        <v>1300800</v>
      </c>
    </row>
    <row r="2790" spans="1:7" x14ac:dyDescent="0.25">
      <c r="A2790" s="1" t="s">
        <v>2913</v>
      </c>
      <c r="B2790" s="76">
        <v>64.835166999999998</v>
      </c>
      <c r="C2790" s="76">
        <v>64.996116999999998</v>
      </c>
      <c r="D2790" s="76">
        <v>63.920653999999999</v>
      </c>
      <c r="E2790" s="76">
        <v>64.571784999999906</v>
      </c>
      <c r="F2790" s="76">
        <v>51.544284999999903</v>
      </c>
      <c r="G2790" s="79">
        <v>1542500</v>
      </c>
    </row>
    <row r="2791" spans="1:7" x14ac:dyDescent="0.25">
      <c r="A2791" s="1" t="s">
        <v>2914</v>
      </c>
      <c r="B2791" s="76">
        <v>64.293777000000006</v>
      </c>
      <c r="C2791" s="76">
        <v>64.674210000000002</v>
      </c>
      <c r="D2791" s="76">
        <v>63.628009999999897</v>
      </c>
      <c r="E2791" s="76">
        <v>63.693854999999999</v>
      </c>
      <c r="F2791" s="76">
        <v>50.843482999999999</v>
      </c>
      <c r="G2791" s="79">
        <v>1199400</v>
      </c>
    </row>
    <row r="2792" spans="1:7" x14ac:dyDescent="0.25">
      <c r="A2792" s="1" t="s">
        <v>2915</v>
      </c>
      <c r="B2792" s="76">
        <v>63.518268999999997</v>
      </c>
      <c r="C2792" s="76">
        <v>63.920653999999999</v>
      </c>
      <c r="D2792" s="76">
        <v>63.064673999999997</v>
      </c>
      <c r="E2792" s="76">
        <v>63.730437999999999</v>
      </c>
      <c r="F2792" s="76">
        <v>50.872681</v>
      </c>
      <c r="G2792" s="79">
        <v>1158000</v>
      </c>
    </row>
    <row r="2793" spans="1:7" x14ac:dyDescent="0.25">
      <c r="A2793" s="1" t="s">
        <v>2916</v>
      </c>
      <c r="B2793" s="76">
        <v>63.913338000000003</v>
      </c>
      <c r="C2793" s="76">
        <v>63.913338000000003</v>
      </c>
      <c r="D2793" s="76">
        <v>63.020775</v>
      </c>
      <c r="E2793" s="76">
        <v>63.079304</v>
      </c>
      <c r="F2793" s="76">
        <v>50.352921000000002</v>
      </c>
      <c r="G2793" s="79">
        <v>1556500</v>
      </c>
    </row>
    <row r="2794" spans="1:7" x14ac:dyDescent="0.25">
      <c r="A2794" s="1" t="s">
        <v>2917</v>
      </c>
      <c r="B2794" s="76">
        <v>63.262206999999997</v>
      </c>
      <c r="C2794" s="76">
        <v>64.059662000000003</v>
      </c>
      <c r="D2794" s="76">
        <v>63.108569999999901</v>
      </c>
      <c r="E2794" s="76">
        <v>63.81823</v>
      </c>
      <c r="F2794" s="76">
        <v>50.942757</v>
      </c>
      <c r="G2794" s="79">
        <v>1071200</v>
      </c>
    </row>
    <row r="2795" spans="1:7" x14ac:dyDescent="0.25">
      <c r="A2795" s="1" t="s">
        <v>2918</v>
      </c>
      <c r="B2795" s="76">
        <v>63.81823</v>
      </c>
      <c r="C2795" s="76">
        <v>64.132819999999995</v>
      </c>
      <c r="D2795" s="76">
        <v>63.532902</v>
      </c>
      <c r="E2795" s="76">
        <v>63.64996</v>
      </c>
      <c r="F2795" s="76">
        <v>50.808440999999902</v>
      </c>
      <c r="G2795" s="79">
        <v>1214100</v>
      </c>
    </row>
    <row r="2796" spans="1:7" x14ac:dyDescent="0.25">
      <c r="A2796" s="1" t="s">
        <v>2919</v>
      </c>
      <c r="B2796" s="76">
        <v>63.306103</v>
      </c>
      <c r="C2796" s="76">
        <v>64.381568999999999</v>
      </c>
      <c r="D2796" s="76">
        <v>63.306103</v>
      </c>
      <c r="E2796" s="76">
        <v>64.301093999999907</v>
      </c>
      <c r="F2796" s="76">
        <v>51.328209000000001</v>
      </c>
      <c r="G2796" s="79">
        <v>1131700</v>
      </c>
    </row>
    <row r="2797" spans="1:7" x14ac:dyDescent="0.25">
      <c r="A2797" s="1" t="s">
        <v>2920</v>
      </c>
      <c r="B2797" s="76">
        <v>63.979182999999999</v>
      </c>
      <c r="C2797" s="76">
        <v>64.893692000000001</v>
      </c>
      <c r="D2797" s="76">
        <v>63.979182999999999</v>
      </c>
      <c r="E2797" s="76">
        <v>64.601050999999998</v>
      </c>
      <c r="F2797" s="76">
        <v>51.567638000000002</v>
      </c>
      <c r="G2797" s="79">
        <v>1183800</v>
      </c>
    </row>
    <row r="2798" spans="1:7" x14ac:dyDescent="0.25">
      <c r="A2798" s="1" t="s">
        <v>2921</v>
      </c>
      <c r="B2798" s="76">
        <v>64.396202000000002</v>
      </c>
      <c r="C2798" s="76">
        <v>65.361923000000004</v>
      </c>
      <c r="D2798" s="76">
        <v>64.337668999999906</v>
      </c>
      <c r="E2798" s="76">
        <v>65.105857999999998</v>
      </c>
      <c r="F2798" s="76">
        <v>51.970607999999999</v>
      </c>
      <c r="G2798" s="79">
        <v>1374600</v>
      </c>
    </row>
    <row r="2799" spans="1:7" x14ac:dyDescent="0.25">
      <c r="A2799" s="1" t="s">
        <v>2922</v>
      </c>
      <c r="B2799" s="76">
        <v>65.171706999999998</v>
      </c>
      <c r="C2799" s="76">
        <v>65.354607000000001</v>
      </c>
      <c r="D2799" s="76">
        <v>64.301093999999907</v>
      </c>
      <c r="E2799" s="76">
        <v>64.893692000000001</v>
      </c>
      <c r="F2799" s="76">
        <v>51.801242999999999</v>
      </c>
      <c r="G2799" s="79">
        <v>987000</v>
      </c>
    </row>
    <row r="2800" spans="1:7" x14ac:dyDescent="0.25">
      <c r="A2800" s="1" t="s">
        <v>2923</v>
      </c>
      <c r="B2800" s="76">
        <v>64.505943000000002</v>
      </c>
      <c r="C2800" s="76">
        <v>65.478981000000005</v>
      </c>
      <c r="D2800" s="76">
        <v>64.323036000000002</v>
      </c>
      <c r="E2800" s="76">
        <v>64.901009000000002</v>
      </c>
      <c r="F2800" s="76">
        <v>51.807087000000003</v>
      </c>
      <c r="G2800" s="79">
        <v>1172400</v>
      </c>
    </row>
    <row r="2801" spans="1:7" x14ac:dyDescent="0.25">
      <c r="A2801" s="1" t="s">
        <v>2924</v>
      </c>
      <c r="B2801" s="76">
        <v>65.120491000000001</v>
      </c>
      <c r="C2801" s="76">
        <v>65.515563999999998</v>
      </c>
      <c r="D2801" s="76">
        <v>64.293777000000006</v>
      </c>
      <c r="E2801" s="76">
        <v>64.520576000000005</v>
      </c>
      <c r="F2801" s="76">
        <v>51.503409999999903</v>
      </c>
      <c r="G2801" s="79">
        <v>1770600</v>
      </c>
    </row>
    <row r="2802" spans="1:7" x14ac:dyDescent="0.25">
      <c r="A2802" s="1" t="s">
        <v>2925</v>
      </c>
      <c r="B2802" s="76">
        <v>64.396202000000002</v>
      </c>
      <c r="C2802" s="76">
        <v>64.988799999999998</v>
      </c>
      <c r="D2802" s="76">
        <v>64.323036000000002</v>
      </c>
      <c r="E2802" s="76">
        <v>64.798583999999906</v>
      </c>
      <c r="F2802" s="76">
        <v>51.725322999999896</v>
      </c>
      <c r="G2802" s="79">
        <v>884700</v>
      </c>
    </row>
    <row r="2803" spans="1:7" x14ac:dyDescent="0.25">
      <c r="A2803" s="1" t="s">
        <v>2926</v>
      </c>
      <c r="B2803" s="76">
        <v>65.193657000000002</v>
      </c>
      <c r="C2803" s="76">
        <v>65.727729999999994</v>
      </c>
      <c r="D2803" s="76">
        <v>65.076599000000002</v>
      </c>
      <c r="E2803" s="76">
        <v>65.720412999999994</v>
      </c>
      <c r="F2803" s="76">
        <v>52.461185</v>
      </c>
      <c r="G2803" s="79">
        <v>1510500</v>
      </c>
    </row>
    <row r="2804" spans="1:7" x14ac:dyDescent="0.25">
      <c r="A2804" s="1" t="s">
        <v>2927</v>
      </c>
      <c r="B2804" s="76">
        <v>64.966858000000002</v>
      </c>
      <c r="C2804" s="76">
        <v>65.647255000000001</v>
      </c>
      <c r="D2804" s="76">
        <v>64.798583999999906</v>
      </c>
      <c r="E2804" s="76">
        <v>65.252181999999905</v>
      </c>
      <c r="F2804" s="76">
        <v>52.087409999999998</v>
      </c>
      <c r="G2804" s="79">
        <v>1862100</v>
      </c>
    </row>
    <row r="2805" spans="1:7" x14ac:dyDescent="0.25">
      <c r="A2805" s="1" t="s">
        <v>2928</v>
      </c>
      <c r="B2805" s="76">
        <v>65.303398000000001</v>
      </c>
      <c r="C2805" s="76">
        <v>65.727729999999994</v>
      </c>
      <c r="D2805" s="76">
        <v>63.884075000000003</v>
      </c>
      <c r="E2805" s="76">
        <v>64.564468000000005</v>
      </c>
      <c r="F2805" s="76">
        <v>51.538445000000003</v>
      </c>
      <c r="G2805" s="79">
        <v>1714000</v>
      </c>
    </row>
    <row r="2806" spans="1:7" x14ac:dyDescent="0.25">
      <c r="A2806" s="1" t="s">
        <v>2929</v>
      </c>
      <c r="B2806" s="76">
        <v>64.198668999999995</v>
      </c>
      <c r="C2806" s="76">
        <v>64.747375000000005</v>
      </c>
      <c r="D2806" s="76">
        <v>63.679221999999903</v>
      </c>
      <c r="E2806" s="76">
        <v>64.264510999999999</v>
      </c>
      <c r="F2806" s="76">
        <v>51.298999999999999</v>
      </c>
      <c r="G2806" s="79">
        <v>1405000</v>
      </c>
    </row>
    <row r="2807" spans="1:7" x14ac:dyDescent="0.25">
      <c r="A2807" s="1" t="s">
        <v>2930</v>
      </c>
      <c r="B2807" s="76">
        <v>64.557152000000002</v>
      </c>
      <c r="C2807" s="76">
        <v>65.859420999999998</v>
      </c>
      <c r="D2807" s="76">
        <v>64.162086000000002</v>
      </c>
      <c r="E2807" s="76">
        <v>65.830153999999993</v>
      </c>
      <c r="F2807" s="76">
        <v>52.548766999999998</v>
      </c>
      <c r="G2807" s="79">
        <v>1605300</v>
      </c>
    </row>
    <row r="2808" spans="1:7" x14ac:dyDescent="0.25">
      <c r="A2808" s="1" t="s">
        <v>2931</v>
      </c>
      <c r="B2808" s="76">
        <v>66.013053999999997</v>
      </c>
      <c r="C2808" s="76">
        <v>68.310310000000001</v>
      </c>
      <c r="D2808" s="76">
        <v>65.859420999999998</v>
      </c>
      <c r="E2808" s="76">
        <v>68.281043999999994</v>
      </c>
      <c r="F2808" s="76">
        <v>54.505198999999998</v>
      </c>
      <c r="G2808" s="79">
        <v>2120100</v>
      </c>
    </row>
    <row r="2809" spans="1:7" x14ac:dyDescent="0.25">
      <c r="A2809" s="1" t="s">
        <v>2932</v>
      </c>
      <c r="B2809" s="76">
        <v>68.427368000000001</v>
      </c>
      <c r="C2809" s="76">
        <v>68.427368000000001</v>
      </c>
      <c r="D2809" s="76">
        <v>66.269118999999904</v>
      </c>
      <c r="E2809" s="76">
        <v>66.708083999999999</v>
      </c>
      <c r="F2809" s="76">
        <v>53.249580000000002</v>
      </c>
      <c r="G2809" s="79">
        <v>2099800</v>
      </c>
    </row>
    <row r="2810" spans="1:7" x14ac:dyDescent="0.25">
      <c r="A2810" s="1" t="s">
        <v>2933</v>
      </c>
      <c r="B2810" s="76">
        <v>66.569076999999993</v>
      </c>
      <c r="C2810" s="76">
        <v>66.971466000000007</v>
      </c>
      <c r="D2810" s="76">
        <v>65.486298000000005</v>
      </c>
      <c r="E2810" s="76">
        <v>65.588722000000004</v>
      </c>
      <c r="F2810" s="76">
        <v>52.356051999999998</v>
      </c>
      <c r="G2810" s="79">
        <v>2159200</v>
      </c>
    </row>
    <row r="2811" spans="1:7" x14ac:dyDescent="0.25">
      <c r="A2811" s="1" t="s">
        <v>2934</v>
      </c>
      <c r="B2811" s="76">
        <v>65.954528999999994</v>
      </c>
      <c r="C2811" s="76">
        <v>66.569076999999993</v>
      </c>
      <c r="D2811" s="76">
        <v>65.596039000000005</v>
      </c>
      <c r="E2811" s="76">
        <v>65.815520999999904</v>
      </c>
      <c r="F2811" s="76">
        <v>52.537089999999999</v>
      </c>
      <c r="G2811" s="79">
        <v>1603900</v>
      </c>
    </row>
    <row r="2812" spans="1:7" x14ac:dyDescent="0.25">
      <c r="A2812" s="1" t="s">
        <v>2935</v>
      </c>
      <c r="B2812" s="76">
        <v>65.691147000000001</v>
      </c>
      <c r="C2812" s="76">
        <v>65.888679999999994</v>
      </c>
      <c r="D2812" s="76">
        <v>64.257194999999996</v>
      </c>
      <c r="E2812" s="76">
        <v>64.608367999999999</v>
      </c>
      <c r="F2812" s="76">
        <v>51.573485999999903</v>
      </c>
      <c r="G2812" s="79">
        <v>1543700</v>
      </c>
    </row>
    <row r="2813" spans="1:7" x14ac:dyDescent="0.25">
      <c r="A2813" s="1" t="s">
        <v>2936</v>
      </c>
      <c r="B2813" s="76">
        <v>64.835166999999998</v>
      </c>
      <c r="C2813" s="76">
        <v>65.230232000000001</v>
      </c>
      <c r="D2813" s="76">
        <v>63.957232999999903</v>
      </c>
      <c r="E2813" s="76">
        <v>64.103554000000003</v>
      </c>
      <c r="F2813" s="76">
        <v>51.170516999999997</v>
      </c>
      <c r="G2813" s="79">
        <v>1232700</v>
      </c>
    </row>
    <row r="2814" spans="1:7" x14ac:dyDescent="0.25">
      <c r="A2814" s="1" t="s">
        <v>2937</v>
      </c>
      <c r="B2814" s="76">
        <v>64.271827999999999</v>
      </c>
      <c r="C2814" s="76">
        <v>65.142441000000005</v>
      </c>
      <c r="D2814" s="76">
        <v>64.140136999999996</v>
      </c>
      <c r="E2814" s="76">
        <v>64.505943000000002</v>
      </c>
      <c r="F2814" s="76">
        <v>51.491729999999997</v>
      </c>
      <c r="G2814" s="79">
        <v>1484400</v>
      </c>
    </row>
    <row r="2815" spans="1:7" x14ac:dyDescent="0.25">
      <c r="A2815" s="1" t="s">
        <v>2938</v>
      </c>
      <c r="B2815" s="76">
        <v>64.513260000000002</v>
      </c>
      <c r="C2815" s="76">
        <v>65.339973000000001</v>
      </c>
      <c r="D2815" s="76">
        <v>63.927970999999999</v>
      </c>
      <c r="E2815" s="76">
        <v>64.959541000000002</v>
      </c>
      <c r="F2815" s="76">
        <v>51.853816999999999</v>
      </c>
      <c r="G2815" s="79">
        <v>1077600</v>
      </c>
    </row>
    <row r="2816" spans="1:7" x14ac:dyDescent="0.25">
      <c r="A2816" s="1" t="s">
        <v>2939</v>
      </c>
      <c r="B2816" s="76">
        <v>64.045029</v>
      </c>
      <c r="C2816" s="76">
        <v>64.388885000000002</v>
      </c>
      <c r="D2816" s="76">
        <v>63.708488000000003</v>
      </c>
      <c r="E2816" s="76">
        <v>63.854808999999896</v>
      </c>
      <c r="F2816" s="76">
        <v>50.971961999999998</v>
      </c>
      <c r="G2816" s="79">
        <v>1209200</v>
      </c>
    </row>
    <row r="2817" spans="1:7" x14ac:dyDescent="0.25">
      <c r="A2817" s="1" t="s">
        <v>2940</v>
      </c>
      <c r="B2817" s="76">
        <v>63.788967</v>
      </c>
      <c r="C2817" s="76">
        <v>64.740059000000002</v>
      </c>
      <c r="D2817" s="76">
        <v>63.401210999999897</v>
      </c>
      <c r="E2817" s="76">
        <v>64.674210000000002</v>
      </c>
      <c r="F2817" s="76">
        <v>51.626049000000002</v>
      </c>
      <c r="G2817" s="79">
        <v>1131400</v>
      </c>
    </row>
    <row r="2818" spans="1:7" x14ac:dyDescent="0.25">
      <c r="A2818" s="1" t="s">
        <v>2941</v>
      </c>
      <c r="B2818" s="76">
        <v>64.198668999999995</v>
      </c>
      <c r="C2818" s="76">
        <v>64.352303000000006</v>
      </c>
      <c r="D2818" s="76">
        <v>63.606064000000003</v>
      </c>
      <c r="E2818" s="76">
        <v>64.103554000000003</v>
      </c>
      <c r="F2818" s="76">
        <v>51.170516999999997</v>
      </c>
      <c r="G2818" s="79">
        <v>1128600</v>
      </c>
    </row>
    <row r="2819" spans="1:7" x14ac:dyDescent="0.25">
      <c r="A2819" s="1" t="s">
        <v>2942</v>
      </c>
      <c r="B2819" s="76">
        <v>62.172111999999998</v>
      </c>
      <c r="C2819" s="76">
        <v>64.132819999999995</v>
      </c>
      <c r="D2819" s="76">
        <v>62.172111999999998</v>
      </c>
      <c r="E2819" s="76">
        <v>63.635325999999999</v>
      </c>
      <c r="F2819" s="76">
        <v>50.796756999999999</v>
      </c>
      <c r="G2819" s="79">
        <v>1346600</v>
      </c>
    </row>
    <row r="2820" spans="1:7" x14ac:dyDescent="0.25">
      <c r="A2820" s="1" t="s">
        <v>2943</v>
      </c>
      <c r="B2820" s="76">
        <v>63.540218000000003</v>
      </c>
      <c r="C2820" s="76">
        <v>63.540218000000003</v>
      </c>
      <c r="D2820" s="76">
        <v>61.981892000000002</v>
      </c>
      <c r="E2820" s="76">
        <v>62.237952999999997</v>
      </c>
      <c r="F2820" s="76">
        <v>49.681313000000003</v>
      </c>
      <c r="G2820" s="79">
        <v>2012600</v>
      </c>
    </row>
    <row r="2821" spans="1:7" x14ac:dyDescent="0.25">
      <c r="A2821" s="1" t="s">
        <v>2944</v>
      </c>
      <c r="B2821" s="76">
        <v>63.137832999999901</v>
      </c>
      <c r="C2821" s="76">
        <v>63.320735999999997</v>
      </c>
      <c r="D2821" s="76">
        <v>62.201374000000001</v>
      </c>
      <c r="E2821" s="76">
        <v>62.954932999999997</v>
      </c>
      <c r="F2821" s="76">
        <v>50.253627999999999</v>
      </c>
      <c r="G2821" s="79">
        <v>1350100</v>
      </c>
    </row>
    <row r="2822" spans="1:7" x14ac:dyDescent="0.25">
      <c r="A2822" s="1" t="s">
        <v>2945</v>
      </c>
      <c r="B2822" s="76">
        <v>63.708488000000003</v>
      </c>
      <c r="C2822" s="76">
        <v>63.708488000000003</v>
      </c>
      <c r="D2822" s="76">
        <v>62.764713</v>
      </c>
      <c r="E2822" s="76">
        <v>62.881770999999901</v>
      </c>
      <c r="F2822" s="76">
        <v>50.195231999999997</v>
      </c>
      <c r="G2822" s="79">
        <v>1977100</v>
      </c>
    </row>
    <row r="2823" spans="1:7" x14ac:dyDescent="0.25">
      <c r="A2823" s="1" t="s">
        <v>2946</v>
      </c>
      <c r="B2823" s="76">
        <v>63.708488000000003</v>
      </c>
      <c r="C2823" s="76">
        <v>63.993816000000002</v>
      </c>
      <c r="D2823" s="76">
        <v>63.189044999999901</v>
      </c>
      <c r="E2823" s="76">
        <v>63.503639</v>
      </c>
      <c r="F2823" s="76">
        <v>50.691642999999999</v>
      </c>
      <c r="G2823" s="79">
        <v>1166700</v>
      </c>
    </row>
    <row r="2824" spans="1:7" x14ac:dyDescent="0.25">
      <c r="A2824" s="1" t="s">
        <v>2947</v>
      </c>
      <c r="B2824" s="76">
        <v>63.518268999999997</v>
      </c>
      <c r="C2824" s="76">
        <v>63.913338000000003</v>
      </c>
      <c r="D2824" s="76">
        <v>62.764713</v>
      </c>
      <c r="E2824" s="76">
        <v>62.779345999999997</v>
      </c>
      <c r="F2824" s="76">
        <v>50.113475999999999</v>
      </c>
      <c r="G2824" s="79">
        <v>1133100</v>
      </c>
    </row>
    <row r="2825" spans="1:7" x14ac:dyDescent="0.25">
      <c r="A2825" s="1" t="s">
        <v>2948</v>
      </c>
      <c r="B2825" s="76">
        <v>62.559863999999997</v>
      </c>
      <c r="C2825" s="76">
        <v>62.691550999999997</v>
      </c>
      <c r="D2825" s="76">
        <v>61.572189000000002</v>
      </c>
      <c r="E2825" s="76">
        <v>61.879466999999998</v>
      </c>
      <c r="F2825" s="76">
        <v>49.395142</v>
      </c>
      <c r="G2825" s="79">
        <v>1480700</v>
      </c>
    </row>
    <row r="2826" spans="1:7" x14ac:dyDescent="0.25">
      <c r="A2826" s="1" t="s">
        <v>2949</v>
      </c>
      <c r="B2826" s="76">
        <v>62.142844999999902</v>
      </c>
      <c r="C2826" s="76">
        <v>62.325747999999997</v>
      </c>
      <c r="D2826" s="76">
        <v>61.630718000000002</v>
      </c>
      <c r="E2826" s="76">
        <v>62.018470999999998</v>
      </c>
      <c r="F2826" s="76">
        <v>49.506110999999997</v>
      </c>
      <c r="G2826" s="79">
        <v>1592500</v>
      </c>
    </row>
    <row r="2827" spans="1:7" x14ac:dyDescent="0.25">
      <c r="A2827" s="1" t="s">
        <v>2950</v>
      </c>
      <c r="B2827" s="76">
        <v>62.098948999999998</v>
      </c>
      <c r="C2827" s="76">
        <v>62.845188</v>
      </c>
      <c r="D2827" s="76">
        <v>62.033104000000002</v>
      </c>
      <c r="E2827" s="76">
        <v>62.589126999999998</v>
      </c>
      <c r="F2827" s="76">
        <v>49.961635999999999</v>
      </c>
      <c r="G2827" s="79">
        <v>1537300</v>
      </c>
    </row>
    <row r="2828" spans="1:7" x14ac:dyDescent="0.25">
      <c r="A2828" s="1" t="s">
        <v>2951</v>
      </c>
      <c r="B2828" s="76">
        <v>62.625706000000001</v>
      </c>
      <c r="C2828" s="76">
        <v>62.676921999999998</v>
      </c>
      <c r="D2828" s="76">
        <v>62.076999999999998</v>
      </c>
      <c r="E2828" s="76">
        <v>62.274535999999998</v>
      </c>
      <c r="F2828" s="76">
        <v>49.710509999999999</v>
      </c>
      <c r="G2828" s="79">
        <v>1863200</v>
      </c>
    </row>
    <row r="2829" spans="1:7" x14ac:dyDescent="0.25">
      <c r="A2829" s="1" t="s">
        <v>2952</v>
      </c>
      <c r="B2829" s="76">
        <v>62.186740999999998</v>
      </c>
      <c r="C2829" s="76">
        <v>62.691550999999997</v>
      </c>
      <c r="D2829" s="76">
        <v>61.681930999999999</v>
      </c>
      <c r="E2829" s="76">
        <v>62.369643999999901</v>
      </c>
      <c r="F2829" s="76">
        <v>49.786434</v>
      </c>
      <c r="G2829" s="79">
        <v>1948900</v>
      </c>
    </row>
    <row r="2830" spans="1:7" x14ac:dyDescent="0.25">
      <c r="A2830" s="1" t="s">
        <v>2953</v>
      </c>
      <c r="B2830" s="76">
        <v>62.713501000000001</v>
      </c>
      <c r="C2830" s="76">
        <v>63.591431</v>
      </c>
      <c r="D2830" s="76">
        <v>62.479385000000001</v>
      </c>
      <c r="E2830" s="76">
        <v>63.540218000000003</v>
      </c>
      <c r="F2830" s="76">
        <v>50.720840000000003</v>
      </c>
      <c r="G2830" s="79">
        <v>1575600</v>
      </c>
    </row>
    <row r="2831" spans="1:7" x14ac:dyDescent="0.25">
      <c r="A2831" s="1" t="s">
        <v>2954</v>
      </c>
      <c r="B2831" s="76">
        <v>63.401210999999897</v>
      </c>
      <c r="C2831" s="76">
        <v>64.301093999999907</v>
      </c>
      <c r="D2831" s="76">
        <v>63.262206999999997</v>
      </c>
      <c r="E2831" s="76">
        <v>64.015761999999995</v>
      </c>
      <c r="F2831" s="76">
        <v>51.100441000000004</v>
      </c>
      <c r="G2831" s="79">
        <v>1501300</v>
      </c>
    </row>
    <row r="2832" spans="1:7" x14ac:dyDescent="0.25">
      <c r="A2832" s="1" t="s">
        <v>2955</v>
      </c>
      <c r="B2832" s="76">
        <v>64.374251999999998</v>
      </c>
      <c r="C2832" s="76">
        <v>64.710792999999995</v>
      </c>
      <c r="D2832" s="76">
        <v>64.001129000000006</v>
      </c>
      <c r="E2832" s="76">
        <v>64.381568999999999</v>
      </c>
      <c r="F2832" s="76">
        <v>51.392448000000002</v>
      </c>
      <c r="G2832" s="79">
        <v>2409400</v>
      </c>
    </row>
    <row r="2833" spans="1:7" x14ac:dyDescent="0.25">
      <c r="A2833" s="1" t="s">
        <v>2956</v>
      </c>
      <c r="B2833" s="76">
        <v>64.410834999999906</v>
      </c>
      <c r="C2833" s="76">
        <v>64.593734999999995</v>
      </c>
      <c r="D2833" s="76">
        <v>64.096237000000002</v>
      </c>
      <c r="E2833" s="76">
        <v>64.403518999999903</v>
      </c>
      <c r="F2833" s="76">
        <v>51.409973000000001</v>
      </c>
      <c r="G2833" s="79">
        <v>1427100</v>
      </c>
    </row>
    <row r="2834" spans="1:7" x14ac:dyDescent="0.25">
      <c r="A2834" s="1" t="s">
        <v>2957</v>
      </c>
      <c r="B2834" s="76">
        <v>64.176719999999904</v>
      </c>
      <c r="C2834" s="76">
        <v>65.054648999999998</v>
      </c>
      <c r="D2834" s="76">
        <v>64.147452999999999</v>
      </c>
      <c r="E2834" s="76">
        <v>64.652259999999998</v>
      </c>
      <c r="F2834" s="76">
        <v>51.608513000000002</v>
      </c>
      <c r="G2834" s="79">
        <v>1309500</v>
      </c>
    </row>
    <row r="2835" spans="1:7" x14ac:dyDescent="0.25">
      <c r="A2835" s="1" t="s">
        <v>2958</v>
      </c>
      <c r="B2835" s="76">
        <v>65.091231999999906</v>
      </c>
      <c r="C2835" s="76">
        <v>65.091231999999906</v>
      </c>
      <c r="D2835" s="76">
        <v>64.388885000000002</v>
      </c>
      <c r="E2835" s="76">
        <v>64.813216999999995</v>
      </c>
      <c r="F2835" s="76">
        <v>51.737010999999903</v>
      </c>
      <c r="G2835" s="79">
        <v>1149500</v>
      </c>
    </row>
    <row r="2836" spans="1:7" x14ac:dyDescent="0.25">
      <c r="A2836" s="1" t="s">
        <v>2959</v>
      </c>
      <c r="B2836" s="76">
        <v>64.630318000000003</v>
      </c>
      <c r="C2836" s="76">
        <v>64.637633999999906</v>
      </c>
      <c r="D2836" s="76">
        <v>63.540218000000003</v>
      </c>
      <c r="E2836" s="76">
        <v>64.315726999999995</v>
      </c>
      <c r="F2836" s="76">
        <v>51.339882000000003</v>
      </c>
      <c r="G2836" s="79">
        <v>1715700</v>
      </c>
    </row>
    <row r="2837" spans="1:7" x14ac:dyDescent="0.25">
      <c r="A2837" s="1" t="s">
        <v>2960</v>
      </c>
      <c r="B2837" s="76">
        <v>64.586417999999995</v>
      </c>
      <c r="C2837" s="76">
        <v>64.776634000000001</v>
      </c>
      <c r="D2837" s="76">
        <v>63.796280000000003</v>
      </c>
      <c r="E2837" s="76">
        <v>64.045029</v>
      </c>
      <c r="F2837" s="76">
        <v>51.123801999999998</v>
      </c>
      <c r="G2837" s="79">
        <v>1346800</v>
      </c>
    </row>
    <row r="2838" spans="1:7" x14ac:dyDescent="0.25">
      <c r="A2838" s="1" t="s">
        <v>2961</v>
      </c>
      <c r="B2838" s="76">
        <v>64.081611999999893</v>
      </c>
      <c r="C2838" s="76">
        <v>64.952224999999999</v>
      </c>
      <c r="D2838" s="76">
        <v>64.081611999999893</v>
      </c>
      <c r="E2838" s="76">
        <v>64.637633999999906</v>
      </c>
      <c r="F2838" s="76">
        <v>51.596862999999999</v>
      </c>
      <c r="G2838" s="79">
        <v>1627100</v>
      </c>
    </row>
    <row r="2839" spans="1:7" x14ac:dyDescent="0.25">
      <c r="A2839" s="1" t="s">
        <v>2962</v>
      </c>
      <c r="B2839" s="76">
        <v>64.249877999999995</v>
      </c>
      <c r="C2839" s="76">
        <v>64.974174000000005</v>
      </c>
      <c r="D2839" s="76">
        <v>64.213295000000002</v>
      </c>
      <c r="E2839" s="76">
        <v>64.505943000000002</v>
      </c>
      <c r="F2839" s="76">
        <v>51.491729999999997</v>
      </c>
      <c r="G2839" s="79">
        <v>1340000</v>
      </c>
    </row>
    <row r="2840" spans="1:7" x14ac:dyDescent="0.25">
      <c r="A2840" s="1" t="s">
        <v>2963</v>
      </c>
      <c r="B2840" s="76">
        <v>64.688843000000006</v>
      </c>
      <c r="C2840" s="76">
        <v>64.805901000000006</v>
      </c>
      <c r="D2840" s="76">
        <v>63.971867000000003</v>
      </c>
      <c r="E2840" s="76">
        <v>64.257194999999996</v>
      </c>
      <c r="F2840" s="76">
        <v>51.293159000000003</v>
      </c>
      <c r="G2840" s="79">
        <v>1464500</v>
      </c>
    </row>
    <row r="2841" spans="1:7" x14ac:dyDescent="0.25">
      <c r="A2841" s="1" t="s">
        <v>2964</v>
      </c>
      <c r="B2841" s="76">
        <v>63.979182999999999</v>
      </c>
      <c r="C2841" s="76">
        <v>65.654563999999993</v>
      </c>
      <c r="D2841" s="76">
        <v>63.957232999999903</v>
      </c>
      <c r="E2841" s="76">
        <v>65.559455999999997</v>
      </c>
      <c r="F2841" s="76">
        <v>52.332690999999997</v>
      </c>
      <c r="G2841" s="79">
        <v>1506700</v>
      </c>
    </row>
    <row r="2842" spans="1:7" x14ac:dyDescent="0.25">
      <c r="A2842" s="1" t="s">
        <v>2965</v>
      </c>
      <c r="B2842" s="76">
        <v>65.698463000000004</v>
      </c>
      <c r="C2842" s="76">
        <v>66.488602</v>
      </c>
      <c r="D2842" s="76">
        <v>65.442397999999997</v>
      </c>
      <c r="E2842" s="76">
        <v>66.408126999999993</v>
      </c>
      <c r="F2842" s="76">
        <v>53.010142999999999</v>
      </c>
      <c r="G2842" s="79">
        <v>1816300</v>
      </c>
    </row>
    <row r="2843" spans="1:7" x14ac:dyDescent="0.25">
      <c r="A2843" s="1" t="s">
        <v>2966</v>
      </c>
      <c r="B2843" s="76">
        <v>65.574089000000001</v>
      </c>
      <c r="C2843" s="76">
        <v>65.778937999999997</v>
      </c>
      <c r="D2843" s="76">
        <v>65.076599000000002</v>
      </c>
      <c r="E2843" s="76">
        <v>65.603354999999993</v>
      </c>
      <c r="F2843" s="76">
        <v>52.367733000000001</v>
      </c>
      <c r="G2843" s="79">
        <v>1494300</v>
      </c>
    </row>
    <row r="2844" spans="1:7" x14ac:dyDescent="0.25">
      <c r="A2844" s="1" t="s">
        <v>2967</v>
      </c>
      <c r="B2844" s="76">
        <v>65.596039000000005</v>
      </c>
      <c r="C2844" s="76">
        <v>66.261803</v>
      </c>
      <c r="D2844" s="76">
        <v>65.391189999999995</v>
      </c>
      <c r="E2844" s="76">
        <v>66.210587000000004</v>
      </c>
      <c r="F2844" s="76">
        <v>52.852447999999903</v>
      </c>
      <c r="G2844" s="79">
        <v>1520600</v>
      </c>
    </row>
    <row r="2845" spans="1:7" x14ac:dyDescent="0.25">
      <c r="A2845" s="1" t="s">
        <v>2968</v>
      </c>
      <c r="B2845" s="76">
        <v>67.095839999999995</v>
      </c>
      <c r="C2845" s="76">
        <v>67.095839999999995</v>
      </c>
      <c r="D2845" s="76">
        <v>66.144745</v>
      </c>
      <c r="E2845" s="76">
        <v>66.876350000000002</v>
      </c>
      <c r="F2845" s="76">
        <v>53.383904000000001</v>
      </c>
      <c r="G2845" s="79">
        <v>1154000</v>
      </c>
    </row>
    <row r="2846" spans="1:7" x14ac:dyDescent="0.25">
      <c r="A2846" s="1" t="s">
        <v>2969</v>
      </c>
      <c r="B2846" s="76">
        <v>66.986091999999999</v>
      </c>
      <c r="C2846" s="76">
        <v>67.476272999999907</v>
      </c>
      <c r="D2846" s="76">
        <v>66.547127000000003</v>
      </c>
      <c r="E2846" s="76">
        <v>67.468956000000006</v>
      </c>
      <c r="F2846" s="76">
        <v>53.856940999999999</v>
      </c>
      <c r="G2846" s="79">
        <v>915900</v>
      </c>
    </row>
    <row r="2847" spans="1:7" x14ac:dyDescent="0.25">
      <c r="A2847" s="1" t="s">
        <v>2970</v>
      </c>
      <c r="B2847" s="76">
        <v>67.564064000000002</v>
      </c>
      <c r="C2847" s="76">
        <v>68.617583999999994</v>
      </c>
      <c r="D2847" s="76">
        <v>67.249473999999907</v>
      </c>
      <c r="E2847" s="76">
        <v>68.332252999999994</v>
      </c>
      <c r="F2847" s="76">
        <v>54.546069999999901</v>
      </c>
      <c r="G2847" s="79">
        <v>1368700</v>
      </c>
    </row>
    <row r="2848" spans="1:7" x14ac:dyDescent="0.25">
      <c r="A2848" s="1" t="s">
        <v>2971</v>
      </c>
      <c r="B2848" s="76">
        <v>68.588318000000001</v>
      </c>
      <c r="C2848" s="76">
        <v>69.115073999999893</v>
      </c>
      <c r="D2848" s="76">
        <v>68.098136999999994</v>
      </c>
      <c r="E2848" s="76">
        <v>68.976073999999997</v>
      </c>
      <c r="F2848" s="76">
        <v>55.059989999999999</v>
      </c>
      <c r="G2848" s="79">
        <v>1640100</v>
      </c>
    </row>
    <row r="2849" spans="1:7" x14ac:dyDescent="0.25">
      <c r="A2849" s="1" t="s">
        <v>2972</v>
      </c>
      <c r="B2849" s="76">
        <v>69.217499000000004</v>
      </c>
      <c r="C2849" s="76">
        <v>69.693046999999893</v>
      </c>
      <c r="D2849" s="76">
        <v>68.734641999999994</v>
      </c>
      <c r="E2849" s="76">
        <v>69.627205000000004</v>
      </c>
      <c r="F2849" s="76">
        <v>55.579765000000002</v>
      </c>
      <c r="G2849" s="79">
        <v>1658200</v>
      </c>
    </row>
    <row r="2850" spans="1:7" x14ac:dyDescent="0.25">
      <c r="A2850" s="1" t="s">
        <v>2973</v>
      </c>
      <c r="B2850" s="76">
        <v>69.634520999999907</v>
      </c>
      <c r="C2850" s="76">
        <v>71.163581999999906</v>
      </c>
      <c r="D2850" s="76">
        <v>69.510147000000003</v>
      </c>
      <c r="E2850" s="76">
        <v>70.673400999999998</v>
      </c>
      <c r="F2850" s="76">
        <v>56.414893999999997</v>
      </c>
      <c r="G2850" s="79">
        <v>2451600</v>
      </c>
    </row>
    <row r="2851" spans="1:7" x14ac:dyDescent="0.25">
      <c r="A2851" s="1" t="s">
        <v>2974</v>
      </c>
      <c r="B2851" s="76">
        <v>70.753883000000002</v>
      </c>
      <c r="C2851" s="76">
        <v>70.848990999999998</v>
      </c>
      <c r="D2851" s="76">
        <v>69.751579000000007</v>
      </c>
      <c r="E2851" s="76">
        <v>70.731933999999995</v>
      </c>
      <c r="F2851" s="76">
        <v>56.461608999999903</v>
      </c>
      <c r="G2851" s="79">
        <v>1581600</v>
      </c>
    </row>
    <row r="2852" spans="1:7" x14ac:dyDescent="0.25">
      <c r="A2852" s="1" t="s">
        <v>2975</v>
      </c>
      <c r="B2852" s="76">
        <v>71.097740000000002</v>
      </c>
      <c r="C2852" s="76">
        <v>71.522071999999994</v>
      </c>
      <c r="D2852" s="76">
        <v>70.175910999999999</v>
      </c>
      <c r="E2852" s="76">
        <v>70.848990999999998</v>
      </c>
      <c r="F2852" s="76">
        <v>56.555061000000002</v>
      </c>
      <c r="G2852" s="79">
        <v>1171600</v>
      </c>
    </row>
    <row r="2853" spans="1:7" x14ac:dyDescent="0.25">
      <c r="A2853" s="1" t="s">
        <v>2976</v>
      </c>
      <c r="B2853" s="76">
        <v>70.841674999999995</v>
      </c>
      <c r="C2853" s="76">
        <v>71.646445999999997</v>
      </c>
      <c r="D2853" s="76">
        <v>69.115073999999893</v>
      </c>
      <c r="E2853" s="76">
        <v>70.132011000000006</v>
      </c>
      <c r="F2853" s="76">
        <v>55.982718999999904</v>
      </c>
      <c r="G2853" s="79">
        <v>2077500</v>
      </c>
    </row>
    <row r="2854" spans="1:7" x14ac:dyDescent="0.25">
      <c r="A2854" s="1" t="s">
        <v>2977</v>
      </c>
      <c r="B2854" s="76">
        <v>70.241753000000003</v>
      </c>
      <c r="C2854" s="76">
        <v>70.651459000000003</v>
      </c>
      <c r="D2854" s="76">
        <v>69.195556999999994</v>
      </c>
      <c r="E2854" s="76">
        <v>69.539412999999996</v>
      </c>
      <c r="F2854" s="76">
        <v>55.509681999999998</v>
      </c>
      <c r="G2854" s="79">
        <v>1790700</v>
      </c>
    </row>
    <row r="2855" spans="1:7" x14ac:dyDescent="0.25">
      <c r="A2855" s="1" t="s">
        <v>2978</v>
      </c>
      <c r="B2855" s="76">
        <v>68.8078</v>
      </c>
      <c r="C2855" s="76">
        <v>69.312613999999996</v>
      </c>
      <c r="D2855" s="76">
        <v>68.376152000000005</v>
      </c>
      <c r="E2855" s="76">
        <v>68.917541999999997</v>
      </c>
      <c r="F2855" s="76">
        <v>55.415545999999999</v>
      </c>
      <c r="G2855" s="79">
        <v>1875500</v>
      </c>
    </row>
    <row r="2856" spans="1:7" x14ac:dyDescent="0.25">
      <c r="A2856" s="1" t="s">
        <v>2979</v>
      </c>
      <c r="B2856" s="76">
        <v>69.663780000000003</v>
      </c>
      <c r="C2856" s="76">
        <v>69.663780000000003</v>
      </c>
      <c r="D2856" s="76">
        <v>68.698059000000001</v>
      </c>
      <c r="E2856" s="76">
        <v>68.771216999999993</v>
      </c>
      <c r="F2856" s="76">
        <v>55.2978939999999</v>
      </c>
      <c r="G2856" s="79">
        <v>2019000</v>
      </c>
    </row>
    <row r="2857" spans="1:7" x14ac:dyDescent="0.25">
      <c r="A2857" s="1" t="s">
        <v>2980</v>
      </c>
      <c r="B2857" s="76">
        <v>68.800483999999997</v>
      </c>
      <c r="C2857" s="76">
        <v>69.649154999999993</v>
      </c>
      <c r="D2857" s="76">
        <v>68.698059000000001</v>
      </c>
      <c r="E2857" s="76">
        <v>69.349189999999993</v>
      </c>
      <c r="F2857" s="76">
        <v>55.762638000000003</v>
      </c>
      <c r="G2857" s="79">
        <v>1076600</v>
      </c>
    </row>
    <row r="2858" spans="1:7" x14ac:dyDescent="0.25">
      <c r="A2858" s="1" t="s">
        <v>2981</v>
      </c>
      <c r="B2858" s="76">
        <v>69.663780000000003</v>
      </c>
      <c r="C2858" s="76">
        <v>70.600243000000006</v>
      </c>
      <c r="D2858" s="76">
        <v>69.546722000000003</v>
      </c>
      <c r="E2858" s="76">
        <v>70.600243000000006</v>
      </c>
      <c r="F2858" s="76">
        <v>56.768597</v>
      </c>
      <c r="G2858" s="79">
        <v>1647800</v>
      </c>
    </row>
    <row r="2859" spans="1:7" x14ac:dyDescent="0.25">
      <c r="A2859" s="1" t="s">
        <v>2982</v>
      </c>
      <c r="B2859" s="76">
        <v>70.358809999999906</v>
      </c>
      <c r="C2859" s="76">
        <v>70.461235000000002</v>
      </c>
      <c r="D2859" s="76">
        <v>69.554039000000003</v>
      </c>
      <c r="E2859" s="76">
        <v>69.619888000000003</v>
      </c>
      <c r="F2859" s="76">
        <v>55.980305000000001</v>
      </c>
      <c r="G2859" s="79">
        <v>1469100</v>
      </c>
    </row>
    <row r="2860" spans="1:7" x14ac:dyDescent="0.25">
      <c r="A2860" s="1" t="s">
        <v>2983</v>
      </c>
      <c r="B2860" s="76">
        <v>69.341872999999893</v>
      </c>
      <c r="C2860" s="76">
        <v>69.890579000000002</v>
      </c>
      <c r="D2860" s="76">
        <v>68.698059000000001</v>
      </c>
      <c r="E2860" s="76">
        <v>69.875953999999993</v>
      </c>
      <c r="F2860" s="76">
        <v>56.186194999999998</v>
      </c>
      <c r="G2860" s="79">
        <v>1938000</v>
      </c>
    </row>
    <row r="2861" spans="1:7" x14ac:dyDescent="0.25">
      <c r="A2861" s="1" t="s">
        <v>2984</v>
      </c>
      <c r="B2861" s="76">
        <v>69.941794999999999</v>
      </c>
      <c r="C2861" s="76">
        <v>69.941794999999999</v>
      </c>
      <c r="D2861" s="76">
        <v>69.034599</v>
      </c>
      <c r="E2861" s="76">
        <v>69.341872999999893</v>
      </c>
      <c r="F2861" s="76">
        <v>55.756751999999999</v>
      </c>
      <c r="G2861" s="79">
        <v>1655200</v>
      </c>
    </row>
    <row r="2862" spans="1:7" x14ac:dyDescent="0.25">
      <c r="A2862" s="1" t="s">
        <v>2985</v>
      </c>
      <c r="B2862" s="76">
        <v>69.283348000000004</v>
      </c>
      <c r="C2862" s="76">
        <v>70.292968999999999</v>
      </c>
      <c r="D2862" s="76">
        <v>69.093131999999997</v>
      </c>
      <c r="E2862" s="76">
        <v>69.817420999999996</v>
      </c>
      <c r="F2862" s="76">
        <v>56.139136999999998</v>
      </c>
      <c r="G2862" s="79">
        <v>1148300</v>
      </c>
    </row>
    <row r="2863" spans="1:7" x14ac:dyDescent="0.25">
      <c r="A2863" s="1" t="s">
        <v>2986</v>
      </c>
      <c r="B2863" s="76">
        <v>69.641838000000007</v>
      </c>
      <c r="C2863" s="76">
        <v>70.161277999999996</v>
      </c>
      <c r="D2863" s="76">
        <v>69.093131999999997</v>
      </c>
      <c r="E2863" s="76">
        <v>69.758895999999993</v>
      </c>
      <c r="F2863" s="76">
        <v>56.092064000000001</v>
      </c>
      <c r="G2863" s="79">
        <v>1301700</v>
      </c>
    </row>
    <row r="2864" spans="1:7" x14ac:dyDescent="0.25">
      <c r="A2864" s="1" t="s">
        <v>2987</v>
      </c>
      <c r="B2864" s="76">
        <v>69.912529000000006</v>
      </c>
      <c r="C2864" s="76">
        <v>70.797775000000001</v>
      </c>
      <c r="D2864" s="76">
        <v>69.363822999999996</v>
      </c>
      <c r="E2864" s="76">
        <v>70.666083999999998</v>
      </c>
      <c r="F2864" s="76">
        <v>56.821548</v>
      </c>
      <c r="G2864" s="79">
        <v>1129800</v>
      </c>
    </row>
    <row r="2865" spans="1:7" x14ac:dyDescent="0.25">
      <c r="A2865" s="1" t="s">
        <v>2988</v>
      </c>
      <c r="B2865" s="76">
        <v>70.958732999999995</v>
      </c>
      <c r="C2865" s="76">
        <v>71.339164999999994</v>
      </c>
      <c r="D2865" s="76">
        <v>70.431976000000006</v>
      </c>
      <c r="E2865" s="76">
        <v>71.046524000000005</v>
      </c>
      <c r="F2865" s="76">
        <v>57.127433999999901</v>
      </c>
      <c r="G2865" s="79">
        <v>951400</v>
      </c>
    </row>
    <row r="2866" spans="1:7" x14ac:dyDescent="0.25">
      <c r="A2866" s="1" t="s">
        <v>2989</v>
      </c>
      <c r="B2866" s="76">
        <v>70.958732999999995</v>
      </c>
      <c r="C2866" s="76">
        <v>71.207481000000001</v>
      </c>
      <c r="D2866" s="76">
        <v>69.971062000000003</v>
      </c>
      <c r="E2866" s="76">
        <v>70.183228</v>
      </c>
      <c r="F2866" s="76">
        <v>56.433276999999997</v>
      </c>
      <c r="G2866" s="79">
        <v>1282600</v>
      </c>
    </row>
    <row r="2867" spans="1:7" x14ac:dyDescent="0.25">
      <c r="A2867" s="1" t="s">
        <v>2990</v>
      </c>
      <c r="B2867" s="76">
        <v>69.378456</v>
      </c>
      <c r="C2867" s="76">
        <v>69.824737999999996</v>
      </c>
      <c r="D2867" s="76">
        <v>69.122390999999993</v>
      </c>
      <c r="E2867" s="76">
        <v>69.151657</v>
      </c>
      <c r="F2867" s="76">
        <v>55.603793999999901</v>
      </c>
      <c r="G2867" s="79">
        <v>1341000</v>
      </c>
    </row>
    <row r="2868" spans="1:7" x14ac:dyDescent="0.25">
      <c r="A2868" s="1" t="s">
        <v>2991</v>
      </c>
      <c r="B2868" s="76">
        <v>69.429671999999997</v>
      </c>
      <c r="C2868" s="76">
        <v>69.736946000000003</v>
      </c>
      <c r="D2868" s="76">
        <v>69.071181999999993</v>
      </c>
      <c r="E2868" s="76">
        <v>69.495514</v>
      </c>
      <c r="F2868" s="76">
        <v>55.880282999999999</v>
      </c>
      <c r="G2868" s="79">
        <v>1074800</v>
      </c>
    </row>
    <row r="2869" spans="1:7" x14ac:dyDescent="0.25">
      <c r="A2869" s="1" t="s">
        <v>2992</v>
      </c>
      <c r="B2869" s="76">
        <v>69.341872999999893</v>
      </c>
      <c r="C2869" s="76">
        <v>70.110061999999999</v>
      </c>
      <c r="D2869" s="76">
        <v>68.917541999999997</v>
      </c>
      <c r="E2869" s="76">
        <v>69.561356000000004</v>
      </c>
      <c r="F2869" s="76">
        <v>55.933230999999999</v>
      </c>
      <c r="G2869" s="79">
        <v>1167500</v>
      </c>
    </row>
    <row r="2870" spans="1:7" x14ac:dyDescent="0.25">
      <c r="A2870" s="1" t="s">
        <v>2993</v>
      </c>
      <c r="B2870" s="76">
        <v>69.224815000000007</v>
      </c>
      <c r="C2870" s="76">
        <v>70.739249999999998</v>
      </c>
      <c r="D2870" s="76">
        <v>69.210181999999904</v>
      </c>
      <c r="E2870" s="76">
        <v>70.402709999999999</v>
      </c>
      <c r="F2870" s="76">
        <v>56.609768000000003</v>
      </c>
      <c r="G2870" s="79">
        <v>1153100</v>
      </c>
    </row>
    <row r="2871" spans="1:7" x14ac:dyDescent="0.25">
      <c r="A2871" s="1" t="s">
        <v>2994</v>
      </c>
      <c r="B2871" s="76">
        <v>70.790458999999998</v>
      </c>
      <c r="C2871" s="76">
        <v>70.790458999999998</v>
      </c>
      <c r="D2871" s="76">
        <v>70.197861000000003</v>
      </c>
      <c r="E2871" s="76">
        <v>70.695351000000002</v>
      </c>
      <c r="F2871" s="76">
        <v>56.845066000000003</v>
      </c>
      <c r="G2871" s="79">
        <v>777100</v>
      </c>
    </row>
    <row r="2872" spans="1:7" x14ac:dyDescent="0.25">
      <c r="A2872" s="1" t="s">
        <v>2995</v>
      </c>
      <c r="B2872" s="76">
        <v>71.178214999999994</v>
      </c>
      <c r="C2872" s="76">
        <v>72.004929000000004</v>
      </c>
      <c r="D2872" s="76">
        <v>70.812407999999905</v>
      </c>
      <c r="E2872" s="76">
        <v>71.975669999999994</v>
      </c>
      <c r="F2872" s="76">
        <v>57.874554000000003</v>
      </c>
      <c r="G2872" s="79">
        <v>1764100</v>
      </c>
    </row>
    <row r="2873" spans="1:7" x14ac:dyDescent="0.25">
      <c r="A2873" s="1" t="s">
        <v>2996</v>
      </c>
      <c r="B2873" s="76">
        <v>71.726920999999905</v>
      </c>
      <c r="C2873" s="76">
        <v>71.909820999999994</v>
      </c>
      <c r="D2873" s="76">
        <v>69.502831</v>
      </c>
      <c r="E2873" s="76">
        <v>69.641838000000007</v>
      </c>
      <c r="F2873" s="76">
        <v>55.997948000000001</v>
      </c>
      <c r="G2873" s="79">
        <v>1724300</v>
      </c>
    </row>
    <row r="2874" spans="1:7" x14ac:dyDescent="0.25">
      <c r="A2874" s="1" t="s">
        <v>2997</v>
      </c>
      <c r="B2874" s="76">
        <v>69.641838000000007</v>
      </c>
      <c r="C2874" s="76">
        <v>70.168593999999999</v>
      </c>
      <c r="D2874" s="76">
        <v>68.822432999999904</v>
      </c>
      <c r="E2874" s="76">
        <v>69.034599</v>
      </c>
      <c r="F2874" s="76">
        <v>55.509673999999997</v>
      </c>
      <c r="G2874" s="79">
        <v>1644700</v>
      </c>
    </row>
    <row r="2875" spans="1:7" x14ac:dyDescent="0.25">
      <c r="A2875" s="1" t="s">
        <v>2998</v>
      </c>
      <c r="B2875" s="76">
        <v>68.178618999999998</v>
      </c>
      <c r="C2875" s="76">
        <v>70.014954000000003</v>
      </c>
      <c r="D2875" s="76">
        <v>68.178618999999998</v>
      </c>
      <c r="E2875" s="76">
        <v>69.473563999999996</v>
      </c>
      <c r="F2875" s="76">
        <v>55.862643999999896</v>
      </c>
      <c r="G2875" s="79">
        <v>1516300</v>
      </c>
    </row>
    <row r="2876" spans="1:7" x14ac:dyDescent="0.25">
      <c r="A2876" s="1" t="s">
        <v>2999</v>
      </c>
      <c r="B2876" s="76">
        <v>69.488197</v>
      </c>
      <c r="C2876" s="76">
        <v>69.722313</v>
      </c>
      <c r="D2876" s="76">
        <v>68.120086999999998</v>
      </c>
      <c r="E2876" s="76">
        <v>68.310310000000001</v>
      </c>
      <c r="F2876" s="76">
        <v>54.927292000000001</v>
      </c>
      <c r="G2876" s="79">
        <v>1620100</v>
      </c>
    </row>
    <row r="2877" spans="1:7" x14ac:dyDescent="0.25">
      <c r="A2877" s="1" t="s">
        <v>3000</v>
      </c>
      <c r="B2877" s="76">
        <v>68.785850999999994</v>
      </c>
      <c r="C2877" s="76">
        <v>70.285651999999999</v>
      </c>
      <c r="D2877" s="76">
        <v>68.617583999999994</v>
      </c>
      <c r="E2877" s="76">
        <v>69.415038999999993</v>
      </c>
      <c r="F2877" s="76">
        <v>55.8155819999999</v>
      </c>
      <c r="G2877" s="79">
        <v>1351900</v>
      </c>
    </row>
    <row r="2878" spans="1:7" x14ac:dyDescent="0.25">
      <c r="A2878" s="1" t="s">
        <v>3001</v>
      </c>
      <c r="B2878" s="76">
        <v>69.129706999999996</v>
      </c>
      <c r="C2878" s="76">
        <v>70.080803000000003</v>
      </c>
      <c r="D2878" s="76">
        <v>68.990700000000004</v>
      </c>
      <c r="E2878" s="76">
        <v>69.012649999999994</v>
      </c>
      <c r="F2878" s="76">
        <v>55.492034999999902</v>
      </c>
      <c r="G2878" s="79">
        <v>1377800</v>
      </c>
    </row>
    <row r="2879" spans="1:7" x14ac:dyDescent="0.25">
      <c r="A2879" s="1" t="s">
        <v>3002</v>
      </c>
      <c r="B2879" s="76">
        <v>69.510147000000003</v>
      </c>
      <c r="C2879" s="76">
        <v>69.546722000000003</v>
      </c>
      <c r="D2879" s="76">
        <v>67.900604000000001</v>
      </c>
      <c r="E2879" s="76">
        <v>68.522475999999997</v>
      </c>
      <c r="F2879" s="76">
        <v>55.097889000000002</v>
      </c>
      <c r="G2879" s="79">
        <v>1830000</v>
      </c>
    </row>
    <row r="2880" spans="1:7" x14ac:dyDescent="0.25">
      <c r="A2880" s="1" t="s">
        <v>3003</v>
      </c>
      <c r="B2880" s="76">
        <v>68.171302999999995</v>
      </c>
      <c r="C2880" s="76">
        <v>68.288360999999995</v>
      </c>
      <c r="D2880" s="76">
        <v>66.525184999999993</v>
      </c>
      <c r="E2880" s="76">
        <v>66.781242000000006</v>
      </c>
      <c r="F2880" s="76">
        <v>53.697792</v>
      </c>
      <c r="G2880" s="79">
        <v>2001100</v>
      </c>
    </row>
    <row r="2881" spans="1:7" x14ac:dyDescent="0.25">
      <c r="A2881" s="1" t="s">
        <v>3004</v>
      </c>
      <c r="B2881" s="76">
        <v>67.029990999999995</v>
      </c>
      <c r="C2881" s="76">
        <v>67.622596999999999</v>
      </c>
      <c r="D2881" s="76">
        <v>66.795876000000007</v>
      </c>
      <c r="E2881" s="76">
        <v>67.000725000000003</v>
      </c>
      <c r="F2881" s="76">
        <v>53.874268000000001</v>
      </c>
      <c r="G2881" s="79">
        <v>1774000</v>
      </c>
    </row>
    <row r="2882" spans="1:7" x14ac:dyDescent="0.25">
      <c r="A2882" s="1" t="s">
        <v>3005</v>
      </c>
      <c r="B2882" s="76">
        <v>67.878653999999997</v>
      </c>
      <c r="C2882" s="76">
        <v>68.076194999999998</v>
      </c>
      <c r="D2882" s="76">
        <v>67.234840000000005</v>
      </c>
      <c r="E2882" s="76">
        <v>67.790863000000002</v>
      </c>
      <c r="F2882" s="76">
        <v>54.509616999999999</v>
      </c>
      <c r="G2882" s="79">
        <v>1149800</v>
      </c>
    </row>
    <row r="2883" spans="1:7" x14ac:dyDescent="0.25">
      <c r="A2883" s="1" t="s">
        <v>3006</v>
      </c>
      <c r="B2883" s="76">
        <v>67.315322999999907</v>
      </c>
      <c r="C2883" s="76">
        <v>67.483588999999995</v>
      </c>
      <c r="D2883" s="76">
        <v>65.947211999999993</v>
      </c>
      <c r="E2883" s="76">
        <v>66.532500999999996</v>
      </c>
      <c r="F2883" s="76">
        <v>53.497783999999903</v>
      </c>
      <c r="G2883" s="79">
        <v>1468600</v>
      </c>
    </row>
    <row r="2884" spans="1:7" x14ac:dyDescent="0.25">
      <c r="A2884" s="1" t="s">
        <v>3007</v>
      </c>
      <c r="B2884" s="76">
        <v>66.825142</v>
      </c>
      <c r="C2884" s="76">
        <v>67.468956000000006</v>
      </c>
      <c r="D2884" s="76">
        <v>65.888679999999994</v>
      </c>
      <c r="E2884" s="76">
        <v>66.927566999999996</v>
      </c>
      <c r="F2884" s="76">
        <v>53.815441</v>
      </c>
      <c r="G2884" s="79">
        <v>1671100</v>
      </c>
    </row>
    <row r="2885" spans="1:7" x14ac:dyDescent="0.25">
      <c r="A2885" s="1" t="s">
        <v>3008</v>
      </c>
      <c r="B2885" s="76">
        <v>67.461639000000005</v>
      </c>
      <c r="C2885" s="76">
        <v>67.746971000000002</v>
      </c>
      <c r="D2885" s="76">
        <v>66.649558999999996</v>
      </c>
      <c r="E2885" s="76">
        <v>66.927566999999996</v>
      </c>
      <c r="F2885" s="76">
        <v>53.815441</v>
      </c>
      <c r="G2885" s="79">
        <v>1742400</v>
      </c>
    </row>
    <row r="2886" spans="1:7" x14ac:dyDescent="0.25">
      <c r="A2886" s="1" t="s">
        <v>3009</v>
      </c>
      <c r="B2886" s="76">
        <v>66.591025999999999</v>
      </c>
      <c r="C2886" s="76">
        <v>68.383468999999906</v>
      </c>
      <c r="D2886" s="76">
        <v>66.583709999999996</v>
      </c>
      <c r="E2886" s="76">
        <v>67.776229999999998</v>
      </c>
      <c r="F2886" s="76">
        <v>54.497841000000001</v>
      </c>
      <c r="G2886" s="79">
        <v>1220500</v>
      </c>
    </row>
    <row r="2887" spans="1:7" x14ac:dyDescent="0.25">
      <c r="A2887" s="1" t="s">
        <v>3010</v>
      </c>
      <c r="B2887" s="76">
        <v>68.142036000000004</v>
      </c>
      <c r="C2887" s="76">
        <v>68.632216999999997</v>
      </c>
      <c r="D2887" s="76">
        <v>67.425064000000006</v>
      </c>
      <c r="E2887" s="76">
        <v>68.588318000000001</v>
      </c>
      <c r="F2887" s="76">
        <v>55.150829000000002</v>
      </c>
      <c r="G2887" s="79">
        <v>1543200</v>
      </c>
    </row>
    <row r="2888" spans="1:7" x14ac:dyDescent="0.25">
      <c r="A2888" s="1" t="s">
        <v>3011</v>
      </c>
      <c r="B2888" s="76">
        <v>68.229827999999998</v>
      </c>
      <c r="C2888" s="76">
        <v>68.968757999999994</v>
      </c>
      <c r="D2888" s="76">
        <v>68.163985999999994</v>
      </c>
      <c r="E2888" s="76">
        <v>68.222510999999997</v>
      </c>
      <c r="F2888" s="76">
        <v>54.856693</v>
      </c>
      <c r="G2888" s="79">
        <v>2130700</v>
      </c>
    </row>
    <row r="2889" spans="1:7" x14ac:dyDescent="0.25">
      <c r="A2889" s="1" t="s">
        <v>3012</v>
      </c>
      <c r="B2889" s="76">
        <v>67.242156999999906</v>
      </c>
      <c r="C2889" s="76">
        <v>67.242156999999906</v>
      </c>
      <c r="D2889" s="76">
        <v>65.932579000000004</v>
      </c>
      <c r="E2889" s="76">
        <v>66.261803</v>
      </c>
      <c r="F2889" s="76">
        <v>53.280127999999998</v>
      </c>
      <c r="G2889" s="79">
        <v>2448000</v>
      </c>
    </row>
    <row r="2890" spans="1:7" x14ac:dyDescent="0.25">
      <c r="A2890" s="1" t="s">
        <v>3013</v>
      </c>
      <c r="B2890" s="76">
        <v>66.452018999999893</v>
      </c>
      <c r="C2890" s="76">
        <v>66.869040999999996</v>
      </c>
      <c r="D2890" s="76">
        <v>65.881362999999993</v>
      </c>
      <c r="E2890" s="76">
        <v>66.334960999999893</v>
      </c>
      <c r="F2890" s="76">
        <v>53.3389319999999</v>
      </c>
      <c r="G2890" s="79">
        <v>2924300</v>
      </c>
    </row>
    <row r="2891" spans="1:7" x14ac:dyDescent="0.25">
      <c r="A2891" s="1" t="s">
        <v>3014</v>
      </c>
      <c r="B2891" s="76">
        <v>66.305701999999997</v>
      </c>
      <c r="C2891" s="76">
        <v>67.220206999999903</v>
      </c>
      <c r="D2891" s="76">
        <v>66.137428</v>
      </c>
      <c r="E2891" s="76">
        <v>66.993408000000002</v>
      </c>
      <c r="F2891" s="76">
        <v>53.868392999999998</v>
      </c>
      <c r="G2891" s="79">
        <v>1149200</v>
      </c>
    </row>
    <row r="2892" spans="1:7" x14ac:dyDescent="0.25">
      <c r="A2892" s="1" t="s">
        <v>3015</v>
      </c>
      <c r="B2892" s="76">
        <v>67.198265000000006</v>
      </c>
      <c r="C2892" s="76">
        <v>67.586014000000006</v>
      </c>
      <c r="D2892" s="76">
        <v>66.744667000000007</v>
      </c>
      <c r="E2892" s="76">
        <v>67.432372999999998</v>
      </c>
      <c r="F2892" s="76">
        <v>54.221359</v>
      </c>
      <c r="G2892" s="79">
        <v>978500</v>
      </c>
    </row>
    <row r="2893" spans="1:7" x14ac:dyDescent="0.25">
      <c r="A2893" s="1" t="s">
        <v>3016</v>
      </c>
      <c r="B2893" s="76">
        <v>67.761604000000005</v>
      </c>
      <c r="C2893" s="76">
        <v>68.434676999999994</v>
      </c>
      <c r="D2893" s="76">
        <v>67.520172000000002</v>
      </c>
      <c r="E2893" s="76">
        <v>68.207886000000002</v>
      </c>
      <c r="F2893" s="76">
        <v>54.844932999999997</v>
      </c>
      <c r="G2893" s="79">
        <v>1048200</v>
      </c>
    </row>
    <row r="2894" spans="1:7" x14ac:dyDescent="0.25">
      <c r="A2894" s="1" t="s">
        <v>3017</v>
      </c>
      <c r="B2894" s="76">
        <v>68.273726999999994</v>
      </c>
      <c r="C2894" s="76">
        <v>68.595633999999905</v>
      </c>
      <c r="D2894" s="76">
        <v>67.878653999999997</v>
      </c>
      <c r="E2894" s="76">
        <v>68.171302999999995</v>
      </c>
      <c r="F2894" s="76">
        <v>54.815525000000001</v>
      </c>
      <c r="G2894" s="79">
        <v>1263100</v>
      </c>
    </row>
    <row r="2895" spans="1:7" x14ac:dyDescent="0.25">
      <c r="A2895" s="1" t="s">
        <v>3018</v>
      </c>
      <c r="B2895" s="76">
        <v>68.142036000000004</v>
      </c>
      <c r="C2895" s="76">
        <v>69.539412999999996</v>
      </c>
      <c r="D2895" s="76">
        <v>67.988395999999995</v>
      </c>
      <c r="E2895" s="76">
        <v>69.400406000000004</v>
      </c>
      <c r="F2895" s="76">
        <v>55.803818</v>
      </c>
      <c r="G2895" s="79">
        <v>1437600</v>
      </c>
    </row>
    <row r="2896" spans="1:7" x14ac:dyDescent="0.25">
      <c r="A2896" s="1" t="s">
        <v>3019</v>
      </c>
      <c r="B2896" s="76">
        <v>69.473563999999996</v>
      </c>
      <c r="C2896" s="76">
        <v>70.088119999999904</v>
      </c>
      <c r="D2896" s="76">
        <v>68.800483999999997</v>
      </c>
      <c r="E2896" s="76">
        <v>69.810103999999995</v>
      </c>
      <c r="F2896" s="76">
        <v>56.133243999999998</v>
      </c>
      <c r="G2896" s="79">
        <v>1035600</v>
      </c>
    </row>
    <row r="2897" spans="1:7" x14ac:dyDescent="0.25">
      <c r="A2897" s="1" t="s">
        <v>3020</v>
      </c>
      <c r="B2897" s="76">
        <v>69.693046999999893</v>
      </c>
      <c r="C2897" s="76">
        <v>70.197861000000003</v>
      </c>
      <c r="D2897" s="76">
        <v>69.158974000000001</v>
      </c>
      <c r="E2897" s="76">
        <v>70.168593999999999</v>
      </c>
      <c r="F2897" s="76">
        <v>56.421508999999901</v>
      </c>
      <c r="G2897" s="79">
        <v>1024200</v>
      </c>
    </row>
    <row r="2898" spans="1:7" x14ac:dyDescent="0.25">
      <c r="A2898" s="1" t="s">
        <v>3021</v>
      </c>
      <c r="B2898" s="76">
        <v>70.570976000000002</v>
      </c>
      <c r="C2898" s="76">
        <v>70.966048999999998</v>
      </c>
      <c r="D2898" s="76">
        <v>70.417343000000002</v>
      </c>
      <c r="E2898" s="76">
        <v>70.929466000000005</v>
      </c>
      <c r="F2898" s="76">
        <v>57.033301999999999</v>
      </c>
      <c r="G2898" s="79">
        <v>1435900</v>
      </c>
    </row>
    <row r="2899" spans="1:7" x14ac:dyDescent="0.25">
      <c r="A2899" s="1" t="s">
        <v>3022</v>
      </c>
      <c r="B2899" s="76">
        <v>69.905212000000006</v>
      </c>
      <c r="C2899" s="76">
        <v>70.731933999999995</v>
      </c>
      <c r="D2899" s="76">
        <v>69.795470999999907</v>
      </c>
      <c r="E2899" s="76">
        <v>70.666083999999998</v>
      </c>
      <c r="F2899" s="76">
        <v>56.821548</v>
      </c>
      <c r="G2899" s="79">
        <v>901400</v>
      </c>
    </row>
    <row r="2900" spans="1:7" x14ac:dyDescent="0.25">
      <c r="A2900" s="1" t="s">
        <v>3023</v>
      </c>
      <c r="B2900" s="76">
        <v>69.766204999999999</v>
      </c>
      <c r="C2900" s="76">
        <v>70.029587000000006</v>
      </c>
      <c r="D2900" s="76">
        <v>69.019965999999997</v>
      </c>
      <c r="E2900" s="76">
        <v>69.202872999999997</v>
      </c>
      <c r="F2900" s="76">
        <v>55.644989000000002</v>
      </c>
      <c r="G2900" s="79">
        <v>1196100</v>
      </c>
    </row>
    <row r="2901" spans="1:7" x14ac:dyDescent="0.25">
      <c r="A2901" s="1" t="s">
        <v>3024</v>
      </c>
      <c r="B2901" s="76">
        <v>68.829750000000004</v>
      </c>
      <c r="C2901" s="76">
        <v>70.285651999999999</v>
      </c>
      <c r="D2901" s="76">
        <v>68.800483999999997</v>
      </c>
      <c r="E2901" s="76">
        <v>69.071181999999993</v>
      </c>
      <c r="F2901" s="76">
        <v>55.539093000000001</v>
      </c>
      <c r="G2901" s="79">
        <v>1651400</v>
      </c>
    </row>
    <row r="2902" spans="1:7" x14ac:dyDescent="0.25">
      <c r="A2902" s="1" t="s">
        <v>3025</v>
      </c>
      <c r="B2902" s="76">
        <v>69.400406000000004</v>
      </c>
      <c r="C2902" s="76">
        <v>69.502831</v>
      </c>
      <c r="D2902" s="76">
        <v>67.578696999999906</v>
      </c>
      <c r="E2902" s="76">
        <v>67.754288000000003</v>
      </c>
      <c r="F2902" s="76">
        <v>54.480198000000001</v>
      </c>
      <c r="G2902" s="79">
        <v>2061100</v>
      </c>
    </row>
    <row r="2903" spans="1:7" x14ac:dyDescent="0.25">
      <c r="A2903" s="1" t="s">
        <v>3026</v>
      </c>
      <c r="B2903" s="76">
        <v>68.127403000000001</v>
      </c>
      <c r="C2903" s="76">
        <v>68.471260000000001</v>
      </c>
      <c r="D2903" s="76">
        <v>67.366530999999995</v>
      </c>
      <c r="E2903" s="76">
        <v>67.600646999999995</v>
      </c>
      <c r="F2903" s="76">
        <v>54.356655000000003</v>
      </c>
      <c r="G2903" s="79">
        <v>1307500</v>
      </c>
    </row>
    <row r="2904" spans="1:7" x14ac:dyDescent="0.25">
      <c r="A2904" s="1" t="s">
        <v>3027</v>
      </c>
      <c r="B2904" s="76">
        <v>68.046927999999994</v>
      </c>
      <c r="C2904" s="76">
        <v>68.493209999999905</v>
      </c>
      <c r="D2904" s="76">
        <v>67.454323000000002</v>
      </c>
      <c r="E2904" s="76">
        <v>68.420051999999998</v>
      </c>
      <c r="F2904" s="76">
        <v>55.015518</v>
      </c>
      <c r="G2904" s="79">
        <v>1400500</v>
      </c>
    </row>
    <row r="2905" spans="1:7" x14ac:dyDescent="0.25">
      <c r="A2905" s="1" t="s">
        <v>3028</v>
      </c>
      <c r="B2905" s="76">
        <v>68.229827999999998</v>
      </c>
      <c r="C2905" s="76">
        <v>68.229827999999998</v>
      </c>
      <c r="D2905" s="76">
        <v>66.839775000000003</v>
      </c>
      <c r="E2905" s="76">
        <v>67.542113999999998</v>
      </c>
      <c r="F2905" s="76">
        <v>54.309581999999899</v>
      </c>
      <c r="G2905" s="79">
        <v>1210800</v>
      </c>
    </row>
    <row r="2906" spans="1:7" x14ac:dyDescent="0.25">
      <c r="A2906" s="1" t="s">
        <v>3029</v>
      </c>
      <c r="B2906" s="76">
        <v>67.805495999999906</v>
      </c>
      <c r="C2906" s="76">
        <v>68.793166999999997</v>
      </c>
      <c r="D2906" s="76">
        <v>67.337265000000002</v>
      </c>
      <c r="E2906" s="76">
        <v>68.683425999999997</v>
      </c>
      <c r="F2906" s="76">
        <v>55.227317999999997</v>
      </c>
      <c r="G2906" s="79">
        <v>1284400</v>
      </c>
    </row>
    <row r="2907" spans="1:7" x14ac:dyDescent="0.25">
      <c r="A2907" s="1" t="s">
        <v>3030</v>
      </c>
      <c r="B2907" s="76">
        <v>68.8078</v>
      </c>
      <c r="C2907" s="76">
        <v>70.073486000000003</v>
      </c>
      <c r="D2907" s="76">
        <v>68.573684999999998</v>
      </c>
      <c r="E2907" s="76">
        <v>69.934478999999996</v>
      </c>
      <c r="F2907" s="76">
        <v>56.233249999999998</v>
      </c>
      <c r="G2907" s="79">
        <v>1855900</v>
      </c>
    </row>
    <row r="2908" spans="1:7" x14ac:dyDescent="0.25">
      <c r="A2908" s="1" t="s">
        <v>3031</v>
      </c>
      <c r="B2908" s="76">
        <v>70.461235000000002</v>
      </c>
      <c r="C2908" s="76">
        <v>71.405013999999994</v>
      </c>
      <c r="D2908" s="76">
        <v>70.358809999999906</v>
      </c>
      <c r="E2908" s="76">
        <v>71.163581999999906</v>
      </c>
      <c r="F2908" s="76">
        <v>57.221557999999902</v>
      </c>
      <c r="G2908" s="79">
        <v>1926800</v>
      </c>
    </row>
    <row r="2909" spans="1:7" x14ac:dyDescent="0.25">
      <c r="A2909" s="1" t="s">
        <v>3032</v>
      </c>
      <c r="B2909" s="76">
        <v>71.134315000000001</v>
      </c>
      <c r="C2909" s="76">
        <v>72.260993999999997</v>
      </c>
      <c r="D2909" s="76">
        <v>70.870941000000002</v>
      </c>
      <c r="E2909" s="76">
        <v>72.136619999999994</v>
      </c>
      <c r="F2909" s="76">
        <v>58.003962999999999</v>
      </c>
      <c r="G2909" s="79">
        <v>1560600</v>
      </c>
    </row>
    <row r="2910" spans="1:7" x14ac:dyDescent="0.25">
      <c r="A2910" s="1" t="s">
        <v>3033</v>
      </c>
      <c r="B2910" s="76">
        <v>71.317222999999998</v>
      </c>
      <c r="C2910" s="76">
        <v>71.522071999999994</v>
      </c>
      <c r="D2910" s="76">
        <v>71.017257999999998</v>
      </c>
      <c r="E2910" s="76">
        <v>71.061156999999994</v>
      </c>
      <c r="F2910" s="76">
        <v>57.139201999999997</v>
      </c>
      <c r="G2910" s="79">
        <v>1463600</v>
      </c>
    </row>
    <row r="2911" spans="1:7" x14ac:dyDescent="0.25">
      <c r="A2911" s="1" t="s">
        <v>3034</v>
      </c>
      <c r="B2911" s="76">
        <v>71.002624999999995</v>
      </c>
      <c r="C2911" s="76">
        <v>71.061156999999994</v>
      </c>
      <c r="D2911" s="76">
        <v>70.271018999999995</v>
      </c>
      <c r="E2911" s="76">
        <v>70.797775000000001</v>
      </c>
      <c r="F2911" s="76">
        <v>56.927409999999902</v>
      </c>
      <c r="G2911" s="79">
        <v>1224600</v>
      </c>
    </row>
    <row r="2912" spans="1:7" x14ac:dyDescent="0.25">
      <c r="A2912" s="1" t="s">
        <v>3035</v>
      </c>
      <c r="B2912" s="76">
        <v>70.658767999999995</v>
      </c>
      <c r="C2912" s="76">
        <v>70.658767999999995</v>
      </c>
      <c r="D2912" s="76">
        <v>68.610268000000005</v>
      </c>
      <c r="E2912" s="76">
        <v>68.654160000000005</v>
      </c>
      <c r="F2912" s="76">
        <v>55.203772999999998</v>
      </c>
      <c r="G2912" s="79">
        <v>1987600</v>
      </c>
    </row>
    <row r="2913" spans="1:7" x14ac:dyDescent="0.25">
      <c r="A2913" s="1" t="s">
        <v>3036</v>
      </c>
      <c r="B2913" s="76">
        <v>68.895591999999994</v>
      </c>
      <c r="C2913" s="76">
        <v>69.173606999999905</v>
      </c>
      <c r="D2913" s="76">
        <v>67.673805000000002</v>
      </c>
      <c r="E2913" s="76">
        <v>68.566367999999997</v>
      </c>
      <c r="F2913" s="76">
        <v>55.133193999999897</v>
      </c>
      <c r="G2913" s="79">
        <v>1058400</v>
      </c>
    </row>
    <row r="2914" spans="1:7" x14ac:dyDescent="0.25">
      <c r="A2914" s="1" t="s">
        <v>3037</v>
      </c>
      <c r="B2914" s="76">
        <v>68.178618999999998</v>
      </c>
      <c r="C2914" s="76">
        <v>68.771216999999993</v>
      </c>
      <c r="D2914" s="76">
        <v>67.051940999999999</v>
      </c>
      <c r="E2914" s="76">
        <v>68.441993999999994</v>
      </c>
      <c r="F2914" s="76">
        <v>55.033168999999901</v>
      </c>
      <c r="G2914" s="79">
        <v>1615200</v>
      </c>
    </row>
    <row r="2915" spans="1:7" x14ac:dyDescent="0.25">
      <c r="A2915" s="1" t="s">
        <v>3038</v>
      </c>
      <c r="B2915" s="76">
        <v>69.319930999999997</v>
      </c>
      <c r="C2915" s="76">
        <v>69.561356000000004</v>
      </c>
      <c r="D2915" s="76">
        <v>66.686133999999996</v>
      </c>
      <c r="E2915" s="76">
        <v>67.534805000000006</v>
      </c>
      <c r="F2915" s="76">
        <v>54.303714999999997</v>
      </c>
      <c r="G2915" s="79">
        <v>2316700</v>
      </c>
    </row>
    <row r="2916" spans="1:7" x14ac:dyDescent="0.25">
      <c r="A2916" s="1" t="s">
        <v>3039</v>
      </c>
      <c r="B2916" s="76">
        <v>67.271422999999999</v>
      </c>
      <c r="C2916" s="76">
        <v>67.337265000000002</v>
      </c>
      <c r="D2916" s="76">
        <v>63.993816000000002</v>
      </c>
      <c r="E2916" s="76">
        <v>64.088927999999996</v>
      </c>
      <c r="F2916" s="76">
        <v>51.532940000000004</v>
      </c>
      <c r="G2916" s="79">
        <v>2431900</v>
      </c>
    </row>
    <row r="2917" spans="1:7" x14ac:dyDescent="0.25">
      <c r="A2917" s="1" t="s">
        <v>3040</v>
      </c>
      <c r="B2917" s="76">
        <v>64.125504000000006</v>
      </c>
      <c r="C2917" s="76">
        <v>64.213295000000002</v>
      </c>
      <c r="D2917" s="76">
        <v>61.894100000000002</v>
      </c>
      <c r="E2917" s="76">
        <v>63.664593000000004</v>
      </c>
      <c r="F2917" s="76">
        <v>51.191733999999997</v>
      </c>
      <c r="G2917" s="79">
        <v>2726800</v>
      </c>
    </row>
    <row r="2918" spans="1:7" x14ac:dyDescent="0.25">
      <c r="A2918" s="1" t="s">
        <v>3041</v>
      </c>
      <c r="B2918" s="76">
        <v>62.786662999999997</v>
      </c>
      <c r="C2918" s="76">
        <v>63.101253999999997</v>
      </c>
      <c r="D2918" s="76">
        <v>60.672314</v>
      </c>
      <c r="E2918" s="76">
        <v>60.804001</v>
      </c>
      <c r="F2918" s="76">
        <v>48.891582</v>
      </c>
      <c r="G2918" s="79">
        <v>3032800</v>
      </c>
    </row>
    <row r="2919" spans="1:7" x14ac:dyDescent="0.25">
      <c r="A2919" s="1" t="s">
        <v>3042</v>
      </c>
      <c r="B2919" s="76">
        <v>61.769725999999999</v>
      </c>
      <c r="C2919" s="76">
        <v>61.806305000000002</v>
      </c>
      <c r="D2919" s="76">
        <v>58.696967999999998</v>
      </c>
      <c r="E2919" s="76">
        <v>59.099353999999998</v>
      </c>
      <c r="F2919" s="76">
        <v>47.520896999999998</v>
      </c>
      <c r="G2919" s="79">
        <v>4219800</v>
      </c>
    </row>
    <row r="2920" spans="1:7" x14ac:dyDescent="0.25">
      <c r="A2920" s="1" t="s">
        <v>3043</v>
      </c>
      <c r="B2920" s="76">
        <v>57.402019999999901</v>
      </c>
      <c r="C2920" s="76">
        <v>57.599556</v>
      </c>
      <c r="D2920" s="76">
        <v>53.297694999999997</v>
      </c>
      <c r="E2920" s="76">
        <v>53.312328000000001</v>
      </c>
      <c r="F2920" s="76">
        <v>43.236946000000003</v>
      </c>
      <c r="G2920" s="79">
        <v>4992400</v>
      </c>
    </row>
    <row r="2921" spans="1:7" x14ac:dyDescent="0.25">
      <c r="A2921" s="1" t="s">
        <v>3044</v>
      </c>
      <c r="B2921" s="76">
        <v>54.007354999999997</v>
      </c>
      <c r="C2921" s="76">
        <v>58.228740999999999</v>
      </c>
      <c r="D2921" s="76">
        <v>53.509861000000001</v>
      </c>
      <c r="E2921" s="76">
        <v>58.155579000000003</v>
      </c>
      <c r="F2921" s="76">
        <v>47.164893999999997</v>
      </c>
      <c r="G2921" s="79">
        <v>4958800</v>
      </c>
    </row>
    <row r="2922" spans="1:7" x14ac:dyDescent="0.25">
      <c r="A2922" s="1" t="s">
        <v>3045</v>
      </c>
      <c r="B2922" s="76">
        <v>56.992320999999997</v>
      </c>
      <c r="C2922" s="76">
        <v>59.428576999999997</v>
      </c>
      <c r="D2922" s="76">
        <v>55.916854999999998</v>
      </c>
      <c r="E2922" s="76">
        <v>56.706992999999997</v>
      </c>
      <c r="F2922" s="76">
        <v>45.990062999999999</v>
      </c>
      <c r="G2922" s="79">
        <v>4418300</v>
      </c>
    </row>
    <row r="2923" spans="1:7" x14ac:dyDescent="0.25">
      <c r="A2923" s="1" t="s">
        <v>3046</v>
      </c>
      <c r="B2923" s="76">
        <v>57.087429</v>
      </c>
      <c r="C2923" s="76">
        <v>61.250281999999899</v>
      </c>
      <c r="D2923" s="76">
        <v>56.575302000000001</v>
      </c>
      <c r="E2923" s="76">
        <v>60.021178999999997</v>
      </c>
      <c r="F2923" s="76">
        <v>48.677909999999997</v>
      </c>
      <c r="G2923" s="79">
        <v>4019600</v>
      </c>
    </row>
    <row r="2924" spans="1:7" x14ac:dyDescent="0.25">
      <c r="A2924" s="1" t="s">
        <v>3047</v>
      </c>
      <c r="B2924" s="76">
        <v>60.072392000000001</v>
      </c>
      <c r="C2924" s="76">
        <v>61.542926999999999</v>
      </c>
      <c r="D2924" s="76">
        <v>59.604163999999997</v>
      </c>
      <c r="E2924" s="76">
        <v>60.438198</v>
      </c>
      <c r="F2924" s="76">
        <v>49.016128999999999</v>
      </c>
      <c r="G2924" s="79">
        <v>2083600</v>
      </c>
    </row>
    <row r="2925" spans="1:7" x14ac:dyDescent="0.25">
      <c r="A2925" s="1" t="s">
        <v>3048</v>
      </c>
      <c r="B2925" s="76">
        <v>60.928375000000003</v>
      </c>
      <c r="C2925" s="76">
        <v>62.472068999999998</v>
      </c>
      <c r="D2925" s="76">
        <v>60.730843</v>
      </c>
      <c r="E2925" s="76">
        <v>62.420856000000001</v>
      </c>
      <c r="F2925" s="76">
        <v>50.624080999999997</v>
      </c>
      <c r="G2925" s="79">
        <v>1775200</v>
      </c>
    </row>
    <row r="2926" spans="1:7" x14ac:dyDescent="0.25">
      <c r="A2926" s="1" t="s">
        <v>3049</v>
      </c>
      <c r="B2926" s="76">
        <v>61.630718000000002</v>
      </c>
      <c r="C2926" s="76">
        <v>62.435490000000001</v>
      </c>
      <c r="D2926" s="76">
        <v>61.038116000000002</v>
      </c>
      <c r="E2926" s="76">
        <v>61.608771999999902</v>
      </c>
      <c r="F2926" s="76">
        <v>49.965472999999903</v>
      </c>
      <c r="G2926" s="79">
        <v>1679500</v>
      </c>
    </row>
    <row r="2927" spans="1:7" x14ac:dyDescent="0.25">
      <c r="A2927" s="1" t="s">
        <v>3050</v>
      </c>
      <c r="B2927" s="76">
        <v>62.040420999999903</v>
      </c>
      <c r="C2927" s="76">
        <v>62.786662999999997</v>
      </c>
      <c r="D2927" s="76">
        <v>61.535609999999998</v>
      </c>
      <c r="E2927" s="76">
        <v>62.084316000000001</v>
      </c>
      <c r="F2927" s="76">
        <v>50.351143</v>
      </c>
      <c r="G2927" s="79">
        <v>1709000</v>
      </c>
    </row>
    <row r="2928" spans="1:7" x14ac:dyDescent="0.25">
      <c r="A2928" s="1" t="s">
        <v>3051</v>
      </c>
      <c r="B2928" s="76">
        <v>60.445515</v>
      </c>
      <c r="C2928" s="76">
        <v>60.767421999999897</v>
      </c>
      <c r="D2928" s="76">
        <v>58.418956999999899</v>
      </c>
      <c r="E2928" s="76">
        <v>59.106669999999902</v>
      </c>
      <c r="F2928" s="76">
        <v>47.936236999999998</v>
      </c>
      <c r="G2928" s="79">
        <v>3314500</v>
      </c>
    </row>
    <row r="2929" spans="1:7" x14ac:dyDescent="0.25">
      <c r="A2929" s="1" t="s">
        <v>3052</v>
      </c>
      <c r="B2929" s="76">
        <v>58.323848999999903</v>
      </c>
      <c r="C2929" s="76">
        <v>59.501739999999998</v>
      </c>
      <c r="D2929" s="76">
        <v>57.599556</v>
      </c>
      <c r="E2929" s="76">
        <v>57.811721999999897</v>
      </c>
      <c r="F2929" s="76">
        <v>46.886012999999998</v>
      </c>
      <c r="G2929" s="79">
        <v>2246800</v>
      </c>
    </row>
    <row r="2930" spans="1:7" x14ac:dyDescent="0.25">
      <c r="A2930" s="1" t="s">
        <v>3053</v>
      </c>
      <c r="B2930" s="76">
        <v>59.179828999999998</v>
      </c>
      <c r="C2930" s="76">
        <v>59.179828999999998</v>
      </c>
      <c r="D2930" s="76">
        <v>56.663097</v>
      </c>
      <c r="E2930" s="76">
        <v>57.592238999999999</v>
      </c>
      <c r="F2930" s="76">
        <v>46.708011999999997</v>
      </c>
      <c r="G2930" s="79">
        <v>2307700</v>
      </c>
    </row>
    <row r="2931" spans="1:7" x14ac:dyDescent="0.25">
      <c r="A2931" s="1" t="s">
        <v>3054</v>
      </c>
      <c r="B2931" s="76">
        <v>57.701981000000004</v>
      </c>
      <c r="C2931" s="76">
        <v>59.070087000000001</v>
      </c>
      <c r="D2931" s="76">
        <v>57.109378999999997</v>
      </c>
      <c r="E2931" s="76">
        <v>59.070087000000001</v>
      </c>
      <c r="F2931" s="76">
        <v>47.906562999999998</v>
      </c>
      <c r="G2931" s="79">
        <v>2103000</v>
      </c>
    </row>
    <row r="2932" spans="1:7" x14ac:dyDescent="0.25">
      <c r="A2932" s="1" t="s">
        <v>3055</v>
      </c>
      <c r="B2932" s="76">
        <v>58.901817000000001</v>
      </c>
      <c r="C2932" s="76">
        <v>59.991917000000001</v>
      </c>
      <c r="D2932" s="76">
        <v>57.884884</v>
      </c>
      <c r="E2932" s="76">
        <v>59.794379999999997</v>
      </c>
      <c r="F2932" s="76">
        <v>48.493983999999998</v>
      </c>
      <c r="G2932" s="79">
        <v>2151800</v>
      </c>
    </row>
    <row r="2933" spans="1:7" x14ac:dyDescent="0.25">
      <c r="A2933" s="1" t="s">
        <v>3056</v>
      </c>
      <c r="B2933" s="76">
        <v>59.794379999999997</v>
      </c>
      <c r="C2933" s="76">
        <v>60.833266999999999</v>
      </c>
      <c r="D2933" s="76">
        <v>58.448222999999999</v>
      </c>
      <c r="E2933" s="76">
        <v>59.135932999999902</v>
      </c>
      <c r="F2933" s="76">
        <v>47.959964999999997</v>
      </c>
      <c r="G2933" s="79">
        <v>2591600</v>
      </c>
    </row>
    <row r="2934" spans="1:7" x14ac:dyDescent="0.25">
      <c r="A2934" s="1" t="s">
        <v>3057</v>
      </c>
      <c r="B2934" s="76">
        <v>58.499434999999998</v>
      </c>
      <c r="C2934" s="76">
        <v>59.991917000000001</v>
      </c>
      <c r="D2934" s="76">
        <v>57.314228</v>
      </c>
      <c r="E2934" s="76">
        <v>59.911437999999997</v>
      </c>
      <c r="F2934" s="76">
        <v>48.588916999999903</v>
      </c>
      <c r="G2934" s="79">
        <v>1979300</v>
      </c>
    </row>
    <row r="2935" spans="1:7" x14ac:dyDescent="0.25">
      <c r="A2935" s="1" t="s">
        <v>3058</v>
      </c>
      <c r="B2935" s="76">
        <v>60.796683999999999</v>
      </c>
      <c r="C2935" s="76">
        <v>61.616089000000002</v>
      </c>
      <c r="D2935" s="76">
        <v>60.445515</v>
      </c>
      <c r="E2935" s="76">
        <v>61.550243000000002</v>
      </c>
      <c r="F2935" s="76">
        <v>49.918002999999999</v>
      </c>
      <c r="G2935" s="79">
        <v>1797200</v>
      </c>
    </row>
    <row r="2936" spans="1:7" x14ac:dyDescent="0.25">
      <c r="A2936" s="1" t="s">
        <v>3059</v>
      </c>
      <c r="B2936" s="76">
        <v>61.316127999999999</v>
      </c>
      <c r="C2936" s="76">
        <v>62.552546999999997</v>
      </c>
      <c r="D2936" s="76">
        <v>60.438198</v>
      </c>
      <c r="E2936" s="76">
        <v>62.216006999999998</v>
      </c>
      <c r="F2936" s="76">
        <v>50.457951000000001</v>
      </c>
      <c r="G2936" s="79">
        <v>1940500</v>
      </c>
    </row>
    <row r="2937" spans="1:7" x14ac:dyDescent="0.25">
      <c r="A2937" s="1" t="s">
        <v>3060</v>
      </c>
      <c r="B2937" s="76">
        <v>62.515965000000001</v>
      </c>
      <c r="C2937" s="76">
        <v>63.1597819999999</v>
      </c>
      <c r="D2937" s="76">
        <v>61.784358999999903</v>
      </c>
      <c r="E2937" s="76">
        <v>62.852505000000001</v>
      </c>
      <c r="F2937" s="76">
        <v>50.974154999999897</v>
      </c>
      <c r="G2937" s="79">
        <v>2195900</v>
      </c>
    </row>
    <row r="2938" spans="1:7" x14ac:dyDescent="0.25">
      <c r="A2938" s="1" t="s">
        <v>3061</v>
      </c>
      <c r="B2938" s="76">
        <v>63.064673999999997</v>
      </c>
      <c r="C2938" s="76">
        <v>63.371947999999897</v>
      </c>
      <c r="D2938" s="76">
        <v>62.011153999999998</v>
      </c>
      <c r="E2938" s="76">
        <v>62.450122999999998</v>
      </c>
      <c r="F2938" s="76">
        <v>50.647815999999999</v>
      </c>
      <c r="G2938" s="79">
        <v>2968900</v>
      </c>
    </row>
    <row r="2939" spans="1:7" x14ac:dyDescent="0.25">
      <c r="A2939" s="1" t="s">
        <v>3062</v>
      </c>
      <c r="B2939" s="76">
        <v>60.716208999999999</v>
      </c>
      <c r="C2939" s="76">
        <v>62.186740999999998</v>
      </c>
      <c r="D2939" s="76">
        <v>60.591834999999897</v>
      </c>
      <c r="E2939" s="76">
        <v>61.250281999999899</v>
      </c>
      <c r="F2939" s="76">
        <v>49.674731999999999</v>
      </c>
      <c r="G2939" s="79">
        <v>3046700</v>
      </c>
    </row>
    <row r="2940" spans="1:7" x14ac:dyDescent="0.25">
      <c r="A2940" s="1" t="s">
        <v>3063</v>
      </c>
      <c r="B2940" s="76">
        <v>60.006549999999997</v>
      </c>
      <c r="C2940" s="76">
        <v>61.777042000000002</v>
      </c>
      <c r="D2940" s="76">
        <v>59.9846</v>
      </c>
      <c r="E2940" s="76">
        <v>61.184437000000003</v>
      </c>
      <c r="F2940" s="76">
        <v>49.621326000000003</v>
      </c>
      <c r="G2940" s="79">
        <v>3498200</v>
      </c>
    </row>
    <row r="2941" spans="1:7" x14ac:dyDescent="0.25">
      <c r="A2941" s="1" t="s">
        <v>3064</v>
      </c>
      <c r="B2941" s="76">
        <v>62.216006999999998</v>
      </c>
      <c r="C2941" s="76">
        <v>63.620697</v>
      </c>
      <c r="D2941" s="76">
        <v>60.979588</v>
      </c>
      <c r="E2941" s="76">
        <v>63.525585</v>
      </c>
      <c r="F2941" s="76">
        <v>51.520022999999902</v>
      </c>
      <c r="G2941" s="79">
        <v>2812100</v>
      </c>
    </row>
    <row r="2942" spans="1:7" x14ac:dyDescent="0.25">
      <c r="A2942" s="1" t="s">
        <v>3065</v>
      </c>
      <c r="B2942" s="76">
        <v>62.837874999999997</v>
      </c>
      <c r="C2942" s="76">
        <v>63.657276000000003</v>
      </c>
      <c r="D2942" s="76">
        <v>62.625706000000001</v>
      </c>
      <c r="E2942" s="76">
        <v>62.859820999999997</v>
      </c>
      <c r="F2942" s="76">
        <v>50.980086999999997</v>
      </c>
      <c r="G2942" s="79">
        <v>2028800</v>
      </c>
    </row>
    <row r="2943" spans="1:7" x14ac:dyDescent="0.25">
      <c r="A2943" s="1" t="s">
        <v>3066</v>
      </c>
      <c r="B2943" s="76">
        <v>62.076999999999998</v>
      </c>
      <c r="C2943" s="76">
        <v>62.486702000000001</v>
      </c>
      <c r="D2943" s="76">
        <v>59.721221999999997</v>
      </c>
      <c r="E2943" s="76">
        <v>60.065075</v>
      </c>
      <c r="F2943" s="76">
        <v>48.713509000000002</v>
      </c>
      <c r="G2943" s="79">
        <v>2748500</v>
      </c>
    </row>
    <row r="2944" spans="1:7" x14ac:dyDescent="0.25">
      <c r="A2944" s="1" t="s">
        <v>3067</v>
      </c>
      <c r="B2944" s="76">
        <v>59.487105999999997</v>
      </c>
      <c r="C2944" s="76">
        <v>60.994220999999897</v>
      </c>
      <c r="D2944" s="76">
        <v>59.296886000000001</v>
      </c>
      <c r="E2944" s="76">
        <v>60.899108999999903</v>
      </c>
      <c r="F2944" s="76">
        <v>49.389927</v>
      </c>
      <c r="G2944" s="79">
        <v>2965600</v>
      </c>
    </row>
    <row r="2945" spans="1:7" x14ac:dyDescent="0.25">
      <c r="A2945" s="1" t="s">
        <v>3068</v>
      </c>
      <c r="B2945" s="76">
        <v>61.242966000000003</v>
      </c>
      <c r="C2945" s="76">
        <v>62.011153999999998</v>
      </c>
      <c r="D2945" s="76">
        <v>60.540622999999997</v>
      </c>
      <c r="E2945" s="76">
        <v>61.528293999999903</v>
      </c>
      <c r="F2945" s="76">
        <v>49.900199999999998</v>
      </c>
      <c r="G2945" s="79">
        <v>2661700</v>
      </c>
    </row>
    <row r="2946" spans="1:7" x14ac:dyDescent="0.25">
      <c r="A2946" s="1" t="s">
        <v>3069</v>
      </c>
      <c r="B2946" s="76">
        <v>61.894100000000002</v>
      </c>
      <c r="C2946" s="76">
        <v>62.216006999999998</v>
      </c>
      <c r="D2946" s="76">
        <v>60.738154999999999</v>
      </c>
      <c r="E2946" s="76">
        <v>61.696564000000002</v>
      </c>
      <c r="F2946" s="76">
        <v>50.036673999999998</v>
      </c>
      <c r="G2946" s="79">
        <v>2121600</v>
      </c>
    </row>
    <row r="2947" spans="1:7" x14ac:dyDescent="0.25">
      <c r="A2947" s="1" t="s">
        <v>3070</v>
      </c>
      <c r="B2947" s="76">
        <v>62.450122999999998</v>
      </c>
      <c r="C2947" s="76">
        <v>63.269523999999997</v>
      </c>
      <c r="D2947" s="76">
        <v>61.850200999999998</v>
      </c>
      <c r="E2947" s="76">
        <v>63.145148999999897</v>
      </c>
      <c r="F2947" s="76">
        <v>51.211490999999903</v>
      </c>
      <c r="G2947" s="79">
        <v>2464100</v>
      </c>
    </row>
    <row r="2948" spans="1:7" x14ac:dyDescent="0.25">
      <c r="A2948" s="1" t="s">
        <v>3071</v>
      </c>
      <c r="B2948" s="76">
        <v>63.364631999999901</v>
      </c>
      <c r="C2948" s="76">
        <v>63.832863000000003</v>
      </c>
      <c r="D2948" s="76">
        <v>61.945312999999999</v>
      </c>
      <c r="E2948" s="76">
        <v>62.925666999999997</v>
      </c>
      <c r="F2948" s="76">
        <v>51.033484999999999</v>
      </c>
      <c r="G2948" s="79">
        <v>7653800</v>
      </c>
    </row>
    <row r="2949" spans="1:7" x14ac:dyDescent="0.25">
      <c r="A2949" s="1" t="s">
        <v>3072</v>
      </c>
      <c r="B2949" s="76">
        <v>61.872149999999998</v>
      </c>
      <c r="C2949" s="76">
        <v>62.303798999999998</v>
      </c>
      <c r="D2949" s="76">
        <v>60.943007999999999</v>
      </c>
      <c r="E2949" s="76">
        <v>61.023482999999999</v>
      </c>
      <c r="F2949" s="76">
        <v>49.490803</v>
      </c>
      <c r="G2949" s="79">
        <v>1957400</v>
      </c>
    </row>
    <row r="2950" spans="1:7" x14ac:dyDescent="0.25">
      <c r="A2950" s="1" t="s">
        <v>3073</v>
      </c>
      <c r="B2950" s="76">
        <v>61.330760999999903</v>
      </c>
      <c r="C2950" s="76">
        <v>61.733142999999998</v>
      </c>
      <c r="D2950" s="76">
        <v>60.635731</v>
      </c>
      <c r="E2950" s="76">
        <v>61.038116000000002</v>
      </c>
      <c r="F2950" s="76">
        <v>49.502665999999998</v>
      </c>
      <c r="G2950" s="79">
        <v>1552400</v>
      </c>
    </row>
    <row r="2951" spans="1:7" x14ac:dyDescent="0.25">
      <c r="A2951" s="1" t="s">
        <v>3074</v>
      </c>
      <c r="B2951" s="76">
        <v>60.86253</v>
      </c>
      <c r="C2951" s="76">
        <v>61.089328999999999</v>
      </c>
      <c r="D2951" s="76">
        <v>57.862933999999903</v>
      </c>
      <c r="E2951" s="76">
        <v>57.965358999999999</v>
      </c>
      <c r="F2951" s="76">
        <v>47.010624</v>
      </c>
      <c r="G2951" s="79">
        <v>2701100</v>
      </c>
    </row>
    <row r="2952" spans="1:7" x14ac:dyDescent="0.25">
      <c r="A2952" s="1" t="s">
        <v>3075</v>
      </c>
      <c r="B2952" s="76">
        <v>57.014266999999997</v>
      </c>
      <c r="C2952" s="76">
        <v>57.555659999999897</v>
      </c>
      <c r="D2952" s="76">
        <v>56.107075000000002</v>
      </c>
      <c r="E2952" s="76">
        <v>56.882579999999997</v>
      </c>
      <c r="F2952" s="76">
        <v>46.132472999999997</v>
      </c>
      <c r="G2952" s="79">
        <v>4049600</v>
      </c>
    </row>
    <row r="2953" spans="1:7" x14ac:dyDescent="0.25">
      <c r="A2953" s="1" t="s">
        <v>3076</v>
      </c>
      <c r="B2953" s="76">
        <v>56.706992999999997</v>
      </c>
      <c r="C2953" s="76">
        <v>57.884884</v>
      </c>
      <c r="D2953" s="76">
        <v>56.048545999999902</v>
      </c>
      <c r="E2953" s="76">
        <v>57.482498</v>
      </c>
      <c r="F2953" s="76">
        <v>46.619014999999997</v>
      </c>
      <c r="G2953" s="79">
        <v>2608500</v>
      </c>
    </row>
    <row r="2954" spans="1:7" x14ac:dyDescent="0.25">
      <c r="A2954" s="1" t="s">
        <v>3077</v>
      </c>
      <c r="B2954" s="76">
        <v>57.482498</v>
      </c>
      <c r="C2954" s="76">
        <v>58.053153999999999</v>
      </c>
      <c r="D2954" s="76">
        <v>56.421664999999997</v>
      </c>
      <c r="E2954" s="76">
        <v>57.950729000000003</v>
      </c>
      <c r="F2954" s="76">
        <v>46.998756</v>
      </c>
      <c r="G2954" s="79">
        <v>1859800</v>
      </c>
    </row>
    <row r="2955" spans="1:7" x14ac:dyDescent="0.25">
      <c r="A2955" s="1" t="s">
        <v>3078</v>
      </c>
      <c r="B2955" s="76">
        <v>59.011558999999998</v>
      </c>
      <c r="C2955" s="76">
        <v>59.187144999999902</v>
      </c>
      <c r="D2955" s="76">
        <v>57.541027</v>
      </c>
      <c r="E2955" s="76">
        <v>57.797089</v>
      </c>
      <c r="F2955" s="76">
        <v>46.874148999999903</v>
      </c>
      <c r="G2955" s="79">
        <v>1981300</v>
      </c>
    </row>
    <row r="2956" spans="1:7" x14ac:dyDescent="0.25">
      <c r="A2956" s="1" t="s">
        <v>3079</v>
      </c>
      <c r="B2956" s="76">
        <v>58.104365999999999</v>
      </c>
      <c r="C2956" s="76">
        <v>58.660389000000002</v>
      </c>
      <c r="D2956" s="76">
        <v>56.472878000000001</v>
      </c>
      <c r="E2956" s="76">
        <v>56.582618999999902</v>
      </c>
      <c r="F2956" s="76">
        <v>45.889194000000003</v>
      </c>
      <c r="G2956" s="79">
        <v>2429300</v>
      </c>
    </row>
    <row r="2957" spans="1:7" x14ac:dyDescent="0.25">
      <c r="A2957" s="1" t="s">
        <v>3080</v>
      </c>
      <c r="B2957" s="76">
        <v>57.672718000000003</v>
      </c>
      <c r="C2957" s="76">
        <v>57.833672</v>
      </c>
      <c r="D2957" s="76">
        <v>56.253394999999998</v>
      </c>
      <c r="E2957" s="76">
        <v>56.831367</v>
      </c>
      <c r="F2957" s="76">
        <v>46.090938999999999</v>
      </c>
      <c r="G2957" s="79">
        <v>2704800</v>
      </c>
    </row>
    <row r="2958" spans="1:7" x14ac:dyDescent="0.25">
      <c r="A2958" s="1" t="s">
        <v>3081</v>
      </c>
      <c r="B2958" s="76">
        <v>56.194865999999998</v>
      </c>
      <c r="C2958" s="76">
        <v>57.153275000000001</v>
      </c>
      <c r="D2958" s="76">
        <v>54.5926439999999</v>
      </c>
      <c r="E2958" s="76">
        <v>54.5926439999999</v>
      </c>
      <c r="F2958" s="76">
        <v>44.275306999999998</v>
      </c>
      <c r="G2958" s="79">
        <v>2812200</v>
      </c>
    </row>
    <row r="2959" spans="1:7" x14ac:dyDescent="0.25">
      <c r="A2959" s="1" t="s">
        <v>3082</v>
      </c>
      <c r="B2959" s="76">
        <v>54.182941</v>
      </c>
      <c r="C2959" s="76">
        <v>54.797493000000003</v>
      </c>
      <c r="D2959" s="76">
        <v>51.585732</v>
      </c>
      <c r="E2959" s="76">
        <v>51.593047999999897</v>
      </c>
      <c r="F2959" s="76">
        <v>41.842601999999999</v>
      </c>
      <c r="G2959" s="79">
        <v>3558100</v>
      </c>
    </row>
    <row r="2960" spans="1:7" x14ac:dyDescent="0.25">
      <c r="A2960" s="1" t="s">
        <v>3083</v>
      </c>
      <c r="B2960" s="76">
        <v>50.905334000000003</v>
      </c>
      <c r="C2960" s="76">
        <v>53.195270999999998</v>
      </c>
      <c r="D2960" s="76">
        <v>50.210307999999998</v>
      </c>
      <c r="E2960" s="76">
        <v>52.741672999999999</v>
      </c>
      <c r="F2960" s="76">
        <v>42.774146999999999</v>
      </c>
      <c r="G2960" s="79">
        <v>4784000</v>
      </c>
    </row>
    <row r="2961" spans="1:7" x14ac:dyDescent="0.25">
      <c r="A2961" s="1" t="s">
        <v>3084</v>
      </c>
      <c r="B2961" s="76">
        <v>52.851413999999998</v>
      </c>
      <c r="C2961" s="76">
        <v>53.246482999999998</v>
      </c>
      <c r="D2961" s="76">
        <v>50.034720999999998</v>
      </c>
      <c r="E2961" s="76">
        <v>52.887996999999999</v>
      </c>
      <c r="F2961" s="76">
        <v>42.892821999999903</v>
      </c>
      <c r="G2961" s="79">
        <v>2663900</v>
      </c>
    </row>
    <row r="2962" spans="1:7" x14ac:dyDescent="0.25">
      <c r="A2962" s="1" t="s">
        <v>3085</v>
      </c>
      <c r="B2962" s="76">
        <v>52.844096999999998</v>
      </c>
      <c r="C2962" s="76">
        <v>53.802504999999996</v>
      </c>
      <c r="D2962" s="76">
        <v>51.768634999999897</v>
      </c>
      <c r="E2962" s="76">
        <v>53.700080999999997</v>
      </c>
      <c r="F2962" s="76">
        <v>43.551425999999999</v>
      </c>
      <c r="G2962" s="79">
        <v>3065400</v>
      </c>
    </row>
    <row r="2963" spans="1:7" x14ac:dyDescent="0.25">
      <c r="A2963" s="1" t="s">
        <v>3086</v>
      </c>
      <c r="B2963" s="76">
        <v>53.875667999999997</v>
      </c>
      <c r="C2963" s="76">
        <v>53.875667999999997</v>
      </c>
      <c r="D2963" s="76">
        <v>51.190661999999897</v>
      </c>
      <c r="E2963" s="76">
        <v>51.190661999999897</v>
      </c>
      <c r="F2963" s="76">
        <v>41.516258000000001</v>
      </c>
      <c r="G2963" s="79">
        <v>3745300</v>
      </c>
    </row>
    <row r="2964" spans="1:7" x14ac:dyDescent="0.25">
      <c r="A2964" s="1" t="s">
        <v>3087</v>
      </c>
      <c r="B2964" s="76">
        <v>52.339286999999999</v>
      </c>
      <c r="C2964" s="76">
        <v>54.285366000000003</v>
      </c>
      <c r="D2964" s="76">
        <v>52.127121000000002</v>
      </c>
      <c r="E2964" s="76">
        <v>54.263419999999897</v>
      </c>
      <c r="F2964" s="76">
        <v>44.008301000000003</v>
      </c>
      <c r="G2964" s="79">
        <v>2250100</v>
      </c>
    </row>
    <row r="2965" spans="1:7" x14ac:dyDescent="0.25">
      <c r="A2965" s="1" t="s">
        <v>3088</v>
      </c>
      <c r="B2965" s="76">
        <v>53.758609999999997</v>
      </c>
      <c r="C2965" s="76">
        <v>54.446323</v>
      </c>
      <c r="D2965" s="76">
        <v>53.048949999999998</v>
      </c>
      <c r="E2965" s="76">
        <v>53.626918999999901</v>
      </c>
      <c r="F2965" s="76">
        <v>43.492088000000003</v>
      </c>
      <c r="G2965" s="79">
        <v>1931100</v>
      </c>
    </row>
    <row r="2966" spans="1:7" x14ac:dyDescent="0.25">
      <c r="A2966" s="1" t="s">
        <v>3089</v>
      </c>
      <c r="B2966" s="76">
        <v>54.021988</v>
      </c>
      <c r="C2966" s="76">
        <v>55.097453999999999</v>
      </c>
      <c r="D2966" s="76">
        <v>53.429386000000001</v>
      </c>
      <c r="E2966" s="76">
        <v>54.460953000000003</v>
      </c>
      <c r="F2966" s="76">
        <v>44.168503000000001</v>
      </c>
      <c r="G2966" s="79">
        <v>2519400</v>
      </c>
    </row>
    <row r="2967" spans="1:7" x14ac:dyDescent="0.25">
      <c r="A2967" s="1" t="s">
        <v>3090</v>
      </c>
      <c r="B2967" s="76">
        <v>53.795189000000001</v>
      </c>
      <c r="C2967" s="76">
        <v>54.6731189999999</v>
      </c>
      <c r="D2967" s="76">
        <v>52.829467999999999</v>
      </c>
      <c r="E2967" s="76">
        <v>54.146361999999897</v>
      </c>
      <c r="F2967" s="76">
        <v>43.913353000000001</v>
      </c>
      <c r="G2967" s="79">
        <v>1903700</v>
      </c>
    </row>
    <row r="2968" spans="1:7" x14ac:dyDescent="0.25">
      <c r="A2968" s="1" t="s">
        <v>3091</v>
      </c>
      <c r="B2968" s="76">
        <v>54.826758999999903</v>
      </c>
      <c r="C2968" s="76">
        <v>55.858325999999998</v>
      </c>
      <c r="D2968" s="76">
        <v>54.475586</v>
      </c>
      <c r="E2968" s="76">
        <v>55.785164000000002</v>
      </c>
      <c r="F2968" s="76">
        <v>45.242455</v>
      </c>
      <c r="G2968" s="79">
        <v>2154600</v>
      </c>
    </row>
    <row r="2969" spans="1:7" x14ac:dyDescent="0.25">
      <c r="A2969" s="1" t="s">
        <v>3092</v>
      </c>
      <c r="B2969" s="76">
        <v>55.287669999999999</v>
      </c>
      <c r="C2969" s="76">
        <v>55.580314999999999</v>
      </c>
      <c r="D2969" s="76">
        <v>54.248787</v>
      </c>
      <c r="E2969" s="76">
        <v>54.395106999999904</v>
      </c>
      <c r="F2969" s="76">
        <v>44.115107999999999</v>
      </c>
      <c r="G2969" s="79">
        <v>2024800</v>
      </c>
    </row>
    <row r="2970" spans="1:7" x14ac:dyDescent="0.25">
      <c r="A2970" s="1" t="s">
        <v>3093</v>
      </c>
      <c r="B2970" s="76">
        <v>54.365844999999901</v>
      </c>
      <c r="C2970" s="76">
        <v>56.933791999999997</v>
      </c>
      <c r="D2970" s="76">
        <v>54.351211999999997</v>
      </c>
      <c r="E2970" s="76">
        <v>56.129020999999902</v>
      </c>
      <c r="F2970" s="76">
        <v>45.521320000000003</v>
      </c>
      <c r="G2970" s="79">
        <v>3016300</v>
      </c>
    </row>
    <row r="2971" spans="1:7" x14ac:dyDescent="0.25">
      <c r="A2971" s="1" t="s">
        <v>3094</v>
      </c>
      <c r="B2971" s="76">
        <v>56.019278999999997</v>
      </c>
      <c r="C2971" s="76">
        <v>56.282660999999997</v>
      </c>
      <c r="D2971" s="76">
        <v>54.877972</v>
      </c>
      <c r="E2971" s="76">
        <v>55.155982999999999</v>
      </c>
      <c r="F2971" s="76">
        <v>44.732185000000001</v>
      </c>
      <c r="G2971" s="79">
        <v>2372900</v>
      </c>
    </row>
    <row r="2972" spans="1:7" x14ac:dyDescent="0.25">
      <c r="A2972" s="1" t="s">
        <v>3095</v>
      </c>
      <c r="B2972" s="76">
        <v>55.302303000000002</v>
      </c>
      <c r="C2972" s="76">
        <v>56.114390999999998</v>
      </c>
      <c r="D2972" s="76">
        <v>54.439006999999997</v>
      </c>
      <c r="E2972" s="76">
        <v>56.063175000000001</v>
      </c>
      <c r="F2972" s="76">
        <v>45.467917999999997</v>
      </c>
      <c r="G2972" s="79">
        <v>2033600</v>
      </c>
    </row>
    <row r="2973" spans="1:7" x14ac:dyDescent="0.25">
      <c r="A2973" s="1" t="s">
        <v>3096</v>
      </c>
      <c r="B2973" s="76">
        <v>56.480193999999997</v>
      </c>
      <c r="C2973" s="76">
        <v>57.482498</v>
      </c>
      <c r="D2973" s="76">
        <v>56.414349000000001</v>
      </c>
      <c r="E2973" s="76">
        <v>57.431286</v>
      </c>
      <c r="F2973" s="76">
        <v>46.577472999999998</v>
      </c>
      <c r="G2973" s="79">
        <v>1875100</v>
      </c>
    </row>
    <row r="2974" spans="1:7" x14ac:dyDescent="0.25">
      <c r="A2974" s="1" t="s">
        <v>3097</v>
      </c>
      <c r="B2974" s="76">
        <v>57.475181999999997</v>
      </c>
      <c r="C2974" s="76">
        <v>59.194462000000001</v>
      </c>
      <c r="D2974" s="76">
        <v>57.314228</v>
      </c>
      <c r="E2974" s="76">
        <v>59.135932999999902</v>
      </c>
      <c r="F2974" s="76">
        <v>47.959964999999997</v>
      </c>
      <c r="G2974" s="79">
        <v>2313900</v>
      </c>
    </row>
    <row r="2975" spans="1:7" x14ac:dyDescent="0.25">
      <c r="A2975" s="1" t="s">
        <v>3098</v>
      </c>
      <c r="B2975" s="76">
        <v>58.528697999999999</v>
      </c>
      <c r="C2975" s="76">
        <v>58.835976000000002</v>
      </c>
      <c r="D2975" s="76">
        <v>57.819037999999999</v>
      </c>
      <c r="E2975" s="76">
        <v>58.001942</v>
      </c>
      <c r="F2975" s="76">
        <v>47.040295</v>
      </c>
      <c r="G2975" s="79">
        <v>2008900</v>
      </c>
    </row>
    <row r="2976" spans="1:7" x14ac:dyDescent="0.25">
      <c r="A2976" s="1" t="s">
        <v>3099</v>
      </c>
      <c r="B2976" s="76">
        <v>58.499434999999998</v>
      </c>
      <c r="C2976" s="76">
        <v>58.777446999999903</v>
      </c>
      <c r="D2976" s="76">
        <v>56.985004000000004</v>
      </c>
      <c r="E2976" s="76">
        <v>58.111682999999999</v>
      </c>
      <c r="F2976" s="76">
        <v>47.129292</v>
      </c>
      <c r="G2976" s="79">
        <v>2288000</v>
      </c>
    </row>
    <row r="2977" spans="1:7" x14ac:dyDescent="0.25">
      <c r="A2977" s="1" t="s">
        <v>3100</v>
      </c>
      <c r="B2977" s="76">
        <v>60.240662</v>
      </c>
      <c r="C2977" s="76">
        <v>60.950324999999999</v>
      </c>
      <c r="D2977" s="76">
        <v>59.333468999999901</v>
      </c>
      <c r="E2977" s="76">
        <v>60.482093999999996</v>
      </c>
      <c r="F2977" s="76">
        <v>49.051735000000001</v>
      </c>
      <c r="G2977" s="79">
        <v>3507000</v>
      </c>
    </row>
    <row r="2978" spans="1:7" x14ac:dyDescent="0.25">
      <c r="A2978" s="1" t="s">
        <v>3101</v>
      </c>
      <c r="B2978" s="76">
        <v>60.416247999999896</v>
      </c>
      <c r="C2978" s="76">
        <v>60.804001</v>
      </c>
      <c r="D2978" s="76">
        <v>59.816330000000001</v>
      </c>
      <c r="E2978" s="76">
        <v>60.804001</v>
      </c>
      <c r="F2978" s="76">
        <v>49.312804999999997</v>
      </c>
      <c r="G2978" s="79">
        <v>1824300</v>
      </c>
    </row>
    <row r="2979" spans="1:7" x14ac:dyDescent="0.25">
      <c r="A2979" s="1" t="s">
        <v>3102</v>
      </c>
      <c r="B2979" s="76">
        <v>59.809013</v>
      </c>
      <c r="C2979" s="76">
        <v>61.674618000000002</v>
      </c>
      <c r="D2979" s="76">
        <v>59.589531000000001</v>
      </c>
      <c r="E2979" s="76">
        <v>60.584518000000003</v>
      </c>
      <c r="F2979" s="76">
        <v>49.134791999999997</v>
      </c>
      <c r="G2979" s="79">
        <v>2067300</v>
      </c>
    </row>
    <row r="2980" spans="1:7" x14ac:dyDescent="0.25">
      <c r="A2980" s="1" t="s">
        <v>3103</v>
      </c>
      <c r="B2980" s="76">
        <v>58.543331000000002</v>
      </c>
      <c r="C2980" s="76">
        <v>59.794379999999997</v>
      </c>
      <c r="D2980" s="76">
        <v>58.192157999999999</v>
      </c>
      <c r="E2980" s="76">
        <v>58.214107999999896</v>
      </c>
      <c r="F2980" s="76">
        <v>47.212359999999997</v>
      </c>
      <c r="G2980" s="79">
        <v>2285700</v>
      </c>
    </row>
    <row r="2981" spans="1:7" x14ac:dyDescent="0.25">
      <c r="A2981" s="1" t="s">
        <v>3104</v>
      </c>
      <c r="B2981" s="76">
        <v>59.311519999999902</v>
      </c>
      <c r="C2981" s="76">
        <v>59.596848000000001</v>
      </c>
      <c r="D2981" s="76">
        <v>58.089732999999903</v>
      </c>
      <c r="E2981" s="76">
        <v>59.092036999999998</v>
      </c>
      <c r="F2981" s="76">
        <v>47.924365999999999</v>
      </c>
      <c r="G2981" s="79">
        <v>1901100</v>
      </c>
    </row>
    <row r="2982" spans="1:7" x14ac:dyDescent="0.25">
      <c r="A2982" s="1" t="s">
        <v>3105</v>
      </c>
      <c r="B2982" s="76">
        <v>60.013863000000001</v>
      </c>
      <c r="C2982" s="76">
        <v>60.547939</v>
      </c>
      <c r="D2982" s="76">
        <v>58.316531999999903</v>
      </c>
      <c r="E2982" s="76">
        <v>60.343086</v>
      </c>
      <c r="F2982" s="76">
        <v>48.938988000000002</v>
      </c>
      <c r="G2982" s="79">
        <v>1392700</v>
      </c>
    </row>
    <row r="2983" spans="1:7" x14ac:dyDescent="0.25">
      <c r="A2983" s="1" t="s">
        <v>3106</v>
      </c>
      <c r="B2983" s="76">
        <v>60.094341</v>
      </c>
      <c r="C2983" s="76">
        <v>60.094341</v>
      </c>
      <c r="D2983" s="76">
        <v>58.009253999999999</v>
      </c>
      <c r="E2983" s="76">
        <v>58.894505000000002</v>
      </c>
      <c r="F2983" s="76">
        <v>47.764167999999998</v>
      </c>
      <c r="G2983" s="79">
        <v>1951900</v>
      </c>
    </row>
    <row r="2984" spans="1:7" x14ac:dyDescent="0.25">
      <c r="A2984" s="1" t="s">
        <v>3107</v>
      </c>
      <c r="B2984" s="76">
        <v>58.828658999999902</v>
      </c>
      <c r="C2984" s="76">
        <v>59.574897999999997</v>
      </c>
      <c r="D2984" s="76">
        <v>58.360427999999999</v>
      </c>
      <c r="E2984" s="76">
        <v>59.545634999999997</v>
      </c>
      <c r="F2984" s="76">
        <v>48.292233000000003</v>
      </c>
      <c r="G2984" s="79">
        <v>1172100</v>
      </c>
    </row>
    <row r="2985" spans="1:7" x14ac:dyDescent="0.25">
      <c r="A2985" s="1" t="s">
        <v>3108</v>
      </c>
      <c r="B2985" s="76">
        <v>59.955333999999901</v>
      </c>
      <c r="C2985" s="76">
        <v>61.403918999999902</v>
      </c>
      <c r="D2985" s="76">
        <v>58.894505000000002</v>
      </c>
      <c r="E2985" s="76">
        <v>61.286864999999999</v>
      </c>
      <c r="F2985" s="76">
        <v>49.704394999999998</v>
      </c>
      <c r="G2985" s="79">
        <v>2118900</v>
      </c>
    </row>
    <row r="2986" spans="1:7" x14ac:dyDescent="0.25">
      <c r="A2986" s="1" t="s">
        <v>3109</v>
      </c>
      <c r="B2986" s="76">
        <v>59.611480999999998</v>
      </c>
      <c r="C2986" s="76">
        <v>59.860225999999997</v>
      </c>
      <c r="D2986" s="76">
        <v>57.804405000000003</v>
      </c>
      <c r="E2986" s="76">
        <v>58.038520999999903</v>
      </c>
      <c r="F2986" s="76">
        <v>47.460879999999896</v>
      </c>
      <c r="G2986" s="79">
        <v>2831700</v>
      </c>
    </row>
    <row r="2987" spans="1:7" x14ac:dyDescent="0.25">
      <c r="A2987" s="1" t="s">
        <v>3110</v>
      </c>
      <c r="B2987" s="76">
        <v>58.755496999999998</v>
      </c>
      <c r="C2987" s="76">
        <v>58.974978999999998</v>
      </c>
      <c r="D2987" s="76">
        <v>56.728943000000001</v>
      </c>
      <c r="E2987" s="76">
        <v>57.072795999999997</v>
      </c>
      <c r="F2987" s="76">
        <v>46.671157999999998</v>
      </c>
      <c r="G2987" s="79">
        <v>1875700</v>
      </c>
    </row>
    <row r="2988" spans="1:7" x14ac:dyDescent="0.25">
      <c r="A2988" s="1" t="s">
        <v>3111</v>
      </c>
      <c r="B2988" s="76">
        <v>57.877566999999999</v>
      </c>
      <c r="C2988" s="76">
        <v>58.645755999999999</v>
      </c>
      <c r="D2988" s="76">
        <v>57.584922999999897</v>
      </c>
      <c r="E2988" s="76">
        <v>58.514065000000002</v>
      </c>
      <c r="F2988" s="76">
        <v>47.849753999999997</v>
      </c>
      <c r="G2988" s="79">
        <v>1327700</v>
      </c>
    </row>
    <row r="2989" spans="1:7" x14ac:dyDescent="0.25">
      <c r="A2989" s="1" t="s">
        <v>3112</v>
      </c>
      <c r="B2989" s="76">
        <v>58.060471</v>
      </c>
      <c r="C2989" s="76">
        <v>58.126311999999999</v>
      </c>
      <c r="D2989" s="76">
        <v>56.706992999999997</v>
      </c>
      <c r="E2989" s="76">
        <v>56.919158999999901</v>
      </c>
      <c r="F2989" s="76">
        <v>46.545527999999997</v>
      </c>
      <c r="G2989" s="79">
        <v>1332600</v>
      </c>
    </row>
    <row r="2990" spans="1:7" x14ac:dyDescent="0.25">
      <c r="A2990" s="1" t="s">
        <v>3113</v>
      </c>
      <c r="B2990" s="76">
        <v>56.663097</v>
      </c>
      <c r="C2990" s="76">
        <v>57.877566999999999</v>
      </c>
      <c r="D2990" s="76">
        <v>56.385086000000001</v>
      </c>
      <c r="E2990" s="76">
        <v>57.497131000000003</v>
      </c>
      <c r="F2990" s="76">
        <v>47.018161999999997</v>
      </c>
      <c r="G2990" s="79">
        <v>1186000</v>
      </c>
    </row>
    <row r="2991" spans="1:7" x14ac:dyDescent="0.25">
      <c r="A2991" s="1" t="s">
        <v>3114</v>
      </c>
      <c r="B2991" s="76">
        <v>56.882579999999997</v>
      </c>
      <c r="C2991" s="76">
        <v>57.416652999999997</v>
      </c>
      <c r="D2991" s="76">
        <v>56.333874000000002</v>
      </c>
      <c r="E2991" s="76">
        <v>56.348503000000001</v>
      </c>
      <c r="F2991" s="76">
        <v>46.078876000000001</v>
      </c>
      <c r="G2991" s="79">
        <v>1885700</v>
      </c>
    </row>
    <row r="2992" spans="1:7" x14ac:dyDescent="0.25">
      <c r="A2992" s="1" t="s">
        <v>3115</v>
      </c>
      <c r="B2992" s="76">
        <v>56.187550000000002</v>
      </c>
      <c r="C2992" s="76">
        <v>56.589934999999997</v>
      </c>
      <c r="D2992" s="76">
        <v>54.877972</v>
      </c>
      <c r="E2992" s="76">
        <v>55.134032999999903</v>
      </c>
      <c r="F2992" s="76">
        <v>45.085738999999997</v>
      </c>
      <c r="G2992" s="79">
        <v>2028300</v>
      </c>
    </row>
    <row r="2993" spans="1:7" x14ac:dyDescent="0.25">
      <c r="A2993" s="1" t="s">
        <v>3116</v>
      </c>
      <c r="B2993" s="76">
        <v>55.572997999999998</v>
      </c>
      <c r="C2993" s="76">
        <v>55.748584999999999</v>
      </c>
      <c r="D2993" s="76">
        <v>54.578010999999996</v>
      </c>
      <c r="E2993" s="76">
        <v>55.404727999999999</v>
      </c>
      <c r="F2993" s="76">
        <v>45.307109999999902</v>
      </c>
      <c r="G2993" s="79">
        <v>1663300</v>
      </c>
    </row>
    <row r="2994" spans="1:7" x14ac:dyDescent="0.25">
      <c r="A2994" s="1" t="s">
        <v>3117</v>
      </c>
      <c r="B2994" s="76">
        <v>54.175624999999997</v>
      </c>
      <c r="C2994" s="76">
        <v>54.358528</v>
      </c>
      <c r="D2994" s="76">
        <v>53.495231999999902</v>
      </c>
      <c r="E2994" s="76">
        <v>53.590339999999998</v>
      </c>
      <c r="F2994" s="76">
        <v>43.823399000000002</v>
      </c>
      <c r="G2994" s="79">
        <v>1877100</v>
      </c>
    </row>
    <row r="2995" spans="1:7" x14ac:dyDescent="0.25">
      <c r="A2995" s="1" t="s">
        <v>3118</v>
      </c>
      <c r="B2995" s="76">
        <v>53.429386000000001</v>
      </c>
      <c r="C2995" s="76">
        <v>53.875667999999997</v>
      </c>
      <c r="D2995" s="76">
        <v>52.880679999999998</v>
      </c>
      <c r="E2995" s="76">
        <v>53.129424999999998</v>
      </c>
      <c r="F2995" s="76">
        <v>43.446475999999997</v>
      </c>
      <c r="G2995" s="79">
        <v>1419500</v>
      </c>
    </row>
    <row r="2996" spans="1:7" x14ac:dyDescent="0.25">
      <c r="A2996" s="1" t="s">
        <v>3119</v>
      </c>
      <c r="B2996" s="76">
        <v>52.573402000000002</v>
      </c>
      <c r="C2996" s="76">
        <v>52.719726999999999</v>
      </c>
      <c r="D2996" s="76">
        <v>51.351616</v>
      </c>
      <c r="E2996" s="76">
        <v>51.358932000000003</v>
      </c>
      <c r="F2996" s="76">
        <v>41.998665000000003</v>
      </c>
      <c r="G2996" s="79">
        <v>1603400</v>
      </c>
    </row>
    <row r="2997" spans="1:7" x14ac:dyDescent="0.25">
      <c r="A2997" s="1" t="s">
        <v>3120</v>
      </c>
      <c r="B2997" s="76">
        <v>51.388199</v>
      </c>
      <c r="C2997" s="76">
        <v>52.705092999999998</v>
      </c>
      <c r="D2997" s="76">
        <v>51.212612</v>
      </c>
      <c r="E2997" s="76">
        <v>51.746684999999999</v>
      </c>
      <c r="F2997" s="76">
        <v>42.315758000000002</v>
      </c>
      <c r="G2997" s="79">
        <v>748800</v>
      </c>
    </row>
    <row r="2998" spans="1:7" x14ac:dyDescent="0.25">
      <c r="A2998" s="1" t="s">
        <v>3121</v>
      </c>
      <c r="B2998" s="76">
        <v>53.524493999999997</v>
      </c>
      <c r="C2998" s="76">
        <v>53.634234999999997</v>
      </c>
      <c r="D2998" s="76">
        <v>52.288074000000002</v>
      </c>
      <c r="E2998" s="76">
        <v>52.705092999999998</v>
      </c>
      <c r="F2998" s="76">
        <v>43.099486999999897</v>
      </c>
      <c r="G2998" s="79">
        <v>2102200</v>
      </c>
    </row>
    <row r="2999" spans="1:7" x14ac:dyDescent="0.25">
      <c r="A2999" s="1" t="s">
        <v>3122</v>
      </c>
      <c r="B2999" s="76">
        <v>52.873362999999998</v>
      </c>
      <c r="C2999" s="76">
        <v>53.034317000000001</v>
      </c>
      <c r="D2999" s="76">
        <v>51.812531</v>
      </c>
      <c r="E2999" s="76">
        <v>52.017379999999903</v>
      </c>
      <c r="F2999" s="76">
        <v>42.537098</v>
      </c>
      <c r="G2999" s="79">
        <v>1755400</v>
      </c>
    </row>
    <row r="3000" spans="1:7" x14ac:dyDescent="0.25">
      <c r="A3000" s="1" t="s">
        <v>3123</v>
      </c>
      <c r="B3000" s="76">
        <v>53.773243000000001</v>
      </c>
      <c r="C3000" s="76">
        <v>54.578010999999996</v>
      </c>
      <c r="D3000" s="76">
        <v>53.224536999999998</v>
      </c>
      <c r="E3000" s="76">
        <v>54.4682689999999</v>
      </c>
      <c r="F3000" s="76">
        <v>44.541308999999998</v>
      </c>
      <c r="G3000" s="79">
        <v>2858500</v>
      </c>
    </row>
    <row r="3001" spans="1:7" x14ac:dyDescent="0.25">
      <c r="A3001" s="1" t="s">
        <v>3124</v>
      </c>
      <c r="B3001" s="76">
        <v>54.431690000000003</v>
      </c>
      <c r="C3001" s="76">
        <v>54.570693999999897</v>
      </c>
      <c r="D3001" s="76">
        <v>53.414752999999997</v>
      </c>
      <c r="E3001" s="76">
        <v>54.212207999999997</v>
      </c>
      <c r="F3001" s="76">
        <v>44.331927999999998</v>
      </c>
      <c r="G3001" s="79">
        <v>1527600</v>
      </c>
    </row>
    <row r="3002" spans="1:7" x14ac:dyDescent="0.25">
      <c r="A3002" s="1" t="s">
        <v>3125</v>
      </c>
      <c r="B3002" s="76">
        <v>54.724334999999897</v>
      </c>
      <c r="C3002" s="76">
        <v>54.951129999999999</v>
      </c>
      <c r="D3002" s="76">
        <v>54.000042000000001</v>
      </c>
      <c r="E3002" s="76">
        <v>54.139045999999901</v>
      </c>
      <c r="F3002" s="76">
        <v>44.272095</v>
      </c>
      <c r="G3002" s="79">
        <v>1741200</v>
      </c>
    </row>
    <row r="3003" spans="1:7" x14ac:dyDescent="0.25">
      <c r="A3003" s="1" t="s">
        <v>3126</v>
      </c>
      <c r="B3003" s="76">
        <v>54.907233999999903</v>
      </c>
      <c r="C3003" s="76">
        <v>55.024292000000003</v>
      </c>
      <c r="D3003" s="76">
        <v>54.095149999999997</v>
      </c>
      <c r="E3003" s="76">
        <v>54.475586</v>
      </c>
      <c r="F3003" s="76">
        <v>44.547290999999902</v>
      </c>
      <c r="G3003" s="79">
        <v>1563600</v>
      </c>
    </row>
    <row r="3004" spans="1:7" x14ac:dyDescent="0.25">
      <c r="A3004" s="1" t="s">
        <v>3127</v>
      </c>
      <c r="B3004" s="76">
        <v>54.4682689999999</v>
      </c>
      <c r="C3004" s="76">
        <v>54.702385</v>
      </c>
      <c r="D3004" s="76">
        <v>53.890301000000001</v>
      </c>
      <c r="E3004" s="76">
        <v>54.343894999999897</v>
      </c>
      <c r="F3004" s="76">
        <v>44.439616999999998</v>
      </c>
      <c r="G3004" s="79">
        <v>859600</v>
      </c>
    </row>
    <row r="3005" spans="1:7" x14ac:dyDescent="0.25">
      <c r="A3005" s="1" t="s">
        <v>3128</v>
      </c>
      <c r="B3005" s="76">
        <v>54.124412999999997</v>
      </c>
      <c r="C3005" s="76">
        <v>55.199879000000003</v>
      </c>
      <c r="D3005" s="76">
        <v>53.846401</v>
      </c>
      <c r="E3005" s="76">
        <v>55.053557999999903</v>
      </c>
      <c r="F3005" s="76">
        <v>45.019936000000001</v>
      </c>
      <c r="G3005" s="79">
        <v>1040400</v>
      </c>
    </row>
    <row r="3006" spans="1:7" x14ac:dyDescent="0.25">
      <c r="A3006" s="1" t="s">
        <v>3129</v>
      </c>
      <c r="B3006" s="76">
        <v>54.731646999999903</v>
      </c>
      <c r="C3006" s="76">
        <v>54.731646999999903</v>
      </c>
      <c r="D3006" s="76">
        <v>53.356223999999997</v>
      </c>
      <c r="E3006" s="76">
        <v>53.517178000000001</v>
      </c>
      <c r="F3006" s="76">
        <v>43.763565</v>
      </c>
      <c r="G3006" s="79">
        <v>1588800</v>
      </c>
    </row>
    <row r="3007" spans="1:7" x14ac:dyDescent="0.25">
      <c r="A3007" s="1" t="s">
        <v>3130</v>
      </c>
      <c r="B3007" s="76">
        <v>53.787872</v>
      </c>
      <c r="C3007" s="76">
        <v>54.687752000000003</v>
      </c>
      <c r="D3007" s="76">
        <v>53.392806999999998</v>
      </c>
      <c r="E3007" s="76">
        <v>54.453635999999896</v>
      </c>
      <c r="F3007" s="76">
        <v>44.529353999999998</v>
      </c>
      <c r="G3007" s="79">
        <v>1929700</v>
      </c>
    </row>
    <row r="3008" spans="1:7" x14ac:dyDescent="0.25">
      <c r="A3008" s="1" t="s">
        <v>3131</v>
      </c>
      <c r="B3008" s="76">
        <v>53.912247000000001</v>
      </c>
      <c r="C3008" s="76">
        <v>53.956142</v>
      </c>
      <c r="D3008" s="76">
        <v>52.566085999999999</v>
      </c>
      <c r="E3008" s="76">
        <v>52.924576000000002</v>
      </c>
      <c r="F3008" s="76">
        <v>43.278960999999903</v>
      </c>
      <c r="G3008" s="79">
        <v>1692800</v>
      </c>
    </row>
    <row r="3009" spans="1:7" x14ac:dyDescent="0.25">
      <c r="A3009" s="1" t="s">
        <v>3132</v>
      </c>
      <c r="B3009" s="76">
        <v>53.290379000000001</v>
      </c>
      <c r="C3009" s="76">
        <v>53.685448000000001</v>
      </c>
      <c r="D3009" s="76">
        <v>52.141753999999999</v>
      </c>
      <c r="E3009" s="76">
        <v>52.566085999999999</v>
      </c>
      <c r="F3009" s="76">
        <v>42.985805999999997</v>
      </c>
      <c r="G3009" s="79">
        <v>1621600</v>
      </c>
    </row>
    <row r="3010" spans="1:7" x14ac:dyDescent="0.25">
      <c r="A3010" s="1" t="s">
        <v>3133</v>
      </c>
      <c r="B3010" s="76">
        <v>52.149070999999999</v>
      </c>
      <c r="C3010" s="76">
        <v>53.268432999999902</v>
      </c>
      <c r="D3010" s="76">
        <v>52.083224999999999</v>
      </c>
      <c r="E3010" s="76">
        <v>52.961154999999998</v>
      </c>
      <c r="F3010" s="76">
        <v>43.308871999999901</v>
      </c>
      <c r="G3010" s="79">
        <v>1600400</v>
      </c>
    </row>
    <row r="3011" spans="1:7" x14ac:dyDescent="0.25">
      <c r="A3011" s="1" t="s">
        <v>3134</v>
      </c>
      <c r="B3011" s="76">
        <v>53.634234999999997</v>
      </c>
      <c r="C3011" s="76">
        <v>54.102466999999997</v>
      </c>
      <c r="D3011" s="76">
        <v>53.246482999999998</v>
      </c>
      <c r="E3011" s="76">
        <v>53.773243000000001</v>
      </c>
      <c r="F3011" s="76">
        <v>43.972965000000002</v>
      </c>
      <c r="G3011" s="79">
        <v>1584200</v>
      </c>
    </row>
    <row r="3012" spans="1:7" x14ac:dyDescent="0.25">
      <c r="A3012" s="1" t="s">
        <v>3135</v>
      </c>
      <c r="B3012" s="76">
        <v>54.102466999999997</v>
      </c>
      <c r="C3012" s="76">
        <v>54.819443</v>
      </c>
      <c r="D3012" s="76">
        <v>53.956142</v>
      </c>
      <c r="E3012" s="76">
        <v>54.307316</v>
      </c>
      <c r="F3012" s="76">
        <v>44.409690999999903</v>
      </c>
      <c r="G3012" s="79">
        <v>2259900</v>
      </c>
    </row>
    <row r="3013" spans="1:7" x14ac:dyDescent="0.25">
      <c r="A3013" s="1" t="s">
        <v>3136</v>
      </c>
      <c r="B3013" s="76">
        <v>54.307316</v>
      </c>
      <c r="C3013" s="76">
        <v>54.431690000000003</v>
      </c>
      <c r="D3013" s="76">
        <v>53.370856999999901</v>
      </c>
      <c r="E3013" s="76">
        <v>53.480598000000001</v>
      </c>
      <c r="F3013" s="76">
        <v>43.733646</v>
      </c>
      <c r="G3013" s="79">
        <v>1023200</v>
      </c>
    </row>
    <row r="3014" spans="1:7" x14ac:dyDescent="0.25">
      <c r="A3014" s="1" t="s">
        <v>3137</v>
      </c>
      <c r="B3014" s="76">
        <v>54.439006999999997</v>
      </c>
      <c r="C3014" s="76">
        <v>56.121704000000001</v>
      </c>
      <c r="D3014" s="76">
        <v>54.299999</v>
      </c>
      <c r="E3014" s="76">
        <v>55.975383999999998</v>
      </c>
      <c r="F3014" s="76">
        <v>45.773761999999998</v>
      </c>
      <c r="G3014" s="79">
        <v>1842500</v>
      </c>
    </row>
    <row r="3015" spans="1:7" x14ac:dyDescent="0.25">
      <c r="A3015" s="1" t="s">
        <v>3138</v>
      </c>
      <c r="B3015" s="76">
        <v>55.741267999999998</v>
      </c>
      <c r="C3015" s="76">
        <v>55.821746999999903</v>
      </c>
      <c r="D3015" s="76">
        <v>55.060875000000003</v>
      </c>
      <c r="E3015" s="76">
        <v>55.624209999999998</v>
      </c>
      <c r="F3015" s="76">
        <v>45.486587999999998</v>
      </c>
      <c r="G3015" s="79">
        <v>981200</v>
      </c>
    </row>
    <row r="3016" spans="1:7" x14ac:dyDescent="0.25">
      <c r="A3016" s="1" t="s">
        <v>3139</v>
      </c>
      <c r="B3016" s="76">
        <v>55.668109999999999</v>
      </c>
      <c r="C3016" s="76">
        <v>56.582618999999902</v>
      </c>
      <c r="D3016" s="76">
        <v>55.616897999999999</v>
      </c>
      <c r="E3016" s="76">
        <v>56.289974000000001</v>
      </c>
      <c r="F3016" s="76">
        <v>46.031005999999998</v>
      </c>
      <c r="G3016" s="79">
        <v>1189300</v>
      </c>
    </row>
    <row r="3017" spans="1:7" x14ac:dyDescent="0.25">
      <c r="A3017" s="1" t="s">
        <v>3140</v>
      </c>
      <c r="B3017" s="76">
        <v>56.428981999999998</v>
      </c>
      <c r="C3017" s="76">
        <v>56.597251999999997</v>
      </c>
      <c r="D3017" s="76">
        <v>55.814430000000002</v>
      </c>
      <c r="E3017" s="76">
        <v>56.407031999999901</v>
      </c>
      <c r="F3017" s="76">
        <v>46.126739999999998</v>
      </c>
      <c r="G3017" s="79">
        <v>725600</v>
      </c>
    </row>
    <row r="3018" spans="1:7" x14ac:dyDescent="0.25">
      <c r="A3018" s="1" t="s">
        <v>3141</v>
      </c>
      <c r="B3018" s="76">
        <v>56.289974000000001</v>
      </c>
      <c r="C3018" s="76">
        <v>56.706992999999997</v>
      </c>
      <c r="D3018" s="76">
        <v>55.851008999999998</v>
      </c>
      <c r="E3018" s="76">
        <v>56.289974000000001</v>
      </c>
      <c r="F3018" s="76">
        <v>46.031005999999998</v>
      </c>
      <c r="G3018" s="79">
        <v>801600</v>
      </c>
    </row>
    <row r="3019" spans="1:7" x14ac:dyDescent="0.25">
      <c r="A3019" s="1" t="s">
        <v>3142</v>
      </c>
      <c r="B3019" s="76">
        <v>56.209499000000001</v>
      </c>
      <c r="C3019" s="76">
        <v>56.333874000000002</v>
      </c>
      <c r="D3019" s="76">
        <v>55.368149000000003</v>
      </c>
      <c r="E3019" s="76">
        <v>55.463256999999899</v>
      </c>
      <c r="F3019" s="76">
        <v>45.354968999999997</v>
      </c>
      <c r="G3019" s="79">
        <v>1005400</v>
      </c>
    </row>
    <row r="3020" spans="1:7" x14ac:dyDescent="0.25">
      <c r="A3020" s="1" t="s">
        <v>3143</v>
      </c>
      <c r="B3020" s="76">
        <v>55.485206999999903</v>
      </c>
      <c r="C3020" s="76">
        <v>56.363135999999997</v>
      </c>
      <c r="D3020" s="76">
        <v>55.375464999999998</v>
      </c>
      <c r="E3020" s="76">
        <v>56.275344999999902</v>
      </c>
      <c r="F3020" s="76">
        <v>46.019050999999997</v>
      </c>
      <c r="G3020" s="79">
        <v>893000</v>
      </c>
    </row>
    <row r="3021" spans="1:7" x14ac:dyDescent="0.25">
      <c r="A3021" s="1" t="s">
        <v>3144</v>
      </c>
      <c r="B3021" s="76">
        <v>56.428981999999998</v>
      </c>
      <c r="C3021" s="76">
        <v>56.743572</v>
      </c>
      <c r="D3021" s="76">
        <v>55.982700000000001</v>
      </c>
      <c r="E3021" s="76">
        <v>56.231444999999901</v>
      </c>
      <c r="F3021" s="76">
        <v>45.983153999999999</v>
      </c>
      <c r="G3021" s="79">
        <v>1184600</v>
      </c>
    </row>
    <row r="3022" spans="1:7" x14ac:dyDescent="0.25">
      <c r="A3022" s="1" t="s">
        <v>3145</v>
      </c>
      <c r="B3022" s="76">
        <v>57.431286</v>
      </c>
      <c r="C3022" s="76">
        <v>58.126311999999999</v>
      </c>
      <c r="D3022" s="76">
        <v>56.311923999999998</v>
      </c>
      <c r="E3022" s="76">
        <v>56.728943000000001</v>
      </c>
      <c r="F3022" s="76">
        <v>46.389980000000001</v>
      </c>
      <c r="G3022" s="79">
        <v>1831500</v>
      </c>
    </row>
    <row r="3023" spans="1:7" x14ac:dyDescent="0.25">
      <c r="A3023" s="1" t="s">
        <v>3146</v>
      </c>
      <c r="B3023" s="76">
        <v>56.289974000000001</v>
      </c>
      <c r="C3023" s="76">
        <v>56.663097</v>
      </c>
      <c r="D3023" s="76">
        <v>55.404727999999999</v>
      </c>
      <c r="E3023" s="76">
        <v>55.433993999999899</v>
      </c>
      <c r="F3023" s="76">
        <v>45.331038999999997</v>
      </c>
      <c r="G3023" s="79">
        <v>1667700</v>
      </c>
    </row>
    <row r="3024" spans="1:7" x14ac:dyDescent="0.25">
      <c r="A3024" s="1" t="s">
        <v>3147</v>
      </c>
      <c r="B3024" s="76">
        <v>55.185245999999999</v>
      </c>
      <c r="C3024" s="76">
        <v>56.238762000000001</v>
      </c>
      <c r="D3024" s="76">
        <v>54.995029000000002</v>
      </c>
      <c r="E3024" s="76">
        <v>56.202182999999998</v>
      </c>
      <c r="F3024" s="76">
        <v>45.959212999999998</v>
      </c>
      <c r="G3024" s="79">
        <v>1572500</v>
      </c>
    </row>
    <row r="3025" spans="1:7" x14ac:dyDescent="0.25">
      <c r="A3025" s="1" t="s">
        <v>3148</v>
      </c>
      <c r="B3025" s="76">
        <v>56.216816000000001</v>
      </c>
      <c r="C3025" s="76">
        <v>56.619197999999997</v>
      </c>
      <c r="D3025" s="76">
        <v>55.872958999999902</v>
      </c>
      <c r="E3025" s="76">
        <v>56.289974000000001</v>
      </c>
      <c r="F3025" s="76">
        <v>46.031005999999998</v>
      </c>
      <c r="G3025" s="79">
        <v>1507700</v>
      </c>
    </row>
    <row r="3026" spans="1:7" x14ac:dyDescent="0.25">
      <c r="A3026" s="1" t="s">
        <v>3149</v>
      </c>
      <c r="B3026" s="76">
        <v>56.480193999999997</v>
      </c>
      <c r="C3026" s="76">
        <v>56.648463999999997</v>
      </c>
      <c r="D3026" s="76">
        <v>56.129020999999902</v>
      </c>
      <c r="E3026" s="76">
        <v>56.524090000000001</v>
      </c>
      <c r="F3026" s="76">
        <v>46.222465999999997</v>
      </c>
      <c r="G3026" s="79">
        <v>1095500</v>
      </c>
    </row>
    <row r="3027" spans="1:7" x14ac:dyDescent="0.25">
      <c r="A3027" s="1" t="s">
        <v>3150</v>
      </c>
      <c r="B3027" s="76">
        <v>57.0289</v>
      </c>
      <c r="C3027" s="76">
        <v>57.848300999999999</v>
      </c>
      <c r="D3027" s="76">
        <v>56.999637999999997</v>
      </c>
      <c r="E3027" s="76">
        <v>57.438602000000003</v>
      </c>
      <c r="F3027" s="76">
        <v>46.970306000000001</v>
      </c>
      <c r="G3027" s="79">
        <v>1750700</v>
      </c>
    </row>
    <row r="3028" spans="1:7" x14ac:dyDescent="0.25">
      <c r="A3028" s="1" t="s">
        <v>3151</v>
      </c>
      <c r="B3028" s="76">
        <v>57.321544999999901</v>
      </c>
      <c r="C3028" s="76">
        <v>58.155579000000003</v>
      </c>
      <c r="D3028" s="76">
        <v>57.0289</v>
      </c>
      <c r="E3028" s="76">
        <v>58.067782999999999</v>
      </c>
      <c r="F3028" s="76">
        <v>47.484809999999896</v>
      </c>
      <c r="G3028" s="79">
        <v>1038200</v>
      </c>
    </row>
    <row r="3029" spans="1:7" x14ac:dyDescent="0.25">
      <c r="A3029" s="1" t="s">
        <v>3152</v>
      </c>
      <c r="B3029" s="76">
        <v>57.789771999999999</v>
      </c>
      <c r="C3029" s="76">
        <v>58.236052999999998</v>
      </c>
      <c r="D3029" s="76">
        <v>57.175219999999896</v>
      </c>
      <c r="E3029" s="76">
        <v>57.672718000000003</v>
      </c>
      <c r="F3029" s="76">
        <v>47.161751000000002</v>
      </c>
      <c r="G3029" s="79">
        <v>1462400</v>
      </c>
    </row>
    <row r="3030" spans="1:7" x14ac:dyDescent="0.25">
      <c r="A3030" s="1" t="s">
        <v>3153</v>
      </c>
      <c r="B3030" s="76">
        <v>57.065479000000003</v>
      </c>
      <c r="C3030" s="76">
        <v>58.323848999999903</v>
      </c>
      <c r="D3030" s="76">
        <v>56.560673000000001</v>
      </c>
      <c r="E3030" s="76">
        <v>58.045836999999999</v>
      </c>
      <c r="F3030" s="76">
        <v>47.466873</v>
      </c>
      <c r="G3030" s="79">
        <v>1670900</v>
      </c>
    </row>
    <row r="3031" spans="1:7" x14ac:dyDescent="0.25">
      <c r="A3031" s="1" t="s">
        <v>3154</v>
      </c>
      <c r="B3031" s="76">
        <v>58.784762999999998</v>
      </c>
      <c r="C3031" s="76">
        <v>59.260306999999997</v>
      </c>
      <c r="D3031" s="76">
        <v>57.658085</v>
      </c>
      <c r="E3031" s="76">
        <v>57.73856</v>
      </c>
      <c r="F3031" s="76">
        <v>47.215590999999897</v>
      </c>
      <c r="G3031" s="79">
        <v>1471200</v>
      </c>
    </row>
    <row r="3032" spans="1:7" x14ac:dyDescent="0.25">
      <c r="A3032" s="1" t="s">
        <v>3155</v>
      </c>
      <c r="B3032" s="76">
        <v>57.562976999999997</v>
      </c>
      <c r="C3032" s="76">
        <v>58.565277000000002</v>
      </c>
      <c r="D3032" s="76">
        <v>57.562976999999997</v>
      </c>
      <c r="E3032" s="76">
        <v>58.557963999999998</v>
      </c>
      <c r="F3032" s="76">
        <v>47.885653999999903</v>
      </c>
      <c r="G3032" s="79">
        <v>1107000</v>
      </c>
    </row>
    <row r="3033" spans="1:7" x14ac:dyDescent="0.25">
      <c r="A3033" s="1" t="s">
        <v>3156</v>
      </c>
      <c r="B3033" s="76">
        <v>58.675018000000001</v>
      </c>
      <c r="C3033" s="76">
        <v>58.887188000000002</v>
      </c>
      <c r="D3033" s="76">
        <v>58.162894999999899</v>
      </c>
      <c r="E3033" s="76">
        <v>58.587226999999999</v>
      </c>
      <c r="F3033" s="76">
        <v>47.909587999999999</v>
      </c>
      <c r="G3033" s="79">
        <v>983900</v>
      </c>
    </row>
    <row r="3034" spans="1:7" x14ac:dyDescent="0.25">
      <c r="A3034" s="1" t="s">
        <v>3157</v>
      </c>
      <c r="B3034" s="76">
        <v>58.609177000000003</v>
      </c>
      <c r="C3034" s="76">
        <v>58.974978999999998</v>
      </c>
      <c r="D3034" s="76">
        <v>58.199474000000002</v>
      </c>
      <c r="E3034" s="76">
        <v>58.887188000000002</v>
      </c>
      <c r="F3034" s="76">
        <v>48.154876999999999</v>
      </c>
      <c r="G3034" s="79">
        <v>1532300</v>
      </c>
    </row>
    <row r="3035" spans="1:7" x14ac:dyDescent="0.25">
      <c r="A3035" s="1" t="s">
        <v>3158</v>
      </c>
      <c r="B3035" s="76">
        <v>58.821342000000001</v>
      </c>
      <c r="C3035" s="76">
        <v>59.231040999999998</v>
      </c>
      <c r="D3035" s="76">
        <v>58.572593999999903</v>
      </c>
      <c r="E3035" s="76">
        <v>59.026192000000002</v>
      </c>
      <c r="F3035" s="76">
        <v>48.268546999999998</v>
      </c>
      <c r="G3035" s="79">
        <v>1022800</v>
      </c>
    </row>
    <row r="3036" spans="1:7" x14ac:dyDescent="0.25">
      <c r="A3036" s="1" t="s">
        <v>3159</v>
      </c>
      <c r="B3036" s="76">
        <v>58.748179999999998</v>
      </c>
      <c r="C3036" s="76">
        <v>59.677321999999997</v>
      </c>
      <c r="D3036" s="76">
        <v>58.675018000000001</v>
      </c>
      <c r="E3036" s="76">
        <v>59.633426999999998</v>
      </c>
      <c r="F3036" s="76">
        <v>48.765106000000003</v>
      </c>
      <c r="G3036" s="79">
        <v>981400</v>
      </c>
    </row>
    <row r="3037" spans="1:7" x14ac:dyDescent="0.25">
      <c r="A3037" s="1" t="s">
        <v>3160</v>
      </c>
      <c r="B3037" s="76">
        <v>59.406627999999998</v>
      </c>
      <c r="C3037" s="76">
        <v>60.116290999999997</v>
      </c>
      <c r="D3037" s="76">
        <v>59.018875000000001</v>
      </c>
      <c r="E3037" s="76">
        <v>60.021178999999997</v>
      </c>
      <c r="F3037" s="76">
        <v>49.082194999999999</v>
      </c>
      <c r="G3037" s="79">
        <v>1201600</v>
      </c>
    </row>
    <row r="3038" spans="1:7" x14ac:dyDescent="0.25">
      <c r="A3038" s="1" t="s">
        <v>3161</v>
      </c>
      <c r="B3038" s="76">
        <v>59.509051999999997</v>
      </c>
      <c r="C3038" s="76">
        <v>60.343086</v>
      </c>
      <c r="D3038" s="76">
        <v>59.282256999999902</v>
      </c>
      <c r="E3038" s="76">
        <v>59.362731999999902</v>
      </c>
      <c r="F3038" s="76">
        <v>48.955489999999998</v>
      </c>
      <c r="G3038" s="79">
        <v>2105700</v>
      </c>
    </row>
    <row r="3039" spans="1:7" x14ac:dyDescent="0.25">
      <c r="A3039" s="1" t="s">
        <v>3162</v>
      </c>
      <c r="B3039" s="76">
        <v>59.231040999999998</v>
      </c>
      <c r="C3039" s="76">
        <v>59.560268000000001</v>
      </c>
      <c r="D3039" s="76">
        <v>58.828658999999902</v>
      </c>
      <c r="E3039" s="76">
        <v>59.274940000000001</v>
      </c>
      <c r="F3039" s="76">
        <v>48.883099000000001</v>
      </c>
      <c r="G3039" s="79">
        <v>1320700</v>
      </c>
    </row>
    <row r="3040" spans="1:7" x14ac:dyDescent="0.25">
      <c r="A3040" s="1" t="s">
        <v>3163</v>
      </c>
      <c r="B3040" s="76">
        <v>58.631122999999903</v>
      </c>
      <c r="C3040" s="76">
        <v>58.762813999999999</v>
      </c>
      <c r="D3040" s="76">
        <v>58.192157999999999</v>
      </c>
      <c r="E3040" s="76">
        <v>58.389693999999899</v>
      </c>
      <c r="F3040" s="76">
        <v>48.153053</v>
      </c>
      <c r="G3040" s="79">
        <v>1227700</v>
      </c>
    </row>
    <row r="3041" spans="1:7" x14ac:dyDescent="0.25">
      <c r="A3041" s="1" t="s">
        <v>3164</v>
      </c>
      <c r="B3041" s="76">
        <v>58.682334999999902</v>
      </c>
      <c r="C3041" s="76">
        <v>59.282256999999902</v>
      </c>
      <c r="D3041" s="76">
        <v>58.499434999999998</v>
      </c>
      <c r="E3041" s="76">
        <v>59.172516000000002</v>
      </c>
      <c r="F3041" s="76">
        <v>48.798625999999999</v>
      </c>
      <c r="G3041" s="79">
        <v>1976100</v>
      </c>
    </row>
    <row r="3042" spans="1:7" x14ac:dyDescent="0.25">
      <c r="A3042" s="1" t="s">
        <v>3165</v>
      </c>
      <c r="B3042" s="76">
        <v>59.523685</v>
      </c>
      <c r="C3042" s="76">
        <v>60.218716000000001</v>
      </c>
      <c r="D3042" s="76">
        <v>59.399310999999997</v>
      </c>
      <c r="E3042" s="76">
        <v>60.2040819999999</v>
      </c>
      <c r="F3042" s="76">
        <v>49.649334000000003</v>
      </c>
      <c r="G3042" s="79">
        <v>1762000</v>
      </c>
    </row>
    <row r="3043" spans="1:7" x14ac:dyDescent="0.25">
      <c r="A3043" s="1" t="s">
        <v>3166</v>
      </c>
      <c r="B3043" s="76">
        <v>60.291874</v>
      </c>
      <c r="C3043" s="76">
        <v>61.264915000000002</v>
      </c>
      <c r="D3043" s="76">
        <v>60.182132999999901</v>
      </c>
      <c r="E3043" s="76">
        <v>61.1478579999999</v>
      </c>
      <c r="F3043" s="76">
        <v>50.427658000000001</v>
      </c>
      <c r="G3043" s="79">
        <v>2303800</v>
      </c>
    </row>
    <row r="3044" spans="1:7" x14ac:dyDescent="0.25">
      <c r="A3044" s="1" t="s">
        <v>3167</v>
      </c>
      <c r="B3044" s="76">
        <v>61.755093000000002</v>
      </c>
      <c r="C3044" s="76">
        <v>62.925666999999997</v>
      </c>
      <c r="D3044" s="76">
        <v>61.411235999999903</v>
      </c>
      <c r="E3044" s="76">
        <v>62.925666999999997</v>
      </c>
      <c r="F3044" s="76">
        <v>51.893786999999897</v>
      </c>
      <c r="G3044" s="79">
        <v>2649700</v>
      </c>
    </row>
    <row r="3045" spans="1:7" x14ac:dyDescent="0.25">
      <c r="A3045" s="1" t="s">
        <v>3168</v>
      </c>
      <c r="B3045" s="76">
        <v>62.728133999999997</v>
      </c>
      <c r="C3045" s="76">
        <v>62.998829000000001</v>
      </c>
      <c r="D3045" s="76">
        <v>62.128211999999998</v>
      </c>
      <c r="E3045" s="76">
        <v>62.918349999999997</v>
      </c>
      <c r="F3045" s="76">
        <v>51.887752999999996</v>
      </c>
      <c r="G3045" s="79">
        <v>1808100</v>
      </c>
    </row>
    <row r="3046" spans="1:7" x14ac:dyDescent="0.25">
      <c r="A3046" s="1" t="s">
        <v>3169</v>
      </c>
      <c r="B3046" s="76">
        <v>62.625706000000001</v>
      </c>
      <c r="C3046" s="76">
        <v>63.071987</v>
      </c>
      <c r="D3046" s="76">
        <v>62.435490000000001</v>
      </c>
      <c r="E3046" s="76">
        <v>62.750079999999997</v>
      </c>
      <c r="F3046" s="76">
        <v>51.748981000000001</v>
      </c>
      <c r="G3046" s="79">
        <v>1253100</v>
      </c>
    </row>
    <row r="3047" spans="1:7" x14ac:dyDescent="0.25">
      <c r="A3047" s="1" t="s">
        <v>3170</v>
      </c>
      <c r="B3047" s="76">
        <v>62.918349999999997</v>
      </c>
      <c r="C3047" s="76">
        <v>62.998829000000001</v>
      </c>
      <c r="D3047" s="76">
        <v>62.003841000000001</v>
      </c>
      <c r="E3047" s="76">
        <v>62.720818000000001</v>
      </c>
      <c r="F3047" s="76">
        <v>51.724850000000004</v>
      </c>
      <c r="G3047" s="79">
        <v>993700</v>
      </c>
    </row>
    <row r="3048" spans="1:7" x14ac:dyDescent="0.25">
      <c r="A3048" s="1" t="s">
        <v>3171</v>
      </c>
      <c r="B3048" s="76">
        <v>62.742764000000001</v>
      </c>
      <c r="C3048" s="76">
        <v>62.867137999999997</v>
      </c>
      <c r="D3048" s="76">
        <v>61.601455999999999</v>
      </c>
      <c r="E3048" s="76">
        <v>61.638034999999903</v>
      </c>
      <c r="F3048" s="76">
        <v>50.831904999999999</v>
      </c>
      <c r="G3048" s="79">
        <v>2087300</v>
      </c>
    </row>
    <row r="3049" spans="1:7" x14ac:dyDescent="0.25">
      <c r="A3049" s="1" t="s">
        <v>3172</v>
      </c>
      <c r="B3049" s="76">
        <v>61.184437000000003</v>
      </c>
      <c r="C3049" s="76">
        <v>61.630718000000002</v>
      </c>
      <c r="D3049" s="76">
        <v>61.016167000000003</v>
      </c>
      <c r="E3049" s="76">
        <v>61.162491000000003</v>
      </c>
      <c r="F3049" s="76">
        <v>50.439728000000002</v>
      </c>
      <c r="G3049" s="79">
        <v>1361600</v>
      </c>
    </row>
    <row r="3050" spans="1:7" x14ac:dyDescent="0.25">
      <c r="A3050" s="1" t="s">
        <v>3173</v>
      </c>
      <c r="B3050" s="76">
        <v>61.791671999999998</v>
      </c>
      <c r="C3050" s="76">
        <v>62.252586000000001</v>
      </c>
      <c r="D3050" s="76">
        <v>61.659984999999999</v>
      </c>
      <c r="E3050" s="76">
        <v>62.084316000000001</v>
      </c>
      <c r="F3050" s="76">
        <v>51.199928</v>
      </c>
      <c r="G3050" s="79">
        <v>1428000</v>
      </c>
    </row>
    <row r="3051" spans="1:7" x14ac:dyDescent="0.25">
      <c r="A3051" s="1" t="s">
        <v>3174</v>
      </c>
      <c r="B3051" s="76">
        <v>62.040420999999903</v>
      </c>
      <c r="C3051" s="76">
        <v>62.040420999999903</v>
      </c>
      <c r="D3051" s="76">
        <v>60.964953999999999</v>
      </c>
      <c r="E3051" s="76">
        <v>61.264915000000002</v>
      </c>
      <c r="F3051" s="76">
        <v>50.524192999999997</v>
      </c>
      <c r="G3051" s="79">
        <v>1346700</v>
      </c>
    </row>
    <row r="3052" spans="1:7" x14ac:dyDescent="0.25">
      <c r="A3052" s="1" t="s">
        <v>3175</v>
      </c>
      <c r="B3052" s="76">
        <v>61.469765000000002</v>
      </c>
      <c r="C3052" s="76">
        <v>61.835570999999902</v>
      </c>
      <c r="D3052" s="76">
        <v>60.906424999999999</v>
      </c>
      <c r="E3052" s="76">
        <v>61.316127999999999</v>
      </c>
      <c r="F3052" s="76">
        <v>50.566437000000001</v>
      </c>
      <c r="G3052" s="79">
        <v>1148700</v>
      </c>
    </row>
    <row r="3053" spans="1:7" x14ac:dyDescent="0.25">
      <c r="A3053" s="1" t="s">
        <v>3176</v>
      </c>
      <c r="B3053" s="76">
        <v>61.608771999999902</v>
      </c>
      <c r="C3053" s="76">
        <v>62.603760000000001</v>
      </c>
      <c r="D3053" s="76">
        <v>61.323443999999903</v>
      </c>
      <c r="E3053" s="76">
        <v>62.325747999999997</v>
      </c>
      <c r="F3053" s="76">
        <v>51.399048000000001</v>
      </c>
      <c r="G3053" s="79">
        <v>1395700</v>
      </c>
    </row>
    <row r="3054" spans="1:7" x14ac:dyDescent="0.25">
      <c r="A3054" s="1" t="s">
        <v>3177</v>
      </c>
      <c r="B3054" s="76">
        <v>62.435490000000001</v>
      </c>
      <c r="C3054" s="76">
        <v>62.537914000000001</v>
      </c>
      <c r="D3054" s="76">
        <v>61.681930999999999</v>
      </c>
      <c r="E3054" s="76">
        <v>62.113582999999998</v>
      </c>
      <c r="F3054" s="76">
        <v>51.224074999999999</v>
      </c>
      <c r="G3054" s="79">
        <v>1441700</v>
      </c>
    </row>
    <row r="3055" spans="1:7" x14ac:dyDescent="0.25">
      <c r="A3055" s="1" t="s">
        <v>3178</v>
      </c>
      <c r="B3055" s="76">
        <v>62.281852999999998</v>
      </c>
      <c r="C3055" s="76">
        <v>62.296481999999997</v>
      </c>
      <c r="D3055" s="76">
        <v>61.447818999999903</v>
      </c>
      <c r="E3055" s="76">
        <v>61.733142999999998</v>
      </c>
      <c r="F3055" s="76">
        <v>50.910336000000001</v>
      </c>
      <c r="G3055" s="79">
        <v>1228500</v>
      </c>
    </row>
    <row r="3056" spans="1:7" x14ac:dyDescent="0.25">
      <c r="A3056" s="1" t="s">
        <v>3179</v>
      </c>
      <c r="B3056" s="76">
        <v>61.718513000000002</v>
      </c>
      <c r="C3056" s="76">
        <v>61.908729999999998</v>
      </c>
      <c r="D3056" s="76">
        <v>61.111279000000003</v>
      </c>
      <c r="E3056" s="76">
        <v>61.257598999999999</v>
      </c>
      <c r="F3056" s="76">
        <v>50.518161999999997</v>
      </c>
      <c r="G3056" s="79">
        <v>1192500</v>
      </c>
    </row>
    <row r="3057" spans="1:7" x14ac:dyDescent="0.25">
      <c r="A3057" s="1" t="s">
        <v>3180</v>
      </c>
      <c r="B3057" s="76">
        <v>61.111279000000003</v>
      </c>
      <c r="C3057" s="76">
        <v>61.857517000000001</v>
      </c>
      <c r="D3057" s="76">
        <v>60.825951000000003</v>
      </c>
      <c r="E3057" s="76">
        <v>61.850200999999998</v>
      </c>
      <c r="F3057" s="76">
        <v>51.006863000000003</v>
      </c>
      <c r="G3057" s="79">
        <v>1138200</v>
      </c>
    </row>
    <row r="3058" spans="1:7" x14ac:dyDescent="0.25">
      <c r="A3058" s="1" t="s">
        <v>3181</v>
      </c>
      <c r="B3058" s="76">
        <v>62.003841000000001</v>
      </c>
      <c r="C3058" s="76">
        <v>62.003841000000001</v>
      </c>
      <c r="D3058" s="76">
        <v>61.316127999999999</v>
      </c>
      <c r="E3058" s="76">
        <v>61.989207999999998</v>
      </c>
      <c r="F3058" s="76">
        <v>51.121510000000001</v>
      </c>
      <c r="G3058" s="79">
        <v>1241600</v>
      </c>
    </row>
    <row r="3059" spans="1:7" x14ac:dyDescent="0.25">
      <c r="A3059" s="1" t="s">
        <v>3182</v>
      </c>
      <c r="B3059" s="76">
        <v>61.681930999999999</v>
      </c>
      <c r="C3059" s="76">
        <v>61.820937999999998</v>
      </c>
      <c r="D3059" s="76">
        <v>61.155174000000002</v>
      </c>
      <c r="E3059" s="76">
        <v>61.608771999999902</v>
      </c>
      <c r="F3059" s="76">
        <v>50.807766000000001</v>
      </c>
      <c r="G3059" s="79">
        <v>972000</v>
      </c>
    </row>
    <row r="3060" spans="1:7" x14ac:dyDescent="0.25">
      <c r="A3060" s="1" t="s">
        <v>3183</v>
      </c>
      <c r="B3060" s="76">
        <v>61.601455999999999</v>
      </c>
      <c r="C3060" s="76">
        <v>61.601455999999999</v>
      </c>
      <c r="D3060" s="76">
        <v>60.101657999999901</v>
      </c>
      <c r="E3060" s="76">
        <v>60.2040819999999</v>
      </c>
      <c r="F3060" s="76">
        <v>49.649334000000003</v>
      </c>
      <c r="G3060" s="79">
        <v>2102400</v>
      </c>
    </row>
    <row r="3061" spans="1:7" x14ac:dyDescent="0.25">
      <c r="A3061" s="1" t="s">
        <v>3184</v>
      </c>
      <c r="B3061" s="76">
        <v>60.218716000000001</v>
      </c>
      <c r="C3061" s="76">
        <v>60.430881999999997</v>
      </c>
      <c r="D3061" s="76">
        <v>59.457839999999997</v>
      </c>
      <c r="E3061" s="76">
        <v>59.794379999999997</v>
      </c>
      <c r="F3061" s="76">
        <v>49.31147</v>
      </c>
      <c r="G3061" s="79">
        <v>2313200</v>
      </c>
    </row>
    <row r="3062" spans="1:7" x14ac:dyDescent="0.25">
      <c r="A3062" s="1" t="s">
        <v>3185</v>
      </c>
      <c r="B3062" s="76">
        <v>59.860225999999997</v>
      </c>
      <c r="C3062" s="76">
        <v>60.584518000000003</v>
      </c>
      <c r="D3062" s="76">
        <v>59.699272000000001</v>
      </c>
      <c r="E3062" s="76">
        <v>59.860225999999997</v>
      </c>
      <c r="F3062" s="76">
        <v>49.365768000000003</v>
      </c>
      <c r="G3062" s="79">
        <v>1588300</v>
      </c>
    </row>
    <row r="3063" spans="1:7" x14ac:dyDescent="0.25">
      <c r="A3063" s="1" t="s">
        <v>3186</v>
      </c>
      <c r="B3063" s="76">
        <v>59.926070999999901</v>
      </c>
      <c r="C3063" s="76">
        <v>60.094341</v>
      </c>
      <c r="D3063" s="76">
        <v>59.655375999999997</v>
      </c>
      <c r="E3063" s="76">
        <v>59.852908999999997</v>
      </c>
      <c r="F3063" s="76">
        <v>49.359729999999999</v>
      </c>
      <c r="G3063" s="79">
        <v>1217600</v>
      </c>
    </row>
    <row r="3064" spans="1:7" x14ac:dyDescent="0.25">
      <c r="A3064" s="1" t="s">
        <v>3187</v>
      </c>
      <c r="B3064" s="76">
        <v>59.106669999999902</v>
      </c>
      <c r="C3064" s="76">
        <v>59.640743000000001</v>
      </c>
      <c r="D3064" s="76">
        <v>58.916451000000002</v>
      </c>
      <c r="E3064" s="76">
        <v>59.428576999999997</v>
      </c>
      <c r="F3064" s="76">
        <v>49.009796000000001</v>
      </c>
      <c r="G3064" s="79">
        <v>1793800</v>
      </c>
    </row>
    <row r="3065" spans="1:7" x14ac:dyDescent="0.25">
      <c r="A3065" s="1" t="s">
        <v>3188</v>
      </c>
      <c r="B3065" s="76">
        <v>58.857921999999903</v>
      </c>
      <c r="C3065" s="76">
        <v>59.179828999999998</v>
      </c>
      <c r="D3065" s="76">
        <v>58.184840999999999</v>
      </c>
      <c r="E3065" s="76">
        <v>58.572593999999903</v>
      </c>
      <c r="F3065" s="76">
        <v>48.303882999999999</v>
      </c>
      <c r="G3065" s="79">
        <v>1938500</v>
      </c>
    </row>
    <row r="3066" spans="1:7" x14ac:dyDescent="0.25">
      <c r="A3066" s="1" t="s">
        <v>3189</v>
      </c>
      <c r="B3066" s="76">
        <v>58.777446999999903</v>
      </c>
      <c r="C3066" s="76">
        <v>59.333468999999901</v>
      </c>
      <c r="D3066" s="76">
        <v>58.126311999999999</v>
      </c>
      <c r="E3066" s="76">
        <v>59.201777999999997</v>
      </c>
      <c r="F3066" s="76">
        <v>48.822758</v>
      </c>
      <c r="G3066" s="79">
        <v>1428200</v>
      </c>
    </row>
    <row r="3067" spans="1:7" x14ac:dyDescent="0.25">
      <c r="A3067" s="1" t="s">
        <v>3190</v>
      </c>
      <c r="B3067" s="76">
        <v>58.974978999999998</v>
      </c>
      <c r="C3067" s="76">
        <v>59.179828999999998</v>
      </c>
      <c r="D3067" s="76">
        <v>58.382378000000003</v>
      </c>
      <c r="E3067" s="76">
        <v>58.455535999999903</v>
      </c>
      <c r="F3067" s="76">
        <v>48.207347999999897</v>
      </c>
      <c r="G3067" s="79">
        <v>1850600</v>
      </c>
    </row>
    <row r="3068" spans="1:7" x14ac:dyDescent="0.25">
      <c r="A3068" s="1" t="s">
        <v>3191</v>
      </c>
      <c r="B3068" s="76">
        <v>58.821342000000001</v>
      </c>
      <c r="C3068" s="76">
        <v>58.931083999999998</v>
      </c>
      <c r="D3068" s="76">
        <v>58.236052999999998</v>
      </c>
      <c r="E3068" s="76">
        <v>58.543331000000002</v>
      </c>
      <c r="F3068" s="76">
        <v>48.279755000000002</v>
      </c>
      <c r="G3068" s="79">
        <v>1295800</v>
      </c>
    </row>
    <row r="3069" spans="1:7" x14ac:dyDescent="0.25">
      <c r="A3069" s="1" t="s">
        <v>3192</v>
      </c>
      <c r="B3069" s="76">
        <v>58.616492999999998</v>
      </c>
      <c r="C3069" s="76">
        <v>59.384681999999998</v>
      </c>
      <c r="D3069" s="76">
        <v>58.550647999999903</v>
      </c>
      <c r="E3069" s="76">
        <v>58.953029999999998</v>
      </c>
      <c r="F3069" s="76">
        <v>48.617621999999997</v>
      </c>
      <c r="G3069" s="79">
        <v>1279300</v>
      </c>
    </row>
    <row r="3070" spans="1:7" x14ac:dyDescent="0.25">
      <c r="A3070" s="1" t="s">
        <v>3193</v>
      </c>
      <c r="B3070" s="76">
        <v>59.377364999999998</v>
      </c>
      <c r="C3070" s="76">
        <v>60.935692000000003</v>
      </c>
      <c r="D3070" s="76">
        <v>59.304203000000001</v>
      </c>
      <c r="E3070" s="76">
        <v>60.782055</v>
      </c>
      <c r="F3070" s="76">
        <v>50.125988</v>
      </c>
      <c r="G3070" s="79">
        <v>1963400</v>
      </c>
    </row>
    <row r="3071" spans="1:7" x14ac:dyDescent="0.25">
      <c r="A3071" s="1" t="s">
        <v>3194</v>
      </c>
      <c r="B3071" s="76">
        <v>60.804001</v>
      </c>
      <c r="C3071" s="76">
        <v>60.906424999999999</v>
      </c>
      <c r="D3071" s="76">
        <v>60.021178999999997</v>
      </c>
      <c r="E3071" s="76">
        <v>60.745471999999999</v>
      </c>
      <c r="F3071" s="76">
        <v>50.095813999999997</v>
      </c>
      <c r="G3071" s="79">
        <v>1525700</v>
      </c>
    </row>
    <row r="3072" spans="1:7" x14ac:dyDescent="0.25">
      <c r="A3072" s="1" t="s">
        <v>3195</v>
      </c>
      <c r="B3072" s="76">
        <v>60.730843</v>
      </c>
      <c r="C3072" s="76">
        <v>61.264915000000002</v>
      </c>
      <c r="D3072" s="76">
        <v>60.569884999999999</v>
      </c>
      <c r="E3072" s="76">
        <v>61.067379000000003</v>
      </c>
      <c r="F3072" s="76">
        <v>50.361294000000001</v>
      </c>
      <c r="G3072" s="79">
        <v>1959000</v>
      </c>
    </row>
    <row r="3073" spans="1:7" x14ac:dyDescent="0.25">
      <c r="A3073" s="1" t="s">
        <v>3196</v>
      </c>
      <c r="B3073" s="76">
        <v>61.272231999999903</v>
      </c>
      <c r="C3073" s="76">
        <v>61.3746569999999</v>
      </c>
      <c r="D3073" s="76">
        <v>60.906424999999999</v>
      </c>
      <c r="E3073" s="76">
        <v>61.323443999999903</v>
      </c>
      <c r="F3073" s="76">
        <v>50.572453000000003</v>
      </c>
      <c r="G3073" s="79">
        <v>2125500</v>
      </c>
    </row>
    <row r="3074" spans="1:7" x14ac:dyDescent="0.25">
      <c r="A3074" s="1" t="s">
        <v>3197</v>
      </c>
      <c r="B3074" s="76">
        <v>61.038116000000002</v>
      </c>
      <c r="C3074" s="76">
        <v>62.537914000000001</v>
      </c>
      <c r="D3074" s="76">
        <v>60.964953999999999</v>
      </c>
      <c r="E3074" s="76">
        <v>62.011153999999998</v>
      </c>
      <c r="F3074" s="76">
        <v>51.139609999999998</v>
      </c>
      <c r="G3074" s="79">
        <v>2235300</v>
      </c>
    </row>
    <row r="3075" spans="1:7" x14ac:dyDescent="0.25">
      <c r="A3075" s="1" t="s">
        <v>3198</v>
      </c>
      <c r="B3075" s="76">
        <v>61.616089000000002</v>
      </c>
      <c r="C3075" s="76">
        <v>62.450122999999998</v>
      </c>
      <c r="D3075" s="76">
        <v>61.447818999999903</v>
      </c>
      <c r="E3075" s="76">
        <v>62.076999999999998</v>
      </c>
      <c r="F3075" s="76">
        <v>51.193905000000001</v>
      </c>
      <c r="G3075" s="79">
        <v>1485900</v>
      </c>
    </row>
    <row r="3076" spans="1:7" x14ac:dyDescent="0.25">
      <c r="A3076" s="1" t="s">
        <v>3199</v>
      </c>
      <c r="B3076" s="76">
        <v>62.186740999999998</v>
      </c>
      <c r="C3076" s="76">
        <v>62.259903000000001</v>
      </c>
      <c r="D3076" s="76">
        <v>61.564877000000003</v>
      </c>
      <c r="E3076" s="76">
        <v>61.638034999999903</v>
      </c>
      <c r="F3076" s="76">
        <v>50.831904999999999</v>
      </c>
      <c r="G3076" s="79">
        <v>1446900</v>
      </c>
    </row>
    <row r="3077" spans="1:7" x14ac:dyDescent="0.25">
      <c r="A3077" s="1" t="s">
        <v>3200</v>
      </c>
      <c r="B3077" s="76">
        <v>61.301494999999903</v>
      </c>
      <c r="C3077" s="76">
        <v>61.652667999999998</v>
      </c>
      <c r="D3077" s="76">
        <v>60.708893000000003</v>
      </c>
      <c r="E3077" s="76">
        <v>61.008853999999999</v>
      </c>
      <c r="F3077" s="76">
        <v>50.313026000000001</v>
      </c>
      <c r="G3077" s="79">
        <v>1432300</v>
      </c>
    </row>
    <row r="3078" spans="1:7" x14ac:dyDescent="0.25">
      <c r="A3078" s="1" t="s">
        <v>3201</v>
      </c>
      <c r="B3078" s="76">
        <v>61.1478579999999</v>
      </c>
      <c r="C3078" s="76">
        <v>61.286864999999999</v>
      </c>
      <c r="D3078" s="76">
        <v>60.584518000000003</v>
      </c>
      <c r="E3078" s="76">
        <v>61.038116000000002</v>
      </c>
      <c r="F3078" s="76">
        <v>50.337158000000002</v>
      </c>
      <c r="G3078" s="79">
        <v>1435000</v>
      </c>
    </row>
    <row r="3079" spans="1:7" x14ac:dyDescent="0.25">
      <c r="A3079" s="1" t="s">
        <v>3202</v>
      </c>
      <c r="B3079" s="76">
        <v>61.681930999999999</v>
      </c>
      <c r="C3079" s="76">
        <v>61.725830000000002</v>
      </c>
      <c r="D3079" s="76">
        <v>61.103962000000003</v>
      </c>
      <c r="E3079" s="76">
        <v>61.550243000000002</v>
      </c>
      <c r="F3079" s="76">
        <v>50.759495000000001</v>
      </c>
      <c r="G3079" s="79">
        <v>1411200</v>
      </c>
    </row>
    <row r="3080" spans="1:7" x14ac:dyDescent="0.25">
      <c r="A3080" s="1" t="s">
        <v>3203</v>
      </c>
      <c r="B3080" s="76">
        <v>61.718513000000002</v>
      </c>
      <c r="C3080" s="76">
        <v>61.864833999999902</v>
      </c>
      <c r="D3080" s="76">
        <v>61.352706999999903</v>
      </c>
      <c r="E3080" s="76">
        <v>61.535609999999998</v>
      </c>
      <c r="F3080" s="76">
        <v>50.747436999999998</v>
      </c>
      <c r="G3080" s="79">
        <v>1024900</v>
      </c>
    </row>
    <row r="3081" spans="1:7" x14ac:dyDescent="0.25">
      <c r="A3081" s="1" t="s">
        <v>3204</v>
      </c>
      <c r="B3081" s="76">
        <v>61.418551999999998</v>
      </c>
      <c r="C3081" s="76">
        <v>61.550243000000002</v>
      </c>
      <c r="D3081" s="76">
        <v>60.540622999999997</v>
      </c>
      <c r="E3081" s="76">
        <v>61.125907999999903</v>
      </c>
      <c r="F3081" s="76">
        <v>50.409560999999997</v>
      </c>
      <c r="G3081" s="79">
        <v>1318800</v>
      </c>
    </row>
    <row r="3082" spans="1:7" x14ac:dyDescent="0.25">
      <c r="A3082" s="1" t="s">
        <v>3205</v>
      </c>
      <c r="B3082" s="76">
        <v>60.752789</v>
      </c>
      <c r="C3082" s="76">
        <v>61.169806999999899</v>
      </c>
      <c r="D3082" s="76">
        <v>60.189448999999897</v>
      </c>
      <c r="E3082" s="76">
        <v>61.052750000000003</v>
      </c>
      <c r="F3082" s="76">
        <v>50.349224</v>
      </c>
      <c r="G3082" s="79">
        <v>1107900</v>
      </c>
    </row>
    <row r="3083" spans="1:7" x14ac:dyDescent="0.25">
      <c r="A3083" s="1" t="s">
        <v>3206</v>
      </c>
      <c r="B3083" s="76">
        <v>61.235649000000002</v>
      </c>
      <c r="C3083" s="76">
        <v>61.725830000000002</v>
      </c>
      <c r="D3083" s="76">
        <v>61.125907999999903</v>
      </c>
      <c r="E3083" s="76">
        <v>61.601455999999999</v>
      </c>
      <c r="F3083" s="76">
        <v>50.801735000000001</v>
      </c>
      <c r="G3083" s="79">
        <v>1497100</v>
      </c>
    </row>
    <row r="3084" spans="1:7" x14ac:dyDescent="0.25">
      <c r="A3084" s="1" t="s">
        <v>3207</v>
      </c>
      <c r="B3084" s="76">
        <v>61.542926999999999</v>
      </c>
      <c r="C3084" s="76">
        <v>61.930678999999998</v>
      </c>
      <c r="D3084" s="76">
        <v>61.4551319999999</v>
      </c>
      <c r="E3084" s="76">
        <v>61.872149999999998</v>
      </c>
      <c r="F3084" s="76">
        <v>51.024956000000003</v>
      </c>
      <c r="G3084" s="79">
        <v>1430300</v>
      </c>
    </row>
    <row r="3085" spans="1:7" x14ac:dyDescent="0.25">
      <c r="A3085" s="1" t="s">
        <v>3208</v>
      </c>
      <c r="B3085" s="76">
        <v>61.674618000000002</v>
      </c>
      <c r="C3085" s="76">
        <v>61.813621999999903</v>
      </c>
      <c r="D3085" s="76">
        <v>61.206386999999999</v>
      </c>
      <c r="E3085" s="76">
        <v>61.564877000000003</v>
      </c>
      <c r="F3085" s="76">
        <v>50.771560999999998</v>
      </c>
      <c r="G3085" s="79">
        <v>1378000</v>
      </c>
    </row>
    <row r="3086" spans="1:7" x14ac:dyDescent="0.25">
      <c r="A3086" s="1" t="s">
        <v>3209</v>
      </c>
      <c r="B3086" s="76">
        <v>61.177119999999903</v>
      </c>
      <c r="C3086" s="76">
        <v>61.301494999999903</v>
      </c>
      <c r="D3086" s="76">
        <v>60.518673</v>
      </c>
      <c r="E3086" s="76">
        <v>60.606468</v>
      </c>
      <c r="F3086" s="76">
        <v>49.981181999999997</v>
      </c>
      <c r="G3086" s="79">
        <v>1008400</v>
      </c>
    </row>
    <row r="3087" spans="1:7" x14ac:dyDescent="0.25">
      <c r="A3087" s="1" t="s">
        <v>3210</v>
      </c>
      <c r="B3087" s="76">
        <v>60.365035999999897</v>
      </c>
      <c r="C3087" s="76">
        <v>60.730843</v>
      </c>
      <c r="D3087" s="76">
        <v>59.772433999999997</v>
      </c>
      <c r="E3087" s="76">
        <v>59.991917000000001</v>
      </c>
      <c r="F3087" s="76">
        <v>49.474373</v>
      </c>
      <c r="G3087" s="79">
        <v>981200</v>
      </c>
    </row>
    <row r="3088" spans="1:7" x14ac:dyDescent="0.25">
      <c r="A3088" s="1" t="s">
        <v>3211</v>
      </c>
      <c r="B3088" s="76">
        <v>59.121299999999998</v>
      </c>
      <c r="C3088" s="76">
        <v>59.421261000000001</v>
      </c>
      <c r="D3088" s="76">
        <v>58.806708999999998</v>
      </c>
      <c r="E3088" s="76">
        <v>59.201777999999997</v>
      </c>
      <c r="F3088" s="76">
        <v>48.822758</v>
      </c>
      <c r="G3088" s="79">
        <v>1104400</v>
      </c>
    </row>
    <row r="3089" spans="1:7" x14ac:dyDescent="0.25">
      <c r="A3089" s="1" t="s">
        <v>3212</v>
      </c>
      <c r="B3089" s="76">
        <v>59.172516000000002</v>
      </c>
      <c r="C3089" s="76">
        <v>59.377364999999998</v>
      </c>
      <c r="D3089" s="76">
        <v>57.936095999999999</v>
      </c>
      <c r="E3089" s="76">
        <v>58.038520999999903</v>
      </c>
      <c r="F3089" s="76">
        <v>47.863438000000002</v>
      </c>
      <c r="G3089" s="79">
        <v>2003000</v>
      </c>
    </row>
    <row r="3090" spans="1:7" x14ac:dyDescent="0.25">
      <c r="A3090" s="1" t="s">
        <v>3213</v>
      </c>
      <c r="B3090" s="76">
        <v>58.616492999999998</v>
      </c>
      <c r="C3090" s="76">
        <v>58.762813999999999</v>
      </c>
      <c r="D3090" s="76">
        <v>58.133628999999999</v>
      </c>
      <c r="E3090" s="76">
        <v>58.418956999999899</v>
      </c>
      <c r="F3090" s="76">
        <v>48.177184999999902</v>
      </c>
      <c r="G3090" s="79">
        <v>1104400</v>
      </c>
    </row>
    <row r="3091" spans="1:7" x14ac:dyDescent="0.25">
      <c r="A3091" s="1" t="s">
        <v>3214</v>
      </c>
      <c r="B3091" s="76">
        <v>58.389693999999899</v>
      </c>
      <c r="C3091" s="76">
        <v>59.282256999999902</v>
      </c>
      <c r="D3091" s="76">
        <v>58.162894999999899</v>
      </c>
      <c r="E3091" s="76">
        <v>59.282256999999902</v>
      </c>
      <c r="F3091" s="76">
        <v>48.889130000000002</v>
      </c>
      <c r="G3091" s="79">
        <v>1217600</v>
      </c>
    </row>
    <row r="3092" spans="1:7" x14ac:dyDescent="0.25">
      <c r="A3092" s="1" t="s">
        <v>3215</v>
      </c>
      <c r="B3092" s="76">
        <v>59.238357999999998</v>
      </c>
      <c r="C3092" s="76">
        <v>59.384681999999998</v>
      </c>
      <c r="D3092" s="76">
        <v>58.470168999999899</v>
      </c>
      <c r="E3092" s="76">
        <v>58.484802000000002</v>
      </c>
      <c r="F3092" s="76">
        <v>48.231487000000001</v>
      </c>
      <c r="G3092" s="79">
        <v>1334000</v>
      </c>
    </row>
    <row r="3093" spans="1:7" x14ac:dyDescent="0.25">
      <c r="A3093" s="1" t="s">
        <v>3216</v>
      </c>
      <c r="B3093" s="76">
        <v>59.991917000000001</v>
      </c>
      <c r="C3093" s="76">
        <v>61.008853999999999</v>
      </c>
      <c r="D3093" s="76">
        <v>59.223728000000001</v>
      </c>
      <c r="E3093" s="76">
        <v>60.101657999999901</v>
      </c>
      <c r="F3093" s="76">
        <v>49.564880000000002</v>
      </c>
      <c r="G3093" s="79">
        <v>3383200</v>
      </c>
    </row>
    <row r="3094" spans="1:7" x14ac:dyDescent="0.25">
      <c r="A3094" s="1" t="s">
        <v>3217</v>
      </c>
      <c r="B3094" s="76">
        <v>60.635731</v>
      </c>
      <c r="C3094" s="76">
        <v>61.074695999999904</v>
      </c>
      <c r="D3094" s="76">
        <v>60.145553999999997</v>
      </c>
      <c r="E3094" s="76">
        <v>60.833266999999999</v>
      </c>
      <c r="F3094" s="76">
        <v>50.168213000000002</v>
      </c>
      <c r="G3094" s="79">
        <v>1707900</v>
      </c>
    </row>
    <row r="3095" spans="1:7" x14ac:dyDescent="0.25">
      <c r="A3095" s="1" t="s">
        <v>3218</v>
      </c>
      <c r="B3095" s="76">
        <v>60.547939</v>
      </c>
      <c r="C3095" s="76">
        <v>61.067379000000003</v>
      </c>
      <c r="D3095" s="76">
        <v>60.430881999999997</v>
      </c>
      <c r="E3095" s="76">
        <v>60.767421999999897</v>
      </c>
      <c r="F3095" s="76">
        <v>50.113921999999903</v>
      </c>
      <c r="G3095" s="79">
        <v>1122900</v>
      </c>
    </row>
    <row r="3096" spans="1:7" x14ac:dyDescent="0.25">
      <c r="A3096" s="1" t="s">
        <v>3219</v>
      </c>
      <c r="B3096" s="76">
        <v>60.921059</v>
      </c>
      <c r="C3096" s="76">
        <v>61.067379000000003</v>
      </c>
      <c r="D3096" s="76">
        <v>60.467461</v>
      </c>
      <c r="E3096" s="76">
        <v>60.672314</v>
      </c>
      <c r="F3096" s="76">
        <v>50.035483999999997</v>
      </c>
      <c r="G3096" s="79">
        <v>1562000</v>
      </c>
    </row>
    <row r="3097" spans="1:7" x14ac:dyDescent="0.25">
      <c r="A3097" s="1" t="s">
        <v>3220</v>
      </c>
      <c r="B3097" s="76">
        <v>60.847896999999897</v>
      </c>
      <c r="C3097" s="76">
        <v>61.616089000000002</v>
      </c>
      <c r="D3097" s="76">
        <v>60.672314</v>
      </c>
      <c r="E3097" s="76">
        <v>61.213703000000002</v>
      </c>
      <c r="F3097" s="76">
        <v>50.481955999999997</v>
      </c>
      <c r="G3097" s="79">
        <v>1619000</v>
      </c>
    </row>
    <row r="3098" spans="1:7" x14ac:dyDescent="0.25">
      <c r="A3098" s="1" t="s">
        <v>3221</v>
      </c>
      <c r="B3098" s="76">
        <v>60.547939</v>
      </c>
      <c r="C3098" s="76">
        <v>60.957638000000003</v>
      </c>
      <c r="D3098" s="76">
        <v>60.226031999999996</v>
      </c>
      <c r="E3098" s="76">
        <v>60.562571999999903</v>
      </c>
      <c r="F3098" s="76">
        <v>49.944988000000002</v>
      </c>
      <c r="G3098" s="79">
        <v>2259400</v>
      </c>
    </row>
    <row r="3099" spans="1:7" x14ac:dyDescent="0.25">
      <c r="A3099" s="1" t="s">
        <v>3222</v>
      </c>
      <c r="B3099" s="76">
        <v>60.69426</v>
      </c>
      <c r="C3099" s="76">
        <v>61.923363000000002</v>
      </c>
      <c r="D3099" s="76">
        <v>60.650364000000003</v>
      </c>
      <c r="E3099" s="76">
        <v>61.886783999999999</v>
      </c>
      <c r="F3099" s="76">
        <v>51.037040999999903</v>
      </c>
      <c r="G3099" s="79">
        <v>1973000</v>
      </c>
    </row>
    <row r="3100" spans="1:7" x14ac:dyDescent="0.25">
      <c r="A3100" s="1" t="s">
        <v>3223</v>
      </c>
      <c r="B3100" s="76">
        <v>61.872149999999998</v>
      </c>
      <c r="C3100" s="76">
        <v>62.259903000000001</v>
      </c>
      <c r="D3100" s="76">
        <v>61.740458999999902</v>
      </c>
      <c r="E3100" s="76">
        <v>62.164794999999998</v>
      </c>
      <c r="F3100" s="76">
        <v>51.266319000000003</v>
      </c>
      <c r="G3100" s="79">
        <v>1735000</v>
      </c>
    </row>
    <row r="3101" spans="1:7" x14ac:dyDescent="0.25">
      <c r="A3101" s="1" t="s">
        <v>3224</v>
      </c>
      <c r="B3101" s="76">
        <v>61.930678999999998</v>
      </c>
      <c r="C3101" s="76">
        <v>62.596443000000001</v>
      </c>
      <c r="D3101" s="76">
        <v>61.630718000000002</v>
      </c>
      <c r="E3101" s="76">
        <v>62.450122999999998</v>
      </c>
      <c r="F3101" s="76">
        <v>51.501613999999996</v>
      </c>
      <c r="G3101" s="79">
        <v>1955200</v>
      </c>
    </row>
    <row r="3102" spans="1:7" x14ac:dyDescent="0.25">
      <c r="A3102" s="1" t="s">
        <v>3225</v>
      </c>
      <c r="B3102" s="76">
        <v>62.808608999999997</v>
      </c>
      <c r="C3102" s="76">
        <v>63.225628</v>
      </c>
      <c r="D3102" s="76">
        <v>62.355010999999998</v>
      </c>
      <c r="E3102" s="76">
        <v>62.918349999999997</v>
      </c>
      <c r="F3102" s="76">
        <v>51.887752999999996</v>
      </c>
      <c r="G3102" s="79">
        <v>1800000</v>
      </c>
    </row>
    <row r="3103" spans="1:7" x14ac:dyDescent="0.25">
      <c r="A3103" s="1" t="s">
        <v>3226</v>
      </c>
      <c r="B3103" s="76">
        <v>62.706183999999901</v>
      </c>
      <c r="C3103" s="76">
        <v>62.815925999999997</v>
      </c>
      <c r="D3103" s="76">
        <v>62.289164999999997</v>
      </c>
      <c r="E3103" s="76">
        <v>62.801291999999997</v>
      </c>
      <c r="F3103" s="76">
        <v>51.791221999999998</v>
      </c>
      <c r="G3103" s="79">
        <v>1598800</v>
      </c>
    </row>
    <row r="3104" spans="1:7" x14ac:dyDescent="0.25">
      <c r="A3104" s="1" t="s">
        <v>3227</v>
      </c>
      <c r="B3104" s="76">
        <v>63.050041</v>
      </c>
      <c r="C3104" s="76">
        <v>64.308410999999893</v>
      </c>
      <c r="D3104" s="76">
        <v>62.867137999999997</v>
      </c>
      <c r="E3104" s="76">
        <v>64.008445999999907</v>
      </c>
      <c r="F3104" s="76">
        <v>52.786738999999997</v>
      </c>
      <c r="G3104" s="79">
        <v>1690000</v>
      </c>
    </row>
    <row r="3105" spans="1:7" x14ac:dyDescent="0.25">
      <c r="A3105" s="1" t="s">
        <v>3228</v>
      </c>
      <c r="B3105" s="76">
        <v>63.693854999999999</v>
      </c>
      <c r="C3105" s="76">
        <v>64.169403000000003</v>
      </c>
      <c r="D3105" s="76">
        <v>63.108569999999901</v>
      </c>
      <c r="E3105" s="76">
        <v>64.088927999999996</v>
      </c>
      <c r="F3105" s="76">
        <v>52.853115000000003</v>
      </c>
      <c r="G3105" s="79">
        <v>1873800</v>
      </c>
    </row>
    <row r="3106" spans="1:7" x14ac:dyDescent="0.25">
      <c r="A3106" s="1" t="s">
        <v>3229</v>
      </c>
      <c r="B3106" s="76">
        <v>64.147452999999999</v>
      </c>
      <c r="C3106" s="76">
        <v>64.337668999999906</v>
      </c>
      <c r="D3106" s="76">
        <v>63.598746999999904</v>
      </c>
      <c r="E3106" s="76">
        <v>63.752383999999999</v>
      </c>
      <c r="F3106" s="76">
        <v>52.575572999999999</v>
      </c>
      <c r="G3106" s="79">
        <v>1680200</v>
      </c>
    </row>
    <row r="3107" spans="1:7" x14ac:dyDescent="0.25">
      <c r="A3107" s="1" t="s">
        <v>3230</v>
      </c>
      <c r="B3107" s="76">
        <v>63.423161</v>
      </c>
      <c r="C3107" s="76">
        <v>63.64996</v>
      </c>
      <c r="D3107" s="76">
        <v>62.911033999999901</v>
      </c>
      <c r="E3107" s="76">
        <v>63.123199</v>
      </c>
      <c r="F3107" s="76">
        <v>52.056683</v>
      </c>
      <c r="G3107" s="79">
        <v>1224100</v>
      </c>
    </row>
    <row r="3108" spans="1:7" x14ac:dyDescent="0.25">
      <c r="A3108" s="1" t="s">
        <v>3231</v>
      </c>
      <c r="B3108" s="76">
        <v>62.903717</v>
      </c>
      <c r="C3108" s="76">
        <v>64.359618999999995</v>
      </c>
      <c r="D3108" s="76">
        <v>62.735447000000001</v>
      </c>
      <c r="E3108" s="76">
        <v>64.045029</v>
      </c>
      <c r="F3108" s="76">
        <v>52.816906000000003</v>
      </c>
      <c r="G3108" s="79">
        <v>1184400</v>
      </c>
    </row>
    <row r="3109" spans="1:7" x14ac:dyDescent="0.25">
      <c r="A3109" s="1" t="s">
        <v>3232</v>
      </c>
      <c r="B3109" s="76">
        <v>63.876759</v>
      </c>
      <c r="C3109" s="76">
        <v>64.535209999999907</v>
      </c>
      <c r="D3109" s="76">
        <v>63.225628</v>
      </c>
      <c r="E3109" s="76">
        <v>64.432777000000002</v>
      </c>
      <c r="F3109" s="76">
        <v>53.136681000000003</v>
      </c>
      <c r="G3109" s="79">
        <v>1340500</v>
      </c>
    </row>
    <row r="3110" spans="1:7" x14ac:dyDescent="0.25">
      <c r="A3110" s="1" t="s">
        <v>3233</v>
      </c>
      <c r="B3110" s="76">
        <v>63.759701</v>
      </c>
      <c r="C3110" s="76">
        <v>64.747375000000005</v>
      </c>
      <c r="D3110" s="76">
        <v>63.628009999999897</v>
      </c>
      <c r="E3110" s="76">
        <v>64.257194999999996</v>
      </c>
      <c r="F3110" s="76">
        <v>52.991881999999997</v>
      </c>
      <c r="G3110" s="79">
        <v>1690600</v>
      </c>
    </row>
    <row r="3111" spans="1:7" x14ac:dyDescent="0.25">
      <c r="A3111" s="1" t="s">
        <v>3234</v>
      </c>
      <c r="B3111" s="76">
        <v>64.601050999999998</v>
      </c>
      <c r="C3111" s="76">
        <v>64.637633999999906</v>
      </c>
      <c r="D3111" s="76">
        <v>63.364631999999901</v>
      </c>
      <c r="E3111" s="76">
        <v>63.64996</v>
      </c>
      <c r="F3111" s="76">
        <v>52.906737999999997</v>
      </c>
      <c r="G3111" s="79">
        <v>1099100</v>
      </c>
    </row>
    <row r="3112" spans="1:7" x14ac:dyDescent="0.25">
      <c r="A3112" s="1" t="s">
        <v>3235</v>
      </c>
      <c r="B3112" s="76">
        <v>63.335368999999901</v>
      </c>
      <c r="C3112" s="76">
        <v>64.359618999999995</v>
      </c>
      <c r="D3112" s="76">
        <v>63.093936999999997</v>
      </c>
      <c r="E3112" s="76">
        <v>63.986499999999999</v>
      </c>
      <c r="F3112" s="76">
        <v>53.186478000000001</v>
      </c>
      <c r="G3112" s="79">
        <v>1192800</v>
      </c>
    </row>
    <row r="3113" spans="1:7" x14ac:dyDescent="0.25">
      <c r="A3113" s="1" t="s">
        <v>3236</v>
      </c>
      <c r="B3113" s="76">
        <v>63.291469999999997</v>
      </c>
      <c r="C3113" s="76">
        <v>64.176719999999904</v>
      </c>
      <c r="D3113" s="76">
        <v>63.203677999999996</v>
      </c>
      <c r="E3113" s="76">
        <v>63.657276000000003</v>
      </c>
      <c r="F3113" s="76">
        <v>52.912827</v>
      </c>
      <c r="G3113" s="79">
        <v>1679100</v>
      </c>
    </row>
    <row r="3114" spans="1:7" x14ac:dyDescent="0.25">
      <c r="A3114" s="1" t="s">
        <v>3237</v>
      </c>
      <c r="B3114" s="76">
        <v>63.547534999999897</v>
      </c>
      <c r="C3114" s="76">
        <v>63.686539000000003</v>
      </c>
      <c r="D3114" s="76">
        <v>62.889088000000001</v>
      </c>
      <c r="E3114" s="76">
        <v>63.196362000000001</v>
      </c>
      <c r="F3114" s="76">
        <v>52.529701000000003</v>
      </c>
      <c r="G3114" s="79">
        <v>1716700</v>
      </c>
    </row>
    <row r="3115" spans="1:7" x14ac:dyDescent="0.25">
      <c r="A3115" s="1" t="s">
        <v>3238</v>
      </c>
      <c r="B3115" s="76">
        <v>63.130516</v>
      </c>
      <c r="C3115" s="76">
        <v>63.130516</v>
      </c>
      <c r="D3115" s="76">
        <v>61.864833999999902</v>
      </c>
      <c r="E3115" s="76">
        <v>61.930678999999998</v>
      </c>
      <c r="F3115" s="76">
        <v>51.477657000000001</v>
      </c>
      <c r="G3115" s="79">
        <v>1930600</v>
      </c>
    </row>
    <row r="3116" spans="1:7" x14ac:dyDescent="0.25">
      <c r="A3116" s="1" t="s">
        <v>3239</v>
      </c>
      <c r="B3116" s="76">
        <v>61.842888000000002</v>
      </c>
      <c r="C3116" s="76">
        <v>61.937995999999998</v>
      </c>
      <c r="D3116" s="76">
        <v>60.313823999999997</v>
      </c>
      <c r="E3116" s="76">
        <v>60.313823999999997</v>
      </c>
      <c r="F3116" s="76">
        <v>50.133697999999903</v>
      </c>
      <c r="G3116" s="79">
        <v>1662700</v>
      </c>
    </row>
    <row r="3117" spans="1:7" x14ac:dyDescent="0.25">
      <c r="A3117" s="1" t="s">
        <v>3240</v>
      </c>
      <c r="B3117" s="76">
        <v>60.789368000000003</v>
      </c>
      <c r="C3117" s="76">
        <v>60.972270999999999</v>
      </c>
      <c r="D3117" s="76">
        <v>59.209094999999998</v>
      </c>
      <c r="E3117" s="76">
        <v>59.465156999999998</v>
      </c>
      <c r="F3117" s="76">
        <v>49.428280000000001</v>
      </c>
      <c r="G3117" s="79">
        <v>1905700</v>
      </c>
    </row>
    <row r="3118" spans="1:7" x14ac:dyDescent="0.25">
      <c r="A3118" s="1" t="s">
        <v>3241</v>
      </c>
      <c r="B3118" s="76">
        <v>59.604163999999997</v>
      </c>
      <c r="C3118" s="76">
        <v>60.745471999999999</v>
      </c>
      <c r="D3118" s="76">
        <v>59.516368999999997</v>
      </c>
      <c r="E3118" s="76">
        <v>60.613785</v>
      </c>
      <c r="F3118" s="76">
        <v>50.383021999999997</v>
      </c>
      <c r="G3118" s="79">
        <v>1358700</v>
      </c>
    </row>
    <row r="3119" spans="1:7" x14ac:dyDescent="0.25">
      <c r="A3119" s="1" t="s">
        <v>3242</v>
      </c>
      <c r="B3119" s="76">
        <v>60.869845999999903</v>
      </c>
      <c r="C3119" s="76">
        <v>61.060065999999999</v>
      </c>
      <c r="D3119" s="76">
        <v>60.299191</v>
      </c>
      <c r="E3119" s="76">
        <v>60.69426</v>
      </c>
      <c r="F3119" s="76">
        <v>50.449916999999999</v>
      </c>
      <c r="G3119" s="79">
        <v>1099900</v>
      </c>
    </row>
    <row r="3120" spans="1:7" x14ac:dyDescent="0.25">
      <c r="A3120" s="1" t="s">
        <v>3243</v>
      </c>
      <c r="B3120" s="76">
        <v>60.313823999999997</v>
      </c>
      <c r="C3120" s="76">
        <v>60.847896999999897</v>
      </c>
      <c r="D3120" s="76">
        <v>59.604163999999997</v>
      </c>
      <c r="E3120" s="76">
        <v>60.635731</v>
      </c>
      <c r="F3120" s="76">
        <v>50.401271999999999</v>
      </c>
      <c r="G3120" s="79">
        <v>1176800</v>
      </c>
    </row>
    <row r="3121" spans="1:7" x14ac:dyDescent="0.25">
      <c r="A3121" s="1" t="s">
        <v>3244</v>
      </c>
      <c r="B3121" s="76">
        <v>60.825951000000003</v>
      </c>
      <c r="C3121" s="76">
        <v>61.294178000000002</v>
      </c>
      <c r="D3121" s="76">
        <v>60.057761999999997</v>
      </c>
      <c r="E3121" s="76">
        <v>60.899108999999903</v>
      </c>
      <c r="F3121" s="76">
        <v>50.620193</v>
      </c>
      <c r="G3121" s="79">
        <v>770000</v>
      </c>
    </row>
    <row r="3122" spans="1:7" x14ac:dyDescent="0.25">
      <c r="A3122" s="1" t="s">
        <v>3245</v>
      </c>
      <c r="B3122" s="76">
        <v>60.891795999999999</v>
      </c>
      <c r="C3122" s="76">
        <v>61.1478579999999</v>
      </c>
      <c r="D3122" s="76">
        <v>60.504043999999901</v>
      </c>
      <c r="E3122" s="76">
        <v>60.796683999999999</v>
      </c>
      <c r="F3122" s="76">
        <v>50.535052999999998</v>
      </c>
      <c r="G3122" s="79">
        <v>1058000</v>
      </c>
    </row>
    <row r="3123" spans="1:7" x14ac:dyDescent="0.25">
      <c r="A3123" s="1" t="s">
        <v>3246</v>
      </c>
      <c r="B3123" s="76">
        <v>61.067379000000003</v>
      </c>
      <c r="C3123" s="76">
        <v>61.535609999999998</v>
      </c>
      <c r="D3123" s="76">
        <v>60.752789</v>
      </c>
      <c r="E3123" s="76">
        <v>61.425868999999899</v>
      </c>
      <c r="F3123" s="76">
        <v>51.058036999999999</v>
      </c>
      <c r="G3123" s="79">
        <v>1124300</v>
      </c>
    </row>
    <row r="3124" spans="1:7" x14ac:dyDescent="0.25">
      <c r="A3124" s="1" t="s">
        <v>3247</v>
      </c>
      <c r="B3124" s="76">
        <v>60.847896999999897</v>
      </c>
      <c r="C3124" s="76">
        <v>60.972270999999999</v>
      </c>
      <c r="D3124" s="76">
        <v>59.757801000000001</v>
      </c>
      <c r="E3124" s="76">
        <v>59.772433999999997</v>
      </c>
      <c r="F3124" s="76">
        <v>49.683684999999997</v>
      </c>
      <c r="G3124" s="79">
        <v>1486600</v>
      </c>
    </row>
    <row r="3125" spans="1:7" x14ac:dyDescent="0.25">
      <c r="A3125" s="1" t="s">
        <v>3248</v>
      </c>
      <c r="B3125" s="76">
        <v>59.750484</v>
      </c>
      <c r="C3125" s="76">
        <v>60.511355999999999</v>
      </c>
      <c r="D3125" s="76">
        <v>59.004245999999902</v>
      </c>
      <c r="E3125" s="76">
        <v>59.933388000000001</v>
      </c>
      <c r="F3125" s="76">
        <v>49.817478000000001</v>
      </c>
      <c r="G3125" s="79">
        <v>1698800</v>
      </c>
    </row>
    <row r="3126" spans="1:7" x14ac:dyDescent="0.25">
      <c r="A3126" s="1" t="s">
        <v>3249</v>
      </c>
      <c r="B3126" s="76">
        <v>59.121299999999998</v>
      </c>
      <c r="C3126" s="76">
        <v>59.421261000000001</v>
      </c>
      <c r="D3126" s="76">
        <v>58.440906999999903</v>
      </c>
      <c r="E3126" s="76">
        <v>58.550647999999903</v>
      </c>
      <c r="F3126" s="76">
        <v>48.668125000000003</v>
      </c>
      <c r="G3126" s="79">
        <v>1856900</v>
      </c>
    </row>
    <row r="3127" spans="1:7" x14ac:dyDescent="0.25">
      <c r="A3127" s="1" t="s">
        <v>3250</v>
      </c>
      <c r="B3127" s="76">
        <v>58.726233999999998</v>
      </c>
      <c r="C3127" s="76">
        <v>58.865237999999998</v>
      </c>
      <c r="D3127" s="76">
        <v>57.475181999999997</v>
      </c>
      <c r="E3127" s="76">
        <v>58.089732999999903</v>
      </c>
      <c r="F3127" s="76">
        <v>48.284999999999997</v>
      </c>
      <c r="G3127" s="79">
        <v>1573100</v>
      </c>
    </row>
    <row r="3128" spans="1:7" x14ac:dyDescent="0.25">
      <c r="A3128" s="1" t="s">
        <v>3251</v>
      </c>
      <c r="B3128" s="76">
        <v>57.943413</v>
      </c>
      <c r="C3128" s="76">
        <v>59.070087000000001</v>
      </c>
      <c r="D3128" s="76">
        <v>57.753193000000003</v>
      </c>
      <c r="E3128" s="76">
        <v>58.901817000000001</v>
      </c>
      <c r="F3128" s="76">
        <v>48.960011000000002</v>
      </c>
      <c r="G3128" s="79">
        <v>1170100</v>
      </c>
    </row>
    <row r="3129" spans="1:7" x14ac:dyDescent="0.25">
      <c r="A3129" s="1" t="s">
        <v>3252</v>
      </c>
      <c r="B3129" s="76">
        <v>59.648060000000001</v>
      </c>
      <c r="C3129" s="76">
        <v>60.079707999999997</v>
      </c>
      <c r="D3129" s="76">
        <v>58.477485999999999</v>
      </c>
      <c r="E3129" s="76">
        <v>60.079707999999997</v>
      </c>
      <c r="F3129" s="76">
        <v>49.939090999999998</v>
      </c>
      <c r="G3129" s="79">
        <v>1477200</v>
      </c>
    </row>
    <row r="3130" spans="1:7" x14ac:dyDescent="0.25">
      <c r="A3130" s="1" t="s">
        <v>3253</v>
      </c>
      <c r="B3130" s="76">
        <v>60.664997</v>
      </c>
      <c r="C3130" s="76">
        <v>60.723526</v>
      </c>
      <c r="D3130" s="76">
        <v>59.626109999999997</v>
      </c>
      <c r="E3130" s="76">
        <v>59.823646999999902</v>
      </c>
      <c r="F3130" s="76">
        <v>49.726261000000001</v>
      </c>
      <c r="G3130" s="79">
        <v>1605100</v>
      </c>
    </row>
    <row r="3131" spans="1:7" x14ac:dyDescent="0.25">
      <c r="A3131" s="1" t="s">
        <v>3254</v>
      </c>
      <c r="B3131" s="76">
        <v>59.662692999999997</v>
      </c>
      <c r="C3131" s="76">
        <v>60.504043999999901</v>
      </c>
      <c r="D3131" s="76">
        <v>59.662692999999997</v>
      </c>
      <c r="E3131" s="76">
        <v>60.4601439999999</v>
      </c>
      <c r="F3131" s="76">
        <v>50.255328999999897</v>
      </c>
      <c r="G3131" s="79">
        <v>1131100</v>
      </c>
    </row>
    <row r="3132" spans="1:7" x14ac:dyDescent="0.25">
      <c r="A3132" s="1" t="s">
        <v>3255</v>
      </c>
      <c r="B3132" s="76">
        <v>61.082011999999999</v>
      </c>
      <c r="C3132" s="76">
        <v>61.089328999999999</v>
      </c>
      <c r="D3132" s="76">
        <v>58.828658999999902</v>
      </c>
      <c r="E3132" s="76">
        <v>58.909133999999902</v>
      </c>
      <c r="F3132" s="76">
        <v>48.966087000000002</v>
      </c>
      <c r="G3132" s="79">
        <v>1620100</v>
      </c>
    </row>
    <row r="3133" spans="1:7" x14ac:dyDescent="0.25">
      <c r="A3133" s="1" t="s">
        <v>3256</v>
      </c>
      <c r="B3133" s="76">
        <v>58.601859999999903</v>
      </c>
      <c r="C3133" s="76">
        <v>59.267623999999998</v>
      </c>
      <c r="D3133" s="76">
        <v>58.038520999999903</v>
      </c>
      <c r="E3133" s="76">
        <v>58.982295999999998</v>
      </c>
      <c r="F3133" s="76">
        <v>49.026913</v>
      </c>
      <c r="G3133" s="79">
        <v>1767700</v>
      </c>
    </row>
    <row r="3134" spans="1:7" x14ac:dyDescent="0.25">
      <c r="A3134" s="1" t="s">
        <v>3257</v>
      </c>
      <c r="B3134" s="76">
        <v>58.623806000000002</v>
      </c>
      <c r="C3134" s="76">
        <v>59.501739999999998</v>
      </c>
      <c r="D3134" s="76">
        <v>58.294581999999998</v>
      </c>
      <c r="E3134" s="76">
        <v>58.572593999999903</v>
      </c>
      <c r="F3134" s="76">
        <v>48.686363</v>
      </c>
      <c r="G3134" s="79">
        <v>1392900</v>
      </c>
    </row>
    <row r="3135" spans="1:7" x14ac:dyDescent="0.25">
      <c r="A3135" s="1" t="s">
        <v>3258</v>
      </c>
      <c r="B3135" s="76">
        <v>58.821342000000001</v>
      </c>
      <c r="C3135" s="76">
        <v>59.684638999999997</v>
      </c>
      <c r="D3135" s="76">
        <v>58.653071999999902</v>
      </c>
      <c r="E3135" s="76">
        <v>59.435893999999998</v>
      </c>
      <c r="F3135" s="76">
        <v>49.403950000000002</v>
      </c>
      <c r="G3135" s="79">
        <v>1132500</v>
      </c>
    </row>
    <row r="3136" spans="1:7" x14ac:dyDescent="0.25">
      <c r="A3136" s="1" t="s">
        <v>3259</v>
      </c>
      <c r="B3136" s="76">
        <v>59.772433999999997</v>
      </c>
      <c r="C3136" s="76">
        <v>60.013863000000001</v>
      </c>
      <c r="D3136" s="76">
        <v>59.296886000000001</v>
      </c>
      <c r="E3136" s="76">
        <v>59.845592000000003</v>
      </c>
      <c r="F3136" s="76">
        <v>49.744495000000001</v>
      </c>
      <c r="G3136" s="79">
        <v>2269800</v>
      </c>
    </row>
    <row r="3137" spans="1:7" x14ac:dyDescent="0.25">
      <c r="A3137" s="1" t="s">
        <v>3260</v>
      </c>
      <c r="B3137" s="76">
        <v>59.574897999999997</v>
      </c>
      <c r="C3137" s="76">
        <v>60.708893000000003</v>
      </c>
      <c r="D3137" s="76">
        <v>59.516368999999997</v>
      </c>
      <c r="E3137" s="76">
        <v>60.467461</v>
      </c>
      <c r="F3137" s="76">
        <v>50.261409999999998</v>
      </c>
      <c r="G3137" s="79">
        <v>1057900</v>
      </c>
    </row>
    <row r="3138" spans="1:7" x14ac:dyDescent="0.25">
      <c r="A3138" s="1" t="s">
        <v>3261</v>
      </c>
      <c r="B3138" s="76">
        <v>60.723526</v>
      </c>
      <c r="C3138" s="76">
        <v>60.840584</v>
      </c>
      <c r="D3138" s="76">
        <v>60.255294999999997</v>
      </c>
      <c r="E3138" s="76">
        <v>60.474777000000003</v>
      </c>
      <c r="F3138" s="76">
        <v>50.267482999999999</v>
      </c>
      <c r="G3138" s="79">
        <v>1450600</v>
      </c>
    </row>
    <row r="3139" spans="1:7" x14ac:dyDescent="0.25">
      <c r="A3139" s="1" t="s">
        <v>3262</v>
      </c>
      <c r="B3139" s="76">
        <v>60.372352999999997</v>
      </c>
      <c r="C3139" s="76">
        <v>60.555256</v>
      </c>
      <c r="D3139" s="76">
        <v>59.713904999999997</v>
      </c>
      <c r="E3139" s="76">
        <v>60.145553999999997</v>
      </c>
      <c r="F3139" s="76">
        <v>49.993823999999996</v>
      </c>
      <c r="G3139" s="79">
        <v>2021800</v>
      </c>
    </row>
    <row r="3140" spans="1:7" x14ac:dyDescent="0.25">
      <c r="A3140" s="1" t="s">
        <v>3263</v>
      </c>
      <c r="B3140" s="76">
        <v>60.160187000000001</v>
      </c>
      <c r="C3140" s="76">
        <v>60.262611</v>
      </c>
      <c r="D3140" s="76">
        <v>58.960345999999902</v>
      </c>
      <c r="E3140" s="76">
        <v>59.062775000000002</v>
      </c>
      <c r="F3140" s="76">
        <v>49.093803000000001</v>
      </c>
      <c r="G3140" s="79">
        <v>1620100</v>
      </c>
    </row>
    <row r="3141" spans="1:7" x14ac:dyDescent="0.25">
      <c r="A3141" s="1" t="s">
        <v>3264</v>
      </c>
      <c r="B3141" s="76">
        <v>59.370049000000002</v>
      </c>
      <c r="C3141" s="76">
        <v>59.545634999999997</v>
      </c>
      <c r="D3141" s="76">
        <v>58.711601000000002</v>
      </c>
      <c r="E3141" s="76">
        <v>58.931083999999998</v>
      </c>
      <c r="F3141" s="76">
        <v>48.984344</v>
      </c>
      <c r="G3141" s="79">
        <v>1450800</v>
      </c>
    </row>
    <row r="3142" spans="1:7" x14ac:dyDescent="0.25">
      <c r="A3142" s="1" t="s">
        <v>3265</v>
      </c>
      <c r="B3142" s="76">
        <v>58.448222999999999</v>
      </c>
      <c r="C3142" s="76">
        <v>58.704284999999999</v>
      </c>
      <c r="D3142" s="76">
        <v>58.075099999999999</v>
      </c>
      <c r="E3142" s="76">
        <v>58.382378000000003</v>
      </c>
      <c r="F3142" s="76">
        <v>48.528270999999997</v>
      </c>
      <c r="G3142" s="79">
        <v>1019000</v>
      </c>
    </row>
    <row r="3143" spans="1:7" x14ac:dyDescent="0.25">
      <c r="A3143" s="1" t="s">
        <v>3266</v>
      </c>
      <c r="B3143" s="76">
        <v>58.477485999999999</v>
      </c>
      <c r="C3143" s="76">
        <v>58.894505000000002</v>
      </c>
      <c r="D3143" s="76">
        <v>58.236052999999998</v>
      </c>
      <c r="E3143" s="76">
        <v>58.762813999999999</v>
      </c>
      <c r="F3143" s="76">
        <v>48.844481999999999</v>
      </c>
      <c r="G3143" s="79">
        <v>1303200</v>
      </c>
    </row>
    <row r="3144" spans="1:7" x14ac:dyDescent="0.25">
      <c r="A3144" s="1" t="s">
        <v>3267</v>
      </c>
      <c r="B3144" s="76">
        <v>59.018875000000001</v>
      </c>
      <c r="C3144" s="76">
        <v>59.209094999999998</v>
      </c>
      <c r="D3144" s="76">
        <v>58.536014999999999</v>
      </c>
      <c r="E3144" s="76">
        <v>59.040824999999998</v>
      </c>
      <c r="F3144" s="76">
        <v>49.075564999999997</v>
      </c>
      <c r="G3144" s="79">
        <v>863300</v>
      </c>
    </row>
    <row r="3145" spans="1:7" x14ac:dyDescent="0.25">
      <c r="A3145" s="1" t="s">
        <v>3268</v>
      </c>
      <c r="B3145" s="76">
        <v>58.711601000000002</v>
      </c>
      <c r="C3145" s="76">
        <v>59.596848000000001</v>
      </c>
      <c r="D3145" s="76">
        <v>58.397006999999903</v>
      </c>
      <c r="E3145" s="76">
        <v>59.596848000000001</v>
      </c>
      <c r="F3145" s="76">
        <v>49.537742999999999</v>
      </c>
      <c r="G3145" s="79">
        <v>861600</v>
      </c>
    </row>
    <row r="3146" spans="1:7" x14ac:dyDescent="0.25">
      <c r="A3146" s="1" t="s">
        <v>3269</v>
      </c>
      <c r="B3146" s="76">
        <v>60.094341</v>
      </c>
      <c r="C3146" s="76">
        <v>61.440502000000002</v>
      </c>
      <c r="D3146" s="76">
        <v>60.028495999999997</v>
      </c>
      <c r="E3146" s="76">
        <v>61.440502000000002</v>
      </c>
      <c r="F3146" s="76">
        <v>51.070217</v>
      </c>
      <c r="G3146" s="79">
        <v>1534500</v>
      </c>
    </row>
    <row r="3147" spans="1:7" x14ac:dyDescent="0.25">
      <c r="A3147" s="1" t="s">
        <v>3270</v>
      </c>
      <c r="B3147" s="76">
        <v>61.250281999999899</v>
      </c>
      <c r="C3147" s="76">
        <v>61.813621999999903</v>
      </c>
      <c r="D3147" s="76">
        <v>60.606468</v>
      </c>
      <c r="E3147" s="76">
        <v>61.813621999999903</v>
      </c>
      <c r="F3147" s="76">
        <v>51.380352000000002</v>
      </c>
      <c r="G3147" s="79">
        <v>1655700</v>
      </c>
    </row>
    <row r="3148" spans="1:7" x14ac:dyDescent="0.25">
      <c r="A3148" s="1" t="s">
        <v>3271</v>
      </c>
      <c r="B3148" s="76">
        <v>61.842888000000002</v>
      </c>
      <c r="C3148" s="76">
        <v>62.398910999999998</v>
      </c>
      <c r="D3148" s="76">
        <v>61.696564000000002</v>
      </c>
      <c r="E3148" s="76">
        <v>62.011153999999998</v>
      </c>
      <c r="F3148" s="76">
        <v>51.544536999999998</v>
      </c>
      <c r="G3148" s="79">
        <v>1002800</v>
      </c>
    </row>
    <row r="3149" spans="1:7" x14ac:dyDescent="0.25">
      <c r="A3149" s="1" t="s">
        <v>3272</v>
      </c>
      <c r="B3149" s="76">
        <v>61.850200999999998</v>
      </c>
      <c r="C3149" s="76">
        <v>62.259903000000001</v>
      </c>
      <c r="D3149" s="76">
        <v>61.564877000000003</v>
      </c>
      <c r="E3149" s="76">
        <v>61.967257999999902</v>
      </c>
      <c r="F3149" s="76">
        <v>51.508057000000001</v>
      </c>
      <c r="G3149" s="79">
        <v>741600</v>
      </c>
    </row>
    <row r="3150" spans="1:7" x14ac:dyDescent="0.25">
      <c r="A3150" s="1" t="s">
        <v>3273</v>
      </c>
      <c r="B3150" s="76">
        <v>61.257598999999999</v>
      </c>
      <c r="C3150" s="76">
        <v>62.025787000000001</v>
      </c>
      <c r="D3150" s="76">
        <v>61.169806999999899</v>
      </c>
      <c r="E3150" s="76">
        <v>61.945312999999999</v>
      </c>
      <c r="F3150" s="76">
        <v>51.489826000000001</v>
      </c>
      <c r="G3150" s="79">
        <v>1000700</v>
      </c>
    </row>
    <row r="3151" spans="1:7" x14ac:dyDescent="0.25">
      <c r="A3151" s="1" t="s">
        <v>3274</v>
      </c>
      <c r="B3151" s="76">
        <v>61.820937999999998</v>
      </c>
      <c r="C3151" s="76">
        <v>61.937995999999998</v>
      </c>
      <c r="D3151" s="76">
        <v>61.389290000000003</v>
      </c>
      <c r="E3151" s="76">
        <v>61.857517000000001</v>
      </c>
      <c r="F3151" s="76">
        <v>51.416835999999897</v>
      </c>
      <c r="G3151" s="79">
        <v>1675400</v>
      </c>
    </row>
    <row r="3152" spans="1:7" x14ac:dyDescent="0.25">
      <c r="A3152" s="1" t="s">
        <v>3275</v>
      </c>
      <c r="B3152" s="76">
        <v>62.084316000000001</v>
      </c>
      <c r="C3152" s="76">
        <v>62.186740999999998</v>
      </c>
      <c r="D3152" s="76">
        <v>60.964953999999999</v>
      </c>
      <c r="E3152" s="76">
        <v>61.242966000000003</v>
      </c>
      <c r="F3152" s="76">
        <v>50.906025</v>
      </c>
      <c r="G3152" s="79">
        <v>1616100</v>
      </c>
    </row>
    <row r="3153" spans="1:7" x14ac:dyDescent="0.25">
      <c r="A3153" s="1" t="s">
        <v>3276</v>
      </c>
      <c r="B3153" s="76">
        <v>61.228335999999999</v>
      </c>
      <c r="C3153" s="76">
        <v>61.667301000000002</v>
      </c>
      <c r="D3153" s="76">
        <v>60.716208999999999</v>
      </c>
      <c r="E3153" s="76">
        <v>61.528293999999903</v>
      </c>
      <c r="F3153" s="76">
        <v>51.143188000000002</v>
      </c>
      <c r="G3153" s="79">
        <v>1444900</v>
      </c>
    </row>
    <row r="3154" spans="1:7" x14ac:dyDescent="0.25">
      <c r="A3154" s="1" t="s">
        <v>3277</v>
      </c>
      <c r="B3154" s="76">
        <v>60.752789</v>
      </c>
      <c r="C3154" s="76">
        <v>61.996524999999998</v>
      </c>
      <c r="D3154" s="76">
        <v>60.701576000000003</v>
      </c>
      <c r="E3154" s="76">
        <v>61.667301000000002</v>
      </c>
      <c r="F3154" s="76">
        <v>51.258735999999999</v>
      </c>
      <c r="G3154" s="79">
        <v>1437600</v>
      </c>
    </row>
    <row r="3155" spans="1:7" x14ac:dyDescent="0.25">
      <c r="A3155" s="1" t="s">
        <v>3278</v>
      </c>
      <c r="B3155" s="76">
        <v>61.806305000000002</v>
      </c>
      <c r="C3155" s="76">
        <v>62.808608999999997</v>
      </c>
      <c r="D3155" s="76">
        <v>61.608771999999902</v>
      </c>
      <c r="E3155" s="76">
        <v>62.801291999999997</v>
      </c>
      <c r="F3155" s="76">
        <v>52.201321</v>
      </c>
      <c r="G3155" s="79">
        <v>1642200</v>
      </c>
    </row>
    <row r="3156" spans="1:7" x14ac:dyDescent="0.25">
      <c r="A3156" s="1" t="s">
        <v>3279</v>
      </c>
      <c r="B3156" s="76">
        <v>62.845188</v>
      </c>
      <c r="C3156" s="76">
        <v>63.181728</v>
      </c>
      <c r="D3156" s="76">
        <v>62.369643999999901</v>
      </c>
      <c r="E3156" s="76">
        <v>62.903717</v>
      </c>
      <c r="F3156" s="76">
        <v>52.286448999999998</v>
      </c>
      <c r="G3156" s="79">
        <v>1078900</v>
      </c>
    </row>
    <row r="3157" spans="1:7" x14ac:dyDescent="0.25">
      <c r="A3157" s="1" t="s">
        <v>3280</v>
      </c>
      <c r="B3157" s="76">
        <v>62.932982999999901</v>
      </c>
      <c r="C3157" s="76">
        <v>63.328052999999997</v>
      </c>
      <c r="D3157" s="76">
        <v>62.347693999999997</v>
      </c>
      <c r="E3157" s="76">
        <v>63.247574</v>
      </c>
      <c r="F3157" s="76">
        <v>52.572272999999903</v>
      </c>
      <c r="G3157" s="79">
        <v>1022800</v>
      </c>
    </row>
    <row r="3158" spans="1:7" x14ac:dyDescent="0.25">
      <c r="A3158" s="1" t="s">
        <v>3281</v>
      </c>
      <c r="B3158" s="76">
        <v>63.0134579999999</v>
      </c>
      <c r="C3158" s="76">
        <v>63.254890000000003</v>
      </c>
      <c r="D3158" s="76">
        <v>62.347693999999997</v>
      </c>
      <c r="E3158" s="76">
        <v>62.618392999999998</v>
      </c>
      <c r="F3158" s="76">
        <v>52.049289999999999</v>
      </c>
      <c r="G3158" s="79">
        <v>824000</v>
      </c>
    </row>
    <row r="3159" spans="1:7" x14ac:dyDescent="0.25">
      <c r="A3159" s="1" t="s">
        <v>3282</v>
      </c>
      <c r="B3159" s="76">
        <v>62.647655</v>
      </c>
      <c r="C3159" s="76">
        <v>62.728133999999997</v>
      </c>
      <c r="D3159" s="76">
        <v>61.1478579999999</v>
      </c>
      <c r="E3159" s="76">
        <v>61.733142999999998</v>
      </c>
      <c r="F3159" s="76">
        <v>51.313460999999997</v>
      </c>
      <c r="G3159" s="79">
        <v>1425900</v>
      </c>
    </row>
    <row r="3160" spans="1:7" x14ac:dyDescent="0.25">
      <c r="A3160" s="1" t="s">
        <v>3283</v>
      </c>
      <c r="B3160" s="76">
        <v>61.616089000000002</v>
      </c>
      <c r="C3160" s="76">
        <v>61.967257999999902</v>
      </c>
      <c r="D3160" s="76">
        <v>60.913741999999999</v>
      </c>
      <c r="E3160" s="76">
        <v>61.074695999999904</v>
      </c>
      <c r="F3160" s="76">
        <v>50.766143999999997</v>
      </c>
      <c r="G3160" s="79">
        <v>1768000</v>
      </c>
    </row>
    <row r="3161" spans="1:7" x14ac:dyDescent="0.25">
      <c r="A3161" s="1" t="s">
        <v>3284</v>
      </c>
      <c r="B3161" s="76">
        <v>60.430881999999997</v>
      </c>
      <c r="C3161" s="76">
        <v>60.672314</v>
      </c>
      <c r="D3161" s="76">
        <v>59.962649999999996</v>
      </c>
      <c r="E3161" s="76">
        <v>60.255294999999997</v>
      </c>
      <c r="F3161" s="76">
        <v>50.085045000000001</v>
      </c>
      <c r="G3161" s="79">
        <v>992800</v>
      </c>
    </row>
    <row r="3162" spans="1:7" x14ac:dyDescent="0.25">
      <c r="A3162" s="1" t="s">
        <v>3285</v>
      </c>
      <c r="B3162" s="76">
        <v>60.167503000000004</v>
      </c>
      <c r="C3162" s="76">
        <v>60.394302000000003</v>
      </c>
      <c r="D3162" s="76">
        <v>59.187144999999902</v>
      </c>
      <c r="E3162" s="76">
        <v>59.691955999999998</v>
      </c>
      <c r="F3162" s="76">
        <v>49.616795000000003</v>
      </c>
      <c r="G3162" s="79">
        <v>1093500</v>
      </c>
    </row>
    <row r="3163" spans="1:7" x14ac:dyDescent="0.25">
      <c r="A3163" s="1" t="s">
        <v>3286</v>
      </c>
      <c r="B3163" s="76">
        <v>59.948020999999997</v>
      </c>
      <c r="C3163" s="76">
        <v>60.035812</v>
      </c>
      <c r="D3163" s="76">
        <v>59.209094999999998</v>
      </c>
      <c r="E3163" s="76">
        <v>59.582214</v>
      </c>
      <c r="F3163" s="76">
        <v>49.525570000000002</v>
      </c>
      <c r="G3163" s="79">
        <v>937800</v>
      </c>
    </row>
    <row r="3164" spans="1:7" x14ac:dyDescent="0.25">
      <c r="A3164" s="1" t="s">
        <v>3287</v>
      </c>
      <c r="B3164" s="76">
        <v>60.416247999999896</v>
      </c>
      <c r="C3164" s="76">
        <v>60.730843</v>
      </c>
      <c r="D3164" s="76">
        <v>59.889491999999997</v>
      </c>
      <c r="E3164" s="76">
        <v>60.445515</v>
      </c>
      <c r="F3164" s="76">
        <v>50.243155999999999</v>
      </c>
      <c r="G3164" s="79">
        <v>1493100</v>
      </c>
    </row>
    <row r="3165" spans="1:7" x14ac:dyDescent="0.25">
      <c r="A3165" s="1" t="s">
        <v>3288</v>
      </c>
      <c r="B3165" s="76">
        <v>60.730843</v>
      </c>
      <c r="C3165" s="76">
        <v>61.389290000000003</v>
      </c>
      <c r="D3165" s="76">
        <v>60.591834999999897</v>
      </c>
      <c r="E3165" s="76">
        <v>60.979588</v>
      </c>
      <c r="F3165" s="76">
        <v>50.687095999999997</v>
      </c>
      <c r="G3165" s="79">
        <v>1341000</v>
      </c>
    </row>
    <row r="3166" spans="1:7" x14ac:dyDescent="0.25">
      <c r="A3166" s="1" t="s">
        <v>3289</v>
      </c>
      <c r="B3166" s="76">
        <v>60.855212999999999</v>
      </c>
      <c r="C3166" s="76">
        <v>61.564877000000003</v>
      </c>
      <c r="D3166" s="76">
        <v>60.716208999999999</v>
      </c>
      <c r="E3166" s="76">
        <v>61.345390000000002</v>
      </c>
      <c r="F3166" s="76">
        <v>50.991153999999902</v>
      </c>
      <c r="G3166" s="79">
        <v>1047900</v>
      </c>
    </row>
    <row r="3167" spans="1:7" x14ac:dyDescent="0.25">
      <c r="A3167" s="1" t="s">
        <v>3290</v>
      </c>
      <c r="B3167" s="76">
        <v>61.294178000000002</v>
      </c>
      <c r="C3167" s="76">
        <v>61.323443999999903</v>
      </c>
      <c r="D3167" s="76">
        <v>60.86253</v>
      </c>
      <c r="E3167" s="76">
        <v>61.089328999999999</v>
      </c>
      <c r="F3167" s="76">
        <v>50.778304999999897</v>
      </c>
      <c r="G3167" s="79">
        <v>1350100</v>
      </c>
    </row>
    <row r="3168" spans="1:7" x14ac:dyDescent="0.25">
      <c r="A3168" s="1" t="s">
        <v>3291</v>
      </c>
      <c r="B3168" s="76">
        <v>61.389290000000003</v>
      </c>
      <c r="C3168" s="76">
        <v>61.952629000000002</v>
      </c>
      <c r="D3168" s="76">
        <v>61.082011999999999</v>
      </c>
      <c r="E3168" s="76">
        <v>61.3746569999999</v>
      </c>
      <c r="F3168" s="76">
        <v>51.015479999999997</v>
      </c>
      <c r="G3168" s="79">
        <v>1620500</v>
      </c>
    </row>
    <row r="3169" spans="1:7" x14ac:dyDescent="0.25">
      <c r="A3169" s="1" t="s">
        <v>3292</v>
      </c>
      <c r="B3169" s="76">
        <v>60.869845999999903</v>
      </c>
      <c r="C3169" s="76">
        <v>61.403918999999902</v>
      </c>
      <c r="D3169" s="76">
        <v>60.672314</v>
      </c>
      <c r="E3169" s="76">
        <v>61.403918999999902</v>
      </c>
      <c r="F3169" s="76">
        <v>51.039799000000002</v>
      </c>
      <c r="G3169" s="79">
        <v>1071000</v>
      </c>
    </row>
    <row r="3170" spans="1:7" x14ac:dyDescent="0.25">
      <c r="A3170" s="1" t="s">
        <v>3293</v>
      </c>
      <c r="B3170" s="76">
        <v>61.886783999999999</v>
      </c>
      <c r="C3170" s="76">
        <v>62.903717</v>
      </c>
      <c r="D3170" s="76">
        <v>61.835570999999902</v>
      </c>
      <c r="E3170" s="76">
        <v>62.662289000000001</v>
      </c>
      <c r="F3170" s="76">
        <v>52.085772999999897</v>
      </c>
      <c r="G3170" s="79">
        <v>1355300</v>
      </c>
    </row>
    <row r="3171" spans="1:7" x14ac:dyDescent="0.25">
      <c r="A3171" s="1" t="s">
        <v>3294</v>
      </c>
      <c r="B3171" s="76">
        <v>62.801291999999997</v>
      </c>
      <c r="C3171" s="76">
        <v>62.918349999999997</v>
      </c>
      <c r="D3171" s="76">
        <v>62.355010999999998</v>
      </c>
      <c r="E3171" s="76">
        <v>62.625706000000001</v>
      </c>
      <c r="F3171" s="76">
        <v>52.055359000000003</v>
      </c>
      <c r="G3171" s="79">
        <v>1105800</v>
      </c>
    </row>
    <row r="3172" spans="1:7" x14ac:dyDescent="0.25">
      <c r="A3172" s="1" t="s">
        <v>3295</v>
      </c>
      <c r="B3172" s="76">
        <v>62.647655</v>
      </c>
      <c r="C3172" s="76">
        <v>62.647655</v>
      </c>
      <c r="D3172" s="76">
        <v>60.979588</v>
      </c>
      <c r="E3172" s="76">
        <v>61.155174000000002</v>
      </c>
      <c r="F3172" s="76">
        <v>50.833038000000002</v>
      </c>
      <c r="G3172" s="79">
        <v>1756800</v>
      </c>
    </row>
    <row r="3173" spans="1:7" x14ac:dyDescent="0.25">
      <c r="A3173" s="1" t="s">
        <v>3296</v>
      </c>
      <c r="B3173" s="76">
        <v>60.760105000000003</v>
      </c>
      <c r="C3173" s="76">
        <v>60.760105000000003</v>
      </c>
      <c r="D3173" s="76">
        <v>59.428576999999997</v>
      </c>
      <c r="E3173" s="76">
        <v>59.699272000000001</v>
      </c>
      <c r="F3173" s="76">
        <v>50.035899999999998</v>
      </c>
      <c r="G3173" s="79">
        <v>1396200</v>
      </c>
    </row>
    <row r="3174" spans="1:7" x14ac:dyDescent="0.25">
      <c r="A3174" s="1" t="s">
        <v>3297</v>
      </c>
      <c r="B3174" s="76">
        <v>59.648060000000001</v>
      </c>
      <c r="C3174" s="76">
        <v>59.750484</v>
      </c>
      <c r="D3174" s="76">
        <v>58.411639999999998</v>
      </c>
      <c r="E3174" s="76">
        <v>58.536014999999999</v>
      </c>
      <c r="F3174" s="76">
        <v>49.060932000000001</v>
      </c>
      <c r="G3174" s="79">
        <v>2335200</v>
      </c>
    </row>
    <row r="3175" spans="1:7" x14ac:dyDescent="0.25">
      <c r="A3175" s="1" t="s">
        <v>3298</v>
      </c>
      <c r="B3175" s="76">
        <v>58.360427999999999</v>
      </c>
      <c r="C3175" s="76">
        <v>58.762813999999999</v>
      </c>
      <c r="D3175" s="76">
        <v>58.162894999999899</v>
      </c>
      <c r="E3175" s="76">
        <v>58.448222999999999</v>
      </c>
      <c r="F3175" s="76">
        <v>48.987358</v>
      </c>
      <c r="G3175" s="79">
        <v>1459000</v>
      </c>
    </row>
    <row r="3176" spans="1:7" x14ac:dyDescent="0.25">
      <c r="A3176" s="1" t="s">
        <v>3299</v>
      </c>
      <c r="B3176" s="76">
        <v>58.609177000000003</v>
      </c>
      <c r="C3176" s="76">
        <v>59.150565999999998</v>
      </c>
      <c r="D3176" s="76">
        <v>58.397006999999903</v>
      </c>
      <c r="E3176" s="76">
        <v>59.084720999999902</v>
      </c>
      <c r="F3176" s="76">
        <v>49.520823999999998</v>
      </c>
      <c r="G3176" s="79">
        <v>1231200</v>
      </c>
    </row>
    <row r="3177" spans="1:7" x14ac:dyDescent="0.25">
      <c r="A3177" s="1" t="s">
        <v>3300</v>
      </c>
      <c r="B3177" s="76">
        <v>59.172516000000002</v>
      </c>
      <c r="C3177" s="76">
        <v>59.545634999999997</v>
      </c>
      <c r="D3177" s="76">
        <v>58.872554999999998</v>
      </c>
      <c r="E3177" s="76">
        <v>59.274940000000001</v>
      </c>
      <c r="F3177" s="76">
        <v>49.680256</v>
      </c>
      <c r="G3177" s="79">
        <v>1549000</v>
      </c>
    </row>
    <row r="3178" spans="1:7" x14ac:dyDescent="0.25">
      <c r="A3178" s="1" t="s">
        <v>3301</v>
      </c>
      <c r="B3178" s="76">
        <v>59.113987000000002</v>
      </c>
      <c r="C3178" s="76">
        <v>59.684638999999997</v>
      </c>
      <c r="D3178" s="76">
        <v>59.055457999999902</v>
      </c>
      <c r="E3178" s="76">
        <v>59.567580999999997</v>
      </c>
      <c r="F3178" s="76">
        <v>49.925517999999997</v>
      </c>
      <c r="G3178" s="79">
        <v>944100</v>
      </c>
    </row>
    <row r="3179" spans="1:7" x14ac:dyDescent="0.25">
      <c r="A3179" s="1" t="s">
        <v>3302</v>
      </c>
      <c r="B3179" s="76">
        <v>59.626109999999997</v>
      </c>
      <c r="C3179" s="76">
        <v>59.882174999999997</v>
      </c>
      <c r="D3179" s="76">
        <v>59.172516000000002</v>
      </c>
      <c r="E3179" s="76">
        <v>59.750484</v>
      </c>
      <c r="F3179" s="76">
        <v>50.078814999999999</v>
      </c>
      <c r="G3179" s="79">
        <v>871200</v>
      </c>
    </row>
    <row r="3180" spans="1:7" x14ac:dyDescent="0.25">
      <c r="A3180" s="1" t="s">
        <v>3303</v>
      </c>
      <c r="B3180" s="76">
        <v>59.933388000000001</v>
      </c>
      <c r="C3180" s="76">
        <v>60.2333449999999</v>
      </c>
      <c r="D3180" s="76">
        <v>59.765118000000001</v>
      </c>
      <c r="E3180" s="76">
        <v>60.211399</v>
      </c>
      <c r="F3180" s="76">
        <v>50.465130000000002</v>
      </c>
      <c r="G3180" s="79">
        <v>1046300</v>
      </c>
    </row>
    <row r="3181" spans="1:7" x14ac:dyDescent="0.25">
      <c r="A3181" s="1" t="s">
        <v>3304</v>
      </c>
      <c r="B3181" s="76">
        <v>60.065075</v>
      </c>
      <c r="C3181" s="76">
        <v>60.152869999999901</v>
      </c>
      <c r="D3181" s="76">
        <v>59.391998000000001</v>
      </c>
      <c r="E3181" s="76">
        <v>59.809013</v>
      </c>
      <c r="F3181" s="76">
        <v>50.127879999999998</v>
      </c>
      <c r="G3181" s="79">
        <v>1005300</v>
      </c>
    </row>
    <row r="3182" spans="1:7" x14ac:dyDescent="0.25">
      <c r="A3182" s="1" t="s">
        <v>3305</v>
      </c>
      <c r="B3182" s="76">
        <v>59.911437999999997</v>
      </c>
      <c r="C3182" s="76">
        <v>60.657680999999997</v>
      </c>
      <c r="D3182" s="76">
        <v>59.845592000000003</v>
      </c>
      <c r="E3182" s="76">
        <v>60.621097999999897</v>
      </c>
      <c r="F3182" s="76">
        <v>50.808506000000001</v>
      </c>
      <c r="G3182" s="79">
        <v>1356500</v>
      </c>
    </row>
    <row r="3183" spans="1:7" x14ac:dyDescent="0.25">
      <c r="A3183" s="1" t="s">
        <v>3306</v>
      </c>
      <c r="B3183" s="76">
        <v>60.445515</v>
      </c>
      <c r="C3183" s="76">
        <v>60.504043999999901</v>
      </c>
      <c r="D3183" s="76">
        <v>59.501739999999998</v>
      </c>
      <c r="E3183" s="76">
        <v>60.277244999999901</v>
      </c>
      <c r="F3183" s="76">
        <v>50.520316999999999</v>
      </c>
      <c r="G3183" s="79">
        <v>1159900</v>
      </c>
    </row>
    <row r="3184" spans="1:7" x14ac:dyDescent="0.25">
      <c r="A3184" s="1" t="s">
        <v>3307</v>
      </c>
      <c r="B3184" s="76">
        <v>60.152869999999901</v>
      </c>
      <c r="C3184" s="76">
        <v>60.269928</v>
      </c>
      <c r="D3184" s="76">
        <v>59.531002000000001</v>
      </c>
      <c r="E3184" s="76">
        <v>59.684638999999997</v>
      </c>
      <c r="F3184" s="76">
        <v>50.023643</v>
      </c>
      <c r="G3184" s="79">
        <v>691900</v>
      </c>
    </row>
    <row r="3185" spans="1:7" x14ac:dyDescent="0.25">
      <c r="A3185" s="1" t="s">
        <v>3308</v>
      </c>
      <c r="B3185" s="76">
        <v>59.523685</v>
      </c>
      <c r="C3185" s="76">
        <v>60.160187000000001</v>
      </c>
      <c r="D3185" s="76">
        <v>59.326152999999998</v>
      </c>
      <c r="E3185" s="76">
        <v>60.065075</v>
      </c>
      <c r="F3185" s="76">
        <v>50.342486999999998</v>
      </c>
      <c r="G3185" s="79">
        <v>753700</v>
      </c>
    </row>
    <row r="3186" spans="1:7" x14ac:dyDescent="0.25">
      <c r="A3186" s="1" t="s">
        <v>3309</v>
      </c>
      <c r="B3186" s="76">
        <v>60.174819999999997</v>
      </c>
      <c r="C3186" s="76">
        <v>60.306506999999897</v>
      </c>
      <c r="D3186" s="76">
        <v>59.830962999999997</v>
      </c>
      <c r="E3186" s="76">
        <v>60.152869999999901</v>
      </c>
      <c r="F3186" s="76">
        <v>50.416077000000001</v>
      </c>
      <c r="G3186" s="79">
        <v>728700</v>
      </c>
    </row>
    <row r="3187" spans="1:7" x14ac:dyDescent="0.25">
      <c r="A3187" s="1" t="s">
        <v>3310</v>
      </c>
      <c r="B3187" s="76">
        <v>59.926070999999901</v>
      </c>
      <c r="C3187" s="76">
        <v>60.130919999999897</v>
      </c>
      <c r="D3187" s="76">
        <v>59.362731999999902</v>
      </c>
      <c r="E3187" s="76">
        <v>59.926070999999901</v>
      </c>
      <c r="F3187" s="76">
        <v>50.225985999999999</v>
      </c>
      <c r="G3187" s="79">
        <v>774000</v>
      </c>
    </row>
    <row r="3188" spans="1:7" x14ac:dyDescent="0.25">
      <c r="A3188" s="1" t="s">
        <v>3311</v>
      </c>
      <c r="B3188" s="76">
        <v>59.962649999999996</v>
      </c>
      <c r="C3188" s="76">
        <v>60.043129</v>
      </c>
      <c r="D3188" s="76">
        <v>59.487105999999997</v>
      </c>
      <c r="E3188" s="76">
        <v>59.896808999999998</v>
      </c>
      <c r="F3188" s="76">
        <v>50.201461999999999</v>
      </c>
      <c r="G3188" s="79">
        <v>835100</v>
      </c>
    </row>
    <row r="3189" spans="1:7" x14ac:dyDescent="0.25">
      <c r="A3189" s="1" t="s">
        <v>3312</v>
      </c>
      <c r="B3189" s="76">
        <v>59.545634999999997</v>
      </c>
      <c r="C3189" s="76">
        <v>59.626109999999997</v>
      </c>
      <c r="D3189" s="76">
        <v>58.953029999999998</v>
      </c>
      <c r="E3189" s="76">
        <v>59.121299999999998</v>
      </c>
      <c r="F3189" s="76">
        <v>49.551490999999999</v>
      </c>
      <c r="G3189" s="79">
        <v>1301900</v>
      </c>
    </row>
    <row r="3190" spans="1:7" x14ac:dyDescent="0.25">
      <c r="A3190" s="1" t="s">
        <v>3313</v>
      </c>
      <c r="B3190" s="76">
        <v>59.413943999999901</v>
      </c>
      <c r="C3190" s="76">
        <v>59.589531000000001</v>
      </c>
      <c r="D3190" s="76">
        <v>59.018875000000001</v>
      </c>
      <c r="E3190" s="76">
        <v>59.384681999999998</v>
      </c>
      <c r="F3190" s="76">
        <v>49.772235999999999</v>
      </c>
      <c r="G3190" s="79">
        <v>1659100</v>
      </c>
    </row>
    <row r="3191" spans="1:7" x14ac:dyDescent="0.25">
      <c r="A3191" s="1" t="s">
        <v>3314</v>
      </c>
      <c r="B3191" s="76">
        <v>59.413943999999901</v>
      </c>
      <c r="C3191" s="76">
        <v>59.538318999999902</v>
      </c>
      <c r="D3191" s="76">
        <v>58.799393000000002</v>
      </c>
      <c r="E3191" s="76">
        <v>59.516368999999997</v>
      </c>
      <c r="F3191" s="76">
        <v>49.882603000000003</v>
      </c>
      <c r="G3191" s="79">
        <v>1070000</v>
      </c>
    </row>
    <row r="3192" spans="1:7" x14ac:dyDescent="0.25">
      <c r="A3192" s="1" t="s">
        <v>3315</v>
      </c>
      <c r="B3192" s="76">
        <v>59.662692999999997</v>
      </c>
      <c r="C3192" s="76">
        <v>59.955333999999901</v>
      </c>
      <c r="D3192" s="76">
        <v>59.055457999999902</v>
      </c>
      <c r="E3192" s="76">
        <v>59.348098999999998</v>
      </c>
      <c r="F3192" s="76">
        <v>49.741562000000002</v>
      </c>
      <c r="G3192" s="79">
        <v>1002300</v>
      </c>
    </row>
    <row r="3193" spans="1:7" x14ac:dyDescent="0.25">
      <c r="A3193" s="1" t="s">
        <v>3316</v>
      </c>
      <c r="B3193" s="76">
        <v>59.626109999999997</v>
      </c>
      <c r="C3193" s="76">
        <v>59.926070999999901</v>
      </c>
      <c r="D3193" s="76">
        <v>59.494422999999998</v>
      </c>
      <c r="E3193" s="76">
        <v>59.713904999999997</v>
      </c>
      <c r="F3193" s="76">
        <v>50.048167999999997</v>
      </c>
      <c r="G3193" s="79">
        <v>1247800</v>
      </c>
    </row>
    <row r="3194" spans="1:7" x14ac:dyDescent="0.25">
      <c r="A3194" s="1" t="s">
        <v>3317</v>
      </c>
      <c r="B3194" s="76">
        <v>59.787064000000001</v>
      </c>
      <c r="C3194" s="76">
        <v>60.189448999999897</v>
      </c>
      <c r="D3194" s="76">
        <v>59.772433999999997</v>
      </c>
      <c r="E3194" s="76">
        <v>59.904120999999897</v>
      </c>
      <c r="F3194" s="76">
        <v>50.207591999999998</v>
      </c>
      <c r="G3194" s="79">
        <v>825800</v>
      </c>
    </row>
    <row r="3195" spans="1:7" x14ac:dyDescent="0.25">
      <c r="A3195" s="1" t="s">
        <v>3318</v>
      </c>
      <c r="B3195" s="76">
        <v>60.299191</v>
      </c>
      <c r="C3195" s="76">
        <v>60.299191</v>
      </c>
      <c r="D3195" s="76">
        <v>59.545634999999997</v>
      </c>
      <c r="E3195" s="76">
        <v>59.867542</v>
      </c>
      <c r="F3195" s="76">
        <v>50.176932999999998</v>
      </c>
      <c r="G3195" s="79">
        <v>983900</v>
      </c>
    </row>
    <row r="3196" spans="1:7" x14ac:dyDescent="0.25">
      <c r="A3196" s="1" t="s">
        <v>3319</v>
      </c>
      <c r="B3196" s="76">
        <v>59.867542</v>
      </c>
      <c r="C3196" s="76">
        <v>60.313823999999997</v>
      </c>
      <c r="D3196" s="76">
        <v>59.809013</v>
      </c>
      <c r="E3196" s="76">
        <v>60.269928</v>
      </c>
      <c r="F3196" s="76">
        <v>50.514183000000003</v>
      </c>
      <c r="G3196" s="79">
        <v>852000</v>
      </c>
    </row>
    <row r="3197" spans="1:7" x14ac:dyDescent="0.25">
      <c r="A3197" s="1" t="s">
        <v>3320</v>
      </c>
      <c r="B3197" s="76">
        <v>60.445515</v>
      </c>
      <c r="C3197" s="76">
        <v>60.635731</v>
      </c>
      <c r="D3197" s="76">
        <v>60.035812</v>
      </c>
      <c r="E3197" s="76">
        <v>60.452831000000003</v>
      </c>
      <c r="F3197" s="76">
        <v>50.667479999999998</v>
      </c>
      <c r="G3197" s="79">
        <v>905200</v>
      </c>
    </row>
    <row r="3198" spans="1:7" x14ac:dyDescent="0.25">
      <c r="A3198" s="1" t="s">
        <v>3321</v>
      </c>
      <c r="B3198" s="76">
        <v>60.430881999999997</v>
      </c>
      <c r="C3198" s="76">
        <v>61.762408999999998</v>
      </c>
      <c r="D3198" s="76">
        <v>60.291874</v>
      </c>
      <c r="E3198" s="76">
        <v>61.674618000000002</v>
      </c>
      <c r="F3198" s="76">
        <v>51.691497999999903</v>
      </c>
      <c r="G3198" s="79">
        <v>1284900</v>
      </c>
    </row>
    <row r="3199" spans="1:7" x14ac:dyDescent="0.25">
      <c r="A3199" s="1" t="s">
        <v>3322</v>
      </c>
      <c r="B3199" s="76">
        <v>61.872149999999998</v>
      </c>
      <c r="C3199" s="76">
        <v>62.611075999999997</v>
      </c>
      <c r="D3199" s="76">
        <v>61.674618000000002</v>
      </c>
      <c r="E3199" s="76">
        <v>62.274535999999998</v>
      </c>
      <c r="F3199" s="76">
        <v>52.194313000000001</v>
      </c>
      <c r="G3199" s="79">
        <v>1271800</v>
      </c>
    </row>
    <row r="3200" spans="1:7" x14ac:dyDescent="0.25">
      <c r="A3200" s="1" t="s">
        <v>3323</v>
      </c>
      <c r="B3200" s="76">
        <v>62.274535999999998</v>
      </c>
      <c r="C3200" s="76">
        <v>62.786662999999997</v>
      </c>
      <c r="D3200" s="76">
        <v>61.798988000000001</v>
      </c>
      <c r="E3200" s="76">
        <v>61.923363000000002</v>
      </c>
      <c r="F3200" s="76">
        <v>51.899985999999998</v>
      </c>
      <c r="G3200" s="79">
        <v>745900</v>
      </c>
    </row>
    <row r="3201" spans="1:7" x14ac:dyDescent="0.25">
      <c r="A3201" s="1" t="s">
        <v>3324</v>
      </c>
      <c r="B3201" s="76">
        <v>61.879466999999998</v>
      </c>
      <c r="C3201" s="76">
        <v>62.164794999999998</v>
      </c>
      <c r="D3201" s="76">
        <v>61.396605999999998</v>
      </c>
      <c r="E3201" s="76">
        <v>61.762408999999998</v>
      </c>
      <c r="F3201" s="76">
        <v>51.765087000000001</v>
      </c>
      <c r="G3201" s="79">
        <v>1011400</v>
      </c>
    </row>
    <row r="3202" spans="1:7" x14ac:dyDescent="0.25">
      <c r="A3202" s="1" t="s">
        <v>3325</v>
      </c>
      <c r="B3202" s="76">
        <v>61.681930999999999</v>
      </c>
      <c r="C3202" s="76">
        <v>61.894100000000002</v>
      </c>
      <c r="D3202" s="76">
        <v>61.294178000000002</v>
      </c>
      <c r="E3202" s="76">
        <v>61.294178000000002</v>
      </c>
      <c r="F3202" s="76">
        <v>51.37265</v>
      </c>
      <c r="G3202" s="79">
        <v>1213400</v>
      </c>
    </row>
    <row r="3203" spans="1:7" x14ac:dyDescent="0.25">
      <c r="A3203" s="1" t="s">
        <v>3326</v>
      </c>
      <c r="B3203" s="76">
        <v>60.994220999999897</v>
      </c>
      <c r="C3203" s="76">
        <v>60.994220999999897</v>
      </c>
      <c r="D3203" s="76">
        <v>59.816330000000001</v>
      </c>
      <c r="E3203" s="76">
        <v>60.445515</v>
      </c>
      <c r="F3203" s="76">
        <v>50.661346000000002</v>
      </c>
      <c r="G3203" s="79">
        <v>1975500</v>
      </c>
    </row>
    <row r="3204" spans="1:7" x14ac:dyDescent="0.25">
      <c r="A3204" s="1" t="s">
        <v>3327</v>
      </c>
      <c r="B3204" s="76">
        <v>60.811317000000003</v>
      </c>
      <c r="C3204" s="76">
        <v>60.877163000000003</v>
      </c>
      <c r="D3204" s="76">
        <v>60.218716000000001</v>
      </c>
      <c r="E3204" s="76">
        <v>60.226031999999996</v>
      </c>
      <c r="F3204" s="76">
        <v>50.477401999999998</v>
      </c>
      <c r="G3204" s="79">
        <v>5063200</v>
      </c>
    </row>
    <row r="3205" spans="1:7" x14ac:dyDescent="0.25">
      <c r="A3205" s="1" t="s">
        <v>3328</v>
      </c>
      <c r="B3205" s="76">
        <v>59.618797000000001</v>
      </c>
      <c r="C3205" s="76">
        <v>60.686942999999999</v>
      </c>
      <c r="D3205" s="76">
        <v>59.618797000000001</v>
      </c>
      <c r="E3205" s="76">
        <v>60.087024999999997</v>
      </c>
      <c r="F3205" s="76">
        <v>50.360889</v>
      </c>
      <c r="G3205" s="79">
        <v>1532400</v>
      </c>
    </row>
    <row r="3206" spans="1:7" x14ac:dyDescent="0.25">
      <c r="A3206" s="1" t="s">
        <v>3329</v>
      </c>
      <c r="B3206" s="76">
        <v>60.182132999999901</v>
      </c>
      <c r="C3206" s="76">
        <v>60.291874</v>
      </c>
      <c r="D3206" s="76">
        <v>59.128616000000001</v>
      </c>
      <c r="E3206" s="76">
        <v>59.267623999999998</v>
      </c>
      <c r="F3206" s="76">
        <v>49.674129000000001</v>
      </c>
      <c r="G3206" s="79">
        <v>2335200</v>
      </c>
    </row>
    <row r="3207" spans="1:7" x14ac:dyDescent="0.25">
      <c r="A3207" s="1" t="s">
        <v>3330</v>
      </c>
      <c r="B3207" s="76">
        <v>59.194462000000001</v>
      </c>
      <c r="C3207" s="76">
        <v>59.728538999999998</v>
      </c>
      <c r="D3207" s="76">
        <v>59.135932999999902</v>
      </c>
      <c r="E3207" s="76">
        <v>59.194462000000001</v>
      </c>
      <c r="F3207" s="76">
        <v>49.612792999999897</v>
      </c>
      <c r="G3207" s="79">
        <v>1847300</v>
      </c>
    </row>
    <row r="3208" spans="1:7" x14ac:dyDescent="0.25">
      <c r="A3208" s="1" t="s">
        <v>3331</v>
      </c>
      <c r="B3208" s="76">
        <v>59.406627999999998</v>
      </c>
      <c r="C3208" s="76">
        <v>59.874858999999901</v>
      </c>
      <c r="D3208" s="76">
        <v>59.106669999999902</v>
      </c>
      <c r="E3208" s="76">
        <v>59.560268000000001</v>
      </c>
      <c r="F3208" s="76">
        <v>49.919391999999903</v>
      </c>
      <c r="G3208" s="79">
        <v>1337900</v>
      </c>
    </row>
    <row r="3209" spans="1:7" x14ac:dyDescent="0.25">
      <c r="A3209" s="1" t="s">
        <v>3332</v>
      </c>
      <c r="B3209" s="76">
        <v>59.252991000000002</v>
      </c>
      <c r="C3209" s="76">
        <v>59.538318999999902</v>
      </c>
      <c r="D3209" s="76">
        <v>58.909133999999902</v>
      </c>
      <c r="E3209" s="76">
        <v>59.296886000000001</v>
      </c>
      <c r="F3209" s="76">
        <v>49.698642999999997</v>
      </c>
      <c r="G3209" s="79">
        <v>1503200</v>
      </c>
    </row>
    <row r="3210" spans="1:7" x14ac:dyDescent="0.25">
      <c r="A3210" s="1" t="s">
        <v>3333</v>
      </c>
      <c r="B3210" s="76">
        <v>59.531002000000001</v>
      </c>
      <c r="C3210" s="76">
        <v>59.531002000000001</v>
      </c>
      <c r="D3210" s="76">
        <v>58.236052999999998</v>
      </c>
      <c r="E3210" s="76">
        <v>58.740864000000002</v>
      </c>
      <c r="F3210" s="76">
        <v>49.232627999999998</v>
      </c>
      <c r="G3210" s="79">
        <v>1473600</v>
      </c>
    </row>
    <row r="3211" spans="1:7" x14ac:dyDescent="0.25">
      <c r="A3211" s="1" t="s">
        <v>3334</v>
      </c>
      <c r="B3211" s="76">
        <v>59.018875000000001</v>
      </c>
      <c r="C3211" s="76">
        <v>59.252991000000002</v>
      </c>
      <c r="D3211" s="76">
        <v>58.514065000000002</v>
      </c>
      <c r="E3211" s="76">
        <v>59.048141000000001</v>
      </c>
      <c r="F3211" s="76">
        <v>49.490165999999903</v>
      </c>
      <c r="G3211" s="79">
        <v>1372100</v>
      </c>
    </row>
    <row r="3212" spans="1:7" x14ac:dyDescent="0.25">
      <c r="A3212" s="1" t="s">
        <v>3335</v>
      </c>
      <c r="B3212" s="76">
        <v>59.209094999999998</v>
      </c>
      <c r="C3212" s="76">
        <v>59.852908999999997</v>
      </c>
      <c r="D3212" s="76">
        <v>58.865237999999998</v>
      </c>
      <c r="E3212" s="76">
        <v>58.974978999999998</v>
      </c>
      <c r="F3212" s="76">
        <v>49.428843999999998</v>
      </c>
      <c r="G3212" s="79">
        <v>1098100</v>
      </c>
    </row>
    <row r="3213" spans="1:7" x14ac:dyDescent="0.25">
      <c r="A3213" s="1" t="s">
        <v>3336</v>
      </c>
      <c r="B3213" s="76">
        <v>59.216411999999998</v>
      </c>
      <c r="C3213" s="76">
        <v>59.304203000000001</v>
      </c>
      <c r="D3213" s="76">
        <v>58.258003000000002</v>
      </c>
      <c r="E3213" s="76">
        <v>58.375060999999903</v>
      </c>
      <c r="F3213" s="76">
        <v>48.926037000000001</v>
      </c>
      <c r="G3213" s="79">
        <v>1207600</v>
      </c>
    </row>
    <row r="3214" spans="1:7" x14ac:dyDescent="0.25">
      <c r="A3214" s="1" t="s">
        <v>3337</v>
      </c>
      <c r="B3214" s="76">
        <v>58.682334999999902</v>
      </c>
      <c r="C3214" s="76">
        <v>58.989612999999999</v>
      </c>
      <c r="D3214" s="76">
        <v>58.331164999999999</v>
      </c>
      <c r="E3214" s="76">
        <v>58.528697999999999</v>
      </c>
      <c r="F3214" s="76">
        <v>49.054805999999999</v>
      </c>
      <c r="G3214" s="79">
        <v>1001600</v>
      </c>
    </row>
    <row r="3215" spans="1:7" x14ac:dyDescent="0.25">
      <c r="A3215" s="1" t="s">
        <v>3338</v>
      </c>
      <c r="B3215" s="76">
        <v>58.484802000000002</v>
      </c>
      <c r="C3215" s="76">
        <v>58.484802000000002</v>
      </c>
      <c r="D3215" s="76">
        <v>58.031204000000002</v>
      </c>
      <c r="E3215" s="76">
        <v>58.126311999999999</v>
      </c>
      <c r="F3215" s="76">
        <v>48.717556000000002</v>
      </c>
      <c r="G3215" s="79">
        <v>968000</v>
      </c>
    </row>
    <row r="3216" spans="1:7" x14ac:dyDescent="0.25">
      <c r="A3216" s="1" t="s">
        <v>3339</v>
      </c>
      <c r="B3216" s="76">
        <v>58.170211999999999</v>
      </c>
      <c r="C3216" s="76">
        <v>58.528697999999999</v>
      </c>
      <c r="D3216" s="76">
        <v>57.694664000000003</v>
      </c>
      <c r="E3216" s="76">
        <v>57.701981000000004</v>
      </c>
      <c r="F3216" s="76">
        <v>48.361908</v>
      </c>
      <c r="G3216" s="79">
        <v>970200</v>
      </c>
    </row>
    <row r="3217" spans="1:7" x14ac:dyDescent="0.25">
      <c r="A3217" s="1" t="s">
        <v>3340</v>
      </c>
      <c r="B3217" s="76">
        <v>57.884884</v>
      </c>
      <c r="C3217" s="76">
        <v>57.979992000000003</v>
      </c>
      <c r="D3217" s="76">
        <v>57.519077000000003</v>
      </c>
      <c r="E3217" s="76">
        <v>57.767825999999999</v>
      </c>
      <c r="F3217" s="76">
        <v>48.417095000000003</v>
      </c>
      <c r="G3217" s="79">
        <v>1036900</v>
      </c>
    </row>
    <row r="3218" spans="1:7" x14ac:dyDescent="0.25">
      <c r="A3218" s="1" t="s">
        <v>3341</v>
      </c>
      <c r="B3218" s="76">
        <v>58.075099999999999</v>
      </c>
      <c r="C3218" s="76">
        <v>58.258003000000002</v>
      </c>
      <c r="D3218" s="76">
        <v>57.760508999999999</v>
      </c>
      <c r="E3218" s="76">
        <v>57.811721999999897</v>
      </c>
      <c r="F3218" s="76">
        <v>48.453884000000002</v>
      </c>
      <c r="G3218" s="79">
        <v>926800</v>
      </c>
    </row>
    <row r="3219" spans="1:7" x14ac:dyDescent="0.25">
      <c r="A3219" s="1" t="s">
        <v>3342</v>
      </c>
      <c r="B3219" s="76">
        <v>57.782458999999903</v>
      </c>
      <c r="C3219" s="76">
        <v>58.279952999999999</v>
      </c>
      <c r="D3219" s="76">
        <v>57.328860999999897</v>
      </c>
      <c r="E3219" s="76">
        <v>57.4239689999999</v>
      </c>
      <c r="F3219" s="76">
        <v>48.128901999999997</v>
      </c>
      <c r="G3219" s="79">
        <v>744700</v>
      </c>
    </row>
    <row r="3220" spans="1:7" x14ac:dyDescent="0.25">
      <c r="A3220" s="1" t="s">
        <v>3343</v>
      </c>
      <c r="B3220" s="76">
        <v>57.4239689999999</v>
      </c>
      <c r="C3220" s="76">
        <v>57.687346999999903</v>
      </c>
      <c r="D3220" s="76">
        <v>57.080112</v>
      </c>
      <c r="E3220" s="76">
        <v>57.643452000000003</v>
      </c>
      <c r="F3220" s="76">
        <v>48.312854999999999</v>
      </c>
      <c r="G3220" s="79">
        <v>887800</v>
      </c>
    </row>
    <row r="3221" spans="1:7" x14ac:dyDescent="0.25">
      <c r="A3221" s="1" t="s">
        <v>3344</v>
      </c>
      <c r="B3221" s="76">
        <v>57.987308999999897</v>
      </c>
      <c r="C3221" s="76">
        <v>58.214107999999896</v>
      </c>
      <c r="D3221" s="76">
        <v>57.73856</v>
      </c>
      <c r="E3221" s="76">
        <v>58.016570999999999</v>
      </c>
      <c r="F3221" s="76">
        <v>48.625571999999998</v>
      </c>
      <c r="G3221" s="79">
        <v>1096500</v>
      </c>
    </row>
    <row r="3222" spans="1:7" x14ac:dyDescent="0.25">
      <c r="A3222" s="1" t="s">
        <v>3345</v>
      </c>
      <c r="B3222" s="76">
        <v>57.870251000000003</v>
      </c>
      <c r="C3222" s="76">
        <v>58.916451000000002</v>
      </c>
      <c r="D3222" s="76">
        <v>57.409335999999897</v>
      </c>
      <c r="E3222" s="76">
        <v>58.631122999999903</v>
      </c>
      <c r="F3222" s="76">
        <v>49.140647999999999</v>
      </c>
      <c r="G3222" s="79">
        <v>1884900</v>
      </c>
    </row>
    <row r="3223" spans="1:7" x14ac:dyDescent="0.25">
      <c r="A3223" s="1" t="s">
        <v>3346</v>
      </c>
      <c r="B3223" s="76">
        <v>58.631122999999903</v>
      </c>
      <c r="C3223" s="76">
        <v>60.247978000000003</v>
      </c>
      <c r="D3223" s="76">
        <v>58.631122999999903</v>
      </c>
      <c r="E3223" s="76">
        <v>60.2333449999999</v>
      </c>
      <c r="F3223" s="76">
        <v>50.483523999999903</v>
      </c>
      <c r="G3223" s="79">
        <v>3939800</v>
      </c>
    </row>
    <row r="3224" spans="1:7" x14ac:dyDescent="0.25">
      <c r="A3224" s="1" t="s">
        <v>3347</v>
      </c>
      <c r="B3224" s="76">
        <v>60.130919999999897</v>
      </c>
      <c r="C3224" s="76">
        <v>60.357718999999904</v>
      </c>
      <c r="D3224" s="76">
        <v>59.187144999999902</v>
      </c>
      <c r="E3224" s="76">
        <v>59.479790000000001</v>
      </c>
      <c r="F3224" s="76">
        <v>49.851951999999997</v>
      </c>
      <c r="G3224" s="79">
        <v>2061600</v>
      </c>
    </row>
    <row r="3225" spans="1:7" x14ac:dyDescent="0.25">
      <c r="A3225" s="1" t="s">
        <v>3348</v>
      </c>
      <c r="B3225" s="76">
        <v>59.209094999999998</v>
      </c>
      <c r="C3225" s="76">
        <v>59.567580999999997</v>
      </c>
      <c r="D3225" s="76">
        <v>58.909133999999902</v>
      </c>
      <c r="E3225" s="76">
        <v>59.560268000000001</v>
      </c>
      <c r="F3225" s="76">
        <v>49.919391999999903</v>
      </c>
      <c r="G3225" s="79">
        <v>1054500</v>
      </c>
    </row>
    <row r="3226" spans="1:7" x14ac:dyDescent="0.25">
      <c r="A3226" s="1" t="s">
        <v>3349</v>
      </c>
      <c r="B3226" s="76">
        <v>58.982295999999998</v>
      </c>
      <c r="C3226" s="76">
        <v>59.128616000000001</v>
      </c>
      <c r="D3226" s="76">
        <v>58.353110999999998</v>
      </c>
      <c r="E3226" s="76">
        <v>58.843288000000001</v>
      </c>
      <c r="F3226" s="76">
        <v>49.318469999999998</v>
      </c>
      <c r="G3226" s="79">
        <v>1268700</v>
      </c>
    </row>
    <row r="3227" spans="1:7" x14ac:dyDescent="0.25">
      <c r="A3227" s="1" t="s">
        <v>3350</v>
      </c>
      <c r="B3227" s="76">
        <v>58.887188000000002</v>
      </c>
      <c r="C3227" s="76">
        <v>59.179828999999998</v>
      </c>
      <c r="D3227" s="76">
        <v>58.243369999999999</v>
      </c>
      <c r="E3227" s="76">
        <v>58.594543000000002</v>
      </c>
      <c r="F3227" s="76">
        <v>49.109988999999999</v>
      </c>
      <c r="G3227" s="79">
        <v>1332700</v>
      </c>
    </row>
    <row r="3228" spans="1:7" x14ac:dyDescent="0.25">
      <c r="A3228" s="1" t="s">
        <v>3351</v>
      </c>
      <c r="B3228" s="76">
        <v>59.092036999999998</v>
      </c>
      <c r="C3228" s="76">
        <v>59.531002000000001</v>
      </c>
      <c r="D3228" s="76">
        <v>57.906829999999999</v>
      </c>
      <c r="E3228" s="76">
        <v>58.528697999999999</v>
      </c>
      <c r="F3228" s="76">
        <v>49.054805999999999</v>
      </c>
      <c r="G3228" s="79">
        <v>1564300</v>
      </c>
    </row>
    <row r="3229" spans="1:7" x14ac:dyDescent="0.25">
      <c r="A3229" s="1" t="s">
        <v>3352</v>
      </c>
      <c r="B3229" s="76">
        <v>58.484802000000002</v>
      </c>
      <c r="C3229" s="76">
        <v>58.536014999999999</v>
      </c>
      <c r="D3229" s="76">
        <v>57.687346999999903</v>
      </c>
      <c r="E3229" s="76">
        <v>58.375060999999903</v>
      </c>
      <c r="F3229" s="76">
        <v>48.926037000000001</v>
      </c>
      <c r="G3229" s="79">
        <v>1715600</v>
      </c>
    </row>
    <row r="3230" spans="1:7" x14ac:dyDescent="0.25">
      <c r="A3230" s="1" t="s">
        <v>3353</v>
      </c>
      <c r="B3230" s="76">
        <v>58.462851999999998</v>
      </c>
      <c r="C3230" s="76">
        <v>58.974978999999998</v>
      </c>
      <c r="D3230" s="76">
        <v>57.811721999999897</v>
      </c>
      <c r="E3230" s="76">
        <v>58.682334999999902</v>
      </c>
      <c r="F3230" s="76">
        <v>49.183574999999998</v>
      </c>
      <c r="G3230" s="79">
        <v>1579500</v>
      </c>
    </row>
    <row r="3231" spans="1:7" x14ac:dyDescent="0.25">
      <c r="A3231" s="1" t="s">
        <v>3354</v>
      </c>
      <c r="B3231" s="76">
        <v>58.631122999999903</v>
      </c>
      <c r="C3231" s="76">
        <v>59.457839999999997</v>
      </c>
      <c r="D3231" s="76">
        <v>58.265319999999903</v>
      </c>
      <c r="E3231" s="76">
        <v>59.209094999999998</v>
      </c>
      <c r="F3231" s="76">
        <v>49.625056999999998</v>
      </c>
      <c r="G3231" s="79">
        <v>1133200</v>
      </c>
    </row>
    <row r="3232" spans="1:7" x14ac:dyDescent="0.25">
      <c r="A3232" s="1" t="s">
        <v>3355</v>
      </c>
      <c r="B3232" s="76">
        <v>59.765118000000001</v>
      </c>
      <c r="C3232" s="76">
        <v>59.889491999999997</v>
      </c>
      <c r="D3232" s="76">
        <v>59.026192000000002</v>
      </c>
      <c r="E3232" s="76">
        <v>59.216411999999998</v>
      </c>
      <c r="F3232" s="76">
        <v>49.631194999999998</v>
      </c>
      <c r="G3232" s="79">
        <v>1496300</v>
      </c>
    </row>
    <row r="3233" spans="1:7" x14ac:dyDescent="0.25">
      <c r="A3233" s="1" t="s">
        <v>3356</v>
      </c>
      <c r="B3233" s="76">
        <v>58.762813999999999</v>
      </c>
      <c r="C3233" s="76">
        <v>59.121299999999998</v>
      </c>
      <c r="D3233" s="76">
        <v>58.133628999999999</v>
      </c>
      <c r="E3233" s="76">
        <v>58.440906999999903</v>
      </c>
      <c r="F3233" s="76">
        <v>48.98122</v>
      </c>
      <c r="G3233" s="79">
        <v>1128400</v>
      </c>
    </row>
    <row r="3234" spans="1:7" x14ac:dyDescent="0.25">
      <c r="A3234" s="1" t="s">
        <v>3357</v>
      </c>
      <c r="B3234" s="76">
        <v>58.594543000000002</v>
      </c>
      <c r="C3234" s="76">
        <v>58.938400000000001</v>
      </c>
      <c r="D3234" s="76">
        <v>58.045836999999999</v>
      </c>
      <c r="E3234" s="76">
        <v>58.799393000000002</v>
      </c>
      <c r="F3234" s="76">
        <v>49.281684999999896</v>
      </c>
      <c r="G3234" s="79">
        <v>965600</v>
      </c>
    </row>
    <row r="3235" spans="1:7" x14ac:dyDescent="0.25">
      <c r="A3235" s="1" t="s">
        <v>3358</v>
      </c>
      <c r="B3235" s="76">
        <v>58.104365999999999</v>
      </c>
      <c r="C3235" s="76">
        <v>58.316531999999903</v>
      </c>
      <c r="D3235" s="76">
        <v>57.562976999999997</v>
      </c>
      <c r="E3235" s="76">
        <v>57.723930000000003</v>
      </c>
      <c r="F3235" s="76">
        <v>48.799258999999999</v>
      </c>
      <c r="G3235" s="79">
        <v>1440600</v>
      </c>
    </row>
    <row r="3236" spans="1:7" x14ac:dyDescent="0.25">
      <c r="A3236" s="1" t="s">
        <v>3359</v>
      </c>
      <c r="B3236" s="76">
        <v>57.606873</v>
      </c>
      <c r="C3236" s="76">
        <v>58.001942</v>
      </c>
      <c r="D3236" s="76">
        <v>57.043532999999996</v>
      </c>
      <c r="E3236" s="76">
        <v>57.043532999999996</v>
      </c>
      <c r="F3236" s="76">
        <v>48.224059999999902</v>
      </c>
      <c r="G3236" s="79">
        <v>1331500</v>
      </c>
    </row>
    <row r="3237" spans="1:7" x14ac:dyDescent="0.25">
      <c r="A3237" s="1" t="s">
        <v>3360</v>
      </c>
      <c r="B3237" s="76">
        <v>56.816733999999997</v>
      </c>
      <c r="C3237" s="76">
        <v>57.402019999999901</v>
      </c>
      <c r="D3237" s="76">
        <v>56.546039999999998</v>
      </c>
      <c r="E3237" s="76">
        <v>56.567985999999998</v>
      </c>
      <c r="F3237" s="76">
        <v>47.822032999999998</v>
      </c>
      <c r="G3237" s="79">
        <v>1250500</v>
      </c>
    </row>
    <row r="3238" spans="1:7" x14ac:dyDescent="0.25">
      <c r="A3238" s="1" t="s">
        <v>3361</v>
      </c>
      <c r="B3238" s="76">
        <v>56.253394999999998</v>
      </c>
      <c r="C3238" s="76">
        <v>56.253394999999998</v>
      </c>
      <c r="D3238" s="76">
        <v>55.602263999999998</v>
      </c>
      <c r="E3238" s="76">
        <v>55.668109999999999</v>
      </c>
      <c r="F3238" s="76">
        <v>47.061283000000003</v>
      </c>
      <c r="G3238" s="79">
        <v>1150400</v>
      </c>
    </row>
    <row r="3239" spans="1:7" x14ac:dyDescent="0.25">
      <c r="A3239" s="1" t="s">
        <v>3362</v>
      </c>
      <c r="B3239" s="76">
        <v>55.324252999999999</v>
      </c>
      <c r="C3239" s="76">
        <v>55.946120999999998</v>
      </c>
      <c r="D3239" s="76">
        <v>55.192562000000002</v>
      </c>
      <c r="E3239" s="76">
        <v>55.265723999999999</v>
      </c>
      <c r="F3239" s="76">
        <v>46.721119000000002</v>
      </c>
      <c r="G3239" s="79">
        <v>937200</v>
      </c>
    </row>
    <row r="3240" spans="1:7" x14ac:dyDescent="0.25">
      <c r="A3240" s="1" t="s">
        <v>3363</v>
      </c>
      <c r="B3240" s="76">
        <v>55.360831999999903</v>
      </c>
      <c r="C3240" s="76">
        <v>55.485206999999903</v>
      </c>
      <c r="D3240" s="76">
        <v>54.007354999999997</v>
      </c>
      <c r="E3240" s="76">
        <v>54.109782999999901</v>
      </c>
      <c r="F3240" s="76">
        <v>45.743893</v>
      </c>
      <c r="G3240" s="79">
        <v>1120000</v>
      </c>
    </row>
    <row r="3241" spans="1:7" x14ac:dyDescent="0.25">
      <c r="A3241" s="1" t="s">
        <v>3364</v>
      </c>
      <c r="B3241" s="76">
        <v>54.153678999999997</v>
      </c>
      <c r="C3241" s="76">
        <v>54.534115</v>
      </c>
      <c r="D3241" s="76">
        <v>53.451331999999901</v>
      </c>
      <c r="E3241" s="76">
        <v>53.612288999999997</v>
      </c>
      <c r="F3241" s="76">
        <v>45.323318</v>
      </c>
      <c r="G3241" s="79">
        <v>1801700</v>
      </c>
    </row>
    <row r="3242" spans="1:7" x14ac:dyDescent="0.25">
      <c r="A3242" s="1" t="s">
        <v>3365</v>
      </c>
      <c r="B3242" s="76">
        <v>53.685448000000001</v>
      </c>
      <c r="C3242" s="76">
        <v>53.992725</v>
      </c>
      <c r="D3242" s="76">
        <v>53.144057999999902</v>
      </c>
      <c r="E3242" s="76">
        <v>53.575705999999997</v>
      </c>
      <c r="F3242" s="76">
        <v>45.292389</v>
      </c>
      <c r="G3242" s="79">
        <v>2030400</v>
      </c>
    </row>
    <row r="3243" spans="1:7" x14ac:dyDescent="0.25">
      <c r="A3243" s="1" t="s">
        <v>3366</v>
      </c>
      <c r="B3243" s="76">
        <v>54.095149999999997</v>
      </c>
      <c r="C3243" s="76">
        <v>54.621906000000003</v>
      </c>
      <c r="D3243" s="76">
        <v>54.000042000000001</v>
      </c>
      <c r="E3243" s="76">
        <v>54.402423999999897</v>
      </c>
      <c r="F3243" s="76">
        <v>45.991283000000003</v>
      </c>
      <c r="G3243" s="79">
        <v>1242300</v>
      </c>
    </row>
    <row r="3244" spans="1:7" x14ac:dyDescent="0.25">
      <c r="A3244" s="1" t="s">
        <v>3367</v>
      </c>
      <c r="B3244" s="76">
        <v>54.358528</v>
      </c>
      <c r="C3244" s="76">
        <v>54.702385</v>
      </c>
      <c r="D3244" s="76">
        <v>54.080517</v>
      </c>
      <c r="E3244" s="76">
        <v>54.702385</v>
      </c>
      <c r="F3244" s="76">
        <v>46.244877000000002</v>
      </c>
      <c r="G3244" s="79">
        <v>1426000</v>
      </c>
    </row>
    <row r="3245" spans="1:7" x14ac:dyDescent="0.25">
      <c r="A3245" s="1" t="s">
        <v>3368</v>
      </c>
      <c r="B3245" s="76">
        <v>54.812125999999999</v>
      </c>
      <c r="C3245" s="76">
        <v>54.885288000000003</v>
      </c>
      <c r="D3245" s="76">
        <v>54.234153999999997</v>
      </c>
      <c r="E3245" s="76">
        <v>54.782863999999996</v>
      </c>
      <c r="F3245" s="76">
        <v>46.312900999999997</v>
      </c>
      <c r="G3245" s="79">
        <v>985000</v>
      </c>
    </row>
    <row r="3246" spans="1:7" x14ac:dyDescent="0.25">
      <c r="A3246" s="1" t="s">
        <v>3369</v>
      </c>
      <c r="B3246" s="76">
        <v>55.082820999999903</v>
      </c>
      <c r="C3246" s="76">
        <v>55.507153000000002</v>
      </c>
      <c r="D3246" s="76">
        <v>54.475586</v>
      </c>
      <c r="E3246" s="76">
        <v>55.316935999999998</v>
      </c>
      <c r="F3246" s="76">
        <v>46.764403999999999</v>
      </c>
      <c r="G3246" s="79">
        <v>388800</v>
      </c>
    </row>
    <row r="3247" spans="1:7" x14ac:dyDescent="0.25">
      <c r="A3247" s="1" t="s">
        <v>3370</v>
      </c>
      <c r="B3247" s="76">
        <v>54.980395999999999</v>
      </c>
      <c r="C3247" s="76">
        <v>55.551051999999999</v>
      </c>
      <c r="D3247" s="76">
        <v>54.804809999999897</v>
      </c>
      <c r="E3247" s="76">
        <v>55.185245999999999</v>
      </c>
      <c r="F3247" s="76">
        <v>46.653079999999903</v>
      </c>
      <c r="G3247" s="79">
        <v>1193600</v>
      </c>
    </row>
    <row r="3248" spans="1:7" x14ac:dyDescent="0.25">
      <c r="A3248" s="1" t="s">
        <v>3371</v>
      </c>
      <c r="B3248" s="76">
        <v>54.899918</v>
      </c>
      <c r="C3248" s="76">
        <v>55.368149000000003</v>
      </c>
      <c r="D3248" s="76">
        <v>54.475586</v>
      </c>
      <c r="E3248" s="76">
        <v>54.856021999999903</v>
      </c>
      <c r="F3248" s="76">
        <v>46.374752000000001</v>
      </c>
      <c r="G3248" s="79">
        <v>1556900</v>
      </c>
    </row>
    <row r="3249" spans="1:7" x14ac:dyDescent="0.25">
      <c r="A3249" s="1" t="s">
        <v>3372</v>
      </c>
      <c r="B3249" s="76">
        <v>55.141350000000003</v>
      </c>
      <c r="C3249" s="76">
        <v>55.397410999999998</v>
      </c>
      <c r="D3249" s="76">
        <v>54.665806000000003</v>
      </c>
      <c r="E3249" s="76">
        <v>55.207194999999999</v>
      </c>
      <c r="F3249" s="76">
        <v>46.671634999999903</v>
      </c>
      <c r="G3249" s="79">
        <v>1276300</v>
      </c>
    </row>
    <row r="3250" spans="1:7" x14ac:dyDescent="0.25">
      <c r="A3250" s="1" t="s">
        <v>3373</v>
      </c>
      <c r="B3250" s="76">
        <v>55.485206999999903</v>
      </c>
      <c r="C3250" s="76">
        <v>55.594947999999903</v>
      </c>
      <c r="D3250" s="76">
        <v>55.016975000000002</v>
      </c>
      <c r="E3250" s="76">
        <v>55.485206999999903</v>
      </c>
      <c r="F3250" s="76">
        <v>46.906669999999998</v>
      </c>
      <c r="G3250" s="79">
        <v>1237900</v>
      </c>
    </row>
    <row r="3251" spans="1:7" x14ac:dyDescent="0.25">
      <c r="A3251" s="1" t="s">
        <v>3374</v>
      </c>
      <c r="B3251" s="76">
        <v>55.514468999999899</v>
      </c>
      <c r="C3251" s="76">
        <v>56.048545999999902</v>
      </c>
      <c r="D3251" s="76">
        <v>55.514468999999899</v>
      </c>
      <c r="E3251" s="76">
        <v>55.916854999999998</v>
      </c>
      <c r="F3251" s="76">
        <v>47.271571999999999</v>
      </c>
      <c r="G3251" s="79">
        <v>1725600</v>
      </c>
    </row>
    <row r="3252" spans="1:7" x14ac:dyDescent="0.25">
      <c r="A3252" s="1" t="s">
        <v>3375</v>
      </c>
      <c r="B3252" s="76">
        <v>56.150969999999901</v>
      </c>
      <c r="C3252" s="76">
        <v>56.538722999999997</v>
      </c>
      <c r="D3252" s="76">
        <v>55.916854999999998</v>
      </c>
      <c r="E3252" s="76">
        <v>56.092441999999998</v>
      </c>
      <c r="F3252" s="76">
        <v>47.420009999999998</v>
      </c>
      <c r="G3252" s="79">
        <v>1314400</v>
      </c>
    </row>
    <row r="3253" spans="1:7" x14ac:dyDescent="0.25">
      <c r="A3253" s="1" t="s">
        <v>3376</v>
      </c>
      <c r="B3253" s="76">
        <v>56.546039999999998</v>
      </c>
      <c r="C3253" s="76">
        <v>56.546039999999998</v>
      </c>
      <c r="D3253" s="76">
        <v>55.836379999999998</v>
      </c>
      <c r="E3253" s="76">
        <v>55.902221999999902</v>
      </c>
      <c r="F3253" s="76">
        <v>47.259197</v>
      </c>
      <c r="G3253" s="79">
        <v>1200800</v>
      </c>
    </row>
    <row r="3254" spans="1:7" x14ac:dyDescent="0.25">
      <c r="A3254" s="1" t="s">
        <v>3377</v>
      </c>
      <c r="B3254" s="76">
        <v>55.931488000000002</v>
      </c>
      <c r="C3254" s="76">
        <v>56.063175000000001</v>
      </c>
      <c r="D3254" s="76">
        <v>55.3315699999999</v>
      </c>
      <c r="E3254" s="76">
        <v>55.551051999999999</v>
      </c>
      <c r="F3254" s="76">
        <v>46.962330000000001</v>
      </c>
      <c r="G3254" s="79">
        <v>1324100</v>
      </c>
    </row>
    <row r="3255" spans="1:7" x14ac:dyDescent="0.25">
      <c r="A3255" s="1" t="s">
        <v>3378</v>
      </c>
      <c r="B3255" s="76">
        <v>54.965763000000003</v>
      </c>
      <c r="C3255" s="76">
        <v>55.419361000000002</v>
      </c>
      <c r="D3255" s="76">
        <v>54.885288000000003</v>
      </c>
      <c r="E3255" s="76">
        <v>55.346198999999999</v>
      </c>
      <c r="F3255" s="76">
        <v>47.413585999999903</v>
      </c>
      <c r="G3255" s="79">
        <v>1285600</v>
      </c>
    </row>
    <row r="3256" spans="1:7" x14ac:dyDescent="0.25">
      <c r="A3256" s="1" t="s">
        <v>3379</v>
      </c>
      <c r="B3256" s="76">
        <v>55.448627000000002</v>
      </c>
      <c r="C3256" s="76">
        <v>56.114390999999998</v>
      </c>
      <c r="D3256" s="76">
        <v>55.441310999999999</v>
      </c>
      <c r="E3256" s="76">
        <v>55.997333999999903</v>
      </c>
      <c r="F3256" s="76">
        <v>47.971393999999997</v>
      </c>
      <c r="G3256" s="79">
        <v>998400</v>
      </c>
    </row>
    <row r="3257" spans="1:7" x14ac:dyDescent="0.25">
      <c r="A3257" s="1" t="s">
        <v>3380</v>
      </c>
      <c r="B3257" s="76">
        <v>56.048545999999902</v>
      </c>
      <c r="C3257" s="76">
        <v>56.253394999999998</v>
      </c>
      <c r="D3257" s="76">
        <v>55.851008999999998</v>
      </c>
      <c r="E3257" s="76">
        <v>56.085124999999998</v>
      </c>
      <c r="F3257" s="76">
        <v>48.046607999999999</v>
      </c>
      <c r="G3257" s="79">
        <v>749600</v>
      </c>
    </row>
    <row r="3258" spans="1:7" x14ac:dyDescent="0.25">
      <c r="A3258" s="1" t="s">
        <v>3381</v>
      </c>
      <c r="B3258" s="76">
        <v>56.253394999999998</v>
      </c>
      <c r="C3258" s="76">
        <v>56.407031999999901</v>
      </c>
      <c r="D3258" s="76">
        <v>56.048545999999902</v>
      </c>
      <c r="E3258" s="76">
        <v>56.136336999999997</v>
      </c>
      <c r="F3258" s="76">
        <v>48.090472999999903</v>
      </c>
      <c r="G3258" s="79">
        <v>1043700</v>
      </c>
    </row>
    <row r="3259" spans="1:7" x14ac:dyDescent="0.25">
      <c r="A3259" s="1" t="s">
        <v>3382</v>
      </c>
      <c r="B3259" s="76">
        <v>56.202182999999998</v>
      </c>
      <c r="C3259" s="76">
        <v>56.363135999999997</v>
      </c>
      <c r="D3259" s="76">
        <v>55.792479999999998</v>
      </c>
      <c r="E3259" s="76">
        <v>56.180232999999902</v>
      </c>
      <c r="F3259" s="76">
        <v>48.128078000000002</v>
      </c>
      <c r="G3259" s="79">
        <v>1505400</v>
      </c>
    </row>
    <row r="3260" spans="1:7" x14ac:dyDescent="0.25">
      <c r="A3260" s="1" t="s">
        <v>3383</v>
      </c>
      <c r="B3260" s="76">
        <v>56.172919999999998</v>
      </c>
      <c r="C3260" s="76">
        <v>56.333874000000002</v>
      </c>
      <c r="D3260" s="76">
        <v>55.894908999999998</v>
      </c>
      <c r="E3260" s="76">
        <v>56.136336999999997</v>
      </c>
      <c r="F3260" s="76">
        <v>48.090472999999903</v>
      </c>
      <c r="G3260" s="79">
        <v>1113700</v>
      </c>
    </row>
    <row r="3261" spans="1:7" x14ac:dyDescent="0.25">
      <c r="A3261" s="1" t="s">
        <v>3384</v>
      </c>
      <c r="B3261" s="76">
        <v>56.275344999999902</v>
      </c>
      <c r="C3261" s="76">
        <v>56.575302000000001</v>
      </c>
      <c r="D3261" s="76">
        <v>56.041229000000001</v>
      </c>
      <c r="E3261" s="76">
        <v>56.538722999999997</v>
      </c>
      <c r="F3261" s="76">
        <v>48.435184</v>
      </c>
      <c r="G3261" s="79">
        <v>1446300</v>
      </c>
    </row>
    <row r="3262" spans="1:7" x14ac:dyDescent="0.25">
      <c r="A3262" s="1" t="s">
        <v>3385</v>
      </c>
      <c r="B3262" s="76">
        <v>56.780155000000001</v>
      </c>
      <c r="C3262" s="76">
        <v>57.189853999999997</v>
      </c>
      <c r="D3262" s="76">
        <v>56.516773000000001</v>
      </c>
      <c r="E3262" s="76">
        <v>57.189853999999997</v>
      </c>
      <c r="F3262" s="76">
        <v>48.992992000000001</v>
      </c>
      <c r="G3262" s="79">
        <v>1541100</v>
      </c>
    </row>
    <row r="3263" spans="1:7" x14ac:dyDescent="0.25">
      <c r="A3263" s="1" t="s">
        <v>3386</v>
      </c>
      <c r="B3263" s="76">
        <v>57.219119999999997</v>
      </c>
      <c r="C3263" s="76">
        <v>57.987308999999897</v>
      </c>
      <c r="D3263" s="76">
        <v>57.043532999999996</v>
      </c>
      <c r="E3263" s="76">
        <v>57.979992000000003</v>
      </c>
      <c r="F3263" s="76">
        <v>49.669884000000003</v>
      </c>
      <c r="G3263" s="79">
        <v>1963100</v>
      </c>
    </row>
    <row r="3264" spans="1:7" x14ac:dyDescent="0.25">
      <c r="A3264" s="1" t="s">
        <v>3387</v>
      </c>
      <c r="B3264" s="76">
        <v>57.870251000000003</v>
      </c>
      <c r="C3264" s="76">
        <v>58.075099999999999</v>
      </c>
      <c r="D3264" s="76">
        <v>57.4532319999999</v>
      </c>
      <c r="E3264" s="76">
        <v>58.038520999999903</v>
      </c>
      <c r="F3264" s="76">
        <v>49.720027999999999</v>
      </c>
      <c r="G3264" s="79">
        <v>1497800</v>
      </c>
    </row>
    <row r="3265" spans="1:7" x14ac:dyDescent="0.25">
      <c r="A3265" s="1" t="s">
        <v>3388</v>
      </c>
      <c r="B3265" s="76">
        <v>58.045836999999999</v>
      </c>
      <c r="C3265" s="76">
        <v>58.638438999999998</v>
      </c>
      <c r="D3265" s="76">
        <v>57.848300999999999</v>
      </c>
      <c r="E3265" s="76">
        <v>58.638438999999998</v>
      </c>
      <c r="F3265" s="76">
        <v>50.233963000000003</v>
      </c>
      <c r="G3265" s="79">
        <v>1118400</v>
      </c>
    </row>
    <row r="3266" spans="1:7" x14ac:dyDescent="0.25">
      <c r="A3266" s="1" t="s">
        <v>3389</v>
      </c>
      <c r="B3266" s="76">
        <v>58.184840999999999</v>
      </c>
      <c r="C3266" s="76">
        <v>58.565277000000002</v>
      </c>
      <c r="D3266" s="76">
        <v>58.031204000000002</v>
      </c>
      <c r="E3266" s="76">
        <v>58.353110999999998</v>
      </c>
      <c r="F3266" s="76">
        <v>49.989525</v>
      </c>
      <c r="G3266" s="79">
        <v>2021100</v>
      </c>
    </row>
    <row r="3267" spans="1:7" x14ac:dyDescent="0.25">
      <c r="A3267" s="1" t="s">
        <v>3390</v>
      </c>
      <c r="B3267" s="76">
        <v>58.279952999999999</v>
      </c>
      <c r="C3267" s="76">
        <v>58.601859999999903</v>
      </c>
      <c r="D3267" s="76">
        <v>57.840988000000003</v>
      </c>
      <c r="E3267" s="76">
        <v>58.331164999999999</v>
      </c>
      <c r="F3267" s="76">
        <v>49.970729999999897</v>
      </c>
      <c r="G3267" s="79">
        <v>451400</v>
      </c>
    </row>
    <row r="3268" spans="1:7" x14ac:dyDescent="0.25">
      <c r="A3268" s="1" t="s">
        <v>3391</v>
      </c>
      <c r="B3268" s="76">
        <v>58.404324000000003</v>
      </c>
      <c r="C3268" s="76">
        <v>58.404324000000003</v>
      </c>
      <c r="D3268" s="76">
        <v>57.658085</v>
      </c>
      <c r="E3268" s="76">
        <v>57.943413</v>
      </c>
      <c r="F3268" s="76">
        <v>49.638545999999998</v>
      </c>
      <c r="G3268" s="79">
        <v>850100</v>
      </c>
    </row>
    <row r="3269" spans="1:7" x14ac:dyDescent="0.25">
      <c r="A3269" s="1" t="s">
        <v>3392</v>
      </c>
      <c r="B3269" s="76">
        <v>58.023887999999999</v>
      </c>
      <c r="C3269" s="76">
        <v>58.382378000000003</v>
      </c>
      <c r="D3269" s="76">
        <v>57.672718000000003</v>
      </c>
      <c r="E3269" s="76">
        <v>58.192157999999999</v>
      </c>
      <c r="F3269" s="76">
        <v>49.851634999999902</v>
      </c>
      <c r="G3269" s="79">
        <v>978600</v>
      </c>
    </row>
    <row r="3270" spans="1:7" x14ac:dyDescent="0.25">
      <c r="A3270" s="1" t="s">
        <v>3393</v>
      </c>
      <c r="B3270" s="76">
        <v>57.848300999999999</v>
      </c>
      <c r="C3270" s="76">
        <v>58.214107999999896</v>
      </c>
      <c r="D3270" s="76">
        <v>57.782458999999903</v>
      </c>
      <c r="E3270" s="76">
        <v>57.994624999999999</v>
      </c>
      <c r="F3270" s="76">
        <v>49.682423</v>
      </c>
      <c r="G3270" s="79">
        <v>1475400</v>
      </c>
    </row>
    <row r="3271" spans="1:7" x14ac:dyDescent="0.25">
      <c r="A3271" s="1" t="s">
        <v>3394</v>
      </c>
      <c r="B3271" s="76">
        <v>57.797089</v>
      </c>
      <c r="C3271" s="76">
        <v>58.587226999999999</v>
      </c>
      <c r="D3271" s="76">
        <v>57.643452000000003</v>
      </c>
      <c r="E3271" s="76">
        <v>58.587226999999999</v>
      </c>
      <c r="F3271" s="76">
        <v>50.190097999999999</v>
      </c>
      <c r="G3271" s="79">
        <v>1094500</v>
      </c>
    </row>
    <row r="3272" spans="1:7" x14ac:dyDescent="0.25">
      <c r="A3272" s="1" t="s">
        <v>3395</v>
      </c>
      <c r="B3272" s="76">
        <v>59.487105999999997</v>
      </c>
      <c r="C3272" s="76">
        <v>59.509051999999997</v>
      </c>
      <c r="D3272" s="76">
        <v>58.740864000000002</v>
      </c>
      <c r="E3272" s="76">
        <v>59.201777999999997</v>
      </c>
      <c r="F3272" s="76">
        <v>50.716552999999998</v>
      </c>
      <c r="G3272" s="79">
        <v>1240500</v>
      </c>
    </row>
    <row r="3273" spans="1:7" x14ac:dyDescent="0.25">
      <c r="A3273" s="1" t="s">
        <v>3396</v>
      </c>
      <c r="B3273" s="76">
        <v>59.304203000000001</v>
      </c>
      <c r="C3273" s="76">
        <v>59.735850999999997</v>
      </c>
      <c r="D3273" s="76">
        <v>58.894505000000002</v>
      </c>
      <c r="E3273" s="76">
        <v>59.487105999999997</v>
      </c>
      <c r="F3273" s="76">
        <v>50.960991</v>
      </c>
      <c r="G3273" s="79">
        <v>1284700</v>
      </c>
    </row>
    <row r="3274" spans="1:7" x14ac:dyDescent="0.25">
      <c r="A3274" s="1" t="s">
        <v>3397</v>
      </c>
      <c r="B3274" s="76">
        <v>59.384681999999998</v>
      </c>
      <c r="C3274" s="76">
        <v>60.2040819999999</v>
      </c>
      <c r="D3274" s="76">
        <v>59.231040999999998</v>
      </c>
      <c r="E3274" s="76">
        <v>60.174819999999997</v>
      </c>
      <c r="F3274" s="76">
        <v>51.550133000000002</v>
      </c>
      <c r="G3274" s="79">
        <v>885700</v>
      </c>
    </row>
    <row r="3275" spans="1:7" x14ac:dyDescent="0.25">
      <c r="A3275" s="1" t="s">
        <v>3398</v>
      </c>
      <c r="B3275" s="76">
        <v>60.079707999999997</v>
      </c>
      <c r="C3275" s="76">
        <v>60.218716000000001</v>
      </c>
      <c r="D3275" s="76">
        <v>59.728538999999998</v>
      </c>
      <c r="E3275" s="76">
        <v>59.948020999999997</v>
      </c>
      <c r="F3275" s="76">
        <v>51.355839000000003</v>
      </c>
      <c r="G3275" s="79">
        <v>1075800</v>
      </c>
    </row>
    <row r="3276" spans="1:7" x14ac:dyDescent="0.25">
      <c r="A3276" s="1" t="s">
        <v>3399</v>
      </c>
      <c r="B3276" s="76">
        <v>59.918754999999997</v>
      </c>
      <c r="C3276" s="76">
        <v>60.079707999999997</v>
      </c>
      <c r="D3276" s="76">
        <v>59.318835999999997</v>
      </c>
      <c r="E3276" s="76">
        <v>59.355415000000001</v>
      </c>
      <c r="F3276" s="76">
        <v>50.848171000000001</v>
      </c>
      <c r="G3276" s="79">
        <v>1170400</v>
      </c>
    </row>
    <row r="3277" spans="1:7" x14ac:dyDescent="0.25">
      <c r="A3277" s="1" t="s">
        <v>3400</v>
      </c>
      <c r="B3277" s="76">
        <v>59.443210999999998</v>
      </c>
      <c r="C3277" s="76">
        <v>59.618797000000001</v>
      </c>
      <c r="D3277" s="76">
        <v>59.267623999999998</v>
      </c>
      <c r="E3277" s="76">
        <v>59.531002000000001</v>
      </c>
      <c r="F3277" s="76">
        <v>50.998589000000003</v>
      </c>
      <c r="G3277" s="79">
        <v>1456600</v>
      </c>
    </row>
    <row r="3278" spans="1:7" x14ac:dyDescent="0.25">
      <c r="A3278" s="1" t="s">
        <v>3401</v>
      </c>
      <c r="B3278" s="76">
        <v>59.889491999999997</v>
      </c>
      <c r="C3278" s="76">
        <v>59.969966999999997</v>
      </c>
      <c r="D3278" s="76">
        <v>59.165199000000001</v>
      </c>
      <c r="E3278" s="76">
        <v>59.296886000000001</v>
      </c>
      <c r="F3278" s="76">
        <v>50.798034999999999</v>
      </c>
      <c r="G3278" s="79">
        <v>1575100</v>
      </c>
    </row>
    <row r="3279" spans="1:7" x14ac:dyDescent="0.25">
      <c r="A3279" s="1" t="s">
        <v>3402</v>
      </c>
      <c r="B3279" s="76">
        <v>59.391998000000001</v>
      </c>
      <c r="C3279" s="76">
        <v>59.472473000000001</v>
      </c>
      <c r="D3279" s="76">
        <v>58.850605000000002</v>
      </c>
      <c r="E3279" s="76">
        <v>59.318835999999997</v>
      </c>
      <c r="F3279" s="76">
        <v>50.816833000000003</v>
      </c>
      <c r="G3279" s="79">
        <v>1421200</v>
      </c>
    </row>
    <row r="3280" spans="1:7" x14ac:dyDescent="0.25">
      <c r="A3280" s="1" t="s">
        <v>3403</v>
      </c>
      <c r="B3280" s="76">
        <v>59.340786000000001</v>
      </c>
      <c r="C3280" s="76">
        <v>60.357718999999904</v>
      </c>
      <c r="D3280" s="76">
        <v>59.245674000000001</v>
      </c>
      <c r="E3280" s="76">
        <v>60.291874</v>
      </c>
      <c r="F3280" s="76">
        <v>51.650410000000001</v>
      </c>
      <c r="G3280" s="79">
        <v>1058000</v>
      </c>
    </row>
    <row r="3281" spans="1:7" x14ac:dyDescent="0.25">
      <c r="A3281" s="1" t="s">
        <v>3404</v>
      </c>
      <c r="B3281" s="76">
        <v>60.145553999999997</v>
      </c>
      <c r="C3281" s="76">
        <v>60.584518000000003</v>
      </c>
      <c r="D3281" s="76">
        <v>59.933388000000001</v>
      </c>
      <c r="E3281" s="76">
        <v>60.52599</v>
      </c>
      <c r="F3281" s="76">
        <v>51.850963999999998</v>
      </c>
      <c r="G3281" s="79">
        <v>946700</v>
      </c>
    </row>
    <row r="3282" spans="1:7" x14ac:dyDescent="0.25">
      <c r="A3282" s="1" t="s">
        <v>3405</v>
      </c>
      <c r="B3282" s="76">
        <v>60.782055</v>
      </c>
      <c r="C3282" s="76">
        <v>61.023482999999999</v>
      </c>
      <c r="D3282" s="76">
        <v>60.408931999999901</v>
      </c>
      <c r="E3282" s="76">
        <v>60.840584</v>
      </c>
      <c r="F3282" s="76">
        <v>52.120483</v>
      </c>
      <c r="G3282" s="79">
        <v>1367400</v>
      </c>
    </row>
    <row r="3283" spans="1:7" x14ac:dyDescent="0.25">
      <c r="A3283" s="1" t="s">
        <v>3406</v>
      </c>
      <c r="B3283" s="76">
        <v>60.899108999999903</v>
      </c>
      <c r="C3283" s="76">
        <v>61.177119999999903</v>
      </c>
      <c r="D3283" s="76">
        <v>60.591834999999897</v>
      </c>
      <c r="E3283" s="76">
        <v>61.060065999999999</v>
      </c>
      <c r="F3283" s="76">
        <v>52.308490999999997</v>
      </c>
      <c r="G3283" s="79">
        <v>1042500</v>
      </c>
    </row>
    <row r="3284" spans="1:7" x14ac:dyDescent="0.25">
      <c r="A3284" s="1" t="s">
        <v>3407</v>
      </c>
      <c r="B3284" s="76">
        <v>61.586822999999903</v>
      </c>
      <c r="C3284" s="76">
        <v>61.945312999999999</v>
      </c>
      <c r="D3284" s="76">
        <v>61.096644999999903</v>
      </c>
      <c r="E3284" s="76">
        <v>61.916045999999902</v>
      </c>
      <c r="F3284" s="76">
        <v>53.041798</v>
      </c>
      <c r="G3284" s="79">
        <v>1682600</v>
      </c>
    </row>
    <row r="3285" spans="1:7" x14ac:dyDescent="0.25">
      <c r="A3285" s="1" t="s">
        <v>3408</v>
      </c>
      <c r="B3285" s="76">
        <v>61.725830000000002</v>
      </c>
      <c r="C3285" s="76">
        <v>62.025787000000001</v>
      </c>
      <c r="D3285" s="76">
        <v>61.586822999999903</v>
      </c>
      <c r="E3285" s="76">
        <v>62.011153999999998</v>
      </c>
      <c r="F3285" s="76">
        <v>53.123259999999902</v>
      </c>
      <c r="G3285" s="79">
        <v>927300</v>
      </c>
    </row>
    <row r="3286" spans="1:7" x14ac:dyDescent="0.25">
      <c r="A3286" s="1" t="s">
        <v>3409</v>
      </c>
      <c r="B3286" s="76">
        <v>61.820937999999998</v>
      </c>
      <c r="C3286" s="76">
        <v>62.259903000000001</v>
      </c>
      <c r="D3286" s="76">
        <v>61.747776000000002</v>
      </c>
      <c r="E3286" s="76">
        <v>62.040420999999903</v>
      </c>
      <c r="F3286" s="76">
        <v>53.148342</v>
      </c>
      <c r="G3286" s="79">
        <v>1039900</v>
      </c>
    </row>
    <row r="3287" spans="1:7" x14ac:dyDescent="0.25">
      <c r="A3287" s="1" t="s">
        <v>3410</v>
      </c>
      <c r="B3287" s="76">
        <v>61.740458999999902</v>
      </c>
      <c r="C3287" s="76">
        <v>62.047736999999998</v>
      </c>
      <c r="D3287" s="76">
        <v>61.520977000000002</v>
      </c>
      <c r="E3287" s="76">
        <v>62.018470999999998</v>
      </c>
      <c r="F3287" s="76">
        <v>53.590877999999996</v>
      </c>
      <c r="G3287" s="79">
        <v>1301100</v>
      </c>
    </row>
    <row r="3288" spans="1:7" x14ac:dyDescent="0.25">
      <c r="A3288" s="1" t="s">
        <v>3411</v>
      </c>
      <c r="B3288" s="76">
        <v>62.216006999999998</v>
      </c>
      <c r="C3288" s="76">
        <v>62.537914000000001</v>
      </c>
      <c r="D3288" s="76">
        <v>61.923363000000002</v>
      </c>
      <c r="E3288" s="76">
        <v>62.515965000000001</v>
      </c>
      <c r="F3288" s="76">
        <v>54.020763000000002</v>
      </c>
      <c r="G3288" s="79">
        <v>786000</v>
      </c>
    </row>
    <row r="3289" spans="1:7" x14ac:dyDescent="0.25">
      <c r="A3289" s="1" t="s">
        <v>3412</v>
      </c>
      <c r="B3289" s="76">
        <v>62.018470999999998</v>
      </c>
      <c r="C3289" s="76">
        <v>62.479385000000001</v>
      </c>
      <c r="D3289" s="76">
        <v>61.981892000000002</v>
      </c>
      <c r="E3289" s="76">
        <v>62.311115000000001</v>
      </c>
      <c r="F3289" s="76">
        <v>53.843753999999997</v>
      </c>
      <c r="G3289" s="79">
        <v>1034300</v>
      </c>
    </row>
    <row r="3290" spans="1:7" x14ac:dyDescent="0.25">
      <c r="A3290" s="1" t="s">
        <v>3413</v>
      </c>
      <c r="B3290" s="76">
        <v>62.252586000000001</v>
      </c>
      <c r="C3290" s="76">
        <v>62.706183999999901</v>
      </c>
      <c r="D3290" s="76">
        <v>62.223323999999998</v>
      </c>
      <c r="E3290" s="76">
        <v>62.654971999999901</v>
      </c>
      <c r="F3290" s="76">
        <v>54.140877000000003</v>
      </c>
      <c r="G3290" s="79">
        <v>1049800</v>
      </c>
    </row>
    <row r="3291" spans="1:7" x14ac:dyDescent="0.25">
      <c r="A3291" s="1" t="s">
        <v>3414</v>
      </c>
      <c r="B3291" s="76">
        <v>62.457436000000001</v>
      </c>
      <c r="C3291" s="76">
        <v>62.633021999999997</v>
      </c>
      <c r="D3291" s="76">
        <v>62.172111999999998</v>
      </c>
      <c r="E3291" s="76">
        <v>62.303798999999998</v>
      </c>
      <c r="F3291" s="76">
        <v>53.837432999999997</v>
      </c>
      <c r="G3291" s="79">
        <v>1983700</v>
      </c>
    </row>
    <row r="3292" spans="1:7" x14ac:dyDescent="0.25">
      <c r="A3292" s="1" t="s">
        <v>3415</v>
      </c>
      <c r="B3292" s="76">
        <v>62.296481999999997</v>
      </c>
      <c r="C3292" s="76">
        <v>62.369643999999901</v>
      </c>
      <c r="D3292" s="76">
        <v>61.725830000000002</v>
      </c>
      <c r="E3292" s="76">
        <v>61.791671999999998</v>
      </c>
      <c r="F3292" s="76">
        <v>53.394893999999901</v>
      </c>
      <c r="G3292" s="79">
        <v>1365400</v>
      </c>
    </row>
    <row r="3293" spans="1:7" x14ac:dyDescent="0.25">
      <c r="A3293" s="1" t="s">
        <v>3416</v>
      </c>
      <c r="B3293" s="76">
        <v>62.011153999999998</v>
      </c>
      <c r="C3293" s="76">
        <v>62.676921999999998</v>
      </c>
      <c r="D3293" s="76">
        <v>61.930678999999998</v>
      </c>
      <c r="E3293" s="76">
        <v>62.479385000000001</v>
      </c>
      <c r="F3293" s="76">
        <v>53.989146999999903</v>
      </c>
      <c r="G3293" s="79">
        <v>1437100</v>
      </c>
    </row>
    <row r="3294" spans="1:7" x14ac:dyDescent="0.25">
      <c r="A3294" s="1" t="s">
        <v>3417</v>
      </c>
      <c r="B3294" s="76">
        <v>62.091632999999902</v>
      </c>
      <c r="C3294" s="76">
        <v>62.501334999999997</v>
      </c>
      <c r="D3294" s="76">
        <v>61.652667999999998</v>
      </c>
      <c r="E3294" s="76">
        <v>61.813621999999903</v>
      </c>
      <c r="F3294" s="76">
        <v>53.413856999999901</v>
      </c>
      <c r="G3294" s="79">
        <v>1803700</v>
      </c>
    </row>
    <row r="3295" spans="1:7" x14ac:dyDescent="0.25">
      <c r="A3295" s="1" t="s">
        <v>3418</v>
      </c>
      <c r="B3295" s="76">
        <v>62.025787000000001</v>
      </c>
      <c r="C3295" s="76">
        <v>62.201374000000001</v>
      </c>
      <c r="D3295" s="76">
        <v>61.689246999999902</v>
      </c>
      <c r="E3295" s="76">
        <v>61.864833999999902</v>
      </c>
      <c r="F3295" s="76">
        <v>53.458110999999903</v>
      </c>
      <c r="G3295" s="79">
        <v>967700</v>
      </c>
    </row>
    <row r="3296" spans="1:7" x14ac:dyDescent="0.25">
      <c r="A3296" s="1" t="s">
        <v>3419</v>
      </c>
      <c r="B3296" s="76">
        <v>61.528293999999903</v>
      </c>
      <c r="C3296" s="76">
        <v>61.959941999999998</v>
      </c>
      <c r="D3296" s="76">
        <v>61.1478579999999</v>
      </c>
      <c r="E3296" s="76">
        <v>61.316127999999999</v>
      </c>
      <c r="F3296" s="76">
        <v>52.983970999999997</v>
      </c>
      <c r="G3296" s="79">
        <v>1424300</v>
      </c>
    </row>
    <row r="3297" spans="1:7" x14ac:dyDescent="0.25">
      <c r="A3297" s="1" t="s">
        <v>3420</v>
      </c>
      <c r="B3297" s="76">
        <v>61.3746569999999</v>
      </c>
      <c r="C3297" s="76">
        <v>61.469765000000002</v>
      </c>
      <c r="D3297" s="76">
        <v>60.847896999999897</v>
      </c>
      <c r="E3297" s="76">
        <v>60.928375000000003</v>
      </c>
      <c r="F3297" s="76">
        <v>52.648913999999998</v>
      </c>
      <c r="G3297" s="79">
        <v>1149900</v>
      </c>
    </row>
    <row r="3298" spans="1:7" x14ac:dyDescent="0.25">
      <c r="A3298" s="1" t="s">
        <v>3421</v>
      </c>
      <c r="B3298" s="76">
        <v>61.103962000000003</v>
      </c>
      <c r="C3298" s="76">
        <v>61.857517000000001</v>
      </c>
      <c r="D3298" s="76">
        <v>61.103962000000003</v>
      </c>
      <c r="E3298" s="76">
        <v>61.828254999999999</v>
      </c>
      <c r="F3298" s="76">
        <v>53.426494999999903</v>
      </c>
      <c r="G3298" s="79">
        <v>871000</v>
      </c>
    </row>
    <row r="3299" spans="1:7" x14ac:dyDescent="0.25">
      <c r="A3299" s="1" t="s">
        <v>3422</v>
      </c>
      <c r="B3299" s="76">
        <v>61.894100000000002</v>
      </c>
      <c r="C3299" s="76">
        <v>62.230640000000001</v>
      </c>
      <c r="D3299" s="76">
        <v>61.755093000000002</v>
      </c>
      <c r="E3299" s="76">
        <v>62.040420999999903</v>
      </c>
      <c r="F3299" s="76">
        <v>53.609839999999998</v>
      </c>
      <c r="G3299" s="79">
        <v>988000</v>
      </c>
    </row>
    <row r="3300" spans="1:7" x14ac:dyDescent="0.25">
      <c r="A3300" s="1" t="s">
        <v>3423</v>
      </c>
      <c r="B3300" s="76">
        <v>62.084316000000001</v>
      </c>
      <c r="C3300" s="76">
        <v>62.662289000000001</v>
      </c>
      <c r="D3300" s="76">
        <v>62.025787000000001</v>
      </c>
      <c r="E3300" s="76">
        <v>62.603760000000001</v>
      </c>
      <c r="F3300" s="76">
        <v>54.096629999999998</v>
      </c>
      <c r="G3300" s="79">
        <v>1162300</v>
      </c>
    </row>
    <row r="3301" spans="1:7" x14ac:dyDescent="0.25">
      <c r="A3301" s="1" t="s">
        <v>3424</v>
      </c>
      <c r="B3301" s="76">
        <v>62.647655</v>
      </c>
      <c r="C3301" s="76">
        <v>62.874454</v>
      </c>
      <c r="D3301" s="76">
        <v>62.479385000000001</v>
      </c>
      <c r="E3301" s="76">
        <v>62.618392999999998</v>
      </c>
      <c r="F3301" s="76">
        <v>54.109276000000001</v>
      </c>
      <c r="G3301" s="79">
        <v>1181800</v>
      </c>
    </row>
    <row r="3302" spans="1:7" x14ac:dyDescent="0.25">
      <c r="A3302" s="1" t="s">
        <v>3425</v>
      </c>
      <c r="B3302" s="76">
        <v>62.340381999999998</v>
      </c>
      <c r="C3302" s="76">
        <v>62.391593999999998</v>
      </c>
      <c r="D3302" s="76">
        <v>61.901412999999998</v>
      </c>
      <c r="E3302" s="76">
        <v>62.216006999999998</v>
      </c>
      <c r="F3302" s="76">
        <v>53.761561999999998</v>
      </c>
      <c r="G3302" s="79">
        <v>949900</v>
      </c>
    </row>
    <row r="3303" spans="1:7" x14ac:dyDescent="0.25">
      <c r="A3303" s="1" t="s">
        <v>3426</v>
      </c>
      <c r="B3303" s="76">
        <v>62.442805999999997</v>
      </c>
      <c r="C3303" s="76">
        <v>62.552546999999997</v>
      </c>
      <c r="D3303" s="76">
        <v>61.959941999999998</v>
      </c>
      <c r="E3303" s="76">
        <v>62.106265999999998</v>
      </c>
      <c r="F3303" s="76">
        <v>53.666739999999997</v>
      </c>
      <c r="G3303" s="79">
        <v>2509300</v>
      </c>
    </row>
    <row r="3304" spans="1:7" x14ac:dyDescent="0.25">
      <c r="A3304" s="1" t="s">
        <v>3427</v>
      </c>
      <c r="B3304" s="76">
        <v>62.135528999999998</v>
      </c>
      <c r="C3304" s="76">
        <v>62.735447000000001</v>
      </c>
      <c r="D3304" s="76">
        <v>62.084316000000001</v>
      </c>
      <c r="E3304" s="76">
        <v>62.735447000000001</v>
      </c>
      <c r="F3304" s="76">
        <v>54.210422999999999</v>
      </c>
      <c r="G3304" s="79">
        <v>1165300</v>
      </c>
    </row>
    <row r="3305" spans="1:7" x14ac:dyDescent="0.25">
      <c r="A3305" s="1" t="s">
        <v>3428</v>
      </c>
      <c r="B3305" s="76">
        <v>62.581809999999997</v>
      </c>
      <c r="C3305" s="76">
        <v>62.815925999999997</v>
      </c>
      <c r="D3305" s="76">
        <v>62.033104000000002</v>
      </c>
      <c r="E3305" s="76">
        <v>62.098948999999998</v>
      </c>
      <c r="F3305" s="76">
        <v>53.660404</v>
      </c>
      <c r="G3305" s="79">
        <v>1026200</v>
      </c>
    </row>
    <row r="3306" spans="1:7" x14ac:dyDescent="0.25">
      <c r="A3306" s="1" t="s">
        <v>3429</v>
      </c>
      <c r="B3306" s="76">
        <v>62.113582999999998</v>
      </c>
      <c r="C3306" s="76">
        <v>62.113582999999998</v>
      </c>
      <c r="D3306" s="76">
        <v>61.403918999999902</v>
      </c>
      <c r="E3306" s="76">
        <v>61.4551319999999</v>
      </c>
      <c r="F3306" s="76">
        <v>53.104080000000003</v>
      </c>
      <c r="G3306" s="79">
        <v>1165000</v>
      </c>
    </row>
    <row r="3307" spans="1:7" x14ac:dyDescent="0.25">
      <c r="A3307" s="1" t="s">
        <v>3430</v>
      </c>
      <c r="B3307" s="76">
        <v>61.718513000000002</v>
      </c>
      <c r="C3307" s="76">
        <v>62.442805999999997</v>
      </c>
      <c r="D3307" s="76">
        <v>61.681930999999999</v>
      </c>
      <c r="E3307" s="76">
        <v>62.435490000000001</v>
      </c>
      <c r="F3307" s="76">
        <v>53.951217999999997</v>
      </c>
      <c r="G3307" s="79">
        <v>839900</v>
      </c>
    </row>
    <row r="3308" spans="1:7" x14ac:dyDescent="0.25">
      <c r="A3308" s="1" t="s">
        <v>3431</v>
      </c>
      <c r="B3308" s="76">
        <v>62.684235000000001</v>
      </c>
      <c r="C3308" s="76">
        <v>62.859820999999997</v>
      </c>
      <c r="D3308" s="76">
        <v>60.760105000000003</v>
      </c>
      <c r="E3308" s="76">
        <v>60.767421999999897</v>
      </c>
      <c r="F3308" s="76">
        <v>52.509822999999997</v>
      </c>
      <c r="G3308" s="79">
        <v>1210700</v>
      </c>
    </row>
    <row r="3309" spans="1:7" x14ac:dyDescent="0.25">
      <c r="A3309" s="1" t="s">
        <v>3432</v>
      </c>
      <c r="B3309" s="76">
        <v>61.140540999999999</v>
      </c>
      <c r="C3309" s="76">
        <v>61.499031000000002</v>
      </c>
      <c r="D3309" s="76">
        <v>60.467461</v>
      </c>
      <c r="E3309" s="76">
        <v>60.723526</v>
      </c>
      <c r="F3309" s="76">
        <v>52.471885999999998</v>
      </c>
      <c r="G3309" s="79">
        <v>1414600</v>
      </c>
    </row>
    <row r="3310" spans="1:7" x14ac:dyDescent="0.25">
      <c r="A3310" s="1" t="s">
        <v>3433</v>
      </c>
      <c r="B3310" s="76">
        <v>60.255294999999997</v>
      </c>
      <c r="C3310" s="76">
        <v>60.950324999999999</v>
      </c>
      <c r="D3310" s="76">
        <v>59.691955999999998</v>
      </c>
      <c r="E3310" s="76">
        <v>60.489409999999999</v>
      </c>
      <c r="F3310" s="76">
        <v>52.269584999999999</v>
      </c>
      <c r="G3310" s="79">
        <v>2026600</v>
      </c>
    </row>
    <row r="3311" spans="1:7" x14ac:dyDescent="0.25">
      <c r="A3311" s="1" t="s">
        <v>3434</v>
      </c>
      <c r="B3311" s="76">
        <v>60.635731</v>
      </c>
      <c r="C3311" s="76">
        <v>60.913741999999999</v>
      </c>
      <c r="D3311" s="76">
        <v>58.682334999999902</v>
      </c>
      <c r="E3311" s="76">
        <v>58.682334999999902</v>
      </c>
      <c r="F3311" s="76">
        <v>50.708075999999998</v>
      </c>
      <c r="G3311" s="79">
        <v>5051000</v>
      </c>
    </row>
    <row r="3312" spans="1:7" x14ac:dyDescent="0.25">
      <c r="A3312" s="1" t="s">
        <v>3435</v>
      </c>
      <c r="B3312" s="76">
        <v>58.411639999999998</v>
      </c>
      <c r="C3312" s="76">
        <v>58.755496999999998</v>
      </c>
      <c r="D3312" s="76">
        <v>58.111682999999999</v>
      </c>
      <c r="E3312" s="76">
        <v>58.755496999999998</v>
      </c>
      <c r="F3312" s="76">
        <v>50.771309000000002</v>
      </c>
      <c r="G3312" s="79">
        <v>1778900</v>
      </c>
    </row>
    <row r="3313" spans="1:7" x14ac:dyDescent="0.25">
      <c r="A3313" s="1" t="s">
        <v>3436</v>
      </c>
      <c r="B3313" s="76">
        <v>59.113987000000002</v>
      </c>
      <c r="C3313" s="76">
        <v>59.735850999999997</v>
      </c>
      <c r="D3313" s="76">
        <v>58.894505000000002</v>
      </c>
      <c r="E3313" s="76">
        <v>59.523685</v>
      </c>
      <c r="F3313" s="76">
        <v>51.435101000000003</v>
      </c>
      <c r="G3313" s="79">
        <v>1551900</v>
      </c>
    </row>
    <row r="3314" spans="1:7" x14ac:dyDescent="0.25">
      <c r="A3314" s="1" t="s">
        <v>3437</v>
      </c>
      <c r="B3314" s="76">
        <v>59.940703999999997</v>
      </c>
      <c r="C3314" s="76">
        <v>61.711196999999999</v>
      </c>
      <c r="D3314" s="76">
        <v>59.889491999999997</v>
      </c>
      <c r="E3314" s="76">
        <v>61.535609999999998</v>
      </c>
      <c r="F3314" s="76">
        <v>53.173630000000003</v>
      </c>
      <c r="G3314" s="79">
        <v>3153700</v>
      </c>
    </row>
    <row r="3315" spans="1:7" x14ac:dyDescent="0.25">
      <c r="A3315" s="1" t="s">
        <v>3438</v>
      </c>
      <c r="B3315" s="76">
        <v>61.667301000000002</v>
      </c>
      <c r="C3315" s="76">
        <v>61.769725999999999</v>
      </c>
      <c r="D3315" s="76">
        <v>60.591834999999897</v>
      </c>
      <c r="E3315" s="76">
        <v>60.884480000000003</v>
      </c>
      <c r="F3315" s="76">
        <v>52.610984999999999</v>
      </c>
      <c r="G3315" s="79">
        <v>1195100</v>
      </c>
    </row>
    <row r="3316" spans="1:7" x14ac:dyDescent="0.25">
      <c r="A3316" s="1" t="s">
        <v>3439</v>
      </c>
      <c r="B3316" s="76">
        <v>60.855212999999999</v>
      </c>
      <c r="C3316" s="76">
        <v>61.177119999999903</v>
      </c>
      <c r="D3316" s="76">
        <v>60.613785</v>
      </c>
      <c r="E3316" s="76">
        <v>60.738154999999999</v>
      </c>
      <c r="F3316" s="76">
        <v>52.484535000000001</v>
      </c>
      <c r="G3316" s="79">
        <v>1597500</v>
      </c>
    </row>
    <row r="3317" spans="1:7" x14ac:dyDescent="0.25">
      <c r="A3317" s="1" t="s">
        <v>3440</v>
      </c>
      <c r="B3317" s="76">
        <v>61.294178000000002</v>
      </c>
      <c r="C3317" s="76">
        <v>61.791671999999998</v>
      </c>
      <c r="D3317" s="76">
        <v>61.089328999999999</v>
      </c>
      <c r="E3317" s="76">
        <v>61.630718000000002</v>
      </c>
      <c r="F3317" s="76">
        <v>53.255809999999997</v>
      </c>
      <c r="G3317" s="79">
        <v>1695800</v>
      </c>
    </row>
    <row r="3318" spans="1:7" x14ac:dyDescent="0.25">
      <c r="A3318" s="1" t="s">
        <v>3441</v>
      </c>
      <c r="B3318" s="76">
        <v>61.389290000000003</v>
      </c>
      <c r="C3318" s="76">
        <v>62.091632999999902</v>
      </c>
      <c r="D3318" s="76">
        <v>61.1478579999999</v>
      </c>
      <c r="E3318" s="76">
        <v>62.069682999999998</v>
      </c>
      <c r="F3318" s="76">
        <v>53.635131999999899</v>
      </c>
      <c r="G3318" s="79">
        <v>1465100</v>
      </c>
    </row>
    <row r="3319" spans="1:7" x14ac:dyDescent="0.25">
      <c r="A3319" s="1" t="s">
        <v>3442</v>
      </c>
      <c r="B3319" s="76">
        <v>61.967257999999902</v>
      </c>
      <c r="C3319" s="76">
        <v>62.055053999999998</v>
      </c>
      <c r="D3319" s="76">
        <v>61.125907999999903</v>
      </c>
      <c r="E3319" s="76">
        <v>61.191752999999999</v>
      </c>
      <c r="F3319" s="76">
        <v>52.876494999999998</v>
      </c>
      <c r="G3319" s="79">
        <v>1343500</v>
      </c>
    </row>
    <row r="3320" spans="1:7" x14ac:dyDescent="0.25">
      <c r="A3320" s="1" t="s">
        <v>3443</v>
      </c>
      <c r="B3320" s="76">
        <v>61.155174000000002</v>
      </c>
      <c r="C3320" s="76">
        <v>61.469765000000002</v>
      </c>
      <c r="D3320" s="76">
        <v>60.650364000000003</v>
      </c>
      <c r="E3320" s="76">
        <v>60.840584</v>
      </c>
      <c r="F3320" s="76">
        <v>52.573048</v>
      </c>
      <c r="G3320" s="79">
        <v>1231300</v>
      </c>
    </row>
    <row r="3321" spans="1:7" x14ac:dyDescent="0.25">
      <c r="A3321" s="1" t="s">
        <v>3444</v>
      </c>
      <c r="B3321" s="76">
        <v>60.972270999999999</v>
      </c>
      <c r="C3321" s="76">
        <v>61.206386999999999</v>
      </c>
      <c r="D3321" s="76">
        <v>60.789368000000003</v>
      </c>
      <c r="E3321" s="76">
        <v>60.994220999999897</v>
      </c>
      <c r="F3321" s="76">
        <v>52.705806999999901</v>
      </c>
      <c r="G3321" s="79">
        <v>1055500</v>
      </c>
    </row>
    <row r="3322" spans="1:7" x14ac:dyDescent="0.25">
      <c r="A3322" s="1" t="s">
        <v>3445</v>
      </c>
      <c r="B3322" s="76">
        <v>60.760105000000003</v>
      </c>
      <c r="C3322" s="76">
        <v>61.272231999999903</v>
      </c>
      <c r="D3322" s="76">
        <v>60.328456999999901</v>
      </c>
      <c r="E3322" s="76">
        <v>60.928375000000003</v>
      </c>
      <c r="F3322" s="76">
        <v>52.648913999999998</v>
      </c>
      <c r="G3322" s="79">
        <v>2888900</v>
      </c>
    </row>
    <row r="3323" spans="1:7" x14ac:dyDescent="0.25">
      <c r="A3323" s="1" t="s">
        <v>3446</v>
      </c>
      <c r="B3323" s="76">
        <v>60.489409999999999</v>
      </c>
      <c r="C3323" s="76">
        <v>60.818633999999903</v>
      </c>
      <c r="D3323" s="76">
        <v>60.152869999999901</v>
      </c>
      <c r="E3323" s="76">
        <v>60.496727</v>
      </c>
      <c r="F3323" s="76">
        <v>52.275917</v>
      </c>
      <c r="G3323" s="79">
        <v>1495900</v>
      </c>
    </row>
    <row r="3324" spans="1:7" x14ac:dyDescent="0.25">
      <c r="A3324" s="1" t="s">
        <v>3447</v>
      </c>
      <c r="B3324" s="76">
        <v>60.540622999999997</v>
      </c>
      <c r="C3324" s="76">
        <v>60.686942999999999</v>
      </c>
      <c r="D3324" s="76">
        <v>59.333468999999901</v>
      </c>
      <c r="E3324" s="76">
        <v>59.787064000000001</v>
      </c>
      <c r="F3324" s="76">
        <v>51.662681999999997</v>
      </c>
      <c r="G3324" s="79">
        <v>1989800</v>
      </c>
    </row>
    <row r="3325" spans="1:7" x14ac:dyDescent="0.25">
      <c r="A3325" s="1" t="s">
        <v>3448</v>
      </c>
      <c r="B3325" s="76">
        <v>60.065075</v>
      </c>
      <c r="C3325" s="76">
        <v>60.196765999999997</v>
      </c>
      <c r="D3325" s="76">
        <v>59.721221999999997</v>
      </c>
      <c r="E3325" s="76">
        <v>59.823646999999902</v>
      </c>
      <c r="F3325" s="76">
        <v>51.694297999999897</v>
      </c>
      <c r="G3325" s="79">
        <v>1384900</v>
      </c>
    </row>
    <row r="3326" spans="1:7" x14ac:dyDescent="0.25">
      <c r="A3326" s="1" t="s">
        <v>3449</v>
      </c>
      <c r="B3326" s="76">
        <v>59.472473000000001</v>
      </c>
      <c r="C3326" s="76">
        <v>59.955333999999901</v>
      </c>
      <c r="D3326" s="76">
        <v>59.472473000000001</v>
      </c>
      <c r="E3326" s="76">
        <v>59.611480999999998</v>
      </c>
      <c r="F3326" s="76">
        <v>51.510962999999997</v>
      </c>
      <c r="G3326" s="79">
        <v>1681800</v>
      </c>
    </row>
    <row r="3327" spans="1:7" x14ac:dyDescent="0.25">
      <c r="A3327" s="1" t="s">
        <v>3450</v>
      </c>
      <c r="B3327" s="76">
        <v>59.889491999999997</v>
      </c>
      <c r="C3327" s="76">
        <v>60.035812</v>
      </c>
      <c r="D3327" s="76">
        <v>59.472473000000001</v>
      </c>
      <c r="E3327" s="76">
        <v>59.691955999999998</v>
      </c>
      <c r="F3327" s="76">
        <v>51.580497999999999</v>
      </c>
      <c r="G3327" s="79">
        <v>842100</v>
      </c>
    </row>
    <row r="3328" spans="1:7" x14ac:dyDescent="0.25">
      <c r="A3328" s="1" t="s">
        <v>3451</v>
      </c>
      <c r="B3328" s="76">
        <v>59.838279999999997</v>
      </c>
      <c r="C3328" s="76">
        <v>59.940703999999997</v>
      </c>
      <c r="D3328" s="76">
        <v>59.428576999999997</v>
      </c>
      <c r="E3328" s="76">
        <v>59.640743000000001</v>
      </c>
      <c r="F3328" s="76">
        <v>51.536254999999997</v>
      </c>
      <c r="G3328" s="79">
        <v>1039900</v>
      </c>
    </row>
    <row r="3329" spans="1:7" x14ac:dyDescent="0.25">
      <c r="A3329" s="1" t="s">
        <v>3452</v>
      </c>
      <c r="B3329" s="76">
        <v>59.940703999999997</v>
      </c>
      <c r="C3329" s="76">
        <v>60.262611</v>
      </c>
      <c r="D3329" s="76">
        <v>59.911437999999997</v>
      </c>
      <c r="E3329" s="76">
        <v>60.2333449999999</v>
      </c>
      <c r="F3329" s="76">
        <v>52.048321000000001</v>
      </c>
      <c r="G3329" s="79">
        <v>867400</v>
      </c>
    </row>
    <row r="3330" spans="1:7" x14ac:dyDescent="0.25">
      <c r="A3330" s="1" t="s">
        <v>3453</v>
      </c>
      <c r="B3330" s="76">
        <v>59.874858999999901</v>
      </c>
      <c r="C3330" s="76">
        <v>61.162491000000003</v>
      </c>
      <c r="D3330" s="76">
        <v>59.538318999999902</v>
      </c>
      <c r="E3330" s="76">
        <v>61.052750000000003</v>
      </c>
      <c r="F3330" s="76">
        <v>52.756390000000003</v>
      </c>
      <c r="G3330" s="79">
        <v>1854800</v>
      </c>
    </row>
    <row r="3331" spans="1:7" x14ac:dyDescent="0.25">
      <c r="A3331" s="1" t="s">
        <v>3454</v>
      </c>
      <c r="B3331" s="76">
        <v>60.972270999999999</v>
      </c>
      <c r="C3331" s="76">
        <v>61.235649000000002</v>
      </c>
      <c r="D3331" s="76">
        <v>60.613785</v>
      </c>
      <c r="E3331" s="76">
        <v>61.191752999999999</v>
      </c>
      <c r="F3331" s="76">
        <v>52.876494999999998</v>
      </c>
      <c r="G3331" s="79">
        <v>1153400</v>
      </c>
    </row>
    <row r="3332" spans="1:7" x14ac:dyDescent="0.25">
      <c r="A3332" s="1" t="s">
        <v>3455</v>
      </c>
      <c r="B3332" s="76">
        <v>61.133223999999998</v>
      </c>
      <c r="C3332" s="76">
        <v>61.645350999999998</v>
      </c>
      <c r="D3332" s="76">
        <v>61.067379000000003</v>
      </c>
      <c r="E3332" s="76">
        <v>61.616089000000002</v>
      </c>
      <c r="F3332" s="76">
        <v>53.243167999999997</v>
      </c>
      <c r="G3332" s="79">
        <v>841800</v>
      </c>
    </row>
    <row r="3333" spans="1:7" x14ac:dyDescent="0.25">
      <c r="A3333" s="1" t="s">
        <v>3456</v>
      </c>
      <c r="B3333" s="76">
        <v>61.908729999999998</v>
      </c>
      <c r="C3333" s="76">
        <v>62.106265999999998</v>
      </c>
      <c r="D3333" s="76">
        <v>61.542926999999999</v>
      </c>
      <c r="E3333" s="76">
        <v>61.755093000000002</v>
      </c>
      <c r="F3333" s="76">
        <v>53.363292999999999</v>
      </c>
      <c r="G3333" s="79">
        <v>881000</v>
      </c>
    </row>
    <row r="3334" spans="1:7" x14ac:dyDescent="0.25">
      <c r="A3334" s="1" t="s">
        <v>3457</v>
      </c>
      <c r="B3334" s="76">
        <v>62.076999999999998</v>
      </c>
      <c r="C3334" s="76">
        <v>62.076999999999998</v>
      </c>
      <c r="D3334" s="76">
        <v>61.601455999999999</v>
      </c>
      <c r="E3334" s="76">
        <v>61.769725999999999</v>
      </c>
      <c r="F3334" s="76">
        <v>53.375931000000001</v>
      </c>
      <c r="G3334" s="79">
        <v>1150700</v>
      </c>
    </row>
    <row r="3335" spans="1:7" x14ac:dyDescent="0.25">
      <c r="A3335" s="1" t="s">
        <v>3458</v>
      </c>
      <c r="B3335" s="76">
        <v>62.508651999999998</v>
      </c>
      <c r="C3335" s="76">
        <v>63.876759</v>
      </c>
      <c r="D3335" s="76">
        <v>62.413539999999998</v>
      </c>
      <c r="E3335" s="76">
        <v>63.810912999999999</v>
      </c>
      <c r="F3335" s="76">
        <v>55.139743999999901</v>
      </c>
      <c r="G3335" s="79">
        <v>1847100</v>
      </c>
    </row>
    <row r="3336" spans="1:7" x14ac:dyDescent="0.25">
      <c r="A3336" s="1" t="s">
        <v>3459</v>
      </c>
      <c r="B3336" s="76">
        <v>63.174416000000001</v>
      </c>
      <c r="C3336" s="76">
        <v>63.642643</v>
      </c>
      <c r="D3336" s="76">
        <v>62.801291999999997</v>
      </c>
      <c r="E3336" s="76">
        <v>63.620697</v>
      </c>
      <c r="F3336" s="76">
        <v>54.975380000000001</v>
      </c>
      <c r="G3336" s="79">
        <v>890300</v>
      </c>
    </row>
    <row r="3337" spans="1:7" x14ac:dyDescent="0.25">
      <c r="A3337" s="1" t="s">
        <v>3460</v>
      </c>
      <c r="B3337" s="76">
        <v>63.474373</v>
      </c>
      <c r="C3337" s="76">
        <v>64.359618999999995</v>
      </c>
      <c r="D3337" s="76">
        <v>62.932982999999901</v>
      </c>
      <c r="E3337" s="76">
        <v>64.323036000000002</v>
      </c>
      <c r="F3337" s="76">
        <v>55.582267999999999</v>
      </c>
      <c r="G3337" s="79">
        <v>1183300</v>
      </c>
    </row>
    <row r="3338" spans="1:7" x14ac:dyDescent="0.25">
      <c r="A3338" s="1" t="s">
        <v>3461</v>
      </c>
      <c r="B3338" s="76">
        <v>64.323036000000002</v>
      </c>
      <c r="C3338" s="76">
        <v>64.323036000000002</v>
      </c>
      <c r="D3338" s="76">
        <v>63.203677999999996</v>
      </c>
      <c r="E3338" s="76">
        <v>63.503639</v>
      </c>
      <c r="F3338" s="76">
        <v>54.874214000000002</v>
      </c>
      <c r="G3338" s="79">
        <v>1087800</v>
      </c>
    </row>
    <row r="3339" spans="1:7" x14ac:dyDescent="0.25">
      <c r="A3339" s="1" t="s">
        <v>3462</v>
      </c>
      <c r="B3339" s="76">
        <v>63.525585</v>
      </c>
      <c r="C3339" s="76">
        <v>64.103554000000003</v>
      </c>
      <c r="D3339" s="76">
        <v>63.525585</v>
      </c>
      <c r="E3339" s="76">
        <v>63.693854999999999</v>
      </c>
      <c r="F3339" s="76">
        <v>55.038585999999903</v>
      </c>
      <c r="G3339" s="79">
        <v>1354400</v>
      </c>
    </row>
    <row r="3340" spans="1:7" x14ac:dyDescent="0.25">
      <c r="A3340" s="1" t="s">
        <v>3463</v>
      </c>
      <c r="B3340" s="76">
        <v>63.723121999999996</v>
      </c>
      <c r="C3340" s="76">
        <v>64.374251999999998</v>
      </c>
      <c r="D3340" s="76">
        <v>63.723121999999996</v>
      </c>
      <c r="E3340" s="76">
        <v>63.796280000000003</v>
      </c>
      <c r="F3340" s="76">
        <v>55.127102000000001</v>
      </c>
      <c r="G3340" s="79">
        <v>1503300</v>
      </c>
    </row>
    <row r="3341" spans="1:7" x14ac:dyDescent="0.25">
      <c r="A3341" s="1" t="s">
        <v>3464</v>
      </c>
      <c r="B3341" s="76">
        <v>63.715805000000003</v>
      </c>
      <c r="C3341" s="76">
        <v>64.052344999999903</v>
      </c>
      <c r="D3341" s="76">
        <v>63.628009999999897</v>
      </c>
      <c r="E3341" s="76">
        <v>63.949920999999897</v>
      </c>
      <c r="F3341" s="76">
        <v>55.259864999999998</v>
      </c>
      <c r="G3341" s="79">
        <v>1586300</v>
      </c>
    </row>
    <row r="3342" spans="1:7" x14ac:dyDescent="0.25">
      <c r="A3342" s="1" t="s">
        <v>3465</v>
      </c>
      <c r="B3342" s="76">
        <v>63.693854999999999</v>
      </c>
      <c r="C3342" s="76">
        <v>64.023078999999996</v>
      </c>
      <c r="D3342" s="76">
        <v>62.589126999999998</v>
      </c>
      <c r="E3342" s="76">
        <v>62.633021999999997</v>
      </c>
      <c r="F3342" s="76">
        <v>54.12191</v>
      </c>
      <c r="G3342" s="79">
        <v>1231900</v>
      </c>
    </row>
    <row r="3343" spans="1:7" x14ac:dyDescent="0.25">
      <c r="A3343" s="1" t="s">
        <v>3466</v>
      </c>
      <c r="B3343" s="76">
        <v>62.925666999999997</v>
      </c>
      <c r="C3343" s="76">
        <v>64.008445999999907</v>
      </c>
      <c r="D3343" s="76">
        <v>62.603760000000001</v>
      </c>
      <c r="E3343" s="76">
        <v>63.701172</v>
      </c>
      <c r="F3343" s="76">
        <v>55.044918000000003</v>
      </c>
      <c r="G3343" s="79">
        <v>1127900</v>
      </c>
    </row>
    <row r="3344" spans="1:7" x14ac:dyDescent="0.25">
      <c r="A3344" s="1" t="s">
        <v>3467</v>
      </c>
      <c r="B3344" s="76">
        <v>63.408526999999999</v>
      </c>
      <c r="C3344" s="76">
        <v>63.430477000000003</v>
      </c>
      <c r="D3344" s="76">
        <v>62.515965000000001</v>
      </c>
      <c r="E3344" s="76">
        <v>63.108569999999901</v>
      </c>
      <c r="F3344" s="76">
        <v>54.532844999999902</v>
      </c>
      <c r="G3344" s="79">
        <v>1599200</v>
      </c>
    </row>
    <row r="3345" spans="1:7" x14ac:dyDescent="0.25">
      <c r="A3345" s="1" t="s">
        <v>3468</v>
      </c>
      <c r="B3345" s="76">
        <v>63.101253999999997</v>
      </c>
      <c r="C3345" s="76">
        <v>63.130516</v>
      </c>
      <c r="D3345" s="76">
        <v>61.806305000000002</v>
      </c>
      <c r="E3345" s="76">
        <v>62.186740999999998</v>
      </c>
      <c r="F3345" s="76">
        <v>53.736279000000003</v>
      </c>
      <c r="G3345" s="79">
        <v>1428600</v>
      </c>
    </row>
    <row r="3346" spans="1:7" x14ac:dyDescent="0.25">
      <c r="A3346" s="1" t="s">
        <v>3469</v>
      </c>
      <c r="B3346" s="76">
        <v>62.494018999999902</v>
      </c>
      <c r="C3346" s="76">
        <v>63.203677999999996</v>
      </c>
      <c r="D3346" s="76">
        <v>62.303798999999998</v>
      </c>
      <c r="E3346" s="76">
        <v>62.932982999999901</v>
      </c>
      <c r="F3346" s="76">
        <v>54.381106999999901</v>
      </c>
      <c r="G3346" s="79">
        <v>1493900</v>
      </c>
    </row>
    <row r="3347" spans="1:7" x14ac:dyDescent="0.25">
      <c r="A3347" s="1" t="s">
        <v>3470</v>
      </c>
      <c r="B3347" s="76">
        <v>63.086619999999897</v>
      </c>
      <c r="C3347" s="76">
        <v>63.532902</v>
      </c>
      <c r="D3347" s="76">
        <v>62.669604999999997</v>
      </c>
      <c r="E3347" s="76">
        <v>63.342686</v>
      </c>
      <c r="F3347" s="76">
        <v>54.735142000000003</v>
      </c>
      <c r="G3347" s="79">
        <v>859600</v>
      </c>
    </row>
    <row r="3348" spans="1:7" x14ac:dyDescent="0.25">
      <c r="A3348" s="1" t="s">
        <v>3471</v>
      </c>
      <c r="B3348" s="76">
        <v>63.576796999999999</v>
      </c>
      <c r="C3348" s="76">
        <v>63.693854999999999</v>
      </c>
      <c r="D3348" s="76">
        <v>62.991512</v>
      </c>
      <c r="E3348" s="76">
        <v>63.474373</v>
      </c>
      <c r="F3348" s="76">
        <v>54.848927000000003</v>
      </c>
      <c r="G3348" s="79">
        <v>762000</v>
      </c>
    </row>
    <row r="3349" spans="1:7" x14ac:dyDescent="0.25">
      <c r="A3349" s="1" t="s">
        <v>3472</v>
      </c>
      <c r="B3349" s="76">
        <v>63.679221999999903</v>
      </c>
      <c r="C3349" s="76">
        <v>64.118187000000006</v>
      </c>
      <c r="D3349" s="76">
        <v>63.386581</v>
      </c>
      <c r="E3349" s="76">
        <v>63.752383999999999</v>
      </c>
      <c r="F3349" s="76">
        <v>55.089160999999997</v>
      </c>
      <c r="G3349" s="79">
        <v>734000</v>
      </c>
    </row>
    <row r="3350" spans="1:7" x14ac:dyDescent="0.25">
      <c r="A3350" s="1" t="s">
        <v>3473</v>
      </c>
      <c r="B3350" s="76">
        <v>63.620697</v>
      </c>
      <c r="C3350" s="76">
        <v>63.803595999999999</v>
      </c>
      <c r="D3350" s="76">
        <v>62.647655</v>
      </c>
      <c r="E3350" s="76">
        <v>63.313418999999897</v>
      </c>
      <c r="F3350" s="76">
        <v>54.709845999999999</v>
      </c>
      <c r="G3350" s="79">
        <v>803800</v>
      </c>
    </row>
    <row r="3351" spans="1:7" x14ac:dyDescent="0.25">
      <c r="A3351" s="1" t="s">
        <v>3474</v>
      </c>
      <c r="B3351" s="76">
        <v>63.320735999999997</v>
      </c>
      <c r="C3351" s="76">
        <v>63.701172</v>
      </c>
      <c r="D3351" s="76">
        <v>62.786662999999997</v>
      </c>
      <c r="E3351" s="76">
        <v>62.867137999999997</v>
      </c>
      <c r="F3351" s="76">
        <v>54.324210999999998</v>
      </c>
      <c r="G3351" s="79">
        <v>1089300</v>
      </c>
    </row>
    <row r="3352" spans="1:7" x14ac:dyDescent="0.25">
      <c r="A3352" s="1" t="s">
        <v>3475</v>
      </c>
      <c r="B3352" s="76">
        <v>63.079304</v>
      </c>
      <c r="C3352" s="76">
        <v>63.759701</v>
      </c>
      <c r="D3352" s="76">
        <v>62.764713</v>
      </c>
      <c r="E3352" s="76">
        <v>63.606064000000003</v>
      </c>
      <c r="F3352" s="76">
        <v>54.962738000000002</v>
      </c>
      <c r="G3352" s="79">
        <v>871700</v>
      </c>
    </row>
    <row r="3353" spans="1:7" x14ac:dyDescent="0.25">
      <c r="A3353" s="1" t="s">
        <v>3476</v>
      </c>
      <c r="B3353" s="76">
        <v>63.628009999999897</v>
      </c>
      <c r="C3353" s="76">
        <v>64.176719999999904</v>
      </c>
      <c r="D3353" s="76">
        <v>63.386581</v>
      </c>
      <c r="E3353" s="76">
        <v>64.059662000000003</v>
      </c>
      <c r="F3353" s="76">
        <v>55.354682999999902</v>
      </c>
      <c r="G3353" s="79">
        <v>1043800</v>
      </c>
    </row>
    <row r="3354" spans="1:7" x14ac:dyDescent="0.25">
      <c r="A3354" s="1" t="s">
        <v>3477</v>
      </c>
      <c r="B3354" s="76">
        <v>63.606064000000003</v>
      </c>
      <c r="C3354" s="76">
        <v>64.513260000000002</v>
      </c>
      <c r="D3354" s="76">
        <v>63.474373</v>
      </c>
      <c r="E3354" s="76">
        <v>63.942604000000003</v>
      </c>
      <c r="F3354" s="76">
        <v>55.253535999999997</v>
      </c>
      <c r="G3354" s="79">
        <v>1118700</v>
      </c>
    </row>
    <row r="3355" spans="1:7" x14ac:dyDescent="0.25">
      <c r="A3355" s="1" t="s">
        <v>3478</v>
      </c>
      <c r="B3355" s="76">
        <v>63.942604000000003</v>
      </c>
      <c r="C3355" s="76">
        <v>64.352303000000006</v>
      </c>
      <c r="D3355" s="76">
        <v>63.64996</v>
      </c>
      <c r="E3355" s="76">
        <v>63.832863000000003</v>
      </c>
      <c r="F3355" s="76">
        <v>55.158709999999999</v>
      </c>
      <c r="G3355" s="79">
        <v>910300</v>
      </c>
    </row>
    <row r="3356" spans="1:7" x14ac:dyDescent="0.25">
      <c r="A3356" s="1" t="s">
        <v>3479</v>
      </c>
      <c r="B3356" s="76">
        <v>64.184035999999907</v>
      </c>
      <c r="C3356" s="76">
        <v>64.315726999999995</v>
      </c>
      <c r="D3356" s="76">
        <v>63.584114</v>
      </c>
      <c r="E3356" s="76">
        <v>63.598746999999904</v>
      </c>
      <c r="F3356" s="76">
        <v>54.956406000000001</v>
      </c>
      <c r="G3356" s="79">
        <v>1051300</v>
      </c>
    </row>
    <row r="3357" spans="1:7" x14ac:dyDescent="0.25">
      <c r="A3357" s="1" t="s">
        <v>3480</v>
      </c>
      <c r="B3357" s="76">
        <v>63.510956</v>
      </c>
      <c r="C3357" s="76">
        <v>64.498626999999999</v>
      </c>
      <c r="D3357" s="76">
        <v>63.510956</v>
      </c>
      <c r="E3357" s="76">
        <v>64.264510999999999</v>
      </c>
      <c r="F3357" s="76">
        <v>55.531695999999997</v>
      </c>
      <c r="G3357" s="79">
        <v>1206400</v>
      </c>
    </row>
    <row r="3358" spans="1:7" x14ac:dyDescent="0.25">
      <c r="A3358" s="1" t="s">
        <v>3481</v>
      </c>
      <c r="B3358" s="76">
        <v>63.64996</v>
      </c>
      <c r="C3358" s="76">
        <v>63.64996</v>
      </c>
      <c r="D3358" s="76">
        <v>61.162491000000003</v>
      </c>
      <c r="E3358" s="76">
        <v>63.518268999999997</v>
      </c>
      <c r="F3358" s="76">
        <v>54.886856000000002</v>
      </c>
      <c r="G3358" s="79">
        <v>1499500</v>
      </c>
    </row>
    <row r="3359" spans="1:7" x14ac:dyDescent="0.25">
      <c r="A3359" s="1" t="s">
        <v>3482</v>
      </c>
      <c r="B3359" s="76">
        <v>63.481689000000003</v>
      </c>
      <c r="C3359" s="76">
        <v>64.213295000000002</v>
      </c>
      <c r="D3359" s="76">
        <v>63.371947999999897</v>
      </c>
      <c r="E3359" s="76">
        <v>63.964550000000003</v>
      </c>
      <c r="F3359" s="76">
        <v>55.272498999999897</v>
      </c>
      <c r="G3359" s="79">
        <v>1613900</v>
      </c>
    </row>
    <row r="3360" spans="1:7" x14ac:dyDescent="0.25">
      <c r="A3360" s="1" t="s">
        <v>3483</v>
      </c>
      <c r="B3360" s="76">
        <v>63.701172</v>
      </c>
      <c r="C3360" s="76">
        <v>64.008445999999907</v>
      </c>
      <c r="D3360" s="76">
        <v>62.859820999999997</v>
      </c>
      <c r="E3360" s="76">
        <v>63.035407999999997</v>
      </c>
      <c r="F3360" s="76">
        <v>54.928241999999997</v>
      </c>
      <c r="G3360" s="79">
        <v>1644800</v>
      </c>
    </row>
    <row r="3361" spans="1:7" x14ac:dyDescent="0.25">
      <c r="A3361" s="1" t="s">
        <v>3484</v>
      </c>
      <c r="B3361" s="76">
        <v>63.079304</v>
      </c>
      <c r="C3361" s="76">
        <v>63.247574</v>
      </c>
      <c r="D3361" s="76">
        <v>62.530597999999998</v>
      </c>
      <c r="E3361" s="76">
        <v>63.115887000000001</v>
      </c>
      <c r="F3361" s="76">
        <v>54.998359999999998</v>
      </c>
      <c r="G3361" s="79">
        <v>1541400</v>
      </c>
    </row>
    <row r="3362" spans="1:7" x14ac:dyDescent="0.25">
      <c r="A3362" s="1" t="s">
        <v>3485</v>
      </c>
      <c r="B3362" s="76">
        <v>63.232943999999897</v>
      </c>
      <c r="C3362" s="76">
        <v>63.481689000000003</v>
      </c>
      <c r="D3362" s="76">
        <v>62.903717</v>
      </c>
      <c r="E3362" s="76">
        <v>63.474373</v>
      </c>
      <c r="F3362" s="76">
        <v>55.310749000000001</v>
      </c>
      <c r="G3362" s="79">
        <v>1817400</v>
      </c>
    </row>
    <row r="3363" spans="1:7" x14ac:dyDescent="0.25">
      <c r="A3363" s="1" t="s">
        <v>3486</v>
      </c>
      <c r="B3363" s="76">
        <v>63.430477000000003</v>
      </c>
      <c r="C3363" s="76">
        <v>63.803595999999999</v>
      </c>
      <c r="D3363" s="76">
        <v>63.181728</v>
      </c>
      <c r="E3363" s="76">
        <v>63.642643</v>
      </c>
      <c r="F3363" s="76">
        <v>55.457374999999999</v>
      </c>
      <c r="G3363" s="79">
        <v>1562900</v>
      </c>
    </row>
    <row r="3364" spans="1:7" x14ac:dyDescent="0.25">
      <c r="A3364" s="1" t="s">
        <v>3487</v>
      </c>
      <c r="B3364" s="76">
        <v>63.510956</v>
      </c>
      <c r="C3364" s="76">
        <v>64.608367999999999</v>
      </c>
      <c r="D3364" s="76">
        <v>63.2402569999999</v>
      </c>
      <c r="E3364" s="76">
        <v>64.491309999999999</v>
      </c>
      <c r="F3364" s="76">
        <v>56.196899000000002</v>
      </c>
      <c r="G3364" s="79">
        <v>1711600</v>
      </c>
    </row>
    <row r="3365" spans="1:7" x14ac:dyDescent="0.25">
      <c r="A3365" s="1" t="s">
        <v>3488</v>
      </c>
      <c r="B3365" s="76">
        <v>64.330353000000002</v>
      </c>
      <c r="C3365" s="76">
        <v>64.754692000000006</v>
      </c>
      <c r="D3365" s="76">
        <v>63.927970999999999</v>
      </c>
      <c r="E3365" s="76">
        <v>64.081611999999893</v>
      </c>
      <c r="F3365" s="76">
        <v>55.839893000000004</v>
      </c>
      <c r="G3365" s="79">
        <v>1338900</v>
      </c>
    </row>
    <row r="3366" spans="1:7" x14ac:dyDescent="0.25">
      <c r="A3366" s="1" t="s">
        <v>3489</v>
      </c>
      <c r="B3366" s="76">
        <v>64.147452999999999</v>
      </c>
      <c r="C3366" s="76">
        <v>64.513260000000002</v>
      </c>
      <c r="D3366" s="76">
        <v>63.620697</v>
      </c>
      <c r="E3366" s="76">
        <v>63.986499999999999</v>
      </c>
      <c r="F3366" s="76">
        <v>55.757007999999999</v>
      </c>
      <c r="G3366" s="79">
        <v>1201900</v>
      </c>
    </row>
    <row r="3367" spans="1:7" x14ac:dyDescent="0.25">
      <c r="A3367" s="1" t="s">
        <v>3490</v>
      </c>
      <c r="B3367" s="76">
        <v>63.986499999999999</v>
      </c>
      <c r="C3367" s="76">
        <v>64.257194999999996</v>
      </c>
      <c r="D3367" s="76">
        <v>63.796280000000003</v>
      </c>
      <c r="E3367" s="76">
        <v>64.140136999999996</v>
      </c>
      <c r="F3367" s="76">
        <v>55.890884</v>
      </c>
      <c r="G3367" s="79">
        <v>1099200</v>
      </c>
    </row>
    <row r="3368" spans="1:7" x14ac:dyDescent="0.25">
      <c r="A3368" s="1" t="s">
        <v>3491</v>
      </c>
      <c r="B3368" s="76">
        <v>64.293777000000006</v>
      </c>
      <c r="C3368" s="76">
        <v>64.381568999999999</v>
      </c>
      <c r="D3368" s="76">
        <v>64.037711999999999</v>
      </c>
      <c r="E3368" s="76">
        <v>64.169403000000003</v>
      </c>
      <c r="F3368" s="76">
        <v>55.916381999999899</v>
      </c>
      <c r="G3368" s="79">
        <v>1036000</v>
      </c>
    </row>
    <row r="3369" spans="1:7" x14ac:dyDescent="0.25">
      <c r="A3369" s="1" t="s">
        <v>3492</v>
      </c>
      <c r="B3369" s="76">
        <v>64.162086000000002</v>
      </c>
      <c r="C3369" s="76">
        <v>64.915642000000005</v>
      </c>
      <c r="D3369" s="76">
        <v>62.318431999999902</v>
      </c>
      <c r="E3369" s="76">
        <v>62.676921999999998</v>
      </c>
      <c r="F3369" s="76">
        <v>54.615851999999997</v>
      </c>
      <c r="G3369" s="79">
        <v>1085500</v>
      </c>
    </row>
    <row r="3370" spans="1:7" x14ac:dyDescent="0.25">
      <c r="A3370" s="1" t="s">
        <v>3493</v>
      </c>
      <c r="B3370" s="76">
        <v>62.120899000000001</v>
      </c>
      <c r="C3370" s="76">
        <v>62.172111999999998</v>
      </c>
      <c r="D3370" s="76">
        <v>61.191752999999999</v>
      </c>
      <c r="E3370" s="76">
        <v>61.396605999999998</v>
      </c>
      <c r="F3370" s="76">
        <v>53.500209999999903</v>
      </c>
      <c r="G3370" s="79">
        <v>1765700</v>
      </c>
    </row>
    <row r="3371" spans="1:7" x14ac:dyDescent="0.25">
      <c r="A3371" s="1" t="s">
        <v>3494</v>
      </c>
      <c r="B3371" s="76">
        <v>61.199069999999899</v>
      </c>
      <c r="C3371" s="76">
        <v>61.791671999999998</v>
      </c>
      <c r="D3371" s="76">
        <v>60.511355999999999</v>
      </c>
      <c r="E3371" s="76">
        <v>61.652667999999998</v>
      </c>
      <c r="F3371" s="76">
        <v>53.723331000000002</v>
      </c>
      <c r="G3371" s="79">
        <v>1312800</v>
      </c>
    </row>
    <row r="3372" spans="1:7" x14ac:dyDescent="0.25">
      <c r="A3372" s="1" t="s">
        <v>3495</v>
      </c>
      <c r="B3372" s="76">
        <v>62.347693999999997</v>
      </c>
      <c r="C3372" s="76">
        <v>62.347693999999997</v>
      </c>
      <c r="D3372" s="76">
        <v>60.957638000000003</v>
      </c>
      <c r="E3372" s="76">
        <v>61.162491000000003</v>
      </c>
      <c r="F3372" s="76">
        <v>53.296195999999902</v>
      </c>
      <c r="G3372" s="79">
        <v>1714200</v>
      </c>
    </row>
    <row r="3373" spans="1:7" x14ac:dyDescent="0.25">
      <c r="A3373" s="1" t="s">
        <v>3496</v>
      </c>
      <c r="B3373" s="76">
        <v>60.811317000000003</v>
      </c>
      <c r="C3373" s="76">
        <v>60.950324999999999</v>
      </c>
      <c r="D3373" s="76">
        <v>59.882174999999997</v>
      </c>
      <c r="E3373" s="76">
        <v>60.496727</v>
      </c>
      <c r="F3373" s="76">
        <v>52.716060999999897</v>
      </c>
      <c r="G3373" s="79">
        <v>1487900</v>
      </c>
    </row>
    <row r="3374" spans="1:7" x14ac:dyDescent="0.25">
      <c r="A3374" s="1" t="s">
        <v>3497</v>
      </c>
      <c r="B3374" s="76">
        <v>60.569884999999999</v>
      </c>
      <c r="C3374" s="76">
        <v>60.921059</v>
      </c>
      <c r="D3374" s="76">
        <v>59.479790000000001</v>
      </c>
      <c r="E3374" s="76">
        <v>59.545634999999997</v>
      </c>
      <c r="F3374" s="76">
        <v>51.887298999999999</v>
      </c>
      <c r="G3374" s="79">
        <v>1453500</v>
      </c>
    </row>
    <row r="3375" spans="1:7" x14ac:dyDescent="0.25">
      <c r="A3375" s="1" t="s">
        <v>3498</v>
      </c>
      <c r="B3375" s="76">
        <v>59.260306999999997</v>
      </c>
      <c r="C3375" s="76">
        <v>59.940703999999997</v>
      </c>
      <c r="D3375" s="76">
        <v>58.492118999999903</v>
      </c>
      <c r="E3375" s="76">
        <v>58.492118999999903</v>
      </c>
      <c r="F3375" s="76">
        <v>50.969273000000001</v>
      </c>
      <c r="G3375" s="79">
        <v>1709800</v>
      </c>
    </row>
    <row r="3376" spans="1:7" x14ac:dyDescent="0.25">
      <c r="A3376" s="1" t="s">
        <v>3499</v>
      </c>
      <c r="B3376" s="76">
        <v>58.492118999999903</v>
      </c>
      <c r="C3376" s="76">
        <v>59.296886000000001</v>
      </c>
      <c r="D3376" s="76">
        <v>57.797089</v>
      </c>
      <c r="E3376" s="76">
        <v>59.128616000000001</v>
      </c>
      <c r="F3376" s="76">
        <v>51.523910999999998</v>
      </c>
      <c r="G3376" s="79">
        <v>1414800</v>
      </c>
    </row>
    <row r="3377" spans="1:7" x14ac:dyDescent="0.25">
      <c r="A3377" s="1" t="s">
        <v>3500</v>
      </c>
      <c r="B3377" s="76">
        <v>59.099353999999998</v>
      </c>
      <c r="C3377" s="76">
        <v>59.318835999999997</v>
      </c>
      <c r="D3377" s="76">
        <v>58.506751999999999</v>
      </c>
      <c r="E3377" s="76">
        <v>58.557963999999998</v>
      </c>
      <c r="F3377" s="76">
        <v>51.026653000000003</v>
      </c>
      <c r="G3377" s="79">
        <v>1374200</v>
      </c>
    </row>
    <row r="3378" spans="1:7" x14ac:dyDescent="0.25">
      <c r="A3378" s="1" t="s">
        <v>3501</v>
      </c>
      <c r="B3378" s="76">
        <v>58.492118999999903</v>
      </c>
      <c r="C3378" s="76">
        <v>58.653071999999902</v>
      </c>
      <c r="D3378" s="76">
        <v>57.636134999999904</v>
      </c>
      <c r="E3378" s="76">
        <v>57.950729000000003</v>
      </c>
      <c r="F3378" s="76">
        <v>50.497512999999998</v>
      </c>
      <c r="G3378" s="79">
        <v>1195800</v>
      </c>
    </row>
    <row r="3379" spans="1:7" x14ac:dyDescent="0.25">
      <c r="A3379" s="1" t="s">
        <v>3502</v>
      </c>
      <c r="B3379" s="76">
        <v>57.921463000000003</v>
      </c>
      <c r="C3379" s="76">
        <v>58.974978999999998</v>
      </c>
      <c r="D3379" s="76">
        <v>57.467865000000003</v>
      </c>
      <c r="E3379" s="76">
        <v>58.974978999999998</v>
      </c>
      <c r="F3379" s="76">
        <v>51.390029999999904</v>
      </c>
      <c r="G3379" s="79">
        <v>1225100</v>
      </c>
    </row>
    <row r="3380" spans="1:7" x14ac:dyDescent="0.25">
      <c r="A3380" s="1" t="s">
        <v>3503</v>
      </c>
      <c r="B3380" s="76">
        <v>58.960345999999902</v>
      </c>
      <c r="C3380" s="76">
        <v>59.955333999999901</v>
      </c>
      <c r="D3380" s="76">
        <v>58.770130000000002</v>
      </c>
      <c r="E3380" s="76">
        <v>59.618797000000001</v>
      </c>
      <c r="F3380" s="76">
        <v>51.951056999999999</v>
      </c>
      <c r="G3380" s="79">
        <v>2534000</v>
      </c>
    </row>
    <row r="3381" spans="1:7" x14ac:dyDescent="0.25">
      <c r="A3381" s="1" t="s">
        <v>3504</v>
      </c>
      <c r="B3381" s="76">
        <v>59.699272000000001</v>
      </c>
      <c r="C3381" s="76">
        <v>59.918754999999997</v>
      </c>
      <c r="D3381" s="76">
        <v>59.055457999999902</v>
      </c>
      <c r="E3381" s="76">
        <v>59.333468999999901</v>
      </c>
      <c r="F3381" s="76">
        <v>51.702418999999999</v>
      </c>
      <c r="G3381" s="79">
        <v>1692100</v>
      </c>
    </row>
    <row r="3382" spans="1:7" x14ac:dyDescent="0.25">
      <c r="A3382" s="1" t="s">
        <v>3505</v>
      </c>
      <c r="B3382" s="76">
        <v>58.872554999999998</v>
      </c>
      <c r="C3382" s="76">
        <v>59.113987000000002</v>
      </c>
      <c r="D3382" s="76">
        <v>58.192157999999999</v>
      </c>
      <c r="E3382" s="76">
        <v>58.418956999999899</v>
      </c>
      <c r="F3382" s="76">
        <v>50.905521</v>
      </c>
      <c r="G3382" s="79">
        <v>1728100</v>
      </c>
    </row>
    <row r="3383" spans="1:7" x14ac:dyDescent="0.25">
      <c r="A3383" s="1" t="s">
        <v>3506</v>
      </c>
      <c r="B3383" s="76">
        <v>58.960345999999902</v>
      </c>
      <c r="C3383" s="76">
        <v>59.040824999999998</v>
      </c>
      <c r="D3383" s="76">
        <v>57.848300999999999</v>
      </c>
      <c r="E3383" s="76">
        <v>58.082417</v>
      </c>
      <c r="F3383" s="76">
        <v>50.612273999999999</v>
      </c>
      <c r="G3383" s="79">
        <v>1226600</v>
      </c>
    </row>
    <row r="3384" spans="1:7" x14ac:dyDescent="0.25">
      <c r="A3384" s="1" t="s">
        <v>3507</v>
      </c>
      <c r="B3384" s="76">
        <v>58.023887999999999</v>
      </c>
      <c r="C3384" s="76">
        <v>60.438198</v>
      </c>
      <c r="D3384" s="76">
        <v>58.023887999999999</v>
      </c>
      <c r="E3384" s="76">
        <v>60.365035999999897</v>
      </c>
      <c r="F3384" s="76">
        <v>52.601317999999999</v>
      </c>
      <c r="G3384" s="79">
        <v>1512000</v>
      </c>
    </row>
    <row r="3385" spans="1:7" x14ac:dyDescent="0.25">
      <c r="A3385" s="1" t="s">
        <v>3508</v>
      </c>
      <c r="B3385" s="76">
        <v>60.196765999999997</v>
      </c>
      <c r="C3385" s="76">
        <v>61.345390000000002</v>
      </c>
      <c r="D3385" s="76">
        <v>59.882174999999997</v>
      </c>
      <c r="E3385" s="76">
        <v>60.613785</v>
      </c>
      <c r="F3385" s="76">
        <v>52.818057999999901</v>
      </c>
      <c r="G3385" s="79">
        <v>1761300</v>
      </c>
    </row>
    <row r="3386" spans="1:7" x14ac:dyDescent="0.25">
      <c r="A3386" s="1" t="s">
        <v>3509</v>
      </c>
      <c r="B3386" s="76">
        <v>60.913741999999999</v>
      </c>
      <c r="C3386" s="76">
        <v>61.689246999999902</v>
      </c>
      <c r="D3386" s="76">
        <v>60.562571999999903</v>
      </c>
      <c r="E3386" s="76">
        <v>60.855212999999999</v>
      </c>
      <c r="F3386" s="76">
        <v>53.028454000000004</v>
      </c>
      <c r="G3386" s="79">
        <v>1506700</v>
      </c>
    </row>
    <row r="3387" spans="1:7" x14ac:dyDescent="0.25">
      <c r="A3387" s="1" t="s">
        <v>3510</v>
      </c>
      <c r="B3387" s="76">
        <v>60.825951000000003</v>
      </c>
      <c r="C3387" s="76">
        <v>61.806305000000002</v>
      </c>
      <c r="D3387" s="76">
        <v>60.52599</v>
      </c>
      <c r="E3387" s="76">
        <v>61.447818999999903</v>
      </c>
      <c r="F3387" s="76">
        <v>53.544842000000003</v>
      </c>
      <c r="G3387" s="79">
        <v>1343400</v>
      </c>
    </row>
    <row r="3388" spans="1:7" x14ac:dyDescent="0.25">
      <c r="A3388" s="1" t="s">
        <v>3511</v>
      </c>
      <c r="B3388" s="76">
        <v>61.440502000000002</v>
      </c>
      <c r="C3388" s="76">
        <v>61.594138999999998</v>
      </c>
      <c r="D3388" s="76">
        <v>59.040824999999998</v>
      </c>
      <c r="E3388" s="76">
        <v>59.194462000000001</v>
      </c>
      <c r="F3388" s="76">
        <v>51.581291</v>
      </c>
      <c r="G3388" s="79">
        <v>1461800</v>
      </c>
    </row>
    <row r="3389" spans="1:7" x14ac:dyDescent="0.25">
      <c r="A3389" s="1" t="s">
        <v>3512</v>
      </c>
      <c r="B3389" s="76">
        <v>58.784762999999998</v>
      </c>
      <c r="C3389" s="76">
        <v>58.784762999999998</v>
      </c>
      <c r="D3389" s="76">
        <v>55.858325999999998</v>
      </c>
      <c r="E3389" s="76">
        <v>56.136336999999997</v>
      </c>
      <c r="F3389" s="76">
        <v>48.916477</v>
      </c>
      <c r="G3389" s="79">
        <v>1537600</v>
      </c>
    </row>
    <row r="3390" spans="1:7" x14ac:dyDescent="0.25">
      <c r="A3390" s="1" t="s">
        <v>3513</v>
      </c>
      <c r="B3390" s="76">
        <v>56.619197999999997</v>
      </c>
      <c r="C3390" s="76">
        <v>57.775143</v>
      </c>
      <c r="D3390" s="76">
        <v>56.150969999999901</v>
      </c>
      <c r="E3390" s="76">
        <v>57.306910999999999</v>
      </c>
      <c r="F3390" s="76">
        <v>49.936501</v>
      </c>
      <c r="G3390" s="79">
        <v>2758500</v>
      </c>
    </row>
    <row r="3391" spans="1:7" x14ac:dyDescent="0.25">
      <c r="A3391" s="1" t="s">
        <v>3514</v>
      </c>
      <c r="B3391" s="76">
        <v>56.626514</v>
      </c>
      <c r="C3391" s="76">
        <v>58.411639999999998</v>
      </c>
      <c r="D3391" s="76">
        <v>55.741267999999998</v>
      </c>
      <c r="E3391" s="76">
        <v>57.167907999999997</v>
      </c>
      <c r="F3391" s="76">
        <v>49.815371999999897</v>
      </c>
      <c r="G3391" s="79">
        <v>1692500</v>
      </c>
    </row>
    <row r="3392" spans="1:7" x14ac:dyDescent="0.25">
      <c r="A3392" s="1" t="s">
        <v>3515</v>
      </c>
      <c r="B3392" s="76">
        <v>57.628818999999901</v>
      </c>
      <c r="C3392" s="76">
        <v>58.345794999999903</v>
      </c>
      <c r="D3392" s="76">
        <v>56.824050999999997</v>
      </c>
      <c r="E3392" s="76">
        <v>57.936095999999999</v>
      </c>
      <c r="F3392" s="76">
        <v>50.484772</v>
      </c>
      <c r="G3392" s="79">
        <v>1687400</v>
      </c>
    </row>
    <row r="3393" spans="1:7" x14ac:dyDescent="0.25">
      <c r="A3393" s="1" t="s">
        <v>3516</v>
      </c>
      <c r="B3393" s="76">
        <v>58.506751999999999</v>
      </c>
      <c r="C3393" s="76">
        <v>59.231040999999998</v>
      </c>
      <c r="D3393" s="76">
        <v>58.492118999999903</v>
      </c>
      <c r="E3393" s="76">
        <v>58.967663000000002</v>
      </c>
      <c r="F3393" s="76">
        <v>51.383656000000002</v>
      </c>
      <c r="G3393" s="79">
        <v>1431100</v>
      </c>
    </row>
    <row r="3394" spans="1:7" x14ac:dyDescent="0.25">
      <c r="A3394" s="1" t="s">
        <v>3517</v>
      </c>
      <c r="B3394" s="76">
        <v>59.391998000000001</v>
      </c>
      <c r="C3394" s="76">
        <v>60.738154999999999</v>
      </c>
      <c r="D3394" s="76">
        <v>59.333468999999901</v>
      </c>
      <c r="E3394" s="76">
        <v>60.672314</v>
      </c>
      <c r="F3394" s="76">
        <v>52.869076</v>
      </c>
      <c r="G3394" s="79">
        <v>1248300</v>
      </c>
    </row>
    <row r="3395" spans="1:7" x14ac:dyDescent="0.25">
      <c r="A3395" s="1" t="s">
        <v>3518</v>
      </c>
      <c r="B3395" s="76">
        <v>60.489409999999999</v>
      </c>
      <c r="C3395" s="76">
        <v>61.052750000000003</v>
      </c>
      <c r="D3395" s="76">
        <v>59.962649999999996</v>
      </c>
      <c r="E3395" s="76">
        <v>60.613785</v>
      </c>
      <c r="F3395" s="76">
        <v>52.818057999999901</v>
      </c>
      <c r="G3395" s="79">
        <v>2056600</v>
      </c>
    </row>
    <row r="3396" spans="1:7" x14ac:dyDescent="0.25">
      <c r="A3396" s="1" t="s">
        <v>3519</v>
      </c>
      <c r="B3396" s="76">
        <v>60.86253</v>
      </c>
      <c r="C3396" s="76">
        <v>61.286864999999999</v>
      </c>
      <c r="D3396" s="76">
        <v>60.167503000000004</v>
      </c>
      <c r="E3396" s="76">
        <v>60.730843</v>
      </c>
      <c r="F3396" s="76">
        <v>52.920070999999901</v>
      </c>
      <c r="G3396" s="79">
        <v>1365500</v>
      </c>
    </row>
    <row r="3397" spans="1:7" x14ac:dyDescent="0.25">
      <c r="A3397" s="1" t="s">
        <v>3520</v>
      </c>
      <c r="B3397" s="76">
        <v>60.562571999999903</v>
      </c>
      <c r="C3397" s="76">
        <v>61.835570999999902</v>
      </c>
      <c r="D3397" s="76">
        <v>60.52599</v>
      </c>
      <c r="E3397" s="76">
        <v>61.828254999999999</v>
      </c>
      <c r="F3397" s="76">
        <v>53.876339000000002</v>
      </c>
      <c r="G3397" s="79">
        <v>1292000</v>
      </c>
    </row>
    <row r="3398" spans="1:7" x14ac:dyDescent="0.25">
      <c r="A3398" s="1" t="s">
        <v>3521</v>
      </c>
      <c r="B3398" s="76">
        <v>61.264915000000002</v>
      </c>
      <c r="C3398" s="76">
        <v>61.908729999999998</v>
      </c>
      <c r="D3398" s="76">
        <v>60.86253</v>
      </c>
      <c r="E3398" s="76">
        <v>61.564877000000003</v>
      </c>
      <c r="F3398" s="76">
        <v>53.646839</v>
      </c>
      <c r="G3398" s="79">
        <v>1244400</v>
      </c>
    </row>
    <row r="3399" spans="1:7" x14ac:dyDescent="0.25">
      <c r="A3399" s="1" t="s">
        <v>3522</v>
      </c>
      <c r="B3399" s="76">
        <v>61.477080999999998</v>
      </c>
      <c r="C3399" s="76">
        <v>61.820937999999998</v>
      </c>
      <c r="D3399" s="76">
        <v>60.708893000000003</v>
      </c>
      <c r="E3399" s="76">
        <v>61.777042000000002</v>
      </c>
      <c r="F3399" s="76">
        <v>53.831718000000002</v>
      </c>
      <c r="G3399" s="79">
        <v>1741900</v>
      </c>
    </row>
    <row r="3400" spans="1:7" x14ac:dyDescent="0.25">
      <c r="A3400" s="1" t="s">
        <v>3523</v>
      </c>
      <c r="B3400" s="76">
        <v>61.784358999999903</v>
      </c>
      <c r="C3400" s="76">
        <v>62.296481999999997</v>
      </c>
      <c r="D3400" s="76">
        <v>61.777042000000002</v>
      </c>
      <c r="E3400" s="76">
        <v>61.967257999999902</v>
      </c>
      <c r="F3400" s="76">
        <v>53.997475000000001</v>
      </c>
      <c r="G3400" s="79">
        <v>2117700</v>
      </c>
    </row>
    <row r="3401" spans="1:7" x14ac:dyDescent="0.25">
      <c r="A3401" s="1" t="s">
        <v>3524</v>
      </c>
      <c r="B3401" s="76">
        <v>62.267219999999902</v>
      </c>
      <c r="C3401" s="76">
        <v>62.903717</v>
      </c>
      <c r="D3401" s="76">
        <v>61.908729999999998</v>
      </c>
      <c r="E3401" s="76">
        <v>62.567177000000001</v>
      </c>
      <c r="F3401" s="76">
        <v>54.520226000000001</v>
      </c>
      <c r="G3401" s="79">
        <v>1661200</v>
      </c>
    </row>
    <row r="3402" spans="1:7" x14ac:dyDescent="0.25">
      <c r="A3402" s="1" t="s">
        <v>3525</v>
      </c>
      <c r="B3402" s="76">
        <v>62.333064999999998</v>
      </c>
      <c r="C3402" s="76">
        <v>62.757396999999997</v>
      </c>
      <c r="D3402" s="76">
        <v>61.864833999999902</v>
      </c>
      <c r="E3402" s="76">
        <v>62.530597999999998</v>
      </c>
      <c r="F3402" s="76">
        <v>54.488360999999998</v>
      </c>
      <c r="G3402" s="79">
        <v>1475000</v>
      </c>
    </row>
    <row r="3403" spans="1:7" x14ac:dyDescent="0.25">
      <c r="A3403" s="1" t="s">
        <v>3526</v>
      </c>
      <c r="B3403" s="76">
        <v>63.430477000000003</v>
      </c>
      <c r="C3403" s="76">
        <v>64.103554000000003</v>
      </c>
      <c r="D3403" s="76">
        <v>63.057357999999901</v>
      </c>
      <c r="E3403" s="76">
        <v>64.023078999999996</v>
      </c>
      <c r="F3403" s="76">
        <v>55.788887000000003</v>
      </c>
      <c r="G3403" s="79">
        <v>1530900</v>
      </c>
    </row>
    <row r="3404" spans="1:7" x14ac:dyDescent="0.25">
      <c r="A3404" s="1" t="s">
        <v>3527</v>
      </c>
      <c r="B3404" s="76">
        <v>64.198668999999995</v>
      </c>
      <c r="C3404" s="76">
        <v>64.198668999999995</v>
      </c>
      <c r="D3404" s="76">
        <v>63.028091000000003</v>
      </c>
      <c r="E3404" s="76">
        <v>63.620697</v>
      </c>
      <c r="F3404" s="76">
        <v>55.438258999999903</v>
      </c>
      <c r="G3404" s="79">
        <v>786100</v>
      </c>
    </row>
    <row r="3405" spans="1:7" x14ac:dyDescent="0.25">
      <c r="A3405" s="1" t="s">
        <v>3528</v>
      </c>
      <c r="B3405" s="76">
        <v>63.708488000000003</v>
      </c>
      <c r="C3405" s="76">
        <v>64.242560999999995</v>
      </c>
      <c r="D3405" s="76">
        <v>63.108569999999901</v>
      </c>
      <c r="E3405" s="76">
        <v>64.213295000000002</v>
      </c>
      <c r="F3405" s="76">
        <v>55.954628</v>
      </c>
      <c r="G3405" s="79">
        <v>818200</v>
      </c>
    </row>
    <row r="3406" spans="1:7" x14ac:dyDescent="0.25">
      <c r="A3406" s="1" t="s">
        <v>3529</v>
      </c>
      <c r="B3406" s="76">
        <v>64.249877999999995</v>
      </c>
      <c r="C3406" s="76">
        <v>64.381568999999999</v>
      </c>
      <c r="D3406" s="76">
        <v>63.745068000000003</v>
      </c>
      <c r="E3406" s="76">
        <v>63.854808999999896</v>
      </c>
      <c r="F3406" s="76">
        <v>55.642257999999998</v>
      </c>
      <c r="G3406" s="79">
        <v>806000</v>
      </c>
    </row>
    <row r="3407" spans="1:7" x14ac:dyDescent="0.25">
      <c r="A3407" s="1" t="s">
        <v>3530</v>
      </c>
      <c r="B3407" s="76">
        <v>64.264510999999999</v>
      </c>
      <c r="C3407" s="76">
        <v>64.374251999999998</v>
      </c>
      <c r="D3407" s="76">
        <v>63.913338000000003</v>
      </c>
      <c r="E3407" s="76">
        <v>64.066978000000006</v>
      </c>
      <c r="F3407" s="76">
        <v>55.827144999999902</v>
      </c>
      <c r="G3407" s="79">
        <v>693300</v>
      </c>
    </row>
    <row r="3408" spans="1:7" x14ac:dyDescent="0.25">
      <c r="A3408" s="1" t="s">
        <v>3531</v>
      </c>
      <c r="B3408" s="76">
        <v>64.301093999999907</v>
      </c>
      <c r="C3408" s="76">
        <v>65.076599000000002</v>
      </c>
      <c r="D3408" s="76">
        <v>64.066978000000006</v>
      </c>
      <c r="E3408" s="76">
        <v>64.901009000000002</v>
      </c>
      <c r="F3408" s="76">
        <v>56.553897999999997</v>
      </c>
      <c r="G3408" s="79">
        <v>657600</v>
      </c>
    </row>
    <row r="3409" spans="1:7" x14ac:dyDescent="0.25">
      <c r="A3409" s="1" t="s">
        <v>3532</v>
      </c>
      <c r="B3409" s="76">
        <v>64.703475999999995</v>
      </c>
      <c r="C3409" s="76">
        <v>65.076599000000002</v>
      </c>
      <c r="D3409" s="76">
        <v>64.542518999999999</v>
      </c>
      <c r="E3409" s="76">
        <v>64.681526000000005</v>
      </c>
      <c r="F3409" s="76">
        <v>56.362643999999896</v>
      </c>
      <c r="G3409" s="79">
        <v>1961300</v>
      </c>
    </row>
    <row r="3410" spans="1:7" x14ac:dyDescent="0.25">
      <c r="A3410" s="1" t="s">
        <v>3533</v>
      </c>
      <c r="B3410" s="76">
        <v>64.988799999999998</v>
      </c>
      <c r="C3410" s="76">
        <v>65.171706999999998</v>
      </c>
      <c r="D3410" s="76">
        <v>64.637633999999906</v>
      </c>
      <c r="E3410" s="76">
        <v>65.047332999999995</v>
      </c>
      <c r="F3410" s="76">
        <v>56.681404000000001</v>
      </c>
      <c r="G3410" s="79">
        <v>838900</v>
      </c>
    </row>
    <row r="3411" spans="1:7" x14ac:dyDescent="0.25">
      <c r="A3411" s="1" t="s">
        <v>3534</v>
      </c>
      <c r="B3411" s="76">
        <v>65.179023999999998</v>
      </c>
      <c r="C3411" s="76">
        <v>65.369240000000005</v>
      </c>
      <c r="D3411" s="76">
        <v>64.732742000000002</v>
      </c>
      <c r="E3411" s="76">
        <v>64.879058999999998</v>
      </c>
      <c r="F3411" s="76">
        <v>56.534775000000003</v>
      </c>
      <c r="G3411" s="79">
        <v>875700</v>
      </c>
    </row>
    <row r="3412" spans="1:7" x14ac:dyDescent="0.25">
      <c r="A3412" s="1" t="s">
        <v>3535</v>
      </c>
      <c r="B3412" s="76">
        <v>65.120491000000001</v>
      </c>
      <c r="C3412" s="76">
        <v>65.157073999999994</v>
      </c>
      <c r="D3412" s="76">
        <v>63.1597819999999</v>
      </c>
      <c r="E3412" s="76">
        <v>63.701172</v>
      </c>
      <c r="F3412" s="76">
        <v>55.508377000000003</v>
      </c>
      <c r="G3412" s="79">
        <v>1137200</v>
      </c>
    </row>
    <row r="3413" spans="1:7" x14ac:dyDescent="0.25">
      <c r="A3413" s="1" t="s">
        <v>3536</v>
      </c>
      <c r="B3413" s="76">
        <v>63.532902</v>
      </c>
      <c r="C3413" s="76">
        <v>63.920653999999999</v>
      </c>
      <c r="D3413" s="76">
        <v>63.079304</v>
      </c>
      <c r="E3413" s="76">
        <v>63.525585</v>
      </c>
      <c r="F3413" s="76">
        <v>55.355381000000001</v>
      </c>
      <c r="G3413" s="79">
        <v>916900</v>
      </c>
    </row>
    <row r="3414" spans="1:7" x14ac:dyDescent="0.25">
      <c r="A3414" s="1" t="s">
        <v>3537</v>
      </c>
      <c r="B3414" s="76">
        <v>63.291469999999997</v>
      </c>
      <c r="C3414" s="76">
        <v>64.059662000000003</v>
      </c>
      <c r="D3414" s="76">
        <v>63.086619999999897</v>
      </c>
      <c r="E3414" s="76">
        <v>64.037711999999999</v>
      </c>
      <c r="F3414" s="76">
        <v>55.801636000000002</v>
      </c>
      <c r="G3414" s="79">
        <v>653100</v>
      </c>
    </row>
    <row r="3415" spans="1:7" x14ac:dyDescent="0.25">
      <c r="A3415" s="1" t="s">
        <v>3538</v>
      </c>
      <c r="B3415" s="76">
        <v>63.774333999999897</v>
      </c>
      <c r="C3415" s="76">
        <v>63.906020999999903</v>
      </c>
      <c r="D3415" s="76">
        <v>63.269523999999997</v>
      </c>
      <c r="E3415" s="76">
        <v>63.598746999999904</v>
      </c>
      <c r="F3415" s="76">
        <v>55.419128000000001</v>
      </c>
      <c r="G3415" s="79">
        <v>791200</v>
      </c>
    </row>
    <row r="3416" spans="1:7" x14ac:dyDescent="0.25">
      <c r="A3416" s="1" t="s">
        <v>3539</v>
      </c>
      <c r="B3416" s="76">
        <v>63.957232999999903</v>
      </c>
      <c r="C3416" s="76">
        <v>64.140136999999996</v>
      </c>
      <c r="D3416" s="76">
        <v>62.793976000000001</v>
      </c>
      <c r="E3416" s="76">
        <v>63.035407999999997</v>
      </c>
      <c r="F3416" s="76">
        <v>54.928241999999997</v>
      </c>
      <c r="G3416" s="79">
        <v>1109600</v>
      </c>
    </row>
    <row r="3417" spans="1:7" x14ac:dyDescent="0.25">
      <c r="A3417" s="1" t="s">
        <v>3540</v>
      </c>
      <c r="B3417" s="76">
        <v>63.145148999999897</v>
      </c>
      <c r="C3417" s="76">
        <v>63.642643</v>
      </c>
      <c r="D3417" s="76">
        <v>61.111279000000003</v>
      </c>
      <c r="E3417" s="76">
        <v>62.047736999999998</v>
      </c>
      <c r="F3417" s="76">
        <v>54.067595999999902</v>
      </c>
      <c r="G3417" s="79">
        <v>2157700</v>
      </c>
    </row>
    <row r="3418" spans="1:7" x14ac:dyDescent="0.25">
      <c r="A3418" s="1" t="s">
        <v>3541</v>
      </c>
      <c r="B3418" s="76">
        <v>62.450122999999998</v>
      </c>
      <c r="C3418" s="76">
        <v>62.611075999999997</v>
      </c>
      <c r="D3418" s="76">
        <v>61.564877000000003</v>
      </c>
      <c r="E3418" s="76">
        <v>61.572189000000002</v>
      </c>
      <c r="F3418" s="76">
        <v>53.653213999999998</v>
      </c>
      <c r="G3418" s="79">
        <v>1453400</v>
      </c>
    </row>
    <row r="3419" spans="1:7" x14ac:dyDescent="0.25">
      <c r="A3419" s="1" t="s">
        <v>3542</v>
      </c>
      <c r="B3419" s="76">
        <v>61.616089000000002</v>
      </c>
      <c r="C3419" s="76">
        <v>62.003841000000001</v>
      </c>
      <c r="D3419" s="76">
        <v>60.979588</v>
      </c>
      <c r="E3419" s="76">
        <v>61.001536999999999</v>
      </c>
      <c r="F3419" s="76">
        <v>53.155951999999999</v>
      </c>
      <c r="G3419" s="79">
        <v>1102200</v>
      </c>
    </row>
    <row r="3420" spans="1:7" x14ac:dyDescent="0.25">
      <c r="A3420" s="1" t="s">
        <v>3543</v>
      </c>
      <c r="B3420" s="76">
        <v>61.001536999999999</v>
      </c>
      <c r="C3420" s="76">
        <v>61.616089000000002</v>
      </c>
      <c r="D3420" s="76">
        <v>60.738154999999999</v>
      </c>
      <c r="E3420" s="76">
        <v>61.177119999999903</v>
      </c>
      <c r="F3420" s="76">
        <v>53.308951999999998</v>
      </c>
      <c r="G3420" s="79">
        <v>1082300</v>
      </c>
    </row>
    <row r="3421" spans="1:7" x14ac:dyDescent="0.25">
      <c r="A3421" s="1" t="s">
        <v>3544</v>
      </c>
      <c r="B3421" s="76">
        <v>61.177119999999903</v>
      </c>
      <c r="C3421" s="76">
        <v>61.740458999999902</v>
      </c>
      <c r="D3421" s="76">
        <v>60.562571999999903</v>
      </c>
      <c r="E3421" s="76">
        <v>61.491714000000002</v>
      </c>
      <c r="F3421" s="76">
        <v>53.583087999999996</v>
      </c>
      <c r="G3421" s="79">
        <v>1749200</v>
      </c>
    </row>
    <row r="3422" spans="1:7" x14ac:dyDescent="0.25">
      <c r="A3422" s="1" t="s">
        <v>3545</v>
      </c>
      <c r="B3422" s="76">
        <v>61.323443999999903</v>
      </c>
      <c r="C3422" s="76">
        <v>62.047736999999998</v>
      </c>
      <c r="D3422" s="76">
        <v>60.855212999999999</v>
      </c>
      <c r="E3422" s="76">
        <v>62.003841000000001</v>
      </c>
      <c r="F3422" s="76">
        <v>54.029342999999997</v>
      </c>
      <c r="G3422" s="79">
        <v>1821200</v>
      </c>
    </row>
    <row r="3423" spans="1:7" x14ac:dyDescent="0.25">
      <c r="A3423" s="1" t="s">
        <v>3546</v>
      </c>
      <c r="B3423" s="76">
        <v>61.755093000000002</v>
      </c>
      <c r="C3423" s="76">
        <v>62.230640000000001</v>
      </c>
      <c r="D3423" s="76">
        <v>61.572189000000002</v>
      </c>
      <c r="E3423" s="76">
        <v>62.025787000000001</v>
      </c>
      <c r="F3423" s="76">
        <v>54.518062999999998</v>
      </c>
      <c r="G3423" s="79">
        <v>1575800</v>
      </c>
    </row>
    <row r="3424" spans="1:7" x14ac:dyDescent="0.25">
      <c r="A3424" s="1" t="s">
        <v>3547</v>
      </c>
      <c r="B3424" s="76">
        <v>61.989207999999998</v>
      </c>
      <c r="C3424" s="76">
        <v>62.435490000000001</v>
      </c>
      <c r="D3424" s="76">
        <v>61.872149999999998</v>
      </c>
      <c r="E3424" s="76">
        <v>62.120899000000001</v>
      </c>
      <c r="F3424" s="76">
        <v>54.601664999999997</v>
      </c>
      <c r="G3424" s="79">
        <v>1943600</v>
      </c>
    </row>
    <row r="3425" spans="1:7" x14ac:dyDescent="0.25">
      <c r="A3425" s="1" t="s">
        <v>3548</v>
      </c>
      <c r="B3425" s="76">
        <v>62.084316000000001</v>
      </c>
      <c r="C3425" s="76">
        <v>62.084316000000001</v>
      </c>
      <c r="D3425" s="76">
        <v>60.833266999999999</v>
      </c>
      <c r="E3425" s="76">
        <v>61.272231999999903</v>
      </c>
      <c r="F3425" s="76">
        <v>53.855716999999999</v>
      </c>
      <c r="G3425" s="79">
        <v>1463400</v>
      </c>
    </row>
    <row r="3426" spans="1:7" x14ac:dyDescent="0.25">
      <c r="A3426" s="1" t="s">
        <v>3549</v>
      </c>
      <c r="B3426" s="76">
        <v>61.272231999999903</v>
      </c>
      <c r="C3426" s="76">
        <v>61.294178000000002</v>
      </c>
      <c r="D3426" s="76">
        <v>60.357718999999904</v>
      </c>
      <c r="E3426" s="76">
        <v>60.899108999999903</v>
      </c>
      <c r="F3426" s="76">
        <v>53.527760000000001</v>
      </c>
      <c r="G3426" s="79">
        <v>1019800</v>
      </c>
    </row>
    <row r="3427" spans="1:7" x14ac:dyDescent="0.25">
      <c r="A3427" s="1" t="s">
        <v>3550</v>
      </c>
      <c r="B3427" s="76">
        <v>60.745471999999999</v>
      </c>
      <c r="C3427" s="76">
        <v>61.506347999999903</v>
      </c>
      <c r="D3427" s="76">
        <v>60.357718999999904</v>
      </c>
      <c r="E3427" s="76">
        <v>61.469765000000002</v>
      </c>
      <c r="F3427" s="76">
        <v>54.029339</v>
      </c>
      <c r="G3427" s="79">
        <v>1142500</v>
      </c>
    </row>
    <row r="3428" spans="1:7" x14ac:dyDescent="0.25">
      <c r="A3428" s="1" t="s">
        <v>3551</v>
      </c>
      <c r="B3428" s="76">
        <v>60.782055</v>
      </c>
      <c r="C3428" s="76">
        <v>60.818633999999903</v>
      </c>
      <c r="D3428" s="76">
        <v>59.948020999999997</v>
      </c>
      <c r="E3428" s="76">
        <v>60.606468</v>
      </c>
      <c r="F3428" s="76">
        <v>53.270538000000002</v>
      </c>
      <c r="G3428" s="79">
        <v>1377800</v>
      </c>
    </row>
    <row r="3429" spans="1:7" x14ac:dyDescent="0.25">
      <c r="A3429" s="1" t="s">
        <v>3552</v>
      </c>
      <c r="B3429" s="76">
        <v>60.423565000000004</v>
      </c>
      <c r="C3429" s="76">
        <v>60.804001</v>
      </c>
      <c r="D3429" s="76">
        <v>59.472473000000001</v>
      </c>
      <c r="E3429" s="76">
        <v>59.552951999999998</v>
      </c>
      <c r="F3429" s="76">
        <v>52.344551000000003</v>
      </c>
      <c r="G3429" s="79">
        <v>3092300</v>
      </c>
    </row>
    <row r="3430" spans="1:7" x14ac:dyDescent="0.25">
      <c r="A3430" s="1" t="s">
        <v>3553</v>
      </c>
      <c r="B3430" s="76">
        <v>59.245674000000001</v>
      </c>
      <c r="C3430" s="76">
        <v>59.501739999999998</v>
      </c>
      <c r="D3430" s="76">
        <v>58.206791000000003</v>
      </c>
      <c r="E3430" s="76">
        <v>58.221423999999999</v>
      </c>
      <c r="F3430" s="76">
        <v>51.174186999999897</v>
      </c>
      <c r="G3430" s="79">
        <v>1205600</v>
      </c>
    </row>
    <row r="3431" spans="1:7" x14ac:dyDescent="0.25">
      <c r="A3431" s="1" t="s">
        <v>3554</v>
      </c>
      <c r="B3431" s="76">
        <v>58.455535999999903</v>
      </c>
      <c r="C3431" s="76">
        <v>59.626109999999997</v>
      </c>
      <c r="D3431" s="76">
        <v>58.279952999999999</v>
      </c>
      <c r="E3431" s="76">
        <v>59.391998000000001</v>
      </c>
      <c r="F3431" s="76">
        <v>52.203074999999998</v>
      </c>
      <c r="G3431" s="79">
        <v>1150400</v>
      </c>
    </row>
    <row r="3432" spans="1:7" x14ac:dyDescent="0.25">
      <c r="A3432" s="1" t="s">
        <v>3555</v>
      </c>
      <c r="B3432" s="76">
        <v>59.165199000000001</v>
      </c>
      <c r="C3432" s="76">
        <v>60.255294999999997</v>
      </c>
      <c r="D3432" s="76">
        <v>58.623806000000002</v>
      </c>
      <c r="E3432" s="76">
        <v>59.304203000000001</v>
      </c>
      <c r="F3432" s="76">
        <v>52.125900000000001</v>
      </c>
      <c r="G3432" s="79">
        <v>990000</v>
      </c>
    </row>
    <row r="3433" spans="1:7" x14ac:dyDescent="0.25">
      <c r="A3433" s="1" t="s">
        <v>3556</v>
      </c>
      <c r="B3433" s="76">
        <v>59.333468999999901</v>
      </c>
      <c r="C3433" s="76">
        <v>60.087024999999997</v>
      </c>
      <c r="D3433" s="76">
        <v>58.909133999999902</v>
      </c>
      <c r="E3433" s="76">
        <v>59.9846</v>
      </c>
      <c r="F3433" s="76">
        <v>52.723945999999998</v>
      </c>
      <c r="G3433" s="79">
        <v>901300</v>
      </c>
    </row>
    <row r="3434" spans="1:7" x14ac:dyDescent="0.25">
      <c r="A3434" s="1" t="s">
        <v>3557</v>
      </c>
      <c r="B3434" s="76">
        <v>59.962649999999996</v>
      </c>
      <c r="C3434" s="76">
        <v>60.708893000000003</v>
      </c>
      <c r="D3434" s="76">
        <v>59.699272000000001</v>
      </c>
      <c r="E3434" s="76">
        <v>60.69426</v>
      </c>
      <c r="F3434" s="76">
        <v>53.347709999999999</v>
      </c>
      <c r="G3434" s="79">
        <v>1064800</v>
      </c>
    </row>
    <row r="3435" spans="1:7" x14ac:dyDescent="0.25">
      <c r="A3435" s="1" t="s">
        <v>3558</v>
      </c>
      <c r="B3435" s="76">
        <v>60.643046999999903</v>
      </c>
      <c r="C3435" s="76">
        <v>60.950324999999999</v>
      </c>
      <c r="D3435" s="76">
        <v>60.401615</v>
      </c>
      <c r="E3435" s="76">
        <v>60.701576000000003</v>
      </c>
      <c r="F3435" s="76">
        <v>53.354137000000001</v>
      </c>
      <c r="G3435" s="79">
        <v>707700</v>
      </c>
    </row>
    <row r="3436" spans="1:7" x14ac:dyDescent="0.25">
      <c r="A3436" s="1" t="s">
        <v>3559</v>
      </c>
      <c r="B3436" s="76">
        <v>60.043129</v>
      </c>
      <c r="C3436" s="76">
        <v>60.818633999999903</v>
      </c>
      <c r="D3436" s="76">
        <v>59.648060000000001</v>
      </c>
      <c r="E3436" s="76">
        <v>60.635731</v>
      </c>
      <c r="F3436" s="76">
        <v>53.296261000000001</v>
      </c>
      <c r="G3436" s="79">
        <v>905600</v>
      </c>
    </row>
    <row r="3437" spans="1:7" x14ac:dyDescent="0.25">
      <c r="A3437" s="1" t="s">
        <v>3560</v>
      </c>
      <c r="B3437" s="76">
        <v>60.745471999999999</v>
      </c>
      <c r="C3437" s="76">
        <v>60.884480000000003</v>
      </c>
      <c r="D3437" s="76">
        <v>60.079707999999997</v>
      </c>
      <c r="E3437" s="76">
        <v>60.343086</v>
      </c>
      <c r="F3437" s="76">
        <v>53.039035999999903</v>
      </c>
      <c r="G3437" s="79">
        <v>1001100</v>
      </c>
    </row>
    <row r="3438" spans="1:7" x14ac:dyDescent="0.25">
      <c r="A3438" s="1" t="s">
        <v>3561</v>
      </c>
      <c r="B3438" s="76">
        <v>60.211399</v>
      </c>
      <c r="C3438" s="76">
        <v>60.211399</v>
      </c>
      <c r="D3438" s="76">
        <v>59.260306999999997</v>
      </c>
      <c r="E3438" s="76">
        <v>59.845592000000003</v>
      </c>
      <c r="F3438" s="76">
        <v>52.601760999999897</v>
      </c>
      <c r="G3438" s="79">
        <v>749300</v>
      </c>
    </row>
    <row r="3439" spans="1:7" x14ac:dyDescent="0.25">
      <c r="A3439" s="1" t="s">
        <v>3562</v>
      </c>
      <c r="B3439" s="76">
        <v>60.028495999999997</v>
      </c>
      <c r="C3439" s="76">
        <v>60.2333449999999</v>
      </c>
      <c r="D3439" s="76">
        <v>59.289569999999998</v>
      </c>
      <c r="E3439" s="76">
        <v>59.479790000000001</v>
      </c>
      <c r="F3439" s="76">
        <v>52.280239000000002</v>
      </c>
      <c r="G3439" s="79">
        <v>980900</v>
      </c>
    </row>
    <row r="3440" spans="1:7" x14ac:dyDescent="0.25">
      <c r="A3440" s="1" t="s">
        <v>3563</v>
      </c>
      <c r="B3440" s="76">
        <v>60.043129</v>
      </c>
      <c r="C3440" s="76">
        <v>60.072392000000001</v>
      </c>
      <c r="D3440" s="76">
        <v>58.587226999999999</v>
      </c>
      <c r="E3440" s="76">
        <v>59.231040999999998</v>
      </c>
      <c r="F3440" s="76">
        <v>52.061596000000002</v>
      </c>
      <c r="G3440" s="79">
        <v>1411800</v>
      </c>
    </row>
    <row r="3441" spans="1:7" x14ac:dyDescent="0.25">
      <c r="A3441" s="1" t="s">
        <v>3564</v>
      </c>
      <c r="B3441" s="76">
        <v>59.113987000000002</v>
      </c>
      <c r="C3441" s="76">
        <v>60.079707999999997</v>
      </c>
      <c r="D3441" s="76">
        <v>58.667706000000003</v>
      </c>
      <c r="E3441" s="76">
        <v>59.640743000000001</v>
      </c>
      <c r="F3441" s="76">
        <v>52.421703000000001</v>
      </c>
      <c r="G3441" s="79">
        <v>1057000</v>
      </c>
    </row>
    <row r="3442" spans="1:7" x14ac:dyDescent="0.25">
      <c r="A3442" s="1" t="s">
        <v>3565</v>
      </c>
      <c r="B3442" s="76">
        <v>59.969966999999997</v>
      </c>
      <c r="C3442" s="76">
        <v>60.028495999999997</v>
      </c>
      <c r="D3442" s="76">
        <v>58.967663000000002</v>
      </c>
      <c r="E3442" s="76">
        <v>59.077404000000001</v>
      </c>
      <c r="F3442" s="76">
        <v>51.926558999999997</v>
      </c>
      <c r="G3442" s="79">
        <v>837000</v>
      </c>
    </row>
    <row r="3443" spans="1:7" x14ac:dyDescent="0.25">
      <c r="A3443" s="1" t="s">
        <v>3566</v>
      </c>
      <c r="B3443" s="76">
        <v>59.801696999999997</v>
      </c>
      <c r="C3443" s="76">
        <v>60.877163000000003</v>
      </c>
      <c r="D3443" s="76">
        <v>59.794379999999997</v>
      </c>
      <c r="E3443" s="76">
        <v>60.269928</v>
      </c>
      <c r="F3443" s="76">
        <v>52.974739</v>
      </c>
      <c r="G3443" s="79">
        <v>1139400</v>
      </c>
    </row>
    <row r="3444" spans="1:7" x14ac:dyDescent="0.25">
      <c r="A3444" s="1" t="s">
        <v>3567</v>
      </c>
      <c r="B3444" s="76">
        <v>60.328456999999901</v>
      </c>
      <c r="C3444" s="76">
        <v>61.857517000000001</v>
      </c>
      <c r="D3444" s="76">
        <v>60.211399</v>
      </c>
      <c r="E3444" s="76">
        <v>61.857517000000001</v>
      </c>
      <c r="F3444" s="76">
        <v>54.370158999999902</v>
      </c>
      <c r="G3444" s="79">
        <v>1112800</v>
      </c>
    </row>
    <row r="3445" spans="1:7" x14ac:dyDescent="0.25">
      <c r="A3445" s="1" t="s">
        <v>3568</v>
      </c>
      <c r="B3445" s="76">
        <v>62.333064999999998</v>
      </c>
      <c r="C3445" s="76">
        <v>62.369643999999901</v>
      </c>
      <c r="D3445" s="76">
        <v>61.089328999999999</v>
      </c>
      <c r="E3445" s="76">
        <v>61.659984999999999</v>
      </c>
      <c r="F3445" s="76">
        <v>54.196536999999999</v>
      </c>
      <c r="G3445" s="79">
        <v>844700</v>
      </c>
    </row>
    <row r="3446" spans="1:7" x14ac:dyDescent="0.25">
      <c r="A3446" s="1" t="s">
        <v>3569</v>
      </c>
      <c r="B3446" s="76">
        <v>61.499031000000002</v>
      </c>
      <c r="C3446" s="76">
        <v>62.472068999999998</v>
      </c>
      <c r="D3446" s="76">
        <v>61.499031000000002</v>
      </c>
      <c r="E3446" s="76">
        <v>62.303798999999998</v>
      </c>
      <c r="F3446" s="76">
        <v>54.762428</v>
      </c>
      <c r="G3446" s="79">
        <v>872000</v>
      </c>
    </row>
    <row r="3447" spans="1:7" x14ac:dyDescent="0.25">
      <c r="A3447" s="1" t="s">
        <v>3570</v>
      </c>
      <c r="B3447" s="76">
        <v>62.369643999999901</v>
      </c>
      <c r="C3447" s="76">
        <v>62.486702000000001</v>
      </c>
      <c r="D3447" s="76">
        <v>61.564877000000003</v>
      </c>
      <c r="E3447" s="76">
        <v>61.689246999999902</v>
      </c>
      <c r="F3447" s="76">
        <v>54.222262999999998</v>
      </c>
      <c r="G3447" s="79">
        <v>701500</v>
      </c>
    </row>
    <row r="3448" spans="1:7" x14ac:dyDescent="0.25">
      <c r="A3448" s="1" t="s">
        <v>3571</v>
      </c>
      <c r="B3448" s="76">
        <v>61.630718000000002</v>
      </c>
      <c r="C3448" s="76">
        <v>62.098948999999998</v>
      </c>
      <c r="D3448" s="76">
        <v>61.403918999999902</v>
      </c>
      <c r="E3448" s="76">
        <v>61.857517000000001</v>
      </c>
      <c r="F3448" s="76">
        <v>54.370158999999902</v>
      </c>
      <c r="G3448" s="79">
        <v>670700</v>
      </c>
    </row>
    <row r="3449" spans="1:7" x14ac:dyDescent="0.25">
      <c r="A3449" s="1" t="s">
        <v>3572</v>
      </c>
      <c r="B3449" s="76">
        <v>62.742764000000001</v>
      </c>
      <c r="C3449" s="76">
        <v>63.284156999999901</v>
      </c>
      <c r="D3449" s="76">
        <v>62.216006999999998</v>
      </c>
      <c r="E3449" s="76">
        <v>62.450122999999998</v>
      </c>
      <c r="F3449" s="76">
        <v>54.891029000000003</v>
      </c>
      <c r="G3449" s="79">
        <v>697700</v>
      </c>
    </row>
    <row r="3450" spans="1:7" x14ac:dyDescent="0.25">
      <c r="A3450" s="1" t="s">
        <v>3573</v>
      </c>
      <c r="B3450" s="76">
        <v>62.318431999999902</v>
      </c>
      <c r="C3450" s="76">
        <v>62.815925999999997</v>
      </c>
      <c r="D3450" s="76">
        <v>61.959941999999998</v>
      </c>
      <c r="E3450" s="76">
        <v>62.223323999999998</v>
      </c>
      <c r="F3450" s="76">
        <v>54.691681000000003</v>
      </c>
      <c r="G3450" s="79">
        <v>798200</v>
      </c>
    </row>
    <row r="3451" spans="1:7" x14ac:dyDescent="0.25">
      <c r="A3451" s="1" t="s">
        <v>3574</v>
      </c>
      <c r="B3451" s="76">
        <v>62.040420999999903</v>
      </c>
      <c r="C3451" s="76">
        <v>64.666893000000002</v>
      </c>
      <c r="D3451" s="76">
        <v>61.484397999999999</v>
      </c>
      <c r="E3451" s="76">
        <v>64.469359999999995</v>
      </c>
      <c r="F3451" s="76">
        <v>56.665866999999999</v>
      </c>
      <c r="G3451" s="79">
        <v>1757000</v>
      </c>
    </row>
    <row r="3452" spans="1:7" x14ac:dyDescent="0.25">
      <c r="A3452" s="1" t="s">
        <v>3575</v>
      </c>
      <c r="B3452" s="76">
        <v>64.425467999999995</v>
      </c>
      <c r="C3452" s="76">
        <v>65.281447999999997</v>
      </c>
      <c r="D3452" s="76">
        <v>64.374251999999998</v>
      </c>
      <c r="E3452" s="76">
        <v>64.864432999999906</v>
      </c>
      <c r="F3452" s="76">
        <v>57.013111000000002</v>
      </c>
      <c r="G3452" s="79">
        <v>1751700</v>
      </c>
    </row>
    <row r="3453" spans="1:7" x14ac:dyDescent="0.25">
      <c r="A3453" s="1" t="s">
        <v>3576</v>
      </c>
      <c r="B3453" s="76">
        <v>64.864432999999906</v>
      </c>
      <c r="C3453" s="76">
        <v>64.966858000000002</v>
      </c>
      <c r="D3453" s="76">
        <v>63.101253999999997</v>
      </c>
      <c r="E3453" s="76">
        <v>63.152465999999997</v>
      </c>
      <c r="F3453" s="76">
        <v>55.508366000000002</v>
      </c>
      <c r="G3453" s="79">
        <v>2241100</v>
      </c>
    </row>
    <row r="3454" spans="1:7" x14ac:dyDescent="0.25">
      <c r="A3454" s="1" t="s">
        <v>3577</v>
      </c>
      <c r="B3454" s="76">
        <v>62.764713</v>
      </c>
      <c r="C3454" s="76">
        <v>63.701172</v>
      </c>
      <c r="D3454" s="76">
        <v>62.691550999999997</v>
      </c>
      <c r="E3454" s="76">
        <v>62.940300000000001</v>
      </c>
      <c r="F3454" s="76">
        <v>55.321872999999997</v>
      </c>
      <c r="G3454" s="79">
        <v>992300</v>
      </c>
    </row>
    <row r="3455" spans="1:7" x14ac:dyDescent="0.25">
      <c r="A3455" s="1" t="s">
        <v>3578</v>
      </c>
      <c r="B3455" s="76">
        <v>62.918349999999997</v>
      </c>
      <c r="C3455" s="76">
        <v>63.0134579999999</v>
      </c>
      <c r="D3455" s="76">
        <v>61.894100000000002</v>
      </c>
      <c r="E3455" s="76">
        <v>61.959941999999998</v>
      </c>
      <c r="F3455" s="76">
        <v>54.460186</v>
      </c>
      <c r="G3455" s="79">
        <v>1129000</v>
      </c>
    </row>
    <row r="3456" spans="1:7" x14ac:dyDescent="0.25">
      <c r="A3456" s="1" t="s">
        <v>3579</v>
      </c>
      <c r="B3456" s="76">
        <v>61.916045999999902</v>
      </c>
      <c r="C3456" s="76">
        <v>62.662289000000001</v>
      </c>
      <c r="D3456" s="76">
        <v>61.513659999999902</v>
      </c>
      <c r="E3456" s="76">
        <v>61.747776000000002</v>
      </c>
      <c r="F3456" s="76">
        <v>54.273701000000003</v>
      </c>
      <c r="G3456" s="79">
        <v>992400</v>
      </c>
    </row>
    <row r="3457" spans="1:7" x14ac:dyDescent="0.25">
      <c r="A3457" s="1" t="s">
        <v>3580</v>
      </c>
      <c r="B3457" s="76">
        <v>61.952629000000002</v>
      </c>
      <c r="C3457" s="76">
        <v>62.362327999999998</v>
      </c>
      <c r="D3457" s="76">
        <v>61.696564000000002</v>
      </c>
      <c r="E3457" s="76">
        <v>62.333064999999998</v>
      </c>
      <c r="F3457" s="76">
        <v>54.788146999999903</v>
      </c>
      <c r="G3457" s="79">
        <v>964100</v>
      </c>
    </row>
    <row r="3458" spans="1:7" x14ac:dyDescent="0.25">
      <c r="A3458" s="1" t="s">
        <v>3581</v>
      </c>
      <c r="B3458" s="76">
        <v>62.011153999999998</v>
      </c>
      <c r="C3458" s="76">
        <v>62.245269999999998</v>
      </c>
      <c r="D3458" s="76">
        <v>61.250281999999899</v>
      </c>
      <c r="E3458" s="76">
        <v>61.755093000000002</v>
      </c>
      <c r="F3458" s="76">
        <v>54.280135999999999</v>
      </c>
      <c r="G3458" s="79">
        <v>991000</v>
      </c>
    </row>
    <row r="3459" spans="1:7" x14ac:dyDescent="0.25">
      <c r="A3459" s="1" t="s">
        <v>3582</v>
      </c>
      <c r="B3459" s="76">
        <v>61.638034999999903</v>
      </c>
      <c r="C3459" s="76">
        <v>62.464751999999997</v>
      </c>
      <c r="D3459" s="76">
        <v>61.316127999999999</v>
      </c>
      <c r="E3459" s="76">
        <v>61.499031000000002</v>
      </c>
      <c r="F3459" s="76">
        <v>54.055064999999999</v>
      </c>
      <c r="G3459" s="79">
        <v>1326300</v>
      </c>
    </row>
    <row r="3460" spans="1:7" x14ac:dyDescent="0.25">
      <c r="A3460" s="1" t="s">
        <v>3583</v>
      </c>
      <c r="B3460" s="76">
        <v>61.623401999999999</v>
      </c>
      <c r="C3460" s="76">
        <v>62.750079999999997</v>
      </c>
      <c r="D3460" s="76">
        <v>61.4551319999999</v>
      </c>
      <c r="E3460" s="76">
        <v>61.981892000000002</v>
      </c>
      <c r="F3460" s="76">
        <v>54.479481</v>
      </c>
      <c r="G3460" s="79">
        <v>1166400</v>
      </c>
    </row>
    <row r="3461" spans="1:7" x14ac:dyDescent="0.25">
      <c r="A3461" s="1" t="s">
        <v>3584</v>
      </c>
      <c r="B3461" s="76">
        <v>61.857517000000001</v>
      </c>
      <c r="C3461" s="76">
        <v>62.420856000000001</v>
      </c>
      <c r="D3461" s="76">
        <v>61.199069999999899</v>
      </c>
      <c r="E3461" s="76">
        <v>61.645350999999998</v>
      </c>
      <c r="F3461" s="76">
        <v>54.183673999999897</v>
      </c>
      <c r="G3461" s="79">
        <v>1366400</v>
      </c>
    </row>
    <row r="3462" spans="1:7" x14ac:dyDescent="0.25">
      <c r="A3462" s="1" t="s">
        <v>3585</v>
      </c>
      <c r="B3462" s="76">
        <v>61.645350999999998</v>
      </c>
      <c r="C3462" s="76">
        <v>61.784358999999903</v>
      </c>
      <c r="D3462" s="76">
        <v>60.52599</v>
      </c>
      <c r="E3462" s="76">
        <v>60.833266999999999</v>
      </c>
      <c r="F3462" s="76">
        <v>53.469887</v>
      </c>
      <c r="G3462" s="79">
        <v>1660400</v>
      </c>
    </row>
    <row r="3463" spans="1:7" x14ac:dyDescent="0.25">
      <c r="A3463" s="1" t="s">
        <v>3586</v>
      </c>
      <c r="B3463" s="76">
        <v>60.833266999999999</v>
      </c>
      <c r="C3463" s="76">
        <v>61.894100000000002</v>
      </c>
      <c r="D3463" s="76">
        <v>60.716208999999999</v>
      </c>
      <c r="E3463" s="76">
        <v>61.835570999999902</v>
      </c>
      <c r="F3463" s="76">
        <v>54.350879999999997</v>
      </c>
      <c r="G3463" s="79">
        <v>1242600</v>
      </c>
    </row>
    <row r="3464" spans="1:7" x14ac:dyDescent="0.25">
      <c r="A3464" s="1" t="s">
        <v>3587</v>
      </c>
      <c r="B3464" s="76">
        <v>61.1185949999999</v>
      </c>
      <c r="C3464" s="76">
        <v>61.872149999999998</v>
      </c>
      <c r="D3464" s="76">
        <v>60.928375000000003</v>
      </c>
      <c r="E3464" s="76">
        <v>61.740458999999902</v>
      </c>
      <c r="F3464" s="76">
        <v>54.267257999999998</v>
      </c>
      <c r="G3464" s="79">
        <v>855900</v>
      </c>
    </row>
    <row r="3465" spans="1:7" x14ac:dyDescent="0.25">
      <c r="A3465" s="1" t="s">
        <v>3588</v>
      </c>
      <c r="B3465" s="76">
        <v>61.616089000000002</v>
      </c>
      <c r="C3465" s="76">
        <v>61.981892000000002</v>
      </c>
      <c r="D3465" s="76">
        <v>61.140540999999999</v>
      </c>
      <c r="E3465" s="76">
        <v>61.242966000000003</v>
      </c>
      <c r="F3465" s="76">
        <v>53.829997999999897</v>
      </c>
      <c r="G3465" s="79">
        <v>1116600</v>
      </c>
    </row>
    <row r="3466" spans="1:7" x14ac:dyDescent="0.25">
      <c r="A3466" s="1" t="s">
        <v>3589</v>
      </c>
      <c r="B3466" s="76">
        <v>61.228335999999999</v>
      </c>
      <c r="C3466" s="76">
        <v>61.952629000000002</v>
      </c>
      <c r="D3466" s="76">
        <v>61.089328999999999</v>
      </c>
      <c r="E3466" s="76">
        <v>61.235649000000002</v>
      </c>
      <c r="F3466" s="76">
        <v>53.823558999999896</v>
      </c>
      <c r="G3466" s="79">
        <v>687800</v>
      </c>
    </row>
    <row r="3467" spans="1:7" x14ac:dyDescent="0.25">
      <c r="A3467" s="1" t="s">
        <v>3590</v>
      </c>
      <c r="B3467" s="76">
        <v>61.696564000000002</v>
      </c>
      <c r="C3467" s="76">
        <v>63.430477000000003</v>
      </c>
      <c r="D3467" s="76">
        <v>61.557559999999903</v>
      </c>
      <c r="E3467" s="76">
        <v>63.408526999999999</v>
      </c>
      <c r="F3467" s="76">
        <v>55.733437000000002</v>
      </c>
      <c r="G3467" s="79">
        <v>1349600</v>
      </c>
    </row>
    <row r="3468" spans="1:7" x14ac:dyDescent="0.25">
      <c r="A3468" s="1" t="s">
        <v>3591</v>
      </c>
      <c r="B3468" s="76">
        <v>62.940300000000001</v>
      </c>
      <c r="C3468" s="76">
        <v>63.606064000000003</v>
      </c>
      <c r="D3468" s="76">
        <v>62.713501000000001</v>
      </c>
      <c r="E3468" s="76">
        <v>63.591431</v>
      </c>
      <c r="F3468" s="76">
        <v>55.894199</v>
      </c>
      <c r="G3468" s="79">
        <v>968900</v>
      </c>
    </row>
    <row r="3469" spans="1:7" x14ac:dyDescent="0.25">
      <c r="A3469" s="1" t="s">
        <v>3592</v>
      </c>
      <c r="B3469" s="76">
        <v>63.27684</v>
      </c>
      <c r="C3469" s="76">
        <v>63.737751000000003</v>
      </c>
      <c r="D3469" s="76">
        <v>62.925666999999997</v>
      </c>
      <c r="E3469" s="76">
        <v>63.679221999999903</v>
      </c>
      <c r="F3469" s="76">
        <v>55.971359</v>
      </c>
      <c r="G3469" s="79">
        <v>863100</v>
      </c>
    </row>
    <row r="3470" spans="1:7" x14ac:dyDescent="0.25">
      <c r="A3470" s="1" t="s">
        <v>3593</v>
      </c>
      <c r="B3470" s="76">
        <v>63.2402569999999</v>
      </c>
      <c r="C3470" s="76">
        <v>63.935287000000002</v>
      </c>
      <c r="D3470" s="76">
        <v>63.101253999999997</v>
      </c>
      <c r="E3470" s="76">
        <v>63.218311</v>
      </c>
      <c r="F3470" s="76">
        <v>55.566246</v>
      </c>
      <c r="G3470" s="79">
        <v>810600</v>
      </c>
    </row>
    <row r="3471" spans="1:7" x14ac:dyDescent="0.25">
      <c r="A3471" s="1" t="s">
        <v>3594</v>
      </c>
      <c r="B3471" s="76">
        <v>63.584114</v>
      </c>
      <c r="C3471" s="76">
        <v>64.922957999999994</v>
      </c>
      <c r="D3471" s="76">
        <v>63.145148999999897</v>
      </c>
      <c r="E3471" s="76">
        <v>64.725425999999999</v>
      </c>
      <c r="F3471" s="76">
        <v>56.890923000000001</v>
      </c>
      <c r="G3471" s="79">
        <v>1082700</v>
      </c>
    </row>
    <row r="3472" spans="1:7" x14ac:dyDescent="0.25">
      <c r="A3472" s="1" t="s">
        <v>3595</v>
      </c>
      <c r="B3472" s="76">
        <v>64.491309999999999</v>
      </c>
      <c r="C3472" s="76">
        <v>65.552138999999997</v>
      </c>
      <c r="D3472" s="76">
        <v>64.198668999999995</v>
      </c>
      <c r="E3472" s="76">
        <v>65.435080999999997</v>
      </c>
      <c r="F3472" s="76">
        <v>57.514690000000002</v>
      </c>
      <c r="G3472" s="79">
        <v>952100</v>
      </c>
    </row>
    <row r="3473" spans="1:7" x14ac:dyDescent="0.25">
      <c r="A3473" s="1" t="s">
        <v>3596</v>
      </c>
      <c r="B3473" s="76">
        <v>65.647255000000001</v>
      </c>
      <c r="C3473" s="76">
        <v>65.647255000000001</v>
      </c>
      <c r="D3473" s="76">
        <v>64.623001000000002</v>
      </c>
      <c r="E3473" s="76">
        <v>65.179023999999998</v>
      </c>
      <c r="F3473" s="76">
        <v>57.289618999999902</v>
      </c>
      <c r="G3473" s="79">
        <v>1014100</v>
      </c>
    </row>
    <row r="3474" spans="1:7" x14ac:dyDescent="0.25">
      <c r="A3474" s="1" t="s">
        <v>3597</v>
      </c>
      <c r="B3474" s="76">
        <v>65.179023999999998</v>
      </c>
      <c r="C3474" s="76">
        <v>65.179023999999998</v>
      </c>
      <c r="D3474" s="76">
        <v>64.198668999999995</v>
      </c>
      <c r="E3474" s="76">
        <v>64.922957999999994</v>
      </c>
      <c r="F3474" s="76">
        <v>57.064556000000003</v>
      </c>
      <c r="G3474" s="79">
        <v>983900</v>
      </c>
    </row>
    <row r="3475" spans="1:7" x14ac:dyDescent="0.25">
      <c r="A3475" s="1" t="s">
        <v>3598</v>
      </c>
      <c r="B3475" s="76">
        <v>64.996116999999998</v>
      </c>
      <c r="C3475" s="76">
        <v>65.947211999999993</v>
      </c>
      <c r="D3475" s="76">
        <v>64.996116999999998</v>
      </c>
      <c r="E3475" s="76">
        <v>65.625304999999997</v>
      </c>
      <c r="F3475" s="76">
        <v>57.681885000000001</v>
      </c>
      <c r="G3475" s="79">
        <v>862800</v>
      </c>
    </row>
    <row r="3476" spans="1:7" x14ac:dyDescent="0.25">
      <c r="A3476" s="1" t="s">
        <v>3599</v>
      </c>
      <c r="B3476" s="76">
        <v>65.391189999999995</v>
      </c>
      <c r="C3476" s="76">
        <v>65.735045999999997</v>
      </c>
      <c r="D3476" s="76">
        <v>65.127808000000002</v>
      </c>
      <c r="E3476" s="76">
        <v>65.398505999999998</v>
      </c>
      <c r="F3476" s="76">
        <v>57.48254</v>
      </c>
      <c r="G3476" s="79">
        <v>1051700</v>
      </c>
    </row>
    <row r="3477" spans="1:7" x14ac:dyDescent="0.25">
      <c r="A3477" s="1" t="s">
        <v>3600</v>
      </c>
      <c r="B3477" s="76">
        <v>65.398505999999998</v>
      </c>
      <c r="C3477" s="76">
        <v>65.837470999999994</v>
      </c>
      <c r="D3477" s="76">
        <v>65.120491000000001</v>
      </c>
      <c r="E3477" s="76">
        <v>65.778937999999997</v>
      </c>
      <c r="F3477" s="76">
        <v>57.816920999999901</v>
      </c>
      <c r="G3477" s="79">
        <v>789300</v>
      </c>
    </row>
    <row r="3478" spans="1:7" x14ac:dyDescent="0.25">
      <c r="A3478" s="1" t="s">
        <v>3601</v>
      </c>
      <c r="B3478" s="76">
        <v>66.108161999999993</v>
      </c>
      <c r="C3478" s="76">
        <v>66.722717000000003</v>
      </c>
      <c r="D3478" s="76">
        <v>65.844787999999994</v>
      </c>
      <c r="E3478" s="76">
        <v>66.656868000000003</v>
      </c>
      <c r="F3478" s="76">
        <v>58.588580999999998</v>
      </c>
      <c r="G3478" s="79">
        <v>780700</v>
      </c>
    </row>
    <row r="3479" spans="1:7" x14ac:dyDescent="0.25">
      <c r="A3479" s="1" t="s">
        <v>3602</v>
      </c>
      <c r="B3479" s="76">
        <v>66.642241999999996</v>
      </c>
      <c r="C3479" s="76">
        <v>66.678818000000007</v>
      </c>
      <c r="D3479" s="76">
        <v>65.581406000000001</v>
      </c>
      <c r="E3479" s="76">
        <v>66.174010999999993</v>
      </c>
      <c r="F3479" s="76">
        <v>58.164172999999998</v>
      </c>
      <c r="G3479" s="79">
        <v>853400</v>
      </c>
    </row>
    <row r="3480" spans="1:7" x14ac:dyDescent="0.25">
      <c r="A3480" s="1" t="s">
        <v>3603</v>
      </c>
      <c r="B3480" s="76">
        <v>66.174010999999993</v>
      </c>
      <c r="C3480" s="76">
        <v>66.174010999999993</v>
      </c>
      <c r="D3480" s="76">
        <v>65.332656999999998</v>
      </c>
      <c r="E3480" s="76">
        <v>65.998420999999993</v>
      </c>
      <c r="F3480" s="76">
        <v>58.009841999999999</v>
      </c>
      <c r="G3480" s="79">
        <v>714200</v>
      </c>
    </row>
    <row r="3481" spans="1:7" x14ac:dyDescent="0.25">
      <c r="A3481" s="1" t="s">
        <v>3604</v>
      </c>
      <c r="B3481" s="76">
        <v>65.874045999999893</v>
      </c>
      <c r="C3481" s="76">
        <v>66.064269999999993</v>
      </c>
      <c r="D3481" s="76">
        <v>64.820533999999995</v>
      </c>
      <c r="E3481" s="76">
        <v>65.252181999999905</v>
      </c>
      <c r="F3481" s="76">
        <v>57.353928000000003</v>
      </c>
      <c r="G3481" s="79">
        <v>1071700</v>
      </c>
    </row>
    <row r="3482" spans="1:7" x14ac:dyDescent="0.25">
      <c r="A3482" s="1" t="s">
        <v>3605</v>
      </c>
      <c r="B3482" s="76">
        <v>65.318023999999994</v>
      </c>
      <c r="C3482" s="76">
        <v>65.68383</v>
      </c>
      <c r="D3482" s="76">
        <v>64.644951000000006</v>
      </c>
      <c r="E3482" s="76">
        <v>65.157073999999994</v>
      </c>
      <c r="F3482" s="76">
        <v>57.270347999999998</v>
      </c>
      <c r="G3482" s="79">
        <v>1171200</v>
      </c>
    </row>
    <row r="3483" spans="1:7" x14ac:dyDescent="0.25">
      <c r="A3483" s="1" t="s">
        <v>3606</v>
      </c>
      <c r="B3483" s="76">
        <v>65.596039000000005</v>
      </c>
      <c r="C3483" s="76">
        <v>66.02037</v>
      </c>
      <c r="D3483" s="76">
        <v>65.091231999999906</v>
      </c>
      <c r="E3483" s="76">
        <v>65.822838000000004</v>
      </c>
      <c r="F3483" s="76">
        <v>57.855502999999999</v>
      </c>
      <c r="G3483" s="79">
        <v>1147300</v>
      </c>
    </row>
    <row r="3484" spans="1:7" x14ac:dyDescent="0.25">
      <c r="A3484" s="1" t="s">
        <v>3607</v>
      </c>
      <c r="B3484" s="76">
        <v>65.844787999999994</v>
      </c>
      <c r="C3484" s="76">
        <v>66.298385999999994</v>
      </c>
      <c r="D3484" s="76">
        <v>65.427773000000002</v>
      </c>
      <c r="E3484" s="76">
        <v>66.174010999999993</v>
      </c>
      <c r="F3484" s="76">
        <v>58.164172999999998</v>
      </c>
      <c r="G3484" s="79">
        <v>1656700</v>
      </c>
    </row>
    <row r="3485" spans="1:7" x14ac:dyDescent="0.25">
      <c r="A3485" s="1" t="s">
        <v>3608</v>
      </c>
      <c r="B3485" s="76">
        <v>65.888679999999994</v>
      </c>
      <c r="C3485" s="76">
        <v>67.000725000000003</v>
      </c>
      <c r="D3485" s="76">
        <v>65.735045999999997</v>
      </c>
      <c r="E3485" s="76">
        <v>66.232535999999996</v>
      </c>
      <c r="F3485" s="76">
        <v>58.215626</v>
      </c>
      <c r="G3485" s="79">
        <v>1548600</v>
      </c>
    </row>
    <row r="3486" spans="1:7" x14ac:dyDescent="0.25">
      <c r="A3486" s="1" t="s">
        <v>3609</v>
      </c>
      <c r="B3486" s="76">
        <v>66.430068999999904</v>
      </c>
      <c r="C3486" s="76">
        <v>67.242156999999906</v>
      </c>
      <c r="D3486" s="76">
        <v>66.122794999999996</v>
      </c>
      <c r="E3486" s="76">
        <v>66.313018999999997</v>
      </c>
      <c r="F3486" s="76">
        <v>58.2863579999999</v>
      </c>
      <c r="G3486" s="79">
        <v>868900</v>
      </c>
    </row>
    <row r="3487" spans="1:7" x14ac:dyDescent="0.25">
      <c r="A3487" s="1" t="s">
        <v>3610</v>
      </c>
      <c r="B3487" s="76">
        <v>65.852103999999997</v>
      </c>
      <c r="C3487" s="76">
        <v>66.210587000000004</v>
      </c>
      <c r="D3487" s="76">
        <v>64.659576000000001</v>
      </c>
      <c r="E3487" s="76">
        <v>64.813216999999995</v>
      </c>
      <c r="F3487" s="76">
        <v>57.430622</v>
      </c>
      <c r="G3487" s="79">
        <v>1092900</v>
      </c>
    </row>
    <row r="3488" spans="1:7" x14ac:dyDescent="0.25">
      <c r="A3488" s="1" t="s">
        <v>3611</v>
      </c>
      <c r="B3488" s="76">
        <v>64.184035999999907</v>
      </c>
      <c r="C3488" s="76">
        <v>64.725425999999999</v>
      </c>
      <c r="D3488" s="76">
        <v>63.064673999999997</v>
      </c>
      <c r="E3488" s="76">
        <v>64.440093999999903</v>
      </c>
      <c r="F3488" s="76">
        <v>57.099997999999999</v>
      </c>
      <c r="G3488" s="79">
        <v>863500</v>
      </c>
    </row>
    <row r="3489" spans="1:7" x14ac:dyDescent="0.25">
      <c r="A3489" s="1" t="s">
        <v>3612</v>
      </c>
      <c r="B3489" s="76">
        <v>64.542518999999999</v>
      </c>
      <c r="C3489" s="76">
        <v>64.974174000000005</v>
      </c>
      <c r="D3489" s="76">
        <v>64.198668999999995</v>
      </c>
      <c r="E3489" s="76">
        <v>64.615684999999999</v>
      </c>
      <c r="F3489" s="76">
        <v>57.255595999999997</v>
      </c>
      <c r="G3489" s="79">
        <v>538200</v>
      </c>
    </row>
    <row r="3490" spans="1:7" x14ac:dyDescent="0.25">
      <c r="A3490" s="1" t="s">
        <v>3613</v>
      </c>
      <c r="B3490" s="76">
        <v>64.359618999999995</v>
      </c>
      <c r="C3490" s="76">
        <v>64.483993999999996</v>
      </c>
      <c r="D3490" s="76">
        <v>63.452427</v>
      </c>
      <c r="E3490" s="76">
        <v>64.293777000000006</v>
      </c>
      <c r="F3490" s="76">
        <v>56.970363999999996</v>
      </c>
      <c r="G3490" s="79">
        <v>857100</v>
      </c>
    </row>
    <row r="3491" spans="1:7" x14ac:dyDescent="0.25">
      <c r="A3491" s="1" t="s">
        <v>3614</v>
      </c>
      <c r="B3491" s="76">
        <v>64.154769999999999</v>
      </c>
      <c r="C3491" s="76">
        <v>64.937591999999995</v>
      </c>
      <c r="D3491" s="76">
        <v>63.671908999999999</v>
      </c>
      <c r="E3491" s="76">
        <v>64.871750000000006</v>
      </c>
      <c r="F3491" s="76">
        <v>57.482501999999997</v>
      </c>
      <c r="G3491" s="79">
        <v>1055500</v>
      </c>
    </row>
    <row r="3492" spans="1:7" x14ac:dyDescent="0.25">
      <c r="A3492" s="1" t="s">
        <v>3615</v>
      </c>
      <c r="B3492" s="76">
        <v>65.208281999999997</v>
      </c>
      <c r="C3492" s="76">
        <v>66.130111999999997</v>
      </c>
      <c r="D3492" s="76">
        <v>65.054648999999998</v>
      </c>
      <c r="E3492" s="76">
        <v>65.435080999999997</v>
      </c>
      <c r="F3492" s="76">
        <v>57.981655000000003</v>
      </c>
      <c r="G3492" s="79">
        <v>734000</v>
      </c>
    </row>
    <row r="3493" spans="1:7" x14ac:dyDescent="0.25">
      <c r="A3493" s="1" t="s">
        <v>3616</v>
      </c>
      <c r="B3493" s="76">
        <v>65.310715000000002</v>
      </c>
      <c r="C3493" s="76">
        <v>65.983795000000001</v>
      </c>
      <c r="D3493" s="76">
        <v>65.274131999999994</v>
      </c>
      <c r="E3493" s="76">
        <v>65.866737000000001</v>
      </c>
      <c r="F3493" s="76">
        <v>58.364154999999997</v>
      </c>
      <c r="G3493" s="79">
        <v>930000</v>
      </c>
    </row>
    <row r="3494" spans="1:7" x14ac:dyDescent="0.25">
      <c r="A3494" s="1" t="s">
        <v>3617</v>
      </c>
      <c r="B3494" s="76">
        <v>65.735045999999997</v>
      </c>
      <c r="C3494" s="76">
        <v>66.371544</v>
      </c>
      <c r="D3494" s="76">
        <v>65.435080999999997</v>
      </c>
      <c r="E3494" s="76">
        <v>65.676513999999997</v>
      </c>
      <c r="F3494" s="76">
        <v>58.195594999999997</v>
      </c>
      <c r="G3494" s="79">
        <v>1157300</v>
      </c>
    </row>
    <row r="3495" spans="1:7" x14ac:dyDescent="0.25">
      <c r="A3495" s="1" t="s">
        <v>3618</v>
      </c>
      <c r="B3495" s="76">
        <v>65.903312999999997</v>
      </c>
      <c r="C3495" s="76">
        <v>66.093536</v>
      </c>
      <c r="D3495" s="76">
        <v>65.040015999999994</v>
      </c>
      <c r="E3495" s="76">
        <v>65.252181999999905</v>
      </c>
      <c r="F3495" s="76">
        <v>57.819592</v>
      </c>
      <c r="G3495" s="79">
        <v>920000</v>
      </c>
    </row>
    <row r="3496" spans="1:7" x14ac:dyDescent="0.25">
      <c r="A3496" s="1" t="s">
        <v>3619</v>
      </c>
      <c r="B3496" s="76">
        <v>65.244865000000004</v>
      </c>
      <c r="C3496" s="76">
        <v>65.910629</v>
      </c>
      <c r="D3496" s="76">
        <v>64.308410999999893</v>
      </c>
      <c r="E3496" s="76">
        <v>64.710792999999995</v>
      </c>
      <c r="F3496" s="76">
        <v>57.339874000000002</v>
      </c>
      <c r="G3496" s="79">
        <v>908000</v>
      </c>
    </row>
    <row r="3497" spans="1:7" x14ac:dyDescent="0.25">
      <c r="A3497" s="1" t="s">
        <v>3620</v>
      </c>
      <c r="B3497" s="76">
        <v>64.579102000000006</v>
      </c>
      <c r="C3497" s="76">
        <v>65.808205000000001</v>
      </c>
      <c r="D3497" s="76">
        <v>64.579102000000006</v>
      </c>
      <c r="E3497" s="76">
        <v>65.669196999999997</v>
      </c>
      <c r="F3497" s="76">
        <v>58.189113999999996</v>
      </c>
      <c r="G3497" s="79">
        <v>969400</v>
      </c>
    </row>
    <row r="3498" spans="1:7" x14ac:dyDescent="0.25">
      <c r="A3498" s="1" t="s">
        <v>3621</v>
      </c>
      <c r="B3498" s="76">
        <v>65.617988999999994</v>
      </c>
      <c r="C3498" s="76">
        <v>65.822838000000004</v>
      </c>
      <c r="D3498" s="76">
        <v>65.252181999999905</v>
      </c>
      <c r="E3498" s="76">
        <v>65.800888</v>
      </c>
      <c r="F3498" s="76">
        <v>58.305797999999903</v>
      </c>
      <c r="G3498" s="79">
        <v>836300</v>
      </c>
    </row>
    <row r="3499" spans="1:7" x14ac:dyDescent="0.25">
      <c r="A3499" s="1" t="s">
        <v>3622</v>
      </c>
      <c r="B3499" s="76">
        <v>65.735045999999997</v>
      </c>
      <c r="C3499" s="76">
        <v>65.954528999999994</v>
      </c>
      <c r="D3499" s="76">
        <v>65.061965999999998</v>
      </c>
      <c r="E3499" s="76">
        <v>65.135124000000005</v>
      </c>
      <c r="F3499" s="76">
        <v>57.715869999999903</v>
      </c>
      <c r="G3499" s="79">
        <v>846500</v>
      </c>
    </row>
    <row r="3500" spans="1:7" x14ac:dyDescent="0.25">
      <c r="A3500" s="1" t="s">
        <v>3623</v>
      </c>
      <c r="B3500" s="76">
        <v>65.186340000000001</v>
      </c>
      <c r="C3500" s="76">
        <v>65.588722000000004</v>
      </c>
      <c r="D3500" s="76">
        <v>64.593734999999995</v>
      </c>
      <c r="E3500" s="76">
        <v>64.623001000000002</v>
      </c>
      <c r="F3500" s="76">
        <v>57.262073999999998</v>
      </c>
      <c r="G3500" s="79">
        <v>1206100</v>
      </c>
    </row>
    <row r="3501" spans="1:7" x14ac:dyDescent="0.25">
      <c r="A3501" s="1" t="s">
        <v>3624</v>
      </c>
      <c r="B3501" s="76">
        <v>64.813216999999995</v>
      </c>
      <c r="C3501" s="76">
        <v>65.325339999999997</v>
      </c>
      <c r="D3501" s="76">
        <v>64.696158999999994</v>
      </c>
      <c r="E3501" s="76">
        <v>65.230232000000001</v>
      </c>
      <c r="F3501" s="76">
        <v>57.800148</v>
      </c>
      <c r="G3501" s="79">
        <v>690600</v>
      </c>
    </row>
    <row r="3502" spans="1:7" x14ac:dyDescent="0.25">
      <c r="A3502" s="1" t="s">
        <v>3625</v>
      </c>
      <c r="B3502" s="76">
        <v>65.325339999999997</v>
      </c>
      <c r="C3502" s="76">
        <v>66.342277999999993</v>
      </c>
      <c r="D3502" s="76">
        <v>64.205985999999996</v>
      </c>
      <c r="E3502" s="76">
        <v>64.330353000000002</v>
      </c>
      <c r="F3502" s="76">
        <v>57.002768999999901</v>
      </c>
      <c r="G3502" s="79">
        <v>499000</v>
      </c>
    </row>
    <row r="3503" spans="1:7" x14ac:dyDescent="0.25">
      <c r="A3503" s="1" t="s">
        <v>3626</v>
      </c>
      <c r="B3503" s="76">
        <v>64.198668999999995</v>
      </c>
      <c r="C3503" s="76">
        <v>64.937591999999995</v>
      </c>
      <c r="D3503" s="76">
        <v>63.547534999999897</v>
      </c>
      <c r="E3503" s="76">
        <v>64.323036000000002</v>
      </c>
      <c r="F3503" s="76">
        <v>56.996288</v>
      </c>
      <c r="G3503" s="79">
        <v>799100</v>
      </c>
    </row>
    <row r="3504" spans="1:7" x14ac:dyDescent="0.25">
      <c r="A3504" s="1" t="s">
        <v>3627</v>
      </c>
      <c r="B3504" s="76">
        <v>64.462043999999906</v>
      </c>
      <c r="C3504" s="76">
        <v>65.471664000000004</v>
      </c>
      <c r="D3504" s="76">
        <v>64.337668999999906</v>
      </c>
      <c r="E3504" s="76">
        <v>65.098540999999997</v>
      </c>
      <c r="F3504" s="76">
        <v>57.683456</v>
      </c>
      <c r="G3504" s="79">
        <v>1392600</v>
      </c>
    </row>
    <row r="3505" spans="1:7" x14ac:dyDescent="0.25">
      <c r="A3505" s="1" t="s">
        <v>3628</v>
      </c>
      <c r="B3505" s="76">
        <v>64.732742000000002</v>
      </c>
      <c r="C3505" s="76">
        <v>65.771621999999994</v>
      </c>
      <c r="D3505" s="76">
        <v>64.505943000000002</v>
      </c>
      <c r="E3505" s="76">
        <v>65.610671999999994</v>
      </c>
      <c r="F3505" s="76">
        <v>58.137244999999901</v>
      </c>
      <c r="G3505" s="79">
        <v>1257700</v>
      </c>
    </row>
    <row r="3506" spans="1:7" x14ac:dyDescent="0.25">
      <c r="A3506" s="1" t="s">
        <v>3629</v>
      </c>
      <c r="B3506" s="76">
        <v>65.222915999999998</v>
      </c>
      <c r="C3506" s="76">
        <v>65.771621999999994</v>
      </c>
      <c r="D3506" s="76">
        <v>64.579102000000006</v>
      </c>
      <c r="E3506" s="76">
        <v>65.581406000000001</v>
      </c>
      <c r="F3506" s="76">
        <v>58.111317</v>
      </c>
      <c r="G3506" s="79">
        <v>1197700</v>
      </c>
    </row>
    <row r="3507" spans="1:7" x14ac:dyDescent="0.25">
      <c r="A3507" s="1" t="s">
        <v>3630</v>
      </c>
      <c r="B3507" s="76">
        <v>65.932579000000004</v>
      </c>
      <c r="C3507" s="76">
        <v>66.400809999999893</v>
      </c>
      <c r="D3507" s="76">
        <v>65.376555999999994</v>
      </c>
      <c r="E3507" s="76">
        <v>66.393493999999905</v>
      </c>
      <c r="F3507" s="76">
        <v>58.830893999999901</v>
      </c>
      <c r="G3507" s="79">
        <v>1033100</v>
      </c>
    </row>
    <row r="3508" spans="1:7" x14ac:dyDescent="0.25">
      <c r="A3508" s="1" t="s">
        <v>3631</v>
      </c>
      <c r="B3508" s="76">
        <v>66.576392999999996</v>
      </c>
      <c r="C3508" s="76">
        <v>66.656868000000003</v>
      </c>
      <c r="D3508" s="76">
        <v>65.844787999999994</v>
      </c>
      <c r="E3508" s="76">
        <v>66.203277999999997</v>
      </c>
      <c r="F3508" s="76">
        <v>58.662350000000004</v>
      </c>
      <c r="G3508" s="79">
        <v>1346100</v>
      </c>
    </row>
    <row r="3509" spans="1:7" x14ac:dyDescent="0.25">
      <c r="A3509" s="1" t="s">
        <v>3632</v>
      </c>
      <c r="B3509" s="76">
        <v>66.093536</v>
      </c>
      <c r="C3509" s="76">
        <v>66.561759999999893</v>
      </c>
      <c r="D3509" s="76">
        <v>65.903312999999997</v>
      </c>
      <c r="E3509" s="76">
        <v>66.217903000000007</v>
      </c>
      <c r="F3509" s="76">
        <v>58.675300999999997</v>
      </c>
      <c r="G3509" s="79">
        <v>1307800</v>
      </c>
    </row>
    <row r="3510" spans="1:7" x14ac:dyDescent="0.25">
      <c r="A3510" s="1" t="s">
        <v>3633</v>
      </c>
      <c r="B3510" s="76">
        <v>66.210587000000004</v>
      </c>
      <c r="C3510" s="76">
        <v>66.210587000000004</v>
      </c>
      <c r="D3510" s="76">
        <v>64.096237000000002</v>
      </c>
      <c r="E3510" s="76">
        <v>64.279143999999903</v>
      </c>
      <c r="F3510" s="76">
        <v>56.957389999999997</v>
      </c>
      <c r="G3510" s="79">
        <v>1039300</v>
      </c>
    </row>
    <row r="3511" spans="1:7" x14ac:dyDescent="0.25">
      <c r="A3511" s="1" t="s">
        <v>3634</v>
      </c>
      <c r="B3511" s="76">
        <v>64.308410999999893</v>
      </c>
      <c r="C3511" s="76">
        <v>64.601050999999998</v>
      </c>
      <c r="D3511" s="76">
        <v>63.525585</v>
      </c>
      <c r="E3511" s="76">
        <v>63.862124999999999</v>
      </c>
      <c r="F3511" s="76">
        <v>56.587879000000001</v>
      </c>
      <c r="G3511" s="79">
        <v>2133600</v>
      </c>
    </row>
    <row r="3512" spans="1:7" x14ac:dyDescent="0.25">
      <c r="A3512" s="1" t="s">
        <v>3635</v>
      </c>
      <c r="B3512" s="76">
        <v>63.957232999999903</v>
      </c>
      <c r="C3512" s="76">
        <v>64.776634000000001</v>
      </c>
      <c r="D3512" s="76">
        <v>63.628009999999897</v>
      </c>
      <c r="E3512" s="76">
        <v>64.432777000000002</v>
      </c>
      <c r="F3512" s="76">
        <v>57.093525</v>
      </c>
      <c r="G3512" s="79">
        <v>1023900</v>
      </c>
    </row>
    <row r="3513" spans="1:7" x14ac:dyDescent="0.25">
      <c r="A3513" s="1" t="s">
        <v>3636</v>
      </c>
      <c r="B3513" s="76">
        <v>64.498626999999999</v>
      </c>
      <c r="C3513" s="76">
        <v>64.542518999999999</v>
      </c>
      <c r="D3513" s="76">
        <v>63.869441999999999</v>
      </c>
      <c r="E3513" s="76">
        <v>64.213295000000002</v>
      </c>
      <c r="F3513" s="76">
        <v>56.899035999999903</v>
      </c>
      <c r="G3513" s="79">
        <v>1025600</v>
      </c>
    </row>
    <row r="3514" spans="1:7" x14ac:dyDescent="0.25">
      <c r="A3514" s="1" t="s">
        <v>3637</v>
      </c>
      <c r="B3514" s="76">
        <v>64.074294999999907</v>
      </c>
      <c r="C3514" s="76">
        <v>64.666893000000002</v>
      </c>
      <c r="D3514" s="76">
        <v>63.803595999999999</v>
      </c>
      <c r="E3514" s="76">
        <v>64.396202000000002</v>
      </c>
      <c r="F3514" s="76">
        <v>57.061115000000001</v>
      </c>
      <c r="G3514" s="79">
        <v>1018800</v>
      </c>
    </row>
    <row r="3515" spans="1:7" x14ac:dyDescent="0.25">
      <c r="A3515" s="1" t="s">
        <v>3638</v>
      </c>
      <c r="B3515" s="76">
        <v>64.571784999999906</v>
      </c>
      <c r="C3515" s="76">
        <v>65.925262000000004</v>
      </c>
      <c r="D3515" s="76">
        <v>63.759701</v>
      </c>
      <c r="E3515" s="76">
        <v>65.771621999999994</v>
      </c>
      <c r="F3515" s="76">
        <v>58.279868999999998</v>
      </c>
      <c r="G3515" s="79">
        <v>1813100</v>
      </c>
    </row>
    <row r="3516" spans="1:7" x14ac:dyDescent="0.25">
      <c r="A3516" s="1" t="s">
        <v>3639</v>
      </c>
      <c r="B3516" s="76">
        <v>65.471664000000004</v>
      </c>
      <c r="C3516" s="76">
        <v>65.625304999999997</v>
      </c>
      <c r="D3516" s="76">
        <v>64.615684999999999</v>
      </c>
      <c r="E3516" s="76">
        <v>64.820533999999995</v>
      </c>
      <c r="F3516" s="76">
        <v>57.437125999999999</v>
      </c>
      <c r="G3516" s="79">
        <v>1447700</v>
      </c>
    </row>
    <row r="3517" spans="1:7" x14ac:dyDescent="0.25">
      <c r="A3517" s="1" t="s">
        <v>3640</v>
      </c>
      <c r="B3517" s="76">
        <v>64.732742000000002</v>
      </c>
      <c r="C3517" s="76">
        <v>65.127808000000002</v>
      </c>
      <c r="D3517" s="76">
        <v>64.549835000000002</v>
      </c>
      <c r="E3517" s="76">
        <v>64.996116999999998</v>
      </c>
      <c r="F3517" s="76">
        <v>57.592692999999997</v>
      </c>
      <c r="G3517" s="79">
        <v>1475500</v>
      </c>
    </row>
    <row r="3518" spans="1:7" x14ac:dyDescent="0.25">
      <c r="A3518" s="1" t="s">
        <v>3641</v>
      </c>
      <c r="B3518" s="76">
        <v>65.157073999999994</v>
      </c>
      <c r="C3518" s="76">
        <v>65.735045999999997</v>
      </c>
      <c r="D3518" s="76">
        <v>64.944907999999998</v>
      </c>
      <c r="E3518" s="76">
        <v>65.193657000000002</v>
      </c>
      <c r="F3518" s="76">
        <v>57.767738000000001</v>
      </c>
      <c r="G3518" s="79">
        <v>1532600</v>
      </c>
    </row>
    <row r="3519" spans="1:7" x14ac:dyDescent="0.25">
      <c r="A3519" s="1" t="s">
        <v>3642</v>
      </c>
      <c r="B3519" s="76">
        <v>65.435080999999997</v>
      </c>
      <c r="C3519" s="76">
        <v>65.713096999999905</v>
      </c>
      <c r="D3519" s="76">
        <v>64.988799999999998</v>
      </c>
      <c r="E3519" s="76">
        <v>65.179023999999998</v>
      </c>
      <c r="F3519" s="76">
        <v>57.754771999999903</v>
      </c>
      <c r="G3519" s="79">
        <v>425300</v>
      </c>
    </row>
    <row r="3520" spans="1:7" x14ac:dyDescent="0.25">
      <c r="A3520" s="1" t="s">
        <v>3643</v>
      </c>
      <c r="B3520" s="76">
        <v>65.310715000000002</v>
      </c>
      <c r="C3520" s="76">
        <v>65.581406000000001</v>
      </c>
      <c r="D3520" s="76">
        <v>65.003433000000001</v>
      </c>
      <c r="E3520" s="76">
        <v>65.266814999999994</v>
      </c>
      <c r="F3520" s="76">
        <v>57.832560999999998</v>
      </c>
      <c r="G3520" s="79">
        <v>709700</v>
      </c>
    </row>
    <row r="3521" spans="1:7" x14ac:dyDescent="0.25">
      <c r="A3521" s="1" t="s">
        <v>3644</v>
      </c>
      <c r="B3521" s="76">
        <v>65.522880999999998</v>
      </c>
      <c r="C3521" s="76">
        <v>65.866737000000001</v>
      </c>
      <c r="D3521" s="76">
        <v>64.725425999999999</v>
      </c>
      <c r="E3521" s="76">
        <v>65.771621999999994</v>
      </c>
      <c r="F3521" s="76">
        <v>58.279868999999998</v>
      </c>
      <c r="G3521" s="79">
        <v>903100</v>
      </c>
    </row>
    <row r="3522" spans="1:7" x14ac:dyDescent="0.25">
      <c r="A3522" s="1" t="s">
        <v>3645</v>
      </c>
      <c r="B3522" s="76">
        <v>65.676513999999997</v>
      </c>
      <c r="C3522" s="76">
        <v>66.064269999999993</v>
      </c>
      <c r="D3522" s="76">
        <v>65.442397999999997</v>
      </c>
      <c r="E3522" s="76">
        <v>65.661879999999996</v>
      </c>
      <c r="F3522" s="76">
        <v>58.182625000000002</v>
      </c>
      <c r="G3522" s="79">
        <v>594700</v>
      </c>
    </row>
    <row r="3523" spans="1:7" x14ac:dyDescent="0.25">
      <c r="A3523" s="1" t="s">
        <v>3646</v>
      </c>
      <c r="B3523" s="76">
        <v>65.661879999999996</v>
      </c>
      <c r="C3523" s="76">
        <v>65.756996000000001</v>
      </c>
      <c r="D3523" s="76">
        <v>64.783951000000002</v>
      </c>
      <c r="E3523" s="76">
        <v>64.959541000000002</v>
      </c>
      <c r="F3523" s="76">
        <v>57.560287000000002</v>
      </c>
      <c r="G3523" s="79">
        <v>1419700</v>
      </c>
    </row>
    <row r="3524" spans="1:7" x14ac:dyDescent="0.25">
      <c r="A3524" s="1" t="s">
        <v>3647</v>
      </c>
      <c r="B3524" s="76">
        <v>65.230232000000001</v>
      </c>
      <c r="C3524" s="76">
        <v>65.325339999999997</v>
      </c>
      <c r="D3524" s="76">
        <v>64.249877999999995</v>
      </c>
      <c r="E3524" s="76">
        <v>64.849800000000002</v>
      </c>
      <c r="F3524" s="76">
        <v>57.463054999999997</v>
      </c>
      <c r="G3524" s="79">
        <v>1071400</v>
      </c>
    </row>
    <row r="3525" spans="1:7" x14ac:dyDescent="0.25">
      <c r="A3525" s="1" t="s">
        <v>3648</v>
      </c>
      <c r="B3525" s="76">
        <v>64.849800000000002</v>
      </c>
      <c r="C3525" s="76">
        <v>65.859420999999998</v>
      </c>
      <c r="D3525" s="76">
        <v>64.586417999999995</v>
      </c>
      <c r="E3525" s="76">
        <v>65.530197000000001</v>
      </c>
      <c r="F3525" s="76">
        <v>58.065956</v>
      </c>
      <c r="G3525" s="79">
        <v>879000</v>
      </c>
    </row>
    <row r="3526" spans="1:7" x14ac:dyDescent="0.25">
      <c r="A3526" s="1" t="s">
        <v>3649</v>
      </c>
      <c r="B3526" s="76">
        <v>65.654563999999993</v>
      </c>
      <c r="C3526" s="76">
        <v>65.756996000000001</v>
      </c>
      <c r="D3526" s="76">
        <v>64.996116999999998</v>
      </c>
      <c r="E3526" s="76">
        <v>65.288764999999998</v>
      </c>
      <c r="F3526" s="76">
        <v>57.852012999999999</v>
      </c>
      <c r="G3526" s="79">
        <v>967700</v>
      </c>
    </row>
    <row r="3527" spans="1:7" x14ac:dyDescent="0.25">
      <c r="A3527" s="1" t="s">
        <v>3650</v>
      </c>
      <c r="B3527" s="76">
        <v>65.288764999999998</v>
      </c>
      <c r="C3527" s="76">
        <v>66.334960999999893</v>
      </c>
      <c r="D3527" s="76">
        <v>65.222915999999998</v>
      </c>
      <c r="E3527" s="76">
        <v>66.210587000000004</v>
      </c>
      <c r="F3527" s="76">
        <v>58.668841999999998</v>
      </c>
      <c r="G3527" s="79">
        <v>1008800</v>
      </c>
    </row>
    <row r="3528" spans="1:7" x14ac:dyDescent="0.25">
      <c r="A3528" s="1" t="s">
        <v>3651</v>
      </c>
      <c r="B3528" s="76">
        <v>65.925262000000004</v>
      </c>
      <c r="C3528" s="76">
        <v>66.247169</v>
      </c>
      <c r="D3528" s="76">
        <v>65.310715000000002</v>
      </c>
      <c r="E3528" s="76">
        <v>65.764304999999993</v>
      </c>
      <c r="F3528" s="76">
        <v>58.273384</v>
      </c>
      <c r="G3528" s="79">
        <v>860200</v>
      </c>
    </row>
    <row r="3529" spans="1:7" x14ac:dyDescent="0.25">
      <c r="A3529" s="1" t="s">
        <v>3652</v>
      </c>
      <c r="B3529" s="76">
        <v>65.822838000000004</v>
      </c>
      <c r="C3529" s="76">
        <v>66.210587000000004</v>
      </c>
      <c r="D3529" s="76">
        <v>64.842483999999999</v>
      </c>
      <c r="E3529" s="76">
        <v>66.174010999999993</v>
      </c>
      <c r="F3529" s="76">
        <v>58.636414000000002</v>
      </c>
      <c r="G3529" s="79">
        <v>929900</v>
      </c>
    </row>
    <row r="3530" spans="1:7" x14ac:dyDescent="0.25">
      <c r="A3530" s="1" t="s">
        <v>3653</v>
      </c>
      <c r="B3530" s="76">
        <v>66.430068999999904</v>
      </c>
      <c r="C3530" s="76">
        <v>67.293373000000003</v>
      </c>
      <c r="D3530" s="76">
        <v>66.320328000000003</v>
      </c>
      <c r="E3530" s="76">
        <v>67.088523999999893</v>
      </c>
      <c r="F3530" s="76">
        <v>59.446769999999901</v>
      </c>
      <c r="G3530" s="79">
        <v>1317000</v>
      </c>
    </row>
    <row r="3531" spans="1:7" x14ac:dyDescent="0.25">
      <c r="A3531" s="1" t="s">
        <v>3654</v>
      </c>
      <c r="B3531" s="76">
        <v>66.737350000000006</v>
      </c>
      <c r="C3531" s="76">
        <v>67.403114000000002</v>
      </c>
      <c r="D3531" s="76">
        <v>66.291068999999993</v>
      </c>
      <c r="E3531" s="76">
        <v>66.532500999999996</v>
      </c>
      <c r="F3531" s="76">
        <v>58.954075000000003</v>
      </c>
      <c r="G3531" s="79">
        <v>957600</v>
      </c>
    </row>
    <row r="3532" spans="1:7" x14ac:dyDescent="0.25">
      <c r="A3532" s="1" t="s">
        <v>3655</v>
      </c>
      <c r="B3532" s="76">
        <v>66.605659000000003</v>
      </c>
      <c r="C3532" s="76">
        <v>67.161681999999999</v>
      </c>
      <c r="D3532" s="76">
        <v>66.466651999999996</v>
      </c>
      <c r="E3532" s="76">
        <v>66.956832999999904</v>
      </c>
      <c r="F3532" s="76">
        <v>59.330086000000001</v>
      </c>
      <c r="G3532" s="79">
        <v>840000</v>
      </c>
    </row>
    <row r="3533" spans="1:7" x14ac:dyDescent="0.25">
      <c r="A3533" s="1" t="s">
        <v>3656</v>
      </c>
      <c r="B3533" s="76">
        <v>66.890984000000003</v>
      </c>
      <c r="C3533" s="76">
        <v>67.600646999999995</v>
      </c>
      <c r="D3533" s="76">
        <v>66.890984000000003</v>
      </c>
      <c r="E3533" s="76">
        <v>67.315322999999907</v>
      </c>
      <c r="F3533" s="76">
        <v>59.647728000000001</v>
      </c>
      <c r="G3533" s="79">
        <v>864000</v>
      </c>
    </row>
    <row r="3534" spans="1:7" x14ac:dyDescent="0.25">
      <c r="A3534" s="1" t="s">
        <v>3657</v>
      </c>
      <c r="B3534" s="76">
        <v>67.300690000000003</v>
      </c>
      <c r="C3534" s="76">
        <v>67.849395999999999</v>
      </c>
      <c r="D3534" s="76">
        <v>67.212890999999999</v>
      </c>
      <c r="E3534" s="76">
        <v>67.725020999999998</v>
      </c>
      <c r="F3534" s="76">
        <v>60.010750000000002</v>
      </c>
      <c r="G3534" s="79">
        <v>663900</v>
      </c>
    </row>
    <row r="3535" spans="1:7" x14ac:dyDescent="0.25">
      <c r="A3535" s="1" t="s">
        <v>3658</v>
      </c>
      <c r="B3535" s="76">
        <v>67.951819999999998</v>
      </c>
      <c r="C3535" s="76">
        <v>67.966453999999999</v>
      </c>
      <c r="D3535" s="76">
        <v>66.912932999999995</v>
      </c>
      <c r="E3535" s="76">
        <v>67.147048999999996</v>
      </c>
      <c r="F3535" s="76">
        <v>59.498631000000003</v>
      </c>
      <c r="G3535" s="79">
        <v>1082400</v>
      </c>
    </row>
    <row r="3536" spans="1:7" x14ac:dyDescent="0.25">
      <c r="A3536" s="1" t="s">
        <v>3659</v>
      </c>
      <c r="B3536" s="76">
        <v>67.447006000000002</v>
      </c>
      <c r="C3536" s="76">
        <v>67.820128999999994</v>
      </c>
      <c r="D3536" s="76">
        <v>67.073891000000003</v>
      </c>
      <c r="E3536" s="76">
        <v>67.512855999999999</v>
      </c>
      <c r="F3536" s="76">
        <v>59.822764999999997</v>
      </c>
      <c r="G3536" s="79">
        <v>1334700</v>
      </c>
    </row>
    <row r="3537" spans="1:7" x14ac:dyDescent="0.25">
      <c r="A3537" s="1" t="s">
        <v>3660</v>
      </c>
      <c r="B3537" s="76">
        <v>67.805495999999906</v>
      </c>
      <c r="C3537" s="76">
        <v>68.661475999999993</v>
      </c>
      <c r="D3537" s="76">
        <v>67.725020999999998</v>
      </c>
      <c r="E3537" s="76">
        <v>68.259093999999905</v>
      </c>
      <c r="F3537" s="76">
        <v>60.484000999999999</v>
      </c>
      <c r="G3537" s="79">
        <v>854900</v>
      </c>
    </row>
    <row r="3538" spans="1:7" x14ac:dyDescent="0.25">
      <c r="A3538" s="1" t="s">
        <v>3661</v>
      </c>
      <c r="B3538" s="76">
        <v>67.168998999999999</v>
      </c>
      <c r="C3538" s="76">
        <v>67.439689999999999</v>
      </c>
      <c r="D3538" s="76">
        <v>66.861725000000007</v>
      </c>
      <c r="E3538" s="76">
        <v>67.110466000000002</v>
      </c>
      <c r="F3538" s="76">
        <v>59.935145999999897</v>
      </c>
      <c r="G3538" s="79">
        <v>865500</v>
      </c>
    </row>
    <row r="3539" spans="1:7" x14ac:dyDescent="0.25">
      <c r="A3539" s="1" t="s">
        <v>3662</v>
      </c>
      <c r="B3539" s="76">
        <v>66.649558999999996</v>
      </c>
      <c r="C3539" s="76">
        <v>66.927566999999996</v>
      </c>
      <c r="D3539" s="76">
        <v>65.676513999999997</v>
      </c>
      <c r="E3539" s="76">
        <v>66.02037</v>
      </c>
      <c r="F3539" s="76">
        <v>58.961604999999999</v>
      </c>
      <c r="G3539" s="79">
        <v>1255700</v>
      </c>
    </row>
    <row r="3540" spans="1:7" x14ac:dyDescent="0.25">
      <c r="A3540" s="1" t="s">
        <v>3663</v>
      </c>
      <c r="B3540" s="76">
        <v>65.639938000000001</v>
      </c>
      <c r="C3540" s="76">
        <v>66.627608999999893</v>
      </c>
      <c r="D3540" s="76">
        <v>65.361923000000004</v>
      </c>
      <c r="E3540" s="76">
        <v>66.056952999999993</v>
      </c>
      <c r="F3540" s="76">
        <v>58.994281999999998</v>
      </c>
      <c r="G3540" s="79">
        <v>1580500</v>
      </c>
    </row>
    <row r="3541" spans="1:7" x14ac:dyDescent="0.25">
      <c r="A3541" s="1" t="s">
        <v>3664</v>
      </c>
      <c r="B3541" s="76">
        <v>66.130111999999997</v>
      </c>
      <c r="C3541" s="76">
        <v>67.066574000000003</v>
      </c>
      <c r="D3541" s="76">
        <v>66.130111999999997</v>
      </c>
      <c r="E3541" s="76">
        <v>66.832458000000003</v>
      </c>
      <c r="F3541" s="76">
        <v>59.686873999999897</v>
      </c>
      <c r="G3541" s="79">
        <v>952400</v>
      </c>
    </row>
    <row r="3542" spans="1:7" x14ac:dyDescent="0.25">
      <c r="A3542" s="1" t="s">
        <v>3665</v>
      </c>
      <c r="B3542" s="76">
        <v>66.122794999999996</v>
      </c>
      <c r="C3542" s="76">
        <v>67.000725000000003</v>
      </c>
      <c r="D3542" s="76">
        <v>65.771621999999994</v>
      </c>
      <c r="E3542" s="76">
        <v>66.313018999999997</v>
      </c>
      <c r="F3542" s="76">
        <v>59.2229689999999</v>
      </c>
      <c r="G3542" s="79">
        <v>1662700</v>
      </c>
    </row>
    <row r="3543" spans="1:7" x14ac:dyDescent="0.25">
      <c r="A3543" s="1" t="s">
        <v>3666</v>
      </c>
      <c r="B3543" s="76">
        <v>66.890984000000003</v>
      </c>
      <c r="C3543" s="76">
        <v>67.410431000000003</v>
      </c>
      <c r="D3543" s="76">
        <v>66.730034000000003</v>
      </c>
      <c r="E3543" s="76">
        <v>66.854407999999907</v>
      </c>
      <c r="F3543" s="76">
        <v>59.706467000000004</v>
      </c>
      <c r="G3543" s="79">
        <v>2202100</v>
      </c>
    </row>
    <row r="3544" spans="1:7" x14ac:dyDescent="0.25">
      <c r="A3544" s="1" t="s">
        <v>3667</v>
      </c>
      <c r="B3544" s="76">
        <v>66.466651999999996</v>
      </c>
      <c r="C3544" s="76">
        <v>67.600646999999995</v>
      </c>
      <c r="D3544" s="76">
        <v>66.152061000000003</v>
      </c>
      <c r="E3544" s="76">
        <v>67.183631999999903</v>
      </c>
      <c r="F3544" s="76">
        <v>60.000495999999998</v>
      </c>
      <c r="G3544" s="79">
        <v>1596800</v>
      </c>
    </row>
    <row r="3545" spans="1:7" x14ac:dyDescent="0.25">
      <c r="A3545" s="1" t="s">
        <v>3668</v>
      </c>
      <c r="B3545" s="76">
        <v>67.249473999999907</v>
      </c>
      <c r="C3545" s="76">
        <v>67.425064000000006</v>
      </c>
      <c r="D3545" s="76">
        <v>65.735045999999997</v>
      </c>
      <c r="E3545" s="76">
        <v>65.991104000000007</v>
      </c>
      <c r="F3545" s="76">
        <v>58.935478000000003</v>
      </c>
      <c r="G3545" s="79">
        <v>1484000</v>
      </c>
    </row>
    <row r="3546" spans="1:7" x14ac:dyDescent="0.25">
      <c r="A3546" s="1" t="s">
        <v>3669</v>
      </c>
      <c r="B3546" s="76">
        <v>66.203277999999997</v>
      </c>
      <c r="C3546" s="76">
        <v>67.366530999999995</v>
      </c>
      <c r="D3546" s="76">
        <v>65.983795000000001</v>
      </c>
      <c r="E3546" s="76">
        <v>67.125099000000006</v>
      </c>
      <c r="F3546" s="76">
        <v>59.948231</v>
      </c>
      <c r="G3546" s="79">
        <v>1171300</v>
      </c>
    </row>
    <row r="3547" spans="1:7" x14ac:dyDescent="0.25">
      <c r="A3547" s="1" t="s">
        <v>3670</v>
      </c>
      <c r="B3547" s="76">
        <v>66.956832999999904</v>
      </c>
      <c r="C3547" s="76">
        <v>67.183631999999903</v>
      </c>
      <c r="D3547" s="76">
        <v>66.283752000000007</v>
      </c>
      <c r="E3547" s="76">
        <v>66.686133999999996</v>
      </c>
      <c r="F3547" s="76">
        <v>59.556193999999998</v>
      </c>
      <c r="G3547" s="79">
        <v>1255400</v>
      </c>
    </row>
    <row r="3548" spans="1:7" x14ac:dyDescent="0.25">
      <c r="A3548" s="1" t="s">
        <v>3671</v>
      </c>
      <c r="B3548" s="76">
        <v>66.737350000000006</v>
      </c>
      <c r="C3548" s="76">
        <v>68.032294999999905</v>
      </c>
      <c r="D3548" s="76">
        <v>66.605659000000003</v>
      </c>
      <c r="E3548" s="76">
        <v>67.966453999999999</v>
      </c>
      <c r="F3548" s="76">
        <v>60.699622999999903</v>
      </c>
      <c r="G3548" s="79">
        <v>1474800</v>
      </c>
    </row>
    <row r="3549" spans="1:7" x14ac:dyDescent="0.25">
      <c r="A3549" s="1" t="s">
        <v>3672</v>
      </c>
      <c r="B3549" s="76">
        <v>68.193252999999999</v>
      </c>
      <c r="C3549" s="76">
        <v>68.617583999999994</v>
      </c>
      <c r="D3549" s="76">
        <v>67.022675000000007</v>
      </c>
      <c r="E3549" s="76">
        <v>67.586014000000006</v>
      </c>
      <c r="F3549" s="76">
        <v>60.359859</v>
      </c>
      <c r="G3549" s="79">
        <v>1318500</v>
      </c>
    </row>
    <row r="3550" spans="1:7" x14ac:dyDescent="0.25">
      <c r="A3550" s="1" t="s">
        <v>3673</v>
      </c>
      <c r="B3550" s="76">
        <v>67.622596999999999</v>
      </c>
      <c r="C3550" s="76">
        <v>68.954123999999993</v>
      </c>
      <c r="D3550" s="76">
        <v>67.403114000000002</v>
      </c>
      <c r="E3550" s="76">
        <v>68.763908000000001</v>
      </c>
      <c r="F3550" s="76">
        <v>61.411818999999902</v>
      </c>
      <c r="G3550" s="79">
        <v>1067400</v>
      </c>
    </row>
    <row r="3551" spans="1:7" x14ac:dyDescent="0.25">
      <c r="A3551" s="1" t="s">
        <v>3674</v>
      </c>
      <c r="B3551" s="76">
        <v>68.617583999999994</v>
      </c>
      <c r="C3551" s="76">
        <v>69.773521000000002</v>
      </c>
      <c r="D3551" s="76">
        <v>68.420051999999998</v>
      </c>
      <c r="E3551" s="76">
        <v>69.422355999999994</v>
      </c>
      <c r="F3551" s="76">
        <v>61.999854999999997</v>
      </c>
      <c r="G3551" s="79">
        <v>957300</v>
      </c>
    </row>
    <row r="3552" spans="1:7" x14ac:dyDescent="0.25">
      <c r="A3552" s="1" t="s">
        <v>3675</v>
      </c>
      <c r="B3552" s="76">
        <v>69.495514</v>
      </c>
      <c r="C3552" s="76">
        <v>69.861319999999907</v>
      </c>
      <c r="D3552" s="76">
        <v>69.078498999999994</v>
      </c>
      <c r="E3552" s="76">
        <v>69.678413000000006</v>
      </c>
      <c r="F3552" s="76">
        <v>62.228530999999997</v>
      </c>
      <c r="G3552" s="79">
        <v>891400</v>
      </c>
    </row>
    <row r="3553" spans="1:7" x14ac:dyDescent="0.25">
      <c r="A3553" s="1" t="s">
        <v>3676</v>
      </c>
      <c r="B3553" s="76">
        <v>69.290665000000004</v>
      </c>
      <c r="C3553" s="76">
        <v>70.373443999999907</v>
      </c>
      <c r="D3553" s="76">
        <v>69.158974000000001</v>
      </c>
      <c r="E3553" s="76">
        <v>69.817420999999996</v>
      </c>
      <c r="F3553" s="76">
        <v>62.352679999999999</v>
      </c>
      <c r="G3553" s="79">
        <v>1144100</v>
      </c>
    </row>
    <row r="3554" spans="1:7" x14ac:dyDescent="0.25">
      <c r="A3554" s="1" t="s">
        <v>3677</v>
      </c>
      <c r="B3554" s="76">
        <v>69.744263000000004</v>
      </c>
      <c r="C3554" s="76">
        <v>70.439284999999998</v>
      </c>
      <c r="D3554" s="76">
        <v>69.663780000000003</v>
      </c>
      <c r="E3554" s="76">
        <v>70.014954000000003</v>
      </c>
      <c r="F3554" s="76">
        <v>62.529102000000002</v>
      </c>
      <c r="G3554" s="79">
        <v>810500</v>
      </c>
    </row>
    <row r="3555" spans="1:7" x14ac:dyDescent="0.25">
      <c r="A3555" s="1" t="s">
        <v>3678</v>
      </c>
      <c r="B3555" s="76">
        <v>70.146644999999907</v>
      </c>
      <c r="C3555" s="76">
        <v>70.278335999999996</v>
      </c>
      <c r="D3555" s="76">
        <v>69.510147000000003</v>
      </c>
      <c r="E3555" s="76">
        <v>70.271018999999995</v>
      </c>
      <c r="F3555" s="76">
        <v>62.757792999999999</v>
      </c>
      <c r="G3555" s="79">
        <v>844100</v>
      </c>
    </row>
    <row r="3556" spans="1:7" x14ac:dyDescent="0.25">
      <c r="A3556" s="1" t="s">
        <v>3679</v>
      </c>
      <c r="B3556" s="76">
        <v>69.919845999999893</v>
      </c>
      <c r="C3556" s="76">
        <v>70.731933999999995</v>
      </c>
      <c r="D3556" s="76">
        <v>69.839371</v>
      </c>
      <c r="E3556" s="76">
        <v>69.985694999999893</v>
      </c>
      <c r="F3556" s="76">
        <v>62.502979000000003</v>
      </c>
      <c r="G3556" s="79">
        <v>841700</v>
      </c>
    </row>
    <row r="3557" spans="1:7" x14ac:dyDescent="0.25">
      <c r="A3557" s="1" t="s">
        <v>3680</v>
      </c>
      <c r="B3557" s="76">
        <v>70.036902999999995</v>
      </c>
      <c r="C3557" s="76">
        <v>70.219802999999999</v>
      </c>
      <c r="D3557" s="76">
        <v>69.239448999999993</v>
      </c>
      <c r="E3557" s="76">
        <v>69.524780000000007</v>
      </c>
      <c r="F3557" s="76">
        <v>62.091343000000002</v>
      </c>
      <c r="G3557" s="79">
        <v>912300</v>
      </c>
    </row>
    <row r="3558" spans="1:7" x14ac:dyDescent="0.25">
      <c r="A3558" s="1" t="s">
        <v>3681</v>
      </c>
      <c r="B3558" s="76">
        <v>69.312613999999996</v>
      </c>
      <c r="C3558" s="76">
        <v>69.795470999999907</v>
      </c>
      <c r="D3558" s="76">
        <v>68.829750000000004</v>
      </c>
      <c r="E3558" s="76">
        <v>69.341872999999893</v>
      </c>
      <c r="F3558" s="76">
        <v>61.927985999999997</v>
      </c>
      <c r="G3558" s="79">
        <v>1728100</v>
      </c>
    </row>
    <row r="3559" spans="1:7" x14ac:dyDescent="0.25">
      <c r="A3559" s="1" t="s">
        <v>3682</v>
      </c>
      <c r="B3559" s="76">
        <v>69.480880999999997</v>
      </c>
      <c r="C3559" s="76">
        <v>70.117378000000002</v>
      </c>
      <c r="D3559" s="76">
        <v>69.210181999999904</v>
      </c>
      <c r="E3559" s="76">
        <v>69.239448999999993</v>
      </c>
      <c r="F3559" s="76">
        <v>61.836502000000003</v>
      </c>
      <c r="G3559" s="79">
        <v>1672400</v>
      </c>
    </row>
    <row r="3560" spans="1:7" x14ac:dyDescent="0.25">
      <c r="A3560" s="1" t="s">
        <v>3683</v>
      </c>
      <c r="B3560" s="76">
        <v>70.892882999999998</v>
      </c>
      <c r="C3560" s="76">
        <v>70.951415999999995</v>
      </c>
      <c r="D3560" s="76">
        <v>68.537109000000001</v>
      </c>
      <c r="E3560" s="76">
        <v>69.261398</v>
      </c>
      <c r="F3560" s="76">
        <v>61.856120999999902</v>
      </c>
      <c r="G3560" s="79">
        <v>1940400</v>
      </c>
    </row>
    <row r="3561" spans="1:7" x14ac:dyDescent="0.25">
      <c r="A3561" s="1" t="s">
        <v>3684</v>
      </c>
      <c r="B3561" s="76">
        <v>68.8078</v>
      </c>
      <c r="C3561" s="76">
        <v>69.517464000000004</v>
      </c>
      <c r="D3561" s="76">
        <v>68.617583999999994</v>
      </c>
      <c r="E3561" s="76">
        <v>69.232132000000007</v>
      </c>
      <c r="F3561" s="76">
        <v>61.829970999999901</v>
      </c>
      <c r="G3561" s="79">
        <v>1435300</v>
      </c>
    </row>
    <row r="3562" spans="1:7" x14ac:dyDescent="0.25">
      <c r="A3562" s="1" t="s">
        <v>3685</v>
      </c>
      <c r="B3562" s="76">
        <v>69.312613999999996</v>
      </c>
      <c r="C3562" s="76">
        <v>69.802788000000007</v>
      </c>
      <c r="D3562" s="76">
        <v>68.895591999999994</v>
      </c>
      <c r="E3562" s="76">
        <v>69.349189999999993</v>
      </c>
      <c r="F3562" s="76">
        <v>61.934508999999998</v>
      </c>
      <c r="G3562" s="79">
        <v>1219200</v>
      </c>
    </row>
    <row r="3563" spans="1:7" x14ac:dyDescent="0.25">
      <c r="A3563" s="1" t="s">
        <v>3686</v>
      </c>
      <c r="B3563" s="76">
        <v>69.371139999999997</v>
      </c>
      <c r="C3563" s="76">
        <v>70.556342999999998</v>
      </c>
      <c r="D3563" s="76">
        <v>69.224815000000007</v>
      </c>
      <c r="E3563" s="76">
        <v>70.446601999999999</v>
      </c>
      <c r="F3563" s="76">
        <v>62.914597000000001</v>
      </c>
      <c r="G3563" s="79">
        <v>2066700</v>
      </c>
    </row>
    <row r="3564" spans="1:7" x14ac:dyDescent="0.25">
      <c r="A3564" s="1" t="s">
        <v>3687</v>
      </c>
      <c r="B3564" s="76">
        <v>70.036902999999995</v>
      </c>
      <c r="C3564" s="76">
        <v>71.565963999999994</v>
      </c>
      <c r="D3564" s="76">
        <v>69.883262999999999</v>
      </c>
      <c r="E3564" s="76">
        <v>70.585608999999906</v>
      </c>
      <c r="F3564" s="76">
        <v>63.038745999999897</v>
      </c>
      <c r="G3564" s="79">
        <v>1170300</v>
      </c>
    </row>
    <row r="3565" spans="1:7" x14ac:dyDescent="0.25">
      <c r="A3565" s="1" t="s">
        <v>3688</v>
      </c>
      <c r="B3565" s="76">
        <v>71.251373000000001</v>
      </c>
      <c r="C3565" s="76">
        <v>71.939087000000001</v>
      </c>
      <c r="D3565" s="76">
        <v>71.053841000000006</v>
      </c>
      <c r="E3565" s="76">
        <v>71.865928999999994</v>
      </c>
      <c r="F3565" s="76">
        <v>64.182167000000007</v>
      </c>
      <c r="G3565" s="79">
        <v>1519000</v>
      </c>
    </row>
    <row r="3566" spans="1:7" x14ac:dyDescent="0.25">
      <c r="A3566" s="1" t="s">
        <v>3689</v>
      </c>
      <c r="B3566" s="76">
        <v>72.239043999999893</v>
      </c>
      <c r="C3566" s="76">
        <v>72.685326000000003</v>
      </c>
      <c r="D3566" s="76">
        <v>71.887870999999905</v>
      </c>
      <c r="E3566" s="76">
        <v>72.575583999999907</v>
      </c>
      <c r="F3566" s="76">
        <v>64.815970999999905</v>
      </c>
      <c r="G3566" s="79">
        <v>2055800</v>
      </c>
    </row>
    <row r="3567" spans="1:7" x14ac:dyDescent="0.25">
      <c r="A3567" s="1" t="s">
        <v>3690</v>
      </c>
      <c r="B3567" s="76">
        <v>72.831649999999996</v>
      </c>
      <c r="C3567" s="76">
        <v>72.992598999999998</v>
      </c>
      <c r="D3567" s="76">
        <v>72.231728000000004</v>
      </c>
      <c r="E3567" s="76">
        <v>72.597533999999996</v>
      </c>
      <c r="F3567" s="76">
        <v>64.835555999999997</v>
      </c>
      <c r="G3567" s="79">
        <v>1541400</v>
      </c>
    </row>
    <row r="3568" spans="1:7" x14ac:dyDescent="0.25">
      <c r="A3568" s="1" t="s">
        <v>3691</v>
      </c>
      <c r="B3568" s="76">
        <v>72.524376000000004</v>
      </c>
      <c r="C3568" s="76">
        <v>72.692642000000006</v>
      </c>
      <c r="D3568" s="76">
        <v>72.056145000000001</v>
      </c>
      <c r="E3568" s="76">
        <v>72.539008999999993</v>
      </c>
      <c r="F3568" s="76">
        <v>64.783294999999995</v>
      </c>
      <c r="G3568" s="79">
        <v>1879900</v>
      </c>
    </row>
    <row r="3569" spans="1:7" x14ac:dyDescent="0.25">
      <c r="A3569" s="1" t="s">
        <v>3692</v>
      </c>
      <c r="B3569" s="76">
        <v>72.582901000000007</v>
      </c>
      <c r="C3569" s="76">
        <v>72.699958999999893</v>
      </c>
      <c r="D3569" s="76">
        <v>72.019561999999993</v>
      </c>
      <c r="E3569" s="76">
        <v>72.385368</v>
      </c>
      <c r="F3569" s="76">
        <v>64.646072000000004</v>
      </c>
      <c r="G3569" s="79">
        <v>1283900</v>
      </c>
    </row>
    <row r="3570" spans="1:7" x14ac:dyDescent="0.25">
      <c r="A3570" s="1" t="s">
        <v>3693</v>
      </c>
      <c r="B3570" s="76">
        <v>72.465843000000007</v>
      </c>
      <c r="C3570" s="76">
        <v>73.175506999999996</v>
      </c>
      <c r="D3570" s="76">
        <v>72.319526999999994</v>
      </c>
      <c r="E3570" s="76">
        <v>72.641434000000004</v>
      </c>
      <c r="F3570" s="76">
        <v>64.874763000000002</v>
      </c>
      <c r="G3570" s="79">
        <v>1878400</v>
      </c>
    </row>
    <row r="3571" spans="1:7" x14ac:dyDescent="0.25">
      <c r="A3571" s="1" t="s">
        <v>3694</v>
      </c>
      <c r="B3571" s="76">
        <v>72.407318000000004</v>
      </c>
      <c r="C3571" s="76">
        <v>72.634117000000003</v>
      </c>
      <c r="D3571" s="76">
        <v>71.697654999999997</v>
      </c>
      <c r="E3571" s="76">
        <v>71.975669999999994</v>
      </c>
      <c r="F3571" s="76">
        <v>64.280174000000002</v>
      </c>
      <c r="G3571" s="79">
        <v>1808900</v>
      </c>
    </row>
    <row r="3572" spans="1:7" x14ac:dyDescent="0.25">
      <c r="A3572" s="1" t="s">
        <v>3695</v>
      </c>
      <c r="B3572" s="76">
        <v>72.334152000000003</v>
      </c>
      <c r="C3572" s="76">
        <v>72.334152000000003</v>
      </c>
      <c r="D3572" s="76">
        <v>71.507439000000005</v>
      </c>
      <c r="E3572" s="76">
        <v>71.529387999999997</v>
      </c>
      <c r="F3572" s="76">
        <v>63.881618000000003</v>
      </c>
      <c r="G3572" s="79">
        <v>1176500</v>
      </c>
    </row>
    <row r="3573" spans="1:7" x14ac:dyDescent="0.25">
      <c r="A3573" s="1" t="s">
        <v>3696</v>
      </c>
      <c r="B3573" s="76">
        <v>71.522071999999994</v>
      </c>
      <c r="C3573" s="76">
        <v>72.121985999999893</v>
      </c>
      <c r="D3573" s="76">
        <v>71.331847999999994</v>
      </c>
      <c r="E3573" s="76">
        <v>71.368431000000001</v>
      </c>
      <c r="F3573" s="76">
        <v>63.737868999999897</v>
      </c>
      <c r="G3573" s="79">
        <v>883100</v>
      </c>
    </row>
    <row r="3574" spans="1:7" x14ac:dyDescent="0.25">
      <c r="A3574" s="1" t="s">
        <v>3697</v>
      </c>
      <c r="B3574" s="76">
        <v>71.602547000000001</v>
      </c>
      <c r="C3574" s="76">
        <v>71.975669999999994</v>
      </c>
      <c r="D3574" s="76">
        <v>71.185531999999995</v>
      </c>
      <c r="E3574" s="76">
        <v>71.368431000000001</v>
      </c>
      <c r="F3574" s="76">
        <v>63.737868999999897</v>
      </c>
      <c r="G3574" s="79">
        <v>1212400</v>
      </c>
    </row>
    <row r="3575" spans="1:7" x14ac:dyDescent="0.25">
      <c r="A3575" s="1" t="s">
        <v>3698</v>
      </c>
      <c r="B3575" s="76">
        <v>71.405013999999994</v>
      </c>
      <c r="C3575" s="76">
        <v>72.195151999999993</v>
      </c>
      <c r="D3575" s="76">
        <v>71.229423999999995</v>
      </c>
      <c r="E3575" s="76">
        <v>72.187836000000004</v>
      </c>
      <c r="F3575" s="76">
        <v>64.469666000000004</v>
      </c>
      <c r="G3575" s="79">
        <v>1514200</v>
      </c>
    </row>
    <row r="3576" spans="1:7" x14ac:dyDescent="0.25">
      <c r="A3576" s="1" t="s">
        <v>3699</v>
      </c>
      <c r="B3576" s="76">
        <v>72.239043999999893</v>
      </c>
      <c r="C3576" s="76">
        <v>72.714591999999996</v>
      </c>
      <c r="D3576" s="76">
        <v>70.373443999999907</v>
      </c>
      <c r="E3576" s="76">
        <v>70.673400999999998</v>
      </c>
      <c r="F3576" s="76">
        <v>63.117156999999899</v>
      </c>
      <c r="G3576" s="79">
        <v>1879300</v>
      </c>
    </row>
    <row r="3577" spans="1:7" x14ac:dyDescent="0.25">
      <c r="A3577" s="1" t="s">
        <v>3700</v>
      </c>
      <c r="B3577" s="76">
        <v>70.658767999999995</v>
      </c>
      <c r="C3577" s="76">
        <v>71.851294999999993</v>
      </c>
      <c r="D3577" s="76">
        <v>70.153960999999995</v>
      </c>
      <c r="E3577" s="76">
        <v>71.843979000000004</v>
      </c>
      <c r="F3577" s="76">
        <v>64.162566999999996</v>
      </c>
      <c r="G3577" s="79">
        <v>1589500</v>
      </c>
    </row>
    <row r="3578" spans="1:7" x14ac:dyDescent="0.25">
      <c r="A3578" s="1" t="s">
        <v>3701</v>
      </c>
      <c r="B3578" s="76">
        <v>72.392685</v>
      </c>
      <c r="C3578" s="76">
        <v>72.509743</v>
      </c>
      <c r="D3578" s="76">
        <v>71.748870999999994</v>
      </c>
      <c r="E3578" s="76">
        <v>71.961037000000005</v>
      </c>
      <c r="F3578" s="76">
        <v>64.267112999999995</v>
      </c>
      <c r="G3578" s="79">
        <v>1755400</v>
      </c>
    </row>
    <row r="3579" spans="1:7" x14ac:dyDescent="0.25">
      <c r="A3579" s="1" t="s">
        <v>3702</v>
      </c>
      <c r="B3579" s="76">
        <v>72.165886</v>
      </c>
      <c r="C3579" s="76">
        <v>72.209784999999997</v>
      </c>
      <c r="D3579" s="76">
        <v>70.892882999999998</v>
      </c>
      <c r="E3579" s="76">
        <v>71.441588999999993</v>
      </c>
      <c r="F3579" s="76">
        <v>63.803215000000002</v>
      </c>
      <c r="G3579" s="79">
        <v>1360500</v>
      </c>
    </row>
    <row r="3580" spans="1:7" x14ac:dyDescent="0.25">
      <c r="A3580" s="1" t="s">
        <v>3703</v>
      </c>
      <c r="B3580" s="76">
        <v>71.748870999999994</v>
      </c>
      <c r="C3580" s="76">
        <v>71.887870999999905</v>
      </c>
      <c r="D3580" s="76">
        <v>71.287955999999994</v>
      </c>
      <c r="E3580" s="76">
        <v>71.653762999999998</v>
      </c>
      <c r="F3580" s="76">
        <v>63.992702000000001</v>
      </c>
      <c r="G3580" s="79">
        <v>1091300</v>
      </c>
    </row>
    <row r="3581" spans="1:7" x14ac:dyDescent="0.25">
      <c r="A3581" s="1" t="s">
        <v>3704</v>
      </c>
      <c r="B3581" s="76">
        <v>71.763503999999998</v>
      </c>
      <c r="C3581" s="76">
        <v>71.887870999999905</v>
      </c>
      <c r="D3581" s="76">
        <v>70.739249999999998</v>
      </c>
      <c r="E3581" s="76">
        <v>70.739249999999998</v>
      </c>
      <c r="F3581" s="76">
        <v>63.175948999999903</v>
      </c>
      <c r="G3581" s="79">
        <v>1211900</v>
      </c>
    </row>
    <row r="3582" spans="1:7" x14ac:dyDescent="0.25">
      <c r="A3582" s="1" t="s">
        <v>3705</v>
      </c>
      <c r="B3582" s="76">
        <v>70.680717000000001</v>
      </c>
      <c r="C3582" s="76">
        <v>71.339164999999994</v>
      </c>
      <c r="D3582" s="76">
        <v>70.490500999999995</v>
      </c>
      <c r="E3582" s="76">
        <v>70.870941000000002</v>
      </c>
      <c r="F3582" s="76">
        <v>63.293564000000003</v>
      </c>
      <c r="G3582" s="79">
        <v>1313700</v>
      </c>
    </row>
    <row r="3583" spans="1:7" x14ac:dyDescent="0.25">
      <c r="A3583" s="1" t="s">
        <v>3706</v>
      </c>
      <c r="B3583" s="76">
        <v>71.200164999999998</v>
      </c>
      <c r="C3583" s="76">
        <v>71.93177</v>
      </c>
      <c r="D3583" s="76">
        <v>71.031891000000002</v>
      </c>
      <c r="E3583" s="76">
        <v>71.770813000000004</v>
      </c>
      <c r="F3583" s="76">
        <v>64.097236999999893</v>
      </c>
      <c r="G3583" s="79">
        <v>1470300</v>
      </c>
    </row>
    <row r="3584" spans="1:7" x14ac:dyDescent="0.25">
      <c r="A3584" s="1" t="s">
        <v>3707</v>
      </c>
      <c r="B3584" s="76">
        <v>72.085410999999993</v>
      </c>
      <c r="C3584" s="76">
        <v>72.275627</v>
      </c>
      <c r="D3584" s="76">
        <v>71.295272999999995</v>
      </c>
      <c r="E3584" s="76">
        <v>72.107353000000003</v>
      </c>
      <c r="F3584" s="76">
        <v>64.397789000000003</v>
      </c>
      <c r="G3584" s="79">
        <v>1215200</v>
      </c>
    </row>
    <row r="3585" spans="1:7" x14ac:dyDescent="0.25">
      <c r="A3585" s="1" t="s">
        <v>3708</v>
      </c>
      <c r="B3585" s="76">
        <v>72.151252999999997</v>
      </c>
      <c r="C3585" s="76">
        <v>72.809700000000007</v>
      </c>
      <c r="D3585" s="76">
        <v>71.770813000000004</v>
      </c>
      <c r="E3585" s="76">
        <v>72.751175000000003</v>
      </c>
      <c r="F3585" s="76">
        <v>64.972778000000005</v>
      </c>
      <c r="G3585" s="79">
        <v>1065800</v>
      </c>
    </row>
    <row r="3586" spans="1:7" x14ac:dyDescent="0.25">
      <c r="A3586" s="1" t="s">
        <v>3709</v>
      </c>
      <c r="B3586" s="76">
        <v>72.590217999999993</v>
      </c>
      <c r="C3586" s="76">
        <v>72.8536</v>
      </c>
      <c r="D3586" s="76">
        <v>72.341468999999904</v>
      </c>
      <c r="E3586" s="76">
        <v>72.597533999999996</v>
      </c>
      <c r="F3586" s="76">
        <v>64.835555999999997</v>
      </c>
      <c r="G3586" s="79">
        <v>1224100</v>
      </c>
    </row>
    <row r="3587" spans="1:7" x14ac:dyDescent="0.25">
      <c r="A3587" s="1" t="s">
        <v>3710</v>
      </c>
      <c r="B3587" s="76">
        <v>72.787750000000003</v>
      </c>
      <c r="C3587" s="76">
        <v>72.846283</v>
      </c>
      <c r="D3587" s="76">
        <v>72.158569</v>
      </c>
      <c r="E3587" s="76">
        <v>72.568268000000003</v>
      </c>
      <c r="F3587" s="76">
        <v>64.80941</v>
      </c>
      <c r="G3587" s="79">
        <v>848500</v>
      </c>
    </row>
    <row r="3588" spans="1:7" x14ac:dyDescent="0.25">
      <c r="A3588" s="1" t="s">
        <v>3711</v>
      </c>
      <c r="B3588" s="76">
        <v>73.007232999999999</v>
      </c>
      <c r="C3588" s="76">
        <v>73.153556999999907</v>
      </c>
      <c r="D3588" s="76">
        <v>72.246360999999993</v>
      </c>
      <c r="E3588" s="76">
        <v>72.546317999999999</v>
      </c>
      <c r="F3588" s="76">
        <v>64.789810000000003</v>
      </c>
      <c r="G3588" s="79">
        <v>1130000</v>
      </c>
    </row>
    <row r="3589" spans="1:7" x14ac:dyDescent="0.25">
      <c r="A3589" s="1" t="s">
        <v>3712</v>
      </c>
      <c r="B3589" s="76">
        <v>72.612166999999999</v>
      </c>
      <c r="C3589" s="76">
        <v>73.153556999999907</v>
      </c>
      <c r="D3589" s="76">
        <v>72.539008999999993</v>
      </c>
      <c r="E3589" s="76">
        <v>72.670692000000003</v>
      </c>
      <c r="F3589" s="76">
        <v>64.900886999999997</v>
      </c>
      <c r="G3589" s="79">
        <v>1083900</v>
      </c>
    </row>
    <row r="3590" spans="1:7" x14ac:dyDescent="0.25">
      <c r="A3590" s="1" t="s">
        <v>3713</v>
      </c>
      <c r="B3590" s="76">
        <v>72.692642000000006</v>
      </c>
      <c r="C3590" s="76">
        <v>73.387671999999995</v>
      </c>
      <c r="D3590" s="76">
        <v>72.085410999999993</v>
      </c>
      <c r="E3590" s="76">
        <v>73.351089000000002</v>
      </c>
      <c r="F3590" s="76">
        <v>65.508553000000006</v>
      </c>
      <c r="G3590" s="79">
        <v>1347300</v>
      </c>
    </row>
    <row r="3591" spans="1:7" x14ac:dyDescent="0.25">
      <c r="A3591" s="1" t="s">
        <v>3714</v>
      </c>
      <c r="B3591" s="76">
        <v>73.343772999999999</v>
      </c>
      <c r="C3591" s="76">
        <v>73.475464000000002</v>
      </c>
      <c r="D3591" s="76">
        <v>72.246360999999993</v>
      </c>
      <c r="E3591" s="76">
        <v>72.641434000000004</v>
      </c>
      <c r="F3591" s="76">
        <v>64.874763000000002</v>
      </c>
      <c r="G3591" s="79">
        <v>1337900</v>
      </c>
    </row>
    <row r="3592" spans="1:7" x14ac:dyDescent="0.25">
      <c r="A3592" s="1" t="s">
        <v>3715</v>
      </c>
      <c r="B3592" s="76">
        <v>72.802382999999907</v>
      </c>
      <c r="C3592" s="76">
        <v>73.270615000000006</v>
      </c>
      <c r="D3592" s="76">
        <v>71.522071999999994</v>
      </c>
      <c r="E3592" s="76">
        <v>71.917136999999997</v>
      </c>
      <c r="F3592" s="76">
        <v>64.227897999999996</v>
      </c>
      <c r="G3592" s="79">
        <v>1624600</v>
      </c>
    </row>
    <row r="3593" spans="1:7" x14ac:dyDescent="0.25">
      <c r="A3593" s="1" t="s">
        <v>3716</v>
      </c>
      <c r="B3593" s="76">
        <v>71.690337999999997</v>
      </c>
      <c r="C3593" s="76">
        <v>72.253676999999996</v>
      </c>
      <c r="D3593" s="76">
        <v>71.492805000000004</v>
      </c>
      <c r="E3593" s="76">
        <v>71.807395999999997</v>
      </c>
      <c r="F3593" s="76">
        <v>64.129882999999893</v>
      </c>
      <c r="G3593" s="79">
        <v>1060500</v>
      </c>
    </row>
    <row r="3594" spans="1:7" x14ac:dyDescent="0.25">
      <c r="A3594" s="1" t="s">
        <v>3717</v>
      </c>
      <c r="B3594" s="76">
        <v>72.407318000000004</v>
      </c>
      <c r="C3594" s="76">
        <v>72.407318000000004</v>
      </c>
      <c r="D3594" s="76">
        <v>70.914833000000002</v>
      </c>
      <c r="E3594" s="76">
        <v>71.492805000000004</v>
      </c>
      <c r="F3594" s="76">
        <v>63.848934</v>
      </c>
      <c r="G3594" s="79">
        <v>1632000</v>
      </c>
    </row>
    <row r="3595" spans="1:7" x14ac:dyDescent="0.25">
      <c r="A3595" s="1" t="s">
        <v>3718</v>
      </c>
      <c r="B3595" s="76">
        <v>71.763503999999998</v>
      </c>
      <c r="C3595" s="76">
        <v>72.590217999999993</v>
      </c>
      <c r="D3595" s="76">
        <v>71.551331000000005</v>
      </c>
      <c r="E3595" s="76">
        <v>72.568268000000003</v>
      </c>
      <c r="F3595" s="76">
        <v>64.80941</v>
      </c>
      <c r="G3595" s="79">
        <v>1142500</v>
      </c>
    </row>
    <row r="3596" spans="1:7" x14ac:dyDescent="0.25">
      <c r="A3596" s="1" t="s">
        <v>3719</v>
      </c>
      <c r="B3596" s="76">
        <v>72.824332999999996</v>
      </c>
      <c r="C3596" s="76">
        <v>73.460830999999999</v>
      </c>
      <c r="D3596" s="76">
        <v>72.370734999999996</v>
      </c>
      <c r="E3596" s="76">
        <v>73.358406000000002</v>
      </c>
      <c r="F3596" s="76">
        <v>65.515075999999993</v>
      </c>
      <c r="G3596" s="79">
        <v>1220900</v>
      </c>
    </row>
    <row r="3597" spans="1:7" x14ac:dyDescent="0.25">
      <c r="A3597" s="1" t="s">
        <v>3720</v>
      </c>
      <c r="B3597" s="76">
        <v>73.358406000000002</v>
      </c>
      <c r="C3597" s="76">
        <v>73.585205000000002</v>
      </c>
      <c r="D3597" s="76">
        <v>73.029181999999906</v>
      </c>
      <c r="E3597" s="76">
        <v>73.541313000000002</v>
      </c>
      <c r="F3597" s="76">
        <v>65.678421</v>
      </c>
      <c r="G3597" s="79">
        <v>1387000</v>
      </c>
    </row>
    <row r="3598" spans="1:7" x14ac:dyDescent="0.25">
      <c r="A3598" s="1" t="s">
        <v>3721</v>
      </c>
      <c r="B3598" s="76">
        <v>73.468147000000002</v>
      </c>
      <c r="C3598" s="76">
        <v>73.760795999999999</v>
      </c>
      <c r="D3598" s="76">
        <v>73.109656999999999</v>
      </c>
      <c r="E3598" s="76">
        <v>73.548621999999995</v>
      </c>
      <c r="F3598" s="76">
        <v>65.684958999999907</v>
      </c>
      <c r="G3598" s="79">
        <v>1338700</v>
      </c>
    </row>
    <row r="3599" spans="1:7" x14ac:dyDescent="0.25">
      <c r="A3599" s="1" t="s">
        <v>3722</v>
      </c>
      <c r="B3599" s="76">
        <v>73.387671999999995</v>
      </c>
      <c r="C3599" s="76">
        <v>74.148544000000001</v>
      </c>
      <c r="D3599" s="76">
        <v>73.043816000000007</v>
      </c>
      <c r="E3599" s="76">
        <v>74.046120000000002</v>
      </c>
      <c r="F3599" s="76">
        <v>66.129242000000005</v>
      </c>
      <c r="G3599" s="79">
        <v>990300</v>
      </c>
    </row>
    <row r="3600" spans="1:7" x14ac:dyDescent="0.25">
      <c r="A3600" s="1" t="s">
        <v>3723</v>
      </c>
      <c r="B3600" s="76">
        <v>73.885161999999994</v>
      </c>
      <c r="C3600" s="76">
        <v>73.987594999999999</v>
      </c>
      <c r="D3600" s="76">
        <v>73.453513999999998</v>
      </c>
      <c r="E3600" s="76">
        <v>73.899795999999995</v>
      </c>
      <c r="F3600" s="76">
        <v>65.998588999999996</v>
      </c>
      <c r="G3600" s="79">
        <v>1182000</v>
      </c>
    </row>
    <row r="3601" spans="1:7" x14ac:dyDescent="0.25">
      <c r="A3601" s="1" t="s">
        <v>3724</v>
      </c>
      <c r="B3601" s="76">
        <v>74.024169999999998</v>
      </c>
      <c r="C3601" s="76">
        <v>74.111960999999994</v>
      </c>
      <c r="D3601" s="76">
        <v>73.614470999999995</v>
      </c>
      <c r="E3601" s="76">
        <v>73.907111999999998</v>
      </c>
      <c r="F3601" s="76">
        <v>66.005111999999997</v>
      </c>
      <c r="G3601" s="79">
        <v>1017600</v>
      </c>
    </row>
    <row r="3602" spans="1:7" x14ac:dyDescent="0.25">
      <c r="A3602" s="1" t="s">
        <v>3725</v>
      </c>
      <c r="B3602" s="76">
        <v>73.892478999999994</v>
      </c>
      <c r="C3602" s="76">
        <v>73.914428999999998</v>
      </c>
      <c r="D3602" s="76">
        <v>72.795067000000003</v>
      </c>
      <c r="E3602" s="76">
        <v>73.716895999999906</v>
      </c>
      <c r="F3602" s="76">
        <v>65.835235999999995</v>
      </c>
      <c r="G3602" s="79">
        <v>637800</v>
      </c>
    </row>
    <row r="3603" spans="1:7" x14ac:dyDescent="0.25">
      <c r="A3603" s="1" t="s">
        <v>3726</v>
      </c>
      <c r="B3603" s="76">
        <v>74.090018999999998</v>
      </c>
      <c r="C3603" s="76">
        <v>74.719200000000001</v>
      </c>
      <c r="D3603" s="76">
        <v>73.790053999999998</v>
      </c>
      <c r="E3603" s="76">
        <v>74.572875999999994</v>
      </c>
      <c r="F3603" s="76">
        <v>66.599686000000005</v>
      </c>
      <c r="G3603" s="79">
        <v>1061500</v>
      </c>
    </row>
    <row r="3604" spans="1:7" x14ac:dyDescent="0.25">
      <c r="A3604" s="1" t="s">
        <v>3727</v>
      </c>
      <c r="B3604" s="76">
        <v>74.924048999999997</v>
      </c>
      <c r="C3604" s="76">
        <v>74.997208000000001</v>
      </c>
      <c r="D3604" s="76">
        <v>74.272918999999902</v>
      </c>
      <c r="E3604" s="76">
        <v>74.609459000000001</v>
      </c>
      <c r="F3604" s="76">
        <v>66.632369999999995</v>
      </c>
      <c r="G3604" s="79">
        <v>1135900</v>
      </c>
    </row>
    <row r="3605" spans="1:7" x14ac:dyDescent="0.25">
      <c r="A3605" s="1" t="s">
        <v>3728</v>
      </c>
      <c r="B3605" s="76">
        <v>74.455817999999994</v>
      </c>
      <c r="C3605" s="76">
        <v>75.085006999999905</v>
      </c>
      <c r="D3605" s="76">
        <v>74.170493999999906</v>
      </c>
      <c r="E3605" s="76">
        <v>75.063057000000001</v>
      </c>
      <c r="F3605" s="76">
        <v>67.037459999999996</v>
      </c>
      <c r="G3605" s="79">
        <v>811300</v>
      </c>
    </row>
    <row r="3606" spans="1:7" x14ac:dyDescent="0.25">
      <c r="A3606" s="1" t="s">
        <v>3729</v>
      </c>
      <c r="B3606" s="76">
        <v>75.092322999999993</v>
      </c>
      <c r="C3606" s="76">
        <v>75.531288000000004</v>
      </c>
      <c r="D3606" s="76">
        <v>74.514351000000005</v>
      </c>
      <c r="E3606" s="76">
        <v>75.472755000000006</v>
      </c>
      <c r="F3606" s="76">
        <v>67.403366000000005</v>
      </c>
      <c r="G3606" s="79">
        <v>743800</v>
      </c>
    </row>
    <row r="3607" spans="1:7" x14ac:dyDescent="0.25">
      <c r="A3607" s="1" t="s">
        <v>3730</v>
      </c>
      <c r="B3607" s="76">
        <v>75.282539</v>
      </c>
      <c r="C3607" s="76">
        <v>76.123885999999999</v>
      </c>
      <c r="D3607" s="76">
        <v>74.960631999999904</v>
      </c>
      <c r="E3607" s="76">
        <v>75.589813000000007</v>
      </c>
      <c r="F3607" s="76">
        <v>67.507912000000005</v>
      </c>
      <c r="G3607" s="79">
        <v>989100</v>
      </c>
    </row>
    <row r="3608" spans="1:7" x14ac:dyDescent="0.25">
      <c r="A3608" s="1" t="s">
        <v>3731</v>
      </c>
      <c r="B3608" s="76">
        <v>75.560547</v>
      </c>
      <c r="C3608" s="76">
        <v>75.845878999999996</v>
      </c>
      <c r="D3608" s="76">
        <v>75.136215000000007</v>
      </c>
      <c r="E3608" s="76">
        <v>75.750771</v>
      </c>
      <c r="F3608" s="76">
        <v>67.651671999999905</v>
      </c>
      <c r="G3608" s="79">
        <v>871000</v>
      </c>
    </row>
    <row r="3609" spans="1:7" x14ac:dyDescent="0.25">
      <c r="A3609" s="1" t="s">
        <v>3732</v>
      </c>
      <c r="B3609" s="76">
        <v>74.726517000000001</v>
      </c>
      <c r="C3609" s="76">
        <v>76.072677999999996</v>
      </c>
      <c r="D3609" s="76">
        <v>74.726517000000001</v>
      </c>
      <c r="E3609" s="76">
        <v>75.721503999999996</v>
      </c>
      <c r="F3609" s="76">
        <v>67.625525999999994</v>
      </c>
      <c r="G3609" s="79">
        <v>1116400</v>
      </c>
    </row>
    <row r="3610" spans="1:7" x14ac:dyDescent="0.25">
      <c r="A3610" s="1" t="s">
        <v>3733</v>
      </c>
      <c r="B3610" s="76">
        <v>75.984886000000003</v>
      </c>
      <c r="C3610" s="76">
        <v>77.126189999999994</v>
      </c>
      <c r="D3610" s="76">
        <v>75.904404</v>
      </c>
      <c r="E3610" s="76">
        <v>76.965239999999994</v>
      </c>
      <c r="F3610" s="76">
        <v>68.736281999999903</v>
      </c>
      <c r="G3610" s="79">
        <v>1252300</v>
      </c>
    </row>
    <row r="3611" spans="1:7" x14ac:dyDescent="0.25">
      <c r="A3611" s="1" t="s">
        <v>3734</v>
      </c>
      <c r="B3611" s="76">
        <v>76.570167999999995</v>
      </c>
      <c r="C3611" s="76">
        <v>77.199355999999995</v>
      </c>
      <c r="D3611" s="76">
        <v>76.401900999999995</v>
      </c>
      <c r="E3611" s="76">
        <v>76.848182999999906</v>
      </c>
      <c r="F3611" s="76">
        <v>69.111289999999997</v>
      </c>
      <c r="G3611" s="79">
        <v>1268700</v>
      </c>
    </row>
    <row r="3612" spans="1:7" x14ac:dyDescent="0.25">
      <c r="A3612" s="1" t="s">
        <v>3735</v>
      </c>
      <c r="B3612" s="76">
        <v>77.126189999999994</v>
      </c>
      <c r="C3612" s="76">
        <v>77.316413999999995</v>
      </c>
      <c r="D3612" s="76">
        <v>76.657966999999999</v>
      </c>
      <c r="E3612" s="76">
        <v>77.170090000000002</v>
      </c>
      <c r="F3612" s="76">
        <v>69.400809999999893</v>
      </c>
      <c r="G3612" s="79">
        <v>1369500</v>
      </c>
    </row>
    <row r="3613" spans="1:7" x14ac:dyDescent="0.25">
      <c r="A3613" s="1" t="s">
        <v>3736</v>
      </c>
      <c r="B3613" s="76">
        <v>77.301781000000005</v>
      </c>
      <c r="C3613" s="76">
        <v>77.565155000000004</v>
      </c>
      <c r="D3613" s="76">
        <v>77.162773000000001</v>
      </c>
      <c r="E3613" s="76">
        <v>77.521263000000005</v>
      </c>
      <c r="F3613" s="76">
        <v>69.716620999999904</v>
      </c>
      <c r="G3613" s="79">
        <v>767100</v>
      </c>
    </row>
    <row r="3614" spans="1:7" x14ac:dyDescent="0.25">
      <c r="A3614" s="1" t="s">
        <v>3737</v>
      </c>
      <c r="B3614" s="76">
        <v>77.550522000000001</v>
      </c>
      <c r="C3614" s="76">
        <v>78.026069999999905</v>
      </c>
      <c r="D3614" s="76">
        <v>76.723807999999906</v>
      </c>
      <c r="E3614" s="76">
        <v>76.987189999999998</v>
      </c>
      <c r="F3614" s="76">
        <v>69.236312999999996</v>
      </c>
      <c r="G3614" s="79">
        <v>1140800</v>
      </c>
    </row>
    <row r="3615" spans="1:7" x14ac:dyDescent="0.25">
      <c r="A3615" s="1" t="s">
        <v>3738</v>
      </c>
      <c r="B3615" s="76">
        <v>77.016448999999994</v>
      </c>
      <c r="C3615" s="76">
        <v>77.565155000000004</v>
      </c>
      <c r="D3615" s="76">
        <v>76.650649999999999</v>
      </c>
      <c r="E3615" s="76">
        <v>77.360305999999994</v>
      </c>
      <c r="F3615" s="76">
        <v>69.571877000000001</v>
      </c>
      <c r="G3615" s="79">
        <v>949500</v>
      </c>
    </row>
    <row r="3616" spans="1:7" x14ac:dyDescent="0.25">
      <c r="A3616" s="1" t="s">
        <v>3739</v>
      </c>
      <c r="B3616" s="76">
        <v>77.111556999999905</v>
      </c>
      <c r="C3616" s="76">
        <v>77.389572000000001</v>
      </c>
      <c r="D3616" s="76">
        <v>76.533591999999999</v>
      </c>
      <c r="E3616" s="76">
        <v>77.199355999999995</v>
      </c>
      <c r="F3616" s="76">
        <v>69.427123999999907</v>
      </c>
      <c r="G3616" s="79">
        <v>827700</v>
      </c>
    </row>
    <row r="3617" spans="1:7" x14ac:dyDescent="0.25">
      <c r="A3617" s="1" t="s">
        <v>3740</v>
      </c>
      <c r="B3617" s="76">
        <v>77.082297999999994</v>
      </c>
      <c r="C3617" s="76">
        <v>77.455414000000005</v>
      </c>
      <c r="D3617" s="76">
        <v>76.628699999999995</v>
      </c>
      <c r="E3617" s="76">
        <v>77.433471999999995</v>
      </c>
      <c r="F3617" s="76">
        <v>69.637671999999995</v>
      </c>
      <c r="G3617" s="79">
        <v>1093500</v>
      </c>
    </row>
    <row r="3618" spans="1:7" x14ac:dyDescent="0.25">
      <c r="A3618" s="1" t="s">
        <v>3741</v>
      </c>
      <c r="B3618" s="76">
        <v>77.243247999999994</v>
      </c>
      <c r="C3618" s="76">
        <v>77.243247999999994</v>
      </c>
      <c r="D3618" s="76">
        <v>76.540908999999999</v>
      </c>
      <c r="E3618" s="76">
        <v>77.104240000000004</v>
      </c>
      <c r="F3618" s="76">
        <v>69.341590999999994</v>
      </c>
      <c r="G3618" s="79">
        <v>847700</v>
      </c>
    </row>
    <row r="3619" spans="1:7" x14ac:dyDescent="0.25">
      <c r="A3619" s="1" t="s">
        <v>3742</v>
      </c>
      <c r="B3619" s="76">
        <v>77.104240000000004</v>
      </c>
      <c r="C3619" s="76">
        <v>77.396889000000002</v>
      </c>
      <c r="D3619" s="76">
        <v>76.511641999999995</v>
      </c>
      <c r="E3619" s="76">
        <v>76.921340999999998</v>
      </c>
      <c r="F3619" s="76">
        <v>69.177109000000002</v>
      </c>
      <c r="G3619" s="79">
        <v>560700</v>
      </c>
    </row>
    <row r="3620" spans="1:7" x14ac:dyDescent="0.25">
      <c r="A3620" s="1" t="s">
        <v>3743</v>
      </c>
      <c r="B3620" s="76">
        <v>77.089614999999995</v>
      </c>
      <c r="C3620" s="76">
        <v>77.484679999999997</v>
      </c>
      <c r="D3620" s="76">
        <v>76.431168</v>
      </c>
      <c r="E3620" s="76">
        <v>76.716492000000002</v>
      </c>
      <c r="F3620" s="76">
        <v>68.992874</v>
      </c>
      <c r="G3620" s="79">
        <v>624100</v>
      </c>
    </row>
    <row r="3621" spans="1:7" x14ac:dyDescent="0.25">
      <c r="A3621" s="1" t="s">
        <v>3744</v>
      </c>
      <c r="B3621" s="76">
        <v>76.833549000000005</v>
      </c>
      <c r="C3621" s="76">
        <v>77.074981999999906</v>
      </c>
      <c r="D3621" s="76">
        <v>76.292159999999996</v>
      </c>
      <c r="E3621" s="76">
        <v>76.343368999999996</v>
      </c>
      <c r="F3621" s="76">
        <v>68.657318000000004</v>
      </c>
      <c r="G3621" s="79">
        <v>907200</v>
      </c>
    </row>
    <row r="3622" spans="1:7" x14ac:dyDescent="0.25">
      <c r="A3622" s="1" t="s">
        <v>3745</v>
      </c>
      <c r="B3622" s="76">
        <v>76.606750000000005</v>
      </c>
      <c r="C3622" s="76">
        <v>77.228615000000005</v>
      </c>
      <c r="D3622" s="76">
        <v>76.570167999999995</v>
      </c>
      <c r="E3622" s="76">
        <v>77.053032000000002</v>
      </c>
      <c r="F3622" s="76">
        <v>69.295524999999998</v>
      </c>
      <c r="G3622" s="79">
        <v>697800</v>
      </c>
    </row>
    <row r="3623" spans="1:7" x14ac:dyDescent="0.25">
      <c r="A3623" s="1" t="s">
        <v>3746</v>
      </c>
      <c r="B3623" s="76">
        <v>77.184722999999906</v>
      </c>
      <c r="C3623" s="76">
        <v>77.945594999999997</v>
      </c>
      <c r="D3623" s="76">
        <v>77.038398999999998</v>
      </c>
      <c r="E3623" s="76">
        <v>77.945594999999997</v>
      </c>
      <c r="F3623" s="76">
        <v>70.098220999999995</v>
      </c>
      <c r="G3623" s="79">
        <v>818900</v>
      </c>
    </row>
    <row r="3624" spans="1:7" x14ac:dyDescent="0.25">
      <c r="A3624" s="1" t="s">
        <v>3747</v>
      </c>
      <c r="B3624" s="76">
        <v>77.784637000000004</v>
      </c>
      <c r="C3624" s="76">
        <v>77.967545000000001</v>
      </c>
      <c r="D3624" s="76">
        <v>76.818916000000002</v>
      </c>
      <c r="E3624" s="76">
        <v>77.674895999999904</v>
      </c>
      <c r="F3624" s="76">
        <v>69.854782</v>
      </c>
      <c r="G3624" s="79">
        <v>1077400</v>
      </c>
    </row>
    <row r="3625" spans="1:7" x14ac:dyDescent="0.25">
      <c r="A3625" s="1" t="s">
        <v>3748</v>
      </c>
      <c r="B3625" s="76">
        <v>77.623688000000001</v>
      </c>
      <c r="C3625" s="76">
        <v>77.923644999999993</v>
      </c>
      <c r="D3625" s="76">
        <v>77.272514000000001</v>
      </c>
      <c r="E3625" s="76">
        <v>77.879752999999994</v>
      </c>
      <c r="F3625" s="76">
        <v>70.039031999999906</v>
      </c>
      <c r="G3625" s="79">
        <v>500700</v>
      </c>
    </row>
    <row r="3626" spans="1:7" x14ac:dyDescent="0.25">
      <c r="A3626" s="1" t="s">
        <v>3749</v>
      </c>
      <c r="B3626" s="76">
        <v>77.821219999999997</v>
      </c>
      <c r="C3626" s="76">
        <v>78.567458999999999</v>
      </c>
      <c r="D3626" s="76">
        <v>77.821219999999997</v>
      </c>
      <c r="E3626" s="76">
        <v>78.34066</v>
      </c>
      <c r="F3626" s="76">
        <v>70.453536999999997</v>
      </c>
      <c r="G3626" s="79">
        <v>1346800</v>
      </c>
    </row>
    <row r="3627" spans="1:7" x14ac:dyDescent="0.25">
      <c r="A3627" s="1" t="s">
        <v>3750</v>
      </c>
      <c r="B3627" s="76">
        <v>78.494300999999993</v>
      </c>
      <c r="C3627" s="76">
        <v>78.962531999999996</v>
      </c>
      <c r="D3627" s="76">
        <v>78.34066</v>
      </c>
      <c r="E3627" s="76">
        <v>78.662566999999996</v>
      </c>
      <c r="F3627" s="76">
        <v>70.743033999999994</v>
      </c>
      <c r="G3627" s="79">
        <v>904600</v>
      </c>
    </row>
    <row r="3628" spans="1:7" x14ac:dyDescent="0.25">
      <c r="A3628" s="1" t="s">
        <v>3751</v>
      </c>
      <c r="B3628" s="76">
        <v>78.501616999999996</v>
      </c>
      <c r="C3628" s="76">
        <v>78.647942</v>
      </c>
      <c r="D3628" s="76">
        <v>78.091918999999905</v>
      </c>
      <c r="E3628" s="76">
        <v>78.150443999999993</v>
      </c>
      <c r="F3628" s="76">
        <v>70.282463000000007</v>
      </c>
      <c r="G3628" s="79">
        <v>993300</v>
      </c>
    </row>
    <row r="3629" spans="1:7" x14ac:dyDescent="0.25">
      <c r="A3629" s="1" t="s">
        <v>3752</v>
      </c>
      <c r="B3629" s="76">
        <v>77.923644999999993</v>
      </c>
      <c r="C3629" s="76">
        <v>78.369926000000007</v>
      </c>
      <c r="D3629" s="76">
        <v>77.762694999999994</v>
      </c>
      <c r="E3629" s="76">
        <v>78.216285999999997</v>
      </c>
      <c r="F3629" s="76">
        <v>70.341667000000001</v>
      </c>
      <c r="G3629" s="79">
        <v>803400</v>
      </c>
    </row>
    <row r="3630" spans="1:7" x14ac:dyDescent="0.25">
      <c r="A3630" s="1" t="s">
        <v>3753</v>
      </c>
      <c r="B3630" s="76">
        <v>78.333343999999997</v>
      </c>
      <c r="C3630" s="76">
        <v>79.577079999999995</v>
      </c>
      <c r="D3630" s="76">
        <v>78.077286000000001</v>
      </c>
      <c r="E3630" s="76">
        <v>79.518555000000006</v>
      </c>
      <c r="F3630" s="76">
        <v>71.512833000000001</v>
      </c>
      <c r="G3630" s="79">
        <v>1123400</v>
      </c>
    </row>
    <row r="3631" spans="1:7" x14ac:dyDescent="0.25">
      <c r="A3631" s="1" t="s">
        <v>3754</v>
      </c>
      <c r="B3631" s="76">
        <v>79.752669999999995</v>
      </c>
      <c r="C3631" s="76">
        <v>79.752669999999995</v>
      </c>
      <c r="D3631" s="76">
        <v>78.852790999999996</v>
      </c>
      <c r="E3631" s="76">
        <v>78.969848999999996</v>
      </c>
      <c r="F3631" s="76">
        <v>71.019379000000001</v>
      </c>
      <c r="G3631" s="79">
        <v>1054500</v>
      </c>
    </row>
    <row r="3632" spans="1:7" x14ac:dyDescent="0.25">
      <c r="A3632" s="1" t="s">
        <v>3755</v>
      </c>
      <c r="B3632" s="76">
        <v>78.860106999999999</v>
      </c>
      <c r="C3632" s="76">
        <v>79.255172999999999</v>
      </c>
      <c r="D3632" s="76">
        <v>77.828536999999997</v>
      </c>
      <c r="E3632" s="76">
        <v>77.879752999999994</v>
      </c>
      <c r="F3632" s="76">
        <v>70.039031999999906</v>
      </c>
      <c r="G3632" s="79">
        <v>1382800</v>
      </c>
    </row>
    <row r="3633" spans="1:7" x14ac:dyDescent="0.25">
      <c r="A3633" s="1" t="s">
        <v>3756</v>
      </c>
      <c r="B3633" s="76">
        <v>77.843170000000001</v>
      </c>
      <c r="C3633" s="76">
        <v>78.172393999999997</v>
      </c>
      <c r="D3633" s="76">
        <v>77.045715000000001</v>
      </c>
      <c r="E3633" s="76">
        <v>77.265197999999998</v>
      </c>
      <c r="F3633" s="76">
        <v>69.486358999999993</v>
      </c>
      <c r="G3633" s="79">
        <v>1348000</v>
      </c>
    </row>
    <row r="3634" spans="1:7" x14ac:dyDescent="0.25">
      <c r="A3634" s="1" t="s">
        <v>3757</v>
      </c>
      <c r="B3634" s="76">
        <v>77.228615000000005</v>
      </c>
      <c r="C3634" s="76">
        <v>77.543212999999994</v>
      </c>
      <c r="D3634" s="76">
        <v>76.833549000000005</v>
      </c>
      <c r="E3634" s="76">
        <v>77.074981999999906</v>
      </c>
      <c r="F3634" s="76">
        <v>69.315262000000004</v>
      </c>
      <c r="G3634" s="79">
        <v>798400</v>
      </c>
    </row>
    <row r="3635" spans="1:7" x14ac:dyDescent="0.25">
      <c r="A3635" s="1" t="s">
        <v>3758</v>
      </c>
      <c r="B3635" s="76">
        <v>76.950606999999906</v>
      </c>
      <c r="C3635" s="76">
        <v>77.140822999999997</v>
      </c>
      <c r="D3635" s="76">
        <v>76.314109999999999</v>
      </c>
      <c r="E3635" s="76">
        <v>76.482376000000002</v>
      </c>
      <c r="F3635" s="76">
        <v>68.782325999999998</v>
      </c>
      <c r="G3635" s="79">
        <v>1013600</v>
      </c>
    </row>
    <row r="3636" spans="1:7" x14ac:dyDescent="0.25">
      <c r="A3636" s="1" t="s">
        <v>3759</v>
      </c>
      <c r="B3636" s="76">
        <v>76.643332999999998</v>
      </c>
      <c r="C3636" s="76">
        <v>76.709175000000002</v>
      </c>
      <c r="D3636" s="76">
        <v>76.101943999999904</v>
      </c>
      <c r="E3636" s="76">
        <v>76.453109999999995</v>
      </c>
      <c r="F3636" s="76">
        <v>68.755996999999994</v>
      </c>
      <c r="G3636" s="79">
        <v>1214600</v>
      </c>
    </row>
    <row r="3637" spans="1:7" x14ac:dyDescent="0.25">
      <c r="A3637" s="1" t="s">
        <v>3760</v>
      </c>
      <c r="B3637" s="76">
        <v>76.467742999999999</v>
      </c>
      <c r="C3637" s="76">
        <v>76.906707999999995</v>
      </c>
      <c r="D3637" s="76">
        <v>76.167785999999893</v>
      </c>
      <c r="E3637" s="76">
        <v>76.270209999999906</v>
      </c>
      <c r="F3637" s="76">
        <v>68.591530000000006</v>
      </c>
      <c r="G3637" s="79">
        <v>1062800</v>
      </c>
    </row>
    <row r="3638" spans="1:7" x14ac:dyDescent="0.25">
      <c r="A3638" s="1" t="s">
        <v>3761</v>
      </c>
      <c r="B3638" s="76">
        <v>76.153152000000006</v>
      </c>
      <c r="C3638" s="76">
        <v>76.665276000000006</v>
      </c>
      <c r="D3638" s="76">
        <v>75.911719999999903</v>
      </c>
      <c r="E3638" s="76">
        <v>76.540908999999999</v>
      </c>
      <c r="F3638" s="76">
        <v>68.834983999999906</v>
      </c>
      <c r="G3638" s="79">
        <v>1292700</v>
      </c>
    </row>
    <row r="3639" spans="1:7" x14ac:dyDescent="0.25">
      <c r="A3639" s="1" t="s">
        <v>3762</v>
      </c>
      <c r="B3639" s="76">
        <v>76.518958999999995</v>
      </c>
      <c r="C3639" s="76">
        <v>77.001816000000005</v>
      </c>
      <c r="D3639" s="76">
        <v>76.101943999999904</v>
      </c>
      <c r="E3639" s="76">
        <v>76.833549000000005</v>
      </c>
      <c r="F3639" s="76">
        <v>69.098145000000002</v>
      </c>
      <c r="G3639" s="79">
        <v>1783500</v>
      </c>
    </row>
    <row r="3640" spans="1:7" x14ac:dyDescent="0.25">
      <c r="A3640" s="1" t="s">
        <v>3763</v>
      </c>
      <c r="B3640" s="76">
        <v>76.928657999999999</v>
      </c>
      <c r="C3640" s="76">
        <v>77.806586999999993</v>
      </c>
      <c r="D3640" s="76">
        <v>76.701858999999999</v>
      </c>
      <c r="E3640" s="76">
        <v>77.806586999999993</v>
      </c>
      <c r="F3640" s="76">
        <v>69.973213000000001</v>
      </c>
      <c r="G3640" s="79">
        <v>1417400</v>
      </c>
    </row>
    <row r="3641" spans="1:7" x14ac:dyDescent="0.25">
      <c r="A3641" s="1" t="s">
        <v>3764</v>
      </c>
      <c r="B3641" s="76">
        <v>77.601737999999997</v>
      </c>
      <c r="C3641" s="76">
        <v>78.033385999999993</v>
      </c>
      <c r="D3641" s="76">
        <v>77.111556999999905</v>
      </c>
      <c r="E3641" s="76">
        <v>77.982178000000005</v>
      </c>
      <c r="F3641" s="76">
        <v>70.131141999999997</v>
      </c>
      <c r="G3641" s="79">
        <v>1394200</v>
      </c>
    </row>
    <row r="3642" spans="1:7" x14ac:dyDescent="0.25">
      <c r="A3642" s="1" t="s">
        <v>3765</v>
      </c>
      <c r="B3642" s="76">
        <v>77.938277999999997</v>
      </c>
      <c r="C3642" s="76">
        <v>78.230919</v>
      </c>
      <c r="D3642" s="76">
        <v>77.660263</v>
      </c>
      <c r="E3642" s="76">
        <v>77.799270999999905</v>
      </c>
      <c r="F3642" s="76">
        <v>69.966637000000006</v>
      </c>
      <c r="G3642" s="79">
        <v>861700</v>
      </c>
    </row>
    <row r="3643" spans="1:7" x14ac:dyDescent="0.25">
      <c r="A3643" s="1" t="s">
        <v>3766</v>
      </c>
      <c r="B3643" s="76">
        <v>77.704162999999994</v>
      </c>
      <c r="C3643" s="76">
        <v>78.033385999999993</v>
      </c>
      <c r="D3643" s="76">
        <v>77.462729999999993</v>
      </c>
      <c r="E3643" s="76">
        <v>77.696845999999994</v>
      </c>
      <c r="F3643" s="76">
        <v>69.874527</v>
      </c>
      <c r="G3643" s="79">
        <v>658000</v>
      </c>
    </row>
    <row r="3644" spans="1:7" x14ac:dyDescent="0.25">
      <c r="A3644" s="1" t="s">
        <v>3767</v>
      </c>
      <c r="B3644" s="76">
        <v>77.667580000000001</v>
      </c>
      <c r="C3644" s="76">
        <v>77.857803000000004</v>
      </c>
      <c r="D3644" s="76">
        <v>77.484679999999997</v>
      </c>
      <c r="E3644" s="76">
        <v>77.791954000000004</v>
      </c>
      <c r="F3644" s="76">
        <v>69.960052000000005</v>
      </c>
      <c r="G3644" s="79">
        <v>895300</v>
      </c>
    </row>
    <row r="3645" spans="1:7" x14ac:dyDescent="0.25">
      <c r="A3645" s="1" t="s">
        <v>3768</v>
      </c>
      <c r="B3645" s="76">
        <v>77.791954000000004</v>
      </c>
      <c r="C3645" s="76">
        <v>77.872437000000005</v>
      </c>
      <c r="D3645" s="76">
        <v>77.155456999999998</v>
      </c>
      <c r="E3645" s="76">
        <v>77.455414000000005</v>
      </c>
      <c r="F3645" s="76">
        <v>69.657387</v>
      </c>
      <c r="G3645" s="79">
        <v>883300</v>
      </c>
    </row>
    <row r="3646" spans="1:7" x14ac:dyDescent="0.25">
      <c r="A3646" s="1" t="s">
        <v>3769</v>
      </c>
      <c r="B3646" s="76">
        <v>77.506630000000001</v>
      </c>
      <c r="C3646" s="76">
        <v>78.633308</v>
      </c>
      <c r="D3646" s="76">
        <v>77.484679999999997</v>
      </c>
      <c r="E3646" s="76">
        <v>78.538200000000003</v>
      </c>
      <c r="F3646" s="76">
        <v>70.631180000000001</v>
      </c>
      <c r="G3646" s="79">
        <v>1586600</v>
      </c>
    </row>
    <row r="3647" spans="1:7" x14ac:dyDescent="0.25">
      <c r="A3647" s="1" t="s">
        <v>3770</v>
      </c>
      <c r="B3647" s="76">
        <v>78.384559999999993</v>
      </c>
      <c r="C3647" s="76">
        <v>78.574776</v>
      </c>
      <c r="D3647" s="76">
        <v>77.360305999999994</v>
      </c>
      <c r="E3647" s="76">
        <v>78.084602000000004</v>
      </c>
      <c r="F3647" s="76">
        <v>70.223251000000005</v>
      </c>
      <c r="G3647" s="79">
        <v>1206000</v>
      </c>
    </row>
    <row r="3648" spans="1:7" x14ac:dyDescent="0.25">
      <c r="A3648" s="1" t="s">
        <v>3771</v>
      </c>
      <c r="B3648" s="76">
        <v>77.938277999999997</v>
      </c>
      <c r="C3648" s="76">
        <v>79.833145000000002</v>
      </c>
      <c r="D3648" s="76">
        <v>77.331039000000004</v>
      </c>
      <c r="E3648" s="76">
        <v>78.069969</v>
      </c>
      <c r="F3648" s="76">
        <v>70.210098000000002</v>
      </c>
      <c r="G3648" s="79">
        <v>1082900</v>
      </c>
    </row>
    <row r="3649" spans="1:7" x14ac:dyDescent="0.25">
      <c r="A3649" s="1" t="s">
        <v>3772</v>
      </c>
      <c r="B3649" s="76">
        <v>77.974861000000004</v>
      </c>
      <c r="C3649" s="76">
        <v>78.17971</v>
      </c>
      <c r="D3649" s="76">
        <v>77.426154999999994</v>
      </c>
      <c r="E3649" s="76">
        <v>78.128493999999904</v>
      </c>
      <c r="F3649" s="76">
        <v>70.262710999999996</v>
      </c>
      <c r="G3649" s="79">
        <v>713100</v>
      </c>
    </row>
    <row r="3650" spans="1:7" x14ac:dyDescent="0.25">
      <c r="A3650" s="1" t="s">
        <v>3773</v>
      </c>
      <c r="B3650" s="76">
        <v>77.879752999999994</v>
      </c>
      <c r="C3650" s="76">
        <v>77.894379000000001</v>
      </c>
      <c r="D3650" s="76">
        <v>76.957924000000006</v>
      </c>
      <c r="E3650" s="76">
        <v>77.513947000000002</v>
      </c>
      <c r="F3650" s="76">
        <v>69.710037</v>
      </c>
      <c r="G3650" s="79">
        <v>817200</v>
      </c>
    </row>
    <row r="3651" spans="1:7" x14ac:dyDescent="0.25">
      <c r="A3651" s="1" t="s">
        <v>3774</v>
      </c>
      <c r="B3651" s="76">
        <v>77.543212999999994</v>
      </c>
      <c r="C3651" s="76">
        <v>78.033385999999993</v>
      </c>
      <c r="D3651" s="76">
        <v>77.243247999999994</v>
      </c>
      <c r="E3651" s="76">
        <v>77.484679999999997</v>
      </c>
      <c r="F3651" s="76">
        <v>69.683723000000001</v>
      </c>
      <c r="G3651" s="79">
        <v>827600</v>
      </c>
    </row>
    <row r="3652" spans="1:7" x14ac:dyDescent="0.25">
      <c r="A3652" s="1" t="s">
        <v>3775</v>
      </c>
      <c r="B3652" s="76">
        <v>77.565155000000004</v>
      </c>
      <c r="C3652" s="76">
        <v>77.813903999999994</v>
      </c>
      <c r="D3652" s="76">
        <v>77.228615000000005</v>
      </c>
      <c r="E3652" s="76">
        <v>77.718795999999998</v>
      </c>
      <c r="F3652" s="76">
        <v>69.894256999999996</v>
      </c>
      <c r="G3652" s="79">
        <v>961400</v>
      </c>
    </row>
    <row r="3653" spans="1:7" x14ac:dyDescent="0.25">
      <c r="A3653" s="1" t="s">
        <v>3776</v>
      </c>
      <c r="B3653" s="76">
        <v>77.850487000000001</v>
      </c>
      <c r="C3653" s="76">
        <v>77.967545000000001</v>
      </c>
      <c r="D3653" s="76">
        <v>77.199355999999995</v>
      </c>
      <c r="E3653" s="76">
        <v>77.821219999999997</v>
      </c>
      <c r="F3653" s="76">
        <v>69.986366000000004</v>
      </c>
      <c r="G3653" s="79">
        <v>620400</v>
      </c>
    </row>
    <row r="3654" spans="1:7" x14ac:dyDescent="0.25">
      <c r="A3654" s="1" t="s">
        <v>3777</v>
      </c>
      <c r="B3654" s="76">
        <v>77.455414000000005</v>
      </c>
      <c r="C3654" s="76">
        <v>77.989493999999993</v>
      </c>
      <c r="D3654" s="76">
        <v>77.206672999999995</v>
      </c>
      <c r="E3654" s="76">
        <v>77.594420999999997</v>
      </c>
      <c r="F3654" s="76">
        <v>69.782416999999995</v>
      </c>
      <c r="G3654" s="79">
        <v>779400</v>
      </c>
    </row>
    <row r="3655" spans="1:7" x14ac:dyDescent="0.25">
      <c r="A3655" s="1" t="s">
        <v>3778</v>
      </c>
      <c r="B3655" s="76">
        <v>77.682213000000004</v>
      </c>
      <c r="C3655" s="76">
        <v>78.165076999999997</v>
      </c>
      <c r="D3655" s="76">
        <v>77.477363999999994</v>
      </c>
      <c r="E3655" s="76">
        <v>77.960228000000001</v>
      </c>
      <c r="F3655" s="76">
        <v>70.111389000000003</v>
      </c>
      <c r="G3655" s="79">
        <v>798000</v>
      </c>
    </row>
    <row r="3656" spans="1:7" x14ac:dyDescent="0.25">
      <c r="A3656" s="1" t="s">
        <v>3779</v>
      </c>
      <c r="B3656" s="76">
        <v>78.187027</v>
      </c>
      <c r="C3656" s="76">
        <v>78.421143000000001</v>
      </c>
      <c r="D3656" s="76">
        <v>77.806586999999993</v>
      </c>
      <c r="E3656" s="76">
        <v>78.267501999999993</v>
      </c>
      <c r="F3656" s="76">
        <v>70.387726000000001</v>
      </c>
      <c r="G3656" s="79">
        <v>725000</v>
      </c>
    </row>
    <row r="3657" spans="1:7" x14ac:dyDescent="0.25">
      <c r="A3657" s="1" t="s">
        <v>3780</v>
      </c>
      <c r="B3657" s="76">
        <v>78.128493999999904</v>
      </c>
      <c r="C3657" s="76">
        <v>78.465034000000003</v>
      </c>
      <c r="D3657" s="76">
        <v>77.850487000000001</v>
      </c>
      <c r="E3657" s="76">
        <v>78.282134999999997</v>
      </c>
      <c r="F3657" s="76">
        <v>70.400893999999994</v>
      </c>
      <c r="G3657" s="79">
        <v>602400</v>
      </c>
    </row>
    <row r="3658" spans="1:7" x14ac:dyDescent="0.25">
      <c r="A3658" s="1" t="s">
        <v>3781</v>
      </c>
      <c r="B3658" s="76">
        <v>78.413826</v>
      </c>
      <c r="C3658" s="76">
        <v>78.786941999999996</v>
      </c>
      <c r="D3658" s="76">
        <v>78.033385999999993</v>
      </c>
      <c r="E3658" s="76">
        <v>78.662566999999996</v>
      </c>
      <c r="F3658" s="76">
        <v>70.743033999999994</v>
      </c>
      <c r="G3658" s="79">
        <v>753200</v>
      </c>
    </row>
    <row r="3659" spans="1:7" x14ac:dyDescent="0.25">
      <c r="A3659" s="1" t="s">
        <v>3782</v>
      </c>
      <c r="B3659" s="76">
        <v>78.245552000000004</v>
      </c>
      <c r="C3659" s="76">
        <v>78.494300999999993</v>
      </c>
      <c r="D3659" s="76">
        <v>77.513947000000002</v>
      </c>
      <c r="E3659" s="76">
        <v>77.528580000000005</v>
      </c>
      <c r="F3659" s="76">
        <v>69.723197999999996</v>
      </c>
      <c r="G3659" s="79">
        <v>1072700</v>
      </c>
    </row>
    <row r="3660" spans="1:7" x14ac:dyDescent="0.25">
      <c r="A3660" s="1" t="s">
        <v>3783</v>
      </c>
      <c r="B3660" s="76">
        <v>77.755379000000005</v>
      </c>
      <c r="C3660" s="76">
        <v>78.633308</v>
      </c>
      <c r="D3660" s="76">
        <v>77.433471999999995</v>
      </c>
      <c r="E3660" s="76">
        <v>78.633308</v>
      </c>
      <c r="F3660" s="76">
        <v>70.716712999999999</v>
      </c>
      <c r="G3660" s="79">
        <v>973500</v>
      </c>
    </row>
    <row r="3661" spans="1:7" x14ac:dyDescent="0.25">
      <c r="A3661" s="1" t="s">
        <v>3784</v>
      </c>
      <c r="B3661" s="76">
        <v>78.530884</v>
      </c>
      <c r="C3661" s="76">
        <v>78.560142999999997</v>
      </c>
      <c r="D3661" s="76">
        <v>78.040702999999993</v>
      </c>
      <c r="E3661" s="76">
        <v>78.252868999999905</v>
      </c>
      <c r="F3661" s="76">
        <v>70.374579999999995</v>
      </c>
      <c r="G3661" s="79">
        <v>484700</v>
      </c>
    </row>
    <row r="3662" spans="1:7" x14ac:dyDescent="0.25">
      <c r="A3662" s="1" t="s">
        <v>3785</v>
      </c>
      <c r="B3662" s="76">
        <v>78.735732999999996</v>
      </c>
      <c r="C3662" s="76">
        <v>79.160065000000003</v>
      </c>
      <c r="D3662" s="76">
        <v>78.538200000000003</v>
      </c>
      <c r="E3662" s="76">
        <v>78.977164999999999</v>
      </c>
      <c r="F3662" s="76">
        <v>71.025948</v>
      </c>
      <c r="G3662" s="79">
        <v>659100</v>
      </c>
    </row>
    <row r="3663" spans="1:7" x14ac:dyDescent="0.25">
      <c r="A3663" s="1" t="s">
        <v>3786</v>
      </c>
      <c r="B3663" s="76">
        <v>78.889365999999995</v>
      </c>
      <c r="C3663" s="76">
        <v>79.233222999999995</v>
      </c>
      <c r="D3663" s="76">
        <v>78.706467000000004</v>
      </c>
      <c r="E3663" s="76">
        <v>79.174697999999907</v>
      </c>
      <c r="F3663" s="76">
        <v>71.203582999999995</v>
      </c>
      <c r="G3663" s="79">
        <v>516000</v>
      </c>
    </row>
    <row r="3664" spans="1:7" x14ac:dyDescent="0.25">
      <c r="A3664" s="1" t="s">
        <v>3787</v>
      </c>
      <c r="B3664" s="76">
        <v>79.203963999999999</v>
      </c>
      <c r="C3664" s="76">
        <v>79.525870999999995</v>
      </c>
      <c r="D3664" s="76">
        <v>78.823524000000006</v>
      </c>
      <c r="E3664" s="76">
        <v>79.452704999999995</v>
      </c>
      <c r="F3664" s="76">
        <v>71.453598</v>
      </c>
      <c r="G3664" s="79">
        <v>1360900</v>
      </c>
    </row>
    <row r="3665" spans="1:7" x14ac:dyDescent="0.25">
      <c r="A3665" s="1" t="s">
        <v>3788</v>
      </c>
      <c r="B3665" s="76">
        <v>79.050322999999906</v>
      </c>
      <c r="C3665" s="76">
        <v>79.240539999999996</v>
      </c>
      <c r="D3665" s="76">
        <v>78.347977</v>
      </c>
      <c r="E3665" s="76">
        <v>78.530884</v>
      </c>
      <c r="F3665" s="76">
        <v>70.624588000000003</v>
      </c>
      <c r="G3665" s="79">
        <v>870100</v>
      </c>
    </row>
    <row r="3666" spans="1:7" x14ac:dyDescent="0.25">
      <c r="A3666" s="1" t="s">
        <v>3789</v>
      </c>
      <c r="B3666" s="76">
        <v>78.34066</v>
      </c>
      <c r="C3666" s="76">
        <v>78.838157999999893</v>
      </c>
      <c r="D3666" s="76">
        <v>78.34066</v>
      </c>
      <c r="E3666" s="76">
        <v>78.516250999999997</v>
      </c>
      <c r="F3666" s="76">
        <v>70.611442999999994</v>
      </c>
      <c r="G3666" s="79">
        <v>1070100</v>
      </c>
    </row>
    <row r="3667" spans="1:7" x14ac:dyDescent="0.25">
      <c r="A3667" s="1" t="s">
        <v>3790</v>
      </c>
      <c r="B3667" s="76">
        <v>78.494300999999993</v>
      </c>
      <c r="C3667" s="76">
        <v>78.677199999999999</v>
      </c>
      <c r="D3667" s="76">
        <v>77.989493999999993</v>
      </c>
      <c r="E3667" s="76">
        <v>78.157760999999994</v>
      </c>
      <c r="F3667" s="76">
        <v>70.289031999999906</v>
      </c>
      <c r="G3667" s="79">
        <v>1138300</v>
      </c>
    </row>
    <row r="3668" spans="1:7" x14ac:dyDescent="0.25">
      <c r="A3668" s="1" t="s">
        <v>3791</v>
      </c>
      <c r="B3668" s="76">
        <v>78.304085000000001</v>
      </c>
      <c r="C3668" s="76">
        <v>78.808891000000003</v>
      </c>
      <c r="D3668" s="76">
        <v>77.960228000000001</v>
      </c>
      <c r="E3668" s="76">
        <v>78.377243000000007</v>
      </c>
      <c r="F3668" s="76">
        <v>70.486419999999995</v>
      </c>
      <c r="G3668" s="79">
        <v>1224300</v>
      </c>
    </row>
    <row r="3669" spans="1:7" x14ac:dyDescent="0.25">
      <c r="A3669" s="1" t="s">
        <v>3792</v>
      </c>
      <c r="B3669" s="76">
        <v>77.828536999999997</v>
      </c>
      <c r="C3669" s="76">
        <v>78.326026999999996</v>
      </c>
      <c r="D3669" s="76">
        <v>77.506630000000001</v>
      </c>
      <c r="E3669" s="76">
        <v>77.565155000000004</v>
      </c>
      <c r="F3669" s="76">
        <v>69.756095999999999</v>
      </c>
      <c r="G3669" s="79">
        <v>1221500</v>
      </c>
    </row>
    <row r="3670" spans="1:7" x14ac:dyDescent="0.25">
      <c r="A3670" s="1" t="s">
        <v>3793</v>
      </c>
      <c r="B3670" s="76">
        <v>77.557838000000004</v>
      </c>
      <c r="C3670" s="76">
        <v>78.099236000000005</v>
      </c>
      <c r="D3670" s="76">
        <v>76.877448999999999</v>
      </c>
      <c r="E3670" s="76">
        <v>76.914023999999998</v>
      </c>
      <c r="F3670" s="76">
        <v>69.170508999999996</v>
      </c>
      <c r="G3670" s="79">
        <v>1281300</v>
      </c>
    </row>
    <row r="3671" spans="1:7" x14ac:dyDescent="0.25">
      <c r="A3671" s="1" t="s">
        <v>3794</v>
      </c>
      <c r="B3671" s="76">
        <v>76.950606999999906</v>
      </c>
      <c r="C3671" s="76">
        <v>77.696845999999994</v>
      </c>
      <c r="D3671" s="76">
        <v>76.533591999999999</v>
      </c>
      <c r="E3671" s="76">
        <v>77.418839000000006</v>
      </c>
      <c r="F3671" s="76">
        <v>69.624504000000002</v>
      </c>
      <c r="G3671" s="79">
        <v>1176900</v>
      </c>
    </row>
    <row r="3672" spans="1:7" x14ac:dyDescent="0.25">
      <c r="A3672" s="1" t="s">
        <v>3795</v>
      </c>
      <c r="B3672" s="76">
        <v>76.767707999999999</v>
      </c>
      <c r="C3672" s="76">
        <v>77.587104999999994</v>
      </c>
      <c r="D3672" s="76">
        <v>76.438477000000006</v>
      </c>
      <c r="E3672" s="76">
        <v>76.914023999999998</v>
      </c>
      <c r="F3672" s="76">
        <v>69.170508999999996</v>
      </c>
      <c r="G3672" s="79">
        <v>1248900</v>
      </c>
    </row>
    <row r="3673" spans="1:7" x14ac:dyDescent="0.25">
      <c r="A3673" s="1" t="s">
        <v>3796</v>
      </c>
      <c r="B3673" s="76">
        <v>76.840866000000005</v>
      </c>
      <c r="C3673" s="76">
        <v>77.265197999999998</v>
      </c>
      <c r="D3673" s="76">
        <v>76.592117000000002</v>
      </c>
      <c r="E3673" s="76">
        <v>76.657966999999999</v>
      </c>
      <c r="F3673" s="76">
        <v>68.940230999999997</v>
      </c>
      <c r="G3673" s="79">
        <v>998800</v>
      </c>
    </row>
    <row r="3674" spans="1:7" x14ac:dyDescent="0.25">
      <c r="A3674" s="1" t="s">
        <v>3797</v>
      </c>
      <c r="B3674" s="76">
        <v>76.306792999999999</v>
      </c>
      <c r="C3674" s="76">
        <v>76.972556999999995</v>
      </c>
      <c r="D3674" s="76">
        <v>75.940986999999893</v>
      </c>
      <c r="E3674" s="76">
        <v>76.138518999999903</v>
      </c>
      <c r="F3674" s="76">
        <v>68.953484000000003</v>
      </c>
      <c r="G3674" s="79">
        <v>765700</v>
      </c>
    </row>
    <row r="3675" spans="1:7" x14ac:dyDescent="0.25">
      <c r="A3675" s="1" t="s">
        <v>3798</v>
      </c>
      <c r="B3675" s="76">
        <v>76.387268000000006</v>
      </c>
      <c r="C3675" s="76">
        <v>76.643332999999998</v>
      </c>
      <c r="D3675" s="76">
        <v>75.794662000000002</v>
      </c>
      <c r="E3675" s="76">
        <v>76.621383999999907</v>
      </c>
      <c r="F3675" s="76">
        <v>69.390777999999997</v>
      </c>
      <c r="G3675" s="79">
        <v>844400</v>
      </c>
    </row>
    <row r="3676" spans="1:7" x14ac:dyDescent="0.25">
      <c r="A3676" s="1" t="s">
        <v>3799</v>
      </c>
      <c r="B3676" s="76">
        <v>76.840866000000005</v>
      </c>
      <c r="C3676" s="76">
        <v>77.528580000000005</v>
      </c>
      <c r="D3676" s="76">
        <v>76.643332999999998</v>
      </c>
      <c r="E3676" s="76">
        <v>76.972556999999995</v>
      </c>
      <c r="F3676" s="76">
        <v>69.708816999999996</v>
      </c>
      <c r="G3676" s="79">
        <v>862400</v>
      </c>
    </row>
    <row r="3677" spans="1:7" x14ac:dyDescent="0.25">
      <c r="A3677" s="1" t="s">
        <v>3800</v>
      </c>
      <c r="B3677" s="76">
        <v>77.045715000000001</v>
      </c>
      <c r="C3677" s="76">
        <v>77.345673000000005</v>
      </c>
      <c r="D3677" s="76">
        <v>76.796966999999995</v>
      </c>
      <c r="E3677" s="76">
        <v>77.038398999999998</v>
      </c>
      <c r="F3677" s="76">
        <v>69.768439999999998</v>
      </c>
      <c r="G3677" s="79">
        <v>935300</v>
      </c>
    </row>
    <row r="3678" spans="1:7" x14ac:dyDescent="0.25">
      <c r="A3678" s="1" t="s">
        <v>3801</v>
      </c>
      <c r="B3678" s="76">
        <v>77.309096999999994</v>
      </c>
      <c r="C3678" s="76">
        <v>78.201660000000004</v>
      </c>
      <c r="D3678" s="76">
        <v>77.089614999999995</v>
      </c>
      <c r="E3678" s="76">
        <v>77.996803</v>
      </c>
      <c r="F3678" s="76">
        <v>70.636391000000003</v>
      </c>
      <c r="G3678" s="79">
        <v>1017700</v>
      </c>
    </row>
    <row r="3679" spans="1:7" x14ac:dyDescent="0.25">
      <c r="A3679" s="1" t="s">
        <v>3802</v>
      </c>
      <c r="B3679" s="76">
        <v>78.216285999999997</v>
      </c>
      <c r="C3679" s="76">
        <v>78.333343999999997</v>
      </c>
      <c r="D3679" s="76">
        <v>77.491996999999998</v>
      </c>
      <c r="E3679" s="76">
        <v>77.631004000000004</v>
      </c>
      <c r="F3679" s="76">
        <v>70.305121999999997</v>
      </c>
      <c r="G3679" s="79">
        <v>893000</v>
      </c>
    </row>
    <row r="3680" spans="1:7" x14ac:dyDescent="0.25">
      <c r="A3680" s="1" t="s">
        <v>3803</v>
      </c>
      <c r="B3680" s="76">
        <v>77.835853999999998</v>
      </c>
      <c r="C3680" s="76">
        <v>78.099236000000005</v>
      </c>
      <c r="D3680" s="76">
        <v>76.943291000000002</v>
      </c>
      <c r="E3680" s="76">
        <v>77.221298000000004</v>
      </c>
      <c r="F3680" s="76">
        <v>69.934089999999998</v>
      </c>
      <c r="G3680" s="79">
        <v>2733500</v>
      </c>
    </row>
    <row r="3681" spans="1:7" x14ac:dyDescent="0.25">
      <c r="A3681" s="1" t="s">
        <v>3804</v>
      </c>
      <c r="B3681" s="76">
        <v>77.667580000000001</v>
      </c>
      <c r="C3681" s="76">
        <v>77.799270999999905</v>
      </c>
      <c r="D3681" s="76">
        <v>77.250564999999995</v>
      </c>
      <c r="E3681" s="76">
        <v>77.777321000000001</v>
      </c>
      <c r="F3681" s="76">
        <v>70.437629999999999</v>
      </c>
      <c r="G3681" s="79">
        <v>1602700</v>
      </c>
    </row>
    <row r="3682" spans="1:7" x14ac:dyDescent="0.25">
      <c r="A3682" s="1" t="s">
        <v>3805</v>
      </c>
      <c r="B3682" s="76">
        <v>77.909012000000004</v>
      </c>
      <c r="C3682" s="76">
        <v>78.143127000000007</v>
      </c>
      <c r="D3682" s="76">
        <v>77.440781000000001</v>
      </c>
      <c r="E3682" s="76">
        <v>77.865119999999905</v>
      </c>
      <c r="F3682" s="76">
        <v>70.517143000000004</v>
      </c>
      <c r="G3682" s="79">
        <v>1143000</v>
      </c>
    </row>
    <row r="3683" spans="1:7" x14ac:dyDescent="0.25">
      <c r="A3683" s="1" t="s">
        <v>3806</v>
      </c>
      <c r="B3683" s="76">
        <v>77.638320999999905</v>
      </c>
      <c r="C3683" s="76">
        <v>78.486983999999893</v>
      </c>
      <c r="D3683" s="76">
        <v>77.199355999999995</v>
      </c>
      <c r="E3683" s="76">
        <v>78.260184999999893</v>
      </c>
      <c r="F3683" s="76">
        <v>70.874938999999998</v>
      </c>
      <c r="G3683" s="79">
        <v>842100</v>
      </c>
    </row>
    <row r="3684" spans="1:7" x14ac:dyDescent="0.25">
      <c r="A3684" s="1" t="s">
        <v>3807</v>
      </c>
      <c r="B3684" s="76">
        <v>78.296768</v>
      </c>
      <c r="C3684" s="76">
        <v>78.560142999999997</v>
      </c>
      <c r="D3684" s="76">
        <v>77.960228000000001</v>
      </c>
      <c r="E3684" s="76">
        <v>78.011436000000003</v>
      </c>
      <c r="F3684" s="76">
        <v>70.649665999999996</v>
      </c>
      <c r="G3684" s="79">
        <v>969600</v>
      </c>
    </row>
    <row r="3685" spans="1:7" x14ac:dyDescent="0.25">
      <c r="A3685" s="1" t="s">
        <v>3808</v>
      </c>
      <c r="B3685" s="76">
        <v>77.916327999999993</v>
      </c>
      <c r="C3685" s="76">
        <v>78.084602000000004</v>
      </c>
      <c r="D3685" s="76">
        <v>77.038398999999998</v>
      </c>
      <c r="E3685" s="76">
        <v>77.213988999999998</v>
      </c>
      <c r="F3685" s="76">
        <v>69.927466999999993</v>
      </c>
      <c r="G3685" s="79">
        <v>853900</v>
      </c>
    </row>
    <row r="3686" spans="1:7" x14ac:dyDescent="0.25">
      <c r="A3686" s="1" t="s">
        <v>3809</v>
      </c>
      <c r="B3686" s="76">
        <v>77.623688000000001</v>
      </c>
      <c r="C3686" s="76">
        <v>77.623688000000001</v>
      </c>
      <c r="D3686" s="76">
        <v>76.643332999999998</v>
      </c>
      <c r="E3686" s="76">
        <v>76.884757999999906</v>
      </c>
      <c r="F3686" s="76">
        <v>69.629311000000001</v>
      </c>
      <c r="G3686" s="79">
        <v>800800</v>
      </c>
    </row>
    <row r="3687" spans="1:7" x14ac:dyDescent="0.25">
      <c r="A3687" s="1" t="s">
        <v>3810</v>
      </c>
      <c r="B3687" s="76">
        <v>77.016448999999994</v>
      </c>
      <c r="C3687" s="76">
        <v>77.352988999999994</v>
      </c>
      <c r="D3687" s="76">
        <v>76.709175000000002</v>
      </c>
      <c r="E3687" s="76">
        <v>76.826233000000002</v>
      </c>
      <c r="F3687" s="76">
        <v>69.576301999999998</v>
      </c>
      <c r="G3687" s="79">
        <v>744100</v>
      </c>
    </row>
    <row r="3688" spans="1:7" x14ac:dyDescent="0.25">
      <c r="A3688" s="1" t="s">
        <v>3811</v>
      </c>
      <c r="B3688" s="76">
        <v>76.906707999999995</v>
      </c>
      <c r="C3688" s="76">
        <v>77.206672999999995</v>
      </c>
      <c r="D3688" s="76">
        <v>76.811599999999999</v>
      </c>
      <c r="E3688" s="76">
        <v>77.082297999999994</v>
      </c>
      <c r="F3688" s="76">
        <v>69.808196999999893</v>
      </c>
      <c r="G3688" s="79">
        <v>741500</v>
      </c>
    </row>
    <row r="3689" spans="1:7" x14ac:dyDescent="0.25">
      <c r="A3689" s="1" t="s">
        <v>3812</v>
      </c>
      <c r="B3689" s="76">
        <v>76.921340999999998</v>
      </c>
      <c r="C3689" s="76">
        <v>77.331039000000004</v>
      </c>
      <c r="D3689" s="76">
        <v>76.767707999999999</v>
      </c>
      <c r="E3689" s="76">
        <v>77.126189999999994</v>
      </c>
      <c r="F3689" s="76">
        <v>69.847938999999997</v>
      </c>
      <c r="G3689" s="79">
        <v>698000</v>
      </c>
    </row>
    <row r="3690" spans="1:7" x14ac:dyDescent="0.25">
      <c r="A3690" s="1" t="s">
        <v>3813</v>
      </c>
      <c r="B3690" s="76">
        <v>77.367621999999997</v>
      </c>
      <c r="C3690" s="76">
        <v>77.477363999999994</v>
      </c>
      <c r="D3690" s="76">
        <v>77.031081999999998</v>
      </c>
      <c r="E3690" s="76">
        <v>77.455414000000005</v>
      </c>
      <c r="F3690" s="76">
        <v>70.146094999999903</v>
      </c>
      <c r="G3690" s="79">
        <v>930200</v>
      </c>
    </row>
    <row r="3691" spans="1:7" x14ac:dyDescent="0.25">
      <c r="A3691" s="1" t="s">
        <v>3814</v>
      </c>
      <c r="B3691" s="76">
        <v>77.550522000000001</v>
      </c>
      <c r="C3691" s="76">
        <v>78.018753000000004</v>
      </c>
      <c r="D3691" s="76">
        <v>77.345673000000005</v>
      </c>
      <c r="E3691" s="76">
        <v>78.00412</v>
      </c>
      <c r="F3691" s="76">
        <v>70.643043999999904</v>
      </c>
      <c r="G3691" s="79">
        <v>1427500</v>
      </c>
    </row>
    <row r="3692" spans="1:7" x14ac:dyDescent="0.25">
      <c r="A3692" s="1" t="s">
        <v>3815</v>
      </c>
      <c r="B3692" s="76">
        <v>78.011436000000003</v>
      </c>
      <c r="C3692" s="76">
        <v>78.582092000000003</v>
      </c>
      <c r="D3692" s="76">
        <v>77.879752999999994</v>
      </c>
      <c r="E3692" s="76">
        <v>78.355293000000003</v>
      </c>
      <c r="F3692" s="76">
        <v>70.961060000000003</v>
      </c>
      <c r="G3692" s="79">
        <v>1227000</v>
      </c>
    </row>
    <row r="3693" spans="1:7" x14ac:dyDescent="0.25">
      <c r="A3693" s="1" t="s">
        <v>3816</v>
      </c>
      <c r="B3693" s="76">
        <v>78.267501999999993</v>
      </c>
      <c r="C3693" s="76">
        <v>78.860106999999999</v>
      </c>
      <c r="D3693" s="76">
        <v>77.901694999999904</v>
      </c>
      <c r="E3693" s="76">
        <v>78.187027</v>
      </c>
      <c r="F3693" s="76">
        <v>70.808669999999907</v>
      </c>
      <c r="G3693" s="79">
        <v>1335100</v>
      </c>
    </row>
    <row r="3694" spans="1:7" x14ac:dyDescent="0.25">
      <c r="A3694" s="1" t="s">
        <v>3817</v>
      </c>
      <c r="B3694" s="76">
        <v>78.069969</v>
      </c>
      <c r="C3694" s="76">
        <v>78.955214999999995</v>
      </c>
      <c r="D3694" s="76">
        <v>77.850487000000001</v>
      </c>
      <c r="E3694" s="76">
        <v>78.852790999999996</v>
      </c>
      <c r="F3694" s="76">
        <v>71.411629000000005</v>
      </c>
      <c r="G3694" s="79">
        <v>943600</v>
      </c>
    </row>
    <row r="3695" spans="1:7" x14ac:dyDescent="0.25">
      <c r="A3695" s="1" t="s">
        <v>3818</v>
      </c>
      <c r="B3695" s="76">
        <v>78.852790999999996</v>
      </c>
      <c r="C3695" s="76">
        <v>79.086905999999999</v>
      </c>
      <c r="D3695" s="76">
        <v>78.596725000000006</v>
      </c>
      <c r="E3695" s="76">
        <v>78.845473999999996</v>
      </c>
      <c r="F3695" s="76">
        <v>71.405013999999994</v>
      </c>
      <c r="G3695" s="79">
        <v>717700</v>
      </c>
    </row>
    <row r="3696" spans="1:7" x14ac:dyDescent="0.25">
      <c r="A3696" s="1" t="s">
        <v>3819</v>
      </c>
      <c r="B3696" s="76">
        <v>78.684517</v>
      </c>
      <c r="C3696" s="76">
        <v>78.852790999999996</v>
      </c>
      <c r="D3696" s="76">
        <v>77.996803</v>
      </c>
      <c r="E3696" s="76">
        <v>78.187027</v>
      </c>
      <c r="F3696" s="76">
        <v>70.808669999999907</v>
      </c>
      <c r="G3696" s="79">
        <v>724400</v>
      </c>
    </row>
    <row r="3697" spans="1:7" x14ac:dyDescent="0.25">
      <c r="A3697" s="1" t="s">
        <v>3820</v>
      </c>
      <c r="B3697" s="76">
        <v>77.989493999999993</v>
      </c>
      <c r="C3697" s="76">
        <v>78.040702999999993</v>
      </c>
      <c r="D3697" s="76">
        <v>76.987189999999998</v>
      </c>
      <c r="E3697" s="76">
        <v>77.104240000000004</v>
      </c>
      <c r="F3697" s="76">
        <v>69.828071999999906</v>
      </c>
      <c r="G3697" s="79">
        <v>880700</v>
      </c>
    </row>
    <row r="3698" spans="1:7" x14ac:dyDescent="0.25">
      <c r="A3698" s="1" t="s">
        <v>3821</v>
      </c>
      <c r="B3698" s="76">
        <v>77.038398999999998</v>
      </c>
      <c r="C3698" s="76">
        <v>77.433471999999995</v>
      </c>
      <c r="D3698" s="76">
        <v>76.687224999999998</v>
      </c>
      <c r="E3698" s="76">
        <v>77.272514000000001</v>
      </c>
      <c r="F3698" s="76">
        <v>69.980461000000005</v>
      </c>
      <c r="G3698" s="79">
        <v>801800</v>
      </c>
    </row>
    <row r="3699" spans="1:7" x14ac:dyDescent="0.25">
      <c r="A3699" s="1" t="s">
        <v>3822</v>
      </c>
      <c r="B3699" s="76">
        <v>76.979873999999995</v>
      </c>
      <c r="C3699" s="76">
        <v>76.979873999999995</v>
      </c>
      <c r="D3699" s="76">
        <v>74.602142000000001</v>
      </c>
      <c r="E3699" s="76">
        <v>75.158164999999997</v>
      </c>
      <c r="F3699" s="76">
        <v>68.065658999999997</v>
      </c>
      <c r="G3699" s="79">
        <v>1509400</v>
      </c>
    </row>
    <row r="3700" spans="1:7" x14ac:dyDescent="0.25">
      <c r="A3700" s="1" t="s">
        <v>3823</v>
      </c>
      <c r="B3700" s="76">
        <v>75.063057000000001</v>
      </c>
      <c r="C3700" s="76">
        <v>75.604445999999996</v>
      </c>
      <c r="D3700" s="76">
        <v>74.587508999999997</v>
      </c>
      <c r="E3700" s="76">
        <v>74.894782999999904</v>
      </c>
      <c r="F3700" s="76">
        <v>67.827117999999999</v>
      </c>
      <c r="G3700" s="79">
        <v>912800</v>
      </c>
    </row>
    <row r="3701" spans="1:7" x14ac:dyDescent="0.25">
      <c r="A3701" s="1" t="s">
        <v>3824</v>
      </c>
      <c r="B3701" s="76">
        <v>74.909415999999993</v>
      </c>
      <c r="C3701" s="76">
        <v>75.831244999999996</v>
      </c>
      <c r="D3701" s="76">
        <v>74.733832999999905</v>
      </c>
      <c r="E3701" s="76">
        <v>75.582497000000004</v>
      </c>
      <c r="F3701" s="76">
        <v>68.449928</v>
      </c>
      <c r="G3701" s="79">
        <v>860100</v>
      </c>
    </row>
    <row r="3702" spans="1:7" x14ac:dyDescent="0.25">
      <c r="A3702" s="1" t="s">
        <v>3825</v>
      </c>
      <c r="B3702" s="76">
        <v>75.794662000000002</v>
      </c>
      <c r="C3702" s="76">
        <v>76.475059999999999</v>
      </c>
      <c r="D3702" s="76">
        <v>75.363014000000007</v>
      </c>
      <c r="E3702" s="76">
        <v>75.721503999999996</v>
      </c>
      <c r="F3702" s="76">
        <v>68.575828999999999</v>
      </c>
      <c r="G3702" s="79">
        <v>1058400</v>
      </c>
    </row>
    <row r="3703" spans="1:7" x14ac:dyDescent="0.25">
      <c r="A3703" s="1" t="s">
        <v>3826</v>
      </c>
      <c r="B3703" s="76">
        <v>75.992194999999995</v>
      </c>
      <c r="C3703" s="76">
        <v>76.226310999999995</v>
      </c>
      <c r="D3703" s="76">
        <v>75.077690000000004</v>
      </c>
      <c r="E3703" s="76">
        <v>75.114265000000003</v>
      </c>
      <c r="F3703" s="76">
        <v>68.025886999999997</v>
      </c>
      <c r="G3703" s="79">
        <v>1544100</v>
      </c>
    </row>
    <row r="3704" spans="1:7" x14ac:dyDescent="0.25">
      <c r="A3704" s="1" t="s">
        <v>3827</v>
      </c>
      <c r="B3704" s="76">
        <v>75.443489</v>
      </c>
      <c r="C3704" s="76">
        <v>75.692238000000003</v>
      </c>
      <c r="D3704" s="76">
        <v>74.302184999999994</v>
      </c>
      <c r="E3704" s="76">
        <v>74.748465999999993</v>
      </c>
      <c r="F3704" s="76">
        <v>67.694610999999995</v>
      </c>
      <c r="G3704" s="79">
        <v>2085600</v>
      </c>
    </row>
    <row r="3705" spans="1:7" x14ac:dyDescent="0.25">
      <c r="A3705" s="1" t="s">
        <v>3828</v>
      </c>
      <c r="B3705" s="76">
        <v>74.719200000000001</v>
      </c>
      <c r="C3705" s="76">
        <v>74.828941</v>
      </c>
      <c r="D3705" s="76">
        <v>73.994904000000005</v>
      </c>
      <c r="E3705" s="76">
        <v>74.016852999999998</v>
      </c>
      <c r="F3705" s="76">
        <v>67.032036000000005</v>
      </c>
      <c r="G3705" s="79">
        <v>1078500</v>
      </c>
    </row>
    <row r="3706" spans="1:7" x14ac:dyDescent="0.25">
      <c r="A3706" s="1" t="s">
        <v>3829</v>
      </c>
      <c r="B3706" s="76">
        <v>74.009536999999995</v>
      </c>
      <c r="C3706" s="76">
        <v>74.316817999999998</v>
      </c>
      <c r="D3706" s="76">
        <v>73.307198</v>
      </c>
      <c r="E3706" s="76">
        <v>73.387671999999995</v>
      </c>
      <c r="F3706" s="76">
        <v>66.462226999999999</v>
      </c>
      <c r="G3706" s="79">
        <v>1185800</v>
      </c>
    </row>
    <row r="3707" spans="1:7" x14ac:dyDescent="0.25">
      <c r="A3707" s="1" t="s">
        <v>3830</v>
      </c>
      <c r="B3707" s="76">
        <v>73.248665000000003</v>
      </c>
      <c r="C3707" s="76">
        <v>74.397293000000005</v>
      </c>
      <c r="D3707" s="76">
        <v>72.977974000000003</v>
      </c>
      <c r="E3707" s="76">
        <v>73.182822999999999</v>
      </c>
      <c r="F3707" s="76">
        <v>66.276694999999904</v>
      </c>
      <c r="G3707" s="79">
        <v>1251600</v>
      </c>
    </row>
    <row r="3708" spans="1:7" x14ac:dyDescent="0.25">
      <c r="A3708" s="1" t="s">
        <v>3831</v>
      </c>
      <c r="B3708" s="76">
        <v>73.168189999999996</v>
      </c>
      <c r="C3708" s="76">
        <v>73.643737999999999</v>
      </c>
      <c r="D3708" s="76">
        <v>72.802382999999907</v>
      </c>
      <c r="E3708" s="76">
        <v>72.992598999999998</v>
      </c>
      <c r="F3708" s="76">
        <v>66.104445999999996</v>
      </c>
      <c r="G3708" s="79">
        <v>1189500</v>
      </c>
    </row>
    <row r="3709" spans="1:7" x14ac:dyDescent="0.25">
      <c r="A3709" s="1" t="s">
        <v>3832</v>
      </c>
      <c r="B3709" s="76">
        <v>72.977974000000003</v>
      </c>
      <c r="C3709" s="76">
        <v>73.841269999999994</v>
      </c>
      <c r="D3709" s="76">
        <v>72.619484</v>
      </c>
      <c r="E3709" s="76">
        <v>73.716895999999906</v>
      </c>
      <c r="F3709" s="76">
        <v>66.760384000000002</v>
      </c>
      <c r="G3709" s="79">
        <v>739600</v>
      </c>
    </row>
    <row r="3710" spans="1:7" x14ac:dyDescent="0.25">
      <c r="A3710" s="1" t="s">
        <v>3833</v>
      </c>
      <c r="B3710" s="76">
        <v>73.512046999999995</v>
      </c>
      <c r="C3710" s="76">
        <v>73.570571999999999</v>
      </c>
      <c r="D3710" s="76">
        <v>72.882857999999999</v>
      </c>
      <c r="E3710" s="76">
        <v>73.490096999999906</v>
      </c>
      <c r="F3710" s="76">
        <v>66.554992999999996</v>
      </c>
      <c r="G3710" s="79">
        <v>852200</v>
      </c>
    </row>
    <row r="3711" spans="1:7" x14ac:dyDescent="0.25">
      <c r="A3711" s="1" t="s">
        <v>3834</v>
      </c>
      <c r="B3711" s="76">
        <v>73.599838000000005</v>
      </c>
      <c r="C3711" s="76">
        <v>73.855903999999995</v>
      </c>
      <c r="D3711" s="76">
        <v>72.948707999999996</v>
      </c>
      <c r="E3711" s="76">
        <v>73.131606999999903</v>
      </c>
      <c r="F3711" s="76">
        <v>66.230331000000007</v>
      </c>
      <c r="G3711" s="79">
        <v>976100</v>
      </c>
    </row>
    <row r="3712" spans="1:7" x14ac:dyDescent="0.25">
      <c r="A3712" s="1" t="s">
        <v>3835</v>
      </c>
      <c r="B3712" s="76">
        <v>72.999915999999999</v>
      </c>
      <c r="C3712" s="76">
        <v>73.636420999999999</v>
      </c>
      <c r="D3712" s="76">
        <v>72.612166999999999</v>
      </c>
      <c r="E3712" s="76">
        <v>72.992598999999998</v>
      </c>
      <c r="F3712" s="76">
        <v>66.104445999999996</v>
      </c>
      <c r="G3712" s="79">
        <v>1122500</v>
      </c>
    </row>
    <row r="3713" spans="1:7" x14ac:dyDescent="0.25">
      <c r="A3713" s="1" t="s">
        <v>3836</v>
      </c>
      <c r="B3713" s="76">
        <v>72.992598999999998</v>
      </c>
      <c r="C3713" s="76">
        <v>73.343772999999999</v>
      </c>
      <c r="D3713" s="76">
        <v>72.370734999999996</v>
      </c>
      <c r="E3713" s="76">
        <v>72.860916000000003</v>
      </c>
      <c r="F3713" s="76">
        <v>65.985175999999996</v>
      </c>
      <c r="G3713" s="79">
        <v>948900</v>
      </c>
    </row>
    <row r="3714" spans="1:7" x14ac:dyDescent="0.25">
      <c r="A3714" s="1" t="s">
        <v>3837</v>
      </c>
      <c r="B3714" s="76">
        <v>73.095031999999904</v>
      </c>
      <c r="C3714" s="76">
        <v>73.270615000000006</v>
      </c>
      <c r="D3714" s="76">
        <v>72.663376</v>
      </c>
      <c r="E3714" s="76">
        <v>73.029181999999906</v>
      </c>
      <c r="F3714" s="76">
        <v>66.137566000000007</v>
      </c>
      <c r="G3714" s="79">
        <v>853200</v>
      </c>
    </row>
    <row r="3715" spans="1:7" x14ac:dyDescent="0.25">
      <c r="A3715" s="1" t="s">
        <v>3838</v>
      </c>
      <c r="B3715" s="76">
        <v>73.175506999999996</v>
      </c>
      <c r="C3715" s="76">
        <v>73.533996999999999</v>
      </c>
      <c r="D3715" s="76">
        <v>72.729225</v>
      </c>
      <c r="E3715" s="76">
        <v>72.904808000000003</v>
      </c>
      <c r="F3715" s="76">
        <v>66.024924999999996</v>
      </c>
      <c r="G3715" s="79">
        <v>807800</v>
      </c>
    </row>
    <row r="3716" spans="1:7" x14ac:dyDescent="0.25">
      <c r="A3716" s="1" t="s">
        <v>3839</v>
      </c>
      <c r="B3716" s="76">
        <v>72.721908999999997</v>
      </c>
      <c r="C3716" s="76">
        <v>72.875548999999907</v>
      </c>
      <c r="D3716" s="76">
        <v>71.939087000000001</v>
      </c>
      <c r="E3716" s="76">
        <v>71.961037000000005</v>
      </c>
      <c r="F3716" s="76">
        <v>65.170226999999997</v>
      </c>
      <c r="G3716" s="79">
        <v>1369500</v>
      </c>
    </row>
    <row r="3717" spans="1:7" x14ac:dyDescent="0.25">
      <c r="A3717" s="1" t="s">
        <v>3840</v>
      </c>
      <c r="B3717" s="76">
        <v>71.953719999999905</v>
      </c>
      <c r="C3717" s="76">
        <v>73.687629999999999</v>
      </c>
      <c r="D3717" s="76">
        <v>71.895186999999893</v>
      </c>
      <c r="E3717" s="76">
        <v>73.453513999999998</v>
      </c>
      <c r="F3717" s="76">
        <v>66.521843000000004</v>
      </c>
      <c r="G3717" s="79">
        <v>1802400</v>
      </c>
    </row>
    <row r="3718" spans="1:7" x14ac:dyDescent="0.25">
      <c r="A3718" s="1" t="s">
        <v>3841</v>
      </c>
      <c r="B3718" s="76">
        <v>73.504729999999995</v>
      </c>
      <c r="C3718" s="76">
        <v>74.814307999999997</v>
      </c>
      <c r="D3718" s="76">
        <v>73.226714999999999</v>
      </c>
      <c r="E3718" s="76">
        <v>74.368026999999998</v>
      </c>
      <c r="F3718" s="76">
        <v>67.350075000000004</v>
      </c>
      <c r="G3718" s="79">
        <v>2285000</v>
      </c>
    </row>
    <row r="3719" spans="1:7" x14ac:dyDescent="0.25">
      <c r="A3719" s="1" t="s">
        <v>3842</v>
      </c>
      <c r="B3719" s="76">
        <v>74.558243000000004</v>
      </c>
      <c r="C3719" s="76">
        <v>76.116569999999996</v>
      </c>
      <c r="D3719" s="76">
        <v>74.075385999999995</v>
      </c>
      <c r="E3719" s="76">
        <v>74.997208000000001</v>
      </c>
      <c r="F3719" s="76">
        <v>67.919867999999994</v>
      </c>
      <c r="G3719" s="79">
        <v>3393500</v>
      </c>
    </row>
    <row r="3720" spans="1:7" x14ac:dyDescent="0.25">
      <c r="A3720" s="1" t="s">
        <v>3843</v>
      </c>
      <c r="B3720" s="76">
        <v>74.982581999999994</v>
      </c>
      <c r="C3720" s="76">
        <v>75.772712999999996</v>
      </c>
      <c r="D3720" s="76">
        <v>74.624092000000005</v>
      </c>
      <c r="E3720" s="76">
        <v>74.660667000000004</v>
      </c>
      <c r="F3720" s="76">
        <v>67.615088999999998</v>
      </c>
      <c r="G3720" s="79">
        <v>889200</v>
      </c>
    </row>
    <row r="3721" spans="1:7" x14ac:dyDescent="0.25">
      <c r="A3721" s="1" t="s">
        <v>3844</v>
      </c>
      <c r="B3721" s="76">
        <v>74.887466000000003</v>
      </c>
      <c r="C3721" s="76">
        <v>76.679908999999995</v>
      </c>
      <c r="D3721" s="76">
        <v>74.660667000000004</v>
      </c>
      <c r="E3721" s="76">
        <v>76.145836000000003</v>
      </c>
      <c r="F3721" s="76">
        <v>68.960105999999996</v>
      </c>
      <c r="G3721" s="79">
        <v>1016600</v>
      </c>
    </row>
    <row r="3722" spans="1:7" x14ac:dyDescent="0.25">
      <c r="A3722" s="1" t="s">
        <v>3845</v>
      </c>
      <c r="B3722" s="76">
        <v>75.897086999999999</v>
      </c>
      <c r="C3722" s="76">
        <v>76.497008999999906</v>
      </c>
      <c r="D3722" s="76">
        <v>74.924048999999997</v>
      </c>
      <c r="E3722" s="76">
        <v>75.589813000000007</v>
      </c>
      <c r="F3722" s="76">
        <v>68.456565999999995</v>
      </c>
      <c r="G3722" s="79">
        <v>2242800</v>
      </c>
    </row>
    <row r="3723" spans="1:7" x14ac:dyDescent="0.25">
      <c r="A3723" s="1" t="s">
        <v>3846</v>
      </c>
      <c r="B3723" s="76">
        <v>74.755782999999994</v>
      </c>
      <c r="C3723" s="76">
        <v>76.211685000000003</v>
      </c>
      <c r="D3723" s="76">
        <v>74.704566999999997</v>
      </c>
      <c r="E3723" s="76">
        <v>75.919037000000003</v>
      </c>
      <c r="F3723" s="76">
        <v>68.754715000000004</v>
      </c>
      <c r="G3723" s="79">
        <v>1097700</v>
      </c>
    </row>
    <row r="3724" spans="1:7" x14ac:dyDescent="0.25">
      <c r="A3724" s="1" t="s">
        <v>3847</v>
      </c>
      <c r="B3724" s="76">
        <v>76.555533999999994</v>
      </c>
      <c r="C3724" s="76">
        <v>76.775017000000005</v>
      </c>
      <c r="D3724" s="76">
        <v>75.670287999999999</v>
      </c>
      <c r="E3724" s="76">
        <v>76.577483999999998</v>
      </c>
      <c r="F3724" s="76">
        <v>69.351027999999999</v>
      </c>
      <c r="G3724" s="79">
        <v>1385200</v>
      </c>
    </row>
    <row r="3725" spans="1:7" x14ac:dyDescent="0.25">
      <c r="A3725" s="1" t="s">
        <v>3848</v>
      </c>
      <c r="B3725" s="76">
        <v>76.350684999999999</v>
      </c>
      <c r="C3725" s="76">
        <v>77.550522000000001</v>
      </c>
      <c r="D3725" s="76">
        <v>76.218993999999995</v>
      </c>
      <c r="E3725" s="76">
        <v>77.535895999999994</v>
      </c>
      <c r="F3725" s="76">
        <v>70.219002000000003</v>
      </c>
      <c r="G3725" s="79">
        <v>913000</v>
      </c>
    </row>
    <row r="3726" spans="1:7" x14ac:dyDescent="0.25">
      <c r="A3726" s="1" t="s">
        <v>3849</v>
      </c>
      <c r="B3726" s="76">
        <v>77.828536999999997</v>
      </c>
      <c r="C3726" s="76">
        <v>78.311401000000004</v>
      </c>
      <c r="D3726" s="76">
        <v>77.199355999999995</v>
      </c>
      <c r="E3726" s="76">
        <v>78.282134999999997</v>
      </c>
      <c r="F3726" s="76">
        <v>70.894813999999997</v>
      </c>
      <c r="G3726" s="79">
        <v>886900</v>
      </c>
    </row>
    <row r="3727" spans="1:7" x14ac:dyDescent="0.25">
      <c r="A3727" s="1" t="s">
        <v>3850</v>
      </c>
      <c r="B3727" s="76">
        <v>78.311401000000004</v>
      </c>
      <c r="C3727" s="76">
        <v>78.640625</v>
      </c>
      <c r="D3727" s="76">
        <v>77.952911</v>
      </c>
      <c r="E3727" s="76">
        <v>78.238235000000003</v>
      </c>
      <c r="F3727" s="76">
        <v>70.855063999999999</v>
      </c>
      <c r="G3727" s="79">
        <v>1160300</v>
      </c>
    </row>
    <row r="3728" spans="1:7" x14ac:dyDescent="0.25">
      <c r="A3728" s="1" t="s">
        <v>3851</v>
      </c>
      <c r="B3728" s="76">
        <v>78.640625</v>
      </c>
      <c r="C3728" s="76">
        <v>79.006423999999996</v>
      </c>
      <c r="D3728" s="76">
        <v>77.784637000000004</v>
      </c>
      <c r="E3728" s="76">
        <v>78.691833000000003</v>
      </c>
      <c r="F3728" s="76">
        <v>71.265854000000004</v>
      </c>
      <c r="G3728" s="79">
        <v>1459900</v>
      </c>
    </row>
    <row r="3729" spans="1:7" x14ac:dyDescent="0.25">
      <c r="A3729" s="1" t="s">
        <v>3852</v>
      </c>
      <c r="B3729" s="76">
        <v>78.801575</v>
      </c>
      <c r="C3729" s="76">
        <v>79.057640000000006</v>
      </c>
      <c r="D3729" s="76">
        <v>77.916327999999993</v>
      </c>
      <c r="E3729" s="76">
        <v>78.589409000000003</v>
      </c>
      <c r="F3729" s="76">
        <v>71.173079999999999</v>
      </c>
      <c r="G3729" s="79">
        <v>782400</v>
      </c>
    </row>
    <row r="3730" spans="1:7" x14ac:dyDescent="0.25">
      <c r="A3730" s="1" t="s">
        <v>3853</v>
      </c>
      <c r="B3730" s="76">
        <v>78.618674999999996</v>
      </c>
      <c r="C3730" s="76">
        <v>79.138114999999999</v>
      </c>
      <c r="D3730" s="76">
        <v>78.267501999999993</v>
      </c>
      <c r="E3730" s="76">
        <v>79.079589999999996</v>
      </c>
      <c r="F3730" s="76">
        <v>71.617012000000003</v>
      </c>
      <c r="G3730" s="79">
        <v>901900</v>
      </c>
    </row>
    <row r="3731" spans="1:7" x14ac:dyDescent="0.25">
      <c r="A3731" s="1" t="s">
        <v>3854</v>
      </c>
      <c r="B3731" s="76">
        <v>79.321021999999999</v>
      </c>
      <c r="C3731" s="76">
        <v>79.321021999999999</v>
      </c>
      <c r="D3731" s="76">
        <v>78.406509</v>
      </c>
      <c r="E3731" s="76">
        <v>78.794257999999999</v>
      </c>
      <c r="F3731" s="76">
        <v>71.358620000000002</v>
      </c>
      <c r="G3731" s="79">
        <v>1010500</v>
      </c>
    </row>
    <row r="3732" spans="1:7" x14ac:dyDescent="0.25">
      <c r="A3732" s="1" t="s">
        <v>3855</v>
      </c>
      <c r="B3732" s="76">
        <v>78.647942</v>
      </c>
      <c r="C3732" s="76">
        <v>78.977164999999999</v>
      </c>
      <c r="D3732" s="76">
        <v>77.652953999999994</v>
      </c>
      <c r="E3732" s="76">
        <v>78.099236000000005</v>
      </c>
      <c r="F3732" s="76">
        <v>70.729171999999906</v>
      </c>
      <c r="G3732" s="79">
        <v>1494400</v>
      </c>
    </row>
    <row r="3733" spans="1:7" x14ac:dyDescent="0.25">
      <c r="A3733" s="1" t="s">
        <v>3856</v>
      </c>
      <c r="B3733" s="76">
        <v>77.894379000000001</v>
      </c>
      <c r="C3733" s="76">
        <v>78.772307999999995</v>
      </c>
      <c r="D3733" s="76">
        <v>68.105452999999997</v>
      </c>
      <c r="E3733" s="76">
        <v>78.721100000000007</v>
      </c>
      <c r="F3733" s="76">
        <v>71.292335999999906</v>
      </c>
      <c r="G3733" s="79">
        <v>1533400</v>
      </c>
    </row>
    <row r="3734" spans="1:7" x14ac:dyDescent="0.25">
      <c r="A3734" s="1" t="s">
        <v>3857</v>
      </c>
      <c r="B3734" s="76">
        <v>79.357596999999998</v>
      </c>
      <c r="C3734" s="76">
        <v>80.213584999999995</v>
      </c>
      <c r="D3734" s="76">
        <v>78.721100000000007</v>
      </c>
      <c r="E3734" s="76">
        <v>80.096526999999995</v>
      </c>
      <c r="F3734" s="76">
        <v>72.537970999999999</v>
      </c>
      <c r="G3734" s="79">
        <v>1887300</v>
      </c>
    </row>
    <row r="3735" spans="1:7" x14ac:dyDescent="0.25">
      <c r="A3735" s="1" t="s">
        <v>3858</v>
      </c>
      <c r="B3735" s="76">
        <v>79.994095000000002</v>
      </c>
      <c r="C3735" s="76">
        <v>81.215889000000004</v>
      </c>
      <c r="D3735" s="76">
        <v>79.877044999999995</v>
      </c>
      <c r="E3735" s="76">
        <v>81.076881</v>
      </c>
      <c r="F3735" s="76">
        <v>73.425826999999998</v>
      </c>
      <c r="G3735" s="79">
        <v>1612800</v>
      </c>
    </row>
    <row r="3736" spans="1:7" x14ac:dyDescent="0.25">
      <c r="A3736" s="1" t="s">
        <v>3859</v>
      </c>
      <c r="B3736" s="76">
        <v>80.711074999999994</v>
      </c>
      <c r="C3736" s="76">
        <v>81.552421999999893</v>
      </c>
      <c r="D3736" s="76">
        <v>80.294060000000002</v>
      </c>
      <c r="E3736" s="76">
        <v>81.325630000000004</v>
      </c>
      <c r="F3736" s="76">
        <v>73.651084999999995</v>
      </c>
      <c r="G3736" s="79">
        <v>1561600</v>
      </c>
    </row>
    <row r="3737" spans="1:7" x14ac:dyDescent="0.25">
      <c r="A3737" s="1" t="s">
        <v>3860</v>
      </c>
      <c r="B3737" s="76">
        <v>81.428055000000001</v>
      </c>
      <c r="C3737" s="76">
        <v>81.962128000000007</v>
      </c>
      <c r="D3737" s="76">
        <v>80.872031999999905</v>
      </c>
      <c r="E3737" s="76">
        <v>81.793853999999996</v>
      </c>
      <c r="F3737" s="76">
        <v>74.075142</v>
      </c>
      <c r="G3737" s="79">
        <v>1671400</v>
      </c>
    </row>
    <row r="3738" spans="1:7" x14ac:dyDescent="0.25">
      <c r="A3738" s="1" t="s">
        <v>3861</v>
      </c>
      <c r="B3738" s="76">
        <v>81.274413999999993</v>
      </c>
      <c r="C3738" s="76">
        <v>81.274413999999993</v>
      </c>
      <c r="D3738" s="76">
        <v>80.381850999999997</v>
      </c>
      <c r="E3738" s="76">
        <v>80.572067000000004</v>
      </c>
      <c r="F3738" s="76">
        <v>73.448211999999998</v>
      </c>
      <c r="G3738" s="79">
        <v>2039600</v>
      </c>
    </row>
    <row r="3739" spans="1:7" x14ac:dyDescent="0.25">
      <c r="A3739" s="1" t="s">
        <v>3862</v>
      </c>
      <c r="B3739" s="76">
        <v>80.608649999999997</v>
      </c>
      <c r="C3739" s="76">
        <v>80.674492000000001</v>
      </c>
      <c r="D3739" s="76">
        <v>79.708770999999999</v>
      </c>
      <c r="E3739" s="76">
        <v>79.767302999999998</v>
      </c>
      <c r="F3739" s="76">
        <v>72.714614999999995</v>
      </c>
      <c r="G3739" s="79">
        <v>1279400</v>
      </c>
    </row>
    <row r="3740" spans="1:7" x14ac:dyDescent="0.25">
      <c r="A3740" s="1" t="s">
        <v>3863</v>
      </c>
      <c r="B3740" s="76">
        <v>79.606346000000002</v>
      </c>
      <c r="C3740" s="76">
        <v>80.140418999999994</v>
      </c>
      <c r="D3740" s="76">
        <v>79.584395999999998</v>
      </c>
      <c r="E3740" s="76">
        <v>79.891669999999905</v>
      </c>
      <c r="F3740" s="76">
        <v>72.827972000000003</v>
      </c>
      <c r="G3740" s="79">
        <v>1165500</v>
      </c>
    </row>
    <row r="3741" spans="1:7" x14ac:dyDescent="0.25">
      <c r="A3741" s="1" t="s">
        <v>3864</v>
      </c>
      <c r="B3741" s="76">
        <v>80.162368999999998</v>
      </c>
      <c r="C3741" s="76">
        <v>80.272109999999998</v>
      </c>
      <c r="D3741" s="76">
        <v>79.321021999999999</v>
      </c>
      <c r="E3741" s="76">
        <v>79.460021999999995</v>
      </c>
      <c r="F3741" s="76">
        <v>72.434494000000001</v>
      </c>
      <c r="G3741" s="79">
        <v>740500</v>
      </c>
    </row>
    <row r="3742" spans="1:7" x14ac:dyDescent="0.25">
      <c r="A3742" s="1" t="s">
        <v>3865</v>
      </c>
      <c r="B3742" s="76">
        <v>79.386864000000003</v>
      </c>
      <c r="C3742" s="76">
        <v>79.467338999999996</v>
      </c>
      <c r="D3742" s="76">
        <v>78.435776000000004</v>
      </c>
      <c r="E3742" s="76">
        <v>78.662566999999996</v>
      </c>
      <c r="F3742" s="76">
        <v>71.707557999999906</v>
      </c>
      <c r="G3742" s="79">
        <v>845400</v>
      </c>
    </row>
    <row r="3743" spans="1:7" x14ac:dyDescent="0.25">
      <c r="A3743" s="1" t="s">
        <v>3866</v>
      </c>
      <c r="B3743" s="76">
        <v>78.925949000000003</v>
      </c>
      <c r="C3743" s="76">
        <v>79.445389000000006</v>
      </c>
      <c r="D3743" s="76">
        <v>78.604042000000007</v>
      </c>
      <c r="E3743" s="76">
        <v>79.123481999999996</v>
      </c>
      <c r="F3743" s="76">
        <v>72.127716000000007</v>
      </c>
      <c r="G3743" s="79">
        <v>790700</v>
      </c>
    </row>
    <row r="3744" spans="1:7" x14ac:dyDescent="0.25">
      <c r="A3744" s="1" t="s">
        <v>3867</v>
      </c>
      <c r="B3744" s="76">
        <v>79.174697999999907</v>
      </c>
      <c r="C3744" s="76">
        <v>79.738037000000006</v>
      </c>
      <c r="D3744" s="76">
        <v>78.450400999999999</v>
      </c>
      <c r="E3744" s="76">
        <v>78.706467000000004</v>
      </c>
      <c r="F3744" s="76">
        <v>71.747566000000006</v>
      </c>
      <c r="G3744" s="79">
        <v>838100</v>
      </c>
    </row>
    <row r="3745" spans="1:7" x14ac:dyDescent="0.25">
      <c r="A3745" s="1" t="s">
        <v>3868</v>
      </c>
      <c r="B3745" s="76">
        <v>78.735732999999996</v>
      </c>
      <c r="C3745" s="76">
        <v>79.357596999999998</v>
      </c>
      <c r="D3745" s="76">
        <v>78.516250999999997</v>
      </c>
      <c r="E3745" s="76">
        <v>79.050322999999906</v>
      </c>
      <c r="F3745" s="76">
        <v>72.061019999999999</v>
      </c>
      <c r="G3745" s="79">
        <v>1132000</v>
      </c>
    </row>
    <row r="3746" spans="1:7" x14ac:dyDescent="0.25">
      <c r="A3746" s="1" t="s">
        <v>3869</v>
      </c>
      <c r="B3746" s="76">
        <v>79.006423999999996</v>
      </c>
      <c r="C3746" s="76">
        <v>80.037993999999998</v>
      </c>
      <c r="D3746" s="76">
        <v>78.786941999999996</v>
      </c>
      <c r="E3746" s="76">
        <v>79.891669999999905</v>
      </c>
      <c r="F3746" s="76">
        <v>72.827972000000003</v>
      </c>
      <c r="G3746" s="79">
        <v>1025100</v>
      </c>
    </row>
    <row r="3747" spans="1:7" x14ac:dyDescent="0.25">
      <c r="A3747" s="1" t="s">
        <v>3870</v>
      </c>
      <c r="B3747" s="76">
        <v>79.642928999999995</v>
      </c>
      <c r="C3747" s="76">
        <v>80.389167999999998</v>
      </c>
      <c r="D3747" s="76">
        <v>79.306388999999996</v>
      </c>
      <c r="E3747" s="76">
        <v>79.730721000000003</v>
      </c>
      <c r="F3747" s="76">
        <v>72.681267000000005</v>
      </c>
      <c r="G3747" s="79">
        <v>1316300</v>
      </c>
    </row>
    <row r="3748" spans="1:7" x14ac:dyDescent="0.25">
      <c r="A3748" s="1" t="s">
        <v>3871</v>
      </c>
      <c r="B3748" s="76">
        <v>79.664870999999906</v>
      </c>
      <c r="C3748" s="76">
        <v>79.957520000000002</v>
      </c>
      <c r="D3748" s="76">
        <v>79.335647999999907</v>
      </c>
      <c r="E3748" s="76">
        <v>79.803878999999995</v>
      </c>
      <c r="F3748" s="76">
        <v>72.747947999999994</v>
      </c>
      <c r="G3748" s="79">
        <v>1435400</v>
      </c>
    </row>
    <row r="3749" spans="1:7" x14ac:dyDescent="0.25">
      <c r="A3749" s="1" t="s">
        <v>3872</v>
      </c>
      <c r="B3749" s="76">
        <v>80.279426999999998</v>
      </c>
      <c r="C3749" s="76">
        <v>80.967140000000001</v>
      </c>
      <c r="D3749" s="76">
        <v>79.716087000000002</v>
      </c>
      <c r="E3749" s="76">
        <v>80.915924000000004</v>
      </c>
      <c r="F3749" s="76">
        <v>73.761664999999994</v>
      </c>
      <c r="G3749" s="79">
        <v>1713200</v>
      </c>
    </row>
    <row r="3750" spans="1:7" x14ac:dyDescent="0.25">
      <c r="A3750" s="1" t="s">
        <v>3873</v>
      </c>
      <c r="B3750" s="76">
        <v>81.208572000000004</v>
      </c>
      <c r="C3750" s="76">
        <v>81.493895999999907</v>
      </c>
      <c r="D3750" s="76">
        <v>80.762291000000005</v>
      </c>
      <c r="E3750" s="76">
        <v>81.120773</v>
      </c>
      <c r="F3750" s="76">
        <v>73.948409999999996</v>
      </c>
      <c r="G3750" s="79">
        <v>1342100</v>
      </c>
    </row>
    <row r="3751" spans="1:7" x14ac:dyDescent="0.25">
      <c r="A3751" s="1" t="s">
        <v>3874</v>
      </c>
      <c r="B3751" s="76">
        <v>81.252464000000003</v>
      </c>
      <c r="C3751" s="76">
        <v>81.384155000000007</v>
      </c>
      <c r="D3751" s="76">
        <v>80.886657999999997</v>
      </c>
      <c r="E3751" s="76">
        <v>81.018349000000001</v>
      </c>
      <c r="F3751" s="76">
        <v>73.855048999999994</v>
      </c>
      <c r="G3751" s="79">
        <v>1588800</v>
      </c>
    </row>
    <row r="3752" spans="1:7" x14ac:dyDescent="0.25">
      <c r="A3752" s="1" t="s">
        <v>3875</v>
      </c>
      <c r="B3752" s="76">
        <v>81.113456999999997</v>
      </c>
      <c r="C3752" s="76">
        <v>81.523162999999997</v>
      </c>
      <c r="D3752" s="76">
        <v>80.879349000000005</v>
      </c>
      <c r="E3752" s="76">
        <v>81.245148</v>
      </c>
      <c r="F3752" s="76">
        <v>74.061797999999996</v>
      </c>
      <c r="G3752" s="79">
        <v>896500</v>
      </c>
    </row>
    <row r="3753" spans="1:7" x14ac:dyDescent="0.25">
      <c r="A3753" s="1" t="s">
        <v>3876</v>
      </c>
      <c r="B3753" s="76">
        <v>81.113456999999997</v>
      </c>
      <c r="C3753" s="76">
        <v>82.305983999999995</v>
      </c>
      <c r="D3753" s="76">
        <v>81.113456999999997</v>
      </c>
      <c r="E3753" s="76">
        <v>81.618270999999993</v>
      </c>
      <c r="F3753" s="76">
        <v>74.401916999999997</v>
      </c>
      <c r="G3753" s="79">
        <v>696800</v>
      </c>
    </row>
    <row r="3754" spans="1:7" x14ac:dyDescent="0.25">
      <c r="A3754" s="1" t="s">
        <v>3877</v>
      </c>
      <c r="B3754" s="76">
        <v>81.471947</v>
      </c>
      <c r="C3754" s="76">
        <v>82.488883999999999</v>
      </c>
      <c r="D3754" s="76">
        <v>81.142723000000004</v>
      </c>
      <c r="E3754" s="76">
        <v>82.020652999999996</v>
      </c>
      <c r="F3754" s="76">
        <v>74.768730000000005</v>
      </c>
      <c r="G3754" s="79">
        <v>1366600</v>
      </c>
    </row>
    <row r="3755" spans="1:7" x14ac:dyDescent="0.25">
      <c r="A3755" s="1" t="s">
        <v>3878</v>
      </c>
      <c r="B3755" s="76">
        <v>81.991394</v>
      </c>
      <c r="C3755" s="76">
        <v>82.540099999999995</v>
      </c>
      <c r="D3755" s="76">
        <v>81.486580000000004</v>
      </c>
      <c r="E3755" s="76">
        <v>82.525467000000006</v>
      </c>
      <c r="F3755" s="76">
        <v>75.228904999999997</v>
      </c>
      <c r="G3755" s="79">
        <v>1099900</v>
      </c>
    </row>
    <row r="3756" spans="1:7" x14ac:dyDescent="0.25">
      <c r="A3756" s="1" t="s">
        <v>3879</v>
      </c>
      <c r="B3756" s="76">
        <v>82.379142999999999</v>
      </c>
      <c r="C3756" s="76">
        <v>82.459618000000006</v>
      </c>
      <c r="D3756" s="76">
        <v>81.530479</v>
      </c>
      <c r="E3756" s="76">
        <v>82.064552000000006</v>
      </c>
      <c r="F3756" s="76">
        <v>74.808745999999999</v>
      </c>
      <c r="G3756" s="79">
        <v>1130700</v>
      </c>
    </row>
    <row r="3757" spans="1:7" x14ac:dyDescent="0.25">
      <c r="A3757" s="1" t="s">
        <v>3880</v>
      </c>
      <c r="B3757" s="76">
        <v>81.984076999999999</v>
      </c>
      <c r="C3757" s="76">
        <v>82.766898999999995</v>
      </c>
      <c r="D3757" s="76">
        <v>81.706062000000003</v>
      </c>
      <c r="E3757" s="76">
        <v>82.562042000000005</v>
      </c>
      <c r="F3757" s="76">
        <v>75.262259999999998</v>
      </c>
      <c r="G3757" s="79">
        <v>976100</v>
      </c>
    </row>
    <row r="3758" spans="1:7" x14ac:dyDescent="0.25">
      <c r="A3758" s="1" t="s">
        <v>3881</v>
      </c>
      <c r="B3758" s="76">
        <v>82.262084999999999</v>
      </c>
      <c r="C3758" s="76">
        <v>82.664467000000002</v>
      </c>
      <c r="D3758" s="76">
        <v>81.713379000000003</v>
      </c>
      <c r="E3758" s="76">
        <v>82.562042000000005</v>
      </c>
      <c r="F3758" s="76">
        <v>75.262259999999998</v>
      </c>
      <c r="G3758" s="79">
        <v>971700</v>
      </c>
    </row>
    <row r="3759" spans="1:7" x14ac:dyDescent="0.25">
      <c r="A3759" s="1" t="s">
        <v>3882</v>
      </c>
      <c r="B3759" s="76">
        <v>82.759582999999907</v>
      </c>
      <c r="C3759" s="76">
        <v>83.447288999999998</v>
      </c>
      <c r="D3759" s="76">
        <v>82.547416999999996</v>
      </c>
      <c r="E3759" s="76">
        <v>82.810790999999995</v>
      </c>
      <c r="F3759" s="76">
        <v>75.489013999999997</v>
      </c>
      <c r="G3759" s="79">
        <v>832700</v>
      </c>
    </row>
    <row r="3760" spans="1:7" x14ac:dyDescent="0.25">
      <c r="A3760" s="1" t="s">
        <v>3883</v>
      </c>
      <c r="B3760" s="76">
        <v>82.123076999999995</v>
      </c>
      <c r="C3760" s="76">
        <v>84.069159999999997</v>
      </c>
      <c r="D3760" s="76">
        <v>82.042603</v>
      </c>
      <c r="E3760" s="76">
        <v>83.578979000000004</v>
      </c>
      <c r="F3760" s="76">
        <v>76.189269999999993</v>
      </c>
      <c r="G3760" s="79">
        <v>1308900</v>
      </c>
    </row>
    <row r="3761" spans="1:7" x14ac:dyDescent="0.25">
      <c r="A3761" s="1" t="s">
        <v>3884</v>
      </c>
      <c r="B3761" s="76">
        <v>83.520454000000001</v>
      </c>
      <c r="C3761" s="76">
        <v>83.791145</v>
      </c>
      <c r="D3761" s="76">
        <v>82.971748000000005</v>
      </c>
      <c r="E3761" s="76">
        <v>83.315605000000005</v>
      </c>
      <c r="F3761" s="76">
        <v>75.949196000000001</v>
      </c>
      <c r="G3761" s="79">
        <v>945900</v>
      </c>
    </row>
    <row r="3762" spans="1:7" x14ac:dyDescent="0.25">
      <c r="A3762" s="1" t="s">
        <v>3885</v>
      </c>
      <c r="B3762" s="76">
        <v>83.637512000000001</v>
      </c>
      <c r="C3762" s="76">
        <v>84.025261</v>
      </c>
      <c r="D3762" s="76">
        <v>83.103438999999995</v>
      </c>
      <c r="E3762" s="76">
        <v>83.227806000000001</v>
      </c>
      <c r="F3762" s="76">
        <v>75.869156000000004</v>
      </c>
      <c r="G3762" s="79">
        <v>932600</v>
      </c>
    </row>
    <row r="3763" spans="1:7" x14ac:dyDescent="0.25">
      <c r="A3763" s="1" t="s">
        <v>3886</v>
      </c>
      <c r="B3763" s="76">
        <v>83.001007000000001</v>
      </c>
      <c r="C3763" s="76">
        <v>83.783828999999997</v>
      </c>
      <c r="D3763" s="76">
        <v>82.766898999999995</v>
      </c>
      <c r="E3763" s="76">
        <v>82.847374000000002</v>
      </c>
      <c r="F3763" s="76">
        <v>75.522368999999998</v>
      </c>
      <c r="G3763" s="79">
        <v>1079200</v>
      </c>
    </row>
    <row r="3764" spans="1:7" x14ac:dyDescent="0.25">
      <c r="A3764" s="1" t="s">
        <v>3887</v>
      </c>
      <c r="B3764" s="76">
        <v>83.125381000000004</v>
      </c>
      <c r="C3764" s="76">
        <v>83.271705999999995</v>
      </c>
      <c r="D3764" s="76">
        <v>81.552421999999893</v>
      </c>
      <c r="E3764" s="76">
        <v>82.101134999999999</v>
      </c>
      <c r="F3764" s="76">
        <v>74.842109999999906</v>
      </c>
      <c r="G3764" s="79">
        <v>1141400</v>
      </c>
    </row>
    <row r="3765" spans="1:7" x14ac:dyDescent="0.25">
      <c r="A3765" s="1" t="s">
        <v>3888</v>
      </c>
      <c r="B3765" s="76">
        <v>82.057236000000003</v>
      </c>
      <c r="C3765" s="76">
        <v>82.715682999999999</v>
      </c>
      <c r="D3765" s="76">
        <v>81.501213000000007</v>
      </c>
      <c r="E3765" s="76">
        <v>81.793853999999996</v>
      </c>
      <c r="F3765" s="76">
        <v>74.561981000000003</v>
      </c>
      <c r="G3765" s="79">
        <v>1386600</v>
      </c>
    </row>
    <row r="3766" spans="1:7" x14ac:dyDescent="0.25">
      <c r="A3766" s="1" t="s">
        <v>3889</v>
      </c>
      <c r="B3766" s="76">
        <v>81.654854</v>
      </c>
      <c r="C3766" s="76">
        <v>83.900886999999997</v>
      </c>
      <c r="D3766" s="76">
        <v>81.654854</v>
      </c>
      <c r="E3766" s="76">
        <v>83.761887000000002</v>
      </c>
      <c r="F3766" s="76">
        <v>76.356003000000001</v>
      </c>
      <c r="G3766" s="79">
        <v>1192800</v>
      </c>
    </row>
    <row r="3767" spans="1:7" x14ac:dyDescent="0.25">
      <c r="A3767" s="1" t="s">
        <v>3890</v>
      </c>
      <c r="B3767" s="76">
        <v>84.156952000000004</v>
      </c>
      <c r="C3767" s="76">
        <v>85.327529999999996</v>
      </c>
      <c r="D3767" s="76">
        <v>83.805779000000001</v>
      </c>
      <c r="E3767" s="76">
        <v>85.298264000000003</v>
      </c>
      <c r="F3767" s="76">
        <v>77.756561000000005</v>
      </c>
      <c r="G3767" s="79">
        <v>1159100</v>
      </c>
    </row>
    <row r="3768" spans="1:7" x14ac:dyDescent="0.25">
      <c r="A3768" s="1" t="s">
        <v>3891</v>
      </c>
      <c r="B3768" s="76">
        <v>85.825019999999995</v>
      </c>
      <c r="C3768" s="76">
        <v>85.868918999999906</v>
      </c>
      <c r="D3768" s="76">
        <v>84.566649999999996</v>
      </c>
      <c r="E3768" s="76">
        <v>84.837349000000003</v>
      </c>
      <c r="F3768" s="76">
        <v>77.336380000000005</v>
      </c>
      <c r="G3768" s="79">
        <v>2109700</v>
      </c>
    </row>
    <row r="3769" spans="1:7" x14ac:dyDescent="0.25">
      <c r="A3769" s="1" t="s">
        <v>3892</v>
      </c>
      <c r="B3769" s="76">
        <v>85.144622999999996</v>
      </c>
      <c r="C3769" s="76">
        <v>86.359093000000001</v>
      </c>
      <c r="D3769" s="76">
        <v>84.939774</v>
      </c>
      <c r="E3769" s="76">
        <v>86.285933999999997</v>
      </c>
      <c r="F3769" s="76">
        <v>78.656891000000002</v>
      </c>
      <c r="G3769" s="79">
        <v>1007700</v>
      </c>
    </row>
    <row r="3770" spans="1:7" x14ac:dyDescent="0.25">
      <c r="A3770" s="1" t="s">
        <v>3893</v>
      </c>
      <c r="B3770" s="76">
        <v>86.622474999999994</v>
      </c>
      <c r="C3770" s="76">
        <v>86.856589999999997</v>
      </c>
      <c r="D3770" s="76">
        <v>85.942077999999995</v>
      </c>
      <c r="E3770" s="76">
        <v>86.659058000000002</v>
      </c>
      <c r="F3770" s="76">
        <v>78.997017</v>
      </c>
      <c r="G3770" s="79">
        <v>916400</v>
      </c>
    </row>
    <row r="3771" spans="1:7" x14ac:dyDescent="0.25">
      <c r="A3771" s="1" t="s">
        <v>3894</v>
      </c>
      <c r="B3771" s="76">
        <v>86.893165999999994</v>
      </c>
      <c r="C3771" s="76">
        <v>87.090705999999997</v>
      </c>
      <c r="D3771" s="76">
        <v>85.993293999999906</v>
      </c>
      <c r="E3771" s="76">
        <v>85.993293999999906</v>
      </c>
      <c r="F3771" s="76">
        <v>78.390136999999996</v>
      </c>
      <c r="G3771" s="79">
        <v>635800</v>
      </c>
    </row>
    <row r="3772" spans="1:7" x14ac:dyDescent="0.25">
      <c r="A3772" s="1" t="s">
        <v>3895</v>
      </c>
      <c r="B3772" s="76">
        <v>86.044501999999994</v>
      </c>
      <c r="C3772" s="76">
        <v>86.878540000000001</v>
      </c>
      <c r="D3772" s="76">
        <v>85.832335999999998</v>
      </c>
      <c r="E3772" s="76">
        <v>86.542000000000002</v>
      </c>
      <c r="F3772" s="76">
        <v>78.890304999999998</v>
      </c>
      <c r="G3772" s="79">
        <v>745000</v>
      </c>
    </row>
    <row r="3773" spans="1:7" x14ac:dyDescent="0.25">
      <c r="A3773" s="1" t="s">
        <v>3896</v>
      </c>
      <c r="B3773" s="76">
        <v>86.498099999999994</v>
      </c>
      <c r="C3773" s="76">
        <v>87.258972</v>
      </c>
      <c r="D3773" s="76">
        <v>86.366408999999905</v>
      </c>
      <c r="E3773" s="76">
        <v>87.134597999999997</v>
      </c>
      <c r="F3773" s="76">
        <v>79.430510999999996</v>
      </c>
      <c r="G3773" s="79">
        <v>957100</v>
      </c>
    </row>
    <row r="3774" spans="1:7" x14ac:dyDescent="0.25">
      <c r="A3774" s="1" t="s">
        <v>3897</v>
      </c>
      <c r="B3774" s="76">
        <v>87.083388999999997</v>
      </c>
      <c r="C3774" s="76">
        <v>87.778412000000003</v>
      </c>
      <c r="D3774" s="76">
        <v>86.673682999999997</v>
      </c>
      <c r="E3774" s="76">
        <v>87.258972</v>
      </c>
      <c r="F3774" s="76">
        <v>79.543899999999994</v>
      </c>
      <c r="G3774" s="79">
        <v>846000</v>
      </c>
    </row>
    <row r="3775" spans="1:7" x14ac:dyDescent="0.25">
      <c r="A3775" s="1" t="s">
        <v>3898</v>
      </c>
      <c r="B3775" s="76">
        <v>87.288291999999998</v>
      </c>
      <c r="C3775" s="76">
        <v>87.961371999999997</v>
      </c>
      <c r="D3775" s="76">
        <v>85.964080999999993</v>
      </c>
      <c r="E3775" s="76">
        <v>86.117714000000007</v>
      </c>
      <c r="F3775" s="76">
        <v>78.503540000000001</v>
      </c>
      <c r="G3775" s="79">
        <v>963000</v>
      </c>
    </row>
    <row r="3776" spans="1:7" x14ac:dyDescent="0.25">
      <c r="A3776" s="1" t="s">
        <v>3899</v>
      </c>
      <c r="B3776" s="76">
        <v>86.593261999999996</v>
      </c>
      <c r="C3776" s="76">
        <v>87.419983000000002</v>
      </c>
      <c r="D3776" s="76">
        <v>86.110396999999907</v>
      </c>
      <c r="E3776" s="76">
        <v>87.332183999999998</v>
      </c>
      <c r="F3776" s="76">
        <v>79.610641000000001</v>
      </c>
      <c r="G3776" s="79">
        <v>586000</v>
      </c>
    </row>
    <row r="3777" spans="1:7" x14ac:dyDescent="0.25">
      <c r="A3777" s="1" t="s">
        <v>3900</v>
      </c>
      <c r="B3777" s="76">
        <v>86.878585999999999</v>
      </c>
      <c r="C3777" s="76">
        <v>87.866264000000001</v>
      </c>
      <c r="D3777" s="76">
        <v>86.783478000000002</v>
      </c>
      <c r="E3777" s="76">
        <v>87.551665999999997</v>
      </c>
      <c r="F3777" s="76">
        <v>79.810715000000002</v>
      </c>
      <c r="G3777" s="79">
        <v>729500</v>
      </c>
    </row>
    <row r="3778" spans="1:7" x14ac:dyDescent="0.25">
      <c r="A3778" s="1" t="s">
        <v>3901</v>
      </c>
      <c r="B3778" s="76">
        <v>87.683357000000001</v>
      </c>
      <c r="C3778" s="76">
        <v>88.634452999999993</v>
      </c>
      <c r="D3778" s="76">
        <v>87.573616000000001</v>
      </c>
      <c r="E3778" s="76">
        <v>88.261330000000001</v>
      </c>
      <c r="F3778" s="76">
        <v>80.457633999999999</v>
      </c>
      <c r="G3778" s="79">
        <v>1180900</v>
      </c>
    </row>
    <row r="3779" spans="1:7" x14ac:dyDescent="0.25">
      <c r="A3779" s="1" t="s">
        <v>3902</v>
      </c>
      <c r="B3779" s="76">
        <v>88.868567999999996</v>
      </c>
      <c r="C3779" s="76">
        <v>90.236678999999995</v>
      </c>
      <c r="D3779" s="76">
        <v>88.049164000000005</v>
      </c>
      <c r="E3779" s="76">
        <v>90.126937999999996</v>
      </c>
      <c r="F3779" s="76">
        <v>82.158302000000006</v>
      </c>
      <c r="G3779" s="79">
        <v>928300</v>
      </c>
    </row>
    <row r="3780" spans="1:7" x14ac:dyDescent="0.25">
      <c r="A3780" s="1" t="s">
        <v>3903</v>
      </c>
      <c r="B3780" s="76">
        <v>90.324471000000003</v>
      </c>
      <c r="C3780" s="76">
        <v>90.843909999999994</v>
      </c>
      <c r="D3780" s="76">
        <v>89.658706999999893</v>
      </c>
      <c r="E3780" s="76">
        <v>90.434212000000002</v>
      </c>
      <c r="F3780" s="76">
        <v>82.438393000000005</v>
      </c>
      <c r="G3780" s="79">
        <v>642300</v>
      </c>
    </row>
    <row r="3781" spans="1:7" x14ac:dyDescent="0.25">
      <c r="A3781" s="1" t="s">
        <v>3904</v>
      </c>
      <c r="B3781" s="76">
        <v>90.434212000000002</v>
      </c>
      <c r="C3781" s="76">
        <v>91.078025999999994</v>
      </c>
      <c r="D3781" s="76">
        <v>89.900138999999996</v>
      </c>
      <c r="E3781" s="76">
        <v>90.426895000000002</v>
      </c>
      <c r="F3781" s="76">
        <v>82.431717000000006</v>
      </c>
      <c r="G3781" s="79">
        <v>655800</v>
      </c>
    </row>
    <row r="3782" spans="1:7" x14ac:dyDescent="0.25">
      <c r="A3782" s="1" t="s">
        <v>3905</v>
      </c>
      <c r="B3782" s="76">
        <v>90.565903000000006</v>
      </c>
      <c r="C3782" s="76">
        <v>91.224350000000001</v>
      </c>
      <c r="D3782" s="76">
        <v>90.514686999999995</v>
      </c>
      <c r="E3782" s="76">
        <v>91.019501000000005</v>
      </c>
      <c r="F3782" s="76">
        <v>82.971947</v>
      </c>
      <c r="G3782" s="79">
        <v>615300</v>
      </c>
    </row>
    <row r="3783" spans="1:7" x14ac:dyDescent="0.25">
      <c r="A3783" s="1" t="s">
        <v>3906</v>
      </c>
      <c r="B3783" s="76">
        <v>91.392616000000004</v>
      </c>
      <c r="C3783" s="76">
        <v>91.853531000000004</v>
      </c>
      <c r="D3783" s="76">
        <v>90.317154000000002</v>
      </c>
      <c r="E3783" s="76">
        <v>90.829277000000005</v>
      </c>
      <c r="F3783" s="76">
        <v>82.798537999999994</v>
      </c>
      <c r="G3783" s="79">
        <v>700300</v>
      </c>
    </row>
    <row r="3784" spans="1:7" x14ac:dyDescent="0.25">
      <c r="A3784" s="1" t="s">
        <v>3907</v>
      </c>
      <c r="B3784" s="76">
        <v>90.478104000000002</v>
      </c>
      <c r="C3784" s="76">
        <v>91.399932999999905</v>
      </c>
      <c r="D3784" s="76">
        <v>90.002562999999995</v>
      </c>
      <c r="E3784" s="76">
        <v>91.217033000000001</v>
      </c>
      <c r="F3784" s="76">
        <v>83.152000000000001</v>
      </c>
      <c r="G3784" s="79">
        <v>921300</v>
      </c>
    </row>
    <row r="3785" spans="1:7" x14ac:dyDescent="0.25">
      <c r="A3785" s="1" t="s">
        <v>3908</v>
      </c>
      <c r="B3785" s="76">
        <v>91.553573999999998</v>
      </c>
      <c r="C3785" s="76">
        <v>92.636353</v>
      </c>
      <c r="D3785" s="76">
        <v>91.136558999999906</v>
      </c>
      <c r="E3785" s="76">
        <v>92.182755</v>
      </c>
      <c r="F3785" s="76">
        <v>84.032341000000002</v>
      </c>
      <c r="G3785" s="79">
        <v>1467700</v>
      </c>
    </row>
    <row r="3786" spans="1:7" x14ac:dyDescent="0.25">
      <c r="A3786" s="1" t="s">
        <v>3909</v>
      </c>
      <c r="B3786" s="76">
        <v>93.330635000000001</v>
      </c>
      <c r="C3786" s="76">
        <v>93.556991999999994</v>
      </c>
      <c r="D3786" s="76">
        <v>91.188361999999998</v>
      </c>
      <c r="E3786" s="76">
        <v>92.376716999999999</v>
      </c>
      <c r="F3786" s="76">
        <v>84.209166999999994</v>
      </c>
      <c r="G3786" s="79">
        <v>1430800</v>
      </c>
    </row>
    <row r="3787" spans="1:7" x14ac:dyDescent="0.25">
      <c r="A3787" s="1" t="s">
        <v>3910</v>
      </c>
      <c r="B3787" s="76">
        <v>92.86985</v>
      </c>
      <c r="C3787" s="76">
        <v>93.371055999999996</v>
      </c>
      <c r="D3787" s="76">
        <v>91.180274999999995</v>
      </c>
      <c r="E3787" s="76">
        <v>91.624900999999994</v>
      </c>
      <c r="F3787" s="76">
        <v>83.523810999999995</v>
      </c>
      <c r="G3787" s="79">
        <v>1102400</v>
      </c>
    </row>
    <row r="3788" spans="1:7" x14ac:dyDescent="0.25">
      <c r="A3788" s="1" t="s">
        <v>3911</v>
      </c>
      <c r="B3788" s="76">
        <v>90.873076999999995</v>
      </c>
      <c r="C3788" s="76">
        <v>91.527893000000006</v>
      </c>
      <c r="D3788" s="76">
        <v>89.943413000000007</v>
      </c>
      <c r="E3788" s="76">
        <v>90.873076999999995</v>
      </c>
      <c r="F3788" s="76">
        <v>82.838454999999996</v>
      </c>
      <c r="G3788" s="79">
        <v>876000</v>
      </c>
    </row>
    <row r="3789" spans="1:7" x14ac:dyDescent="0.25">
      <c r="A3789" s="1" t="s">
        <v>3912</v>
      </c>
      <c r="B3789" s="76">
        <v>90.953918000000002</v>
      </c>
      <c r="C3789" s="76">
        <v>92.805176000000003</v>
      </c>
      <c r="D3789" s="76">
        <v>90.953918000000002</v>
      </c>
      <c r="E3789" s="76">
        <v>92.708168000000001</v>
      </c>
      <c r="F3789" s="76">
        <v>84.511306999999903</v>
      </c>
      <c r="G3789" s="79">
        <v>821000</v>
      </c>
    </row>
    <row r="3790" spans="1:7" x14ac:dyDescent="0.25">
      <c r="A3790" s="1" t="s">
        <v>3913</v>
      </c>
      <c r="B3790" s="76">
        <v>92.845596</v>
      </c>
      <c r="C3790" s="76">
        <v>92.902183999999906</v>
      </c>
      <c r="D3790" s="76">
        <v>92.126114000000001</v>
      </c>
      <c r="E3790" s="76">
        <v>92.400970000000001</v>
      </c>
      <c r="F3790" s="76">
        <v>84.231269999999995</v>
      </c>
      <c r="G3790" s="79">
        <v>575000</v>
      </c>
    </row>
    <row r="3791" spans="1:7" x14ac:dyDescent="0.25">
      <c r="A3791" s="1" t="s">
        <v>3914</v>
      </c>
      <c r="B3791" s="76">
        <v>92.287796</v>
      </c>
      <c r="C3791" s="76">
        <v>92.772835000000001</v>
      </c>
      <c r="D3791" s="76">
        <v>91.851249999999993</v>
      </c>
      <c r="E3791" s="76">
        <v>92.764754999999994</v>
      </c>
      <c r="F3791" s="76">
        <v>84.562888999999998</v>
      </c>
      <c r="G3791" s="79">
        <v>648800</v>
      </c>
    </row>
    <row r="3792" spans="1:7" x14ac:dyDescent="0.25">
      <c r="A3792" s="1" t="s">
        <v>3915</v>
      </c>
      <c r="B3792" s="76">
        <v>92.271621999999994</v>
      </c>
      <c r="C3792" s="76">
        <v>92.886016999999995</v>
      </c>
      <c r="D3792" s="76">
        <v>91.988686000000001</v>
      </c>
      <c r="E3792" s="76">
        <v>92.376716999999999</v>
      </c>
      <c r="F3792" s="76">
        <v>84.209166999999994</v>
      </c>
      <c r="G3792" s="79">
        <v>630600</v>
      </c>
    </row>
    <row r="3793" spans="1:7" x14ac:dyDescent="0.25">
      <c r="A3793" s="1" t="s">
        <v>3916</v>
      </c>
      <c r="B3793" s="76">
        <v>92.554564999999997</v>
      </c>
      <c r="C3793" s="76">
        <v>92.958770999999999</v>
      </c>
      <c r="D3793" s="76">
        <v>91.406631000000004</v>
      </c>
      <c r="E3793" s="76">
        <v>91.414710999999997</v>
      </c>
      <c r="F3793" s="76">
        <v>83.332222000000002</v>
      </c>
      <c r="G3793" s="79">
        <v>894100</v>
      </c>
    </row>
    <row r="3794" spans="1:7" x14ac:dyDescent="0.25">
      <c r="A3794" s="1" t="s">
        <v>3917</v>
      </c>
      <c r="B3794" s="76">
        <v>90.913498000000004</v>
      </c>
      <c r="C3794" s="76">
        <v>91.220694999999907</v>
      </c>
      <c r="D3794" s="76">
        <v>90.282944000000001</v>
      </c>
      <c r="E3794" s="76">
        <v>90.978172000000001</v>
      </c>
      <c r="F3794" s="76">
        <v>83.509788999999998</v>
      </c>
      <c r="G3794" s="79">
        <v>720700</v>
      </c>
    </row>
    <row r="3795" spans="1:7" x14ac:dyDescent="0.25">
      <c r="A3795" s="1" t="s">
        <v>3918</v>
      </c>
      <c r="B3795" s="76">
        <v>90.533546000000001</v>
      </c>
      <c r="C3795" s="76">
        <v>91.139854</v>
      </c>
      <c r="D3795" s="76">
        <v>89.223929999999996</v>
      </c>
      <c r="E3795" s="76">
        <v>89.280518000000001</v>
      </c>
      <c r="F3795" s="76">
        <v>81.951484999999906</v>
      </c>
      <c r="G3795" s="79">
        <v>1279500</v>
      </c>
    </row>
    <row r="3796" spans="1:7" x14ac:dyDescent="0.25">
      <c r="A3796" s="1" t="s">
        <v>3919</v>
      </c>
      <c r="B3796" s="76">
        <v>89.329025000000001</v>
      </c>
      <c r="C3796" s="76">
        <v>89.935326000000003</v>
      </c>
      <c r="D3796" s="76">
        <v>88.011313999999999</v>
      </c>
      <c r="E3796" s="76">
        <v>89.773643000000007</v>
      </c>
      <c r="F3796" s="76">
        <v>82.404143999999903</v>
      </c>
      <c r="G3796" s="79">
        <v>995200</v>
      </c>
    </row>
    <row r="3797" spans="1:7" x14ac:dyDescent="0.25">
      <c r="A3797" s="1" t="s">
        <v>3920</v>
      </c>
      <c r="B3797" s="76">
        <v>89.555374</v>
      </c>
      <c r="C3797" s="76">
        <v>90.565887000000004</v>
      </c>
      <c r="D3797" s="76">
        <v>88.973320000000001</v>
      </c>
      <c r="E3797" s="76">
        <v>90.549720999999906</v>
      </c>
      <c r="F3797" s="76">
        <v>83.116507999999996</v>
      </c>
      <c r="G3797" s="79">
        <v>747400</v>
      </c>
    </row>
    <row r="3798" spans="1:7" x14ac:dyDescent="0.25">
      <c r="A3798" s="1" t="s">
        <v>3921</v>
      </c>
      <c r="B3798" s="76">
        <v>90.501213000000007</v>
      </c>
      <c r="C3798" s="76">
        <v>90.622474999999994</v>
      </c>
      <c r="D3798" s="76">
        <v>89.620048999999995</v>
      </c>
      <c r="E3798" s="76">
        <v>90.202102999999994</v>
      </c>
      <c r="F3798" s="76">
        <v>82.797432000000001</v>
      </c>
      <c r="G3798" s="79">
        <v>622000</v>
      </c>
    </row>
    <row r="3799" spans="1:7" x14ac:dyDescent="0.25">
      <c r="A3799" s="1" t="s">
        <v>3922</v>
      </c>
      <c r="B3799" s="76">
        <v>90.509299999999996</v>
      </c>
      <c r="C3799" s="76">
        <v>92.223122000000004</v>
      </c>
      <c r="D3799" s="76">
        <v>90.137428</v>
      </c>
      <c r="E3799" s="76">
        <v>92.134192999999996</v>
      </c>
      <c r="F3799" s="76">
        <v>84.570908000000003</v>
      </c>
      <c r="G3799" s="79">
        <v>870700</v>
      </c>
    </row>
    <row r="3800" spans="1:7" x14ac:dyDescent="0.25">
      <c r="A3800" s="1" t="s">
        <v>3923</v>
      </c>
      <c r="B3800" s="76">
        <v>91.705742000000001</v>
      </c>
      <c r="C3800" s="76">
        <v>91.738074999999995</v>
      </c>
      <c r="D3800" s="76">
        <v>90.452704999999995</v>
      </c>
      <c r="E3800" s="76">
        <v>91.059012999999993</v>
      </c>
      <c r="F3800" s="76">
        <v>83.583991999999995</v>
      </c>
      <c r="G3800" s="79">
        <v>1732100</v>
      </c>
    </row>
    <row r="3801" spans="1:7" x14ac:dyDescent="0.25">
      <c r="A3801" s="1" t="s">
        <v>3924</v>
      </c>
      <c r="B3801" s="76">
        <v>90.889251999999999</v>
      </c>
      <c r="C3801" s="76">
        <v>91.608733999999998</v>
      </c>
      <c r="D3801" s="76">
        <v>90.767989999999998</v>
      </c>
      <c r="E3801" s="76">
        <v>90.816490000000002</v>
      </c>
      <c r="F3801" s="76">
        <v>83.361381999999907</v>
      </c>
      <c r="G3801" s="79">
        <v>804300</v>
      </c>
    </row>
    <row r="3802" spans="1:7" x14ac:dyDescent="0.25">
      <c r="A3802" s="1" t="s">
        <v>3925</v>
      </c>
      <c r="B3802" s="76">
        <v>90.937752000000003</v>
      </c>
      <c r="C3802" s="76">
        <v>91.754242000000005</v>
      </c>
      <c r="D3802" s="76">
        <v>90.541634000000002</v>
      </c>
      <c r="E3802" s="76">
        <v>91.358124000000004</v>
      </c>
      <c r="F3802" s="76">
        <v>83.858551000000006</v>
      </c>
      <c r="G3802" s="79">
        <v>1163000</v>
      </c>
    </row>
    <row r="3803" spans="1:7" x14ac:dyDescent="0.25">
      <c r="A3803" s="1" t="s">
        <v>3926</v>
      </c>
      <c r="B3803" s="76">
        <v>91.827003000000005</v>
      </c>
      <c r="C3803" s="76">
        <v>92.012931999999907</v>
      </c>
      <c r="D3803" s="76">
        <v>90.404205000000005</v>
      </c>
      <c r="E3803" s="76">
        <v>91.091346999999999</v>
      </c>
      <c r="F3803" s="76">
        <v>83.613669999999999</v>
      </c>
      <c r="G3803" s="79">
        <v>544600</v>
      </c>
    </row>
    <row r="3804" spans="1:7" x14ac:dyDescent="0.25">
      <c r="A3804" s="1" t="s">
        <v>3927</v>
      </c>
      <c r="B3804" s="76">
        <v>91.188361999999998</v>
      </c>
      <c r="C3804" s="76">
        <v>92.118026999999998</v>
      </c>
      <c r="D3804" s="76">
        <v>90.670974999999999</v>
      </c>
      <c r="E3804" s="76">
        <v>91.915924000000004</v>
      </c>
      <c r="F3804" s="76">
        <v>84.370566999999994</v>
      </c>
      <c r="G3804" s="79">
        <v>522900</v>
      </c>
    </row>
    <row r="3805" spans="1:7" x14ac:dyDescent="0.25">
      <c r="A3805" s="1" t="s">
        <v>3928</v>
      </c>
      <c r="B3805" s="76">
        <v>91.818916000000002</v>
      </c>
      <c r="C3805" s="76">
        <v>92.037186000000005</v>
      </c>
      <c r="D3805" s="76">
        <v>90.856910999999997</v>
      </c>
      <c r="E3805" s="76">
        <v>91.317702999999995</v>
      </c>
      <c r="F3805" s="76">
        <v>83.821442000000005</v>
      </c>
      <c r="G3805" s="79">
        <v>556700</v>
      </c>
    </row>
    <row r="3806" spans="1:7" x14ac:dyDescent="0.25">
      <c r="A3806" s="1" t="s">
        <v>3929</v>
      </c>
      <c r="B3806" s="76">
        <v>91.236862000000002</v>
      </c>
      <c r="C3806" s="76">
        <v>92.093772999999999</v>
      </c>
      <c r="D3806" s="76">
        <v>90.881164999999996</v>
      </c>
      <c r="E3806" s="76">
        <v>91.253028999999998</v>
      </c>
      <c r="F3806" s="76">
        <v>83.762084999999999</v>
      </c>
      <c r="G3806" s="79">
        <v>760700</v>
      </c>
    </row>
    <row r="3807" spans="1:7" x14ac:dyDescent="0.25">
      <c r="A3807" s="1" t="s">
        <v>3930</v>
      </c>
      <c r="B3807" s="76">
        <v>91.28537</v>
      </c>
      <c r="C3807" s="76">
        <v>92.279708999999997</v>
      </c>
      <c r="D3807" s="76">
        <v>90.590133999999907</v>
      </c>
      <c r="E3807" s="76">
        <v>92.126114000000001</v>
      </c>
      <c r="F3807" s="76">
        <v>84.563491999999997</v>
      </c>
      <c r="G3807" s="79">
        <v>650600</v>
      </c>
    </row>
    <row r="3808" spans="1:7" x14ac:dyDescent="0.25">
      <c r="A3808" s="1" t="s">
        <v>3931</v>
      </c>
      <c r="B3808" s="76">
        <v>91.754242000000005</v>
      </c>
      <c r="C3808" s="76">
        <v>91.778495999999905</v>
      </c>
      <c r="D3808" s="76">
        <v>89.490700000000004</v>
      </c>
      <c r="E3808" s="76">
        <v>89.943413000000007</v>
      </c>
      <c r="F3808" s="76">
        <v>82.559958999999907</v>
      </c>
      <c r="G3808" s="79">
        <v>1142100</v>
      </c>
    </row>
    <row r="3809" spans="1:7" x14ac:dyDescent="0.25">
      <c r="A3809" s="1" t="s">
        <v>3932</v>
      </c>
      <c r="B3809" s="76">
        <v>89.668555999999995</v>
      </c>
      <c r="C3809" s="76">
        <v>91.107520999999906</v>
      </c>
      <c r="D3809" s="76">
        <v>89.474532999999994</v>
      </c>
      <c r="E3809" s="76">
        <v>90.937752000000003</v>
      </c>
      <c r="F3809" s="76">
        <v>83.472672000000003</v>
      </c>
      <c r="G3809" s="79">
        <v>1009000</v>
      </c>
    </row>
    <row r="3810" spans="1:7" x14ac:dyDescent="0.25">
      <c r="A3810" s="1" t="s">
        <v>3933</v>
      </c>
      <c r="B3810" s="76">
        <v>91.28537</v>
      </c>
      <c r="C3810" s="76">
        <v>91.584479999999999</v>
      </c>
      <c r="D3810" s="76">
        <v>90.485045999999997</v>
      </c>
      <c r="E3810" s="76">
        <v>91.479384999999994</v>
      </c>
      <c r="F3810" s="76">
        <v>83.969841000000002</v>
      </c>
      <c r="G3810" s="79">
        <v>542800</v>
      </c>
    </row>
    <row r="3811" spans="1:7" x14ac:dyDescent="0.25">
      <c r="A3811" s="1" t="s">
        <v>3934</v>
      </c>
      <c r="B3811" s="76">
        <v>91.083267000000006</v>
      </c>
      <c r="C3811" s="76">
        <v>91.584479999999999</v>
      </c>
      <c r="D3811" s="76">
        <v>89.256264000000002</v>
      </c>
      <c r="E3811" s="76">
        <v>89.773643000000007</v>
      </c>
      <c r="F3811" s="76">
        <v>82.404143999999903</v>
      </c>
      <c r="G3811" s="79">
        <v>832300</v>
      </c>
    </row>
    <row r="3812" spans="1:7" x14ac:dyDescent="0.25">
      <c r="A3812" s="1" t="s">
        <v>3935</v>
      </c>
      <c r="B3812" s="76">
        <v>89.733222999999995</v>
      </c>
      <c r="C3812" s="76">
        <v>90.5578</v>
      </c>
      <c r="D3812" s="76">
        <v>89.102668999999906</v>
      </c>
      <c r="E3812" s="76">
        <v>89.288605000000004</v>
      </c>
      <c r="F3812" s="76">
        <v>81.958922999999999</v>
      </c>
      <c r="G3812" s="79">
        <v>906200</v>
      </c>
    </row>
    <row r="3813" spans="1:7" x14ac:dyDescent="0.25">
      <c r="A3813" s="1" t="s">
        <v>3936</v>
      </c>
      <c r="B3813" s="76">
        <v>89.102668999999906</v>
      </c>
      <c r="C3813" s="76">
        <v>89.240096999999906</v>
      </c>
      <c r="D3813" s="76">
        <v>88.261925000000005</v>
      </c>
      <c r="E3813" s="76">
        <v>88.423606999999905</v>
      </c>
      <c r="F3813" s="76">
        <v>81.164924999999997</v>
      </c>
      <c r="G3813" s="79">
        <v>646300</v>
      </c>
    </row>
    <row r="3814" spans="1:7" x14ac:dyDescent="0.25">
      <c r="A3814" s="1" t="s">
        <v>3937</v>
      </c>
      <c r="B3814" s="76">
        <v>88.577202</v>
      </c>
      <c r="C3814" s="76">
        <v>89.377525000000006</v>
      </c>
      <c r="D3814" s="76">
        <v>88.043655000000001</v>
      </c>
      <c r="E3814" s="76">
        <v>88.957153000000005</v>
      </c>
      <c r="F3814" s="76">
        <v>81.654670999999993</v>
      </c>
      <c r="G3814" s="79">
        <v>837500</v>
      </c>
    </row>
    <row r="3815" spans="1:7" x14ac:dyDescent="0.25">
      <c r="A3815" s="1" t="s">
        <v>3938</v>
      </c>
      <c r="B3815" s="76">
        <v>89.191588999999993</v>
      </c>
      <c r="C3815" s="76">
        <v>90.396118000000001</v>
      </c>
      <c r="D3815" s="76">
        <v>88.932899000000006</v>
      </c>
      <c r="E3815" s="76">
        <v>89.717055999999999</v>
      </c>
      <c r="F3815" s="76">
        <v>82.352187999999998</v>
      </c>
      <c r="G3815" s="79">
        <v>564800</v>
      </c>
    </row>
    <row r="3816" spans="1:7" x14ac:dyDescent="0.25">
      <c r="A3816" s="1" t="s">
        <v>3939</v>
      </c>
      <c r="B3816" s="76">
        <v>89.498786999999993</v>
      </c>
      <c r="C3816" s="76">
        <v>90.024253999999999</v>
      </c>
      <c r="D3816" s="76">
        <v>88.666129999999995</v>
      </c>
      <c r="E3816" s="76">
        <v>89.458365999999998</v>
      </c>
      <c r="F3816" s="76">
        <v>82.114745999999997</v>
      </c>
      <c r="G3816" s="79">
        <v>575000</v>
      </c>
    </row>
    <row r="3817" spans="1:7" x14ac:dyDescent="0.25">
      <c r="A3817" s="1" t="s">
        <v>3940</v>
      </c>
      <c r="B3817" s="76">
        <v>89.296683999999999</v>
      </c>
      <c r="C3817" s="76">
        <v>89.434112999999996</v>
      </c>
      <c r="D3817" s="76">
        <v>87.679870999999906</v>
      </c>
      <c r="E3817" s="76">
        <v>87.857718999999904</v>
      </c>
      <c r="F3817" s="76">
        <v>80.645493000000002</v>
      </c>
      <c r="G3817" s="79">
        <v>800200</v>
      </c>
    </row>
    <row r="3818" spans="1:7" x14ac:dyDescent="0.25">
      <c r="A3818" s="1" t="s">
        <v>3941</v>
      </c>
      <c r="B3818" s="76">
        <v>88.407439999999994</v>
      </c>
      <c r="C3818" s="76">
        <v>89.094581999999903</v>
      </c>
      <c r="D3818" s="76">
        <v>88.067909</v>
      </c>
      <c r="E3818" s="76">
        <v>88.253838000000002</v>
      </c>
      <c r="F3818" s="76">
        <v>81.009086999999994</v>
      </c>
      <c r="G3818" s="79">
        <v>1028200</v>
      </c>
    </row>
    <row r="3819" spans="1:7" x14ac:dyDescent="0.25">
      <c r="A3819" s="1" t="s">
        <v>3942</v>
      </c>
      <c r="B3819" s="76">
        <v>86.879547000000002</v>
      </c>
      <c r="C3819" s="76">
        <v>86.879547000000002</v>
      </c>
      <c r="D3819" s="76">
        <v>84.502831</v>
      </c>
      <c r="E3819" s="76">
        <v>84.616005000000001</v>
      </c>
      <c r="F3819" s="76">
        <v>77.669883999999996</v>
      </c>
      <c r="G3819" s="79">
        <v>1297300</v>
      </c>
    </row>
    <row r="3820" spans="1:7" x14ac:dyDescent="0.25">
      <c r="A3820" s="1" t="s">
        <v>3943</v>
      </c>
      <c r="B3820" s="76">
        <v>85.189980000000006</v>
      </c>
      <c r="C3820" s="76">
        <v>85.763947000000002</v>
      </c>
      <c r="D3820" s="76">
        <v>84.801940999999999</v>
      </c>
      <c r="E3820" s="76">
        <v>85.117217999999994</v>
      </c>
      <c r="F3820" s="76">
        <v>78.129951000000005</v>
      </c>
      <c r="G3820" s="79">
        <v>871000</v>
      </c>
    </row>
    <row r="3821" spans="1:7" x14ac:dyDescent="0.25">
      <c r="A3821" s="1" t="s">
        <v>3944</v>
      </c>
      <c r="B3821" s="76">
        <v>85.036377000000002</v>
      </c>
      <c r="C3821" s="76">
        <v>85.424415999999994</v>
      </c>
      <c r="D3821" s="76">
        <v>84.430068999999904</v>
      </c>
      <c r="E3821" s="76">
        <v>84.446242999999996</v>
      </c>
      <c r="F3821" s="76">
        <v>77.514076000000003</v>
      </c>
      <c r="G3821" s="79">
        <v>969200</v>
      </c>
    </row>
    <row r="3822" spans="1:7" x14ac:dyDescent="0.25">
      <c r="A3822" s="1" t="s">
        <v>3945</v>
      </c>
      <c r="B3822" s="76">
        <v>84.236052999999998</v>
      </c>
      <c r="C3822" s="76">
        <v>85.020209999999906</v>
      </c>
      <c r="D3822" s="76">
        <v>84.163300000000007</v>
      </c>
      <c r="E3822" s="76">
        <v>84.543250999999998</v>
      </c>
      <c r="F3822" s="76">
        <v>77.603118999999893</v>
      </c>
      <c r="G3822" s="79">
        <v>1152000</v>
      </c>
    </row>
    <row r="3823" spans="1:7" x14ac:dyDescent="0.25">
      <c r="A3823" s="1" t="s">
        <v>3946</v>
      </c>
      <c r="B3823" s="76">
        <v>84.955535999999995</v>
      </c>
      <c r="C3823" s="76">
        <v>86.103476999999998</v>
      </c>
      <c r="D3823" s="76">
        <v>84.907036000000005</v>
      </c>
      <c r="E3823" s="76">
        <v>85.885207999999906</v>
      </c>
      <c r="F3823" s="76">
        <v>78.834907999999999</v>
      </c>
      <c r="G3823" s="79">
        <v>908200</v>
      </c>
    </row>
    <row r="3824" spans="1:7" x14ac:dyDescent="0.25">
      <c r="A3824" s="1" t="s">
        <v>3947</v>
      </c>
      <c r="B3824" s="76">
        <v>85.901375000000002</v>
      </c>
      <c r="C3824" s="76">
        <v>85.974129000000005</v>
      </c>
      <c r="D3824" s="76">
        <v>84.995956000000007</v>
      </c>
      <c r="E3824" s="76">
        <v>85.497169</v>
      </c>
      <c r="F3824" s="76">
        <v>78.478721999999905</v>
      </c>
      <c r="G3824" s="79">
        <v>808500</v>
      </c>
    </row>
    <row r="3825" spans="1:7" x14ac:dyDescent="0.25">
      <c r="A3825" s="1" t="s">
        <v>3948</v>
      </c>
      <c r="B3825" s="76">
        <v>85.763947000000002</v>
      </c>
      <c r="C3825" s="76">
        <v>86.653191000000007</v>
      </c>
      <c r="D3825" s="76">
        <v>85.424415999999994</v>
      </c>
      <c r="E3825" s="76">
        <v>86.224739</v>
      </c>
      <c r="F3825" s="76">
        <v>79.146568000000002</v>
      </c>
      <c r="G3825" s="79">
        <v>832400</v>
      </c>
    </row>
    <row r="3826" spans="1:7" x14ac:dyDescent="0.25">
      <c r="A3826" s="1" t="s">
        <v>3949</v>
      </c>
      <c r="B3826" s="76">
        <v>86.006469999999993</v>
      </c>
      <c r="C3826" s="76">
        <v>86.677443999999994</v>
      </c>
      <c r="D3826" s="76">
        <v>85.731605999999999</v>
      </c>
      <c r="E3826" s="76">
        <v>86.410667000000004</v>
      </c>
      <c r="F3826" s="76">
        <v>79.317229999999995</v>
      </c>
      <c r="G3826" s="79">
        <v>754400</v>
      </c>
    </row>
    <row r="3827" spans="1:7" x14ac:dyDescent="0.25">
      <c r="A3827" s="1" t="s">
        <v>3950</v>
      </c>
      <c r="B3827" s="76">
        <v>86.289412999999996</v>
      </c>
      <c r="C3827" s="76">
        <v>88.512527000000006</v>
      </c>
      <c r="D3827" s="76">
        <v>85.844787999999994</v>
      </c>
      <c r="E3827" s="76">
        <v>88.027489000000003</v>
      </c>
      <c r="F3827" s="76">
        <v>80.801331000000005</v>
      </c>
      <c r="G3827" s="79">
        <v>669000</v>
      </c>
    </row>
    <row r="3828" spans="1:7" x14ac:dyDescent="0.25">
      <c r="A3828" s="1" t="s">
        <v>3951</v>
      </c>
      <c r="B3828" s="76">
        <v>87.696037000000004</v>
      </c>
      <c r="C3828" s="76">
        <v>88.658043000000006</v>
      </c>
      <c r="D3828" s="76">
        <v>87.356505999999996</v>
      </c>
      <c r="E3828" s="76">
        <v>88.156829999999999</v>
      </c>
      <c r="F3828" s="76">
        <v>80.920051999999998</v>
      </c>
      <c r="G3828" s="79">
        <v>941500</v>
      </c>
    </row>
    <row r="3829" spans="1:7" x14ac:dyDescent="0.25">
      <c r="A3829" s="1" t="s">
        <v>3952</v>
      </c>
      <c r="B3829" s="76">
        <v>88.391266000000002</v>
      </c>
      <c r="C3829" s="76">
        <v>91.875504000000006</v>
      </c>
      <c r="D3829" s="76">
        <v>87.898139999999998</v>
      </c>
      <c r="E3829" s="76">
        <v>91.705742000000001</v>
      </c>
      <c r="F3829" s="76">
        <v>84.177619999999905</v>
      </c>
      <c r="G3829" s="79">
        <v>1683000</v>
      </c>
    </row>
    <row r="3830" spans="1:7" x14ac:dyDescent="0.25">
      <c r="A3830" s="1" t="s">
        <v>3953</v>
      </c>
      <c r="B3830" s="76">
        <v>91.632980000000003</v>
      </c>
      <c r="C3830" s="76">
        <v>92.174614000000005</v>
      </c>
      <c r="D3830" s="76">
        <v>91.026679999999999</v>
      </c>
      <c r="E3830" s="76">
        <v>91.576392999999996</v>
      </c>
      <c r="F3830" s="76">
        <v>84.058891000000003</v>
      </c>
      <c r="G3830" s="79">
        <v>1147800</v>
      </c>
    </row>
    <row r="3831" spans="1:7" x14ac:dyDescent="0.25">
      <c r="A3831" s="1" t="s">
        <v>3954</v>
      </c>
      <c r="B3831" s="76">
        <v>91.269203000000005</v>
      </c>
      <c r="C3831" s="76">
        <v>91.495552000000004</v>
      </c>
      <c r="D3831" s="76">
        <v>90.767989999999998</v>
      </c>
      <c r="E3831" s="76">
        <v>90.913498000000004</v>
      </c>
      <c r="F3831" s="76">
        <v>83.450431999999907</v>
      </c>
      <c r="G3831" s="79">
        <v>840500</v>
      </c>
    </row>
    <row r="3832" spans="1:7" x14ac:dyDescent="0.25">
      <c r="A3832" s="1" t="s">
        <v>3955</v>
      </c>
      <c r="B3832" s="76">
        <v>91.059012999999993</v>
      </c>
      <c r="C3832" s="76">
        <v>91.398544000000001</v>
      </c>
      <c r="D3832" s="76">
        <v>89.126923000000005</v>
      </c>
      <c r="E3832" s="76">
        <v>89.215843000000007</v>
      </c>
      <c r="F3832" s="76">
        <v>81.892135999999994</v>
      </c>
      <c r="G3832" s="79">
        <v>803900</v>
      </c>
    </row>
    <row r="3833" spans="1:7" x14ac:dyDescent="0.25">
      <c r="A3833" s="1" t="s">
        <v>3956</v>
      </c>
      <c r="B3833" s="76">
        <v>88.924819999999997</v>
      </c>
      <c r="C3833" s="76">
        <v>89.523041000000006</v>
      </c>
      <c r="D3833" s="76">
        <v>88.358931999999996</v>
      </c>
      <c r="E3833" s="76">
        <v>89.143089000000003</v>
      </c>
      <c r="F3833" s="76">
        <v>81.825347999999906</v>
      </c>
      <c r="G3833" s="79">
        <v>804500</v>
      </c>
    </row>
    <row r="3834" spans="1:7" x14ac:dyDescent="0.25">
      <c r="A3834" s="1" t="s">
        <v>3957</v>
      </c>
      <c r="B3834" s="76">
        <v>89.046081999999998</v>
      </c>
      <c r="C3834" s="76">
        <v>89.757476999999994</v>
      </c>
      <c r="D3834" s="76">
        <v>88.835892000000001</v>
      </c>
      <c r="E3834" s="76">
        <v>89.684722999999906</v>
      </c>
      <c r="F3834" s="76">
        <v>82.322509999999994</v>
      </c>
      <c r="G3834" s="79">
        <v>896300</v>
      </c>
    </row>
    <row r="3835" spans="1:7" x14ac:dyDescent="0.25">
      <c r="A3835" s="1" t="s">
        <v>3958</v>
      </c>
      <c r="B3835" s="76">
        <v>90.072754000000003</v>
      </c>
      <c r="C3835" s="76">
        <v>91.050926000000004</v>
      </c>
      <c r="D3835" s="76">
        <v>89.337104999999994</v>
      </c>
      <c r="E3835" s="76">
        <v>90.824577000000005</v>
      </c>
      <c r="F3835" s="76">
        <v>83.368797000000001</v>
      </c>
      <c r="G3835" s="79">
        <v>719800</v>
      </c>
    </row>
    <row r="3836" spans="1:7" x14ac:dyDescent="0.25">
      <c r="A3836" s="1" t="s">
        <v>3959</v>
      </c>
      <c r="B3836" s="76">
        <v>90.598220999999995</v>
      </c>
      <c r="C3836" s="76">
        <v>91.050926000000004</v>
      </c>
      <c r="D3836" s="76">
        <v>90.137428</v>
      </c>
      <c r="E3836" s="76">
        <v>90.541634000000002</v>
      </c>
      <c r="F3836" s="76">
        <v>83.109084999999993</v>
      </c>
      <c r="G3836" s="79">
        <v>1693700</v>
      </c>
    </row>
    <row r="3837" spans="1:7" x14ac:dyDescent="0.25">
      <c r="A3837" s="1" t="s">
        <v>3960</v>
      </c>
      <c r="B3837" s="76">
        <v>90.501213000000007</v>
      </c>
      <c r="C3837" s="76">
        <v>90.501213000000007</v>
      </c>
      <c r="D3837" s="76">
        <v>88.827811999999994</v>
      </c>
      <c r="E3837" s="76">
        <v>89.167343000000002</v>
      </c>
      <c r="F3837" s="76">
        <v>81.847610000000003</v>
      </c>
      <c r="G3837" s="79">
        <v>1035200</v>
      </c>
    </row>
    <row r="3838" spans="1:7" x14ac:dyDescent="0.25">
      <c r="A3838" s="1" t="s">
        <v>3961</v>
      </c>
      <c r="B3838" s="76">
        <v>88.932899000000006</v>
      </c>
      <c r="C3838" s="76">
        <v>90.501213000000007</v>
      </c>
      <c r="D3838" s="76">
        <v>88.835892000000001</v>
      </c>
      <c r="E3838" s="76">
        <v>89.902991999999998</v>
      </c>
      <c r="F3838" s="76">
        <v>82.522873000000004</v>
      </c>
      <c r="G3838" s="79">
        <v>470200</v>
      </c>
    </row>
    <row r="3839" spans="1:7" x14ac:dyDescent="0.25">
      <c r="A3839" s="1" t="s">
        <v>3962</v>
      </c>
      <c r="B3839" s="76">
        <v>90.008087000000003</v>
      </c>
      <c r="C3839" s="76">
        <v>91.447051999999999</v>
      </c>
      <c r="D3839" s="76">
        <v>89.951492000000002</v>
      </c>
      <c r="E3839" s="76">
        <v>91.042846999999995</v>
      </c>
      <c r="F3839" s="76">
        <v>83.569153</v>
      </c>
      <c r="G3839" s="79">
        <v>615700</v>
      </c>
    </row>
    <row r="3840" spans="1:7" x14ac:dyDescent="0.25">
      <c r="A3840" s="1" t="s">
        <v>3963</v>
      </c>
      <c r="B3840" s="76">
        <v>90.970084999999997</v>
      </c>
      <c r="C3840" s="76">
        <v>90.970084999999997</v>
      </c>
      <c r="D3840" s="76">
        <v>89.021827999999999</v>
      </c>
      <c r="E3840" s="76">
        <v>89.021827999999999</v>
      </c>
      <c r="F3840" s="76">
        <v>81.71405</v>
      </c>
      <c r="G3840" s="79">
        <v>715400</v>
      </c>
    </row>
    <row r="3841" spans="1:7" x14ac:dyDescent="0.25">
      <c r="A3841" s="1" t="s">
        <v>3964</v>
      </c>
      <c r="B3841" s="76">
        <v>89.013740999999996</v>
      </c>
      <c r="C3841" s="76">
        <v>89.514954000000003</v>
      </c>
      <c r="D3841" s="76">
        <v>88.552948000000001</v>
      </c>
      <c r="E3841" s="76">
        <v>88.71463</v>
      </c>
      <c r="F3841" s="76">
        <v>81.432052999999996</v>
      </c>
      <c r="G3841" s="79">
        <v>610000</v>
      </c>
    </row>
    <row r="3842" spans="1:7" x14ac:dyDescent="0.25">
      <c r="A3842" s="1" t="s">
        <v>3965</v>
      </c>
      <c r="B3842" s="76">
        <v>88.625709999999998</v>
      </c>
      <c r="C3842" s="76">
        <v>88.658043000000006</v>
      </c>
      <c r="D3842" s="76">
        <v>86.224739</v>
      </c>
      <c r="E3842" s="76">
        <v>86.612769999999998</v>
      </c>
      <c r="F3842" s="76">
        <v>79.502746999999999</v>
      </c>
      <c r="G3842" s="79">
        <v>1215000</v>
      </c>
    </row>
    <row r="3843" spans="1:7" x14ac:dyDescent="0.25">
      <c r="A3843" s="1" t="s">
        <v>3966</v>
      </c>
      <c r="B3843" s="76">
        <v>87.13015</v>
      </c>
      <c r="C3843" s="76">
        <v>87.873885999999999</v>
      </c>
      <c r="D3843" s="76">
        <v>86.540015999999994</v>
      </c>
      <c r="E3843" s="76">
        <v>86.839127000000005</v>
      </c>
      <c r="F3843" s="76">
        <v>79.710517999999993</v>
      </c>
      <c r="G3843" s="79">
        <v>763600</v>
      </c>
    </row>
    <row r="3844" spans="1:7" x14ac:dyDescent="0.25">
      <c r="A3844" s="1" t="s">
        <v>3967</v>
      </c>
      <c r="B3844" s="76">
        <v>86.903801000000001</v>
      </c>
      <c r="C3844" s="76">
        <v>87.025063000000003</v>
      </c>
      <c r="D3844" s="76">
        <v>86.628943999999905</v>
      </c>
      <c r="E3844" s="76">
        <v>86.693611000000004</v>
      </c>
      <c r="F3844" s="76">
        <v>79.576942000000003</v>
      </c>
      <c r="G3844" s="79">
        <v>698100</v>
      </c>
    </row>
    <row r="3845" spans="1:7" x14ac:dyDescent="0.25">
      <c r="A3845" s="1" t="s">
        <v>3968</v>
      </c>
      <c r="B3845" s="76">
        <v>86.709784999999997</v>
      </c>
      <c r="C3845" s="76">
        <v>88.067909</v>
      </c>
      <c r="D3845" s="76">
        <v>86.669364999999999</v>
      </c>
      <c r="E3845" s="76">
        <v>87.558608999999905</v>
      </c>
      <c r="F3845" s="76">
        <v>80.370933999999906</v>
      </c>
      <c r="G3845" s="79">
        <v>701600</v>
      </c>
    </row>
    <row r="3846" spans="1:7" x14ac:dyDescent="0.25">
      <c r="A3846" s="1" t="s">
        <v>3969</v>
      </c>
      <c r="B3846" s="76">
        <v>87.485855000000001</v>
      </c>
      <c r="C3846" s="76">
        <v>87.906227000000001</v>
      </c>
      <c r="D3846" s="76">
        <v>86.847213999999994</v>
      </c>
      <c r="E3846" s="76">
        <v>86.895713999999998</v>
      </c>
      <c r="F3846" s="76">
        <v>79.762466000000003</v>
      </c>
      <c r="G3846" s="79">
        <v>717100</v>
      </c>
    </row>
    <row r="3847" spans="1:7" x14ac:dyDescent="0.25">
      <c r="A3847" s="1" t="s">
        <v>3970</v>
      </c>
      <c r="B3847" s="76">
        <v>86.588523999999893</v>
      </c>
      <c r="C3847" s="76">
        <v>87.607117000000002</v>
      </c>
      <c r="D3847" s="76">
        <v>86.265159999999995</v>
      </c>
      <c r="E3847" s="76">
        <v>87.025063000000003</v>
      </c>
      <c r="F3847" s="76">
        <v>79.881194999999906</v>
      </c>
      <c r="G3847" s="79">
        <v>389100</v>
      </c>
    </row>
    <row r="3848" spans="1:7" x14ac:dyDescent="0.25">
      <c r="A3848" s="1" t="s">
        <v>3971</v>
      </c>
      <c r="B3848" s="76">
        <v>86.750197999999997</v>
      </c>
      <c r="C3848" s="76">
        <v>87.437347000000003</v>
      </c>
      <c r="D3848" s="76">
        <v>85.933707999999996</v>
      </c>
      <c r="E3848" s="76">
        <v>86.491507999999996</v>
      </c>
      <c r="F3848" s="76">
        <v>79.391434000000004</v>
      </c>
      <c r="G3848" s="79">
        <v>489800</v>
      </c>
    </row>
    <row r="3849" spans="1:7" x14ac:dyDescent="0.25">
      <c r="A3849" s="1" t="s">
        <v>3972</v>
      </c>
      <c r="B3849" s="76">
        <v>86.612769999999998</v>
      </c>
      <c r="C3849" s="76">
        <v>87.097815999999995</v>
      </c>
      <c r="D3849" s="76">
        <v>86.103476999999998</v>
      </c>
      <c r="E3849" s="76">
        <v>86.329833999999906</v>
      </c>
      <c r="F3849" s="76">
        <v>79.243033999999994</v>
      </c>
      <c r="G3849" s="79">
        <v>367200</v>
      </c>
    </row>
    <row r="3850" spans="1:7" x14ac:dyDescent="0.25">
      <c r="A3850" s="1" t="s">
        <v>3973</v>
      </c>
      <c r="B3850" s="76">
        <v>86.523848999999998</v>
      </c>
      <c r="C3850" s="76">
        <v>87.194823999999997</v>
      </c>
      <c r="D3850" s="76">
        <v>86.305580000000006</v>
      </c>
      <c r="E3850" s="76">
        <v>86.499595999999997</v>
      </c>
      <c r="F3850" s="76">
        <v>79.398848999999998</v>
      </c>
      <c r="G3850" s="79">
        <v>590700</v>
      </c>
    </row>
    <row r="3851" spans="1:7" x14ac:dyDescent="0.25">
      <c r="A3851" s="1" t="s">
        <v>3974</v>
      </c>
      <c r="B3851" s="76">
        <v>86.483429000000001</v>
      </c>
      <c r="C3851" s="76">
        <v>87.154404</v>
      </c>
      <c r="D3851" s="76">
        <v>86.087311</v>
      </c>
      <c r="E3851" s="76">
        <v>86.596603000000002</v>
      </c>
      <c r="F3851" s="76">
        <v>79.487892000000002</v>
      </c>
      <c r="G3851" s="79">
        <v>450100</v>
      </c>
    </row>
    <row r="3852" spans="1:7" x14ac:dyDescent="0.25">
      <c r="A3852" s="1" t="s">
        <v>3975</v>
      </c>
      <c r="B3852" s="76">
        <v>86.540015999999994</v>
      </c>
      <c r="C3852" s="76">
        <v>86.806792999999999</v>
      </c>
      <c r="D3852" s="76">
        <v>86.022636000000006</v>
      </c>
      <c r="E3852" s="76">
        <v>86.451087999999999</v>
      </c>
      <c r="F3852" s="76">
        <v>79.354331999999999</v>
      </c>
      <c r="G3852" s="79">
        <v>451900</v>
      </c>
    </row>
    <row r="3853" spans="1:7" x14ac:dyDescent="0.25">
      <c r="A3853" s="1" t="s">
        <v>3976</v>
      </c>
      <c r="B3853" s="76">
        <v>86.515761999999995</v>
      </c>
      <c r="C3853" s="76">
        <v>87.477767999999998</v>
      </c>
      <c r="D3853" s="76">
        <v>86.346001000000001</v>
      </c>
      <c r="E3853" s="76">
        <v>86.871459999999999</v>
      </c>
      <c r="F3853" s="76">
        <v>79.740181000000007</v>
      </c>
      <c r="G3853" s="79">
        <v>449500</v>
      </c>
    </row>
    <row r="3854" spans="1:7" x14ac:dyDescent="0.25">
      <c r="A3854" s="1" t="s">
        <v>3977</v>
      </c>
      <c r="B3854" s="76">
        <v>87.113982999999905</v>
      </c>
      <c r="C3854" s="76">
        <v>87.566695999999993</v>
      </c>
      <c r="D3854" s="76">
        <v>86.717865000000003</v>
      </c>
      <c r="E3854" s="76">
        <v>87.016975000000002</v>
      </c>
      <c r="F3854" s="76">
        <v>79.873778999999999</v>
      </c>
      <c r="G3854" s="79">
        <v>358700</v>
      </c>
    </row>
    <row r="3855" spans="1:7" x14ac:dyDescent="0.25">
      <c r="A3855" s="1" t="s">
        <v>3978</v>
      </c>
      <c r="B3855" s="76">
        <v>86.709784999999997</v>
      </c>
      <c r="C3855" s="76">
        <v>87.154404</v>
      </c>
      <c r="D3855" s="76">
        <v>86.046890000000005</v>
      </c>
      <c r="E3855" s="76">
        <v>86.863380000000006</v>
      </c>
      <c r="F3855" s="76">
        <v>79.732795999999993</v>
      </c>
      <c r="G3855" s="79">
        <v>454800</v>
      </c>
    </row>
    <row r="3856" spans="1:7" x14ac:dyDescent="0.25">
      <c r="A3856" s="1" t="s">
        <v>3979</v>
      </c>
      <c r="B3856" s="76">
        <v>86.168152000000006</v>
      </c>
      <c r="C3856" s="76">
        <v>86.362166999999999</v>
      </c>
      <c r="D3856" s="76">
        <v>85.028296999999995</v>
      </c>
      <c r="E3856" s="76">
        <v>85.149558999999996</v>
      </c>
      <c r="F3856" s="76">
        <v>78.159653000000006</v>
      </c>
      <c r="G3856" s="79">
        <v>620700</v>
      </c>
    </row>
    <row r="3857" spans="1:7" x14ac:dyDescent="0.25">
      <c r="A3857" s="1" t="s">
        <v>3980</v>
      </c>
      <c r="B3857" s="76">
        <v>84.753433000000001</v>
      </c>
      <c r="C3857" s="76">
        <v>84.882781999999906</v>
      </c>
      <c r="D3857" s="76">
        <v>83.160872999999995</v>
      </c>
      <c r="E3857" s="76">
        <v>83.662086000000002</v>
      </c>
      <c r="F3857" s="76">
        <v>76.794265999999993</v>
      </c>
      <c r="G3857" s="79">
        <v>771400</v>
      </c>
    </row>
    <row r="3858" spans="1:7" x14ac:dyDescent="0.25">
      <c r="A3858" s="1" t="s">
        <v>3981</v>
      </c>
      <c r="B3858" s="76">
        <v>84.236052999999998</v>
      </c>
      <c r="C3858" s="76">
        <v>85.117217999999994</v>
      </c>
      <c r="D3858" s="76">
        <v>83.977363999999994</v>
      </c>
      <c r="E3858" s="76">
        <v>84.478577000000001</v>
      </c>
      <c r="F3858" s="76">
        <v>77.543731999999906</v>
      </c>
      <c r="G3858" s="79">
        <v>829200</v>
      </c>
    </row>
    <row r="3859" spans="1:7" x14ac:dyDescent="0.25">
      <c r="A3859" s="1" t="s">
        <v>3982</v>
      </c>
      <c r="B3859" s="76">
        <v>84.680678999999998</v>
      </c>
      <c r="C3859" s="76">
        <v>85.286986999999996</v>
      </c>
      <c r="D3859" s="76">
        <v>84.349236000000005</v>
      </c>
      <c r="E3859" s="76">
        <v>84.551331000000005</v>
      </c>
      <c r="F3859" s="76">
        <v>77.610527000000005</v>
      </c>
      <c r="G3859" s="79">
        <v>574500</v>
      </c>
    </row>
    <row r="3860" spans="1:7" x14ac:dyDescent="0.25">
      <c r="A3860" s="1" t="s">
        <v>3983</v>
      </c>
      <c r="B3860" s="76">
        <v>81.164107999999999</v>
      </c>
      <c r="C3860" s="76">
        <v>83.128540000000001</v>
      </c>
      <c r="D3860" s="76">
        <v>79.628135999999998</v>
      </c>
      <c r="E3860" s="76">
        <v>81.430878000000007</v>
      </c>
      <c r="F3860" s="76">
        <v>74.746223000000001</v>
      </c>
      <c r="G3860" s="79">
        <v>1191000</v>
      </c>
    </row>
    <row r="3861" spans="1:7" x14ac:dyDescent="0.25">
      <c r="A3861" s="1" t="s">
        <v>3984</v>
      </c>
      <c r="B3861" s="76">
        <v>81.422798</v>
      </c>
      <c r="C3861" s="76">
        <v>81.608733999999998</v>
      </c>
      <c r="D3861" s="76">
        <v>80.371864000000002</v>
      </c>
      <c r="E3861" s="76">
        <v>80.953918000000002</v>
      </c>
      <c r="F3861" s="76">
        <v>74.308433999999906</v>
      </c>
      <c r="G3861" s="79">
        <v>596200</v>
      </c>
    </row>
    <row r="3862" spans="1:7" x14ac:dyDescent="0.25">
      <c r="A3862" s="1" t="s">
        <v>3985</v>
      </c>
      <c r="B3862" s="76">
        <v>81.244949000000005</v>
      </c>
      <c r="C3862" s="76">
        <v>82.635406000000003</v>
      </c>
      <c r="D3862" s="76">
        <v>80.953918000000002</v>
      </c>
      <c r="E3862" s="76">
        <v>82.037186000000005</v>
      </c>
      <c r="F3862" s="76">
        <v>75.302764999999994</v>
      </c>
      <c r="G3862" s="79">
        <v>727300</v>
      </c>
    </row>
    <row r="3863" spans="1:7" x14ac:dyDescent="0.25">
      <c r="A3863" s="1" t="s">
        <v>3986</v>
      </c>
      <c r="B3863" s="76">
        <v>82.603072999999995</v>
      </c>
      <c r="C3863" s="76">
        <v>83.977363999999994</v>
      </c>
      <c r="D3863" s="76">
        <v>82.603072999999995</v>
      </c>
      <c r="E3863" s="76">
        <v>83.177040000000005</v>
      </c>
      <c r="F3863" s="76">
        <v>76.939910999999995</v>
      </c>
      <c r="G3863" s="79">
        <v>613000</v>
      </c>
    </row>
    <row r="3864" spans="1:7" x14ac:dyDescent="0.25">
      <c r="A3864" s="1" t="s">
        <v>3987</v>
      </c>
      <c r="B3864" s="76">
        <v>82.845596</v>
      </c>
      <c r="C3864" s="76">
        <v>83.241714000000002</v>
      </c>
      <c r="D3864" s="76">
        <v>81.261116000000001</v>
      </c>
      <c r="E3864" s="76">
        <v>81.544060000000002</v>
      </c>
      <c r="F3864" s="76">
        <v>75.429374999999993</v>
      </c>
      <c r="G3864" s="79">
        <v>498400</v>
      </c>
    </row>
    <row r="3865" spans="1:7" x14ac:dyDescent="0.25">
      <c r="A3865" s="1" t="s">
        <v>3988</v>
      </c>
      <c r="B3865" s="76">
        <v>81.002426</v>
      </c>
      <c r="C3865" s="76">
        <v>82.101860000000002</v>
      </c>
      <c r="D3865" s="76">
        <v>80.549720999999906</v>
      </c>
      <c r="E3865" s="76">
        <v>81.608733999999998</v>
      </c>
      <c r="F3865" s="76">
        <v>75.489204000000001</v>
      </c>
      <c r="G3865" s="79">
        <v>501900</v>
      </c>
    </row>
    <row r="3866" spans="1:7" x14ac:dyDescent="0.25">
      <c r="A3866" s="1" t="s">
        <v>3989</v>
      </c>
      <c r="B3866" s="76">
        <v>81.915924000000004</v>
      </c>
      <c r="C3866" s="76">
        <v>82.635406000000003</v>
      </c>
      <c r="D3866" s="76">
        <v>80.590133999999907</v>
      </c>
      <c r="E3866" s="76">
        <v>80.808410999999893</v>
      </c>
      <c r="F3866" s="76">
        <v>74.748893999999893</v>
      </c>
      <c r="G3866" s="79">
        <v>631600</v>
      </c>
    </row>
    <row r="3867" spans="1:7" x14ac:dyDescent="0.25">
      <c r="A3867" s="1" t="s">
        <v>3990</v>
      </c>
      <c r="B3867" s="76">
        <v>81.244949000000005</v>
      </c>
      <c r="C3867" s="76">
        <v>82.457557999999906</v>
      </c>
      <c r="D3867" s="76">
        <v>81.131766999999996</v>
      </c>
      <c r="E3867" s="76">
        <v>82.360550000000003</v>
      </c>
      <c r="F3867" s="76">
        <v>76.184646999999998</v>
      </c>
      <c r="G3867" s="79">
        <v>502700</v>
      </c>
    </row>
    <row r="3868" spans="1:7" x14ac:dyDescent="0.25">
      <c r="A3868" s="1" t="s">
        <v>3991</v>
      </c>
      <c r="B3868" s="76">
        <v>82.659660000000002</v>
      </c>
      <c r="C3868" s="76">
        <v>83.492317</v>
      </c>
      <c r="D3868" s="76">
        <v>82.312042000000005</v>
      </c>
      <c r="E3868" s="76">
        <v>83.039612000000005</v>
      </c>
      <c r="F3868" s="76">
        <v>76.812775000000002</v>
      </c>
      <c r="G3868" s="79">
        <v>703000</v>
      </c>
    </row>
    <row r="3869" spans="1:7" x14ac:dyDescent="0.25">
      <c r="A3869" s="1" t="s">
        <v>3992</v>
      </c>
      <c r="B3869" s="76">
        <v>82.780922000000004</v>
      </c>
      <c r="C3869" s="76">
        <v>83.055779000000001</v>
      </c>
      <c r="D3869" s="76">
        <v>81.980598000000001</v>
      </c>
      <c r="E3869" s="76">
        <v>82.312042000000005</v>
      </c>
      <c r="F3869" s="76">
        <v>76.139770999999996</v>
      </c>
      <c r="G3869" s="79">
        <v>620700</v>
      </c>
    </row>
    <row r="3870" spans="1:7" x14ac:dyDescent="0.25">
      <c r="A3870" s="1" t="s">
        <v>3993</v>
      </c>
      <c r="B3870" s="76">
        <v>82.101860000000002</v>
      </c>
      <c r="C3870" s="76">
        <v>82.764754999999994</v>
      </c>
      <c r="D3870" s="76">
        <v>81.778495999999905</v>
      </c>
      <c r="E3870" s="76">
        <v>82.514144999999999</v>
      </c>
      <c r="F3870" s="76">
        <v>76.326729</v>
      </c>
      <c r="G3870" s="79">
        <v>883200</v>
      </c>
    </row>
    <row r="3871" spans="1:7" x14ac:dyDescent="0.25">
      <c r="A3871" s="1" t="s">
        <v>3994</v>
      </c>
      <c r="B3871" s="76">
        <v>82.514144999999999</v>
      </c>
      <c r="C3871" s="76">
        <v>83.532737999999995</v>
      </c>
      <c r="D3871" s="76">
        <v>82.336295999999905</v>
      </c>
      <c r="E3871" s="76">
        <v>82.918350000000004</v>
      </c>
      <c r="F3871" s="76">
        <v>76.700622999999993</v>
      </c>
      <c r="G3871" s="79">
        <v>679200</v>
      </c>
    </row>
    <row r="3872" spans="1:7" x14ac:dyDescent="0.25">
      <c r="A3872" s="1" t="s">
        <v>3995</v>
      </c>
      <c r="B3872" s="76">
        <v>82.966858000000002</v>
      </c>
      <c r="C3872" s="76">
        <v>83.241714000000002</v>
      </c>
      <c r="D3872" s="76">
        <v>82.425224</v>
      </c>
      <c r="E3872" s="76">
        <v>82.659660000000002</v>
      </c>
      <c r="F3872" s="76">
        <v>76.461318999999904</v>
      </c>
      <c r="G3872" s="79">
        <v>707600</v>
      </c>
    </row>
    <row r="3873" spans="1:7" x14ac:dyDescent="0.25">
      <c r="A3873" s="1" t="s">
        <v>3996</v>
      </c>
      <c r="B3873" s="76">
        <v>82.409058000000002</v>
      </c>
      <c r="C3873" s="76">
        <v>83.419562999999997</v>
      </c>
      <c r="D3873" s="76">
        <v>82.109946999999906</v>
      </c>
      <c r="E3873" s="76">
        <v>82.667746999999906</v>
      </c>
      <c r="F3873" s="76">
        <v>76.468795999999998</v>
      </c>
      <c r="G3873" s="79">
        <v>405000</v>
      </c>
    </row>
    <row r="3874" spans="1:7" x14ac:dyDescent="0.25">
      <c r="A3874" s="1" t="s">
        <v>3997</v>
      </c>
      <c r="B3874" s="76">
        <v>82.562652999999997</v>
      </c>
      <c r="C3874" s="76">
        <v>82.659660000000002</v>
      </c>
      <c r="D3874" s="76">
        <v>81.568314000000001</v>
      </c>
      <c r="E3874" s="76">
        <v>81.746161999999998</v>
      </c>
      <c r="F3874" s="76">
        <v>75.616332999999997</v>
      </c>
      <c r="G3874" s="79">
        <v>560200</v>
      </c>
    </row>
    <row r="3875" spans="1:7" x14ac:dyDescent="0.25">
      <c r="A3875" s="1" t="s">
        <v>3998</v>
      </c>
      <c r="B3875" s="76">
        <v>82.077606000000003</v>
      </c>
      <c r="C3875" s="76">
        <v>82.554564999999997</v>
      </c>
      <c r="D3875" s="76">
        <v>81.810828999999998</v>
      </c>
      <c r="E3875" s="76">
        <v>82.392882999999998</v>
      </c>
      <c r="F3875" s="76">
        <v>76.214561000000003</v>
      </c>
      <c r="G3875" s="79">
        <v>529300</v>
      </c>
    </row>
    <row r="3876" spans="1:7" x14ac:dyDescent="0.25">
      <c r="A3876" s="1" t="s">
        <v>3999</v>
      </c>
      <c r="B3876" s="76">
        <v>82.603072999999995</v>
      </c>
      <c r="C3876" s="76">
        <v>82.797089</v>
      </c>
      <c r="D3876" s="76">
        <v>81.576392999999996</v>
      </c>
      <c r="E3876" s="76">
        <v>81.964431999999903</v>
      </c>
      <c r="F3876" s="76">
        <v>75.81823</v>
      </c>
      <c r="G3876" s="79">
        <v>464700</v>
      </c>
    </row>
    <row r="3877" spans="1:7" x14ac:dyDescent="0.25">
      <c r="A3877" s="1" t="s">
        <v>4000</v>
      </c>
      <c r="B3877" s="76">
        <v>81.964431999999903</v>
      </c>
      <c r="C3877" s="76">
        <v>82.336295999999905</v>
      </c>
      <c r="D3877" s="76">
        <v>80.501213000000007</v>
      </c>
      <c r="E3877" s="76">
        <v>80.751816000000005</v>
      </c>
      <c r="F3877" s="76">
        <v>74.696547999999893</v>
      </c>
      <c r="G3877" s="79">
        <v>1763900</v>
      </c>
    </row>
    <row r="3878" spans="1:7" x14ac:dyDescent="0.25">
      <c r="A3878" s="1" t="s">
        <v>4001</v>
      </c>
      <c r="B3878" s="76">
        <v>80.840744000000001</v>
      </c>
      <c r="C3878" s="76">
        <v>82.045272999999995</v>
      </c>
      <c r="D3878" s="76">
        <v>80.606307999999999</v>
      </c>
      <c r="E3878" s="76">
        <v>81.689575000000005</v>
      </c>
      <c r="F3878" s="76">
        <v>75.563987999999995</v>
      </c>
      <c r="G3878" s="79">
        <v>849000</v>
      </c>
    </row>
    <row r="3879" spans="1:7" x14ac:dyDescent="0.25">
      <c r="A3879" s="1" t="s">
        <v>4002</v>
      </c>
      <c r="B3879" s="76">
        <v>81.414710999999997</v>
      </c>
      <c r="C3879" s="76">
        <v>81.455131999999907</v>
      </c>
      <c r="D3879" s="76">
        <v>80.436538999999996</v>
      </c>
      <c r="E3879" s="76">
        <v>81.018592999999996</v>
      </c>
      <c r="F3879" s="76">
        <v>74.943306000000007</v>
      </c>
      <c r="G3879" s="79">
        <v>712800</v>
      </c>
    </row>
    <row r="3880" spans="1:7" x14ac:dyDescent="0.25">
      <c r="A3880" s="1" t="s">
        <v>4003</v>
      </c>
      <c r="B3880" s="76">
        <v>81.018592999999996</v>
      </c>
      <c r="C3880" s="76">
        <v>81.309623999999999</v>
      </c>
      <c r="D3880" s="76">
        <v>79.911071999999905</v>
      </c>
      <c r="E3880" s="76">
        <v>80.331443999999905</v>
      </c>
      <c r="F3880" s="76">
        <v>74.307693</v>
      </c>
      <c r="G3880" s="79">
        <v>938300</v>
      </c>
    </row>
    <row r="3881" spans="1:7" x14ac:dyDescent="0.25">
      <c r="A3881" s="1" t="s">
        <v>4004</v>
      </c>
      <c r="B3881" s="76">
        <v>80.331443999999905</v>
      </c>
      <c r="C3881" s="76">
        <v>80.776069999999905</v>
      </c>
      <c r="D3881" s="76">
        <v>79.725143000000003</v>
      </c>
      <c r="E3881" s="76">
        <v>80.436538999999996</v>
      </c>
      <c r="F3881" s="76">
        <v>74.404915000000003</v>
      </c>
      <c r="G3881" s="79">
        <v>758600</v>
      </c>
    </row>
    <row r="3882" spans="1:7" x14ac:dyDescent="0.25">
      <c r="A3882" s="1" t="s">
        <v>4005</v>
      </c>
      <c r="B3882" s="76">
        <v>79.830230999999998</v>
      </c>
      <c r="C3882" s="76">
        <v>80.169768999999903</v>
      </c>
      <c r="D3882" s="76">
        <v>79.005661000000003</v>
      </c>
      <c r="E3882" s="76">
        <v>79.377525000000006</v>
      </c>
      <c r="F3882" s="76">
        <v>73.425301000000005</v>
      </c>
      <c r="G3882" s="79">
        <v>1061300</v>
      </c>
    </row>
    <row r="3883" spans="1:7" x14ac:dyDescent="0.25">
      <c r="A3883" s="1" t="s">
        <v>4006</v>
      </c>
      <c r="B3883" s="76">
        <v>79.199676999999994</v>
      </c>
      <c r="C3883" s="76">
        <v>79.571540999999996</v>
      </c>
      <c r="D3883" s="76">
        <v>78.908653000000001</v>
      </c>
      <c r="E3883" s="76">
        <v>79.054160999999993</v>
      </c>
      <c r="F3883" s="76">
        <v>73.126182999999997</v>
      </c>
      <c r="G3883" s="79">
        <v>573600</v>
      </c>
    </row>
    <row r="3884" spans="1:7" x14ac:dyDescent="0.25">
      <c r="A3884" s="1" t="s">
        <v>4007</v>
      </c>
      <c r="B3884" s="76">
        <v>78.981406999999905</v>
      </c>
      <c r="C3884" s="76">
        <v>79.280518000000001</v>
      </c>
      <c r="D3884" s="76">
        <v>78.520615000000006</v>
      </c>
      <c r="E3884" s="76">
        <v>78.658043000000006</v>
      </c>
      <c r="F3884" s="76">
        <v>72.759765999999999</v>
      </c>
      <c r="G3884" s="79">
        <v>502800</v>
      </c>
    </row>
    <row r="3885" spans="1:7" x14ac:dyDescent="0.25">
      <c r="A3885" s="1" t="s">
        <v>4008</v>
      </c>
      <c r="B3885" s="76">
        <v>78.803557999999995</v>
      </c>
      <c r="C3885" s="76">
        <v>80.420372</v>
      </c>
      <c r="D3885" s="76">
        <v>78.407439999999994</v>
      </c>
      <c r="E3885" s="76">
        <v>79.426032999999904</v>
      </c>
      <c r="F3885" s="76">
        <v>73.470177000000007</v>
      </c>
      <c r="G3885" s="79">
        <v>777800</v>
      </c>
    </row>
    <row r="3886" spans="1:7" x14ac:dyDescent="0.25">
      <c r="A3886" s="1" t="s">
        <v>4009</v>
      </c>
      <c r="B3886" s="76">
        <v>79.717055999999999</v>
      </c>
      <c r="C3886" s="76">
        <v>79.959579000000005</v>
      </c>
      <c r="D3886" s="76">
        <v>79.393692000000001</v>
      </c>
      <c r="E3886" s="76">
        <v>79.514954000000003</v>
      </c>
      <c r="F3886" s="76">
        <v>73.552421999999893</v>
      </c>
      <c r="G3886" s="79">
        <v>601800</v>
      </c>
    </row>
    <row r="3887" spans="1:7" x14ac:dyDescent="0.25">
      <c r="A3887" s="1" t="s">
        <v>4010</v>
      </c>
      <c r="B3887" s="76">
        <v>79.369445999999996</v>
      </c>
      <c r="C3887" s="76">
        <v>79.652381999999903</v>
      </c>
      <c r="D3887" s="76">
        <v>78.900565999999998</v>
      </c>
      <c r="E3887" s="76">
        <v>79.248183999999995</v>
      </c>
      <c r="F3887" s="76">
        <v>73.305655999999999</v>
      </c>
      <c r="G3887" s="79">
        <v>563200</v>
      </c>
    </row>
    <row r="3888" spans="1:7" x14ac:dyDescent="0.25">
      <c r="A3888" s="1" t="s">
        <v>4011</v>
      </c>
      <c r="B3888" s="76">
        <v>79.062247999999997</v>
      </c>
      <c r="C3888" s="76">
        <v>79.506873999999996</v>
      </c>
      <c r="D3888" s="76">
        <v>78.779304999999994</v>
      </c>
      <c r="E3888" s="76">
        <v>79.005661000000003</v>
      </c>
      <c r="F3888" s="76">
        <v>73.081322</v>
      </c>
      <c r="G3888" s="79">
        <v>1032300</v>
      </c>
    </row>
    <row r="3889" spans="1:7" x14ac:dyDescent="0.25">
      <c r="A3889" s="1" t="s">
        <v>4012</v>
      </c>
      <c r="B3889" s="76">
        <v>79.054160999999993</v>
      </c>
      <c r="C3889" s="76">
        <v>79.789817999999997</v>
      </c>
      <c r="D3889" s="76">
        <v>78.860146</v>
      </c>
      <c r="E3889" s="76">
        <v>79.595794999999995</v>
      </c>
      <c r="F3889" s="76">
        <v>73.627205000000004</v>
      </c>
      <c r="G3889" s="79">
        <v>517000</v>
      </c>
    </row>
    <row r="3890" spans="1:7" x14ac:dyDescent="0.25">
      <c r="A3890" s="1" t="s">
        <v>4013</v>
      </c>
      <c r="B3890" s="76">
        <v>79.587715000000003</v>
      </c>
      <c r="C3890" s="76">
        <v>80.476958999999994</v>
      </c>
      <c r="D3890" s="76">
        <v>78.924819999999997</v>
      </c>
      <c r="E3890" s="76">
        <v>80.274856999999997</v>
      </c>
      <c r="F3890" s="76">
        <v>74.255341000000001</v>
      </c>
      <c r="G3890" s="79">
        <v>552900</v>
      </c>
    </row>
    <row r="3891" spans="1:7" x14ac:dyDescent="0.25">
      <c r="A3891" s="1" t="s">
        <v>4014</v>
      </c>
      <c r="B3891" s="76">
        <v>80.428459000000004</v>
      </c>
      <c r="C3891" s="76">
        <v>82.118026999999998</v>
      </c>
      <c r="D3891" s="76">
        <v>80.161681999999999</v>
      </c>
      <c r="E3891" s="76">
        <v>81.883590999999996</v>
      </c>
      <c r="F3891" s="76">
        <v>75.743445999999906</v>
      </c>
      <c r="G3891" s="79">
        <v>1000400</v>
      </c>
    </row>
    <row r="3892" spans="1:7" x14ac:dyDescent="0.25">
      <c r="A3892" s="1" t="s">
        <v>4015</v>
      </c>
      <c r="B3892" s="76">
        <v>81.406631000000004</v>
      </c>
      <c r="C3892" s="76">
        <v>81.754242000000005</v>
      </c>
      <c r="D3892" s="76">
        <v>80.654808000000003</v>
      </c>
      <c r="E3892" s="76">
        <v>80.921584999999993</v>
      </c>
      <c r="F3892" s="76">
        <v>74.853560999999999</v>
      </c>
      <c r="G3892" s="79">
        <v>1248800</v>
      </c>
    </row>
    <row r="3893" spans="1:7" x14ac:dyDescent="0.25">
      <c r="A3893" s="1" t="s">
        <v>4016</v>
      </c>
      <c r="B3893" s="76">
        <v>81.075180000000003</v>
      </c>
      <c r="C3893" s="76">
        <v>81.544060000000002</v>
      </c>
      <c r="D3893" s="76">
        <v>80.315276999999995</v>
      </c>
      <c r="E3893" s="76">
        <v>80.444626</v>
      </c>
      <c r="F3893" s="76">
        <v>74.412384000000003</v>
      </c>
      <c r="G3893" s="79">
        <v>1179800</v>
      </c>
    </row>
    <row r="3894" spans="1:7" x14ac:dyDescent="0.25">
      <c r="A3894" s="1" t="s">
        <v>4017</v>
      </c>
      <c r="B3894" s="76">
        <v>80.331443999999905</v>
      </c>
      <c r="C3894" s="76">
        <v>81.576392999999996</v>
      </c>
      <c r="D3894" s="76">
        <v>79.717055999999999</v>
      </c>
      <c r="E3894" s="76">
        <v>79.838318000000001</v>
      </c>
      <c r="F3894" s="76">
        <v>73.851555000000005</v>
      </c>
      <c r="G3894" s="79">
        <v>867700</v>
      </c>
    </row>
    <row r="3895" spans="1:7" x14ac:dyDescent="0.25">
      <c r="A3895" s="1" t="s">
        <v>4018</v>
      </c>
      <c r="B3895" s="76">
        <v>79.975746000000001</v>
      </c>
      <c r="C3895" s="76">
        <v>80.121262000000002</v>
      </c>
      <c r="D3895" s="76">
        <v>78.601455999999999</v>
      </c>
      <c r="E3895" s="76">
        <v>78.601455999999999</v>
      </c>
      <c r="F3895" s="76">
        <v>72.707419999999999</v>
      </c>
      <c r="G3895" s="79">
        <v>1190500</v>
      </c>
    </row>
    <row r="3896" spans="1:7" x14ac:dyDescent="0.25">
      <c r="A3896" s="1" t="s">
        <v>4019</v>
      </c>
      <c r="B3896" s="76">
        <v>78.698463000000004</v>
      </c>
      <c r="C3896" s="76">
        <v>78.706551000000005</v>
      </c>
      <c r="D3896" s="76">
        <v>77.655617000000007</v>
      </c>
      <c r="E3896" s="76">
        <v>77.655617000000007</v>
      </c>
      <c r="F3896" s="76">
        <v>71.832511999999994</v>
      </c>
      <c r="G3896" s="79">
        <v>1159500</v>
      </c>
    </row>
    <row r="3897" spans="1:7" x14ac:dyDescent="0.25">
      <c r="A3897" s="1" t="s">
        <v>4020</v>
      </c>
      <c r="B3897" s="76">
        <v>77.752624999999995</v>
      </c>
      <c r="C3897" s="76">
        <v>78.455939999999998</v>
      </c>
      <c r="D3897" s="76">
        <v>77.324173000000002</v>
      </c>
      <c r="E3897" s="76">
        <v>78.164917000000003</v>
      </c>
      <c r="F3897" s="76">
        <v>72.303618999999998</v>
      </c>
      <c r="G3897" s="79">
        <v>1214900</v>
      </c>
    </row>
    <row r="3898" spans="1:7" x14ac:dyDescent="0.25">
      <c r="A3898" s="1" t="s">
        <v>4021</v>
      </c>
      <c r="B3898" s="76">
        <v>78.084075999999996</v>
      </c>
      <c r="C3898" s="76">
        <v>78.447861000000003</v>
      </c>
      <c r="D3898" s="76">
        <v>76.653191000000007</v>
      </c>
      <c r="E3898" s="76">
        <v>76.709784999999997</v>
      </c>
      <c r="F3898" s="76">
        <v>70.957603000000006</v>
      </c>
      <c r="G3898" s="79">
        <v>892800</v>
      </c>
    </row>
    <row r="3899" spans="1:7" x14ac:dyDescent="0.25">
      <c r="A3899" s="1" t="s">
        <v>4022</v>
      </c>
      <c r="B3899" s="76">
        <v>77.922393999999997</v>
      </c>
      <c r="C3899" s="76">
        <v>77.922393999999997</v>
      </c>
      <c r="D3899" s="76">
        <v>76.434921000000003</v>
      </c>
      <c r="E3899" s="76">
        <v>76.742118999999903</v>
      </c>
      <c r="F3899" s="76">
        <v>70.987510999999998</v>
      </c>
      <c r="G3899" s="79">
        <v>939900</v>
      </c>
    </row>
    <row r="3900" spans="1:7" x14ac:dyDescent="0.25">
      <c r="A3900" s="1" t="s">
        <v>4023</v>
      </c>
      <c r="B3900" s="76">
        <v>75.941794999999999</v>
      </c>
      <c r="C3900" s="76">
        <v>77.946647999999996</v>
      </c>
      <c r="D3900" s="76">
        <v>75.521422999999999</v>
      </c>
      <c r="E3900" s="76">
        <v>77.946647999999996</v>
      </c>
      <c r="F3900" s="76">
        <v>72.101722999999893</v>
      </c>
      <c r="G3900" s="79">
        <v>912600</v>
      </c>
    </row>
    <row r="3901" spans="1:7" x14ac:dyDescent="0.25">
      <c r="A3901" s="1" t="s">
        <v>4024</v>
      </c>
      <c r="B3901" s="76">
        <v>78.334678999999994</v>
      </c>
      <c r="C3901" s="76">
        <v>79.037993999999998</v>
      </c>
      <c r="D3901" s="76">
        <v>77.558608999999905</v>
      </c>
      <c r="E3901" s="76">
        <v>77.825385999999995</v>
      </c>
      <c r="F3901" s="76">
        <v>71.989554999999996</v>
      </c>
      <c r="G3901" s="79">
        <v>692100</v>
      </c>
    </row>
    <row r="3902" spans="1:7" x14ac:dyDescent="0.25">
      <c r="A3902" s="1" t="s">
        <v>4025</v>
      </c>
      <c r="B3902" s="76">
        <v>77.445435000000003</v>
      </c>
      <c r="C3902" s="76">
        <v>78.496360999999993</v>
      </c>
      <c r="D3902" s="76">
        <v>77.445435000000003</v>
      </c>
      <c r="E3902" s="76">
        <v>78.011313999999999</v>
      </c>
      <c r="F3902" s="76">
        <v>72.161552</v>
      </c>
      <c r="G3902" s="79">
        <v>725200</v>
      </c>
    </row>
    <row r="3903" spans="1:7" x14ac:dyDescent="0.25">
      <c r="A3903" s="1" t="s">
        <v>4026</v>
      </c>
      <c r="B3903" s="76">
        <v>78.512527000000006</v>
      </c>
      <c r="C3903" s="76">
        <v>79.482619999999997</v>
      </c>
      <c r="D3903" s="76">
        <v>78.358931999999996</v>
      </c>
      <c r="E3903" s="76">
        <v>79.207763999999997</v>
      </c>
      <c r="F3903" s="76">
        <v>73.268265</v>
      </c>
      <c r="G3903" s="79">
        <v>940200</v>
      </c>
    </row>
    <row r="3904" spans="1:7" x14ac:dyDescent="0.25">
      <c r="A3904" s="1" t="s">
        <v>4027</v>
      </c>
      <c r="B3904" s="76">
        <v>78.779304999999994</v>
      </c>
      <c r="C3904" s="76">
        <v>79.531120000000001</v>
      </c>
      <c r="D3904" s="76">
        <v>78.504447999999996</v>
      </c>
      <c r="E3904" s="76">
        <v>78.625709999999998</v>
      </c>
      <c r="F3904" s="76">
        <v>72.729866000000001</v>
      </c>
      <c r="G3904" s="79">
        <v>413500</v>
      </c>
    </row>
    <row r="3905" spans="1:7" x14ac:dyDescent="0.25">
      <c r="A3905" s="1" t="s">
        <v>4028</v>
      </c>
      <c r="B3905" s="76">
        <v>78.965239999999994</v>
      </c>
      <c r="C3905" s="76">
        <v>79.547294999999906</v>
      </c>
      <c r="D3905" s="76">
        <v>78.124495999999994</v>
      </c>
      <c r="E3905" s="76">
        <v>78.310424999999995</v>
      </c>
      <c r="F3905" s="76">
        <v>72.438225000000003</v>
      </c>
      <c r="G3905" s="79">
        <v>528800</v>
      </c>
    </row>
    <row r="3906" spans="1:7" x14ac:dyDescent="0.25">
      <c r="A3906" s="1" t="s">
        <v>4029</v>
      </c>
      <c r="B3906" s="76">
        <v>78.795470999999907</v>
      </c>
      <c r="C3906" s="76">
        <v>79.312850999999995</v>
      </c>
      <c r="D3906" s="76">
        <v>78.326599000000002</v>
      </c>
      <c r="E3906" s="76">
        <v>78.520615000000006</v>
      </c>
      <c r="F3906" s="76">
        <v>72.632644999999997</v>
      </c>
      <c r="G3906" s="79">
        <v>713400</v>
      </c>
    </row>
    <row r="3907" spans="1:7" x14ac:dyDescent="0.25">
      <c r="A3907" s="1" t="s">
        <v>4030</v>
      </c>
      <c r="B3907" s="76">
        <v>78.472106999999994</v>
      </c>
      <c r="C3907" s="76">
        <v>79.506873999999996</v>
      </c>
      <c r="D3907" s="76">
        <v>77.833466000000001</v>
      </c>
      <c r="E3907" s="76">
        <v>78.286179000000004</v>
      </c>
      <c r="F3907" s="76">
        <v>72.415786999999995</v>
      </c>
      <c r="G3907" s="79">
        <v>793800</v>
      </c>
    </row>
    <row r="3908" spans="1:7" x14ac:dyDescent="0.25">
      <c r="A3908" s="1" t="s">
        <v>4031</v>
      </c>
      <c r="B3908" s="76">
        <v>78.423606999999905</v>
      </c>
      <c r="C3908" s="76">
        <v>78.746971000000002</v>
      </c>
      <c r="D3908" s="76">
        <v>77.849639999999994</v>
      </c>
      <c r="E3908" s="76">
        <v>78.447861000000003</v>
      </c>
      <c r="F3908" s="76">
        <v>72.565353000000002</v>
      </c>
      <c r="G3908" s="79">
        <v>481700</v>
      </c>
    </row>
    <row r="3909" spans="1:7" x14ac:dyDescent="0.25">
      <c r="A3909" s="1" t="s">
        <v>4032</v>
      </c>
      <c r="B3909" s="76">
        <v>78.302344999999903</v>
      </c>
      <c r="C3909" s="76">
        <v>78.803557999999995</v>
      </c>
      <c r="D3909" s="76">
        <v>78.035567999999998</v>
      </c>
      <c r="E3909" s="76">
        <v>78.617621999999997</v>
      </c>
      <c r="F3909" s="76">
        <v>72.722389000000007</v>
      </c>
      <c r="G3909" s="79">
        <v>472100</v>
      </c>
    </row>
    <row r="3910" spans="1:7" x14ac:dyDescent="0.25">
      <c r="A3910" s="1" t="s">
        <v>4033</v>
      </c>
      <c r="B3910" s="76">
        <v>78.932899000000006</v>
      </c>
      <c r="C3910" s="76">
        <v>80</v>
      </c>
      <c r="D3910" s="76">
        <v>78.787391999999997</v>
      </c>
      <c r="E3910" s="76">
        <v>79.409865999999994</v>
      </c>
      <c r="F3910" s="76">
        <v>73.455214999999995</v>
      </c>
      <c r="G3910" s="79">
        <v>514000</v>
      </c>
    </row>
    <row r="3911" spans="1:7" x14ac:dyDescent="0.25">
      <c r="A3911" s="1" t="s">
        <v>4034</v>
      </c>
      <c r="B3911" s="76">
        <v>79.329025000000001</v>
      </c>
      <c r="C3911" s="76">
        <v>79.450278999999995</v>
      </c>
      <c r="D3911" s="76">
        <v>78.504447999999996</v>
      </c>
      <c r="E3911" s="76">
        <v>78.666129999999995</v>
      </c>
      <c r="F3911" s="76">
        <v>72.767257999999998</v>
      </c>
      <c r="G3911" s="79">
        <v>1161900</v>
      </c>
    </row>
    <row r="3912" spans="1:7" x14ac:dyDescent="0.25">
      <c r="A3912" s="1" t="s">
        <v>4035</v>
      </c>
      <c r="B3912" s="76">
        <v>78.593368999999996</v>
      </c>
      <c r="C3912" s="76">
        <v>78.649963</v>
      </c>
      <c r="D3912" s="76">
        <v>78.019401999999999</v>
      </c>
      <c r="E3912" s="76">
        <v>78.245757999999995</v>
      </c>
      <c r="F3912" s="76">
        <v>72.378410000000002</v>
      </c>
      <c r="G3912" s="79">
        <v>830700</v>
      </c>
    </row>
    <row r="3913" spans="1:7" x14ac:dyDescent="0.25">
      <c r="A3913" s="1" t="s">
        <v>4036</v>
      </c>
      <c r="B3913" s="76">
        <v>78.310424999999995</v>
      </c>
      <c r="C3913" s="76">
        <v>78.787391999999997</v>
      </c>
      <c r="D3913" s="76">
        <v>77.962813999999995</v>
      </c>
      <c r="E3913" s="76">
        <v>77.987067999999994</v>
      </c>
      <c r="F3913" s="76">
        <v>72.139114000000006</v>
      </c>
      <c r="G3913" s="79">
        <v>925200</v>
      </c>
    </row>
    <row r="3914" spans="1:7" x14ac:dyDescent="0.25">
      <c r="A3914" s="1" t="s">
        <v>4037</v>
      </c>
      <c r="B3914" s="76">
        <v>78.059821999999997</v>
      </c>
      <c r="C3914" s="76">
        <v>78.658043000000006</v>
      </c>
      <c r="D3914" s="76">
        <v>77.914306999999994</v>
      </c>
      <c r="E3914" s="76">
        <v>78.367019999999997</v>
      </c>
      <c r="F3914" s="76">
        <v>72.490561999999997</v>
      </c>
      <c r="G3914" s="79">
        <v>1085800</v>
      </c>
    </row>
    <row r="3915" spans="1:7" x14ac:dyDescent="0.25">
      <c r="A3915" s="1" t="s">
        <v>4038</v>
      </c>
      <c r="B3915" s="76">
        <v>78.229590999999999</v>
      </c>
      <c r="C3915" s="76">
        <v>78.253838000000002</v>
      </c>
      <c r="D3915" s="76">
        <v>76.911879999999996</v>
      </c>
      <c r="E3915" s="76">
        <v>77.518187999999995</v>
      </c>
      <c r="F3915" s="76">
        <v>71.705391000000006</v>
      </c>
      <c r="G3915" s="79">
        <v>715000</v>
      </c>
    </row>
    <row r="3916" spans="1:7" x14ac:dyDescent="0.25">
      <c r="A3916" s="1" t="s">
        <v>4039</v>
      </c>
      <c r="B3916" s="76">
        <v>77.380759999999995</v>
      </c>
      <c r="C3916" s="76">
        <v>77.954727000000005</v>
      </c>
      <c r="D3916" s="76">
        <v>77.138237000000004</v>
      </c>
      <c r="E3916" s="76">
        <v>77.631362999999993</v>
      </c>
      <c r="F3916" s="76">
        <v>71.810074</v>
      </c>
      <c r="G3916" s="79">
        <v>595300</v>
      </c>
    </row>
    <row r="3917" spans="1:7" x14ac:dyDescent="0.25">
      <c r="A3917" s="1" t="s">
        <v>4040</v>
      </c>
      <c r="B3917" s="76">
        <v>77.534355000000005</v>
      </c>
      <c r="C3917" s="76">
        <v>78.391266000000002</v>
      </c>
      <c r="D3917" s="76">
        <v>77.469688000000005</v>
      </c>
      <c r="E3917" s="76">
        <v>77.857718999999904</v>
      </c>
      <c r="F3917" s="76">
        <v>72.019463000000002</v>
      </c>
      <c r="G3917" s="79">
        <v>788200</v>
      </c>
    </row>
    <row r="3918" spans="1:7" x14ac:dyDescent="0.25">
      <c r="A3918" s="1" t="s">
        <v>4041</v>
      </c>
      <c r="B3918" s="76">
        <v>77.793044999999907</v>
      </c>
      <c r="C3918" s="76">
        <v>78.140663000000004</v>
      </c>
      <c r="D3918" s="76">
        <v>77.380759999999995</v>
      </c>
      <c r="E3918" s="76">
        <v>77.825385999999995</v>
      </c>
      <c r="F3918" s="76">
        <v>71.989554999999996</v>
      </c>
      <c r="G3918" s="79">
        <v>498300</v>
      </c>
    </row>
    <row r="3919" spans="1:7" x14ac:dyDescent="0.25">
      <c r="A3919" s="1" t="s">
        <v>4042</v>
      </c>
      <c r="B3919" s="76">
        <v>77.784965999999997</v>
      </c>
      <c r="C3919" s="76">
        <v>78.666129999999995</v>
      </c>
      <c r="D3919" s="76">
        <v>77.122069999999994</v>
      </c>
      <c r="E3919" s="76">
        <v>78.455939999999998</v>
      </c>
      <c r="F3919" s="76">
        <v>72.572815000000006</v>
      </c>
      <c r="G3919" s="79">
        <v>693200</v>
      </c>
    </row>
    <row r="3920" spans="1:7" x14ac:dyDescent="0.25">
      <c r="A3920" s="1" t="s">
        <v>4043</v>
      </c>
      <c r="B3920" s="76">
        <v>78.415520000000001</v>
      </c>
      <c r="C3920" s="76">
        <v>78.536781000000005</v>
      </c>
      <c r="D3920" s="76">
        <v>77.712204</v>
      </c>
      <c r="E3920" s="76">
        <v>77.954727000000005</v>
      </c>
      <c r="F3920" s="76">
        <v>72.109183999999999</v>
      </c>
      <c r="G3920" s="79">
        <v>454600</v>
      </c>
    </row>
    <row r="3921" spans="1:7" x14ac:dyDescent="0.25">
      <c r="A3921" s="1" t="s">
        <v>4044</v>
      </c>
      <c r="B3921" s="76">
        <v>78.940986999999893</v>
      </c>
      <c r="C3921" s="76">
        <v>79.320937999999998</v>
      </c>
      <c r="D3921" s="76">
        <v>78.544867999999994</v>
      </c>
      <c r="E3921" s="76">
        <v>78.860146</v>
      </c>
      <c r="F3921" s="76">
        <v>72.946724000000003</v>
      </c>
      <c r="G3921" s="79">
        <v>1084300</v>
      </c>
    </row>
    <row r="3922" spans="1:7" x14ac:dyDescent="0.25">
      <c r="A3922" s="1" t="s">
        <v>4045</v>
      </c>
      <c r="B3922" s="76">
        <v>78.884399000000002</v>
      </c>
      <c r="C3922" s="76">
        <v>79.329025000000001</v>
      </c>
      <c r="D3922" s="76">
        <v>78.415520000000001</v>
      </c>
      <c r="E3922" s="76">
        <v>79.126923000000005</v>
      </c>
      <c r="F3922" s="76">
        <v>73.193489</v>
      </c>
      <c r="G3922" s="79">
        <v>513800</v>
      </c>
    </row>
    <row r="3923" spans="1:7" x14ac:dyDescent="0.25">
      <c r="A3923" s="1" t="s">
        <v>4046</v>
      </c>
      <c r="B3923" s="76">
        <v>78.900565999999998</v>
      </c>
      <c r="C3923" s="76">
        <v>79.183509999999998</v>
      </c>
      <c r="D3923" s="76">
        <v>77.388846999999998</v>
      </c>
      <c r="E3923" s="76">
        <v>78.164917000000003</v>
      </c>
      <c r="F3923" s="76">
        <v>72.303618999999998</v>
      </c>
      <c r="G3923" s="79">
        <v>781800</v>
      </c>
    </row>
    <row r="3924" spans="1:7" x14ac:dyDescent="0.25">
      <c r="A3924" s="1" t="s">
        <v>4047</v>
      </c>
      <c r="B3924" s="76">
        <v>78.472106999999994</v>
      </c>
      <c r="C3924" s="76">
        <v>78.496360999999993</v>
      </c>
      <c r="D3924" s="76">
        <v>77.13015</v>
      </c>
      <c r="E3924" s="76">
        <v>77.316085999999999</v>
      </c>
      <c r="F3924" s="76">
        <v>71.518447999999907</v>
      </c>
      <c r="G3924" s="79">
        <v>803000</v>
      </c>
    </row>
    <row r="3925" spans="1:7" x14ac:dyDescent="0.25">
      <c r="A3925" s="1" t="s">
        <v>4048</v>
      </c>
      <c r="B3925" s="76">
        <v>77.316085999999999</v>
      </c>
      <c r="C3925" s="76">
        <v>77.445435000000003</v>
      </c>
      <c r="D3925" s="76">
        <v>75.869040999999996</v>
      </c>
      <c r="E3925" s="76">
        <v>76.936133999999996</v>
      </c>
      <c r="F3925" s="76">
        <v>71.166984999999997</v>
      </c>
      <c r="G3925" s="79">
        <v>863900</v>
      </c>
    </row>
    <row r="3926" spans="1:7" x14ac:dyDescent="0.25">
      <c r="A3926" s="1" t="s">
        <v>4049</v>
      </c>
      <c r="B3926" s="76">
        <v>76.580437000000003</v>
      </c>
      <c r="C3926" s="76">
        <v>77.687957999999995</v>
      </c>
      <c r="D3926" s="76">
        <v>75.755859000000001</v>
      </c>
      <c r="E3926" s="76">
        <v>76.903801000000001</v>
      </c>
      <c r="F3926" s="76">
        <v>71.724402999999995</v>
      </c>
      <c r="G3926" s="79">
        <v>721900</v>
      </c>
    </row>
    <row r="3927" spans="1:7" x14ac:dyDescent="0.25">
      <c r="A3927" s="1" t="s">
        <v>4050</v>
      </c>
      <c r="B3927" s="76">
        <v>77.405013999999994</v>
      </c>
      <c r="C3927" s="76">
        <v>77.744545000000002</v>
      </c>
      <c r="D3927" s="76">
        <v>77.000809000000004</v>
      </c>
      <c r="E3927" s="76">
        <v>77.469688000000005</v>
      </c>
      <c r="F3927" s="76">
        <v>72.252167</v>
      </c>
      <c r="G3927" s="79">
        <v>758600</v>
      </c>
    </row>
    <row r="3928" spans="1:7" x14ac:dyDescent="0.25">
      <c r="A3928" s="1" t="s">
        <v>4051</v>
      </c>
      <c r="B3928" s="76">
        <v>77.380759999999995</v>
      </c>
      <c r="C3928" s="76">
        <v>78.464027000000002</v>
      </c>
      <c r="D3928" s="76">
        <v>76.976555000000005</v>
      </c>
      <c r="E3928" s="76">
        <v>78.051734999999994</v>
      </c>
      <c r="F3928" s="76">
        <v>72.795012999999997</v>
      </c>
      <c r="G3928" s="79">
        <v>734600</v>
      </c>
    </row>
    <row r="3929" spans="1:7" x14ac:dyDescent="0.25">
      <c r="A3929" s="1" t="s">
        <v>4052</v>
      </c>
      <c r="B3929" s="76">
        <v>77.655617000000007</v>
      </c>
      <c r="C3929" s="76">
        <v>78.350844999999893</v>
      </c>
      <c r="D3929" s="76">
        <v>77.413094000000001</v>
      </c>
      <c r="E3929" s="76">
        <v>78.334678999999994</v>
      </c>
      <c r="F3929" s="76">
        <v>73.058898999999997</v>
      </c>
      <c r="G3929" s="79">
        <v>701800</v>
      </c>
    </row>
    <row r="3930" spans="1:7" x14ac:dyDescent="0.25">
      <c r="A3930" s="1" t="s">
        <v>4053</v>
      </c>
      <c r="B3930" s="76">
        <v>78.075989000000007</v>
      </c>
      <c r="C3930" s="76">
        <v>78.884399000000002</v>
      </c>
      <c r="D3930" s="76">
        <v>77.421181000000004</v>
      </c>
      <c r="E3930" s="76">
        <v>78.455939999999998</v>
      </c>
      <c r="F3930" s="76">
        <v>73.172004999999999</v>
      </c>
      <c r="G3930" s="79">
        <v>735800</v>
      </c>
    </row>
    <row r="3931" spans="1:7" x14ac:dyDescent="0.25">
      <c r="A3931" s="1" t="s">
        <v>4054</v>
      </c>
      <c r="B3931" s="76">
        <v>78.294257999999999</v>
      </c>
      <c r="C3931" s="76">
        <v>78.447861000000003</v>
      </c>
      <c r="D3931" s="76">
        <v>77.679870999999906</v>
      </c>
      <c r="E3931" s="76">
        <v>78.358931999999996</v>
      </c>
      <c r="F3931" s="76">
        <v>73.081528000000006</v>
      </c>
      <c r="G3931" s="79">
        <v>606500</v>
      </c>
    </row>
    <row r="3932" spans="1:7" x14ac:dyDescent="0.25">
      <c r="A3932" s="1" t="s">
        <v>4055</v>
      </c>
      <c r="B3932" s="76">
        <v>78.334678999999994</v>
      </c>
      <c r="C3932" s="76">
        <v>79.110748000000001</v>
      </c>
      <c r="D3932" s="76">
        <v>77.679870999999906</v>
      </c>
      <c r="E3932" s="76">
        <v>78.367019999999997</v>
      </c>
      <c r="F3932" s="76">
        <v>73.089057999999994</v>
      </c>
      <c r="G3932" s="79">
        <v>804200</v>
      </c>
    </row>
    <row r="3933" spans="1:7" x14ac:dyDescent="0.25">
      <c r="A3933" s="1" t="s">
        <v>4056</v>
      </c>
      <c r="B3933" s="76">
        <v>78.221503999999996</v>
      </c>
      <c r="C3933" s="76">
        <v>78.641875999999996</v>
      </c>
      <c r="D3933" s="76">
        <v>77.849639999999994</v>
      </c>
      <c r="E3933" s="76">
        <v>78.156829999999999</v>
      </c>
      <c r="F3933" s="76">
        <v>72.893035999999995</v>
      </c>
      <c r="G3933" s="79">
        <v>599200</v>
      </c>
    </row>
    <row r="3934" spans="1:7" x14ac:dyDescent="0.25">
      <c r="A3934" s="1" t="s">
        <v>4057</v>
      </c>
      <c r="B3934" s="76">
        <v>77.760711999999998</v>
      </c>
      <c r="C3934" s="76">
        <v>77.995148</v>
      </c>
      <c r="D3934" s="76">
        <v>76.839127000000005</v>
      </c>
      <c r="E3934" s="76">
        <v>77.146323999999893</v>
      </c>
      <c r="F3934" s="76">
        <v>71.950583999999907</v>
      </c>
      <c r="G3934" s="79">
        <v>587000</v>
      </c>
    </row>
    <row r="3935" spans="1:7" x14ac:dyDescent="0.25">
      <c r="A3935" s="1" t="s">
        <v>4058</v>
      </c>
      <c r="B3935" s="76">
        <v>76.774451999999997</v>
      </c>
      <c r="C3935" s="76">
        <v>76.976555000000005</v>
      </c>
      <c r="D3935" s="76">
        <v>76.168152000000006</v>
      </c>
      <c r="E3935" s="76">
        <v>76.337913999999998</v>
      </c>
      <c r="F3935" s="76">
        <v>71.196617000000003</v>
      </c>
      <c r="G3935" s="79">
        <v>813300</v>
      </c>
    </row>
    <row r="3936" spans="1:7" x14ac:dyDescent="0.25">
      <c r="A3936" s="1" t="s">
        <v>4059</v>
      </c>
      <c r="B3936" s="76">
        <v>75.877121000000002</v>
      </c>
      <c r="C3936" s="76">
        <v>76.257071999999994</v>
      </c>
      <c r="D3936" s="76">
        <v>74.470489999999998</v>
      </c>
      <c r="E3936" s="76">
        <v>74.502831</v>
      </c>
      <c r="F3936" s="76">
        <v>69.485123000000002</v>
      </c>
      <c r="G3936" s="79">
        <v>1148300</v>
      </c>
    </row>
    <row r="3937" spans="1:7" x14ac:dyDescent="0.25">
      <c r="A3937" s="1" t="s">
        <v>4060</v>
      </c>
      <c r="B3937" s="76">
        <v>74.502831</v>
      </c>
      <c r="C3937" s="76">
        <v>74.801940999999999</v>
      </c>
      <c r="D3937" s="76">
        <v>70.444626</v>
      </c>
      <c r="E3937" s="76">
        <v>70.679062000000002</v>
      </c>
      <c r="F3937" s="76">
        <v>65.918883999999906</v>
      </c>
      <c r="G3937" s="79">
        <v>1512300</v>
      </c>
    </row>
    <row r="3938" spans="1:7" x14ac:dyDescent="0.25">
      <c r="A3938" s="1" t="s">
        <v>4061</v>
      </c>
      <c r="B3938" s="76">
        <v>72.231200999999999</v>
      </c>
      <c r="C3938" s="76">
        <v>72.231200999999999</v>
      </c>
      <c r="D3938" s="76">
        <v>68.496360999999993</v>
      </c>
      <c r="E3938" s="76">
        <v>68.552948000000001</v>
      </c>
      <c r="F3938" s="76">
        <v>63.935966000000001</v>
      </c>
      <c r="G3938" s="79">
        <v>1191900</v>
      </c>
    </row>
    <row r="3939" spans="1:7" x14ac:dyDescent="0.25">
      <c r="A3939" s="1" t="s">
        <v>4062</v>
      </c>
      <c r="B3939" s="76">
        <v>69.725143000000003</v>
      </c>
      <c r="C3939" s="76">
        <v>71.374290000000002</v>
      </c>
      <c r="D3939" s="76">
        <v>69.070328000000003</v>
      </c>
      <c r="E3939" s="76">
        <v>71.236862000000002</v>
      </c>
      <c r="F3939" s="76">
        <v>66.439116999999996</v>
      </c>
      <c r="G3939" s="79">
        <v>1320000</v>
      </c>
    </row>
    <row r="3940" spans="1:7" x14ac:dyDescent="0.25">
      <c r="A3940" s="1" t="s">
        <v>4063</v>
      </c>
      <c r="B3940" s="76">
        <v>71.616814000000005</v>
      </c>
      <c r="C3940" s="76">
        <v>73.759093999999905</v>
      </c>
      <c r="D3940" s="76">
        <v>71.519806000000003</v>
      </c>
      <c r="E3940" s="76">
        <v>72.983024999999998</v>
      </c>
      <c r="F3940" s="76">
        <v>68.067672999999999</v>
      </c>
      <c r="G3940" s="79">
        <v>980700</v>
      </c>
    </row>
    <row r="3941" spans="1:7" x14ac:dyDescent="0.25">
      <c r="A3941" s="1" t="s">
        <v>4064</v>
      </c>
      <c r="B3941" s="76">
        <v>72.667746999999906</v>
      </c>
      <c r="C3941" s="76">
        <v>73.411475999999993</v>
      </c>
      <c r="D3941" s="76">
        <v>71.738074999999995</v>
      </c>
      <c r="E3941" s="76">
        <v>72.368636999999893</v>
      </c>
      <c r="F3941" s="76">
        <v>67.494658999999999</v>
      </c>
      <c r="G3941" s="79">
        <v>929900</v>
      </c>
    </row>
    <row r="3942" spans="1:7" x14ac:dyDescent="0.25">
      <c r="A3942" s="1" t="s">
        <v>4065</v>
      </c>
      <c r="B3942" s="76">
        <v>72.166533999999999</v>
      </c>
      <c r="C3942" s="76">
        <v>72.853675999999993</v>
      </c>
      <c r="D3942" s="76">
        <v>70.436538999999996</v>
      </c>
      <c r="E3942" s="76">
        <v>70.485045999999997</v>
      </c>
      <c r="F3942" s="76">
        <v>65.737938</v>
      </c>
      <c r="G3942" s="79">
        <v>1178700</v>
      </c>
    </row>
    <row r="3943" spans="1:7" x14ac:dyDescent="0.25">
      <c r="A3943" s="1" t="s">
        <v>4066</v>
      </c>
      <c r="B3943" s="76">
        <v>69.361358999999993</v>
      </c>
      <c r="C3943" s="76">
        <v>70.436538999999996</v>
      </c>
      <c r="D3943" s="76">
        <v>68.860146</v>
      </c>
      <c r="E3943" s="76">
        <v>69.506873999999996</v>
      </c>
      <c r="F3943" s="76">
        <v>64.825644999999994</v>
      </c>
      <c r="G3943" s="79">
        <v>1339100</v>
      </c>
    </row>
    <row r="3944" spans="1:7" x14ac:dyDescent="0.25">
      <c r="A3944" s="1" t="s">
        <v>4067</v>
      </c>
      <c r="B3944" s="76">
        <v>70.137428</v>
      </c>
      <c r="C3944" s="76">
        <v>70.808410999999893</v>
      </c>
      <c r="D3944" s="76">
        <v>69.797896999999907</v>
      </c>
      <c r="E3944" s="76">
        <v>70.517380000000003</v>
      </c>
      <c r="F3944" s="76">
        <v>65.768096999999997</v>
      </c>
      <c r="G3944" s="79">
        <v>902900</v>
      </c>
    </row>
    <row r="3945" spans="1:7" x14ac:dyDescent="0.25">
      <c r="A3945" s="1" t="s">
        <v>4068</v>
      </c>
      <c r="B3945" s="76">
        <v>70.703316000000001</v>
      </c>
      <c r="C3945" s="76">
        <v>71.293448999999995</v>
      </c>
      <c r="D3945" s="76">
        <v>70.355698000000004</v>
      </c>
      <c r="E3945" s="76">
        <v>70.5578</v>
      </c>
      <c r="F3945" s="76">
        <v>65.805793999999906</v>
      </c>
      <c r="G3945" s="79">
        <v>806100</v>
      </c>
    </row>
    <row r="3946" spans="1:7" x14ac:dyDescent="0.25">
      <c r="A3946" s="1" t="s">
        <v>4069</v>
      </c>
      <c r="B3946" s="76">
        <v>69.911071999999905</v>
      </c>
      <c r="C3946" s="76">
        <v>69.983832999999905</v>
      </c>
      <c r="D3946" s="76">
        <v>68.391266000000002</v>
      </c>
      <c r="E3946" s="76">
        <v>68.649963</v>
      </c>
      <c r="F3946" s="76">
        <v>64.026443</v>
      </c>
      <c r="G3946" s="79">
        <v>996300</v>
      </c>
    </row>
    <row r="3947" spans="1:7" x14ac:dyDescent="0.25">
      <c r="A3947" s="1" t="s">
        <v>4070</v>
      </c>
      <c r="B3947" s="76">
        <v>69.822151000000005</v>
      </c>
      <c r="C3947" s="76">
        <v>70.194016000000005</v>
      </c>
      <c r="D3947" s="76">
        <v>69.086501999999996</v>
      </c>
      <c r="E3947" s="76">
        <v>70.016166999999996</v>
      </c>
      <c r="F3947" s="76">
        <v>65.300635999999997</v>
      </c>
      <c r="G3947" s="79">
        <v>959600</v>
      </c>
    </row>
    <row r="3948" spans="1:7" x14ac:dyDescent="0.25">
      <c r="A3948" s="1" t="s">
        <v>4071</v>
      </c>
      <c r="B3948" s="76">
        <v>70.776069999999905</v>
      </c>
      <c r="C3948" s="76">
        <v>70.816490000000002</v>
      </c>
      <c r="D3948" s="76">
        <v>69.369445999999996</v>
      </c>
      <c r="E3948" s="76">
        <v>69.555374</v>
      </c>
      <c r="F3948" s="76">
        <v>64.870871999999906</v>
      </c>
      <c r="G3948" s="79">
        <v>841700</v>
      </c>
    </row>
    <row r="3949" spans="1:7" x14ac:dyDescent="0.25">
      <c r="A3949" s="1" t="s">
        <v>4072</v>
      </c>
      <c r="B3949" s="76">
        <v>69.280518000000001</v>
      </c>
      <c r="C3949" s="76">
        <v>70.994338999999997</v>
      </c>
      <c r="D3949" s="76">
        <v>69.280518000000001</v>
      </c>
      <c r="E3949" s="76">
        <v>70.226356999999993</v>
      </c>
      <c r="F3949" s="76">
        <v>65.496673999999999</v>
      </c>
      <c r="G3949" s="79">
        <v>952500</v>
      </c>
    </row>
    <row r="3950" spans="1:7" x14ac:dyDescent="0.25">
      <c r="A3950" s="1" t="s">
        <v>4073</v>
      </c>
      <c r="B3950" s="76">
        <v>70.008087000000003</v>
      </c>
      <c r="C3950" s="76">
        <v>71.859336999999996</v>
      </c>
      <c r="D3950" s="76">
        <v>69.733222999999995</v>
      </c>
      <c r="E3950" s="76">
        <v>71.843170000000001</v>
      </c>
      <c r="F3950" s="76">
        <v>67.004593</v>
      </c>
      <c r="G3950" s="79">
        <v>1053200</v>
      </c>
    </row>
    <row r="3951" spans="1:7" x14ac:dyDescent="0.25">
      <c r="A3951" s="1" t="s">
        <v>4074</v>
      </c>
      <c r="B3951" s="76">
        <v>72.021018999999995</v>
      </c>
      <c r="C3951" s="76">
        <v>72.021018999999995</v>
      </c>
      <c r="D3951" s="76">
        <v>71.228782999999893</v>
      </c>
      <c r="E3951" s="76">
        <v>71.544060000000002</v>
      </c>
      <c r="F3951" s="76">
        <v>66.725631999999905</v>
      </c>
      <c r="G3951" s="79">
        <v>880400</v>
      </c>
    </row>
    <row r="3952" spans="1:7" x14ac:dyDescent="0.25">
      <c r="A3952" s="1" t="s">
        <v>4075</v>
      </c>
      <c r="B3952" s="76">
        <v>71.552138999999997</v>
      </c>
      <c r="C3952" s="76">
        <v>72.748588999999996</v>
      </c>
      <c r="D3952" s="76">
        <v>71.139854</v>
      </c>
      <c r="E3952" s="76">
        <v>72.594985999999906</v>
      </c>
      <c r="F3952" s="76">
        <v>67.705780000000004</v>
      </c>
      <c r="G3952" s="79">
        <v>816100</v>
      </c>
    </row>
    <row r="3953" spans="1:7" x14ac:dyDescent="0.25">
      <c r="A3953" s="1" t="s">
        <v>4076</v>
      </c>
      <c r="B3953" s="76">
        <v>72.433304000000007</v>
      </c>
      <c r="C3953" s="76">
        <v>73.742928000000006</v>
      </c>
      <c r="D3953" s="76">
        <v>72.158446999999995</v>
      </c>
      <c r="E3953" s="76">
        <v>73.556991999999994</v>
      </c>
      <c r="F3953" s="76">
        <v>68.603003999999999</v>
      </c>
      <c r="G3953" s="79">
        <v>795300</v>
      </c>
    </row>
    <row r="3954" spans="1:7" x14ac:dyDescent="0.25">
      <c r="A3954" s="1" t="s">
        <v>4077</v>
      </c>
      <c r="B3954" s="76">
        <v>73.468070999999995</v>
      </c>
      <c r="C3954" s="76">
        <v>75.675017999999994</v>
      </c>
      <c r="D3954" s="76">
        <v>73.257880999999998</v>
      </c>
      <c r="E3954" s="76">
        <v>74.389656000000002</v>
      </c>
      <c r="F3954" s="76">
        <v>69.379577999999995</v>
      </c>
      <c r="G3954" s="79">
        <v>835700</v>
      </c>
    </row>
    <row r="3955" spans="1:7" x14ac:dyDescent="0.25">
      <c r="A3955" s="1" t="s">
        <v>4078</v>
      </c>
      <c r="B3955" s="76">
        <v>73.193207000000001</v>
      </c>
      <c r="C3955" s="76">
        <v>75.101050999999998</v>
      </c>
      <c r="D3955" s="76">
        <v>73.193207000000001</v>
      </c>
      <c r="E3955" s="76">
        <v>74.179466000000005</v>
      </c>
      <c r="F3955" s="76">
        <v>69.183532999999997</v>
      </c>
      <c r="G3955" s="79">
        <v>1492100</v>
      </c>
    </row>
    <row r="3956" spans="1:7" x14ac:dyDescent="0.25">
      <c r="A3956" s="1" t="s">
        <v>4079</v>
      </c>
      <c r="B3956" s="76">
        <v>74.413901999999993</v>
      </c>
      <c r="C3956" s="76">
        <v>75.189980000000006</v>
      </c>
      <c r="D3956" s="76">
        <v>74.090537999999995</v>
      </c>
      <c r="E3956" s="76">
        <v>74.640259</v>
      </c>
      <c r="F3956" s="76">
        <v>69.613303999999999</v>
      </c>
      <c r="G3956" s="79">
        <v>812200</v>
      </c>
    </row>
    <row r="3957" spans="1:7" x14ac:dyDescent="0.25">
      <c r="A3957" s="1" t="s">
        <v>4080</v>
      </c>
      <c r="B3957" s="76">
        <v>74.106712000000002</v>
      </c>
      <c r="C3957" s="76">
        <v>74.478577000000001</v>
      </c>
      <c r="D3957" s="76">
        <v>73.371055999999996</v>
      </c>
      <c r="E3957" s="76">
        <v>73.589332999999996</v>
      </c>
      <c r="F3957" s="76">
        <v>68.633156</v>
      </c>
      <c r="G3957" s="79">
        <v>873300</v>
      </c>
    </row>
    <row r="3958" spans="1:7" x14ac:dyDescent="0.25">
      <c r="A3958" s="1" t="s">
        <v>4081</v>
      </c>
      <c r="B3958" s="76">
        <v>73.637833000000001</v>
      </c>
      <c r="C3958" s="76">
        <v>74.244140999999999</v>
      </c>
      <c r="D3958" s="76">
        <v>73.193207000000001</v>
      </c>
      <c r="E3958" s="76">
        <v>73.872268999999903</v>
      </c>
      <c r="F3958" s="76">
        <v>68.897033999999906</v>
      </c>
      <c r="G3958" s="79">
        <v>567600</v>
      </c>
    </row>
    <row r="3959" spans="1:7" x14ac:dyDescent="0.25">
      <c r="A3959" s="1" t="s">
        <v>4082</v>
      </c>
      <c r="B3959" s="76">
        <v>73.540824999999998</v>
      </c>
      <c r="C3959" s="76">
        <v>73.993530000000007</v>
      </c>
      <c r="D3959" s="76">
        <v>72.772835000000001</v>
      </c>
      <c r="E3959" s="76">
        <v>73.233626999999998</v>
      </c>
      <c r="F3959" s="76">
        <v>68.301406999999998</v>
      </c>
      <c r="G3959" s="79">
        <v>799400</v>
      </c>
    </row>
    <row r="3960" spans="1:7" x14ac:dyDescent="0.25">
      <c r="A3960" s="1" t="s">
        <v>4083</v>
      </c>
      <c r="B3960" s="76">
        <v>73.880356000000006</v>
      </c>
      <c r="C3960" s="76">
        <v>74.187552999999994</v>
      </c>
      <c r="D3960" s="76">
        <v>72.958770999999999</v>
      </c>
      <c r="E3960" s="76">
        <v>73.653998999999999</v>
      </c>
      <c r="F3960" s="76">
        <v>68.693466000000001</v>
      </c>
      <c r="G3960" s="79">
        <v>510200</v>
      </c>
    </row>
    <row r="3961" spans="1:7" x14ac:dyDescent="0.25">
      <c r="A3961" s="1" t="s">
        <v>4084</v>
      </c>
      <c r="B3961" s="76">
        <v>73.080031999999903</v>
      </c>
      <c r="C3961" s="76">
        <v>73.354889</v>
      </c>
      <c r="D3961" s="76">
        <v>72.142280999999997</v>
      </c>
      <c r="E3961" s="76">
        <v>72.481812000000005</v>
      </c>
      <c r="F3961" s="76">
        <v>67.600227000000004</v>
      </c>
      <c r="G3961" s="79">
        <v>725900</v>
      </c>
    </row>
    <row r="3962" spans="1:7" x14ac:dyDescent="0.25">
      <c r="A3962" s="1" t="s">
        <v>4085</v>
      </c>
      <c r="B3962" s="76">
        <v>72.506065000000007</v>
      </c>
      <c r="C3962" s="76">
        <v>73.411475999999993</v>
      </c>
      <c r="D3962" s="76">
        <v>72.392882999999998</v>
      </c>
      <c r="E3962" s="76">
        <v>73.265968000000001</v>
      </c>
      <c r="F3962" s="76">
        <v>68.331565999999995</v>
      </c>
      <c r="G3962" s="79">
        <v>613300</v>
      </c>
    </row>
    <row r="3963" spans="1:7" x14ac:dyDescent="0.25">
      <c r="A3963" s="1" t="s">
        <v>4086</v>
      </c>
      <c r="B3963" s="76">
        <v>73.831847999999994</v>
      </c>
      <c r="C3963" s="76">
        <v>74.017783999999907</v>
      </c>
      <c r="D3963" s="76">
        <v>72.627326999999994</v>
      </c>
      <c r="E3963" s="76">
        <v>73.096198999999999</v>
      </c>
      <c r="F3963" s="76">
        <v>68.173232999999996</v>
      </c>
      <c r="G3963" s="79">
        <v>997000</v>
      </c>
    </row>
    <row r="3964" spans="1:7" x14ac:dyDescent="0.25">
      <c r="A3964" s="1" t="s">
        <v>4087</v>
      </c>
      <c r="B3964" s="76">
        <v>73.443816999999996</v>
      </c>
      <c r="C3964" s="76">
        <v>73.532737999999995</v>
      </c>
      <c r="D3964" s="76">
        <v>72.206954999999994</v>
      </c>
      <c r="E3964" s="76">
        <v>73.217461</v>
      </c>
      <c r="F3964" s="76">
        <v>68.286323999999993</v>
      </c>
      <c r="G3964" s="79">
        <v>876300</v>
      </c>
    </row>
    <row r="3965" spans="1:7" x14ac:dyDescent="0.25">
      <c r="A3965" s="1" t="s">
        <v>4088</v>
      </c>
      <c r="B3965" s="76">
        <v>72.999190999999996</v>
      </c>
      <c r="C3965" s="76">
        <v>74.139045999999993</v>
      </c>
      <c r="D3965" s="76">
        <v>72.409058000000002</v>
      </c>
      <c r="E3965" s="76">
        <v>74.130958999999905</v>
      </c>
      <c r="F3965" s="76">
        <v>69.138297999999907</v>
      </c>
      <c r="G3965" s="79">
        <v>815600</v>
      </c>
    </row>
    <row r="3966" spans="1:7" x14ac:dyDescent="0.25">
      <c r="A3966" s="1" t="s">
        <v>4089</v>
      </c>
      <c r="B3966" s="76">
        <v>74.494743</v>
      </c>
      <c r="C3966" s="76">
        <v>75.157639000000003</v>
      </c>
      <c r="D3966" s="76">
        <v>74.155212000000006</v>
      </c>
      <c r="E3966" s="76">
        <v>75.101050999999998</v>
      </c>
      <c r="F3966" s="76">
        <v>70.043053</v>
      </c>
      <c r="G3966" s="79">
        <v>814100</v>
      </c>
    </row>
    <row r="3967" spans="1:7" x14ac:dyDescent="0.25">
      <c r="A3967" s="1" t="s">
        <v>4090</v>
      </c>
      <c r="B3967" s="76">
        <v>74.931281999999996</v>
      </c>
      <c r="C3967" s="76">
        <v>75.416327999999993</v>
      </c>
      <c r="D3967" s="76">
        <v>74.502831</v>
      </c>
      <c r="E3967" s="76">
        <v>75.084885</v>
      </c>
      <c r="F3967" s="76">
        <v>70.027985000000001</v>
      </c>
      <c r="G3967" s="79">
        <v>634100</v>
      </c>
    </row>
    <row r="3968" spans="1:7" x14ac:dyDescent="0.25">
      <c r="A3968" s="1" t="s">
        <v>4091</v>
      </c>
      <c r="B3968" s="76">
        <v>75.189980000000006</v>
      </c>
      <c r="C3968" s="76">
        <v>76.289412999999996</v>
      </c>
      <c r="D3968" s="76">
        <v>75.149558999999996</v>
      </c>
      <c r="E3968" s="76">
        <v>76.232818999999907</v>
      </c>
      <c r="F3968" s="76">
        <v>71.098602</v>
      </c>
      <c r="G3968" s="79">
        <v>1178600</v>
      </c>
    </row>
    <row r="3969" spans="1:7" x14ac:dyDescent="0.25">
      <c r="A3969" s="1" t="s">
        <v>4092</v>
      </c>
      <c r="B3969" s="76">
        <v>76.014549000000002</v>
      </c>
      <c r="C3969" s="76">
        <v>77.566695999999993</v>
      </c>
      <c r="D3969" s="76">
        <v>75.812446999999906</v>
      </c>
      <c r="E3969" s="76">
        <v>77.510101000000006</v>
      </c>
      <c r="F3969" s="76">
        <v>72.289863999999994</v>
      </c>
      <c r="G3969" s="79">
        <v>971300</v>
      </c>
    </row>
    <row r="3970" spans="1:7" x14ac:dyDescent="0.25">
      <c r="A3970" s="1" t="s">
        <v>4093</v>
      </c>
      <c r="B3970" s="76">
        <v>77.461601000000002</v>
      </c>
      <c r="C3970" s="76">
        <v>77.607117000000002</v>
      </c>
      <c r="D3970" s="76">
        <v>76.540015999999994</v>
      </c>
      <c r="E3970" s="76">
        <v>76.984641999999994</v>
      </c>
      <c r="F3970" s="76">
        <v>71.799789000000004</v>
      </c>
      <c r="G3970" s="79">
        <v>688800</v>
      </c>
    </row>
    <row r="3971" spans="1:7" x14ac:dyDescent="0.25">
      <c r="A3971" s="1" t="s">
        <v>4094</v>
      </c>
      <c r="B3971" s="76">
        <v>77.041229000000001</v>
      </c>
      <c r="C3971" s="76">
        <v>77.841553000000005</v>
      </c>
      <c r="D3971" s="76">
        <v>76.887633999999906</v>
      </c>
      <c r="E3971" s="76">
        <v>77.801131999999996</v>
      </c>
      <c r="F3971" s="76">
        <v>72.561295000000001</v>
      </c>
      <c r="G3971" s="79">
        <v>825600</v>
      </c>
    </row>
    <row r="3972" spans="1:7" x14ac:dyDescent="0.25">
      <c r="A3972" s="1" t="s">
        <v>4095</v>
      </c>
      <c r="B3972" s="76">
        <v>77.687957999999995</v>
      </c>
      <c r="C3972" s="76">
        <v>78.011313999999999</v>
      </c>
      <c r="D3972" s="76">
        <v>76.790618999999893</v>
      </c>
      <c r="E3972" s="76">
        <v>77.356505999999996</v>
      </c>
      <c r="F3972" s="76">
        <v>72.146606000000006</v>
      </c>
      <c r="G3972" s="79">
        <v>972700</v>
      </c>
    </row>
    <row r="3973" spans="1:7" x14ac:dyDescent="0.25">
      <c r="A3973" s="1" t="s">
        <v>4096</v>
      </c>
      <c r="B3973" s="76">
        <v>77.558608999999905</v>
      </c>
      <c r="C3973" s="76">
        <v>77.776877999999996</v>
      </c>
      <c r="D3973" s="76">
        <v>76.790618999999893</v>
      </c>
      <c r="E3973" s="76">
        <v>77.138237000000004</v>
      </c>
      <c r="F3973" s="76">
        <v>71.943038999999999</v>
      </c>
      <c r="G3973" s="79">
        <v>661200</v>
      </c>
    </row>
    <row r="3974" spans="1:7" x14ac:dyDescent="0.25">
      <c r="A3974" s="1" t="s">
        <v>4097</v>
      </c>
      <c r="B3974" s="76">
        <v>77.558608999999905</v>
      </c>
      <c r="C3974" s="76">
        <v>78.973320000000001</v>
      </c>
      <c r="D3974" s="76">
        <v>77.299918999999903</v>
      </c>
      <c r="E3974" s="76">
        <v>78.924819999999997</v>
      </c>
      <c r="F3974" s="76">
        <v>73.609298999999993</v>
      </c>
      <c r="G3974" s="79">
        <v>1358800</v>
      </c>
    </row>
    <row r="3975" spans="1:7" x14ac:dyDescent="0.25">
      <c r="A3975" s="1" t="s">
        <v>4098</v>
      </c>
      <c r="B3975" s="76">
        <v>79.353270999999907</v>
      </c>
      <c r="C3975" s="76">
        <v>79.878737999999998</v>
      </c>
      <c r="D3975" s="76">
        <v>79.078415000000007</v>
      </c>
      <c r="E3975" s="76">
        <v>79.4422</v>
      </c>
      <c r="F3975" s="76">
        <v>74.091835000000003</v>
      </c>
      <c r="G3975" s="79">
        <v>843800</v>
      </c>
    </row>
    <row r="3976" spans="1:7" x14ac:dyDescent="0.25">
      <c r="A3976" s="1" t="s">
        <v>4099</v>
      </c>
      <c r="B3976" s="76">
        <v>79.345191999999997</v>
      </c>
      <c r="C3976" s="76">
        <v>81.059012999999993</v>
      </c>
      <c r="D3976" s="76">
        <v>79.223929999999996</v>
      </c>
      <c r="E3976" s="76">
        <v>81.026679999999999</v>
      </c>
      <c r="F3976" s="76">
        <v>75.569594999999893</v>
      </c>
      <c r="G3976" s="79">
        <v>960900</v>
      </c>
    </row>
    <row r="3977" spans="1:7" x14ac:dyDescent="0.25">
      <c r="A3977" s="1" t="s">
        <v>4100</v>
      </c>
      <c r="B3977" s="76">
        <v>80.638641000000007</v>
      </c>
      <c r="C3977" s="76">
        <v>81.317702999999995</v>
      </c>
      <c r="D3977" s="76">
        <v>79.902991999999998</v>
      </c>
      <c r="E3977" s="76">
        <v>80.452704999999995</v>
      </c>
      <c r="F3977" s="76">
        <v>75.034278999999998</v>
      </c>
      <c r="G3977" s="79">
        <v>947700</v>
      </c>
    </row>
    <row r="3978" spans="1:7" x14ac:dyDescent="0.25">
      <c r="A3978" s="1" t="s">
        <v>4101</v>
      </c>
      <c r="B3978" s="76">
        <v>80.743735999999998</v>
      </c>
      <c r="C3978" s="76">
        <v>81.083267000000006</v>
      </c>
      <c r="D3978" s="76">
        <v>79.854484999999997</v>
      </c>
      <c r="E3978" s="76">
        <v>79.886825999999999</v>
      </c>
      <c r="F3978" s="76">
        <v>74.506507999999997</v>
      </c>
      <c r="G3978" s="79">
        <v>661700</v>
      </c>
    </row>
    <row r="3979" spans="1:7" x14ac:dyDescent="0.25">
      <c r="A3979" s="1" t="s">
        <v>4102</v>
      </c>
      <c r="B3979" s="76">
        <v>80.202102999999994</v>
      </c>
      <c r="C3979" s="76">
        <v>81.333869999999905</v>
      </c>
      <c r="D3979" s="76">
        <v>79.991912999999997</v>
      </c>
      <c r="E3979" s="76">
        <v>81.010506000000007</v>
      </c>
      <c r="F3979" s="76">
        <v>75.554519999999997</v>
      </c>
      <c r="G3979" s="79">
        <v>821000</v>
      </c>
    </row>
    <row r="3980" spans="1:7" x14ac:dyDescent="0.25">
      <c r="A3980" s="1" t="s">
        <v>4103</v>
      </c>
      <c r="B3980" s="76">
        <v>80.929671999999997</v>
      </c>
      <c r="C3980" s="76">
        <v>81.471298000000004</v>
      </c>
      <c r="D3980" s="76">
        <v>79.862572</v>
      </c>
      <c r="E3980" s="76">
        <v>80.460792999999995</v>
      </c>
      <c r="F3980" s="76">
        <v>75.041831999999999</v>
      </c>
      <c r="G3980" s="79">
        <v>1101400</v>
      </c>
    </row>
    <row r="3981" spans="1:7" x14ac:dyDescent="0.25">
      <c r="A3981" s="1" t="s">
        <v>4104</v>
      </c>
      <c r="B3981" s="76">
        <v>80.630554000000004</v>
      </c>
      <c r="C3981" s="76">
        <v>80.743735999999998</v>
      </c>
      <c r="D3981" s="76">
        <v>80.080841000000007</v>
      </c>
      <c r="E3981" s="76">
        <v>80.646728999999993</v>
      </c>
      <c r="F3981" s="76">
        <v>75.215232999999998</v>
      </c>
      <c r="G3981" s="79">
        <v>618500</v>
      </c>
    </row>
    <row r="3982" spans="1:7" x14ac:dyDescent="0.25">
      <c r="A3982" s="1" t="s">
        <v>4105</v>
      </c>
      <c r="B3982" s="76">
        <v>80.412284999999997</v>
      </c>
      <c r="C3982" s="76">
        <v>80.864998</v>
      </c>
      <c r="D3982" s="76">
        <v>79.983832999999905</v>
      </c>
      <c r="E3982" s="76">
        <v>80.468879999999999</v>
      </c>
      <c r="F3982" s="76">
        <v>75.049377000000007</v>
      </c>
      <c r="G3982" s="79">
        <v>504100</v>
      </c>
    </row>
    <row r="3983" spans="1:7" x14ac:dyDescent="0.25">
      <c r="A3983" s="1" t="s">
        <v>4106</v>
      </c>
      <c r="B3983" s="76">
        <v>80.590133999999907</v>
      </c>
      <c r="C3983" s="76">
        <v>81.447051999999999</v>
      </c>
      <c r="D3983" s="76">
        <v>79.636215000000007</v>
      </c>
      <c r="E3983" s="76">
        <v>81.422798</v>
      </c>
      <c r="F3983" s="76">
        <v>75.939041000000003</v>
      </c>
      <c r="G3983" s="79">
        <v>972600</v>
      </c>
    </row>
    <row r="3984" spans="1:7" x14ac:dyDescent="0.25">
      <c r="A3984" s="1" t="s">
        <v>4107</v>
      </c>
      <c r="B3984" s="76">
        <v>80.978172000000001</v>
      </c>
      <c r="C3984" s="76">
        <v>81.495552000000004</v>
      </c>
      <c r="D3984" s="76">
        <v>80.816490000000002</v>
      </c>
      <c r="E3984" s="76">
        <v>81.406631000000004</v>
      </c>
      <c r="F3984" s="76">
        <v>75.923964999999995</v>
      </c>
      <c r="G3984" s="79">
        <v>427800</v>
      </c>
    </row>
    <row r="3985" spans="1:7" x14ac:dyDescent="0.25">
      <c r="A3985" s="1" t="s">
        <v>4108</v>
      </c>
      <c r="B3985" s="76">
        <v>81.398544000000001</v>
      </c>
      <c r="C3985" s="76">
        <v>81.544060000000002</v>
      </c>
      <c r="D3985" s="76">
        <v>80.913498000000004</v>
      </c>
      <c r="E3985" s="76">
        <v>81.28537</v>
      </c>
      <c r="F3985" s="76">
        <v>75.810867000000002</v>
      </c>
      <c r="G3985" s="79">
        <v>1828300</v>
      </c>
    </row>
    <row r="3986" spans="1:7" x14ac:dyDescent="0.25">
      <c r="A3986" s="1" t="s">
        <v>4109</v>
      </c>
      <c r="B3986" s="76">
        <v>81.293448999999995</v>
      </c>
      <c r="C3986" s="76">
        <v>83.597412000000006</v>
      </c>
      <c r="D3986" s="76">
        <v>79.474532999999994</v>
      </c>
      <c r="E3986" s="76">
        <v>83.597412000000006</v>
      </c>
      <c r="F3986" s="76">
        <v>77.967201000000003</v>
      </c>
      <c r="G3986" s="79">
        <v>1157500</v>
      </c>
    </row>
    <row r="3987" spans="1:7" x14ac:dyDescent="0.25">
      <c r="A3987" s="1" t="s">
        <v>4110</v>
      </c>
      <c r="B3987" s="76">
        <v>83.476151000000002</v>
      </c>
      <c r="C3987" s="76">
        <v>83.476151000000002</v>
      </c>
      <c r="D3987" s="76">
        <v>79.797896999999907</v>
      </c>
      <c r="E3987" s="76">
        <v>81.487472999999994</v>
      </c>
      <c r="F3987" s="76">
        <v>75.999358999999998</v>
      </c>
      <c r="G3987" s="79">
        <v>1592300</v>
      </c>
    </row>
    <row r="3988" spans="1:7" x14ac:dyDescent="0.25">
      <c r="A3988" s="1" t="s">
        <v>4111</v>
      </c>
      <c r="B3988" s="76">
        <v>81.649154999999993</v>
      </c>
      <c r="C3988" s="76">
        <v>81.924010999999993</v>
      </c>
      <c r="D3988" s="76">
        <v>80.460792999999995</v>
      </c>
      <c r="E3988" s="76">
        <v>80.759902999999994</v>
      </c>
      <c r="F3988" s="76">
        <v>75.320785999999998</v>
      </c>
      <c r="G3988" s="79">
        <v>994800</v>
      </c>
    </row>
    <row r="3989" spans="1:7" x14ac:dyDescent="0.25">
      <c r="A3989" s="1" t="s">
        <v>4112</v>
      </c>
      <c r="B3989" s="76">
        <v>80.598220999999995</v>
      </c>
      <c r="C3989" s="76">
        <v>80.848831000000004</v>
      </c>
      <c r="D3989" s="76">
        <v>80.129349000000005</v>
      </c>
      <c r="E3989" s="76">
        <v>80.662894999999907</v>
      </c>
      <c r="F3989" s="76">
        <v>75.230316000000002</v>
      </c>
      <c r="G3989" s="79">
        <v>1136600</v>
      </c>
    </row>
    <row r="3990" spans="1:7" x14ac:dyDescent="0.25">
      <c r="A3990" s="1" t="s">
        <v>4113</v>
      </c>
      <c r="B3990" s="76">
        <v>79.029915000000003</v>
      </c>
      <c r="C3990" s="76">
        <v>79.385611999999995</v>
      </c>
      <c r="D3990" s="76">
        <v>77.243331999999995</v>
      </c>
      <c r="E3990" s="76">
        <v>77.995148</v>
      </c>
      <c r="F3990" s="76">
        <v>73.204444999999893</v>
      </c>
      <c r="G3990" s="79">
        <v>1226000</v>
      </c>
    </row>
    <row r="3991" spans="1:7" x14ac:dyDescent="0.25">
      <c r="A3991" s="1" t="s">
        <v>4114</v>
      </c>
      <c r="B3991" s="76">
        <v>77.995148</v>
      </c>
      <c r="C3991" s="76">
        <v>78.148750000000007</v>
      </c>
      <c r="D3991" s="76">
        <v>76.071135999999996</v>
      </c>
      <c r="E3991" s="76">
        <v>76.798705999999996</v>
      </c>
      <c r="F3991" s="76">
        <v>72.081490000000002</v>
      </c>
      <c r="G3991" s="79">
        <v>1058100</v>
      </c>
    </row>
    <row r="3992" spans="1:7" x14ac:dyDescent="0.25">
      <c r="A3992" s="1" t="s">
        <v>4115</v>
      </c>
      <c r="B3992" s="76">
        <v>76.887633999999906</v>
      </c>
      <c r="C3992" s="76">
        <v>77.712204</v>
      </c>
      <c r="D3992" s="76">
        <v>76.806792999999999</v>
      </c>
      <c r="E3992" s="76">
        <v>77.364593999999997</v>
      </c>
      <c r="F3992" s="76">
        <v>72.612633000000002</v>
      </c>
      <c r="G3992" s="79">
        <v>954300</v>
      </c>
    </row>
    <row r="3993" spans="1:7" x14ac:dyDescent="0.25">
      <c r="A3993" s="1" t="s">
        <v>4116</v>
      </c>
      <c r="B3993" s="76">
        <v>77.631362999999993</v>
      </c>
      <c r="C3993" s="76">
        <v>77.825385999999995</v>
      </c>
      <c r="D3993" s="76">
        <v>77.138237000000004</v>
      </c>
      <c r="E3993" s="76">
        <v>77.599029999999999</v>
      </c>
      <c r="F3993" s="76">
        <v>72.832656999999998</v>
      </c>
      <c r="G3993" s="79">
        <v>735600</v>
      </c>
    </row>
    <row r="3994" spans="1:7" x14ac:dyDescent="0.25">
      <c r="A3994" s="1" t="s">
        <v>4117</v>
      </c>
      <c r="B3994" s="76">
        <v>77.356505999999996</v>
      </c>
      <c r="C3994" s="76">
        <v>77.558608999999905</v>
      </c>
      <c r="D3994" s="76">
        <v>76.523848999999998</v>
      </c>
      <c r="E3994" s="76">
        <v>76.596603000000002</v>
      </c>
      <c r="F3994" s="76">
        <v>71.891807999999997</v>
      </c>
      <c r="G3994" s="79">
        <v>632700</v>
      </c>
    </row>
    <row r="3995" spans="1:7" x14ac:dyDescent="0.25">
      <c r="A3995" s="1" t="s">
        <v>4118</v>
      </c>
      <c r="B3995" s="76">
        <v>76.499595999999997</v>
      </c>
      <c r="C3995" s="76">
        <v>77.332252999999994</v>
      </c>
      <c r="D3995" s="76">
        <v>75.537589999999994</v>
      </c>
      <c r="E3995" s="76">
        <v>75.650763999999995</v>
      </c>
      <c r="F3995" s="76">
        <v>71.004058999999998</v>
      </c>
      <c r="G3995" s="79">
        <v>704600</v>
      </c>
    </row>
    <row r="3996" spans="1:7" x14ac:dyDescent="0.25">
      <c r="A3996" s="1" t="s">
        <v>4119</v>
      </c>
      <c r="B3996" s="76">
        <v>75.650763999999995</v>
      </c>
      <c r="C3996" s="76">
        <v>76.556182999999905</v>
      </c>
      <c r="D3996" s="76">
        <v>75.230391999999995</v>
      </c>
      <c r="E3996" s="76">
        <v>76.531929000000005</v>
      </c>
      <c r="F3996" s="76">
        <v>71.831100000000006</v>
      </c>
      <c r="G3996" s="79">
        <v>696800</v>
      </c>
    </row>
    <row r="3997" spans="1:7" x14ac:dyDescent="0.25">
      <c r="A3997" s="1" t="s">
        <v>4120</v>
      </c>
      <c r="B3997" s="76">
        <v>76.297493000000003</v>
      </c>
      <c r="C3997" s="76">
        <v>77.033141999999998</v>
      </c>
      <c r="D3997" s="76">
        <v>76.095389999999995</v>
      </c>
      <c r="E3997" s="76">
        <v>76.119643999999994</v>
      </c>
      <c r="F3997" s="76">
        <v>71.444137999999995</v>
      </c>
      <c r="G3997" s="79">
        <v>552700</v>
      </c>
    </row>
    <row r="3998" spans="1:7" x14ac:dyDescent="0.25">
      <c r="A3998" s="1" t="s">
        <v>4121</v>
      </c>
      <c r="B3998" s="76">
        <v>76.507683</v>
      </c>
      <c r="C3998" s="76">
        <v>77.405013999999994</v>
      </c>
      <c r="D3998" s="76">
        <v>76.087311</v>
      </c>
      <c r="E3998" s="76">
        <v>77.316085999999999</v>
      </c>
      <c r="F3998" s="76">
        <v>72.567093</v>
      </c>
      <c r="G3998" s="79">
        <v>584400</v>
      </c>
    </row>
    <row r="3999" spans="1:7" x14ac:dyDescent="0.25">
      <c r="A3999" s="1" t="s">
        <v>4122</v>
      </c>
      <c r="B3999" s="76">
        <v>77.453513999999998</v>
      </c>
      <c r="C3999" s="76">
        <v>77.987067999999994</v>
      </c>
      <c r="D3999" s="76">
        <v>77.105903999999995</v>
      </c>
      <c r="E3999" s="76">
        <v>77.760711999999998</v>
      </c>
      <c r="F3999" s="76">
        <v>72.984406000000007</v>
      </c>
      <c r="G3999" s="79">
        <v>532800</v>
      </c>
    </row>
    <row r="4000" spans="1:7" x14ac:dyDescent="0.25">
      <c r="A4000" s="1" t="s">
        <v>4123</v>
      </c>
      <c r="B4000" s="76">
        <v>78.181083999999998</v>
      </c>
      <c r="C4000" s="76">
        <v>78.722717000000003</v>
      </c>
      <c r="D4000" s="76">
        <v>78.100243000000006</v>
      </c>
      <c r="E4000" s="76">
        <v>78.569121999999993</v>
      </c>
      <c r="F4000" s="76">
        <v>73.743172000000001</v>
      </c>
      <c r="G4000" s="79">
        <v>970900</v>
      </c>
    </row>
    <row r="4001" spans="1:7" x14ac:dyDescent="0.25">
      <c r="A4001" s="1" t="s">
        <v>4124</v>
      </c>
      <c r="B4001" s="76">
        <v>78.399353000000005</v>
      </c>
      <c r="C4001" s="76">
        <v>78.827811999999994</v>
      </c>
      <c r="D4001" s="76">
        <v>78.310424999999995</v>
      </c>
      <c r="E4001" s="76">
        <v>78.625709999999998</v>
      </c>
      <c r="F4001" s="76">
        <v>73.796279999999996</v>
      </c>
      <c r="G4001" s="79">
        <v>517700</v>
      </c>
    </row>
    <row r="4002" spans="1:7" x14ac:dyDescent="0.25">
      <c r="A4002" s="1" t="s">
        <v>4125</v>
      </c>
      <c r="B4002" s="76">
        <v>78.229590999999999</v>
      </c>
      <c r="C4002" s="76">
        <v>78.924819999999997</v>
      </c>
      <c r="D4002" s="76">
        <v>77.784965999999997</v>
      </c>
      <c r="E4002" s="76">
        <v>78.690376000000001</v>
      </c>
      <c r="F4002" s="76">
        <v>73.856971999999999</v>
      </c>
      <c r="G4002" s="79">
        <v>936000</v>
      </c>
    </row>
    <row r="4003" spans="1:7" x14ac:dyDescent="0.25">
      <c r="A4003" s="1" t="s">
        <v>4126</v>
      </c>
      <c r="B4003" s="76">
        <v>78.633788999999993</v>
      </c>
      <c r="C4003" s="76">
        <v>79.078415000000007</v>
      </c>
      <c r="D4003" s="76">
        <v>77.906227000000001</v>
      </c>
      <c r="E4003" s="76">
        <v>78.302344999999903</v>
      </c>
      <c r="F4003" s="76">
        <v>73.492774999999995</v>
      </c>
      <c r="G4003" s="79">
        <v>729100</v>
      </c>
    </row>
    <row r="4004" spans="1:7" x14ac:dyDescent="0.25">
      <c r="A4004" s="1" t="s">
        <v>4127</v>
      </c>
      <c r="B4004" s="76">
        <v>78.132576</v>
      </c>
      <c r="C4004" s="76">
        <v>79.086501999999996</v>
      </c>
      <c r="D4004" s="76">
        <v>78.092155000000005</v>
      </c>
      <c r="E4004" s="76">
        <v>78.860146</v>
      </c>
      <c r="F4004" s="76">
        <v>74.016311999999999</v>
      </c>
      <c r="G4004" s="79">
        <v>386700</v>
      </c>
    </row>
    <row r="4005" spans="1:7" x14ac:dyDescent="0.25">
      <c r="A4005" s="1" t="s">
        <v>4128</v>
      </c>
      <c r="B4005" s="76">
        <v>79.005661000000003</v>
      </c>
      <c r="C4005" s="76">
        <v>79.199676999999994</v>
      </c>
      <c r="D4005" s="76">
        <v>78.092155000000005</v>
      </c>
      <c r="E4005" s="76">
        <v>78.221503999999996</v>
      </c>
      <c r="F4005" s="76">
        <v>73.416893000000002</v>
      </c>
      <c r="G4005" s="79">
        <v>1174000</v>
      </c>
    </row>
    <row r="4006" spans="1:7" x14ac:dyDescent="0.25">
      <c r="A4006" s="1" t="s">
        <v>4129</v>
      </c>
      <c r="B4006" s="76">
        <v>78.746971000000002</v>
      </c>
      <c r="C4006" s="76">
        <v>79.911071999999905</v>
      </c>
      <c r="D4006" s="76">
        <v>78.512527000000006</v>
      </c>
      <c r="E4006" s="76">
        <v>79.886825999999999</v>
      </c>
      <c r="F4006" s="76">
        <v>74.979934999999998</v>
      </c>
      <c r="G4006" s="79">
        <v>859100</v>
      </c>
    </row>
    <row r="4007" spans="1:7" x14ac:dyDescent="0.25">
      <c r="A4007" s="1" t="s">
        <v>4130</v>
      </c>
      <c r="B4007" s="76">
        <v>79.393692000000001</v>
      </c>
      <c r="C4007" s="76">
        <v>80.121262000000002</v>
      </c>
      <c r="D4007" s="76">
        <v>78.310424999999995</v>
      </c>
      <c r="E4007" s="76">
        <v>78.464027000000002</v>
      </c>
      <c r="F4007" s="76">
        <v>73.644524000000004</v>
      </c>
      <c r="G4007" s="79">
        <v>901300</v>
      </c>
    </row>
    <row r="4008" spans="1:7" x14ac:dyDescent="0.25">
      <c r="A4008" s="1" t="s">
        <v>4131</v>
      </c>
      <c r="B4008" s="76">
        <v>78.011313999999999</v>
      </c>
      <c r="C4008" s="76">
        <v>78.455939999999998</v>
      </c>
      <c r="D4008" s="76">
        <v>77.453513999999998</v>
      </c>
      <c r="E4008" s="76">
        <v>77.914306999999994</v>
      </c>
      <c r="F4008" s="76">
        <v>73.128578000000005</v>
      </c>
      <c r="G4008" s="79">
        <v>1198400</v>
      </c>
    </row>
    <row r="4009" spans="1:7" x14ac:dyDescent="0.25">
      <c r="A4009" s="1" t="s">
        <v>4132</v>
      </c>
      <c r="B4009" s="76">
        <v>78.286179000000004</v>
      </c>
      <c r="C4009" s="76">
        <v>79.620048999999995</v>
      </c>
      <c r="D4009" s="76">
        <v>78.019401999999999</v>
      </c>
      <c r="E4009" s="76">
        <v>79.054160999999993</v>
      </c>
      <c r="F4009" s="76">
        <v>74.198418000000004</v>
      </c>
      <c r="G4009" s="79">
        <v>891900</v>
      </c>
    </row>
    <row r="4010" spans="1:7" x14ac:dyDescent="0.25">
      <c r="A4010" s="1" t="s">
        <v>4133</v>
      </c>
      <c r="B4010" s="76">
        <v>78.940986999999893</v>
      </c>
      <c r="C4010" s="76">
        <v>79.563461000000004</v>
      </c>
      <c r="D4010" s="76">
        <v>78.569121999999993</v>
      </c>
      <c r="E4010" s="76">
        <v>79.337104999999994</v>
      </c>
      <c r="F4010" s="76">
        <v>74.463988999999998</v>
      </c>
      <c r="G4010" s="79">
        <v>833200</v>
      </c>
    </row>
    <row r="4011" spans="1:7" x14ac:dyDescent="0.25">
      <c r="A4011" s="1" t="s">
        <v>4134</v>
      </c>
      <c r="B4011" s="76">
        <v>79.191588999999993</v>
      </c>
      <c r="C4011" s="76">
        <v>79.547294999999906</v>
      </c>
      <c r="D4011" s="76">
        <v>78.666129999999995</v>
      </c>
      <c r="E4011" s="76">
        <v>79.223929999999996</v>
      </c>
      <c r="F4011" s="76">
        <v>74.357749999999996</v>
      </c>
      <c r="G4011" s="79">
        <v>700500</v>
      </c>
    </row>
    <row r="4012" spans="1:7" x14ac:dyDescent="0.25">
      <c r="A4012" s="1" t="s">
        <v>4135</v>
      </c>
      <c r="B4012" s="76">
        <v>78.819725000000005</v>
      </c>
      <c r="C4012" s="76">
        <v>79.458365999999998</v>
      </c>
      <c r="D4012" s="76">
        <v>78.181083999999998</v>
      </c>
      <c r="E4012" s="76">
        <v>78.843979000000004</v>
      </c>
      <c r="F4012" s="76">
        <v>74.001129000000006</v>
      </c>
      <c r="G4012" s="79">
        <v>708800</v>
      </c>
    </row>
    <row r="4013" spans="1:7" x14ac:dyDescent="0.25">
      <c r="A4013" s="1" t="s">
        <v>4136</v>
      </c>
      <c r="B4013" s="76">
        <v>78.860146</v>
      </c>
      <c r="C4013" s="76">
        <v>79.143089000000003</v>
      </c>
      <c r="D4013" s="76">
        <v>77.873885999999999</v>
      </c>
      <c r="E4013" s="76">
        <v>78.334678999999994</v>
      </c>
      <c r="F4013" s="76">
        <v>73.523131999999904</v>
      </c>
      <c r="G4013" s="79">
        <v>868700</v>
      </c>
    </row>
    <row r="4014" spans="1:7" x14ac:dyDescent="0.25">
      <c r="A4014" s="1" t="s">
        <v>4137</v>
      </c>
      <c r="B4014" s="76">
        <v>77.793044999999907</v>
      </c>
      <c r="C4014" s="76">
        <v>78.666129999999995</v>
      </c>
      <c r="D4014" s="76">
        <v>77.437347000000003</v>
      </c>
      <c r="E4014" s="76">
        <v>78.092155000000005</v>
      </c>
      <c r="F4014" s="76">
        <v>73.295501999999999</v>
      </c>
      <c r="G4014" s="79">
        <v>921000</v>
      </c>
    </row>
    <row r="4015" spans="1:7" x14ac:dyDescent="0.25">
      <c r="A4015" s="1" t="s">
        <v>4138</v>
      </c>
      <c r="B4015" s="76">
        <v>77.987067999999994</v>
      </c>
      <c r="C4015" s="76">
        <v>78.989493999999993</v>
      </c>
      <c r="D4015" s="76">
        <v>77.372672999999907</v>
      </c>
      <c r="E4015" s="76">
        <v>78.940986999999893</v>
      </c>
      <c r="F4015" s="76">
        <v>74.092193999999907</v>
      </c>
      <c r="G4015" s="79">
        <v>938300</v>
      </c>
    </row>
    <row r="4016" spans="1:7" x14ac:dyDescent="0.25">
      <c r="A4016" s="1" t="s">
        <v>4139</v>
      </c>
      <c r="B4016" s="76">
        <v>79.385611999999995</v>
      </c>
      <c r="C4016" s="76">
        <v>80.113174000000001</v>
      </c>
      <c r="D4016" s="76">
        <v>79.361358999999993</v>
      </c>
      <c r="E4016" s="76">
        <v>79.490700000000004</v>
      </c>
      <c r="F4016" s="76">
        <v>74.608131</v>
      </c>
      <c r="G4016" s="79">
        <v>1269200</v>
      </c>
    </row>
    <row r="4017" spans="1:7" x14ac:dyDescent="0.25">
      <c r="A4017" s="1" t="s">
        <v>4140</v>
      </c>
      <c r="B4017" s="76">
        <v>79.838318000000001</v>
      </c>
      <c r="C4017" s="76">
        <v>81.253028999999998</v>
      </c>
      <c r="D4017" s="76">
        <v>79.329025000000001</v>
      </c>
      <c r="E4017" s="76">
        <v>80.970084999999997</v>
      </c>
      <c r="F4017" s="76">
        <v>75.996651</v>
      </c>
      <c r="G4017" s="79">
        <v>1218100</v>
      </c>
    </row>
    <row r="4018" spans="1:7" x14ac:dyDescent="0.25">
      <c r="A4018" s="1" t="s">
        <v>4141</v>
      </c>
      <c r="B4018" s="76">
        <v>80.905417999999997</v>
      </c>
      <c r="C4018" s="76">
        <v>81.915924000000004</v>
      </c>
      <c r="D4018" s="76">
        <v>80.371864000000002</v>
      </c>
      <c r="E4018" s="76">
        <v>80.379951000000005</v>
      </c>
      <c r="F4018" s="76">
        <v>75.442771999999906</v>
      </c>
      <c r="G4018" s="79">
        <v>1182300</v>
      </c>
    </row>
    <row r="4019" spans="1:7" x14ac:dyDescent="0.25">
      <c r="A4019" s="1" t="s">
        <v>4142</v>
      </c>
      <c r="B4019" s="76">
        <v>80.072754000000003</v>
      </c>
      <c r="C4019" s="76">
        <v>80.242522999999906</v>
      </c>
      <c r="D4019" s="76">
        <v>78.795470999999907</v>
      </c>
      <c r="E4019" s="76">
        <v>78.819725000000005</v>
      </c>
      <c r="F4019" s="76">
        <v>73.978370999999996</v>
      </c>
      <c r="G4019" s="79">
        <v>1443000</v>
      </c>
    </row>
    <row r="4020" spans="1:7" x14ac:dyDescent="0.25">
      <c r="A4020" s="1" t="s">
        <v>4143</v>
      </c>
      <c r="B4020" s="76">
        <v>79.668555999999995</v>
      </c>
      <c r="C4020" s="76">
        <v>79.927245999999997</v>
      </c>
      <c r="D4020" s="76">
        <v>78.253838000000002</v>
      </c>
      <c r="E4020" s="76">
        <v>78.779304999999994</v>
      </c>
      <c r="F4020" s="76">
        <v>73.940437000000003</v>
      </c>
      <c r="G4020" s="79">
        <v>660800</v>
      </c>
    </row>
    <row r="4021" spans="1:7" x14ac:dyDescent="0.25">
      <c r="A4021" s="1" t="s">
        <v>4144</v>
      </c>
      <c r="B4021" s="76">
        <v>79.27243</v>
      </c>
      <c r="C4021" s="76">
        <v>79.765563999999998</v>
      </c>
      <c r="D4021" s="76">
        <v>79.143089000000003</v>
      </c>
      <c r="E4021" s="76">
        <v>79.248183999999995</v>
      </c>
      <c r="F4021" s="76">
        <v>74.380516</v>
      </c>
      <c r="G4021" s="79">
        <v>895500</v>
      </c>
    </row>
    <row r="4022" spans="1:7" x14ac:dyDescent="0.25">
      <c r="A4022" s="1" t="s">
        <v>4145</v>
      </c>
      <c r="B4022" s="76">
        <v>79.498786999999993</v>
      </c>
      <c r="C4022" s="76">
        <v>80.792236000000003</v>
      </c>
      <c r="D4022" s="76">
        <v>79.401779000000005</v>
      </c>
      <c r="E4022" s="76">
        <v>80.767989999999998</v>
      </c>
      <c r="F4022" s="76">
        <v>75.806968999999995</v>
      </c>
      <c r="G4022" s="79">
        <v>613100</v>
      </c>
    </row>
    <row r="4023" spans="1:7" x14ac:dyDescent="0.25">
      <c r="A4023" s="1" t="s">
        <v>4146</v>
      </c>
      <c r="B4023" s="76">
        <v>80.832656999999998</v>
      </c>
      <c r="C4023" s="76">
        <v>81.018592999999996</v>
      </c>
      <c r="D4023" s="76">
        <v>80.282944000000001</v>
      </c>
      <c r="E4023" s="76">
        <v>80.687149000000005</v>
      </c>
      <c r="F4023" s="76">
        <v>75.731102000000007</v>
      </c>
      <c r="G4023" s="79">
        <v>207300</v>
      </c>
    </row>
    <row r="4024" spans="1:7" x14ac:dyDescent="0.25">
      <c r="A4024" s="1" t="s">
        <v>4147</v>
      </c>
      <c r="B4024" s="76">
        <v>80.388039000000006</v>
      </c>
      <c r="C4024" s="76">
        <v>81.309623999999999</v>
      </c>
      <c r="D4024" s="76">
        <v>80.088927999999996</v>
      </c>
      <c r="E4024" s="76">
        <v>81.228782999999893</v>
      </c>
      <c r="F4024" s="76">
        <v>76.239463999999998</v>
      </c>
      <c r="G4024" s="79">
        <v>393900</v>
      </c>
    </row>
    <row r="4025" spans="1:7" x14ac:dyDescent="0.25">
      <c r="A4025" s="1" t="s">
        <v>4148</v>
      </c>
      <c r="B4025" s="76">
        <v>81.608733999999998</v>
      </c>
      <c r="C4025" s="76">
        <v>82.231200999999999</v>
      </c>
      <c r="D4025" s="76">
        <v>81.244949000000005</v>
      </c>
      <c r="E4025" s="76">
        <v>82.037186000000005</v>
      </c>
      <c r="F4025" s="76">
        <v>76.998199</v>
      </c>
      <c r="G4025" s="79">
        <v>734500</v>
      </c>
    </row>
    <row r="4026" spans="1:7" x14ac:dyDescent="0.25">
      <c r="A4026" s="1" t="s">
        <v>4149</v>
      </c>
      <c r="B4026" s="76">
        <v>81.899756999999994</v>
      </c>
      <c r="C4026" s="76">
        <v>82.376716999999999</v>
      </c>
      <c r="D4026" s="76">
        <v>81.713820999999996</v>
      </c>
      <c r="E4026" s="76">
        <v>81.778495999999905</v>
      </c>
      <c r="F4026" s="76">
        <v>76.755416999999994</v>
      </c>
      <c r="G4026" s="79">
        <v>337300</v>
      </c>
    </row>
    <row r="4027" spans="1:7" x14ac:dyDescent="0.25">
      <c r="A4027" s="1" t="s">
        <v>4150</v>
      </c>
      <c r="B4027" s="76">
        <v>81.665320999999906</v>
      </c>
      <c r="C4027" s="76">
        <v>81.867424</v>
      </c>
      <c r="D4027" s="76">
        <v>80.751816000000005</v>
      </c>
      <c r="E4027" s="76">
        <v>80.808410999999893</v>
      </c>
      <c r="F4027" s="76">
        <v>75.844925000000003</v>
      </c>
      <c r="G4027" s="79">
        <v>578500</v>
      </c>
    </row>
    <row r="4028" spans="1:7" x14ac:dyDescent="0.25">
      <c r="A4028" s="1" t="s">
        <v>4151</v>
      </c>
      <c r="B4028" s="76">
        <v>79.951492000000002</v>
      </c>
      <c r="C4028" s="76">
        <v>80.299109999999999</v>
      </c>
      <c r="D4028" s="76">
        <v>78.811638000000002</v>
      </c>
      <c r="E4028" s="76">
        <v>79.563461000000004</v>
      </c>
      <c r="F4028" s="76">
        <v>74.676422000000002</v>
      </c>
      <c r="G4028" s="79">
        <v>677900</v>
      </c>
    </row>
    <row r="4029" spans="1:7" x14ac:dyDescent="0.25">
      <c r="A4029" s="1" t="s">
        <v>4152</v>
      </c>
      <c r="B4029" s="76">
        <v>79.870650999999995</v>
      </c>
      <c r="C4029" s="76">
        <v>80.816490000000002</v>
      </c>
      <c r="D4029" s="76">
        <v>79.620048999999995</v>
      </c>
      <c r="E4029" s="76">
        <v>80.614388000000005</v>
      </c>
      <c r="F4029" s="76">
        <v>75.662796</v>
      </c>
      <c r="G4029" s="79">
        <v>571200</v>
      </c>
    </row>
    <row r="4030" spans="1:7" x14ac:dyDescent="0.25">
      <c r="A4030" s="1" t="s">
        <v>4153</v>
      </c>
      <c r="B4030" s="76">
        <v>79.983832999999905</v>
      </c>
      <c r="C4030" s="76">
        <v>80.436538999999996</v>
      </c>
      <c r="D4030" s="76">
        <v>79.401779000000005</v>
      </c>
      <c r="E4030" s="76">
        <v>80.234436000000002</v>
      </c>
      <c r="F4030" s="76">
        <v>75.306197999999995</v>
      </c>
      <c r="G4030" s="79">
        <v>780000</v>
      </c>
    </row>
    <row r="4031" spans="1:7" x14ac:dyDescent="0.25">
      <c r="A4031" s="1" t="s">
        <v>4154</v>
      </c>
      <c r="B4031" s="76">
        <v>79.086501999999996</v>
      </c>
      <c r="C4031" s="76">
        <v>79.846405000000004</v>
      </c>
      <c r="D4031" s="76">
        <v>78.924819999999997</v>
      </c>
      <c r="E4031" s="76">
        <v>79.4422</v>
      </c>
      <c r="F4031" s="76">
        <v>74.562613999999996</v>
      </c>
      <c r="G4031" s="79">
        <v>1129800</v>
      </c>
    </row>
    <row r="4032" spans="1:7" x14ac:dyDescent="0.25">
      <c r="A4032" s="1" t="s">
        <v>4155</v>
      </c>
      <c r="B4032" s="76">
        <v>79.490700000000004</v>
      </c>
      <c r="C4032" s="76">
        <v>80.008087000000003</v>
      </c>
      <c r="D4032" s="76">
        <v>77.550522000000001</v>
      </c>
      <c r="E4032" s="76">
        <v>77.728378000000006</v>
      </c>
      <c r="F4032" s="76">
        <v>72.954063000000005</v>
      </c>
      <c r="G4032" s="79">
        <v>678600</v>
      </c>
    </row>
    <row r="4033" spans="1:7" x14ac:dyDescent="0.25">
      <c r="A4033" s="1" t="s">
        <v>4156</v>
      </c>
      <c r="B4033" s="76">
        <v>77.987067999999994</v>
      </c>
      <c r="C4033" s="76">
        <v>79.183509999999998</v>
      </c>
      <c r="D4033" s="76">
        <v>77.251411000000004</v>
      </c>
      <c r="E4033" s="76">
        <v>77.348427000000001</v>
      </c>
      <c r="F4033" s="76">
        <v>72.597457999999904</v>
      </c>
      <c r="G4033" s="79">
        <v>920300</v>
      </c>
    </row>
    <row r="4034" spans="1:7" x14ac:dyDescent="0.25">
      <c r="A4034" s="1" t="s">
        <v>4157</v>
      </c>
      <c r="B4034" s="76">
        <v>77.728378000000006</v>
      </c>
      <c r="C4034" s="76">
        <v>77.728378000000006</v>
      </c>
      <c r="D4034" s="76">
        <v>75.957961999999995</v>
      </c>
      <c r="E4034" s="76">
        <v>76.216651999999996</v>
      </c>
      <c r="F4034" s="76">
        <v>71.535193999999905</v>
      </c>
      <c r="G4034" s="79">
        <v>1204500</v>
      </c>
    </row>
    <row r="4035" spans="1:7" x14ac:dyDescent="0.25">
      <c r="A4035" s="1" t="s">
        <v>4158</v>
      </c>
      <c r="B4035" s="76">
        <v>76.321747000000002</v>
      </c>
      <c r="C4035" s="76">
        <v>76.685531999999995</v>
      </c>
      <c r="D4035" s="76">
        <v>75.004043999999993</v>
      </c>
      <c r="E4035" s="76">
        <v>75.125304999999997</v>
      </c>
      <c r="F4035" s="76">
        <v>70.51088</v>
      </c>
      <c r="G4035" s="79">
        <v>1049700</v>
      </c>
    </row>
    <row r="4036" spans="1:7" x14ac:dyDescent="0.25">
      <c r="A4036" s="1" t="s">
        <v>4159</v>
      </c>
      <c r="B4036" s="76">
        <v>75.392075000000006</v>
      </c>
      <c r="C4036" s="76">
        <v>75.836699999999993</v>
      </c>
      <c r="D4036" s="76">
        <v>74.478577000000001</v>
      </c>
      <c r="E4036" s="76">
        <v>74.810019999999994</v>
      </c>
      <c r="F4036" s="76">
        <v>70.214957999999996</v>
      </c>
      <c r="G4036" s="79">
        <v>1015200</v>
      </c>
    </row>
    <row r="4037" spans="1:7" x14ac:dyDescent="0.25">
      <c r="A4037" s="1" t="s">
        <v>4160</v>
      </c>
      <c r="B4037" s="76">
        <v>75.004043999999993</v>
      </c>
      <c r="C4037" s="76">
        <v>75.004043999999993</v>
      </c>
      <c r="D4037" s="76">
        <v>73.233626999999998</v>
      </c>
      <c r="E4037" s="76">
        <v>73.435730000000007</v>
      </c>
      <c r="F4037" s="76">
        <v>68.925078999999997</v>
      </c>
      <c r="G4037" s="79">
        <v>1288900</v>
      </c>
    </row>
    <row r="4038" spans="1:7" x14ac:dyDescent="0.25">
      <c r="A4038" s="1" t="s">
        <v>4161</v>
      </c>
      <c r="B4038" s="76">
        <v>74.090537999999995</v>
      </c>
      <c r="C4038" s="76">
        <v>74.591751000000002</v>
      </c>
      <c r="D4038" s="76">
        <v>73.581244999999996</v>
      </c>
      <c r="E4038" s="76">
        <v>73.686340000000001</v>
      </c>
      <c r="F4038" s="76">
        <v>69.160308999999998</v>
      </c>
      <c r="G4038" s="79">
        <v>729700</v>
      </c>
    </row>
    <row r="4039" spans="1:7" x14ac:dyDescent="0.25">
      <c r="A4039" s="1" t="s">
        <v>4162</v>
      </c>
      <c r="B4039" s="76">
        <v>72.950683999999995</v>
      </c>
      <c r="C4039" s="76">
        <v>73.459983999999906</v>
      </c>
      <c r="D4039" s="76">
        <v>70.113174000000001</v>
      </c>
      <c r="E4039" s="76">
        <v>71.495552000000004</v>
      </c>
      <c r="F4039" s="76">
        <v>67.104073</v>
      </c>
      <c r="G4039" s="79">
        <v>1255000</v>
      </c>
    </row>
    <row r="4040" spans="1:7" x14ac:dyDescent="0.25">
      <c r="A4040" s="1" t="s">
        <v>4163</v>
      </c>
      <c r="B4040" s="76">
        <v>71.875504000000006</v>
      </c>
      <c r="C4040" s="76">
        <v>72.603072999999995</v>
      </c>
      <c r="D4040" s="76">
        <v>70.994338999999997</v>
      </c>
      <c r="E4040" s="76">
        <v>71.827003000000005</v>
      </c>
      <c r="F4040" s="76">
        <v>67.415168999999906</v>
      </c>
      <c r="G4040" s="79">
        <v>852800</v>
      </c>
    </row>
    <row r="4041" spans="1:7" x14ac:dyDescent="0.25">
      <c r="A4041" s="1" t="s">
        <v>4164</v>
      </c>
      <c r="B4041" s="76">
        <v>72.780922000000004</v>
      </c>
      <c r="C4041" s="76">
        <v>74.017783999999907</v>
      </c>
      <c r="D4041" s="76">
        <v>72.772835000000001</v>
      </c>
      <c r="E4041" s="76">
        <v>73.379142999999999</v>
      </c>
      <c r="F4041" s="76">
        <v>68.871971000000002</v>
      </c>
      <c r="G4041" s="79">
        <v>1288900</v>
      </c>
    </row>
    <row r="4042" spans="1:7" x14ac:dyDescent="0.25">
      <c r="A4042" s="1" t="s">
        <v>4165</v>
      </c>
      <c r="B4042" s="76">
        <v>73.290215000000003</v>
      </c>
      <c r="C4042" s="76">
        <v>74.276473999999993</v>
      </c>
      <c r="D4042" s="76">
        <v>72.748588999999996</v>
      </c>
      <c r="E4042" s="76">
        <v>72.886016999999995</v>
      </c>
      <c r="F4042" s="76">
        <v>68.409133999999995</v>
      </c>
      <c r="G4042" s="79">
        <v>627400</v>
      </c>
    </row>
    <row r="4043" spans="1:7" x14ac:dyDescent="0.25">
      <c r="A4043" s="1" t="s">
        <v>4166</v>
      </c>
      <c r="B4043" s="76">
        <v>73.055779000000001</v>
      </c>
      <c r="C4043" s="76">
        <v>74.430068999999904</v>
      </c>
      <c r="D4043" s="76">
        <v>72.813254999999998</v>
      </c>
      <c r="E4043" s="76">
        <v>74.421988999999996</v>
      </c>
      <c r="F4043" s="76">
        <v>69.850753999999995</v>
      </c>
      <c r="G4043" s="79">
        <v>948700</v>
      </c>
    </row>
    <row r="4044" spans="1:7" x14ac:dyDescent="0.25">
      <c r="A4044" s="1" t="s">
        <v>4167</v>
      </c>
      <c r="B4044" s="76">
        <v>74.098624999999998</v>
      </c>
      <c r="C4044" s="76">
        <v>74.211799999999997</v>
      </c>
      <c r="D4044" s="76">
        <v>73.120452999999998</v>
      </c>
      <c r="E4044" s="76">
        <v>73.686340000000001</v>
      </c>
      <c r="F4044" s="76">
        <v>69.160308999999998</v>
      </c>
      <c r="G4044" s="79">
        <v>920600</v>
      </c>
    </row>
    <row r="4045" spans="1:7" x14ac:dyDescent="0.25">
      <c r="A4045" s="1" t="s">
        <v>4168</v>
      </c>
      <c r="B4045" s="76">
        <v>73.443816999999996</v>
      </c>
      <c r="C4045" s="76">
        <v>74.114791999999994</v>
      </c>
      <c r="D4045" s="76">
        <v>70.008087000000003</v>
      </c>
      <c r="E4045" s="76">
        <v>70.282944000000001</v>
      </c>
      <c r="F4045" s="76">
        <v>66.425055999999998</v>
      </c>
      <c r="G4045" s="79">
        <v>2350300</v>
      </c>
    </row>
    <row r="4046" spans="1:7" x14ac:dyDescent="0.25">
      <c r="A4046" s="1" t="s">
        <v>4169</v>
      </c>
      <c r="B4046" s="76">
        <v>71.139854</v>
      </c>
      <c r="C4046" s="76">
        <v>72.085693000000006</v>
      </c>
      <c r="D4046" s="76">
        <v>69.490700000000004</v>
      </c>
      <c r="E4046" s="76">
        <v>71.511718999999999</v>
      </c>
      <c r="F4046" s="76">
        <v>67.586387999999999</v>
      </c>
      <c r="G4046" s="79">
        <v>3011900</v>
      </c>
    </row>
    <row r="4047" spans="1:7" x14ac:dyDescent="0.25">
      <c r="A4047" s="1" t="s">
        <v>4170</v>
      </c>
      <c r="B4047" s="76">
        <v>70.743735999999998</v>
      </c>
      <c r="C4047" s="76">
        <v>71.827003000000005</v>
      </c>
      <c r="D4047" s="76">
        <v>70.396118000000001</v>
      </c>
      <c r="E4047" s="76">
        <v>71.010506000000007</v>
      </c>
      <c r="F4047" s="76">
        <v>67.112685999999997</v>
      </c>
      <c r="G4047" s="79">
        <v>1474600</v>
      </c>
    </row>
    <row r="4048" spans="1:7" x14ac:dyDescent="0.25">
      <c r="A4048" s="1" t="s">
        <v>4171</v>
      </c>
      <c r="B4048" s="76">
        <v>70.735648999999995</v>
      </c>
      <c r="C4048" s="76">
        <v>72.514144999999999</v>
      </c>
      <c r="D4048" s="76">
        <v>68.690376000000001</v>
      </c>
      <c r="E4048" s="76">
        <v>68.908653000000001</v>
      </c>
      <c r="F4048" s="76">
        <v>65.126213000000007</v>
      </c>
      <c r="G4048" s="79">
        <v>1673000</v>
      </c>
    </row>
    <row r="4049" spans="1:7" x14ac:dyDescent="0.25">
      <c r="A4049" s="1" t="s">
        <v>4172</v>
      </c>
      <c r="B4049" s="76">
        <v>69.337104999999994</v>
      </c>
      <c r="C4049" s="76">
        <v>69.878737999999998</v>
      </c>
      <c r="D4049" s="76">
        <v>68.367019999999997</v>
      </c>
      <c r="E4049" s="76">
        <v>69.611960999999994</v>
      </c>
      <c r="F4049" s="76">
        <v>65.790908999999999</v>
      </c>
      <c r="G4049" s="79">
        <v>845100</v>
      </c>
    </row>
    <row r="4050" spans="1:7" x14ac:dyDescent="0.25">
      <c r="A4050" s="1" t="s">
        <v>4173</v>
      </c>
      <c r="B4050" s="76">
        <v>69.450278999999995</v>
      </c>
      <c r="C4050" s="76">
        <v>70.153594999999996</v>
      </c>
      <c r="D4050" s="76">
        <v>68.326599000000002</v>
      </c>
      <c r="E4050" s="76">
        <v>69.595794999999995</v>
      </c>
      <c r="F4050" s="76">
        <v>65.775634999999994</v>
      </c>
      <c r="G4050" s="79">
        <v>1085500</v>
      </c>
    </row>
    <row r="4051" spans="1:7" x14ac:dyDescent="0.25">
      <c r="A4051" s="1" t="s">
        <v>4174</v>
      </c>
      <c r="B4051" s="76">
        <v>69.296683999999999</v>
      </c>
      <c r="C4051" s="76">
        <v>69.773643000000007</v>
      </c>
      <c r="D4051" s="76">
        <v>68.075989000000007</v>
      </c>
      <c r="E4051" s="76">
        <v>68.116408999999905</v>
      </c>
      <c r="F4051" s="76">
        <v>64.377448999999999</v>
      </c>
      <c r="G4051" s="79">
        <v>1294100</v>
      </c>
    </row>
    <row r="4052" spans="1:7" x14ac:dyDescent="0.25">
      <c r="A4052" s="1" t="s">
        <v>4175</v>
      </c>
      <c r="B4052" s="76">
        <v>67.720291000000003</v>
      </c>
      <c r="C4052" s="76">
        <v>68.172996999999995</v>
      </c>
      <c r="D4052" s="76">
        <v>64.147132999999997</v>
      </c>
      <c r="E4052" s="76">
        <v>65.254645999999994</v>
      </c>
      <c r="F4052" s="76">
        <v>61.672778999999998</v>
      </c>
      <c r="G4052" s="79">
        <v>1465500</v>
      </c>
    </row>
    <row r="4053" spans="1:7" x14ac:dyDescent="0.25">
      <c r="A4053" s="1" t="s">
        <v>4176</v>
      </c>
      <c r="B4053" s="76">
        <v>64.818107999999995</v>
      </c>
      <c r="C4053" s="76">
        <v>65.650763999999995</v>
      </c>
      <c r="D4053" s="76">
        <v>64.179466000000005</v>
      </c>
      <c r="E4053" s="76">
        <v>65.020209999999906</v>
      </c>
      <c r="F4053" s="76">
        <v>61.451205999999999</v>
      </c>
      <c r="G4053" s="79">
        <v>1494400</v>
      </c>
    </row>
    <row r="4054" spans="1:7" x14ac:dyDescent="0.25">
      <c r="A4054" s="1" t="s">
        <v>4177</v>
      </c>
      <c r="B4054" s="76">
        <v>65.319321000000002</v>
      </c>
      <c r="C4054" s="76">
        <v>66.887633999999906</v>
      </c>
      <c r="D4054" s="76">
        <v>64.753433000000001</v>
      </c>
      <c r="E4054" s="76">
        <v>65.561843999999994</v>
      </c>
      <c r="F4054" s="76">
        <v>61.963115999999999</v>
      </c>
      <c r="G4054" s="79">
        <v>1574300</v>
      </c>
    </row>
    <row r="4055" spans="1:7" x14ac:dyDescent="0.25">
      <c r="A4055" s="1" t="s">
        <v>4178</v>
      </c>
      <c r="B4055" s="76">
        <v>64.559417999999994</v>
      </c>
      <c r="C4055" s="76">
        <v>65.416327999999993</v>
      </c>
      <c r="D4055" s="76">
        <v>63.791431000000003</v>
      </c>
      <c r="E4055" s="76">
        <v>64.793853999999996</v>
      </c>
      <c r="F4055" s="76">
        <v>61.237281999999901</v>
      </c>
      <c r="G4055" s="79">
        <v>3203000</v>
      </c>
    </row>
    <row r="4056" spans="1:7" x14ac:dyDescent="0.25">
      <c r="A4056" s="1" t="s">
        <v>4179</v>
      </c>
      <c r="B4056" s="76">
        <v>65.359741</v>
      </c>
      <c r="C4056" s="76">
        <v>65.893287999999998</v>
      </c>
      <c r="D4056" s="76">
        <v>65.060631000000001</v>
      </c>
      <c r="E4056" s="76">
        <v>65.586097999999893</v>
      </c>
      <c r="F4056" s="76">
        <v>61.986030999999997</v>
      </c>
      <c r="G4056" s="79">
        <v>1272700</v>
      </c>
    </row>
    <row r="4057" spans="1:7" x14ac:dyDescent="0.25">
      <c r="A4057" s="1" t="s">
        <v>4180</v>
      </c>
      <c r="B4057" s="76">
        <v>66.232818999999907</v>
      </c>
      <c r="C4057" s="76">
        <v>66.911879999999996</v>
      </c>
      <c r="D4057" s="76">
        <v>65.529510000000002</v>
      </c>
      <c r="E4057" s="76">
        <v>66.628943999999905</v>
      </c>
      <c r="F4057" s="76">
        <v>62.971637999999999</v>
      </c>
      <c r="G4057" s="79">
        <v>2622500</v>
      </c>
    </row>
    <row r="4058" spans="1:7" x14ac:dyDescent="0.25">
      <c r="A4058" s="1" t="s">
        <v>4181</v>
      </c>
      <c r="B4058" s="76">
        <v>66.693611000000004</v>
      </c>
      <c r="C4058" s="76">
        <v>67.574776</v>
      </c>
      <c r="D4058" s="76">
        <v>65.351653999999996</v>
      </c>
      <c r="E4058" s="76">
        <v>66.790618999999893</v>
      </c>
      <c r="F4058" s="76">
        <v>63.124439000000002</v>
      </c>
      <c r="G4058" s="79">
        <v>1962900</v>
      </c>
    </row>
    <row r="4059" spans="1:7" x14ac:dyDescent="0.25">
      <c r="A4059" s="1" t="s">
        <v>4182</v>
      </c>
      <c r="B4059" s="76">
        <v>66.701697999999993</v>
      </c>
      <c r="C4059" s="76">
        <v>68.617621999999997</v>
      </c>
      <c r="D4059" s="76">
        <v>66.386420999999999</v>
      </c>
      <c r="E4059" s="76">
        <v>68.148750000000007</v>
      </c>
      <c r="F4059" s="76">
        <v>64.408011999999999</v>
      </c>
      <c r="G4059" s="79">
        <v>1241500</v>
      </c>
    </row>
    <row r="4060" spans="1:7" x14ac:dyDescent="0.25">
      <c r="A4060" s="1" t="s">
        <v>4183</v>
      </c>
      <c r="B4060" s="76">
        <v>67.784965999999997</v>
      </c>
      <c r="C4060" s="76">
        <v>69.232010000000002</v>
      </c>
      <c r="D4060" s="76">
        <v>67.178657999999999</v>
      </c>
      <c r="E4060" s="76">
        <v>68.730796999999995</v>
      </c>
      <c r="F4060" s="76">
        <v>64.958106999999998</v>
      </c>
      <c r="G4060" s="79">
        <v>2065000</v>
      </c>
    </row>
    <row r="4061" spans="1:7" x14ac:dyDescent="0.25">
      <c r="A4061" s="1" t="s">
        <v>4184</v>
      </c>
      <c r="B4061" s="76">
        <v>69.248183999999995</v>
      </c>
      <c r="C4061" s="76">
        <v>70.743735999999998</v>
      </c>
      <c r="D4061" s="76">
        <v>69.248183999999995</v>
      </c>
      <c r="E4061" s="76">
        <v>70.582053999999999</v>
      </c>
      <c r="F4061" s="76">
        <v>66.707747999999995</v>
      </c>
      <c r="G4061" s="79">
        <v>1179800</v>
      </c>
    </row>
    <row r="4062" spans="1:7" x14ac:dyDescent="0.25">
      <c r="A4062" s="1" t="s">
        <v>4185</v>
      </c>
      <c r="B4062" s="76">
        <v>70.177848999999995</v>
      </c>
      <c r="C4062" s="76">
        <v>71.269203000000005</v>
      </c>
      <c r="D4062" s="76">
        <v>68.900565999999998</v>
      </c>
      <c r="E4062" s="76">
        <v>70.056586999999993</v>
      </c>
      <c r="F4062" s="76">
        <v>66.211128000000002</v>
      </c>
      <c r="G4062" s="79">
        <v>1187900</v>
      </c>
    </row>
    <row r="4063" spans="1:7" x14ac:dyDescent="0.25">
      <c r="A4063" s="1" t="s">
        <v>4186</v>
      </c>
      <c r="B4063" s="76">
        <v>69.708977000000004</v>
      </c>
      <c r="C4063" s="76">
        <v>70.113174000000001</v>
      </c>
      <c r="D4063" s="76">
        <v>68.795470999999907</v>
      </c>
      <c r="E4063" s="76">
        <v>69.401779000000005</v>
      </c>
      <c r="F4063" s="76">
        <v>65.592269999999999</v>
      </c>
      <c r="G4063" s="79">
        <v>792000</v>
      </c>
    </row>
    <row r="4064" spans="1:7" x14ac:dyDescent="0.25">
      <c r="A4064" s="1" t="s">
        <v>4187</v>
      </c>
      <c r="B4064" s="76">
        <v>70.024253999999999</v>
      </c>
      <c r="C4064" s="76">
        <v>70.598220999999995</v>
      </c>
      <c r="D4064" s="76">
        <v>68.973320000000001</v>
      </c>
      <c r="E4064" s="76">
        <v>69.854484999999997</v>
      </c>
      <c r="F4064" s="76">
        <v>66.020118999999994</v>
      </c>
      <c r="G4064" s="79">
        <v>1111800</v>
      </c>
    </row>
    <row r="4065" spans="1:7" x14ac:dyDescent="0.25">
      <c r="A4065" s="1" t="s">
        <v>4188</v>
      </c>
      <c r="B4065" s="76">
        <v>69.894904999999994</v>
      </c>
      <c r="C4065" s="76">
        <v>70.355698000000004</v>
      </c>
      <c r="D4065" s="76">
        <v>69.514954000000003</v>
      </c>
      <c r="E4065" s="76">
        <v>69.644301999999996</v>
      </c>
      <c r="F4065" s="76">
        <v>65.821494999999999</v>
      </c>
      <c r="G4065" s="79">
        <v>846000</v>
      </c>
    </row>
    <row r="4066" spans="1:7" x14ac:dyDescent="0.25">
      <c r="A4066" s="1" t="s">
        <v>4189</v>
      </c>
      <c r="B4066" s="76">
        <v>69.757476999999994</v>
      </c>
      <c r="C4066" s="76">
        <v>70.743735999999998</v>
      </c>
      <c r="D4066" s="76">
        <v>69.490700000000004</v>
      </c>
      <c r="E4066" s="76">
        <v>69.814064000000002</v>
      </c>
      <c r="F4066" s="76">
        <v>65.981926000000001</v>
      </c>
      <c r="G4066" s="79">
        <v>1060400</v>
      </c>
    </row>
    <row r="4067" spans="1:7" x14ac:dyDescent="0.25">
      <c r="A4067" s="1" t="s">
        <v>4190</v>
      </c>
      <c r="B4067" s="76">
        <v>70.274856999999997</v>
      </c>
      <c r="C4067" s="76">
        <v>72.182700999999994</v>
      </c>
      <c r="D4067" s="76">
        <v>70.129349000000005</v>
      </c>
      <c r="E4067" s="76">
        <v>72.158446999999995</v>
      </c>
      <c r="F4067" s="76">
        <v>68.197624000000005</v>
      </c>
      <c r="G4067" s="79">
        <v>1018500</v>
      </c>
    </row>
    <row r="4068" spans="1:7" x14ac:dyDescent="0.25">
      <c r="A4068" s="1" t="s">
        <v>4191</v>
      </c>
      <c r="B4068" s="76">
        <v>72.190781000000001</v>
      </c>
      <c r="C4068" s="76">
        <v>73.071944999999999</v>
      </c>
      <c r="D4068" s="76">
        <v>72.134192999999996</v>
      </c>
      <c r="E4068" s="76">
        <v>73.071944999999999</v>
      </c>
      <c r="F4068" s="76">
        <v>69.060974000000002</v>
      </c>
      <c r="G4068" s="79">
        <v>554100</v>
      </c>
    </row>
    <row r="4069" spans="1:7" x14ac:dyDescent="0.25">
      <c r="A4069" s="1" t="s">
        <v>4192</v>
      </c>
      <c r="B4069" s="76">
        <v>73.330635000000001</v>
      </c>
      <c r="C4069" s="76">
        <v>73.629752999999994</v>
      </c>
      <c r="D4069" s="76">
        <v>72.691993999999994</v>
      </c>
      <c r="E4069" s="76">
        <v>73.629752999999994</v>
      </c>
      <c r="F4069" s="76">
        <v>69.588172999999998</v>
      </c>
      <c r="G4069" s="79">
        <v>563800</v>
      </c>
    </row>
    <row r="4070" spans="1:7" x14ac:dyDescent="0.25">
      <c r="A4070" s="1" t="s">
        <v>4193</v>
      </c>
      <c r="B4070" s="76">
        <v>73.597412000000006</v>
      </c>
      <c r="C4070" s="76">
        <v>74.955535999999995</v>
      </c>
      <c r="D4070" s="76">
        <v>73.443816999999996</v>
      </c>
      <c r="E4070" s="76">
        <v>74.785774000000004</v>
      </c>
      <c r="F4070" s="76">
        <v>70.680724999999995</v>
      </c>
      <c r="G4070" s="79">
        <v>1023800</v>
      </c>
    </row>
    <row r="4071" spans="1:7" x14ac:dyDescent="0.25">
      <c r="A4071" s="1" t="s">
        <v>4194</v>
      </c>
      <c r="B4071" s="76">
        <v>74.130958999999905</v>
      </c>
      <c r="C4071" s="76">
        <v>74.543250999999998</v>
      </c>
      <c r="D4071" s="76">
        <v>73.702506999999997</v>
      </c>
      <c r="E4071" s="76">
        <v>74.260306999999997</v>
      </c>
      <c r="F4071" s="76">
        <v>70.184105000000002</v>
      </c>
      <c r="G4071" s="79">
        <v>600100</v>
      </c>
    </row>
    <row r="4072" spans="1:7" x14ac:dyDescent="0.25">
      <c r="A4072" s="1" t="s">
        <v>4195</v>
      </c>
      <c r="B4072" s="76">
        <v>74.025870999999995</v>
      </c>
      <c r="C4072" s="76">
        <v>74.090537999999995</v>
      </c>
      <c r="D4072" s="76">
        <v>72.376716999999999</v>
      </c>
      <c r="E4072" s="76">
        <v>72.465644999999995</v>
      </c>
      <c r="F4072" s="76">
        <v>68.487953000000005</v>
      </c>
      <c r="G4072" s="79">
        <v>1024100</v>
      </c>
    </row>
    <row r="4073" spans="1:7" x14ac:dyDescent="0.25">
      <c r="A4073" s="1" t="s">
        <v>4196</v>
      </c>
      <c r="B4073" s="76">
        <v>73.007277999999999</v>
      </c>
      <c r="C4073" s="76">
        <v>73.330635000000001</v>
      </c>
      <c r="D4073" s="76">
        <v>72.053352000000004</v>
      </c>
      <c r="E4073" s="76">
        <v>72.328216999999995</v>
      </c>
      <c r="F4073" s="76">
        <v>68.358069999999998</v>
      </c>
      <c r="G4073" s="79">
        <v>785800</v>
      </c>
    </row>
    <row r="4074" spans="1:7" x14ac:dyDescent="0.25">
      <c r="A4074" s="1" t="s">
        <v>4197</v>
      </c>
      <c r="B4074" s="76">
        <v>72.861762999999996</v>
      </c>
      <c r="C4074" s="76">
        <v>72.861762999999996</v>
      </c>
      <c r="D4074" s="76">
        <v>70.962006000000002</v>
      </c>
      <c r="E4074" s="76">
        <v>71.738074999999995</v>
      </c>
      <c r="F4074" s="76">
        <v>67.800322999999906</v>
      </c>
      <c r="G4074" s="79">
        <v>757700</v>
      </c>
    </row>
    <row r="4075" spans="1:7" x14ac:dyDescent="0.25">
      <c r="A4075" s="1" t="s">
        <v>4198</v>
      </c>
      <c r="B4075" s="76">
        <v>72.522231999999903</v>
      </c>
      <c r="C4075" s="76">
        <v>74.438156000000006</v>
      </c>
      <c r="D4075" s="76">
        <v>71.964431999999903</v>
      </c>
      <c r="E4075" s="76">
        <v>74.365402000000003</v>
      </c>
      <c r="F4075" s="76">
        <v>70.283431999999905</v>
      </c>
      <c r="G4075" s="79">
        <v>708600</v>
      </c>
    </row>
    <row r="4076" spans="1:7" x14ac:dyDescent="0.25">
      <c r="A4076" s="1" t="s">
        <v>4199</v>
      </c>
      <c r="B4076" s="76">
        <v>74.033951000000002</v>
      </c>
      <c r="C4076" s="76">
        <v>74.349236000000005</v>
      </c>
      <c r="D4076" s="76">
        <v>72.780922000000004</v>
      </c>
      <c r="E4076" s="76">
        <v>73.920776000000004</v>
      </c>
      <c r="F4076" s="76">
        <v>69.863213000000002</v>
      </c>
      <c r="G4076" s="79">
        <v>544600</v>
      </c>
    </row>
    <row r="4077" spans="1:7" x14ac:dyDescent="0.25">
      <c r="A4077" s="1" t="s">
        <v>4200</v>
      </c>
      <c r="B4077" s="76">
        <v>73.362976000000003</v>
      </c>
      <c r="C4077" s="76">
        <v>74.090537999999995</v>
      </c>
      <c r="D4077" s="76">
        <v>73.144706999999997</v>
      </c>
      <c r="E4077" s="76">
        <v>73.993530000000007</v>
      </c>
      <c r="F4077" s="76">
        <v>69.931968999999995</v>
      </c>
      <c r="G4077" s="79">
        <v>461000</v>
      </c>
    </row>
    <row r="4078" spans="1:7" x14ac:dyDescent="0.25">
      <c r="A4078" s="1" t="s">
        <v>4201</v>
      </c>
      <c r="B4078" s="76">
        <v>73.645919999999904</v>
      </c>
      <c r="C4078" s="76">
        <v>75.367828000000003</v>
      </c>
      <c r="D4078" s="76">
        <v>73.532737999999995</v>
      </c>
      <c r="E4078" s="76">
        <v>75.214225999999996</v>
      </c>
      <c r="F4078" s="76">
        <v>71.085669999999993</v>
      </c>
      <c r="G4078" s="79">
        <v>436300</v>
      </c>
    </row>
    <row r="4079" spans="1:7" x14ac:dyDescent="0.25">
      <c r="A4079" s="1" t="s">
        <v>4202</v>
      </c>
      <c r="B4079" s="76">
        <v>75.311233999999999</v>
      </c>
      <c r="C4079" s="76">
        <v>76.265159999999995</v>
      </c>
      <c r="D4079" s="76">
        <v>75.012123000000003</v>
      </c>
      <c r="E4079" s="76">
        <v>75.941794999999999</v>
      </c>
      <c r="F4079" s="76">
        <v>71.773300000000006</v>
      </c>
      <c r="G4079" s="79">
        <v>701700</v>
      </c>
    </row>
    <row r="4080" spans="1:7" x14ac:dyDescent="0.25">
      <c r="A4080" s="1" t="s">
        <v>4203</v>
      </c>
      <c r="B4080" s="76">
        <v>76.038803000000001</v>
      </c>
      <c r="C4080" s="76">
        <v>76.685531999999995</v>
      </c>
      <c r="D4080" s="76">
        <v>75.513335999999995</v>
      </c>
      <c r="E4080" s="76">
        <v>75.537589999999994</v>
      </c>
      <c r="F4080" s="76">
        <v>71.391272999999998</v>
      </c>
      <c r="G4080" s="79">
        <v>1223300</v>
      </c>
    </row>
    <row r="4081" spans="1:7" x14ac:dyDescent="0.25">
      <c r="A4081" s="1" t="s">
        <v>4204</v>
      </c>
      <c r="B4081" s="76">
        <v>75.416327999999993</v>
      </c>
      <c r="C4081" s="76">
        <v>75.990294999999904</v>
      </c>
      <c r="D4081" s="76">
        <v>74.704932999999997</v>
      </c>
      <c r="E4081" s="76">
        <v>74.915115</v>
      </c>
      <c r="F4081" s="76">
        <v>70.802970999999999</v>
      </c>
      <c r="G4081" s="79">
        <v>673500</v>
      </c>
    </row>
    <row r="4082" spans="1:7" x14ac:dyDescent="0.25">
      <c r="A4082" s="1" t="s">
        <v>4205</v>
      </c>
      <c r="B4082" s="76">
        <v>74.753433000000001</v>
      </c>
      <c r="C4082" s="76">
        <v>75.068718000000004</v>
      </c>
      <c r="D4082" s="76">
        <v>74.324981999999906</v>
      </c>
      <c r="E4082" s="76">
        <v>74.721100000000007</v>
      </c>
      <c r="F4082" s="76">
        <v>70.619606000000005</v>
      </c>
      <c r="G4082" s="79">
        <v>561400</v>
      </c>
    </row>
    <row r="4083" spans="1:7" x14ac:dyDescent="0.25">
      <c r="A4083" s="1" t="s">
        <v>4206</v>
      </c>
      <c r="B4083" s="76">
        <v>74.672591999999995</v>
      </c>
      <c r="C4083" s="76">
        <v>75.198059000000001</v>
      </c>
      <c r="D4083" s="76">
        <v>73.670165999999995</v>
      </c>
      <c r="E4083" s="76">
        <v>73.702506999999997</v>
      </c>
      <c r="F4083" s="76">
        <v>69.656929000000005</v>
      </c>
      <c r="G4083" s="79">
        <v>676200</v>
      </c>
    </row>
    <row r="4084" spans="1:7" x14ac:dyDescent="0.25">
      <c r="A4084" s="1" t="s">
        <v>4207</v>
      </c>
      <c r="B4084" s="76">
        <v>73.201293999999905</v>
      </c>
      <c r="C4084" s="76">
        <v>73.831847999999994</v>
      </c>
      <c r="D4084" s="76">
        <v>72.708168000000001</v>
      </c>
      <c r="E4084" s="76">
        <v>73.775261</v>
      </c>
      <c r="F4084" s="76">
        <v>69.725677000000005</v>
      </c>
      <c r="G4084" s="79">
        <v>556900</v>
      </c>
    </row>
    <row r="4085" spans="1:7" x14ac:dyDescent="0.25">
      <c r="A4085" s="1" t="s">
        <v>4208</v>
      </c>
      <c r="B4085" s="76">
        <v>73.839934999999997</v>
      </c>
      <c r="C4085" s="76">
        <v>74.793853999999996</v>
      </c>
      <c r="D4085" s="76">
        <v>73.492317</v>
      </c>
      <c r="E4085" s="76">
        <v>74.551331000000005</v>
      </c>
      <c r="F4085" s="76">
        <v>70.459152000000003</v>
      </c>
      <c r="G4085" s="79">
        <v>476700</v>
      </c>
    </row>
    <row r="4086" spans="1:7" x14ac:dyDescent="0.25">
      <c r="A4086" s="1" t="s">
        <v>4209</v>
      </c>
      <c r="B4086" s="76">
        <v>74.373481999999996</v>
      </c>
      <c r="C4086" s="76">
        <v>76.386420999999999</v>
      </c>
      <c r="D4086" s="76">
        <v>73.670165999999995</v>
      </c>
      <c r="E4086" s="76">
        <v>76.354079999999996</v>
      </c>
      <c r="F4086" s="76">
        <v>72.162955999999994</v>
      </c>
      <c r="G4086" s="79">
        <v>603200</v>
      </c>
    </row>
    <row r="4087" spans="1:7" x14ac:dyDescent="0.25">
      <c r="A4087" s="1" t="s">
        <v>4210</v>
      </c>
      <c r="B4087" s="76">
        <v>76.467262000000005</v>
      </c>
      <c r="C4087" s="76">
        <v>76.855293000000003</v>
      </c>
      <c r="D4087" s="76">
        <v>75.893287999999998</v>
      </c>
      <c r="E4087" s="76">
        <v>75.966048999999998</v>
      </c>
      <c r="F4087" s="76">
        <v>71.796218999999994</v>
      </c>
      <c r="G4087" s="79">
        <v>541300</v>
      </c>
    </row>
    <row r="4088" spans="1:7" x14ac:dyDescent="0.25">
      <c r="A4088" s="1" t="s">
        <v>4211</v>
      </c>
      <c r="B4088" s="76">
        <v>75.949883</v>
      </c>
      <c r="C4088" s="76">
        <v>76.499595999999997</v>
      </c>
      <c r="D4088" s="76">
        <v>75.772025999999997</v>
      </c>
      <c r="E4088" s="76">
        <v>76.337913999999998</v>
      </c>
      <c r="F4088" s="76">
        <v>72.147666999999998</v>
      </c>
      <c r="G4088" s="79">
        <v>778300</v>
      </c>
    </row>
    <row r="4089" spans="1:7" x14ac:dyDescent="0.25">
      <c r="A4089" s="1" t="s">
        <v>4212</v>
      </c>
      <c r="B4089" s="76">
        <v>75.941794999999999</v>
      </c>
      <c r="C4089" s="76">
        <v>76.936133999999996</v>
      </c>
      <c r="D4089" s="76">
        <v>75.602264000000005</v>
      </c>
      <c r="E4089" s="76">
        <v>76.564269999999993</v>
      </c>
      <c r="F4089" s="76">
        <v>72.361603000000002</v>
      </c>
      <c r="G4089" s="79">
        <v>689700</v>
      </c>
    </row>
    <row r="4090" spans="1:7" x14ac:dyDescent="0.25">
      <c r="A4090" s="1" t="s">
        <v>4213</v>
      </c>
      <c r="B4090" s="76">
        <v>76.564269999999993</v>
      </c>
      <c r="C4090" s="76">
        <v>77.057395999999997</v>
      </c>
      <c r="D4090" s="76">
        <v>76.564269999999993</v>
      </c>
      <c r="E4090" s="76">
        <v>76.717865000000003</v>
      </c>
      <c r="F4090" s="76">
        <v>72.506775000000005</v>
      </c>
      <c r="G4090" s="79">
        <v>521500</v>
      </c>
    </row>
    <row r="4091" spans="1:7" x14ac:dyDescent="0.25">
      <c r="A4091" s="1" t="s">
        <v>4214</v>
      </c>
      <c r="B4091" s="76">
        <v>76.370246999999907</v>
      </c>
      <c r="C4091" s="76">
        <v>76.806792999999999</v>
      </c>
      <c r="D4091" s="76">
        <v>75.982215999999994</v>
      </c>
      <c r="E4091" s="76">
        <v>76.143897999999993</v>
      </c>
      <c r="F4091" s="76">
        <v>71.964309999999998</v>
      </c>
      <c r="G4091" s="79">
        <v>665300</v>
      </c>
    </row>
    <row r="4092" spans="1:7" x14ac:dyDescent="0.25">
      <c r="A4092" s="1" t="s">
        <v>4215</v>
      </c>
      <c r="B4092" s="76">
        <v>76.030715999999998</v>
      </c>
      <c r="C4092" s="76">
        <v>77.033141999999998</v>
      </c>
      <c r="D4092" s="76">
        <v>75.141471999999993</v>
      </c>
      <c r="E4092" s="76">
        <v>76.871459999999999</v>
      </c>
      <c r="F4092" s="76">
        <v>72.651938999999999</v>
      </c>
      <c r="G4092" s="79">
        <v>589300</v>
      </c>
    </row>
    <row r="4093" spans="1:7" x14ac:dyDescent="0.25">
      <c r="A4093" s="1" t="s">
        <v>4216</v>
      </c>
      <c r="B4093" s="76">
        <v>76.540015999999994</v>
      </c>
      <c r="C4093" s="76">
        <v>76.693611000000004</v>
      </c>
      <c r="D4093" s="76">
        <v>75.262732999999997</v>
      </c>
      <c r="E4093" s="76">
        <v>75.747780000000006</v>
      </c>
      <c r="F4093" s="76">
        <v>71.589934999999997</v>
      </c>
      <c r="G4093" s="79">
        <v>487200</v>
      </c>
    </row>
    <row r="4094" spans="1:7" x14ac:dyDescent="0.25">
      <c r="A4094" s="1" t="s">
        <v>4217</v>
      </c>
      <c r="B4094" s="76">
        <v>76.208572000000004</v>
      </c>
      <c r="C4094" s="76">
        <v>77.227164999999999</v>
      </c>
      <c r="D4094" s="76">
        <v>76.208572000000004</v>
      </c>
      <c r="E4094" s="76">
        <v>76.548102999999998</v>
      </c>
      <c r="F4094" s="76">
        <v>72.346328999999997</v>
      </c>
      <c r="G4094" s="79">
        <v>389000</v>
      </c>
    </row>
    <row r="4095" spans="1:7" x14ac:dyDescent="0.25">
      <c r="A4095" s="1" t="s">
        <v>4218</v>
      </c>
      <c r="B4095" s="76">
        <v>76.992722000000001</v>
      </c>
      <c r="C4095" s="76">
        <v>77.413094000000001</v>
      </c>
      <c r="D4095" s="76">
        <v>76.434921000000003</v>
      </c>
      <c r="E4095" s="76">
        <v>76.499595999999997</v>
      </c>
      <c r="F4095" s="76">
        <v>72.300483999999997</v>
      </c>
      <c r="G4095" s="79">
        <v>470300</v>
      </c>
    </row>
    <row r="4096" spans="1:7" x14ac:dyDescent="0.25">
      <c r="A4096" s="1" t="s">
        <v>4219</v>
      </c>
      <c r="B4096" s="76">
        <v>77.081649999999996</v>
      </c>
      <c r="C4096" s="76">
        <v>78.860146</v>
      </c>
      <c r="D4096" s="76">
        <v>77.008895999999993</v>
      </c>
      <c r="E4096" s="76">
        <v>78.326599000000002</v>
      </c>
      <c r="F4096" s="76">
        <v>74.027198999999996</v>
      </c>
      <c r="G4096" s="79">
        <v>1278500</v>
      </c>
    </row>
    <row r="4097" spans="1:7" x14ac:dyDescent="0.25">
      <c r="A4097" s="1" t="s">
        <v>4220</v>
      </c>
      <c r="B4097" s="76">
        <v>78.71463</v>
      </c>
      <c r="C4097" s="76">
        <v>78.738883999999999</v>
      </c>
      <c r="D4097" s="76">
        <v>77.356505999999996</v>
      </c>
      <c r="E4097" s="76">
        <v>77.639449999999997</v>
      </c>
      <c r="F4097" s="76">
        <v>73.377769000000001</v>
      </c>
      <c r="G4097" s="79">
        <v>928800</v>
      </c>
    </row>
    <row r="4098" spans="1:7" x14ac:dyDescent="0.25">
      <c r="A4098" s="1" t="s">
        <v>4221</v>
      </c>
      <c r="B4098" s="76">
        <v>77.485855000000001</v>
      </c>
      <c r="C4098" s="76">
        <v>77.744545000000002</v>
      </c>
      <c r="D4098" s="76">
        <v>77.033141999999998</v>
      </c>
      <c r="E4098" s="76">
        <v>77.396927000000005</v>
      </c>
      <c r="F4098" s="76">
        <v>73.148560000000003</v>
      </c>
      <c r="G4098" s="79">
        <v>444100</v>
      </c>
    </row>
    <row r="4099" spans="1:7" x14ac:dyDescent="0.25">
      <c r="A4099" s="1" t="s">
        <v>4222</v>
      </c>
      <c r="B4099" s="76">
        <v>77.566695999999993</v>
      </c>
      <c r="C4099" s="76">
        <v>77.978981000000005</v>
      </c>
      <c r="D4099" s="76">
        <v>77.243331999999995</v>
      </c>
      <c r="E4099" s="76">
        <v>77.574776</v>
      </c>
      <c r="F4099" s="76">
        <v>73.316634999999906</v>
      </c>
      <c r="G4099" s="79">
        <v>846100</v>
      </c>
    </row>
    <row r="4100" spans="1:7" x14ac:dyDescent="0.25">
      <c r="A4100" s="1" t="s">
        <v>4223</v>
      </c>
      <c r="B4100" s="76">
        <v>77.396927000000005</v>
      </c>
      <c r="C4100" s="76">
        <v>77.655617000000007</v>
      </c>
      <c r="D4100" s="76">
        <v>76.863380000000006</v>
      </c>
      <c r="E4100" s="76">
        <v>77.445435000000003</v>
      </c>
      <c r="F4100" s="76">
        <v>73.194396999999995</v>
      </c>
      <c r="G4100" s="79">
        <v>666200</v>
      </c>
    </row>
    <row r="4101" spans="1:7" x14ac:dyDescent="0.25">
      <c r="A4101" s="1" t="s">
        <v>4224</v>
      </c>
      <c r="B4101" s="76">
        <v>77.720291000000003</v>
      </c>
      <c r="C4101" s="76">
        <v>78.003235000000004</v>
      </c>
      <c r="D4101" s="76">
        <v>77.445435000000003</v>
      </c>
      <c r="E4101" s="76">
        <v>77.655617000000007</v>
      </c>
      <c r="F4101" s="76">
        <v>73.393043999999904</v>
      </c>
      <c r="G4101" s="79">
        <v>742900</v>
      </c>
    </row>
    <row r="4102" spans="1:7" x14ac:dyDescent="0.25">
      <c r="A4102" s="1" t="s">
        <v>4225</v>
      </c>
      <c r="B4102" s="76">
        <v>77.518187999999995</v>
      </c>
      <c r="C4102" s="76">
        <v>77.704123999999993</v>
      </c>
      <c r="D4102" s="76">
        <v>76.531929000000005</v>
      </c>
      <c r="E4102" s="76">
        <v>76.645111</v>
      </c>
      <c r="F4102" s="76">
        <v>72.438004000000006</v>
      </c>
      <c r="G4102" s="79">
        <v>671100</v>
      </c>
    </row>
    <row r="4103" spans="1:7" x14ac:dyDescent="0.25">
      <c r="A4103" s="1" t="s">
        <v>4226</v>
      </c>
      <c r="B4103" s="76">
        <v>76.798705999999996</v>
      </c>
      <c r="C4103" s="76">
        <v>77.518187999999995</v>
      </c>
      <c r="D4103" s="76">
        <v>75.707358999999997</v>
      </c>
      <c r="E4103" s="76">
        <v>76.095389999999995</v>
      </c>
      <c r="F4103" s="76">
        <v>71.918464999999998</v>
      </c>
      <c r="G4103" s="79">
        <v>651300</v>
      </c>
    </row>
    <row r="4104" spans="1:7" x14ac:dyDescent="0.25">
      <c r="A4104" s="1" t="s">
        <v>4227</v>
      </c>
      <c r="B4104" s="76">
        <v>76.467262000000005</v>
      </c>
      <c r="C4104" s="76">
        <v>77.170569999999998</v>
      </c>
      <c r="D4104" s="76">
        <v>76.168152000000006</v>
      </c>
      <c r="E4104" s="76">
        <v>77.138237000000004</v>
      </c>
      <c r="F4104" s="76">
        <v>72.904060000000001</v>
      </c>
      <c r="G4104" s="79">
        <v>682300</v>
      </c>
    </row>
    <row r="4105" spans="1:7" x14ac:dyDescent="0.25">
      <c r="A4105" s="1" t="s">
        <v>4228</v>
      </c>
      <c r="B4105" s="76">
        <v>77.049316000000005</v>
      </c>
      <c r="C4105" s="76">
        <v>77.890052999999995</v>
      </c>
      <c r="D4105" s="76">
        <v>77.008895999999993</v>
      </c>
      <c r="E4105" s="76">
        <v>77.736457999999999</v>
      </c>
      <c r="F4105" s="76">
        <v>73.469459999999998</v>
      </c>
      <c r="G4105" s="79">
        <v>772800</v>
      </c>
    </row>
    <row r="4106" spans="1:7" x14ac:dyDescent="0.25">
      <c r="A4106" s="1" t="s">
        <v>4229</v>
      </c>
      <c r="B4106" s="76">
        <v>78.108329999999995</v>
      </c>
      <c r="C4106" s="76">
        <v>78.682296999999906</v>
      </c>
      <c r="D4106" s="76">
        <v>77.768799000000001</v>
      </c>
      <c r="E4106" s="76">
        <v>78.124495999999994</v>
      </c>
      <c r="F4106" s="76">
        <v>73.836189000000005</v>
      </c>
      <c r="G4106" s="79">
        <v>446700</v>
      </c>
    </row>
    <row r="4107" spans="1:7" x14ac:dyDescent="0.25">
      <c r="A4107" s="1" t="s">
        <v>4230</v>
      </c>
      <c r="B4107" s="76">
        <v>78.124495999999994</v>
      </c>
      <c r="C4107" s="76">
        <v>78.164917000000003</v>
      </c>
      <c r="D4107" s="76">
        <v>77.122069999999994</v>
      </c>
      <c r="E4107" s="76">
        <v>77.841553000000005</v>
      </c>
      <c r="F4107" s="76">
        <v>73.568779000000006</v>
      </c>
      <c r="G4107" s="79">
        <v>541400</v>
      </c>
    </row>
    <row r="4108" spans="1:7" x14ac:dyDescent="0.25">
      <c r="A4108" s="1" t="s">
        <v>4231</v>
      </c>
      <c r="B4108" s="76">
        <v>77.202911</v>
      </c>
      <c r="C4108" s="76">
        <v>77.736457999999999</v>
      </c>
      <c r="D4108" s="76">
        <v>76.855293000000003</v>
      </c>
      <c r="E4108" s="76">
        <v>77.461601000000002</v>
      </c>
      <c r="F4108" s="76">
        <v>73.209686000000005</v>
      </c>
      <c r="G4108" s="79">
        <v>691000</v>
      </c>
    </row>
    <row r="4109" spans="1:7" x14ac:dyDescent="0.25">
      <c r="A4109" s="1" t="s">
        <v>4232</v>
      </c>
      <c r="B4109" s="76">
        <v>77.356505999999996</v>
      </c>
      <c r="C4109" s="76">
        <v>77.550522000000001</v>
      </c>
      <c r="D4109" s="76">
        <v>76.151978</v>
      </c>
      <c r="E4109" s="76">
        <v>77.388846999999998</v>
      </c>
      <c r="F4109" s="76">
        <v>73.140915000000007</v>
      </c>
      <c r="G4109" s="79">
        <v>1137800</v>
      </c>
    </row>
    <row r="4110" spans="1:7" x14ac:dyDescent="0.25">
      <c r="A4110" s="1" t="s">
        <v>4233</v>
      </c>
      <c r="B4110" s="76">
        <v>77.687957999999995</v>
      </c>
      <c r="C4110" s="76">
        <v>79.223929999999996</v>
      </c>
      <c r="D4110" s="76">
        <v>77.687957999999995</v>
      </c>
      <c r="E4110" s="76">
        <v>78.763137999999998</v>
      </c>
      <c r="F4110" s="76">
        <v>74.439774</v>
      </c>
      <c r="G4110" s="79">
        <v>726700</v>
      </c>
    </row>
    <row r="4111" spans="1:7" x14ac:dyDescent="0.25">
      <c r="A4111" s="1" t="s">
        <v>4234</v>
      </c>
      <c r="B4111" s="76">
        <v>77.033141999999998</v>
      </c>
      <c r="C4111" s="76">
        <v>77.413094000000001</v>
      </c>
      <c r="D4111" s="76">
        <v>75.642685</v>
      </c>
      <c r="E4111" s="76">
        <v>76.531929000000005</v>
      </c>
      <c r="F4111" s="76">
        <v>72.331031999999993</v>
      </c>
      <c r="G4111" s="79">
        <v>1369900</v>
      </c>
    </row>
    <row r="4112" spans="1:7" x14ac:dyDescent="0.25">
      <c r="A4112" s="1" t="s">
        <v>4235</v>
      </c>
      <c r="B4112" s="76">
        <v>75.804366999999999</v>
      </c>
      <c r="C4112" s="76">
        <v>76.734031999999999</v>
      </c>
      <c r="D4112" s="76">
        <v>75.788200000000003</v>
      </c>
      <c r="E4112" s="76">
        <v>76.57235</v>
      </c>
      <c r="F4112" s="76">
        <v>72.369240000000005</v>
      </c>
      <c r="G4112" s="79">
        <v>1057100</v>
      </c>
    </row>
    <row r="4113" spans="1:7" x14ac:dyDescent="0.25">
      <c r="A4113" s="1" t="s">
        <v>4236</v>
      </c>
      <c r="B4113" s="76">
        <v>76.507683</v>
      </c>
      <c r="C4113" s="76">
        <v>77.097815999999995</v>
      </c>
      <c r="D4113" s="76">
        <v>76.160065000000003</v>
      </c>
      <c r="E4113" s="76">
        <v>77.008895999999993</v>
      </c>
      <c r="F4113" s="76">
        <v>72.781829999999999</v>
      </c>
      <c r="G4113" s="79">
        <v>1038900</v>
      </c>
    </row>
    <row r="4114" spans="1:7" x14ac:dyDescent="0.25">
      <c r="A4114" s="1" t="s">
        <v>4237</v>
      </c>
      <c r="B4114" s="76">
        <v>76.346001000000001</v>
      </c>
      <c r="C4114" s="76">
        <v>77.607117000000002</v>
      </c>
      <c r="D4114" s="76">
        <v>75.464836000000005</v>
      </c>
      <c r="E4114" s="76">
        <v>77.485855000000001</v>
      </c>
      <c r="F4114" s="76">
        <v>73.836646999999999</v>
      </c>
      <c r="G4114" s="79">
        <v>1371500</v>
      </c>
    </row>
    <row r="4115" spans="1:7" x14ac:dyDescent="0.25">
      <c r="A4115" s="1" t="s">
        <v>4238</v>
      </c>
      <c r="B4115" s="76">
        <v>77.574776</v>
      </c>
      <c r="C4115" s="76">
        <v>78.399353000000005</v>
      </c>
      <c r="D4115" s="76">
        <v>77.073562999999993</v>
      </c>
      <c r="E4115" s="76">
        <v>78.326599000000002</v>
      </c>
      <c r="F4115" s="76">
        <v>74.637787000000003</v>
      </c>
      <c r="G4115" s="79">
        <v>1018000</v>
      </c>
    </row>
    <row r="4116" spans="1:7" x14ac:dyDescent="0.25">
      <c r="A4116" s="1" t="s">
        <v>4239</v>
      </c>
      <c r="B4116" s="76">
        <v>78.771216999999993</v>
      </c>
      <c r="C4116" s="76">
        <v>79.143089000000003</v>
      </c>
      <c r="D4116" s="76">
        <v>78.205337999999998</v>
      </c>
      <c r="E4116" s="76">
        <v>78.843979000000004</v>
      </c>
      <c r="F4116" s="76">
        <v>75.130806000000007</v>
      </c>
      <c r="G4116" s="79">
        <v>997100</v>
      </c>
    </row>
    <row r="4117" spans="1:7" x14ac:dyDescent="0.25">
      <c r="A4117" s="1" t="s">
        <v>4240</v>
      </c>
      <c r="B4117" s="76">
        <v>78.690376000000001</v>
      </c>
      <c r="C4117" s="76">
        <v>78.690376000000001</v>
      </c>
      <c r="D4117" s="76">
        <v>76.758285999999998</v>
      </c>
      <c r="E4117" s="76">
        <v>77.655617000000007</v>
      </c>
      <c r="F4117" s="76">
        <v>73.998412999999999</v>
      </c>
      <c r="G4117" s="79">
        <v>1790100</v>
      </c>
    </row>
    <row r="4118" spans="1:7" x14ac:dyDescent="0.25">
      <c r="A4118" s="1" t="s">
        <v>4241</v>
      </c>
      <c r="B4118" s="76">
        <v>77.978981000000005</v>
      </c>
      <c r="C4118" s="76">
        <v>78.569121999999993</v>
      </c>
      <c r="D4118" s="76">
        <v>77.275665000000004</v>
      </c>
      <c r="E4118" s="76">
        <v>78.164917000000003</v>
      </c>
      <c r="F4118" s="76">
        <v>74.483733999999998</v>
      </c>
      <c r="G4118" s="79">
        <v>1252500</v>
      </c>
    </row>
    <row r="4119" spans="1:7" x14ac:dyDescent="0.25">
      <c r="A4119" s="1" t="s">
        <v>4242</v>
      </c>
      <c r="B4119" s="76">
        <v>77.752624999999995</v>
      </c>
      <c r="C4119" s="76">
        <v>77.752624999999995</v>
      </c>
      <c r="D4119" s="76">
        <v>76.677443999999994</v>
      </c>
      <c r="E4119" s="76">
        <v>76.960387999999995</v>
      </c>
      <c r="F4119" s="76">
        <v>73.335930000000005</v>
      </c>
      <c r="G4119" s="79">
        <v>760600</v>
      </c>
    </row>
    <row r="4120" spans="1:7" x14ac:dyDescent="0.25">
      <c r="A4120" s="1" t="s">
        <v>4243</v>
      </c>
      <c r="B4120" s="76">
        <v>77.324173000000002</v>
      </c>
      <c r="C4120" s="76">
        <v>78.666129999999995</v>
      </c>
      <c r="D4120" s="76">
        <v>77.033141999999998</v>
      </c>
      <c r="E4120" s="76">
        <v>78.302344999999903</v>
      </c>
      <c r="F4120" s="76">
        <v>74.614684999999994</v>
      </c>
      <c r="G4120" s="79">
        <v>687200</v>
      </c>
    </row>
    <row r="4121" spans="1:7" x14ac:dyDescent="0.25">
      <c r="A4121" s="1" t="s">
        <v>4244</v>
      </c>
      <c r="B4121" s="76">
        <v>78.067909</v>
      </c>
      <c r="C4121" s="76">
        <v>78.197249999999997</v>
      </c>
      <c r="D4121" s="76">
        <v>76.895713999999998</v>
      </c>
      <c r="E4121" s="76">
        <v>77.324173000000002</v>
      </c>
      <c r="F4121" s="76">
        <v>73.682579000000004</v>
      </c>
      <c r="G4121" s="79">
        <v>914900</v>
      </c>
    </row>
    <row r="4122" spans="1:7" x14ac:dyDescent="0.25">
      <c r="A4122" s="1" t="s">
        <v>4245</v>
      </c>
      <c r="B4122" s="76">
        <v>77.008895999999993</v>
      </c>
      <c r="C4122" s="76">
        <v>77.324173000000002</v>
      </c>
      <c r="D4122" s="76">
        <v>74.866614999999996</v>
      </c>
      <c r="E4122" s="76">
        <v>75.836699999999993</v>
      </c>
      <c r="F4122" s="76">
        <v>72.265167000000005</v>
      </c>
      <c r="G4122" s="79">
        <v>1352100</v>
      </c>
    </row>
    <row r="4123" spans="1:7" x14ac:dyDescent="0.25">
      <c r="A4123" s="1" t="s">
        <v>4246</v>
      </c>
      <c r="B4123" s="76">
        <v>74.947456000000003</v>
      </c>
      <c r="C4123" s="76">
        <v>75.416327999999993</v>
      </c>
      <c r="D4123" s="76">
        <v>72.861762999999996</v>
      </c>
      <c r="E4123" s="76">
        <v>74.907036000000005</v>
      </c>
      <c r="F4123" s="76">
        <v>71.379279999999994</v>
      </c>
      <c r="G4123" s="79">
        <v>744700</v>
      </c>
    </row>
    <row r="4124" spans="1:7" x14ac:dyDescent="0.25">
      <c r="A4124" s="1" t="s">
        <v>4247</v>
      </c>
      <c r="B4124" s="76">
        <v>75.383994999999999</v>
      </c>
      <c r="C4124" s="76">
        <v>75.949883</v>
      </c>
      <c r="D4124" s="76">
        <v>74.745354000000006</v>
      </c>
      <c r="E4124" s="76">
        <v>75.125304999999997</v>
      </c>
      <c r="F4124" s="76">
        <v>71.587272999999996</v>
      </c>
      <c r="G4124" s="79">
        <v>760000</v>
      </c>
    </row>
    <row r="4125" spans="1:7" x14ac:dyDescent="0.25">
      <c r="A4125" s="1" t="s">
        <v>4248</v>
      </c>
      <c r="B4125" s="76">
        <v>75.303154000000006</v>
      </c>
      <c r="C4125" s="76">
        <v>75.586097999999893</v>
      </c>
      <c r="D4125" s="76">
        <v>74.632171999999997</v>
      </c>
      <c r="E4125" s="76">
        <v>75.335487000000001</v>
      </c>
      <c r="F4125" s="76">
        <v>71.787552000000005</v>
      </c>
      <c r="G4125" s="79">
        <v>650000</v>
      </c>
    </row>
    <row r="4126" spans="1:7" x14ac:dyDescent="0.25">
      <c r="A4126" s="1" t="s">
        <v>4249</v>
      </c>
      <c r="B4126" s="76">
        <v>75.836699999999993</v>
      </c>
      <c r="C4126" s="76">
        <v>76.871459999999999</v>
      </c>
      <c r="D4126" s="76">
        <v>75.836699999999993</v>
      </c>
      <c r="E4126" s="76">
        <v>76.806792999999999</v>
      </c>
      <c r="F4126" s="76">
        <v>73.189567999999994</v>
      </c>
      <c r="G4126" s="79">
        <v>1035600</v>
      </c>
    </row>
    <row r="4127" spans="1:7" x14ac:dyDescent="0.25">
      <c r="A4127" s="1" t="s">
        <v>4250</v>
      </c>
      <c r="B4127" s="76">
        <v>76.879547000000002</v>
      </c>
      <c r="C4127" s="76">
        <v>77.194823999999997</v>
      </c>
      <c r="D4127" s="76">
        <v>76.540015999999994</v>
      </c>
      <c r="E4127" s="76">
        <v>76.863380000000006</v>
      </c>
      <c r="F4127" s="76">
        <v>73.243499999999997</v>
      </c>
      <c r="G4127" s="79">
        <v>728700</v>
      </c>
    </row>
    <row r="4128" spans="1:7" x14ac:dyDescent="0.25">
      <c r="A4128" s="1" t="s">
        <v>4251</v>
      </c>
      <c r="B4128" s="76">
        <v>76.790618999999893</v>
      </c>
      <c r="C4128" s="76">
        <v>77.041229000000001</v>
      </c>
      <c r="D4128" s="76">
        <v>76.337913999999998</v>
      </c>
      <c r="E4128" s="76">
        <v>76.57235</v>
      </c>
      <c r="F4128" s="76">
        <v>72.966164000000006</v>
      </c>
      <c r="G4128" s="79">
        <v>475900</v>
      </c>
    </row>
    <row r="4129" spans="1:7" x14ac:dyDescent="0.25">
      <c r="A4129" s="1" t="s">
        <v>4252</v>
      </c>
      <c r="B4129" s="76">
        <v>76.628943999999905</v>
      </c>
      <c r="C4129" s="76">
        <v>77.388846999999998</v>
      </c>
      <c r="D4129" s="76">
        <v>76.370246999999907</v>
      </c>
      <c r="E4129" s="76">
        <v>76.968474999999998</v>
      </c>
      <c r="F4129" s="76">
        <v>73.343636000000004</v>
      </c>
      <c r="G4129" s="79">
        <v>381000</v>
      </c>
    </row>
    <row r="4130" spans="1:7" x14ac:dyDescent="0.25">
      <c r="A4130" s="1" t="s">
        <v>4253</v>
      </c>
      <c r="B4130" s="76">
        <v>76.984641999999994</v>
      </c>
      <c r="C4130" s="76">
        <v>77.372672999999907</v>
      </c>
      <c r="D4130" s="76">
        <v>76.499595999999997</v>
      </c>
      <c r="E4130" s="76">
        <v>77.219077999999996</v>
      </c>
      <c r="F4130" s="76">
        <v>73.582442999999998</v>
      </c>
      <c r="G4130" s="79">
        <v>622600</v>
      </c>
    </row>
    <row r="4131" spans="1:7" x14ac:dyDescent="0.25">
      <c r="A4131" s="1" t="s">
        <v>4254</v>
      </c>
      <c r="B4131" s="76">
        <v>76.725952000000007</v>
      </c>
      <c r="C4131" s="76">
        <v>77.154404</v>
      </c>
      <c r="D4131" s="76">
        <v>76.564269999999993</v>
      </c>
      <c r="E4131" s="76">
        <v>77.081649999999996</v>
      </c>
      <c r="F4131" s="76">
        <v>73.451484999999906</v>
      </c>
      <c r="G4131" s="79">
        <v>689000</v>
      </c>
    </row>
    <row r="4132" spans="1:7" x14ac:dyDescent="0.25">
      <c r="A4132" s="1" t="s">
        <v>4255</v>
      </c>
      <c r="B4132" s="76">
        <v>76.814872999999906</v>
      </c>
      <c r="C4132" s="76">
        <v>77.881973000000002</v>
      </c>
      <c r="D4132" s="76">
        <v>76.564269999999993</v>
      </c>
      <c r="E4132" s="76">
        <v>77.865806999999904</v>
      </c>
      <c r="F4132" s="76">
        <v>74.198715000000007</v>
      </c>
      <c r="G4132" s="79">
        <v>515000</v>
      </c>
    </row>
    <row r="4133" spans="1:7" x14ac:dyDescent="0.25">
      <c r="A4133" s="1" t="s">
        <v>4256</v>
      </c>
      <c r="B4133" s="76">
        <v>77.841553000000005</v>
      </c>
      <c r="C4133" s="76">
        <v>78.908653000000001</v>
      </c>
      <c r="D4133" s="76">
        <v>77.558608999999905</v>
      </c>
      <c r="E4133" s="76">
        <v>77.607117000000002</v>
      </c>
      <c r="F4133" s="76">
        <v>73.952202</v>
      </c>
      <c r="G4133" s="79">
        <v>915900</v>
      </c>
    </row>
    <row r="4134" spans="1:7" x14ac:dyDescent="0.25">
      <c r="A4134" s="1" t="s">
        <v>4257</v>
      </c>
      <c r="B4134" s="76">
        <v>77.647537</v>
      </c>
      <c r="C4134" s="76">
        <v>77.801131999999996</v>
      </c>
      <c r="D4134" s="76">
        <v>76.628943999999905</v>
      </c>
      <c r="E4134" s="76">
        <v>77.396927000000005</v>
      </c>
      <c r="F4134" s="76">
        <v>73.751914999999997</v>
      </c>
      <c r="G4134" s="79">
        <v>1869800</v>
      </c>
    </row>
    <row r="4135" spans="1:7" x14ac:dyDescent="0.25">
      <c r="A4135" s="1" t="s">
        <v>4258</v>
      </c>
      <c r="B4135" s="76">
        <v>77.396927000000005</v>
      </c>
      <c r="C4135" s="76">
        <v>77.914306999999994</v>
      </c>
      <c r="D4135" s="76">
        <v>77.122069999999994</v>
      </c>
      <c r="E4135" s="76">
        <v>77.429267999999993</v>
      </c>
      <c r="F4135" s="76">
        <v>73.782737999999995</v>
      </c>
      <c r="G4135" s="79">
        <v>550800</v>
      </c>
    </row>
    <row r="4136" spans="1:7" x14ac:dyDescent="0.25">
      <c r="A4136" s="1" t="s">
        <v>4259</v>
      </c>
      <c r="B4136" s="76">
        <v>77.518187999999995</v>
      </c>
      <c r="C4136" s="76">
        <v>78.172996999999995</v>
      </c>
      <c r="D4136" s="76">
        <v>77.251411000000004</v>
      </c>
      <c r="E4136" s="76">
        <v>77.962813999999995</v>
      </c>
      <c r="F4136" s="76">
        <v>74.291152999999994</v>
      </c>
      <c r="G4136" s="79">
        <v>708300</v>
      </c>
    </row>
    <row r="4137" spans="1:7" x14ac:dyDescent="0.25">
      <c r="A4137" s="1" t="s">
        <v>4260</v>
      </c>
      <c r="B4137" s="76">
        <v>77.736457999999999</v>
      </c>
      <c r="C4137" s="76">
        <v>78.698463000000004</v>
      </c>
      <c r="D4137" s="76">
        <v>77.445435000000003</v>
      </c>
      <c r="E4137" s="76">
        <v>78.561035000000004</v>
      </c>
      <c r="F4137" s="76">
        <v>74.861198000000002</v>
      </c>
      <c r="G4137" s="79">
        <v>810900</v>
      </c>
    </row>
    <row r="4138" spans="1:7" x14ac:dyDescent="0.25">
      <c r="A4138" s="1" t="s">
        <v>4261</v>
      </c>
      <c r="B4138" s="76">
        <v>78.148750000000007</v>
      </c>
      <c r="C4138" s="76">
        <v>78.480193999999997</v>
      </c>
      <c r="D4138" s="76">
        <v>77.380759999999995</v>
      </c>
      <c r="E4138" s="76">
        <v>77.615195999999997</v>
      </c>
      <c r="F4138" s="76">
        <v>73.959900000000005</v>
      </c>
      <c r="G4138" s="79">
        <v>858200</v>
      </c>
    </row>
    <row r="4139" spans="1:7" x14ac:dyDescent="0.25">
      <c r="A4139" s="1" t="s">
        <v>4262</v>
      </c>
      <c r="B4139" s="76">
        <v>77.679870999999906</v>
      </c>
      <c r="C4139" s="76">
        <v>78.213417000000007</v>
      </c>
      <c r="D4139" s="76">
        <v>77.170569999999998</v>
      </c>
      <c r="E4139" s="76">
        <v>77.308006000000006</v>
      </c>
      <c r="F4139" s="76">
        <v>73.667175</v>
      </c>
      <c r="G4139" s="79">
        <v>892100</v>
      </c>
    </row>
    <row r="4140" spans="1:7" x14ac:dyDescent="0.25">
      <c r="A4140" s="1" t="s">
        <v>4263</v>
      </c>
      <c r="B4140" s="76">
        <v>77.283752000000007</v>
      </c>
      <c r="C4140" s="76">
        <v>77.833466000000001</v>
      </c>
      <c r="D4140" s="76">
        <v>76.782539</v>
      </c>
      <c r="E4140" s="76">
        <v>77.453513999999998</v>
      </c>
      <c r="F4140" s="76">
        <v>73.805824000000001</v>
      </c>
      <c r="G4140" s="79">
        <v>1159600</v>
      </c>
    </row>
    <row r="4141" spans="1:7" x14ac:dyDescent="0.25">
      <c r="A4141" s="1" t="s">
        <v>4264</v>
      </c>
      <c r="B4141" s="76">
        <v>77.485855000000001</v>
      </c>
      <c r="C4141" s="76">
        <v>78.884399000000002</v>
      </c>
      <c r="D4141" s="76">
        <v>77.477767999999998</v>
      </c>
      <c r="E4141" s="76">
        <v>78.464027000000002</v>
      </c>
      <c r="F4141" s="76">
        <v>74.768753000000004</v>
      </c>
      <c r="G4141" s="79">
        <v>945800</v>
      </c>
    </row>
    <row r="4142" spans="1:7" x14ac:dyDescent="0.25">
      <c r="A4142" s="1" t="s">
        <v>4265</v>
      </c>
      <c r="B4142" s="76">
        <v>77.914306999999994</v>
      </c>
      <c r="C4142" s="76">
        <v>79.005661000000003</v>
      </c>
      <c r="D4142" s="76">
        <v>77.445435000000003</v>
      </c>
      <c r="E4142" s="76">
        <v>78.884399000000002</v>
      </c>
      <c r="F4142" s="76">
        <v>75.169326999999996</v>
      </c>
      <c r="G4142" s="79">
        <v>956900</v>
      </c>
    </row>
    <row r="4143" spans="1:7" x14ac:dyDescent="0.25">
      <c r="A4143" s="1" t="s">
        <v>4266</v>
      </c>
      <c r="B4143" s="76">
        <v>79.167343000000002</v>
      </c>
      <c r="C4143" s="76">
        <v>79.223929999999996</v>
      </c>
      <c r="D4143" s="76">
        <v>78.270004</v>
      </c>
      <c r="E4143" s="76">
        <v>79.175422999999995</v>
      </c>
      <c r="F4143" s="76">
        <v>75.446647999999996</v>
      </c>
      <c r="G4143" s="79">
        <v>1211100</v>
      </c>
    </row>
    <row r="4144" spans="1:7" x14ac:dyDescent="0.25">
      <c r="A4144" s="1" t="s">
        <v>4267</v>
      </c>
      <c r="B4144" s="76">
        <v>79.814064000000002</v>
      </c>
      <c r="C4144" s="76">
        <v>80.371864000000002</v>
      </c>
      <c r="D4144" s="76">
        <v>78.205337999999998</v>
      </c>
      <c r="E4144" s="76">
        <v>78.286179000000004</v>
      </c>
      <c r="F4144" s="76">
        <v>74.599281000000005</v>
      </c>
      <c r="G4144" s="79">
        <v>1579400</v>
      </c>
    </row>
    <row r="4145" spans="1:7" x14ac:dyDescent="0.25">
      <c r="A4145" s="1" t="s">
        <v>4268</v>
      </c>
      <c r="B4145" s="76">
        <v>78.633788999999993</v>
      </c>
      <c r="C4145" s="76">
        <v>79.167343000000002</v>
      </c>
      <c r="D4145" s="76">
        <v>78.286179000000004</v>
      </c>
      <c r="E4145" s="76">
        <v>78.819725000000005</v>
      </c>
      <c r="F4145" s="76">
        <v>75.107703999999998</v>
      </c>
      <c r="G4145" s="79">
        <v>572100</v>
      </c>
    </row>
    <row r="4146" spans="1:7" x14ac:dyDescent="0.25">
      <c r="A4146" s="1" t="s">
        <v>4269</v>
      </c>
      <c r="B4146" s="76">
        <v>78.989493999999993</v>
      </c>
      <c r="C4146" s="76">
        <v>79.369445999999996</v>
      </c>
      <c r="D4146" s="76">
        <v>78.633788999999993</v>
      </c>
      <c r="E4146" s="76">
        <v>78.940986999999893</v>
      </c>
      <c r="F4146" s="76">
        <v>75.223251000000005</v>
      </c>
      <c r="G4146" s="79">
        <v>703400</v>
      </c>
    </row>
    <row r="4147" spans="1:7" x14ac:dyDescent="0.25">
      <c r="A4147" s="1" t="s">
        <v>4270</v>
      </c>
      <c r="B4147" s="76">
        <v>79.4422</v>
      </c>
      <c r="C4147" s="76">
        <v>80.024253999999999</v>
      </c>
      <c r="D4147" s="76">
        <v>79.296683999999999</v>
      </c>
      <c r="E4147" s="76">
        <v>79.975746000000001</v>
      </c>
      <c r="F4147" s="76">
        <v>76.209273999999994</v>
      </c>
      <c r="G4147" s="79">
        <v>570800</v>
      </c>
    </row>
    <row r="4148" spans="1:7" x14ac:dyDescent="0.25">
      <c r="A4148" s="1" t="s">
        <v>4271</v>
      </c>
      <c r="B4148" s="76">
        <v>78.334678999999994</v>
      </c>
      <c r="C4148" s="76">
        <v>79.458365999999998</v>
      </c>
      <c r="D4148" s="76">
        <v>77.558608999999905</v>
      </c>
      <c r="E4148" s="76">
        <v>78.407439999999994</v>
      </c>
      <c r="F4148" s="76">
        <v>74.714821000000001</v>
      </c>
      <c r="G4148" s="79">
        <v>1570900</v>
      </c>
    </row>
    <row r="4149" spans="1:7" x14ac:dyDescent="0.25">
      <c r="A4149" s="1" t="s">
        <v>4272</v>
      </c>
      <c r="B4149" s="76">
        <v>77.801131999999996</v>
      </c>
      <c r="C4149" s="76">
        <v>78.003235000000004</v>
      </c>
      <c r="D4149" s="76">
        <v>76.418755000000004</v>
      </c>
      <c r="E4149" s="76">
        <v>77.324173000000002</v>
      </c>
      <c r="F4149" s="76">
        <v>73.682579000000004</v>
      </c>
      <c r="G4149" s="79">
        <v>798700</v>
      </c>
    </row>
    <row r="4150" spans="1:7" x14ac:dyDescent="0.25">
      <c r="A4150" s="1" t="s">
        <v>4273</v>
      </c>
      <c r="B4150" s="76">
        <v>77.793044999999907</v>
      </c>
      <c r="C4150" s="76">
        <v>78.601455999999999</v>
      </c>
      <c r="D4150" s="76">
        <v>77.615195999999997</v>
      </c>
      <c r="E4150" s="76">
        <v>78.577202</v>
      </c>
      <c r="F4150" s="76">
        <v>74.876602000000005</v>
      </c>
      <c r="G4150" s="79">
        <v>1507500</v>
      </c>
    </row>
    <row r="4151" spans="1:7" x14ac:dyDescent="0.25">
      <c r="A4151" s="1" t="s">
        <v>4274</v>
      </c>
      <c r="B4151" s="76">
        <v>79.118835000000004</v>
      </c>
      <c r="C4151" s="76">
        <v>80.088927999999996</v>
      </c>
      <c r="D4151" s="76">
        <v>79.118835000000004</v>
      </c>
      <c r="E4151" s="76">
        <v>80.072754000000003</v>
      </c>
      <c r="F4151" s="76">
        <v>76.301711999999995</v>
      </c>
      <c r="G4151" s="79">
        <v>1115600</v>
      </c>
    </row>
    <row r="4152" spans="1:7" x14ac:dyDescent="0.25">
      <c r="A4152" s="1" t="s">
        <v>4275</v>
      </c>
      <c r="B4152" s="76">
        <v>80.291022999999996</v>
      </c>
      <c r="C4152" s="76">
        <v>80.945839000000007</v>
      </c>
      <c r="D4152" s="76">
        <v>79.652381999999903</v>
      </c>
      <c r="E4152" s="76">
        <v>80.937752000000003</v>
      </c>
      <c r="F4152" s="76">
        <v>77.125984000000003</v>
      </c>
      <c r="G4152" s="79">
        <v>1312300</v>
      </c>
    </row>
    <row r="4153" spans="1:7" x14ac:dyDescent="0.25">
      <c r="A4153" s="1" t="s">
        <v>4276</v>
      </c>
      <c r="B4153" s="76">
        <v>81.244949000000005</v>
      </c>
      <c r="C4153" s="76">
        <v>81.681488000000002</v>
      </c>
      <c r="D4153" s="76">
        <v>80.703316000000001</v>
      </c>
      <c r="E4153" s="76">
        <v>80.832656999999998</v>
      </c>
      <c r="F4153" s="76">
        <v>77.025841</v>
      </c>
      <c r="G4153" s="79">
        <v>751800</v>
      </c>
    </row>
    <row r="4154" spans="1:7" x14ac:dyDescent="0.25">
      <c r="A4154" s="1" t="s">
        <v>4277</v>
      </c>
      <c r="B4154" s="76">
        <v>80.670974999999999</v>
      </c>
      <c r="C4154" s="76">
        <v>81.374290000000002</v>
      </c>
      <c r="D4154" s="76">
        <v>80.582053999999999</v>
      </c>
      <c r="E4154" s="76">
        <v>81.131766999999996</v>
      </c>
      <c r="F4154" s="76">
        <v>77.310859999999906</v>
      </c>
      <c r="G4154" s="79">
        <v>1053900</v>
      </c>
    </row>
    <row r="4155" spans="1:7" x14ac:dyDescent="0.25">
      <c r="A4155" s="1" t="s">
        <v>4278</v>
      </c>
      <c r="B4155" s="76">
        <v>80.970084999999997</v>
      </c>
      <c r="C4155" s="76">
        <v>81.083267000000006</v>
      </c>
      <c r="D4155" s="76">
        <v>80.161681999999999</v>
      </c>
      <c r="E4155" s="76">
        <v>80.218268999999907</v>
      </c>
      <c r="F4155" s="76">
        <v>76.440383999999995</v>
      </c>
      <c r="G4155" s="79">
        <v>1025400</v>
      </c>
    </row>
    <row r="4156" spans="1:7" x14ac:dyDescent="0.25">
      <c r="A4156" s="1" t="s">
        <v>4279</v>
      </c>
      <c r="B4156" s="76">
        <v>80.097008000000002</v>
      </c>
      <c r="C4156" s="76">
        <v>80.274856999999997</v>
      </c>
      <c r="D4156" s="76">
        <v>78.755050999999995</v>
      </c>
      <c r="E4156" s="76">
        <v>79.126923000000005</v>
      </c>
      <c r="F4156" s="76">
        <v>75.400435999999999</v>
      </c>
      <c r="G4156" s="79">
        <v>930300</v>
      </c>
    </row>
    <row r="4157" spans="1:7" x14ac:dyDescent="0.25">
      <c r="A4157" s="1" t="s">
        <v>4280</v>
      </c>
      <c r="B4157" s="76">
        <v>79.781730999999994</v>
      </c>
      <c r="C4157" s="76">
        <v>81.366210999999893</v>
      </c>
      <c r="D4157" s="76">
        <v>79.781730999999994</v>
      </c>
      <c r="E4157" s="76">
        <v>81.212607999999904</v>
      </c>
      <c r="F4157" s="76">
        <v>77.387893999999903</v>
      </c>
      <c r="G4157" s="79">
        <v>1308100</v>
      </c>
    </row>
    <row r="4158" spans="1:7" x14ac:dyDescent="0.25">
      <c r="A4158" s="1" t="s">
        <v>4281</v>
      </c>
      <c r="B4158" s="76">
        <v>81.544060000000002</v>
      </c>
      <c r="C4158" s="76">
        <v>81.729996</v>
      </c>
      <c r="D4158" s="76">
        <v>79.911071999999905</v>
      </c>
      <c r="E4158" s="76">
        <v>81.511718999999999</v>
      </c>
      <c r="F4158" s="76">
        <v>77.672912999999994</v>
      </c>
      <c r="G4158" s="79">
        <v>1259200</v>
      </c>
    </row>
    <row r="4159" spans="1:7" x14ac:dyDescent="0.25">
      <c r="A4159" s="1" t="s">
        <v>4282</v>
      </c>
      <c r="B4159" s="76">
        <v>81.390456999999998</v>
      </c>
      <c r="C4159" s="76">
        <v>81.875504000000006</v>
      </c>
      <c r="D4159" s="76">
        <v>80.832656999999998</v>
      </c>
      <c r="E4159" s="76">
        <v>81.818916000000002</v>
      </c>
      <c r="F4159" s="76">
        <v>77.965637000000001</v>
      </c>
      <c r="G4159" s="79">
        <v>955600</v>
      </c>
    </row>
    <row r="4160" spans="1:7" x14ac:dyDescent="0.25">
      <c r="A4160" s="1" t="s">
        <v>4283</v>
      </c>
      <c r="B4160" s="76">
        <v>82.037186000000005</v>
      </c>
      <c r="C4160" s="76">
        <v>82.118026999999998</v>
      </c>
      <c r="D4160" s="76">
        <v>81.422798</v>
      </c>
      <c r="E4160" s="76">
        <v>81.915924000000004</v>
      </c>
      <c r="F4160" s="76">
        <v>78.058090000000007</v>
      </c>
      <c r="G4160" s="79">
        <v>732100</v>
      </c>
    </row>
    <row r="4161" spans="1:7" x14ac:dyDescent="0.25">
      <c r="A4161" s="1" t="s">
        <v>4284</v>
      </c>
      <c r="B4161" s="76">
        <v>81.762328999999994</v>
      </c>
      <c r="C4161" s="76">
        <v>82.045272999999995</v>
      </c>
      <c r="D4161" s="76">
        <v>81.147942</v>
      </c>
      <c r="E4161" s="76">
        <v>81.277282999999997</v>
      </c>
      <c r="F4161" s="76">
        <v>77.449516000000003</v>
      </c>
      <c r="G4161" s="79">
        <v>696000</v>
      </c>
    </row>
    <row r="4162" spans="1:7" x14ac:dyDescent="0.25">
      <c r="A4162" s="1" t="s">
        <v>4285</v>
      </c>
      <c r="B4162" s="76">
        <v>81.382378000000003</v>
      </c>
      <c r="C4162" s="76">
        <v>81.390456999999998</v>
      </c>
      <c r="D4162" s="76">
        <v>80.404205000000005</v>
      </c>
      <c r="E4162" s="76">
        <v>81.083267000000006</v>
      </c>
      <c r="F4162" s="76">
        <v>77.264647999999994</v>
      </c>
      <c r="G4162" s="79">
        <v>1279200</v>
      </c>
    </row>
    <row r="4163" spans="1:7" x14ac:dyDescent="0.25">
      <c r="A4163" s="1" t="s">
        <v>4286</v>
      </c>
      <c r="B4163" s="76">
        <v>81.188361999999998</v>
      </c>
      <c r="C4163" s="76">
        <v>81.503639000000007</v>
      </c>
      <c r="D4163" s="76">
        <v>80.291022999999996</v>
      </c>
      <c r="E4163" s="76">
        <v>81.366210999999893</v>
      </c>
      <c r="F4163" s="76">
        <v>77.534255999999999</v>
      </c>
      <c r="G4163" s="79">
        <v>1189200</v>
      </c>
    </row>
    <row r="4164" spans="1:7" x14ac:dyDescent="0.25">
      <c r="A4164" s="1" t="s">
        <v>4287</v>
      </c>
      <c r="B4164" s="76">
        <v>81.414710999999997</v>
      </c>
      <c r="C4164" s="76">
        <v>82.037186000000005</v>
      </c>
      <c r="D4164" s="76">
        <v>81.050926000000004</v>
      </c>
      <c r="E4164" s="76">
        <v>82.012931999999907</v>
      </c>
      <c r="F4164" s="76">
        <v>78.150527999999994</v>
      </c>
      <c r="G4164" s="79">
        <v>1166800</v>
      </c>
    </row>
    <row r="4165" spans="1:7" x14ac:dyDescent="0.25">
      <c r="A4165" s="1" t="s">
        <v>4288</v>
      </c>
      <c r="B4165" s="76">
        <v>81.972510999999997</v>
      </c>
      <c r="C4165" s="76">
        <v>81.972510999999997</v>
      </c>
      <c r="D4165" s="76">
        <v>81.422798</v>
      </c>
      <c r="E4165" s="76">
        <v>81.649154999999993</v>
      </c>
      <c r="F4165" s="76">
        <v>77.803886000000006</v>
      </c>
      <c r="G4165" s="79">
        <v>1091900</v>
      </c>
    </row>
    <row r="4166" spans="1:7" x14ac:dyDescent="0.25">
      <c r="A4166" s="1" t="s">
        <v>4289</v>
      </c>
      <c r="B4166" s="76">
        <v>81.495552000000004</v>
      </c>
      <c r="C4166" s="76">
        <v>82.425224</v>
      </c>
      <c r="D4166" s="76">
        <v>81.236862000000002</v>
      </c>
      <c r="E4166" s="76">
        <v>82.392882999999998</v>
      </c>
      <c r="F4166" s="76">
        <v>78.512589000000006</v>
      </c>
      <c r="G4166" s="79">
        <v>636400</v>
      </c>
    </row>
    <row r="4167" spans="1:7" x14ac:dyDescent="0.25">
      <c r="A4167" s="1" t="s">
        <v>4290</v>
      </c>
      <c r="B4167" s="76">
        <v>82.312042000000005</v>
      </c>
      <c r="C4167" s="76">
        <v>84.462409999999906</v>
      </c>
      <c r="D4167" s="76">
        <v>82.182700999999994</v>
      </c>
      <c r="E4167" s="76">
        <v>83.936942999999999</v>
      </c>
      <c r="F4167" s="76">
        <v>79.983917000000005</v>
      </c>
      <c r="G4167" s="79">
        <v>1131200</v>
      </c>
    </row>
    <row r="4168" spans="1:7" x14ac:dyDescent="0.25">
      <c r="A4168" s="1" t="s">
        <v>4291</v>
      </c>
      <c r="B4168" s="76">
        <v>84.139045999999993</v>
      </c>
      <c r="C4168" s="76">
        <v>84.745354000000006</v>
      </c>
      <c r="D4168" s="76">
        <v>83.872268999999903</v>
      </c>
      <c r="E4168" s="76">
        <v>84.680678999999998</v>
      </c>
      <c r="F4168" s="76">
        <v>80.692634999999996</v>
      </c>
      <c r="G4168" s="79">
        <v>933200</v>
      </c>
    </row>
    <row r="4169" spans="1:7" x14ac:dyDescent="0.25">
      <c r="A4169" s="1" t="s">
        <v>4292</v>
      </c>
      <c r="B4169" s="76">
        <v>84.761519999999905</v>
      </c>
      <c r="C4169" s="76">
        <v>84.810019999999994</v>
      </c>
      <c r="D4169" s="76">
        <v>84.017783999999907</v>
      </c>
      <c r="E4169" s="76">
        <v>84.357315</v>
      </c>
      <c r="F4169" s="76">
        <v>80.384499000000005</v>
      </c>
      <c r="G4169" s="79">
        <v>629800</v>
      </c>
    </row>
    <row r="4170" spans="1:7" x14ac:dyDescent="0.25">
      <c r="A4170" s="1" t="s">
        <v>4293</v>
      </c>
      <c r="B4170" s="76">
        <v>84.179466000000005</v>
      </c>
      <c r="C4170" s="76">
        <v>84.446242999999996</v>
      </c>
      <c r="D4170" s="76">
        <v>83.540824999999998</v>
      </c>
      <c r="E4170" s="76">
        <v>84.276473999999993</v>
      </c>
      <c r="F4170" s="76">
        <v>80.307456999999999</v>
      </c>
      <c r="G4170" s="79">
        <v>735500</v>
      </c>
    </row>
    <row r="4171" spans="1:7" x14ac:dyDescent="0.25">
      <c r="A4171" s="1" t="s">
        <v>4294</v>
      </c>
      <c r="B4171" s="76">
        <v>84.187552999999994</v>
      </c>
      <c r="C4171" s="76">
        <v>85.747780000000006</v>
      </c>
      <c r="D4171" s="76">
        <v>84.122878999999998</v>
      </c>
      <c r="E4171" s="76">
        <v>85.295067000000003</v>
      </c>
      <c r="F4171" s="76">
        <v>81.278091000000003</v>
      </c>
      <c r="G4171" s="79">
        <v>762700</v>
      </c>
    </row>
    <row r="4172" spans="1:7" x14ac:dyDescent="0.25">
      <c r="A4172" s="1" t="s">
        <v>4295</v>
      </c>
      <c r="B4172" s="76">
        <v>85.278899999999993</v>
      </c>
      <c r="C4172" s="76">
        <v>87.000809000000004</v>
      </c>
      <c r="D4172" s="76">
        <v>85.206145999999904</v>
      </c>
      <c r="E4172" s="76">
        <v>86.822959999999995</v>
      </c>
      <c r="F4172" s="76">
        <v>82.734009</v>
      </c>
      <c r="G4172" s="79">
        <v>992000</v>
      </c>
    </row>
    <row r="4173" spans="1:7" x14ac:dyDescent="0.25">
      <c r="A4173" s="1" t="s">
        <v>4296</v>
      </c>
      <c r="B4173" s="76">
        <v>86.596603000000002</v>
      </c>
      <c r="C4173" s="76">
        <v>87.865806999999904</v>
      </c>
      <c r="D4173" s="76">
        <v>86.224739</v>
      </c>
      <c r="E4173" s="76">
        <v>87.057395999999997</v>
      </c>
      <c r="F4173" s="76">
        <v>82.957419999999999</v>
      </c>
      <c r="G4173" s="79">
        <v>1433100</v>
      </c>
    </row>
    <row r="4174" spans="1:7" x14ac:dyDescent="0.25">
      <c r="A4174" s="1" t="s">
        <v>4297</v>
      </c>
      <c r="B4174" s="76">
        <v>85.311233999999999</v>
      </c>
      <c r="C4174" s="76">
        <v>86.806792999999999</v>
      </c>
      <c r="D4174" s="76">
        <v>84.195633000000001</v>
      </c>
      <c r="E4174" s="76">
        <v>84.971703000000005</v>
      </c>
      <c r="F4174" s="76">
        <v>80.969948000000002</v>
      </c>
      <c r="G4174" s="79">
        <v>1286700</v>
      </c>
    </row>
    <row r="4175" spans="1:7" x14ac:dyDescent="0.25">
      <c r="A4175" s="1" t="s">
        <v>4298</v>
      </c>
      <c r="B4175" s="76">
        <v>84.971703000000005</v>
      </c>
      <c r="C4175" s="76">
        <v>85.618431000000001</v>
      </c>
      <c r="D4175" s="76">
        <v>84.324981999999906</v>
      </c>
      <c r="E4175" s="76">
        <v>84.882781999999906</v>
      </c>
      <c r="F4175" s="76">
        <v>80.885222999999996</v>
      </c>
      <c r="G4175" s="79">
        <v>1233100</v>
      </c>
    </row>
    <row r="4176" spans="1:7" x14ac:dyDescent="0.25">
      <c r="A4176" s="1" t="s">
        <v>4299</v>
      </c>
      <c r="B4176" s="76">
        <v>84.882781999999906</v>
      </c>
      <c r="C4176" s="76">
        <v>84.915115</v>
      </c>
      <c r="D4176" s="76">
        <v>84.333061000000001</v>
      </c>
      <c r="E4176" s="76">
        <v>84.680678999999998</v>
      </c>
      <c r="F4176" s="76">
        <v>80.692634999999996</v>
      </c>
      <c r="G4176" s="79">
        <v>830800</v>
      </c>
    </row>
    <row r="4177" spans="1:7" x14ac:dyDescent="0.25">
      <c r="A4177" s="1" t="s">
        <v>4300</v>
      </c>
      <c r="B4177" s="76">
        <v>84.179466000000005</v>
      </c>
      <c r="C4177" s="76">
        <v>85.133385000000004</v>
      </c>
      <c r="D4177" s="76">
        <v>84.033951000000002</v>
      </c>
      <c r="E4177" s="76">
        <v>84.761519999999905</v>
      </c>
      <c r="F4177" s="76">
        <v>81.258376999999996</v>
      </c>
      <c r="G4177" s="79">
        <v>671000</v>
      </c>
    </row>
    <row r="4178" spans="1:7" x14ac:dyDescent="0.25">
      <c r="A4178" s="1" t="s">
        <v>4301</v>
      </c>
      <c r="B4178" s="76">
        <v>84.890861999999998</v>
      </c>
      <c r="C4178" s="76">
        <v>85.820533999999995</v>
      </c>
      <c r="D4178" s="76">
        <v>84.713013000000004</v>
      </c>
      <c r="E4178" s="76">
        <v>85.383994999999999</v>
      </c>
      <c r="F4178" s="76">
        <v>81.855132999999995</v>
      </c>
      <c r="G4178" s="79">
        <v>731100</v>
      </c>
    </row>
    <row r="4179" spans="1:7" x14ac:dyDescent="0.25">
      <c r="A4179" s="1" t="s">
        <v>4302</v>
      </c>
      <c r="B4179" s="76">
        <v>83.524658000000002</v>
      </c>
      <c r="C4179" s="76">
        <v>85.529510000000002</v>
      </c>
      <c r="D4179" s="76">
        <v>81.026679999999999</v>
      </c>
      <c r="E4179" s="76">
        <v>85.440581999999907</v>
      </c>
      <c r="F4179" s="76">
        <v>81.909385999999998</v>
      </c>
      <c r="G4179" s="79">
        <v>328300</v>
      </c>
    </row>
    <row r="4180" spans="1:7" x14ac:dyDescent="0.25">
      <c r="A4180" s="1" t="s">
        <v>4303</v>
      </c>
      <c r="B4180" s="76">
        <v>85.650763999999995</v>
      </c>
      <c r="C4180" s="76">
        <v>85.998382999999905</v>
      </c>
      <c r="D4180" s="76">
        <v>84.785774000000004</v>
      </c>
      <c r="E4180" s="76">
        <v>85.181892000000005</v>
      </c>
      <c r="F4180" s="76">
        <v>81.661384999999996</v>
      </c>
      <c r="G4180" s="79">
        <v>446100</v>
      </c>
    </row>
    <row r="4181" spans="1:7" x14ac:dyDescent="0.25">
      <c r="A4181" s="1" t="s">
        <v>4304</v>
      </c>
      <c r="B4181" s="76">
        <v>85.206145999999904</v>
      </c>
      <c r="C4181" s="76">
        <v>85.206145999999904</v>
      </c>
      <c r="D4181" s="76">
        <v>84.195633000000001</v>
      </c>
      <c r="E4181" s="76">
        <v>84.858528000000007</v>
      </c>
      <c r="F4181" s="76">
        <v>81.351387000000003</v>
      </c>
      <c r="G4181" s="79">
        <v>530900</v>
      </c>
    </row>
    <row r="4182" spans="1:7" x14ac:dyDescent="0.25">
      <c r="A4182" s="1" t="s">
        <v>4305</v>
      </c>
      <c r="B4182" s="76">
        <v>84.923203000000001</v>
      </c>
      <c r="C4182" s="76">
        <v>85.860954000000007</v>
      </c>
      <c r="D4182" s="76">
        <v>84.502831</v>
      </c>
      <c r="E4182" s="76">
        <v>84.995956000000007</v>
      </c>
      <c r="F4182" s="76">
        <v>81.483131</v>
      </c>
      <c r="G4182" s="79">
        <v>450400</v>
      </c>
    </row>
    <row r="4183" spans="1:7" x14ac:dyDescent="0.25">
      <c r="A4183" s="1" t="s">
        <v>4306</v>
      </c>
      <c r="B4183" s="76">
        <v>85.311233999999999</v>
      </c>
      <c r="C4183" s="76">
        <v>85.561843999999994</v>
      </c>
      <c r="D4183" s="76">
        <v>84.405822999999998</v>
      </c>
      <c r="E4183" s="76">
        <v>84.607924999999994</v>
      </c>
      <c r="F4183" s="76">
        <v>81.111136999999999</v>
      </c>
      <c r="G4183" s="79">
        <v>773900</v>
      </c>
    </row>
    <row r="4184" spans="1:7" x14ac:dyDescent="0.25">
      <c r="A4184" s="1" t="s">
        <v>4307</v>
      </c>
      <c r="B4184" s="76">
        <v>84.502831</v>
      </c>
      <c r="C4184" s="76">
        <v>84.502831</v>
      </c>
      <c r="D4184" s="76">
        <v>83.314468000000005</v>
      </c>
      <c r="E4184" s="76">
        <v>83.613579000000001</v>
      </c>
      <c r="F4184" s="76">
        <v>80.157889999999995</v>
      </c>
      <c r="G4184" s="79">
        <v>619500</v>
      </c>
    </row>
    <row r="4185" spans="1:7" x14ac:dyDescent="0.25">
      <c r="A4185" s="1" t="s">
        <v>4308</v>
      </c>
      <c r="B4185" s="76">
        <v>83.629752999999994</v>
      </c>
      <c r="C4185" s="76">
        <v>83.945030000000003</v>
      </c>
      <c r="D4185" s="76">
        <v>82.667746999999906</v>
      </c>
      <c r="E4185" s="76">
        <v>83.597412000000006</v>
      </c>
      <c r="F4185" s="76">
        <v>80.142386999999999</v>
      </c>
      <c r="G4185" s="79">
        <v>782400</v>
      </c>
    </row>
    <row r="4186" spans="1:7" x14ac:dyDescent="0.25">
      <c r="A4186" s="1" t="s">
        <v>4309</v>
      </c>
      <c r="B4186" s="76">
        <v>83.629752999999994</v>
      </c>
      <c r="C4186" s="76">
        <v>83.872268999999903</v>
      </c>
      <c r="D4186" s="76">
        <v>83.201293999999905</v>
      </c>
      <c r="E4186" s="76">
        <v>83.629752999999994</v>
      </c>
      <c r="F4186" s="76">
        <v>80.173393000000004</v>
      </c>
      <c r="G4186" s="79">
        <v>422300</v>
      </c>
    </row>
    <row r="4187" spans="1:7" x14ac:dyDescent="0.25">
      <c r="A4187" s="1" t="s">
        <v>4310</v>
      </c>
      <c r="B4187" s="76">
        <v>83.354889</v>
      </c>
      <c r="C4187" s="76">
        <v>83.815680999999998</v>
      </c>
      <c r="D4187" s="76">
        <v>81.899756999999994</v>
      </c>
      <c r="E4187" s="76">
        <v>82.166533999999999</v>
      </c>
      <c r="F4187" s="76">
        <v>78.770645000000002</v>
      </c>
      <c r="G4187" s="79">
        <v>737300</v>
      </c>
    </row>
    <row r="4188" spans="1:7" x14ac:dyDescent="0.25">
      <c r="A4188" s="1" t="s">
        <v>4311</v>
      </c>
      <c r="B4188" s="76">
        <v>82.384804000000003</v>
      </c>
      <c r="C4188" s="76">
        <v>82.805176000000003</v>
      </c>
      <c r="D4188" s="76">
        <v>81.883590999999996</v>
      </c>
      <c r="E4188" s="76">
        <v>82.603072999999995</v>
      </c>
      <c r="F4188" s="76">
        <v>79.189139999999995</v>
      </c>
      <c r="G4188" s="79">
        <v>472800</v>
      </c>
    </row>
    <row r="4189" spans="1:7" x14ac:dyDescent="0.25">
      <c r="A4189" s="1" t="s">
        <v>4312</v>
      </c>
      <c r="B4189" s="76">
        <v>83.023444999999995</v>
      </c>
      <c r="C4189" s="76">
        <v>83.314468000000005</v>
      </c>
      <c r="D4189" s="76">
        <v>82.578818999999996</v>
      </c>
      <c r="E4189" s="76">
        <v>82.651572999999999</v>
      </c>
      <c r="F4189" s="76">
        <v>79.235633999999905</v>
      </c>
      <c r="G4189" s="79">
        <v>369300</v>
      </c>
    </row>
    <row r="4190" spans="1:7" x14ac:dyDescent="0.25">
      <c r="A4190" s="1" t="s">
        <v>4313</v>
      </c>
      <c r="B4190" s="76">
        <v>82.756668000000005</v>
      </c>
      <c r="C4190" s="76">
        <v>82.756668000000005</v>
      </c>
      <c r="D4190" s="76">
        <v>81.681488000000002</v>
      </c>
      <c r="E4190" s="76">
        <v>82.570731999999893</v>
      </c>
      <c r="F4190" s="76">
        <v>79.158141999999998</v>
      </c>
      <c r="G4190" s="79">
        <v>458600</v>
      </c>
    </row>
    <row r="4191" spans="1:7" x14ac:dyDescent="0.25">
      <c r="A4191" s="1" t="s">
        <v>4314</v>
      </c>
      <c r="B4191" s="76">
        <v>82.627326999999994</v>
      </c>
      <c r="C4191" s="76">
        <v>83.435730000000007</v>
      </c>
      <c r="D4191" s="76">
        <v>82.328216999999995</v>
      </c>
      <c r="E4191" s="76">
        <v>82.651572999999999</v>
      </c>
      <c r="F4191" s="76">
        <v>79.235633999999905</v>
      </c>
      <c r="G4191" s="79">
        <v>304800</v>
      </c>
    </row>
    <row r="4192" spans="1:7" x14ac:dyDescent="0.25">
      <c r="A4192" s="1" t="s">
        <v>4315</v>
      </c>
      <c r="B4192" s="76">
        <v>82.772835000000001</v>
      </c>
      <c r="C4192" s="76">
        <v>83.104286000000002</v>
      </c>
      <c r="D4192" s="76">
        <v>81.139854</v>
      </c>
      <c r="E4192" s="76">
        <v>81.657234000000003</v>
      </c>
      <c r="F4192" s="76">
        <v>78.282393999999996</v>
      </c>
      <c r="G4192" s="79">
        <v>416000</v>
      </c>
    </row>
    <row r="4193" spans="1:7" x14ac:dyDescent="0.25">
      <c r="A4193" s="1" t="s">
        <v>4316</v>
      </c>
      <c r="B4193" s="76">
        <v>81.907844999999995</v>
      </c>
      <c r="C4193" s="76">
        <v>83.371055999999996</v>
      </c>
      <c r="D4193" s="76">
        <v>81.859336999999996</v>
      </c>
      <c r="E4193" s="76">
        <v>83.039612000000005</v>
      </c>
      <c r="F4193" s="76">
        <v>79.607651000000004</v>
      </c>
      <c r="G4193" s="79">
        <v>643500</v>
      </c>
    </row>
    <row r="4194" spans="1:7" x14ac:dyDescent="0.25">
      <c r="A4194" s="1" t="s">
        <v>4317</v>
      </c>
      <c r="B4194" s="76">
        <v>83.128540000000001</v>
      </c>
      <c r="C4194" s="76">
        <v>83.371055999999996</v>
      </c>
      <c r="D4194" s="76">
        <v>82.029105999999999</v>
      </c>
      <c r="E4194" s="76">
        <v>83.160872999999995</v>
      </c>
      <c r="F4194" s="76">
        <v>79.723884999999996</v>
      </c>
      <c r="G4194" s="79">
        <v>656000</v>
      </c>
    </row>
    <row r="4195" spans="1:7" x14ac:dyDescent="0.25">
      <c r="A4195" s="1" t="s">
        <v>4318</v>
      </c>
      <c r="B4195" s="76">
        <v>82.845596</v>
      </c>
      <c r="C4195" s="76">
        <v>83.734840000000005</v>
      </c>
      <c r="D4195" s="76">
        <v>82.659660000000002</v>
      </c>
      <c r="E4195" s="76">
        <v>83.516570999999999</v>
      </c>
      <c r="F4195" s="76">
        <v>80.064895999999905</v>
      </c>
      <c r="G4195" s="79">
        <v>967800</v>
      </c>
    </row>
    <row r="4196" spans="1:7" x14ac:dyDescent="0.25">
      <c r="A4196" s="1" t="s">
        <v>4319</v>
      </c>
      <c r="B4196" s="76">
        <v>83.613579000000001</v>
      </c>
      <c r="C4196" s="76">
        <v>83.945030000000003</v>
      </c>
      <c r="D4196" s="76">
        <v>82.789008999999993</v>
      </c>
      <c r="E4196" s="76">
        <v>83.225548000000003</v>
      </c>
      <c r="F4196" s="76">
        <v>79.785888999999997</v>
      </c>
      <c r="G4196" s="79">
        <v>559600</v>
      </c>
    </row>
    <row r="4197" spans="1:7" x14ac:dyDescent="0.25">
      <c r="A4197" s="1" t="s">
        <v>4320</v>
      </c>
      <c r="B4197" s="76">
        <v>83.597412000000006</v>
      </c>
      <c r="C4197" s="76">
        <v>84.753433000000001</v>
      </c>
      <c r="D4197" s="76">
        <v>83.346808999999993</v>
      </c>
      <c r="E4197" s="76">
        <v>83.864188999999996</v>
      </c>
      <c r="F4197" s="76">
        <v>80.398131999999904</v>
      </c>
      <c r="G4197" s="79">
        <v>335800</v>
      </c>
    </row>
    <row r="4198" spans="1:7" x14ac:dyDescent="0.25">
      <c r="A4198" s="1" t="s">
        <v>4321</v>
      </c>
      <c r="B4198" s="76">
        <v>83.896523000000002</v>
      </c>
      <c r="C4198" s="76">
        <v>84.090537999999995</v>
      </c>
      <c r="D4198" s="76">
        <v>83.104286000000002</v>
      </c>
      <c r="E4198" s="76">
        <v>83.848022</v>
      </c>
      <c r="F4198" s="76">
        <v>80.382637000000003</v>
      </c>
      <c r="G4198" s="79">
        <v>673600</v>
      </c>
    </row>
    <row r="4199" spans="1:7" x14ac:dyDescent="0.25">
      <c r="A4199" s="1" t="s">
        <v>4322</v>
      </c>
      <c r="B4199" s="76">
        <v>83.694419999999994</v>
      </c>
      <c r="C4199" s="76">
        <v>84.890861999999998</v>
      </c>
      <c r="D4199" s="76">
        <v>83.459983999999906</v>
      </c>
      <c r="E4199" s="76">
        <v>84.575583999999907</v>
      </c>
      <c r="F4199" s="76">
        <v>81.080131999999907</v>
      </c>
      <c r="G4199" s="79">
        <v>605800</v>
      </c>
    </row>
    <row r="4200" spans="1:7" x14ac:dyDescent="0.25">
      <c r="A4200" s="1" t="s">
        <v>4323</v>
      </c>
      <c r="B4200" s="76">
        <v>84.276473999999993</v>
      </c>
      <c r="C4200" s="76">
        <v>84.583671999999893</v>
      </c>
      <c r="D4200" s="76">
        <v>83.185126999999994</v>
      </c>
      <c r="E4200" s="76">
        <v>83.411475999999993</v>
      </c>
      <c r="F4200" s="76">
        <v>79.964134000000001</v>
      </c>
      <c r="G4200" s="79">
        <v>1069500</v>
      </c>
    </row>
    <row r="4201" spans="1:7" x14ac:dyDescent="0.25">
      <c r="A4201" s="1" t="s">
        <v>4324</v>
      </c>
      <c r="B4201" s="76">
        <v>82.659660000000002</v>
      </c>
      <c r="C4201" s="76">
        <v>82.708168000000001</v>
      </c>
      <c r="D4201" s="76">
        <v>80.396118000000001</v>
      </c>
      <c r="E4201" s="76">
        <v>80.396118000000001</v>
      </c>
      <c r="F4201" s="76">
        <v>77.073402000000002</v>
      </c>
      <c r="G4201" s="79">
        <v>1099300</v>
      </c>
    </row>
    <row r="4202" spans="1:7" x14ac:dyDescent="0.25">
      <c r="A4202" s="1" t="s">
        <v>4325</v>
      </c>
      <c r="B4202" s="76">
        <v>80.008087000000003</v>
      </c>
      <c r="C4202" s="76">
        <v>82.425224</v>
      </c>
      <c r="D4202" s="76">
        <v>79.878737999999998</v>
      </c>
      <c r="E4202" s="76">
        <v>82.061440000000005</v>
      </c>
      <c r="F4202" s="76">
        <v>78.669891000000007</v>
      </c>
      <c r="G4202" s="79">
        <v>1199400</v>
      </c>
    </row>
    <row r="4203" spans="1:7" x14ac:dyDescent="0.25">
      <c r="A4203" s="1" t="s">
        <v>4326</v>
      </c>
      <c r="B4203" s="76">
        <v>81.350037</v>
      </c>
      <c r="C4203" s="76">
        <v>81.657234000000003</v>
      </c>
      <c r="D4203" s="76">
        <v>79.320937999999998</v>
      </c>
      <c r="E4203" s="76">
        <v>79.426032999999904</v>
      </c>
      <c r="F4203" s="76">
        <v>76.143410000000003</v>
      </c>
      <c r="G4203" s="79">
        <v>886600</v>
      </c>
    </row>
    <row r="4204" spans="1:7" x14ac:dyDescent="0.25">
      <c r="A4204" s="1" t="s">
        <v>4327</v>
      </c>
      <c r="B4204" s="76">
        <v>79.482619999999997</v>
      </c>
      <c r="C4204" s="76">
        <v>79.830230999999998</v>
      </c>
      <c r="D4204" s="76">
        <v>78.940986999999893</v>
      </c>
      <c r="E4204" s="76">
        <v>79.135002</v>
      </c>
      <c r="F4204" s="76">
        <v>75.864409999999907</v>
      </c>
      <c r="G4204" s="79">
        <v>581800</v>
      </c>
    </row>
    <row r="4205" spans="1:7" x14ac:dyDescent="0.25">
      <c r="A4205" s="1" t="s">
        <v>4328</v>
      </c>
      <c r="B4205" s="76">
        <v>79.070328000000003</v>
      </c>
      <c r="C4205" s="76">
        <v>79.741309999999999</v>
      </c>
      <c r="D4205" s="76">
        <v>78.561035000000004</v>
      </c>
      <c r="E4205" s="76">
        <v>79.611960999999994</v>
      </c>
      <c r="F4205" s="76">
        <v>76.321647999999996</v>
      </c>
      <c r="G4205" s="79">
        <v>666200</v>
      </c>
    </row>
    <row r="4206" spans="1:7" x14ac:dyDescent="0.25">
      <c r="A4206" s="1" t="s">
        <v>4329</v>
      </c>
      <c r="B4206" s="76">
        <v>79.191588999999993</v>
      </c>
      <c r="C4206" s="76">
        <v>79.886825999999999</v>
      </c>
      <c r="D4206" s="76">
        <v>78.868232999999904</v>
      </c>
      <c r="E4206" s="76">
        <v>79.741309999999999</v>
      </c>
      <c r="F4206" s="76">
        <v>76.445647999999906</v>
      </c>
      <c r="G4206" s="79">
        <v>1968300</v>
      </c>
    </row>
    <row r="4207" spans="1:7" x14ac:dyDescent="0.25">
      <c r="A4207" s="1" t="s">
        <v>4330</v>
      </c>
      <c r="B4207" s="76">
        <v>79.951492000000002</v>
      </c>
      <c r="C4207" s="76">
        <v>80.864998</v>
      </c>
      <c r="D4207" s="76">
        <v>79.894904999999994</v>
      </c>
      <c r="E4207" s="76">
        <v>80.759902999999994</v>
      </c>
      <c r="F4207" s="76">
        <v>77.422150000000002</v>
      </c>
      <c r="G4207" s="79">
        <v>737900</v>
      </c>
    </row>
    <row r="4208" spans="1:7" x14ac:dyDescent="0.25">
      <c r="A4208" s="1" t="s">
        <v>4331</v>
      </c>
      <c r="B4208" s="76">
        <v>80.808410999999893</v>
      </c>
      <c r="C4208" s="76">
        <v>81.422798</v>
      </c>
      <c r="D4208" s="76">
        <v>80.695228999999998</v>
      </c>
      <c r="E4208" s="76">
        <v>80.986258999999905</v>
      </c>
      <c r="F4208" s="76">
        <v>77.639152999999993</v>
      </c>
      <c r="G4208" s="79">
        <v>571400</v>
      </c>
    </row>
    <row r="4209" spans="1:7" x14ac:dyDescent="0.25">
      <c r="A4209" s="1" t="s">
        <v>4332</v>
      </c>
      <c r="B4209" s="76">
        <v>81.018592999999996</v>
      </c>
      <c r="C4209" s="76">
        <v>82.206954999999994</v>
      </c>
      <c r="D4209" s="76">
        <v>80.169768999999903</v>
      </c>
      <c r="E4209" s="76">
        <v>82.118026999999998</v>
      </c>
      <c r="F4209" s="76">
        <v>78.724152000000004</v>
      </c>
      <c r="G4209" s="79">
        <v>656200</v>
      </c>
    </row>
    <row r="4210" spans="1:7" x14ac:dyDescent="0.25">
      <c r="A4210" s="1" t="s">
        <v>4333</v>
      </c>
      <c r="B4210" s="76">
        <v>82.651572999999999</v>
      </c>
      <c r="C4210" s="76">
        <v>83.880356000000006</v>
      </c>
      <c r="D4210" s="76">
        <v>82.457557999999906</v>
      </c>
      <c r="E4210" s="76">
        <v>83.783348000000004</v>
      </c>
      <c r="F4210" s="76">
        <v>80.320640999999995</v>
      </c>
      <c r="G4210" s="79">
        <v>623200</v>
      </c>
    </row>
    <row r="4211" spans="1:7" x14ac:dyDescent="0.25">
      <c r="A4211" s="1" t="s">
        <v>4334</v>
      </c>
      <c r="B4211" s="76">
        <v>83.387230000000002</v>
      </c>
      <c r="C4211" s="76">
        <v>84.494743</v>
      </c>
      <c r="D4211" s="76">
        <v>82.441390999999996</v>
      </c>
      <c r="E4211" s="76">
        <v>83.888442999999995</v>
      </c>
      <c r="F4211" s="76">
        <v>80.421379000000002</v>
      </c>
      <c r="G4211" s="79">
        <v>718300</v>
      </c>
    </row>
    <row r="4212" spans="1:7" x14ac:dyDescent="0.25">
      <c r="A4212" s="1" t="s">
        <v>4335</v>
      </c>
      <c r="B4212" s="76">
        <v>83.565078999999997</v>
      </c>
      <c r="C4212" s="76">
        <v>84.349236000000005</v>
      </c>
      <c r="D4212" s="76">
        <v>83.508492000000004</v>
      </c>
      <c r="E4212" s="76">
        <v>84.050117</v>
      </c>
      <c r="F4212" s="76">
        <v>80.576378000000005</v>
      </c>
      <c r="G4212" s="79">
        <v>778300</v>
      </c>
    </row>
    <row r="4213" spans="1:7" x14ac:dyDescent="0.25">
      <c r="A4213" s="1" t="s">
        <v>4336</v>
      </c>
      <c r="B4213" s="76">
        <v>84.244140999999999</v>
      </c>
      <c r="C4213" s="76">
        <v>84.591751000000002</v>
      </c>
      <c r="D4213" s="76">
        <v>82.991104000000007</v>
      </c>
      <c r="E4213" s="76">
        <v>83.055779000000001</v>
      </c>
      <c r="F4213" s="76">
        <v>79.623137999999997</v>
      </c>
      <c r="G4213" s="79">
        <v>810700</v>
      </c>
    </row>
    <row r="4214" spans="1:7" x14ac:dyDescent="0.25">
      <c r="A4214" s="1" t="s">
        <v>4337</v>
      </c>
      <c r="B4214" s="76">
        <v>83.136619999999994</v>
      </c>
      <c r="C4214" s="76">
        <v>83.653998999999999</v>
      </c>
      <c r="D4214" s="76">
        <v>82.643493999999905</v>
      </c>
      <c r="E4214" s="76">
        <v>83.419562999999997</v>
      </c>
      <c r="F4214" s="76">
        <v>79.971885999999998</v>
      </c>
      <c r="G4214" s="79">
        <v>529100</v>
      </c>
    </row>
    <row r="4215" spans="1:7" x14ac:dyDescent="0.25">
      <c r="A4215" s="1" t="s">
        <v>4338</v>
      </c>
      <c r="B4215" s="76">
        <v>82.934517</v>
      </c>
      <c r="C4215" s="76">
        <v>83.395308999999997</v>
      </c>
      <c r="D4215" s="76">
        <v>82.037186000000005</v>
      </c>
      <c r="E4215" s="76">
        <v>82.077606000000003</v>
      </c>
      <c r="F4215" s="76">
        <v>78.685393999999903</v>
      </c>
      <c r="G4215" s="79">
        <v>604500</v>
      </c>
    </row>
    <row r="4216" spans="1:7" x14ac:dyDescent="0.25">
      <c r="A4216" s="1" t="s">
        <v>4339</v>
      </c>
      <c r="B4216" s="76">
        <v>82.619240000000005</v>
      </c>
      <c r="C4216" s="76">
        <v>82.877930000000006</v>
      </c>
      <c r="D4216" s="76">
        <v>81.778495999999905</v>
      </c>
      <c r="E4216" s="76">
        <v>81.818916000000002</v>
      </c>
      <c r="F4216" s="76">
        <v>78.437400999999994</v>
      </c>
      <c r="G4216" s="79">
        <v>733100</v>
      </c>
    </row>
    <row r="4217" spans="1:7" x14ac:dyDescent="0.25">
      <c r="A4217" s="1" t="s">
        <v>4340</v>
      </c>
      <c r="B4217" s="76">
        <v>81.487472999999994</v>
      </c>
      <c r="C4217" s="76">
        <v>81.495552000000004</v>
      </c>
      <c r="D4217" s="76">
        <v>80.339530999999994</v>
      </c>
      <c r="E4217" s="76">
        <v>80.404205000000005</v>
      </c>
      <c r="F4217" s="76">
        <v>77.081160999999994</v>
      </c>
      <c r="G4217" s="79">
        <v>932600</v>
      </c>
    </row>
    <row r="4218" spans="1:7" x14ac:dyDescent="0.25">
      <c r="A4218" s="1" t="s">
        <v>4341</v>
      </c>
      <c r="B4218" s="76">
        <v>80.396118000000001</v>
      </c>
      <c r="C4218" s="76">
        <v>80.711394999999996</v>
      </c>
      <c r="D4218" s="76">
        <v>79.199676999999994</v>
      </c>
      <c r="E4218" s="76">
        <v>79.571540999999996</v>
      </c>
      <c r="F4218" s="76">
        <v>76.282905999999997</v>
      </c>
      <c r="G4218" s="79">
        <v>679100</v>
      </c>
    </row>
    <row r="4219" spans="1:7" x14ac:dyDescent="0.25">
      <c r="A4219" s="1" t="s">
        <v>4342</v>
      </c>
      <c r="B4219" s="76">
        <v>79.862572</v>
      </c>
      <c r="C4219" s="76">
        <v>80.016166999999996</v>
      </c>
      <c r="D4219" s="76">
        <v>77.534355000000005</v>
      </c>
      <c r="E4219" s="76">
        <v>77.712204</v>
      </c>
      <c r="F4219" s="76">
        <v>74.500419999999906</v>
      </c>
      <c r="G4219" s="79">
        <v>914200</v>
      </c>
    </row>
    <row r="4220" spans="1:7" x14ac:dyDescent="0.25">
      <c r="A4220" s="1" t="s">
        <v>4343</v>
      </c>
      <c r="B4220" s="76">
        <v>77.461601000000002</v>
      </c>
      <c r="C4220" s="76">
        <v>78.536781000000005</v>
      </c>
      <c r="D4220" s="76">
        <v>76.725952000000007</v>
      </c>
      <c r="E4220" s="76">
        <v>78.011313999999999</v>
      </c>
      <c r="F4220" s="76">
        <v>74.787154999999998</v>
      </c>
      <c r="G4220" s="79">
        <v>1006700</v>
      </c>
    </row>
    <row r="4221" spans="1:7" x14ac:dyDescent="0.25">
      <c r="A4221" s="1" t="s">
        <v>4344</v>
      </c>
      <c r="B4221" s="76">
        <v>78.520615000000006</v>
      </c>
      <c r="C4221" s="76">
        <v>79.304771000000002</v>
      </c>
      <c r="D4221" s="76">
        <v>77.396927000000005</v>
      </c>
      <c r="E4221" s="76">
        <v>77.857718999999904</v>
      </c>
      <c r="F4221" s="76">
        <v>74.639907999999906</v>
      </c>
      <c r="G4221" s="79">
        <v>552700</v>
      </c>
    </row>
    <row r="4222" spans="1:7" x14ac:dyDescent="0.25">
      <c r="A4222" s="1" t="s">
        <v>4345</v>
      </c>
      <c r="B4222" s="76">
        <v>78.011313999999999</v>
      </c>
      <c r="C4222" s="76">
        <v>78.71463</v>
      </c>
      <c r="D4222" s="76">
        <v>77.720291000000003</v>
      </c>
      <c r="E4222" s="76">
        <v>78.067909</v>
      </c>
      <c r="F4222" s="76">
        <v>74.841414999999998</v>
      </c>
      <c r="G4222" s="79">
        <v>358400</v>
      </c>
    </row>
    <row r="4223" spans="1:7" x14ac:dyDescent="0.25">
      <c r="A4223" s="1" t="s">
        <v>4346</v>
      </c>
      <c r="B4223" s="76">
        <v>77.793044999999907</v>
      </c>
      <c r="C4223" s="76">
        <v>78.399353000000005</v>
      </c>
      <c r="D4223" s="76">
        <v>76.766373000000002</v>
      </c>
      <c r="E4223" s="76">
        <v>77.000809000000004</v>
      </c>
      <c r="F4223" s="76">
        <v>73.818413000000007</v>
      </c>
      <c r="G4223" s="79">
        <v>908700</v>
      </c>
    </row>
    <row r="4224" spans="1:7" x14ac:dyDescent="0.25">
      <c r="A4224" s="1" t="s">
        <v>4347</v>
      </c>
      <c r="B4224" s="76">
        <v>77.170569999999998</v>
      </c>
      <c r="C4224" s="76">
        <v>77.364593999999997</v>
      </c>
      <c r="D4224" s="76">
        <v>76.337913999999998</v>
      </c>
      <c r="E4224" s="76">
        <v>77.089737</v>
      </c>
      <c r="F4224" s="76">
        <v>73.903671000000003</v>
      </c>
      <c r="G4224" s="79">
        <v>878600</v>
      </c>
    </row>
    <row r="4225" spans="1:7" x14ac:dyDescent="0.25">
      <c r="A4225" s="1" t="s">
        <v>4348</v>
      </c>
      <c r="B4225" s="76">
        <v>76.709784999999997</v>
      </c>
      <c r="C4225" s="76">
        <v>77.728378000000006</v>
      </c>
      <c r="D4225" s="76">
        <v>76.564269999999993</v>
      </c>
      <c r="E4225" s="76">
        <v>77.324173000000002</v>
      </c>
      <c r="F4225" s="76">
        <v>74.128410000000002</v>
      </c>
      <c r="G4225" s="79">
        <v>964900</v>
      </c>
    </row>
    <row r="4226" spans="1:7" x14ac:dyDescent="0.25">
      <c r="A4226" s="1" t="s">
        <v>4349</v>
      </c>
      <c r="B4226" s="76">
        <v>77.493934999999993</v>
      </c>
      <c r="C4226" s="76">
        <v>78.245757999999995</v>
      </c>
      <c r="D4226" s="76">
        <v>76.952301000000006</v>
      </c>
      <c r="E4226" s="76">
        <v>77.000809000000004</v>
      </c>
      <c r="F4226" s="76">
        <v>73.818413000000007</v>
      </c>
      <c r="G4226" s="79">
        <v>935700</v>
      </c>
    </row>
    <row r="4227" spans="1:7" x14ac:dyDescent="0.25">
      <c r="A4227" s="1" t="s">
        <v>4350</v>
      </c>
      <c r="B4227" s="76">
        <v>77.162491000000003</v>
      </c>
      <c r="C4227" s="76">
        <v>77.752624999999995</v>
      </c>
      <c r="D4227" s="76">
        <v>76.879547000000002</v>
      </c>
      <c r="E4227" s="76">
        <v>77.097815999999995</v>
      </c>
      <c r="F4227" s="76">
        <v>73.911406999999997</v>
      </c>
      <c r="G4227" s="79">
        <v>618900</v>
      </c>
    </row>
    <row r="4228" spans="1:7" x14ac:dyDescent="0.25">
      <c r="A4228" s="1" t="s">
        <v>4351</v>
      </c>
      <c r="B4228" s="76">
        <v>77.922393999999997</v>
      </c>
      <c r="C4228" s="76">
        <v>78.294257999999999</v>
      </c>
      <c r="D4228" s="76">
        <v>77.219077999999996</v>
      </c>
      <c r="E4228" s="76">
        <v>77.696037000000004</v>
      </c>
      <c r="F4228" s="76">
        <v>74.484900999999994</v>
      </c>
      <c r="G4228" s="79">
        <v>508000</v>
      </c>
    </row>
    <row r="4229" spans="1:7" x14ac:dyDescent="0.25">
      <c r="A4229" s="1" t="s">
        <v>4352</v>
      </c>
      <c r="B4229" s="76">
        <v>77.542441999999994</v>
      </c>
      <c r="C4229" s="76">
        <v>77.857718999999904</v>
      </c>
      <c r="D4229" s="76">
        <v>76.968474999999998</v>
      </c>
      <c r="E4229" s="76">
        <v>77.671782999999905</v>
      </c>
      <c r="F4229" s="76">
        <v>74.461662000000004</v>
      </c>
      <c r="G4229" s="79">
        <v>785500</v>
      </c>
    </row>
    <row r="4230" spans="1:7" x14ac:dyDescent="0.25">
      <c r="A4230" s="1" t="s">
        <v>4353</v>
      </c>
      <c r="B4230" s="76">
        <v>77.768799000000001</v>
      </c>
      <c r="C4230" s="76">
        <v>77.962813999999995</v>
      </c>
      <c r="D4230" s="76">
        <v>76.669364999999999</v>
      </c>
      <c r="E4230" s="76">
        <v>77.146323999999893</v>
      </c>
      <c r="F4230" s="76">
        <v>73.957924000000006</v>
      </c>
      <c r="G4230" s="79">
        <v>949400</v>
      </c>
    </row>
    <row r="4231" spans="1:7" x14ac:dyDescent="0.25">
      <c r="A4231" s="1" t="s">
        <v>4354</v>
      </c>
      <c r="B4231" s="76">
        <v>76.531929000000005</v>
      </c>
      <c r="C4231" s="76">
        <v>77.089737</v>
      </c>
      <c r="D4231" s="76">
        <v>76.337913999999998</v>
      </c>
      <c r="E4231" s="76">
        <v>76.831039000000004</v>
      </c>
      <c r="F4231" s="76">
        <v>73.655670000000001</v>
      </c>
      <c r="G4231" s="79">
        <v>534700</v>
      </c>
    </row>
    <row r="4232" spans="1:7" x14ac:dyDescent="0.25">
      <c r="A4232" s="1" t="s">
        <v>4355</v>
      </c>
      <c r="B4232" s="76">
        <v>77.340339999999998</v>
      </c>
      <c r="C4232" s="76">
        <v>77.768799000000001</v>
      </c>
      <c r="D4232" s="76">
        <v>76.378333999999995</v>
      </c>
      <c r="E4232" s="76">
        <v>76.637023999999997</v>
      </c>
      <c r="F4232" s="76">
        <v>73.469666000000004</v>
      </c>
      <c r="G4232" s="79">
        <v>579300</v>
      </c>
    </row>
    <row r="4233" spans="1:7" x14ac:dyDescent="0.25">
      <c r="A4233" s="1" t="s">
        <v>4356</v>
      </c>
      <c r="B4233" s="76">
        <v>76.604691000000003</v>
      </c>
      <c r="C4233" s="76">
        <v>76.806792999999999</v>
      </c>
      <c r="D4233" s="76">
        <v>75.780113</v>
      </c>
      <c r="E4233" s="76">
        <v>76.184318999999903</v>
      </c>
      <c r="F4233" s="76">
        <v>73.035659999999993</v>
      </c>
      <c r="G4233" s="79">
        <v>536300</v>
      </c>
    </row>
    <row r="4234" spans="1:7" x14ac:dyDescent="0.25">
      <c r="A4234" s="1" t="s">
        <v>4357</v>
      </c>
      <c r="B4234" s="76">
        <v>76.879547000000002</v>
      </c>
      <c r="C4234" s="76">
        <v>76.952301000000006</v>
      </c>
      <c r="D4234" s="76">
        <v>74.810019999999994</v>
      </c>
      <c r="E4234" s="76">
        <v>75.311233999999999</v>
      </c>
      <c r="F4234" s="76">
        <v>72.198677000000004</v>
      </c>
      <c r="G4234" s="79">
        <v>787600</v>
      </c>
    </row>
    <row r="4235" spans="1:7" x14ac:dyDescent="0.25">
      <c r="A4235" s="1" t="s">
        <v>4358</v>
      </c>
      <c r="B4235" s="76">
        <v>75.278899999999993</v>
      </c>
      <c r="C4235" s="76">
        <v>75.448668999999995</v>
      </c>
      <c r="D4235" s="76">
        <v>73.484238000000005</v>
      </c>
      <c r="E4235" s="76">
        <v>74.179466000000005</v>
      </c>
      <c r="F4235" s="76">
        <v>71.113677999999993</v>
      </c>
      <c r="G4235" s="79">
        <v>876900</v>
      </c>
    </row>
    <row r="4236" spans="1:7" x14ac:dyDescent="0.25">
      <c r="A4236" s="1" t="s">
        <v>4359</v>
      </c>
      <c r="B4236" s="76">
        <v>74.421988999999996</v>
      </c>
      <c r="C4236" s="76">
        <v>74.979789999999994</v>
      </c>
      <c r="D4236" s="76">
        <v>73.419562999999997</v>
      </c>
      <c r="E4236" s="76">
        <v>73.734840000000005</v>
      </c>
      <c r="F4236" s="76">
        <v>70.687431000000004</v>
      </c>
      <c r="G4236" s="79">
        <v>981400</v>
      </c>
    </row>
    <row r="4237" spans="1:7" x14ac:dyDescent="0.25">
      <c r="A4237" s="1" t="s">
        <v>4360</v>
      </c>
      <c r="B4237" s="76">
        <v>74.211799999999997</v>
      </c>
      <c r="C4237" s="76">
        <v>75.165726000000006</v>
      </c>
      <c r="D4237" s="76">
        <v>73.589332999999996</v>
      </c>
      <c r="E4237" s="76">
        <v>75.004043999999993</v>
      </c>
      <c r="F4237" s="76">
        <v>71.904174999999995</v>
      </c>
      <c r="G4237" s="79">
        <v>1005300</v>
      </c>
    </row>
    <row r="4238" spans="1:7" x14ac:dyDescent="0.25">
      <c r="A4238" s="1" t="s">
        <v>4361</v>
      </c>
      <c r="B4238" s="76">
        <v>74.987876999999997</v>
      </c>
      <c r="C4238" s="76">
        <v>74.995956000000007</v>
      </c>
      <c r="D4238" s="76">
        <v>72.926436999999893</v>
      </c>
      <c r="E4238" s="76">
        <v>73.249802000000003</v>
      </c>
      <c r="F4238" s="76">
        <v>70.222435000000004</v>
      </c>
      <c r="G4238" s="79">
        <v>1400700</v>
      </c>
    </row>
    <row r="4239" spans="1:7" x14ac:dyDescent="0.25">
      <c r="A4239" s="1" t="s">
        <v>4362</v>
      </c>
      <c r="B4239" s="76">
        <v>73.225548000000003</v>
      </c>
      <c r="C4239" s="76">
        <v>73.516570999999999</v>
      </c>
      <c r="D4239" s="76">
        <v>70.986258999999905</v>
      </c>
      <c r="E4239" s="76">
        <v>70.986258999999905</v>
      </c>
      <c r="F4239" s="76">
        <v>68.052443999999994</v>
      </c>
      <c r="G4239" s="79">
        <v>1531500</v>
      </c>
    </row>
    <row r="4240" spans="1:7" x14ac:dyDescent="0.25">
      <c r="A4240" s="1" t="s">
        <v>4363</v>
      </c>
      <c r="B4240" s="76">
        <v>70.533546000000001</v>
      </c>
      <c r="C4240" s="76">
        <v>71.034759999999906</v>
      </c>
      <c r="D4240" s="76">
        <v>69.927245999999997</v>
      </c>
      <c r="E4240" s="76">
        <v>70.113174000000001</v>
      </c>
      <c r="F4240" s="76">
        <v>67.817321999999905</v>
      </c>
      <c r="G4240" s="79">
        <v>704500</v>
      </c>
    </row>
    <row r="4241" spans="1:7" x14ac:dyDescent="0.25">
      <c r="A4241" s="1" t="s">
        <v>4364</v>
      </c>
      <c r="B4241" s="76">
        <v>70.436538999999996</v>
      </c>
      <c r="C4241" s="76">
        <v>71.649154999999993</v>
      </c>
      <c r="D4241" s="76">
        <v>69.805983999999995</v>
      </c>
      <c r="E4241" s="76">
        <v>71.317702999999995</v>
      </c>
      <c r="F4241" s="76">
        <v>68.982406999999995</v>
      </c>
      <c r="G4241" s="79">
        <v>797900</v>
      </c>
    </row>
    <row r="4242" spans="1:7" x14ac:dyDescent="0.25">
      <c r="A4242" s="1" t="s">
        <v>4365</v>
      </c>
      <c r="B4242" s="76">
        <v>72.271621999999994</v>
      </c>
      <c r="C4242" s="76">
        <v>72.780922000000004</v>
      </c>
      <c r="D4242" s="76">
        <v>71.940178000000003</v>
      </c>
      <c r="E4242" s="76">
        <v>72.215034000000003</v>
      </c>
      <c r="F4242" s="76">
        <v>69.850356999999903</v>
      </c>
      <c r="G4242" s="79">
        <v>760100</v>
      </c>
    </row>
    <row r="4243" spans="1:7" x14ac:dyDescent="0.25">
      <c r="A4243" s="1" t="s">
        <v>4366</v>
      </c>
      <c r="B4243" s="76">
        <v>72.255454999999998</v>
      </c>
      <c r="C4243" s="76">
        <v>72.691993999999994</v>
      </c>
      <c r="D4243" s="76">
        <v>71.649154999999993</v>
      </c>
      <c r="E4243" s="76">
        <v>72.215034000000003</v>
      </c>
      <c r="F4243" s="76">
        <v>69.850356999999903</v>
      </c>
      <c r="G4243" s="79">
        <v>839900</v>
      </c>
    </row>
    <row r="4244" spans="1:7" x14ac:dyDescent="0.25">
      <c r="A4244" s="1" t="s">
        <v>4367</v>
      </c>
      <c r="B4244" s="76">
        <v>71.325789999999998</v>
      </c>
      <c r="C4244" s="76">
        <v>73.767180999999994</v>
      </c>
      <c r="D4244" s="76">
        <v>70.476958999999994</v>
      </c>
      <c r="E4244" s="76">
        <v>73.071944999999999</v>
      </c>
      <c r="F4244" s="76">
        <v>70.679206999999906</v>
      </c>
      <c r="G4244" s="79">
        <v>1687200</v>
      </c>
    </row>
    <row r="4245" spans="1:7" x14ac:dyDescent="0.25">
      <c r="A4245" s="1" t="s">
        <v>4368</v>
      </c>
      <c r="B4245" s="76">
        <v>73.136619999999994</v>
      </c>
      <c r="C4245" s="76">
        <v>75.424415999999994</v>
      </c>
      <c r="D4245" s="76">
        <v>71.244949000000005</v>
      </c>
      <c r="E4245" s="76">
        <v>74.737267000000003</v>
      </c>
      <c r="F4245" s="76">
        <v>72.290001000000004</v>
      </c>
      <c r="G4245" s="79">
        <v>2736000</v>
      </c>
    </row>
    <row r="4246" spans="1:7" x14ac:dyDescent="0.25">
      <c r="A4246" s="1" t="s">
        <v>4369</v>
      </c>
      <c r="B4246" s="76">
        <v>75.117217999999994</v>
      </c>
      <c r="C4246" s="76">
        <v>77.582863000000003</v>
      </c>
      <c r="D4246" s="76">
        <v>75.117217999999994</v>
      </c>
      <c r="E4246" s="76">
        <v>76.895713999999998</v>
      </c>
      <c r="F4246" s="76">
        <v>74.377769000000001</v>
      </c>
      <c r="G4246" s="79">
        <v>1789200</v>
      </c>
    </row>
    <row r="4247" spans="1:7" x14ac:dyDescent="0.25">
      <c r="A4247" s="1" t="s">
        <v>4370</v>
      </c>
      <c r="B4247" s="76">
        <v>76.790618999999893</v>
      </c>
      <c r="C4247" s="76">
        <v>80.153594999999996</v>
      </c>
      <c r="D4247" s="76">
        <v>76.604691000000003</v>
      </c>
      <c r="E4247" s="76">
        <v>79.458365999999998</v>
      </c>
      <c r="F4247" s="76">
        <v>76.856505999999996</v>
      </c>
      <c r="G4247" s="79">
        <v>2350700</v>
      </c>
    </row>
    <row r="4248" spans="1:7" x14ac:dyDescent="0.25">
      <c r="A4248" s="1" t="s">
        <v>4371</v>
      </c>
      <c r="B4248" s="76">
        <v>79.514954000000003</v>
      </c>
      <c r="C4248" s="76">
        <v>80.137428</v>
      </c>
      <c r="D4248" s="76">
        <v>77.558608999999905</v>
      </c>
      <c r="E4248" s="76">
        <v>77.898139999999998</v>
      </c>
      <c r="F4248" s="76">
        <v>75.347365999999994</v>
      </c>
      <c r="G4248" s="79">
        <v>1778400</v>
      </c>
    </row>
    <row r="4249" spans="1:7" x14ac:dyDescent="0.25">
      <c r="A4249" s="1" t="s">
        <v>4372</v>
      </c>
      <c r="B4249" s="76">
        <v>77.825385999999995</v>
      </c>
      <c r="C4249" s="76">
        <v>77.825385999999995</v>
      </c>
      <c r="D4249" s="76">
        <v>76.232818999999907</v>
      </c>
      <c r="E4249" s="76">
        <v>76.968474999999998</v>
      </c>
      <c r="F4249" s="76">
        <v>74.448150999999996</v>
      </c>
      <c r="G4249" s="79">
        <v>1034500</v>
      </c>
    </row>
    <row r="4250" spans="1:7" x14ac:dyDescent="0.25">
      <c r="A4250" s="1" t="s">
        <v>4373</v>
      </c>
      <c r="B4250" s="76">
        <v>76.822959999999995</v>
      </c>
      <c r="C4250" s="76">
        <v>77.873885999999999</v>
      </c>
      <c r="D4250" s="76">
        <v>76.57235</v>
      </c>
      <c r="E4250" s="76">
        <v>77.178657999999999</v>
      </c>
      <c r="F4250" s="76">
        <v>74.651436000000004</v>
      </c>
      <c r="G4250" s="79">
        <v>1151400</v>
      </c>
    </row>
    <row r="4251" spans="1:7" x14ac:dyDescent="0.25">
      <c r="A4251" s="1" t="s">
        <v>4374</v>
      </c>
      <c r="B4251" s="76">
        <v>77.13015</v>
      </c>
      <c r="C4251" s="76">
        <v>77.639449999999997</v>
      </c>
      <c r="D4251" s="76">
        <v>76.798705999999996</v>
      </c>
      <c r="E4251" s="76">
        <v>77.251411000000004</v>
      </c>
      <c r="F4251" s="76">
        <v>74.721817000000001</v>
      </c>
      <c r="G4251" s="79">
        <v>1186900</v>
      </c>
    </row>
    <row r="4252" spans="1:7" x14ac:dyDescent="0.25">
      <c r="A4252" s="1" t="s">
        <v>4375</v>
      </c>
      <c r="B4252" s="76">
        <v>77.388846999999998</v>
      </c>
      <c r="C4252" s="76">
        <v>78.035567999999998</v>
      </c>
      <c r="D4252" s="76">
        <v>76.386420999999999</v>
      </c>
      <c r="E4252" s="76">
        <v>76.475341999999998</v>
      </c>
      <c r="F4252" s="76">
        <v>73.971145999999905</v>
      </c>
      <c r="G4252" s="79">
        <v>1111600</v>
      </c>
    </row>
    <row r="4253" spans="1:7" x14ac:dyDescent="0.25">
      <c r="A4253" s="1" t="s">
        <v>4376</v>
      </c>
      <c r="B4253" s="76">
        <v>76.709784999999997</v>
      </c>
      <c r="C4253" s="76">
        <v>78.075989000000007</v>
      </c>
      <c r="D4253" s="76">
        <v>76.232818999999907</v>
      </c>
      <c r="E4253" s="76">
        <v>77.898139999999998</v>
      </c>
      <c r="F4253" s="76">
        <v>75.347365999999994</v>
      </c>
      <c r="G4253" s="79">
        <v>927500</v>
      </c>
    </row>
    <row r="4254" spans="1:7" x14ac:dyDescent="0.25">
      <c r="A4254" s="1" t="s">
        <v>4377</v>
      </c>
      <c r="B4254" s="76">
        <v>77.348427000000001</v>
      </c>
      <c r="C4254" s="76">
        <v>78.067909</v>
      </c>
      <c r="D4254" s="76">
        <v>76.944220999999999</v>
      </c>
      <c r="E4254" s="76">
        <v>78.003235000000004</v>
      </c>
      <c r="F4254" s="76">
        <v>75.449019999999905</v>
      </c>
      <c r="G4254" s="79">
        <v>868300</v>
      </c>
    </row>
    <row r="4255" spans="1:7" x14ac:dyDescent="0.25">
      <c r="A4255" s="1" t="s">
        <v>4378</v>
      </c>
      <c r="B4255" s="76">
        <v>78.011313999999999</v>
      </c>
      <c r="C4255" s="76">
        <v>78.900565999999998</v>
      </c>
      <c r="D4255" s="76">
        <v>77.873885999999999</v>
      </c>
      <c r="E4255" s="76">
        <v>78.342765999999997</v>
      </c>
      <c r="F4255" s="76">
        <v>75.777434999999997</v>
      </c>
      <c r="G4255" s="79">
        <v>388800</v>
      </c>
    </row>
    <row r="4256" spans="1:7" x14ac:dyDescent="0.25">
      <c r="A4256" s="1" t="s">
        <v>4379</v>
      </c>
      <c r="B4256" s="76">
        <v>78.124495999999994</v>
      </c>
      <c r="C4256" s="76">
        <v>80.274856999999997</v>
      </c>
      <c r="D4256" s="76">
        <v>78.124495999999994</v>
      </c>
      <c r="E4256" s="76">
        <v>79.167343000000002</v>
      </c>
      <c r="F4256" s="76">
        <v>76.575012000000001</v>
      </c>
      <c r="G4256" s="79">
        <v>1139400</v>
      </c>
    </row>
    <row r="4257" spans="1:7" x14ac:dyDescent="0.25">
      <c r="A4257" s="1" t="s">
        <v>4380</v>
      </c>
      <c r="B4257" s="76">
        <v>79.086501999999996</v>
      </c>
      <c r="C4257" s="76">
        <v>80.646728999999993</v>
      </c>
      <c r="D4257" s="76">
        <v>78.973320000000001</v>
      </c>
      <c r="E4257" s="76">
        <v>80.113174000000001</v>
      </c>
      <c r="F4257" s="76">
        <v>77.489868000000001</v>
      </c>
      <c r="G4257" s="79">
        <v>824000</v>
      </c>
    </row>
    <row r="4258" spans="1:7" x14ac:dyDescent="0.25">
      <c r="A4258" s="1" t="s">
        <v>4381</v>
      </c>
      <c r="B4258" s="76">
        <v>79.474532999999994</v>
      </c>
      <c r="C4258" s="76">
        <v>80.250602999999998</v>
      </c>
      <c r="D4258" s="76">
        <v>78.698463000000004</v>
      </c>
      <c r="E4258" s="76">
        <v>79.021827999999999</v>
      </c>
      <c r="F4258" s="76">
        <v>76.434258</v>
      </c>
      <c r="G4258" s="79">
        <v>1600800</v>
      </c>
    </row>
    <row r="4259" spans="1:7" x14ac:dyDescent="0.25">
      <c r="A4259" s="1" t="s">
        <v>4382</v>
      </c>
      <c r="B4259" s="76">
        <v>79.054160999999993</v>
      </c>
      <c r="C4259" s="76">
        <v>79.725143000000003</v>
      </c>
      <c r="D4259" s="76">
        <v>78.383185999999995</v>
      </c>
      <c r="E4259" s="76">
        <v>78.843979000000004</v>
      </c>
      <c r="F4259" s="76">
        <v>76.262237999999996</v>
      </c>
      <c r="G4259" s="79">
        <v>1096500</v>
      </c>
    </row>
    <row r="4260" spans="1:7" x14ac:dyDescent="0.25">
      <c r="A4260" s="1" t="s">
        <v>4383</v>
      </c>
      <c r="B4260" s="76">
        <v>79.27243</v>
      </c>
      <c r="C4260" s="76">
        <v>80.565887000000004</v>
      </c>
      <c r="D4260" s="76">
        <v>79.27243</v>
      </c>
      <c r="E4260" s="76">
        <v>80.242522999999906</v>
      </c>
      <c r="F4260" s="76">
        <v>77.614982999999995</v>
      </c>
      <c r="G4260" s="79">
        <v>825100</v>
      </c>
    </row>
    <row r="4261" spans="1:7" x14ac:dyDescent="0.25">
      <c r="A4261" s="1" t="s">
        <v>4384</v>
      </c>
      <c r="B4261" s="76">
        <v>80.525467000000006</v>
      </c>
      <c r="C4261" s="76">
        <v>81.188361999999998</v>
      </c>
      <c r="D4261" s="76">
        <v>80.194016000000005</v>
      </c>
      <c r="E4261" s="76">
        <v>81.123688000000001</v>
      </c>
      <c r="F4261" s="76">
        <v>78.467292999999998</v>
      </c>
      <c r="G4261" s="79">
        <v>926200</v>
      </c>
    </row>
    <row r="4262" spans="1:7" x14ac:dyDescent="0.25">
      <c r="A4262" s="1" t="s">
        <v>4385</v>
      </c>
      <c r="B4262" s="76">
        <v>81.236862000000002</v>
      </c>
      <c r="C4262" s="76">
        <v>82.441390999999996</v>
      </c>
      <c r="D4262" s="76">
        <v>81.131766999999996</v>
      </c>
      <c r="E4262" s="76">
        <v>82.271621999999994</v>
      </c>
      <c r="F4262" s="76">
        <v>79.577636999999996</v>
      </c>
      <c r="G4262" s="79">
        <v>994700</v>
      </c>
    </row>
    <row r="4263" spans="1:7" x14ac:dyDescent="0.25">
      <c r="A4263" s="1" t="s">
        <v>4386</v>
      </c>
      <c r="B4263" s="76">
        <v>82.530311999999995</v>
      </c>
      <c r="C4263" s="76">
        <v>83.799515</v>
      </c>
      <c r="D4263" s="76">
        <v>82.263542000000001</v>
      </c>
      <c r="E4263" s="76">
        <v>83.767180999999994</v>
      </c>
      <c r="F4263" s="76">
        <v>81.024231</v>
      </c>
      <c r="G4263" s="79">
        <v>1191500</v>
      </c>
    </row>
    <row r="4264" spans="1:7" x14ac:dyDescent="0.25">
      <c r="A4264" s="1" t="s">
        <v>4387</v>
      </c>
      <c r="B4264" s="76">
        <v>83.548912000000001</v>
      </c>
      <c r="C4264" s="76">
        <v>84.527084000000002</v>
      </c>
      <c r="D4264" s="76">
        <v>82.409058000000002</v>
      </c>
      <c r="E4264" s="76">
        <v>83.783348000000004</v>
      </c>
      <c r="F4264" s="76">
        <v>81.039863999999994</v>
      </c>
      <c r="G4264" s="79">
        <v>906200</v>
      </c>
    </row>
    <row r="4265" spans="1:7" x14ac:dyDescent="0.25">
      <c r="A4265" s="1" t="s">
        <v>4388</v>
      </c>
      <c r="B4265" s="76">
        <v>83.823768999999999</v>
      </c>
      <c r="C4265" s="76">
        <v>84.575583999999907</v>
      </c>
      <c r="D4265" s="76">
        <v>82.950683999999995</v>
      </c>
      <c r="E4265" s="76">
        <v>83.443816999999996</v>
      </c>
      <c r="F4265" s="76">
        <v>80.711455999999998</v>
      </c>
      <c r="G4265" s="79">
        <v>640400</v>
      </c>
    </row>
    <row r="4266" spans="1:7" x14ac:dyDescent="0.25">
      <c r="A4266" s="1" t="s">
        <v>4389</v>
      </c>
      <c r="B4266" s="76">
        <v>83.257880999999998</v>
      </c>
      <c r="C4266" s="76">
        <v>84.939368999999999</v>
      </c>
      <c r="D4266" s="76">
        <v>82.991104000000007</v>
      </c>
      <c r="E4266" s="76">
        <v>84.826194999999998</v>
      </c>
      <c r="F4266" s="76">
        <v>82.048569000000001</v>
      </c>
      <c r="G4266" s="79">
        <v>1183100</v>
      </c>
    </row>
    <row r="4267" spans="1:7" x14ac:dyDescent="0.25">
      <c r="A4267" s="1" t="s">
        <v>4390</v>
      </c>
      <c r="B4267" s="76">
        <v>85.286986999999996</v>
      </c>
      <c r="C4267" s="76">
        <v>85.351653999999996</v>
      </c>
      <c r="D4267" s="76">
        <v>83.193207000000001</v>
      </c>
      <c r="E4267" s="76">
        <v>84.236052999999998</v>
      </c>
      <c r="F4267" s="76">
        <v>81.477744999999999</v>
      </c>
      <c r="G4267" s="79">
        <v>716400</v>
      </c>
    </row>
    <row r="4268" spans="1:7" x14ac:dyDescent="0.25">
      <c r="A4268" s="1" t="s">
        <v>4391</v>
      </c>
      <c r="B4268" s="76">
        <v>84.025870999999995</v>
      </c>
      <c r="C4268" s="76">
        <v>84.616005000000001</v>
      </c>
      <c r="D4268" s="76">
        <v>82.215034000000003</v>
      </c>
      <c r="E4268" s="76">
        <v>82.667746999999906</v>
      </c>
      <c r="F4268" s="76">
        <v>79.960800000000006</v>
      </c>
      <c r="G4268" s="79">
        <v>1453900</v>
      </c>
    </row>
    <row r="4269" spans="1:7" x14ac:dyDescent="0.25">
      <c r="A4269" s="1" t="s">
        <v>4392</v>
      </c>
      <c r="B4269" s="76">
        <v>82.813254999999998</v>
      </c>
      <c r="C4269" s="76">
        <v>83.621666000000005</v>
      </c>
      <c r="D4269" s="76">
        <v>81.705742000000001</v>
      </c>
      <c r="E4269" s="76">
        <v>82.021018999999995</v>
      </c>
      <c r="F4269" s="76">
        <v>79.335243000000006</v>
      </c>
      <c r="G4269" s="79">
        <v>985300</v>
      </c>
    </row>
    <row r="4270" spans="1:7" x14ac:dyDescent="0.25">
      <c r="A4270" s="1" t="s">
        <v>4393</v>
      </c>
      <c r="B4270" s="76">
        <v>82.797089</v>
      </c>
      <c r="C4270" s="76">
        <v>84.518996999999999</v>
      </c>
      <c r="D4270" s="76">
        <v>82.530311999999995</v>
      </c>
      <c r="E4270" s="76">
        <v>83.548912000000001</v>
      </c>
      <c r="F4270" s="76">
        <v>80.813109999999995</v>
      </c>
      <c r="G4270" s="79">
        <v>1625600</v>
      </c>
    </row>
    <row r="4271" spans="1:7" x14ac:dyDescent="0.25">
      <c r="A4271" s="1" t="s">
        <v>4394</v>
      </c>
      <c r="B4271" s="76">
        <v>83.985450999999998</v>
      </c>
      <c r="C4271" s="76">
        <v>84.713013000000004</v>
      </c>
      <c r="D4271" s="76">
        <v>83.678252999999998</v>
      </c>
      <c r="E4271" s="76">
        <v>84.001616999999996</v>
      </c>
      <c r="F4271" s="76">
        <v>81.250984000000003</v>
      </c>
      <c r="G4271" s="79">
        <v>1123300</v>
      </c>
    </row>
    <row r="4272" spans="1:7" x14ac:dyDescent="0.25">
      <c r="A4272" s="1" t="s">
        <v>4395</v>
      </c>
      <c r="B4272" s="76">
        <v>83.945030000000003</v>
      </c>
      <c r="C4272" s="76">
        <v>84.858528000000007</v>
      </c>
      <c r="D4272" s="76">
        <v>83.848022</v>
      </c>
      <c r="E4272" s="76">
        <v>84.632171999999997</v>
      </c>
      <c r="F4272" s="76">
        <v>81.860893000000004</v>
      </c>
      <c r="G4272" s="79">
        <v>761500</v>
      </c>
    </row>
    <row r="4273" spans="1:7" x14ac:dyDescent="0.25">
      <c r="A4273" s="1" t="s">
        <v>4396</v>
      </c>
      <c r="B4273" s="76">
        <v>84.955535999999995</v>
      </c>
      <c r="C4273" s="76">
        <v>85.618431000000001</v>
      </c>
      <c r="D4273" s="76">
        <v>83.144706999999997</v>
      </c>
      <c r="E4273" s="76">
        <v>83.306388999999996</v>
      </c>
      <c r="F4273" s="76">
        <v>80.578521999999893</v>
      </c>
      <c r="G4273" s="79">
        <v>1921000</v>
      </c>
    </row>
    <row r="4274" spans="1:7" x14ac:dyDescent="0.25">
      <c r="A4274" s="1" t="s">
        <v>4397</v>
      </c>
      <c r="B4274" s="76">
        <v>83.136619999999994</v>
      </c>
      <c r="C4274" s="76">
        <v>83.459983999999906</v>
      </c>
      <c r="D4274" s="76">
        <v>82.449477999999999</v>
      </c>
      <c r="E4274" s="76">
        <v>83.306388999999996</v>
      </c>
      <c r="F4274" s="76">
        <v>80.578521999999893</v>
      </c>
      <c r="G4274" s="79">
        <v>936200</v>
      </c>
    </row>
    <row r="4275" spans="1:7" x14ac:dyDescent="0.25">
      <c r="A4275" s="1" t="s">
        <v>4398</v>
      </c>
      <c r="B4275" s="76">
        <v>83.524658000000002</v>
      </c>
      <c r="C4275" s="76">
        <v>83.524658000000002</v>
      </c>
      <c r="D4275" s="76">
        <v>82.724334999999996</v>
      </c>
      <c r="E4275" s="76">
        <v>83.160872999999995</v>
      </c>
      <c r="F4275" s="76">
        <v>80.437775000000002</v>
      </c>
      <c r="G4275" s="79">
        <v>530700</v>
      </c>
    </row>
    <row r="4276" spans="1:7" x14ac:dyDescent="0.25">
      <c r="A4276" s="1" t="s">
        <v>4399</v>
      </c>
      <c r="B4276" s="76">
        <v>83.338722000000004</v>
      </c>
      <c r="C4276" s="76">
        <v>83.928864000000004</v>
      </c>
      <c r="D4276" s="76">
        <v>83.031525000000002</v>
      </c>
      <c r="E4276" s="76">
        <v>83.265968000000001</v>
      </c>
      <c r="F4276" s="76">
        <v>80.539428999999998</v>
      </c>
      <c r="G4276" s="79">
        <v>429600</v>
      </c>
    </row>
    <row r="4277" spans="1:7" x14ac:dyDescent="0.25">
      <c r="A4277" s="1" t="s">
        <v>4400</v>
      </c>
      <c r="B4277" s="76">
        <v>83.459983999999906</v>
      </c>
      <c r="C4277" s="76">
        <v>83.459983999999906</v>
      </c>
      <c r="D4277" s="76">
        <v>82.158446999999995</v>
      </c>
      <c r="E4277" s="76">
        <v>82.716247999999993</v>
      </c>
      <c r="F4277" s="76">
        <v>80.007705999999999</v>
      </c>
      <c r="G4277" s="79">
        <v>522000</v>
      </c>
    </row>
    <row r="4278" spans="1:7" x14ac:dyDescent="0.25">
      <c r="A4278" s="1" t="s">
        <v>4401</v>
      </c>
      <c r="B4278" s="76">
        <v>82.829430000000002</v>
      </c>
      <c r="C4278" s="76">
        <v>83.492317</v>
      </c>
      <c r="D4278" s="76">
        <v>82.134192999999996</v>
      </c>
      <c r="E4278" s="76">
        <v>83.144706999999997</v>
      </c>
      <c r="F4278" s="76">
        <v>80.422134</v>
      </c>
      <c r="G4278" s="79">
        <v>764800</v>
      </c>
    </row>
    <row r="4279" spans="1:7" x14ac:dyDescent="0.25">
      <c r="A4279" s="1" t="s">
        <v>4402</v>
      </c>
      <c r="B4279" s="76">
        <v>83.185126999999994</v>
      </c>
      <c r="C4279" s="76">
        <v>84.599838000000005</v>
      </c>
      <c r="D4279" s="76">
        <v>82.789008999999993</v>
      </c>
      <c r="E4279" s="76">
        <v>84.373481999999996</v>
      </c>
      <c r="F4279" s="76">
        <v>81.610680000000002</v>
      </c>
      <c r="G4279" s="79">
        <v>926400</v>
      </c>
    </row>
    <row r="4280" spans="1:7" x14ac:dyDescent="0.25">
      <c r="A4280" s="1" t="s">
        <v>4403</v>
      </c>
      <c r="B4280" s="76">
        <v>85.149558999999996</v>
      </c>
      <c r="C4280" s="76">
        <v>85.173805000000002</v>
      </c>
      <c r="D4280" s="76">
        <v>83.880356000000006</v>
      </c>
      <c r="E4280" s="76">
        <v>84.656424999999999</v>
      </c>
      <c r="F4280" s="76">
        <v>81.884345999999994</v>
      </c>
      <c r="G4280" s="79">
        <v>1076300</v>
      </c>
    </row>
    <row r="4281" spans="1:7" x14ac:dyDescent="0.25">
      <c r="A4281" s="1" t="s">
        <v>4404</v>
      </c>
      <c r="B4281" s="76">
        <v>84.834273999999994</v>
      </c>
      <c r="C4281" s="76">
        <v>87.308006000000006</v>
      </c>
      <c r="D4281" s="76">
        <v>84.583671999999893</v>
      </c>
      <c r="E4281" s="76">
        <v>87.000809000000004</v>
      </c>
      <c r="F4281" s="76">
        <v>84.151969999999906</v>
      </c>
      <c r="G4281" s="79">
        <v>1236400</v>
      </c>
    </row>
    <row r="4282" spans="1:7" x14ac:dyDescent="0.25">
      <c r="A4282" s="1" t="s">
        <v>4405</v>
      </c>
      <c r="B4282" s="76">
        <v>86.346001000000001</v>
      </c>
      <c r="C4282" s="76">
        <v>87.105903999999995</v>
      </c>
      <c r="D4282" s="76">
        <v>85.173805000000002</v>
      </c>
      <c r="E4282" s="76">
        <v>86.903801000000001</v>
      </c>
      <c r="F4282" s="76">
        <v>84.058136000000005</v>
      </c>
      <c r="G4282" s="79">
        <v>1004000</v>
      </c>
    </row>
    <row r="4283" spans="1:7" x14ac:dyDescent="0.25">
      <c r="A4283" s="1" t="s">
        <v>4406</v>
      </c>
      <c r="B4283" s="76">
        <v>86.645111</v>
      </c>
      <c r="C4283" s="76">
        <v>87.122069999999994</v>
      </c>
      <c r="D4283" s="76">
        <v>86.337913999999998</v>
      </c>
      <c r="E4283" s="76">
        <v>86.750197999999997</v>
      </c>
      <c r="F4283" s="76">
        <v>83.909560999999997</v>
      </c>
      <c r="G4283" s="79">
        <v>1317500</v>
      </c>
    </row>
    <row r="4284" spans="1:7" x14ac:dyDescent="0.25">
      <c r="A4284" s="1" t="s">
        <v>4407</v>
      </c>
      <c r="B4284" s="76">
        <v>86.588523999999893</v>
      </c>
      <c r="C4284" s="76">
        <v>86.814872999999906</v>
      </c>
      <c r="D4284" s="76">
        <v>85.561843999999994</v>
      </c>
      <c r="E4284" s="76">
        <v>85.739693000000003</v>
      </c>
      <c r="F4284" s="76">
        <v>82.932143999999994</v>
      </c>
      <c r="G4284" s="79">
        <v>1244600</v>
      </c>
    </row>
    <row r="4285" spans="1:7" x14ac:dyDescent="0.25">
      <c r="A4285" s="1" t="s">
        <v>4408</v>
      </c>
      <c r="B4285" s="76">
        <v>85.569930999999997</v>
      </c>
      <c r="C4285" s="76">
        <v>85.828620999999998</v>
      </c>
      <c r="D4285" s="76">
        <v>84.721100000000007</v>
      </c>
      <c r="E4285" s="76">
        <v>84.882781999999906</v>
      </c>
      <c r="F4285" s="76">
        <v>82.103293999999906</v>
      </c>
      <c r="G4285" s="79">
        <v>748800</v>
      </c>
    </row>
    <row r="4286" spans="1:7" x14ac:dyDescent="0.25">
      <c r="A4286" s="1" t="s">
        <v>4409</v>
      </c>
      <c r="B4286" s="76">
        <v>84.890861999999998</v>
      </c>
      <c r="C4286" s="76">
        <v>85.222313</v>
      </c>
      <c r="D4286" s="76">
        <v>84.009704999999997</v>
      </c>
      <c r="E4286" s="76">
        <v>84.114791999999994</v>
      </c>
      <c r="F4286" s="76">
        <v>81.360457999999994</v>
      </c>
      <c r="G4286" s="79">
        <v>657000</v>
      </c>
    </row>
    <row r="4287" spans="1:7" x14ac:dyDescent="0.25">
      <c r="A4287" s="1" t="s">
        <v>4410</v>
      </c>
      <c r="B4287" s="76">
        <v>84.082458000000003</v>
      </c>
      <c r="C4287" s="76">
        <v>84.793853999999996</v>
      </c>
      <c r="D4287" s="76">
        <v>83.653998999999999</v>
      </c>
      <c r="E4287" s="76">
        <v>84.535163999999995</v>
      </c>
      <c r="F4287" s="76">
        <v>81.767059000000003</v>
      </c>
      <c r="G4287" s="79">
        <v>812700</v>
      </c>
    </row>
    <row r="4288" spans="1:7" x14ac:dyDescent="0.25">
      <c r="A4288" s="1" t="s">
        <v>4411</v>
      </c>
      <c r="B4288" s="76">
        <v>84.575583999999907</v>
      </c>
      <c r="C4288" s="76">
        <v>85.076796999999999</v>
      </c>
      <c r="D4288" s="76">
        <v>83.815680999999998</v>
      </c>
      <c r="E4288" s="76">
        <v>84.308814999999996</v>
      </c>
      <c r="F4288" s="76">
        <v>81.548125999999996</v>
      </c>
      <c r="G4288" s="79">
        <v>678000</v>
      </c>
    </row>
    <row r="4289" spans="1:7" x14ac:dyDescent="0.25">
      <c r="A4289" s="1" t="s">
        <v>4412</v>
      </c>
      <c r="B4289" s="76">
        <v>84.365402000000003</v>
      </c>
      <c r="C4289" s="76">
        <v>85.278899999999993</v>
      </c>
      <c r="D4289" s="76">
        <v>84.203719999999905</v>
      </c>
      <c r="E4289" s="76">
        <v>85.214225999999996</v>
      </c>
      <c r="F4289" s="76">
        <v>82.423889000000003</v>
      </c>
      <c r="G4289" s="79">
        <v>1072800</v>
      </c>
    </row>
    <row r="4290" spans="1:7" x14ac:dyDescent="0.25">
      <c r="A4290" s="1" t="s">
        <v>4413</v>
      </c>
      <c r="B4290" s="76">
        <v>85.230391999999995</v>
      </c>
      <c r="C4290" s="76">
        <v>86.192397999999997</v>
      </c>
      <c r="D4290" s="76">
        <v>84.826194999999998</v>
      </c>
      <c r="E4290" s="76">
        <v>85.852867000000003</v>
      </c>
      <c r="F4290" s="76">
        <v>83.041611000000003</v>
      </c>
      <c r="G4290" s="79">
        <v>824600</v>
      </c>
    </row>
    <row r="4291" spans="1:7" x14ac:dyDescent="0.25">
      <c r="A4291" s="1" t="s">
        <v>4414</v>
      </c>
      <c r="B4291" s="76">
        <v>85.610343999999998</v>
      </c>
      <c r="C4291" s="76">
        <v>86.087311</v>
      </c>
      <c r="D4291" s="76">
        <v>85.036377000000002</v>
      </c>
      <c r="E4291" s="76">
        <v>85.052543999999997</v>
      </c>
      <c r="F4291" s="76">
        <v>82.267501999999993</v>
      </c>
      <c r="G4291" s="79">
        <v>900800</v>
      </c>
    </row>
    <row r="4292" spans="1:7" x14ac:dyDescent="0.25">
      <c r="A4292" s="1" t="s">
        <v>4415</v>
      </c>
      <c r="B4292" s="76">
        <v>85.133385000000004</v>
      </c>
      <c r="C4292" s="76">
        <v>85.537589999999994</v>
      </c>
      <c r="D4292" s="76">
        <v>84.729186999999996</v>
      </c>
      <c r="E4292" s="76">
        <v>85.521422999999999</v>
      </c>
      <c r="F4292" s="76">
        <v>82.721030999999996</v>
      </c>
      <c r="G4292" s="79">
        <v>944100</v>
      </c>
    </row>
    <row r="4293" spans="1:7" x14ac:dyDescent="0.25">
      <c r="A4293" s="1" t="s">
        <v>4416</v>
      </c>
      <c r="B4293" s="76">
        <v>85.472915999999998</v>
      </c>
      <c r="C4293" s="76">
        <v>86.839127000000005</v>
      </c>
      <c r="D4293" s="76">
        <v>85.359741</v>
      </c>
      <c r="E4293" s="76">
        <v>86.661277999999996</v>
      </c>
      <c r="F4293" s="76">
        <v>83.823554999999999</v>
      </c>
      <c r="G4293" s="79">
        <v>591400</v>
      </c>
    </row>
    <row r="4294" spans="1:7" x14ac:dyDescent="0.25">
      <c r="A4294" s="1" t="s">
        <v>4417</v>
      </c>
      <c r="B4294" s="76">
        <v>86.887633999999906</v>
      </c>
      <c r="C4294" s="76">
        <v>87.502021999999997</v>
      </c>
      <c r="D4294" s="76">
        <v>86.434921000000003</v>
      </c>
      <c r="E4294" s="76">
        <v>87.057395999999997</v>
      </c>
      <c r="F4294" s="76">
        <v>84.206703000000005</v>
      </c>
      <c r="G4294" s="79">
        <v>628200</v>
      </c>
    </row>
    <row r="4295" spans="1:7" x14ac:dyDescent="0.25">
      <c r="A4295" s="1" t="s">
        <v>4418</v>
      </c>
      <c r="B4295" s="76">
        <v>87.202911</v>
      </c>
      <c r="C4295" s="76">
        <v>87.429267999999993</v>
      </c>
      <c r="D4295" s="76">
        <v>86.499595999999997</v>
      </c>
      <c r="E4295" s="76">
        <v>87.041229000000001</v>
      </c>
      <c r="F4295" s="76">
        <v>84.191063</v>
      </c>
      <c r="G4295" s="79">
        <v>696500</v>
      </c>
    </row>
    <row r="4296" spans="1:7" x14ac:dyDescent="0.25">
      <c r="A4296" s="1" t="s">
        <v>4419</v>
      </c>
      <c r="B4296" s="76">
        <v>86.580437000000003</v>
      </c>
      <c r="C4296" s="76">
        <v>87.025063000000003</v>
      </c>
      <c r="D4296" s="76">
        <v>86.491507999999996</v>
      </c>
      <c r="E4296" s="76">
        <v>86.742118999999903</v>
      </c>
      <c r="F4296" s="76">
        <v>84.591774000000001</v>
      </c>
      <c r="G4296" s="79">
        <v>767100</v>
      </c>
    </row>
    <row r="4297" spans="1:7" x14ac:dyDescent="0.25">
      <c r="A4297" s="1" t="s">
        <v>4420</v>
      </c>
      <c r="B4297" s="76">
        <v>87.033141999999998</v>
      </c>
      <c r="C4297" s="76">
        <v>87.049316000000005</v>
      </c>
      <c r="D4297" s="76">
        <v>85.739693000000003</v>
      </c>
      <c r="E4297" s="76">
        <v>86.402587999999994</v>
      </c>
      <c r="F4297" s="76">
        <v>84.260657999999907</v>
      </c>
      <c r="G4297" s="79">
        <v>617300</v>
      </c>
    </row>
    <row r="4298" spans="1:7" x14ac:dyDescent="0.25">
      <c r="A4298" s="1" t="s">
        <v>4421</v>
      </c>
      <c r="B4298" s="76">
        <v>86.402587999999994</v>
      </c>
      <c r="C4298" s="76">
        <v>87.016975000000002</v>
      </c>
      <c r="D4298" s="76">
        <v>85.933707999999996</v>
      </c>
      <c r="E4298" s="76">
        <v>86.394501000000005</v>
      </c>
      <c r="F4298" s="76">
        <v>84.252769000000001</v>
      </c>
      <c r="G4298" s="79">
        <v>685600</v>
      </c>
    </row>
    <row r="4299" spans="1:7" x14ac:dyDescent="0.25">
      <c r="A4299" s="1" t="s">
        <v>4422</v>
      </c>
      <c r="B4299" s="76">
        <v>86.257071999999994</v>
      </c>
      <c r="C4299" s="76">
        <v>87.146323999999893</v>
      </c>
      <c r="D4299" s="76">
        <v>85.828620999999998</v>
      </c>
      <c r="E4299" s="76">
        <v>85.941794999999999</v>
      </c>
      <c r="F4299" s="76">
        <v>83.811295000000001</v>
      </c>
      <c r="G4299" s="79">
        <v>814600</v>
      </c>
    </row>
    <row r="4300" spans="1:7" x14ac:dyDescent="0.25">
      <c r="A4300" s="1" t="s">
        <v>4423</v>
      </c>
      <c r="B4300" s="76">
        <v>86.054969999999997</v>
      </c>
      <c r="C4300" s="76">
        <v>86.523848999999998</v>
      </c>
      <c r="D4300" s="76">
        <v>83.928864000000004</v>
      </c>
      <c r="E4300" s="76">
        <v>83.993530000000007</v>
      </c>
      <c r="F4300" s="76">
        <v>81.911323999999993</v>
      </c>
      <c r="G4300" s="79">
        <v>833900</v>
      </c>
    </row>
    <row r="4301" spans="1:7" x14ac:dyDescent="0.25">
      <c r="A4301" s="1" t="s">
        <v>4424</v>
      </c>
      <c r="B4301" s="76">
        <v>84.017783999999907</v>
      </c>
      <c r="C4301" s="76">
        <v>84.737267000000003</v>
      </c>
      <c r="D4301" s="76">
        <v>83.815680999999998</v>
      </c>
      <c r="E4301" s="76">
        <v>84.413901999999993</v>
      </c>
      <c r="F4301" s="76">
        <v>82.321274000000003</v>
      </c>
      <c r="G4301" s="79">
        <v>838500</v>
      </c>
    </row>
    <row r="4302" spans="1:7" x14ac:dyDescent="0.25">
      <c r="A4302" s="1" t="s">
        <v>4425</v>
      </c>
      <c r="B4302" s="76">
        <v>85.189980000000006</v>
      </c>
      <c r="C4302" s="76">
        <v>85.529510000000002</v>
      </c>
      <c r="D4302" s="76">
        <v>84.527084000000002</v>
      </c>
      <c r="E4302" s="76">
        <v>84.761519999999905</v>
      </c>
      <c r="F4302" s="76">
        <v>82.660263</v>
      </c>
      <c r="G4302" s="79">
        <v>820500</v>
      </c>
    </row>
    <row r="4303" spans="1:7" x14ac:dyDescent="0.25">
      <c r="A4303" s="1" t="s">
        <v>4426</v>
      </c>
      <c r="B4303" s="76">
        <v>84.721100000000007</v>
      </c>
      <c r="C4303" s="76">
        <v>85.004043999999993</v>
      </c>
      <c r="D4303" s="76">
        <v>84.236052999999998</v>
      </c>
      <c r="E4303" s="76">
        <v>84.527084000000002</v>
      </c>
      <c r="F4303" s="76">
        <v>82.431640999999999</v>
      </c>
      <c r="G4303" s="79">
        <v>732200</v>
      </c>
    </row>
    <row r="4304" spans="1:7" x14ac:dyDescent="0.25">
      <c r="A4304" s="1" t="s">
        <v>4427</v>
      </c>
      <c r="B4304" s="76">
        <v>84.648345999999904</v>
      </c>
      <c r="C4304" s="76">
        <v>85.553756999999905</v>
      </c>
      <c r="D4304" s="76">
        <v>84.648345999999904</v>
      </c>
      <c r="E4304" s="76">
        <v>84.696845999999994</v>
      </c>
      <c r="F4304" s="76">
        <v>82.597197999999906</v>
      </c>
      <c r="G4304" s="79">
        <v>645400</v>
      </c>
    </row>
    <row r="4305" spans="1:7" x14ac:dyDescent="0.25">
      <c r="A4305" s="1" t="s">
        <v>4428</v>
      </c>
      <c r="B4305" s="76">
        <v>84.753433000000001</v>
      </c>
      <c r="C4305" s="76">
        <v>85.553756999999905</v>
      </c>
      <c r="D4305" s="76">
        <v>84.640259</v>
      </c>
      <c r="E4305" s="76">
        <v>85.101050999999998</v>
      </c>
      <c r="F4305" s="76">
        <v>82.991386000000006</v>
      </c>
      <c r="G4305" s="79">
        <v>395400</v>
      </c>
    </row>
    <row r="4306" spans="1:7" x14ac:dyDescent="0.25">
      <c r="A4306" s="1" t="s">
        <v>4429</v>
      </c>
      <c r="B4306" s="76">
        <v>85.133385000000004</v>
      </c>
      <c r="C4306" s="76">
        <v>85.400161999999995</v>
      </c>
      <c r="D4306" s="76">
        <v>84.834273999999994</v>
      </c>
      <c r="E4306" s="76">
        <v>85.198059000000001</v>
      </c>
      <c r="F4306" s="76">
        <v>83.085991000000007</v>
      </c>
      <c r="G4306" s="79">
        <v>562400</v>
      </c>
    </row>
    <row r="4307" spans="1:7" x14ac:dyDescent="0.25">
      <c r="A4307" s="1" t="s">
        <v>4430</v>
      </c>
      <c r="B4307" s="76">
        <v>85.230391999999995</v>
      </c>
      <c r="C4307" s="76">
        <v>86.515761999999995</v>
      </c>
      <c r="D4307" s="76">
        <v>85.181892000000005</v>
      </c>
      <c r="E4307" s="76">
        <v>86.054969999999997</v>
      </c>
      <c r="F4307" s="76">
        <v>83.921661</v>
      </c>
      <c r="G4307" s="79">
        <v>653500</v>
      </c>
    </row>
    <row r="4308" spans="1:7" x14ac:dyDescent="0.25">
      <c r="A4308" s="1" t="s">
        <v>4431</v>
      </c>
      <c r="B4308" s="76">
        <v>86.378333999999995</v>
      </c>
      <c r="C4308" s="76">
        <v>86.620857000000001</v>
      </c>
      <c r="D4308" s="76">
        <v>85.464836000000005</v>
      </c>
      <c r="E4308" s="76">
        <v>86.054969999999997</v>
      </c>
      <c r="F4308" s="76">
        <v>83.921661</v>
      </c>
      <c r="G4308" s="79">
        <v>586300</v>
      </c>
    </row>
    <row r="4309" spans="1:7" x14ac:dyDescent="0.25">
      <c r="A4309" s="1" t="s">
        <v>4432</v>
      </c>
      <c r="B4309" s="76">
        <v>86.054969999999997</v>
      </c>
      <c r="C4309" s="76">
        <v>88.399353000000005</v>
      </c>
      <c r="D4309" s="76">
        <v>85.343575000000001</v>
      </c>
      <c r="E4309" s="76">
        <v>88.140663000000004</v>
      </c>
      <c r="F4309" s="76">
        <v>85.955642999999995</v>
      </c>
      <c r="G4309" s="79">
        <v>1361700</v>
      </c>
    </row>
    <row r="4310" spans="1:7" x14ac:dyDescent="0.25">
      <c r="A4310" s="1" t="s">
        <v>4433</v>
      </c>
      <c r="B4310" s="76">
        <v>88.051734999999994</v>
      </c>
      <c r="C4310" s="76">
        <v>88.342765999999997</v>
      </c>
      <c r="D4310" s="76">
        <v>87.445435000000003</v>
      </c>
      <c r="E4310" s="76">
        <v>88.148750000000007</v>
      </c>
      <c r="F4310" s="76">
        <v>85.963531000000003</v>
      </c>
      <c r="G4310" s="79">
        <v>881300</v>
      </c>
    </row>
    <row r="4311" spans="1:7" x14ac:dyDescent="0.25">
      <c r="A4311" s="1" t="s">
        <v>4434</v>
      </c>
      <c r="B4311" s="76">
        <v>88.011313999999999</v>
      </c>
      <c r="C4311" s="76">
        <v>89.013740999999996</v>
      </c>
      <c r="D4311" s="76">
        <v>87.696037000000004</v>
      </c>
      <c r="E4311" s="76">
        <v>88.908653000000001</v>
      </c>
      <c r="F4311" s="76">
        <v>86.704596999999893</v>
      </c>
      <c r="G4311" s="79">
        <v>909400</v>
      </c>
    </row>
    <row r="4312" spans="1:7" x14ac:dyDescent="0.25">
      <c r="A4312" s="1" t="s">
        <v>4435</v>
      </c>
      <c r="B4312" s="76">
        <v>88.876311999999999</v>
      </c>
      <c r="C4312" s="76">
        <v>89.062247999999997</v>
      </c>
      <c r="D4312" s="76">
        <v>87.744545000000002</v>
      </c>
      <c r="E4312" s="76">
        <v>88.755050999999995</v>
      </c>
      <c r="F4312" s="76">
        <v>86.554801999999995</v>
      </c>
      <c r="G4312" s="79">
        <v>764800</v>
      </c>
    </row>
    <row r="4313" spans="1:7" x14ac:dyDescent="0.25">
      <c r="A4313" s="1" t="s">
        <v>4436</v>
      </c>
      <c r="B4313" s="76">
        <v>88.763137999999998</v>
      </c>
      <c r="C4313" s="76">
        <v>89.797896999999907</v>
      </c>
      <c r="D4313" s="76">
        <v>88.358931999999996</v>
      </c>
      <c r="E4313" s="76">
        <v>89.611960999999994</v>
      </c>
      <c r="F4313" s="76">
        <v>87.390465000000006</v>
      </c>
      <c r="G4313" s="79">
        <v>748700</v>
      </c>
    </row>
    <row r="4314" spans="1:7" x14ac:dyDescent="0.25">
      <c r="A4314" s="1" t="s">
        <v>4437</v>
      </c>
      <c r="B4314" s="76">
        <v>89.805983999999995</v>
      </c>
      <c r="C4314" s="76">
        <v>90.315276999999995</v>
      </c>
      <c r="D4314" s="76">
        <v>87.890052999999995</v>
      </c>
      <c r="E4314" s="76">
        <v>88.795470999999907</v>
      </c>
      <c r="F4314" s="76">
        <v>86.594223</v>
      </c>
      <c r="G4314" s="79">
        <v>656800</v>
      </c>
    </row>
    <row r="4315" spans="1:7" x14ac:dyDescent="0.25">
      <c r="A4315" s="1" t="s">
        <v>4438</v>
      </c>
      <c r="B4315" s="76">
        <v>88.908653000000001</v>
      </c>
      <c r="C4315" s="76">
        <v>89.280518000000001</v>
      </c>
      <c r="D4315" s="76">
        <v>88.496360999999993</v>
      </c>
      <c r="E4315" s="76">
        <v>88.884399000000002</v>
      </c>
      <c r="F4315" s="76">
        <v>86.680945999999906</v>
      </c>
      <c r="G4315" s="79">
        <v>599500</v>
      </c>
    </row>
    <row r="4316" spans="1:7" x14ac:dyDescent="0.25">
      <c r="A4316" s="1" t="s">
        <v>4439</v>
      </c>
      <c r="B4316" s="76">
        <v>88.916732999999994</v>
      </c>
      <c r="C4316" s="76">
        <v>89.27243</v>
      </c>
      <c r="D4316" s="76">
        <v>88.472106999999994</v>
      </c>
      <c r="E4316" s="76">
        <v>89.029915000000003</v>
      </c>
      <c r="F4316" s="76">
        <v>86.822852999999995</v>
      </c>
      <c r="G4316" s="79">
        <v>739200</v>
      </c>
    </row>
    <row r="4317" spans="1:7" x14ac:dyDescent="0.25">
      <c r="A4317" s="1" t="s">
        <v>4440</v>
      </c>
      <c r="B4317" s="76">
        <v>89.215843000000007</v>
      </c>
      <c r="C4317" s="76">
        <v>89.830230999999998</v>
      </c>
      <c r="D4317" s="76">
        <v>88.763137999999998</v>
      </c>
      <c r="E4317" s="76">
        <v>89.466453999999999</v>
      </c>
      <c r="F4317" s="76">
        <v>87.248565999999997</v>
      </c>
      <c r="G4317" s="79">
        <v>956900</v>
      </c>
    </row>
    <row r="4318" spans="1:7" x14ac:dyDescent="0.25">
      <c r="A4318" s="1" t="s">
        <v>4441</v>
      </c>
      <c r="B4318" s="76">
        <v>89.312850999999995</v>
      </c>
      <c r="C4318" s="76">
        <v>89.361358999999993</v>
      </c>
      <c r="D4318" s="76">
        <v>88.270004</v>
      </c>
      <c r="E4318" s="76">
        <v>88.819725000000005</v>
      </c>
      <c r="F4318" s="76">
        <v>86.617874</v>
      </c>
      <c r="G4318" s="79">
        <v>900800</v>
      </c>
    </row>
    <row r="4319" spans="1:7" x14ac:dyDescent="0.25">
      <c r="A4319" s="1" t="s">
        <v>4442</v>
      </c>
      <c r="B4319" s="76">
        <v>88.795470999999907</v>
      </c>
      <c r="C4319" s="76">
        <v>89.029915000000003</v>
      </c>
      <c r="D4319" s="76">
        <v>88.140663000000004</v>
      </c>
      <c r="E4319" s="76">
        <v>88.334678999999994</v>
      </c>
      <c r="F4319" s="76">
        <v>86.144843999999907</v>
      </c>
      <c r="G4319" s="79">
        <v>1064600</v>
      </c>
    </row>
    <row r="4320" spans="1:7" x14ac:dyDescent="0.25">
      <c r="A4320" s="1" t="s">
        <v>4443</v>
      </c>
      <c r="B4320" s="76">
        <v>88.334678999999994</v>
      </c>
      <c r="C4320" s="76">
        <v>88.342765999999997</v>
      </c>
      <c r="D4320" s="76">
        <v>87.332252999999994</v>
      </c>
      <c r="E4320" s="76">
        <v>87.987067999999994</v>
      </c>
      <c r="F4320" s="76">
        <v>85.805854999999994</v>
      </c>
      <c r="G4320" s="79">
        <v>867200</v>
      </c>
    </row>
    <row r="4321" spans="1:7" x14ac:dyDescent="0.25">
      <c r="A4321" s="1" t="s">
        <v>4444</v>
      </c>
      <c r="B4321" s="76">
        <v>87.510101000000006</v>
      </c>
      <c r="C4321" s="76">
        <v>88.205337999999998</v>
      </c>
      <c r="D4321" s="76">
        <v>86.782539</v>
      </c>
      <c r="E4321" s="76">
        <v>87.930472999999907</v>
      </c>
      <c r="F4321" s="76">
        <v>85.750664</v>
      </c>
      <c r="G4321" s="79">
        <v>664200</v>
      </c>
    </row>
    <row r="4322" spans="1:7" x14ac:dyDescent="0.25">
      <c r="A4322" s="1" t="s">
        <v>4445</v>
      </c>
      <c r="B4322" s="76">
        <v>87.599029999999999</v>
      </c>
      <c r="C4322" s="76">
        <v>87.970894000000001</v>
      </c>
      <c r="D4322" s="76">
        <v>87.081649999999996</v>
      </c>
      <c r="E4322" s="76">
        <v>87.518187999999995</v>
      </c>
      <c r="F4322" s="76">
        <v>85.348594999999904</v>
      </c>
      <c r="G4322" s="79">
        <v>492800</v>
      </c>
    </row>
    <row r="4323" spans="1:7" x14ac:dyDescent="0.25">
      <c r="A4323" s="1" t="s">
        <v>4446</v>
      </c>
      <c r="B4323" s="76">
        <v>87.566695999999993</v>
      </c>
      <c r="C4323" s="76">
        <v>87.809218999999999</v>
      </c>
      <c r="D4323" s="76">
        <v>87.049316000000005</v>
      </c>
      <c r="E4323" s="76">
        <v>87.186745000000002</v>
      </c>
      <c r="F4323" s="76">
        <v>85.025368</v>
      </c>
      <c r="G4323" s="79">
        <v>443700</v>
      </c>
    </row>
    <row r="4324" spans="1:7" x14ac:dyDescent="0.25">
      <c r="A4324" s="1" t="s">
        <v>4447</v>
      </c>
      <c r="B4324" s="76">
        <v>86.863380000000006</v>
      </c>
      <c r="C4324" s="76">
        <v>86.863380000000006</v>
      </c>
      <c r="D4324" s="76">
        <v>85.586097999999893</v>
      </c>
      <c r="E4324" s="76">
        <v>85.602264000000005</v>
      </c>
      <c r="F4324" s="76">
        <v>83.480170999999999</v>
      </c>
      <c r="G4324" s="79">
        <v>780900</v>
      </c>
    </row>
    <row r="4325" spans="1:7" x14ac:dyDescent="0.25">
      <c r="A4325" s="1" t="s">
        <v>4448</v>
      </c>
      <c r="B4325" s="76">
        <v>85.610343999999998</v>
      </c>
      <c r="C4325" s="76">
        <v>85.796279999999996</v>
      </c>
      <c r="D4325" s="76">
        <v>83.961196999999999</v>
      </c>
      <c r="E4325" s="76">
        <v>84.203719999999905</v>
      </c>
      <c r="F4325" s="76">
        <v>82.116294999999994</v>
      </c>
      <c r="G4325" s="79">
        <v>988900</v>
      </c>
    </row>
    <row r="4326" spans="1:7" x14ac:dyDescent="0.25">
      <c r="A4326" s="1" t="s">
        <v>4449</v>
      </c>
      <c r="B4326" s="76">
        <v>84.203719999999905</v>
      </c>
      <c r="C4326" s="76">
        <v>85.286986999999996</v>
      </c>
      <c r="D4326" s="76">
        <v>82.853675999999993</v>
      </c>
      <c r="E4326" s="76">
        <v>83.42765</v>
      </c>
      <c r="F4326" s="76">
        <v>81.359474000000006</v>
      </c>
      <c r="G4326" s="79">
        <v>868100</v>
      </c>
    </row>
    <row r="4327" spans="1:7" x14ac:dyDescent="0.25">
      <c r="A4327" s="1" t="s">
        <v>4450</v>
      </c>
      <c r="B4327" s="76">
        <v>83.573157999999907</v>
      </c>
      <c r="C4327" s="76">
        <v>83.718673999999993</v>
      </c>
      <c r="D4327" s="76">
        <v>82.780922000000004</v>
      </c>
      <c r="E4327" s="76">
        <v>83.096198999999999</v>
      </c>
      <c r="F4327" s="76">
        <v>81.036240000000006</v>
      </c>
      <c r="G4327" s="79">
        <v>1155300</v>
      </c>
    </row>
    <row r="4328" spans="1:7" x14ac:dyDescent="0.25">
      <c r="A4328" s="1" t="s">
        <v>4451</v>
      </c>
      <c r="B4328" s="76">
        <v>83.104286000000002</v>
      </c>
      <c r="C4328" s="76">
        <v>83.500404000000003</v>
      </c>
      <c r="D4328" s="76">
        <v>82.409058000000002</v>
      </c>
      <c r="E4328" s="76">
        <v>82.821342000000001</v>
      </c>
      <c r="F4328" s="76">
        <v>80.768196000000003</v>
      </c>
      <c r="G4328" s="79">
        <v>901800</v>
      </c>
    </row>
    <row r="4329" spans="1:7" x14ac:dyDescent="0.25">
      <c r="A4329" s="1" t="s">
        <v>4452</v>
      </c>
      <c r="B4329" s="76">
        <v>83.015357999999907</v>
      </c>
      <c r="C4329" s="76">
        <v>85.165726000000006</v>
      </c>
      <c r="D4329" s="76">
        <v>83.015357999999907</v>
      </c>
      <c r="E4329" s="76">
        <v>84.696845999999994</v>
      </c>
      <c r="F4329" s="76">
        <v>82.597197999999906</v>
      </c>
      <c r="G4329" s="79">
        <v>871000</v>
      </c>
    </row>
    <row r="4330" spans="1:7" x14ac:dyDescent="0.25">
      <c r="A4330" s="1" t="s">
        <v>4453</v>
      </c>
      <c r="B4330" s="76">
        <v>84.688766000000001</v>
      </c>
      <c r="C4330" s="76">
        <v>85.189980000000006</v>
      </c>
      <c r="D4330" s="76">
        <v>84.203719999999905</v>
      </c>
      <c r="E4330" s="76">
        <v>84.316895000000002</v>
      </c>
      <c r="F4330" s="76">
        <v>82.226669000000001</v>
      </c>
      <c r="G4330" s="79">
        <v>625700</v>
      </c>
    </row>
    <row r="4331" spans="1:7" x14ac:dyDescent="0.25">
      <c r="A4331" s="1" t="s">
        <v>4454</v>
      </c>
      <c r="B4331" s="76">
        <v>84.518996999999999</v>
      </c>
      <c r="C4331" s="76">
        <v>85.602264000000005</v>
      </c>
      <c r="D4331" s="76">
        <v>84.227974000000003</v>
      </c>
      <c r="E4331" s="76">
        <v>84.987876999999997</v>
      </c>
      <c r="F4331" s="76">
        <v>82.881011999999998</v>
      </c>
      <c r="G4331" s="79">
        <v>1111900</v>
      </c>
    </row>
    <row r="4332" spans="1:7" x14ac:dyDescent="0.25">
      <c r="A4332" s="1" t="s">
        <v>4455</v>
      </c>
      <c r="B4332" s="76">
        <v>84.979789999999994</v>
      </c>
      <c r="C4332" s="76">
        <v>85.117217999999994</v>
      </c>
      <c r="D4332" s="76">
        <v>83.912689</v>
      </c>
      <c r="E4332" s="76">
        <v>84.163300000000007</v>
      </c>
      <c r="F4332" s="76">
        <v>82.076881</v>
      </c>
      <c r="G4332" s="79">
        <v>656800</v>
      </c>
    </row>
    <row r="4333" spans="1:7" x14ac:dyDescent="0.25">
      <c r="A4333" s="1" t="s">
        <v>4456</v>
      </c>
      <c r="B4333" s="76">
        <v>84.624092000000005</v>
      </c>
      <c r="C4333" s="76">
        <v>84.777687</v>
      </c>
      <c r="D4333" s="76">
        <v>82.651572999999999</v>
      </c>
      <c r="E4333" s="76">
        <v>82.764754999999994</v>
      </c>
      <c r="F4333" s="76">
        <v>80.713013000000004</v>
      </c>
      <c r="G4333" s="79">
        <v>1245000</v>
      </c>
    </row>
    <row r="4334" spans="1:7" x14ac:dyDescent="0.25">
      <c r="A4334" s="1" t="s">
        <v>4457</v>
      </c>
      <c r="B4334" s="76">
        <v>82.958770999999999</v>
      </c>
      <c r="C4334" s="76">
        <v>82.958770999999999</v>
      </c>
      <c r="D4334" s="76">
        <v>81.430878000000007</v>
      </c>
      <c r="E4334" s="76">
        <v>82.021018999999995</v>
      </c>
      <c r="F4334" s="76">
        <v>79.987708999999995</v>
      </c>
      <c r="G4334" s="79">
        <v>1111600</v>
      </c>
    </row>
    <row r="4335" spans="1:7" x14ac:dyDescent="0.25">
      <c r="A4335" s="1" t="s">
        <v>4458</v>
      </c>
      <c r="B4335" s="76">
        <v>81.948265000000006</v>
      </c>
      <c r="C4335" s="76">
        <v>83.274047999999993</v>
      </c>
      <c r="D4335" s="76">
        <v>81.948265000000006</v>
      </c>
      <c r="E4335" s="76">
        <v>82.651572999999999</v>
      </c>
      <c r="F4335" s="76">
        <v>80.602631000000002</v>
      </c>
      <c r="G4335" s="79">
        <v>1658600</v>
      </c>
    </row>
    <row r="4336" spans="1:7" x14ac:dyDescent="0.25">
      <c r="A4336" s="1" t="s">
        <v>4459</v>
      </c>
      <c r="B4336" s="76">
        <v>82.780922000000004</v>
      </c>
      <c r="C4336" s="76">
        <v>83.249802000000003</v>
      </c>
      <c r="D4336" s="76">
        <v>81.438964999999996</v>
      </c>
      <c r="E4336" s="76">
        <v>81.584479999999999</v>
      </c>
      <c r="F4336" s="76">
        <v>79.561988999999997</v>
      </c>
      <c r="G4336" s="79">
        <v>905300</v>
      </c>
    </row>
    <row r="4337" spans="1:7" x14ac:dyDescent="0.25">
      <c r="A4337" s="1" t="s">
        <v>4460</v>
      </c>
      <c r="B4337" s="76">
        <v>81.455131999999907</v>
      </c>
      <c r="C4337" s="76">
        <v>81.851249999999993</v>
      </c>
      <c r="D4337" s="76">
        <v>80.517380000000003</v>
      </c>
      <c r="E4337" s="76">
        <v>81.034759999999906</v>
      </c>
      <c r="F4337" s="76">
        <v>79.025902000000002</v>
      </c>
      <c r="G4337" s="79">
        <v>1265800</v>
      </c>
    </row>
    <row r="4338" spans="1:7" x14ac:dyDescent="0.25">
      <c r="A4338" s="1" t="s">
        <v>4461</v>
      </c>
      <c r="B4338" s="76">
        <v>81.075180000000003</v>
      </c>
      <c r="C4338" s="76">
        <v>81.164107999999999</v>
      </c>
      <c r="D4338" s="76">
        <v>79.636215000000007</v>
      </c>
      <c r="E4338" s="76">
        <v>80.986258999999905</v>
      </c>
      <c r="F4338" s="76">
        <v>78.9786</v>
      </c>
      <c r="G4338" s="79">
        <v>1161700</v>
      </c>
    </row>
    <row r="4339" spans="1:7" x14ac:dyDescent="0.25">
      <c r="A4339" s="1" t="s">
        <v>4462</v>
      </c>
      <c r="B4339" s="76">
        <v>80.808410999999893</v>
      </c>
      <c r="C4339" s="76">
        <v>81.107520999999906</v>
      </c>
      <c r="D4339" s="76">
        <v>80.363784999999993</v>
      </c>
      <c r="E4339" s="76">
        <v>80.598220999999995</v>
      </c>
      <c r="F4339" s="76">
        <v>78.600181999999904</v>
      </c>
      <c r="G4339" s="79">
        <v>983100</v>
      </c>
    </row>
    <row r="4340" spans="1:7" x14ac:dyDescent="0.25">
      <c r="A4340" s="1" t="s">
        <v>4463</v>
      </c>
      <c r="B4340" s="76">
        <v>80.347617999999997</v>
      </c>
      <c r="C4340" s="76">
        <v>81.188361999999998</v>
      </c>
      <c r="D4340" s="76">
        <v>79.959579000000005</v>
      </c>
      <c r="E4340" s="76">
        <v>81.139854</v>
      </c>
      <c r="F4340" s="76">
        <v>79.128387000000004</v>
      </c>
      <c r="G4340" s="79">
        <v>872900</v>
      </c>
    </row>
    <row r="4341" spans="1:7" x14ac:dyDescent="0.25">
      <c r="A4341" s="1" t="s">
        <v>4464</v>
      </c>
      <c r="B4341" s="76">
        <v>81.091346999999999</v>
      </c>
      <c r="C4341" s="76">
        <v>81.681488000000002</v>
      </c>
      <c r="D4341" s="76">
        <v>80.638641000000007</v>
      </c>
      <c r="E4341" s="76">
        <v>81.091346999999999</v>
      </c>
      <c r="F4341" s="76">
        <v>79.081085000000002</v>
      </c>
      <c r="G4341" s="79">
        <v>945900</v>
      </c>
    </row>
    <row r="4342" spans="1:7" x14ac:dyDescent="0.25">
      <c r="A4342" s="1" t="s">
        <v>4465</v>
      </c>
      <c r="B4342" s="76">
        <v>81.123688000000001</v>
      </c>
      <c r="C4342" s="76">
        <v>82.012931999999907</v>
      </c>
      <c r="D4342" s="76">
        <v>80.848831000000004</v>
      </c>
      <c r="E4342" s="76">
        <v>81.560226</v>
      </c>
      <c r="F4342" s="76">
        <v>79.538337999999996</v>
      </c>
      <c r="G4342" s="79">
        <v>1084500</v>
      </c>
    </row>
    <row r="4343" spans="1:7" x14ac:dyDescent="0.25">
      <c r="A4343" s="1" t="s">
        <v>4466</v>
      </c>
      <c r="B4343" s="76">
        <v>81.608733999999998</v>
      </c>
      <c r="C4343" s="76">
        <v>82.473724000000004</v>
      </c>
      <c r="D4343" s="76">
        <v>81.293448999999995</v>
      </c>
      <c r="E4343" s="76">
        <v>82.190781000000001</v>
      </c>
      <c r="F4343" s="76">
        <v>80.153251999999995</v>
      </c>
      <c r="G4343" s="79">
        <v>2245700</v>
      </c>
    </row>
    <row r="4344" spans="1:7" x14ac:dyDescent="0.25">
      <c r="A4344" s="1" t="s">
        <v>4467</v>
      </c>
      <c r="B4344" s="76">
        <v>82.231200999999999</v>
      </c>
      <c r="C4344" s="76">
        <v>82.724334999999996</v>
      </c>
      <c r="D4344" s="76">
        <v>81.261116000000001</v>
      </c>
      <c r="E4344" s="76">
        <v>81.495552000000004</v>
      </c>
      <c r="F4344" s="76">
        <v>79.475273000000001</v>
      </c>
      <c r="G4344" s="79">
        <v>1036800</v>
      </c>
    </row>
    <row r="4345" spans="1:7" x14ac:dyDescent="0.25">
      <c r="A4345" s="1" t="s">
        <v>4468</v>
      </c>
      <c r="B4345" s="76">
        <v>81.495552000000004</v>
      </c>
      <c r="C4345" s="76">
        <v>82.530311999999995</v>
      </c>
      <c r="D4345" s="76">
        <v>81.018592999999996</v>
      </c>
      <c r="E4345" s="76">
        <v>82.352463</v>
      </c>
      <c r="F4345" s="76">
        <v>80.310935999999998</v>
      </c>
      <c r="G4345" s="79">
        <v>856000</v>
      </c>
    </row>
    <row r="4346" spans="1:7" x14ac:dyDescent="0.25">
      <c r="A4346" s="1" t="s">
        <v>4469</v>
      </c>
      <c r="B4346" s="76">
        <v>82.231200999999999</v>
      </c>
      <c r="C4346" s="76">
        <v>82.942604000000003</v>
      </c>
      <c r="D4346" s="76">
        <v>82.053352000000004</v>
      </c>
      <c r="E4346" s="76">
        <v>82.150359999999907</v>
      </c>
      <c r="F4346" s="76">
        <v>80.113845999999995</v>
      </c>
      <c r="G4346" s="79">
        <v>683000</v>
      </c>
    </row>
    <row r="4347" spans="1:7" x14ac:dyDescent="0.25">
      <c r="A4347" s="1" t="s">
        <v>4470</v>
      </c>
      <c r="B4347" s="76">
        <v>82.166533999999999</v>
      </c>
      <c r="C4347" s="76">
        <v>82.651572999999999</v>
      </c>
      <c r="D4347" s="76">
        <v>81.980598000000001</v>
      </c>
      <c r="E4347" s="76">
        <v>82.506065000000007</v>
      </c>
      <c r="F4347" s="76">
        <v>80.460723999999999</v>
      </c>
      <c r="G4347" s="79">
        <v>646000</v>
      </c>
    </row>
    <row r="4348" spans="1:7" x14ac:dyDescent="0.25">
      <c r="A4348" s="1" t="s">
        <v>4471</v>
      </c>
      <c r="B4348" s="76">
        <v>82.522231999999903</v>
      </c>
      <c r="C4348" s="76">
        <v>83.233626999999998</v>
      </c>
      <c r="D4348" s="76">
        <v>82.263542000000001</v>
      </c>
      <c r="E4348" s="76">
        <v>82.837508999999997</v>
      </c>
      <c r="F4348" s="76">
        <v>80.783957999999998</v>
      </c>
      <c r="G4348" s="79">
        <v>700700</v>
      </c>
    </row>
    <row r="4349" spans="1:7" x14ac:dyDescent="0.25">
      <c r="A4349" s="1" t="s">
        <v>4472</v>
      </c>
      <c r="B4349" s="76">
        <v>82.999190999999996</v>
      </c>
      <c r="C4349" s="76">
        <v>83.435730000000007</v>
      </c>
      <c r="D4349" s="76">
        <v>82.457557999999906</v>
      </c>
      <c r="E4349" s="76">
        <v>82.772835000000001</v>
      </c>
      <c r="F4349" s="76">
        <v>80.720894000000001</v>
      </c>
      <c r="G4349" s="79">
        <v>640400</v>
      </c>
    </row>
    <row r="4350" spans="1:7" x14ac:dyDescent="0.25">
      <c r="A4350" s="1" t="s">
        <v>4473</v>
      </c>
      <c r="B4350" s="76">
        <v>82.732414000000006</v>
      </c>
      <c r="C4350" s="76">
        <v>82.805176000000003</v>
      </c>
      <c r="D4350" s="76">
        <v>81.754242000000005</v>
      </c>
      <c r="E4350" s="76">
        <v>81.875504000000006</v>
      </c>
      <c r="F4350" s="76">
        <v>79.845802000000006</v>
      </c>
      <c r="G4350" s="79">
        <v>537500</v>
      </c>
    </row>
    <row r="4351" spans="1:7" x14ac:dyDescent="0.25">
      <c r="A4351" s="1" t="s">
        <v>4474</v>
      </c>
      <c r="B4351" s="76">
        <v>82.182700999999994</v>
      </c>
      <c r="C4351" s="76">
        <v>83.322556000000006</v>
      </c>
      <c r="D4351" s="76">
        <v>82.077606000000003</v>
      </c>
      <c r="E4351" s="76">
        <v>83.314468000000005</v>
      </c>
      <c r="F4351" s="76">
        <v>81.249092000000005</v>
      </c>
      <c r="G4351" s="79">
        <v>765600</v>
      </c>
    </row>
    <row r="4352" spans="1:7" x14ac:dyDescent="0.25">
      <c r="A4352" s="1" t="s">
        <v>4475</v>
      </c>
      <c r="B4352" s="76">
        <v>82.918350000000004</v>
      </c>
      <c r="C4352" s="76">
        <v>83.548912000000001</v>
      </c>
      <c r="D4352" s="76">
        <v>82.675826999999998</v>
      </c>
      <c r="E4352" s="76">
        <v>83.241714000000002</v>
      </c>
      <c r="F4352" s="76">
        <v>81.178145999999998</v>
      </c>
      <c r="G4352" s="79">
        <v>616200</v>
      </c>
    </row>
    <row r="4353" spans="1:7" x14ac:dyDescent="0.25">
      <c r="A4353" s="1" t="s">
        <v>4476</v>
      </c>
      <c r="B4353" s="76">
        <v>83.193207000000001</v>
      </c>
      <c r="C4353" s="76">
        <v>83.435730000000007</v>
      </c>
      <c r="D4353" s="76">
        <v>82.336295999999905</v>
      </c>
      <c r="E4353" s="76">
        <v>82.611153000000002</v>
      </c>
      <c r="F4353" s="76">
        <v>80.563202000000004</v>
      </c>
      <c r="G4353" s="79">
        <v>840200</v>
      </c>
    </row>
    <row r="4354" spans="1:7" x14ac:dyDescent="0.25">
      <c r="A4354" s="1" t="s">
        <v>4477</v>
      </c>
      <c r="B4354" s="76">
        <v>82.740500999999995</v>
      </c>
      <c r="C4354" s="76">
        <v>82.740500999999995</v>
      </c>
      <c r="D4354" s="76">
        <v>81.624900999999994</v>
      </c>
      <c r="E4354" s="76">
        <v>82.109946999999906</v>
      </c>
      <c r="F4354" s="76">
        <v>80.074432000000002</v>
      </c>
      <c r="G4354" s="79">
        <v>1136200</v>
      </c>
    </row>
    <row r="4355" spans="1:7" x14ac:dyDescent="0.25">
      <c r="A4355" s="1" t="s">
        <v>4478</v>
      </c>
      <c r="B4355" s="76">
        <v>82.004852</v>
      </c>
      <c r="C4355" s="76">
        <v>82.320128999999994</v>
      </c>
      <c r="D4355" s="76">
        <v>81.794662000000002</v>
      </c>
      <c r="E4355" s="76">
        <v>82.134192999999996</v>
      </c>
      <c r="F4355" s="76">
        <v>80.098076000000006</v>
      </c>
      <c r="G4355" s="79">
        <v>723100</v>
      </c>
    </row>
    <row r="4356" spans="1:7" x14ac:dyDescent="0.25">
      <c r="A4356" s="1" t="s">
        <v>4479</v>
      </c>
      <c r="B4356" s="76">
        <v>82.635406000000003</v>
      </c>
      <c r="C4356" s="76">
        <v>82.886016999999995</v>
      </c>
      <c r="D4356" s="76">
        <v>80.226356999999993</v>
      </c>
      <c r="E4356" s="76">
        <v>80.662894999999907</v>
      </c>
      <c r="F4356" s="76">
        <v>78.663253999999995</v>
      </c>
      <c r="G4356" s="79">
        <v>1067900</v>
      </c>
    </row>
    <row r="4357" spans="1:7" x14ac:dyDescent="0.25">
      <c r="A4357" s="1" t="s">
        <v>4480</v>
      </c>
      <c r="B4357" s="76">
        <v>80.864998</v>
      </c>
      <c r="C4357" s="76">
        <v>81.495552000000004</v>
      </c>
      <c r="D4357" s="76">
        <v>80.468879999999999</v>
      </c>
      <c r="E4357" s="76">
        <v>81.293448999999995</v>
      </c>
      <c r="F4357" s="76">
        <v>79.278175000000005</v>
      </c>
      <c r="G4357" s="79">
        <v>1064700</v>
      </c>
    </row>
    <row r="4358" spans="1:7" x14ac:dyDescent="0.25">
      <c r="A4358" s="1" t="s">
        <v>4481</v>
      </c>
      <c r="B4358" s="76">
        <v>81.059012999999993</v>
      </c>
      <c r="C4358" s="76">
        <v>81.471298000000004</v>
      </c>
      <c r="D4358" s="76">
        <v>78.876311999999999</v>
      </c>
      <c r="E4358" s="76">
        <v>78.892478999999994</v>
      </c>
      <c r="F4358" s="76">
        <v>76.936722000000003</v>
      </c>
      <c r="G4358" s="79">
        <v>1283300</v>
      </c>
    </row>
    <row r="4359" spans="1:7" x14ac:dyDescent="0.25">
      <c r="A4359" s="1" t="s">
        <v>4482</v>
      </c>
      <c r="B4359" s="76">
        <v>78.892478999999994</v>
      </c>
      <c r="C4359" s="76">
        <v>79.531120000000001</v>
      </c>
      <c r="D4359" s="76">
        <v>77.801131999999996</v>
      </c>
      <c r="E4359" s="76">
        <v>78.019401999999999</v>
      </c>
      <c r="F4359" s="76">
        <v>76.085289000000003</v>
      </c>
      <c r="G4359" s="79">
        <v>1208600</v>
      </c>
    </row>
    <row r="4360" spans="1:7" x14ac:dyDescent="0.25">
      <c r="A4360" s="1" t="s">
        <v>4483</v>
      </c>
      <c r="B4360" s="76">
        <v>77.922393999999997</v>
      </c>
      <c r="C4360" s="76">
        <v>77.995148</v>
      </c>
      <c r="D4360" s="76">
        <v>77.259499000000005</v>
      </c>
      <c r="E4360" s="76">
        <v>77.801131999999996</v>
      </c>
      <c r="F4360" s="76">
        <v>75.872428999999997</v>
      </c>
      <c r="G4360" s="79">
        <v>937300</v>
      </c>
    </row>
    <row r="4361" spans="1:7" x14ac:dyDescent="0.25">
      <c r="A4361" s="1" t="s">
        <v>4484</v>
      </c>
      <c r="B4361" s="76">
        <v>78.116408999999905</v>
      </c>
      <c r="C4361" s="76">
        <v>78.116408999999905</v>
      </c>
      <c r="D4361" s="76">
        <v>77.065483</v>
      </c>
      <c r="E4361" s="76">
        <v>77.833466000000001</v>
      </c>
      <c r="F4361" s="76">
        <v>75.903960999999995</v>
      </c>
      <c r="G4361" s="79">
        <v>1431600</v>
      </c>
    </row>
    <row r="4362" spans="1:7" x14ac:dyDescent="0.25">
      <c r="A4362" s="1" t="s">
        <v>4485</v>
      </c>
      <c r="B4362" s="76">
        <v>78.051734999999994</v>
      </c>
      <c r="C4362" s="76">
        <v>78.051734999999994</v>
      </c>
      <c r="D4362" s="76">
        <v>75.254645999999994</v>
      </c>
      <c r="E4362" s="76">
        <v>77.857718999999904</v>
      </c>
      <c r="F4362" s="76">
        <v>75.927619999999905</v>
      </c>
      <c r="G4362" s="79">
        <v>1936000</v>
      </c>
    </row>
    <row r="4363" spans="1:7" x14ac:dyDescent="0.25">
      <c r="A4363" s="1" t="s">
        <v>4486</v>
      </c>
      <c r="B4363" s="76">
        <v>77.987067999999994</v>
      </c>
      <c r="C4363" s="76">
        <v>78.124495999999994</v>
      </c>
      <c r="D4363" s="76">
        <v>76.281326000000007</v>
      </c>
      <c r="E4363" s="76">
        <v>76.556182999999905</v>
      </c>
      <c r="F4363" s="76">
        <v>74.658339999999995</v>
      </c>
      <c r="G4363" s="79">
        <v>1130300</v>
      </c>
    </row>
    <row r="4364" spans="1:7" x14ac:dyDescent="0.25">
      <c r="A4364" s="1" t="s">
        <v>4487</v>
      </c>
      <c r="B4364" s="76">
        <v>75.723526000000007</v>
      </c>
      <c r="C4364" s="76">
        <v>76.863380000000006</v>
      </c>
      <c r="D4364" s="76">
        <v>75.262732999999997</v>
      </c>
      <c r="E4364" s="76">
        <v>76.806792999999999</v>
      </c>
      <c r="F4364" s="76">
        <v>75.603911999999994</v>
      </c>
      <c r="G4364" s="79">
        <v>1462400</v>
      </c>
    </row>
    <row r="4365" spans="1:7" x14ac:dyDescent="0.25">
      <c r="A4365" s="1" t="s">
        <v>4488</v>
      </c>
      <c r="B4365" s="76">
        <v>76.879547000000002</v>
      </c>
      <c r="C4365" s="76">
        <v>77.510101000000006</v>
      </c>
      <c r="D4365" s="76">
        <v>76.297493000000003</v>
      </c>
      <c r="E4365" s="76">
        <v>77.364593999999997</v>
      </c>
      <c r="F4365" s="76">
        <v>76.152977000000007</v>
      </c>
      <c r="G4365" s="79">
        <v>831100</v>
      </c>
    </row>
    <row r="4366" spans="1:7" x14ac:dyDescent="0.25">
      <c r="A4366" s="1" t="s">
        <v>4489</v>
      </c>
      <c r="B4366" s="76">
        <v>77.534355000000005</v>
      </c>
      <c r="C4366" s="76">
        <v>77.704123999999993</v>
      </c>
      <c r="D4366" s="76">
        <v>75.974129000000005</v>
      </c>
      <c r="E4366" s="76">
        <v>76.459175000000002</v>
      </c>
      <c r="F4366" s="76">
        <v>75.261733999999905</v>
      </c>
      <c r="G4366" s="79">
        <v>750000</v>
      </c>
    </row>
    <row r="4367" spans="1:7" x14ac:dyDescent="0.25">
      <c r="A4367" s="1" t="s">
        <v>4490</v>
      </c>
      <c r="B4367" s="76">
        <v>76.362166999999999</v>
      </c>
      <c r="C4367" s="76">
        <v>76.443007999999907</v>
      </c>
      <c r="D4367" s="76">
        <v>75.642685</v>
      </c>
      <c r="E4367" s="76">
        <v>76.289412999999996</v>
      </c>
      <c r="F4367" s="76">
        <v>75.094634999999997</v>
      </c>
      <c r="G4367" s="79">
        <v>1065500</v>
      </c>
    </row>
    <row r="4368" spans="1:7" x14ac:dyDescent="0.25">
      <c r="A4368" s="1" t="s">
        <v>4491</v>
      </c>
      <c r="B4368" s="76">
        <v>76.289412999999996</v>
      </c>
      <c r="C4368" s="76">
        <v>77.235244999999907</v>
      </c>
      <c r="D4368" s="76">
        <v>75.974129000000005</v>
      </c>
      <c r="E4368" s="76">
        <v>76.701697999999993</v>
      </c>
      <c r="F4368" s="76">
        <v>75.500465000000005</v>
      </c>
      <c r="G4368" s="79">
        <v>736300</v>
      </c>
    </row>
    <row r="4369" spans="1:7" x14ac:dyDescent="0.25">
      <c r="A4369" s="1" t="s">
        <v>4492</v>
      </c>
      <c r="B4369" s="76">
        <v>76.289412999999996</v>
      </c>
      <c r="C4369" s="76">
        <v>76.394501000000005</v>
      </c>
      <c r="D4369" s="76">
        <v>75.295067000000003</v>
      </c>
      <c r="E4369" s="76">
        <v>75.990294999999904</v>
      </c>
      <c r="F4369" s="76">
        <v>74.800208999999995</v>
      </c>
      <c r="G4369" s="79">
        <v>1121000</v>
      </c>
    </row>
    <row r="4370" spans="1:7" x14ac:dyDescent="0.25">
      <c r="A4370" s="1" t="s">
        <v>4493</v>
      </c>
      <c r="B4370" s="76">
        <v>75.917541999999997</v>
      </c>
      <c r="C4370" s="76">
        <v>76.079223999999996</v>
      </c>
      <c r="D4370" s="76">
        <v>75.311233999999999</v>
      </c>
      <c r="E4370" s="76">
        <v>75.416327999999993</v>
      </c>
      <c r="F4370" s="76">
        <v>74.235229000000004</v>
      </c>
      <c r="G4370" s="79">
        <v>760800</v>
      </c>
    </row>
    <row r="4371" spans="1:7" x14ac:dyDescent="0.25">
      <c r="A4371" s="1" t="s">
        <v>4494</v>
      </c>
      <c r="B4371" s="76">
        <v>75.416327999999993</v>
      </c>
      <c r="C4371" s="76">
        <v>76.143897999999993</v>
      </c>
      <c r="D4371" s="76">
        <v>75.149558999999996</v>
      </c>
      <c r="E4371" s="76">
        <v>75.481003000000001</v>
      </c>
      <c r="F4371" s="76">
        <v>74.298881999999907</v>
      </c>
      <c r="G4371" s="79">
        <v>706500</v>
      </c>
    </row>
    <row r="4372" spans="1:7" x14ac:dyDescent="0.25">
      <c r="A4372" s="1" t="s">
        <v>4495</v>
      </c>
      <c r="B4372" s="76">
        <v>75.626518000000004</v>
      </c>
      <c r="C4372" s="76">
        <v>75.658851999999996</v>
      </c>
      <c r="D4372" s="76">
        <v>75.036377000000002</v>
      </c>
      <c r="E4372" s="76">
        <v>75.262732999999997</v>
      </c>
      <c r="F4372" s="76">
        <v>74.084038000000007</v>
      </c>
      <c r="G4372" s="79">
        <v>1178600</v>
      </c>
    </row>
    <row r="4373" spans="1:7" x14ac:dyDescent="0.25">
      <c r="A4373" s="1" t="s">
        <v>4496</v>
      </c>
      <c r="B4373" s="76">
        <v>74.818107999999995</v>
      </c>
      <c r="C4373" s="76">
        <v>75.642685</v>
      </c>
      <c r="D4373" s="76">
        <v>74.607924999999994</v>
      </c>
      <c r="E4373" s="76">
        <v>74.777687</v>
      </c>
      <c r="F4373" s="76">
        <v>73.606583000000001</v>
      </c>
      <c r="G4373" s="79">
        <v>1164200</v>
      </c>
    </row>
    <row r="4374" spans="1:7" x14ac:dyDescent="0.25">
      <c r="A4374" s="1" t="s">
        <v>4497</v>
      </c>
      <c r="B4374" s="76">
        <v>74.777687</v>
      </c>
      <c r="C4374" s="76">
        <v>75.828620999999998</v>
      </c>
      <c r="D4374" s="76">
        <v>74.543250999999998</v>
      </c>
      <c r="E4374" s="76">
        <v>75.052543999999997</v>
      </c>
      <c r="F4374" s="76">
        <v>73.877135999999993</v>
      </c>
      <c r="G4374" s="79">
        <v>1785600</v>
      </c>
    </row>
    <row r="4375" spans="1:7" x14ac:dyDescent="0.25">
      <c r="A4375" s="1" t="s">
        <v>4498</v>
      </c>
      <c r="B4375" s="76">
        <v>75.076796999999999</v>
      </c>
      <c r="C4375" s="76">
        <v>76.265159999999995</v>
      </c>
      <c r="D4375" s="76">
        <v>74.567504999999997</v>
      </c>
      <c r="E4375" s="76">
        <v>76.038803000000001</v>
      </c>
      <c r="F4375" s="76">
        <v>74.847945999999993</v>
      </c>
      <c r="G4375" s="79">
        <v>1100700</v>
      </c>
    </row>
    <row r="4376" spans="1:7" x14ac:dyDescent="0.25">
      <c r="A4376" s="1" t="s">
        <v>4499</v>
      </c>
      <c r="B4376" s="76">
        <v>76.111556999999905</v>
      </c>
      <c r="C4376" s="76">
        <v>76.418755000000004</v>
      </c>
      <c r="D4376" s="76">
        <v>74.979789999999994</v>
      </c>
      <c r="E4376" s="76">
        <v>75.286986999999996</v>
      </c>
      <c r="F4376" s="76">
        <v>74.107910000000004</v>
      </c>
      <c r="G4376" s="79">
        <v>1582200</v>
      </c>
    </row>
    <row r="4377" spans="1:7" x14ac:dyDescent="0.25">
      <c r="A4377" s="1" t="s">
        <v>4500</v>
      </c>
      <c r="B4377" s="76">
        <v>75.424415999999994</v>
      </c>
      <c r="C4377" s="76">
        <v>75.626518000000004</v>
      </c>
      <c r="D4377" s="76">
        <v>75.133385000000004</v>
      </c>
      <c r="E4377" s="76">
        <v>75.327407999999906</v>
      </c>
      <c r="F4377" s="76">
        <v>74.147689999999997</v>
      </c>
      <c r="G4377" s="79">
        <v>1023700</v>
      </c>
    </row>
    <row r="4378" spans="1:7" x14ac:dyDescent="0.25">
      <c r="A4378" s="1" t="s">
        <v>4501</v>
      </c>
      <c r="B4378" s="76">
        <v>75.529510000000002</v>
      </c>
      <c r="C4378" s="76">
        <v>75.626518000000004</v>
      </c>
      <c r="D4378" s="76">
        <v>75.165726000000006</v>
      </c>
      <c r="E4378" s="76">
        <v>75.472915999999998</v>
      </c>
      <c r="F4378" s="76">
        <v>74.290924000000004</v>
      </c>
      <c r="G4378" s="79">
        <v>602400</v>
      </c>
    </row>
    <row r="4379" spans="1:7" x14ac:dyDescent="0.25">
      <c r="A4379" s="1" t="s">
        <v>4502</v>
      </c>
      <c r="B4379" s="76">
        <v>75.513335999999995</v>
      </c>
      <c r="C4379" s="76">
        <v>75.820533999999995</v>
      </c>
      <c r="D4379" s="76">
        <v>75.012123000000003</v>
      </c>
      <c r="E4379" s="76">
        <v>75.141471999999993</v>
      </c>
      <c r="F4379" s="76">
        <v>73.964668000000003</v>
      </c>
      <c r="G4379" s="79">
        <v>535800</v>
      </c>
    </row>
    <row r="4380" spans="1:7" x14ac:dyDescent="0.25">
      <c r="A4380" s="1" t="s">
        <v>4503</v>
      </c>
      <c r="B4380" s="76">
        <v>75.254645999999994</v>
      </c>
      <c r="C4380" s="76">
        <v>75.513335999999995</v>
      </c>
      <c r="D4380" s="76">
        <v>74.389656000000002</v>
      </c>
      <c r="E4380" s="76">
        <v>74.793853999999996</v>
      </c>
      <c r="F4380" s="76">
        <v>73.622497999999993</v>
      </c>
      <c r="G4380" s="79">
        <v>845800</v>
      </c>
    </row>
    <row r="4381" spans="1:7" x14ac:dyDescent="0.25">
      <c r="A4381" s="1" t="s">
        <v>4504</v>
      </c>
      <c r="B4381" s="76">
        <v>74.769607999999906</v>
      </c>
      <c r="C4381" s="76">
        <v>75.270813000000004</v>
      </c>
      <c r="D4381" s="76">
        <v>74.413901999999993</v>
      </c>
      <c r="E4381" s="76">
        <v>74.494743</v>
      </c>
      <c r="F4381" s="76">
        <v>73.328071999999906</v>
      </c>
      <c r="G4381" s="79">
        <v>675500</v>
      </c>
    </row>
    <row r="4382" spans="1:7" x14ac:dyDescent="0.25">
      <c r="A4382" s="1" t="s">
        <v>4505</v>
      </c>
      <c r="B4382" s="76">
        <v>74.688766000000001</v>
      </c>
      <c r="C4382" s="76">
        <v>74.704932999999997</v>
      </c>
      <c r="D4382" s="76">
        <v>73.823768999999999</v>
      </c>
      <c r="E4382" s="76">
        <v>74.535163999999995</v>
      </c>
      <c r="F4382" s="76">
        <v>73.367858999999996</v>
      </c>
      <c r="G4382" s="79">
        <v>1156400</v>
      </c>
    </row>
    <row r="4383" spans="1:7" x14ac:dyDescent="0.25">
      <c r="A4383" s="1" t="s">
        <v>4506</v>
      </c>
      <c r="B4383" s="76">
        <v>74.316895000000002</v>
      </c>
      <c r="C4383" s="76">
        <v>75.165726000000006</v>
      </c>
      <c r="D4383" s="76">
        <v>74.260306999999997</v>
      </c>
      <c r="E4383" s="76">
        <v>75.020209999999906</v>
      </c>
      <c r="F4383" s="76">
        <v>73.845305999999994</v>
      </c>
      <c r="G4383" s="79">
        <v>929400</v>
      </c>
    </row>
    <row r="4384" spans="1:7" x14ac:dyDescent="0.25">
      <c r="A4384" s="1" t="s">
        <v>4507</v>
      </c>
      <c r="B4384" s="76">
        <v>75.319321000000002</v>
      </c>
      <c r="C4384" s="76">
        <v>75.505257</v>
      </c>
      <c r="D4384" s="76">
        <v>74.680678999999998</v>
      </c>
      <c r="E4384" s="76">
        <v>75.076796999999999</v>
      </c>
      <c r="F4384" s="76">
        <v>73.901015999999998</v>
      </c>
      <c r="G4384" s="79">
        <v>1173800</v>
      </c>
    </row>
    <row r="4385" spans="1:7" x14ac:dyDescent="0.25">
      <c r="A4385" s="1" t="s">
        <v>4508</v>
      </c>
      <c r="B4385" s="76">
        <v>75.020209999999906</v>
      </c>
      <c r="C4385" s="76">
        <v>75.440581999999907</v>
      </c>
      <c r="D4385" s="76">
        <v>74.616005000000001</v>
      </c>
      <c r="E4385" s="76">
        <v>75.392075000000006</v>
      </c>
      <c r="F4385" s="76">
        <v>74.211348999999998</v>
      </c>
      <c r="G4385" s="79">
        <v>700500</v>
      </c>
    </row>
    <row r="4386" spans="1:7" x14ac:dyDescent="0.25">
      <c r="A4386" s="1" t="s">
        <v>4509</v>
      </c>
      <c r="B4386" s="76">
        <v>75.351653999999996</v>
      </c>
      <c r="C4386" s="76">
        <v>75.537589999999994</v>
      </c>
      <c r="D4386" s="76">
        <v>73.710587000000004</v>
      </c>
      <c r="E4386" s="76">
        <v>73.775261</v>
      </c>
      <c r="F4386" s="76">
        <v>72.619857999999994</v>
      </c>
      <c r="G4386" s="79">
        <v>1089600</v>
      </c>
    </row>
    <row r="4387" spans="1:7" x14ac:dyDescent="0.25">
      <c r="A4387" s="1" t="s">
        <v>4510</v>
      </c>
      <c r="B4387" s="76">
        <v>73.928864000000004</v>
      </c>
      <c r="C4387" s="76">
        <v>74.446242999999996</v>
      </c>
      <c r="D4387" s="76">
        <v>73.726760999999996</v>
      </c>
      <c r="E4387" s="76">
        <v>74.373481999999996</v>
      </c>
      <c r="F4387" s="76">
        <v>73.208709999999996</v>
      </c>
      <c r="G4387" s="79">
        <v>1216800</v>
      </c>
    </row>
    <row r="4388" spans="1:7" x14ac:dyDescent="0.25">
      <c r="A4388" s="1" t="s">
        <v>4511</v>
      </c>
      <c r="B4388" s="76">
        <v>74.373481999999996</v>
      </c>
      <c r="C4388" s="76">
        <v>74.737267000000003</v>
      </c>
      <c r="D4388" s="76">
        <v>73.993530000000007</v>
      </c>
      <c r="E4388" s="76">
        <v>74.494743</v>
      </c>
      <c r="F4388" s="76">
        <v>73.328071999999906</v>
      </c>
      <c r="G4388" s="79">
        <v>927100</v>
      </c>
    </row>
    <row r="4389" spans="1:7" x14ac:dyDescent="0.25">
      <c r="A4389" s="1" t="s">
        <v>4512</v>
      </c>
      <c r="B4389" s="76">
        <v>74.446242999999996</v>
      </c>
      <c r="C4389" s="76">
        <v>75.957961999999995</v>
      </c>
      <c r="D4389" s="76">
        <v>74.211799999999997</v>
      </c>
      <c r="E4389" s="76">
        <v>75.707358999999997</v>
      </c>
      <c r="F4389" s="76">
        <v>74.521698000000001</v>
      </c>
      <c r="G4389" s="79">
        <v>920300</v>
      </c>
    </row>
    <row r="4390" spans="1:7" x14ac:dyDescent="0.25">
      <c r="A4390" s="1" t="s">
        <v>4513</v>
      </c>
      <c r="B4390" s="76">
        <v>75.610343999999998</v>
      </c>
      <c r="C4390" s="76">
        <v>77.308006000000006</v>
      </c>
      <c r="D4390" s="76">
        <v>75.610343999999998</v>
      </c>
      <c r="E4390" s="76">
        <v>77.089737</v>
      </c>
      <c r="F4390" s="76">
        <v>75.882423000000003</v>
      </c>
      <c r="G4390" s="79">
        <v>1140100</v>
      </c>
    </row>
    <row r="4391" spans="1:7" x14ac:dyDescent="0.25">
      <c r="A4391" s="1" t="s">
        <v>4514</v>
      </c>
      <c r="B4391" s="76">
        <v>76.806792999999999</v>
      </c>
      <c r="C4391" s="76">
        <v>77.421181000000004</v>
      </c>
      <c r="D4391" s="76">
        <v>75.812446999999906</v>
      </c>
      <c r="E4391" s="76">
        <v>76.701697999999993</v>
      </c>
      <c r="F4391" s="76">
        <v>75.500465000000005</v>
      </c>
      <c r="G4391" s="79">
        <v>825900</v>
      </c>
    </row>
    <row r="4392" spans="1:7" x14ac:dyDescent="0.25">
      <c r="A4392" s="1" t="s">
        <v>4515</v>
      </c>
      <c r="B4392" s="76">
        <v>77.081649999999996</v>
      </c>
      <c r="C4392" s="76">
        <v>77.227164999999999</v>
      </c>
      <c r="D4392" s="76">
        <v>75.812446999999906</v>
      </c>
      <c r="E4392" s="76">
        <v>76.046890000000005</v>
      </c>
      <c r="F4392" s="76">
        <v>74.855910999999907</v>
      </c>
      <c r="G4392" s="79">
        <v>834600</v>
      </c>
    </row>
    <row r="4393" spans="1:7" x14ac:dyDescent="0.25">
      <c r="A4393" s="1" t="s">
        <v>4516</v>
      </c>
      <c r="B4393" s="76">
        <v>75.658851999999996</v>
      </c>
      <c r="C4393" s="76">
        <v>76.685531999999995</v>
      </c>
      <c r="D4393" s="76">
        <v>75.545676999999998</v>
      </c>
      <c r="E4393" s="76">
        <v>76.394501000000005</v>
      </c>
      <c r="F4393" s="76">
        <v>75.198074000000005</v>
      </c>
      <c r="G4393" s="79">
        <v>573500</v>
      </c>
    </row>
    <row r="4394" spans="1:7" x14ac:dyDescent="0.25">
      <c r="A4394" s="1" t="s">
        <v>4517</v>
      </c>
      <c r="B4394" s="76">
        <v>76.588523999999893</v>
      </c>
      <c r="C4394" s="76">
        <v>76.588523999999893</v>
      </c>
      <c r="D4394" s="76">
        <v>75.165726000000006</v>
      </c>
      <c r="E4394" s="76">
        <v>75.893287999999998</v>
      </c>
      <c r="F4394" s="76">
        <v>74.704712000000001</v>
      </c>
      <c r="G4394" s="79">
        <v>1351600</v>
      </c>
    </row>
    <row r="4395" spans="1:7" x14ac:dyDescent="0.25">
      <c r="A4395" s="1" t="s">
        <v>4518</v>
      </c>
      <c r="B4395" s="76">
        <v>75.877121000000002</v>
      </c>
      <c r="C4395" s="76">
        <v>75.877121000000002</v>
      </c>
      <c r="D4395" s="76">
        <v>74.963622999999998</v>
      </c>
      <c r="E4395" s="76">
        <v>75.481003000000001</v>
      </c>
      <c r="F4395" s="76">
        <v>74.298881999999907</v>
      </c>
      <c r="G4395" s="79">
        <v>854900</v>
      </c>
    </row>
    <row r="4396" spans="1:7" x14ac:dyDescent="0.25">
      <c r="A4396" s="1" t="s">
        <v>4519</v>
      </c>
      <c r="B4396" s="76">
        <v>75.586097999999893</v>
      </c>
      <c r="C4396" s="76">
        <v>75.796279999999996</v>
      </c>
      <c r="D4396" s="76">
        <v>74.777687</v>
      </c>
      <c r="E4396" s="76">
        <v>75.481003000000001</v>
      </c>
      <c r="F4396" s="76">
        <v>74.298881999999907</v>
      </c>
      <c r="G4396" s="79">
        <v>706200</v>
      </c>
    </row>
    <row r="4397" spans="1:7" x14ac:dyDescent="0.25">
      <c r="A4397" s="1" t="s">
        <v>4520</v>
      </c>
      <c r="B4397" s="76">
        <v>75.553756999999905</v>
      </c>
      <c r="C4397" s="76">
        <v>75.869040999999996</v>
      </c>
      <c r="D4397" s="76">
        <v>74.195633000000001</v>
      </c>
      <c r="E4397" s="76">
        <v>74.915115</v>
      </c>
      <c r="F4397" s="76">
        <v>73.741858999999906</v>
      </c>
      <c r="G4397" s="79">
        <v>755900</v>
      </c>
    </row>
    <row r="4398" spans="1:7" x14ac:dyDescent="0.25">
      <c r="A4398" s="1" t="s">
        <v>4521</v>
      </c>
      <c r="B4398" s="76">
        <v>74.850441000000004</v>
      </c>
      <c r="C4398" s="76">
        <v>76.119643999999994</v>
      </c>
      <c r="D4398" s="76">
        <v>74.527084000000002</v>
      </c>
      <c r="E4398" s="76">
        <v>75.610343999999998</v>
      </c>
      <c r="F4398" s="76">
        <v>74.426201000000006</v>
      </c>
      <c r="G4398" s="79">
        <v>868000</v>
      </c>
    </row>
    <row r="4399" spans="1:7" x14ac:dyDescent="0.25">
      <c r="A4399" s="1" t="s">
        <v>4522</v>
      </c>
      <c r="B4399" s="76">
        <v>75.860954000000007</v>
      </c>
      <c r="C4399" s="76">
        <v>76.523848999999998</v>
      </c>
      <c r="D4399" s="76">
        <v>75.828620999999998</v>
      </c>
      <c r="E4399" s="76">
        <v>76.135811000000004</v>
      </c>
      <c r="F4399" s="76">
        <v>74.943436000000005</v>
      </c>
      <c r="G4399" s="79">
        <v>1114200</v>
      </c>
    </row>
    <row r="4400" spans="1:7" x14ac:dyDescent="0.25">
      <c r="A4400" s="1" t="s">
        <v>4523</v>
      </c>
      <c r="B4400" s="76">
        <v>76.394501000000005</v>
      </c>
      <c r="C4400" s="76">
        <v>76.968474999999998</v>
      </c>
      <c r="D4400" s="76">
        <v>75.893287999999998</v>
      </c>
      <c r="E4400" s="76">
        <v>76.596603000000002</v>
      </c>
      <c r="F4400" s="76">
        <v>75.397010999999907</v>
      </c>
      <c r="G4400" s="79">
        <v>701500</v>
      </c>
    </row>
    <row r="4401" spans="1:7" x14ac:dyDescent="0.25">
      <c r="A4401" s="1" t="s">
        <v>4524</v>
      </c>
      <c r="B4401" s="76">
        <v>76.394501000000005</v>
      </c>
      <c r="C4401" s="76">
        <v>76.822959999999995</v>
      </c>
      <c r="D4401" s="76">
        <v>75.877121000000002</v>
      </c>
      <c r="E4401" s="76">
        <v>75.877121000000002</v>
      </c>
      <c r="F4401" s="76">
        <v>74.688805000000002</v>
      </c>
      <c r="G4401" s="79">
        <v>743400</v>
      </c>
    </row>
    <row r="4402" spans="1:7" x14ac:dyDescent="0.25">
      <c r="A4402" s="1" t="s">
        <v>4525</v>
      </c>
      <c r="B4402" s="76">
        <v>76.160065000000003</v>
      </c>
      <c r="C4402" s="76">
        <v>76.370246999999907</v>
      </c>
      <c r="D4402" s="76">
        <v>75.545676999999998</v>
      </c>
      <c r="E4402" s="76">
        <v>75.594177000000002</v>
      </c>
      <c r="F4402" s="76">
        <v>74.410285999999999</v>
      </c>
      <c r="G4402" s="79">
        <v>753600</v>
      </c>
    </row>
    <row r="4403" spans="1:7" x14ac:dyDescent="0.25">
      <c r="A4403" s="1" t="s">
        <v>4526</v>
      </c>
      <c r="B4403" s="76">
        <v>75.311233999999999</v>
      </c>
      <c r="C4403" s="76">
        <v>75.998382999999905</v>
      </c>
      <c r="D4403" s="76">
        <v>74.761519999999905</v>
      </c>
      <c r="E4403" s="76">
        <v>75.464836000000005</v>
      </c>
      <c r="F4403" s="76">
        <v>74.282966999999999</v>
      </c>
      <c r="G4403" s="79">
        <v>805800</v>
      </c>
    </row>
    <row r="4404" spans="1:7" x14ac:dyDescent="0.25">
      <c r="A4404" s="1" t="s">
        <v>4527</v>
      </c>
      <c r="B4404" s="76">
        <v>75.553756999999905</v>
      </c>
      <c r="C4404" s="76">
        <v>76.208572000000004</v>
      </c>
      <c r="D4404" s="76">
        <v>75.068718000000004</v>
      </c>
      <c r="E4404" s="76">
        <v>75.909462000000005</v>
      </c>
      <c r="F4404" s="76">
        <v>74.720633999999905</v>
      </c>
      <c r="G4404" s="79">
        <v>1172300</v>
      </c>
    </row>
    <row r="4405" spans="1:7" x14ac:dyDescent="0.25">
      <c r="A4405" s="1" t="s">
        <v>4528</v>
      </c>
      <c r="B4405" s="76">
        <v>76.394501000000005</v>
      </c>
      <c r="C4405" s="76">
        <v>77.671782999999905</v>
      </c>
      <c r="D4405" s="76">
        <v>76.103476999999998</v>
      </c>
      <c r="E4405" s="76">
        <v>77.469688000000005</v>
      </c>
      <c r="F4405" s="76">
        <v>76.256423999999996</v>
      </c>
      <c r="G4405" s="79">
        <v>624300</v>
      </c>
    </row>
    <row r="4406" spans="1:7" x14ac:dyDescent="0.25">
      <c r="A4406" s="1" t="s">
        <v>4529</v>
      </c>
      <c r="B4406" s="76">
        <v>77.396927000000005</v>
      </c>
      <c r="C4406" s="76">
        <v>77.421181000000004</v>
      </c>
      <c r="D4406" s="76">
        <v>76.014549000000002</v>
      </c>
      <c r="E4406" s="76">
        <v>76.071135999999996</v>
      </c>
      <c r="F4406" s="76">
        <v>74.879776000000007</v>
      </c>
      <c r="G4406" s="79">
        <v>916200</v>
      </c>
    </row>
    <row r="4407" spans="1:7" x14ac:dyDescent="0.25">
      <c r="A4407" s="1" t="s">
        <v>4530</v>
      </c>
      <c r="B4407" s="76">
        <v>75.844787999999994</v>
      </c>
      <c r="C4407" s="76">
        <v>75.998382999999905</v>
      </c>
      <c r="D4407" s="76">
        <v>74.421988999999996</v>
      </c>
      <c r="E4407" s="76">
        <v>74.680678999999998</v>
      </c>
      <c r="F4407" s="76">
        <v>73.511093000000002</v>
      </c>
      <c r="G4407" s="79">
        <v>1072800</v>
      </c>
    </row>
    <row r="4408" spans="1:7" x14ac:dyDescent="0.25">
      <c r="A4408" s="1" t="s">
        <v>4531</v>
      </c>
      <c r="B4408" s="76">
        <v>74.704932999999997</v>
      </c>
      <c r="C4408" s="76">
        <v>76.418755000000004</v>
      </c>
      <c r="D4408" s="76">
        <v>74.632171999999997</v>
      </c>
      <c r="E4408" s="76">
        <v>75.925629000000001</v>
      </c>
      <c r="F4408" s="76">
        <v>74.736548999999997</v>
      </c>
      <c r="G4408" s="79">
        <v>1522100</v>
      </c>
    </row>
    <row r="4409" spans="1:7" x14ac:dyDescent="0.25">
      <c r="A4409" s="1" t="s">
        <v>4532</v>
      </c>
      <c r="B4409" s="76">
        <v>76.774451999999997</v>
      </c>
      <c r="C4409" s="76">
        <v>77.081649999999996</v>
      </c>
      <c r="D4409" s="76">
        <v>75.133385000000004</v>
      </c>
      <c r="E4409" s="76">
        <v>75.594177000000002</v>
      </c>
      <c r="F4409" s="76">
        <v>74.410285999999999</v>
      </c>
      <c r="G4409" s="79">
        <v>1026200</v>
      </c>
    </row>
    <row r="4410" spans="1:7" x14ac:dyDescent="0.25">
      <c r="A4410" s="1" t="s">
        <v>4533</v>
      </c>
      <c r="B4410" s="76">
        <v>75.683104999999998</v>
      </c>
      <c r="C4410" s="76">
        <v>76.434921000000003</v>
      </c>
      <c r="D4410" s="76">
        <v>75.448668999999995</v>
      </c>
      <c r="E4410" s="76">
        <v>76.054969999999997</v>
      </c>
      <c r="F4410" s="76">
        <v>74.863861</v>
      </c>
      <c r="G4410" s="79">
        <v>1031000</v>
      </c>
    </row>
    <row r="4411" spans="1:7" x14ac:dyDescent="0.25">
      <c r="A4411" s="1" t="s">
        <v>4534</v>
      </c>
      <c r="B4411" s="76">
        <v>76.434921000000003</v>
      </c>
      <c r="C4411" s="76">
        <v>77.639449999999997</v>
      </c>
      <c r="D4411" s="76">
        <v>76.434921000000003</v>
      </c>
      <c r="E4411" s="76">
        <v>76.984641999999994</v>
      </c>
      <c r="F4411" s="76">
        <v>75.778976</v>
      </c>
      <c r="G4411" s="79">
        <v>774100</v>
      </c>
    </row>
    <row r="4412" spans="1:7" x14ac:dyDescent="0.25">
      <c r="A4412" s="1" t="s">
        <v>4535</v>
      </c>
      <c r="B4412" s="76">
        <v>77.13015</v>
      </c>
      <c r="C4412" s="76">
        <v>77.817299000000006</v>
      </c>
      <c r="D4412" s="76">
        <v>76.831039000000004</v>
      </c>
      <c r="E4412" s="76">
        <v>77.243331999999995</v>
      </c>
      <c r="F4412" s="76">
        <v>76.033614999999998</v>
      </c>
      <c r="G4412" s="79">
        <v>568300</v>
      </c>
    </row>
    <row r="4413" spans="1:7" x14ac:dyDescent="0.25">
      <c r="A4413" s="1" t="s">
        <v>4536</v>
      </c>
      <c r="B4413" s="76">
        <v>77.518187999999995</v>
      </c>
      <c r="C4413" s="76">
        <v>78.245757999999995</v>
      </c>
      <c r="D4413" s="76">
        <v>77.380759999999995</v>
      </c>
      <c r="E4413" s="76">
        <v>77.526275999999996</v>
      </c>
      <c r="F4413" s="76">
        <v>76.312126000000006</v>
      </c>
      <c r="G4413" s="79">
        <v>984100</v>
      </c>
    </row>
    <row r="4414" spans="1:7" x14ac:dyDescent="0.25">
      <c r="A4414" s="1" t="s">
        <v>4537</v>
      </c>
      <c r="B4414" s="76">
        <v>77.623283000000001</v>
      </c>
      <c r="C4414" s="76">
        <v>78.617621999999997</v>
      </c>
      <c r="D4414" s="76">
        <v>77.089737</v>
      </c>
      <c r="E4414" s="76">
        <v>78.439774</v>
      </c>
      <c r="F4414" s="76">
        <v>77.211318999999904</v>
      </c>
      <c r="G4414" s="79">
        <v>1141600</v>
      </c>
    </row>
    <row r="4415" spans="1:7" x14ac:dyDescent="0.25">
      <c r="A4415" s="1" t="s">
        <v>4538</v>
      </c>
      <c r="B4415" s="76">
        <v>78.449996999999996</v>
      </c>
      <c r="C4415" s="76">
        <v>79.330001999999993</v>
      </c>
      <c r="D4415" s="76">
        <v>77.260002</v>
      </c>
      <c r="E4415" s="76">
        <v>77.589995999999999</v>
      </c>
      <c r="F4415" s="76">
        <v>76.374847000000003</v>
      </c>
      <c r="G4415" s="79">
        <v>2481700</v>
      </c>
    </row>
    <row r="4416" spans="1:7" x14ac:dyDescent="0.25">
      <c r="A4416" s="1" t="s">
        <v>4539</v>
      </c>
      <c r="B4416" s="76">
        <v>77.529999000000004</v>
      </c>
      <c r="C4416" s="76">
        <v>80.589995999999999</v>
      </c>
      <c r="D4416" s="76">
        <v>77.5</v>
      </c>
      <c r="E4416" s="76">
        <v>80.559997999999993</v>
      </c>
      <c r="F4416" s="76">
        <v>79.298339999999996</v>
      </c>
      <c r="G4416" s="79">
        <v>2427800</v>
      </c>
    </row>
    <row r="4417" spans="1:7" x14ac:dyDescent="0.25">
      <c r="A4417" s="1" t="s">
        <v>4540</v>
      </c>
      <c r="B4417" s="76">
        <v>80.550003000000004</v>
      </c>
      <c r="C4417" s="76">
        <v>80.629997000000003</v>
      </c>
      <c r="D4417" s="76">
        <v>78.930000000000007</v>
      </c>
      <c r="E4417" s="76">
        <v>79.199996999999996</v>
      </c>
      <c r="F4417" s="76">
        <v>77.959641000000005</v>
      </c>
      <c r="G4417" s="79">
        <v>2259500</v>
      </c>
    </row>
    <row r="4418" spans="1:7" x14ac:dyDescent="0.25">
      <c r="A4418" s="1" t="s">
        <v>4541</v>
      </c>
      <c r="B4418" s="76">
        <v>79.150002000000001</v>
      </c>
      <c r="C4418" s="76">
        <v>79.400002000000001</v>
      </c>
      <c r="D4418" s="76">
        <v>78.25</v>
      </c>
      <c r="E4418" s="76">
        <v>78.690002000000007</v>
      </c>
      <c r="F4418" s="76">
        <v>77.457626000000005</v>
      </c>
      <c r="G4418" s="79">
        <v>1078200</v>
      </c>
    </row>
    <row r="4419" spans="1:7" x14ac:dyDescent="0.25">
      <c r="A4419" s="1" t="s">
        <v>4542</v>
      </c>
      <c r="B4419" s="76">
        <v>78.650002000000001</v>
      </c>
      <c r="C4419" s="76">
        <v>79.120002999999997</v>
      </c>
      <c r="D4419" s="76">
        <v>78.069999999999993</v>
      </c>
      <c r="E4419" s="76">
        <v>78.110000999999997</v>
      </c>
      <c r="F4419" s="76">
        <v>76.886711000000005</v>
      </c>
      <c r="G4419" s="79">
        <v>1216600</v>
      </c>
    </row>
    <row r="4420" spans="1:7" x14ac:dyDescent="0.25">
      <c r="A4420" s="1" t="s">
        <v>4543</v>
      </c>
      <c r="B4420" s="76">
        <v>78.470000999999996</v>
      </c>
      <c r="C4420" s="76">
        <v>78.580001999999993</v>
      </c>
      <c r="D4420" s="76">
        <v>77.809997999999993</v>
      </c>
      <c r="E4420" s="76">
        <v>78.110000999999997</v>
      </c>
      <c r="F4420" s="76">
        <v>76.886711000000005</v>
      </c>
      <c r="G4420" s="79">
        <v>847600</v>
      </c>
    </row>
    <row r="4421" spans="1:7" x14ac:dyDescent="0.25">
      <c r="A4421" s="1" t="s">
        <v>4544</v>
      </c>
      <c r="B4421" s="76">
        <v>78.019997000000004</v>
      </c>
      <c r="C4421" s="76">
        <v>78.370002999999997</v>
      </c>
      <c r="D4421" s="76">
        <v>77.739998</v>
      </c>
      <c r="E4421" s="76">
        <v>78.059997999999993</v>
      </c>
      <c r="F4421" s="76">
        <v>76.837493999999893</v>
      </c>
      <c r="G4421" s="79">
        <v>485100</v>
      </c>
    </row>
    <row r="4422" spans="1:7" x14ac:dyDescent="0.25">
      <c r="A4422" s="1" t="s">
        <v>4545</v>
      </c>
      <c r="B4422" s="76">
        <v>77.889999000000003</v>
      </c>
      <c r="C4422" s="76">
        <v>79.010002</v>
      </c>
      <c r="D4422" s="76">
        <v>77.25</v>
      </c>
      <c r="E4422" s="76">
        <v>78.989998</v>
      </c>
      <c r="F4422" s="76">
        <v>77.752921999999998</v>
      </c>
      <c r="G4422" s="79">
        <v>962300</v>
      </c>
    </row>
    <row r="4423" spans="1:7" x14ac:dyDescent="0.25">
      <c r="A4423" s="1" t="s">
        <v>4546</v>
      </c>
      <c r="B4423" s="76">
        <v>79.050003000000004</v>
      </c>
      <c r="C4423" s="76">
        <v>79.059997999999993</v>
      </c>
      <c r="D4423" s="76">
        <v>78.360000999999997</v>
      </c>
      <c r="E4423" s="76">
        <v>78.959998999999996</v>
      </c>
      <c r="F4423" s="76">
        <v>77.723395999999994</v>
      </c>
      <c r="G4423" s="79">
        <v>898500</v>
      </c>
    </row>
    <row r="4424" spans="1:7" x14ac:dyDescent="0.25">
      <c r="A4424" s="1" t="s">
        <v>4547</v>
      </c>
      <c r="B4424" s="76">
        <v>79.010002</v>
      </c>
      <c r="C4424" s="76">
        <v>79.660004000000001</v>
      </c>
      <c r="D4424" s="76">
        <v>78.300003000000004</v>
      </c>
      <c r="E4424" s="76">
        <v>79.349997999999999</v>
      </c>
      <c r="F4424" s="76">
        <v>78.107292000000001</v>
      </c>
      <c r="G4424" s="79">
        <v>1168200</v>
      </c>
    </row>
    <row r="4425" spans="1:7" x14ac:dyDescent="0.25">
      <c r="A4425" s="1" t="s">
        <v>4548</v>
      </c>
      <c r="B4425" s="76">
        <v>79.800003000000004</v>
      </c>
      <c r="C4425" s="76">
        <v>80.919997999999893</v>
      </c>
      <c r="D4425" s="76">
        <v>78.510002</v>
      </c>
      <c r="E4425" s="76">
        <v>79.510002</v>
      </c>
      <c r="F4425" s="76">
        <v>78.264786000000001</v>
      </c>
      <c r="G4425" s="79">
        <v>1719800</v>
      </c>
    </row>
    <row r="4426" spans="1:7" x14ac:dyDescent="0.25">
      <c r="A4426" s="1" t="s">
        <v>4549</v>
      </c>
      <c r="B4426" s="76">
        <v>79.129997000000003</v>
      </c>
      <c r="C4426" s="76">
        <v>80.25</v>
      </c>
      <c r="D4426" s="76">
        <v>78.680000000000007</v>
      </c>
      <c r="E4426" s="76">
        <v>78.760002</v>
      </c>
      <c r="F4426" s="76">
        <v>77.526534999999996</v>
      </c>
      <c r="G4426" s="79">
        <v>1231600</v>
      </c>
    </row>
    <row r="4427" spans="1:7" x14ac:dyDescent="0.25">
      <c r="A4427" s="1" t="s">
        <v>4550</v>
      </c>
      <c r="B4427" s="76">
        <v>78.069999999999993</v>
      </c>
      <c r="C4427" s="76">
        <v>79.319999999999993</v>
      </c>
      <c r="D4427" s="76">
        <v>77.900002000000001</v>
      </c>
      <c r="E4427" s="76">
        <v>79.150002000000001</v>
      </c>
      <c r="F4427" s="76">
        <v>78.508506999999994</v>
      </c>
      <c r="G4427" s="79">
        <v>767300</v>
      </c>
    </row>
    <row r="4428" spans="1:7" x14ac:dyDescent="0.25">
      <c r="A4428" s="1" t="s">
        <v>4551</v>
      </c>
      <c r="B4428" s="76">
        <v>79.230002999999996</v>
      </c>
      <c r="C4428" s="76">
        <v>79.830001999999993</v>
      </c>
      <c r="D4428" s="76">
        <v>78.919997999999893</v>
      </c>
      <c r="E4428" s="76">
        <v>79.470000999999996</v>
      </c>
      <c r="F4428" s="76">
        <v>78.825912000000002</v>
      </c>
      <c r="G4428" s="79">
        <v>569400</v>
      </c>
    </row>
    <row r="4429" spans="1:7" x14ac:dyDescent="0.25">
      <c r="A4429" s="1" t="s">
        <v>4552</v>
      </c>
      <c r="B4429" s="76">
        <v>79.430000000000007</v>
      </c>
      <c r="C4429" s="76">
        <v>79.459998999999996</v>
      </c>
      <c r="D4429" s="76">
        <v>78.849997999999999</v>
      </c>
      <c r="E4429" s="76">
        <v>79.25</v>
      </c>
      <c r="F4429" s="76">
        <v>78.607697000000002</v>
      </c>
      <c r="G4429" s="79">
        <v>1478400</v>
      </c>
    </row>
    <row r="4430" spans="1:7" x14ac:dyDescent="0.25">
      <c r="A4430" s="1" t="s">
        <v>4553</v>
      </c>
      <c r="B4430" s="76">
        <v>79.080001999999993</v>
      </c>
      <c r="C4430" s="76">
        <v>79.400002000000001</v>
      </c>
      <c r="D4430" s="76">
        <v>78.169997999999893</v>
      </c>
      <c r="E4430" s="76">
        <v>78.5</v>
      </c>
      <c r="F4430" s="76">
        <v>77.863770000000002</v>
      </c>
      <c r="G4430" s="79">
        <v>1117100</v>
      </c>
    </row>
    <row r="4431" spans="1:7" x14ac:dyDescent="0.25">
      <c r="A4431" s="1" t="s">
        <v>4554</v>
      </c>
      <c r="B4431" s="76">
        <v>78.5</v>
      </c>
      <c r="C4431" s="76">
        <v>78.5</v>
      </c>
      <c r="D4431" s="76">
        <v>77.790001000000004</v>
      </c>
      <c r="E4431" s="76">
        <v>77.879997000000003</v>
      </c>
      <c r="F4431" s="76">
        <v>77.248795000000001</v>
      </c>
      <c r="G4431" s="79">
        <v>572100</v>
      </c>
    </row>
    <row r="4432" spans="1:7" x14ac:dyDescent="0.25">
      <c r="A4432" s="1" t="s">
        <v>4555</v>
      </c>
      <c r="B4432" s="76">
        <v>77.660004000000001</v>
      </c>
      <c r="C4432" s="76">
        <v>77.75</v>
      </c>
      <c r="D4432" s="76">
        <v>76.569999999999993</v>
      </c>
      <c r="E4432" s="76">
        <v>76.639999000000003</v>
      </c>
      <c r="F4432" s="76">
        <v>76.018844999999999</v>
      </c>
      <c r="G4432" s="79">
        <v>750400</v>
      </c>
    </row>
    <row r="4433" spans="1:7" x14ac:dyDescent="0.25">
      <c r="A4433" s="1" t="s">
        <v>4556</v>
      </c>
      <c r="B4433" s="76">
        <v>76.550003000000004</v>
      </c>
      <c r="C4433" s="76">
        <v>76.860000999999997</v>
      </c>
      <c r="D4433" s="76">
        <v>75.550003000000004</v>
      </c>
      <c r="E4433" s="76">
        <v>75.730002999999996</v>
      </c>
      <c r="F4433" s="76">
        <v>75.116225999999997</v>
      </c>
      <c r="G4433" s="79">
        <v>863200</v>
      </c>
    </row>
    <row r="4434" spans="1:7" x14ac:dyDescent="0.25">
      <c r="A4434" s="1" t="s">
        <v>4557</v>
      </c>
      <c r="B4434" s="76">
        <v>76.180000000000007</v>
      </c>
      <c r="C4434" s="76">
        <v>77.5</v>
      </c>
      <c r="D4434" s="76">
        <v>76.139999000000003</v>
      </c>
      <c r="E4434" s="76">
        <v>76.930000000000007</v>
      </c>
      <c r="F4434" s="76">
        <v>76.306495999999996</v>
      </c>
      <c r="G4434" s="79">
        <v>896300</v>
      </c>
    </row>
    <row r="4435" spans="1:7" x14ac:dyDescent="0.25">
      <c r="A4435" s="1" t="s">
        <v>4558</v>
      </c>
      <c r="B4435" s="76">
        <v>76.790001000000004</v>
      </c>
      <c r="C4435" s="76">
        <v>76.790001000000004</v>
      </c>
      <c r="D4435" s="76">
        <v>75.449996999999996</v>
      </c>
      <c r="E4435" s="76">
        <v>76.25</v>
      </c>
      <c r="F4435" s="76">
        <v>75.632011000000006</v>
      </c>
      <c r="G4435" s="79">
        <v>970200</v>
      </c>
    </row>
    <row r="4436" spans="1:7" x14ac:dyDescent="0.25">
      <c r="A4436" s="1" t="s">
        <v>4559</v>
      </c>
      <c r="B4436" s="76">
        <v>76.419997999999893</v>
      </c>
      <c r="C4436" s="76">
        <v>76.830001999999993</v>
      </c>
      <c r="D4436" s="76">
        <v>75.720000999999996</v>
      </c>
      <c r="E4436" s="76">
        <v>75.900002000000001</v>
      </c>
      <c r="F4436" s="76">
        <v>75.284842999999995</v>
      </c>
      <c r="G4436" s="79">
        <v>908200</v>
      </c>
    </row>
    <row r="4437" spans="1:7" x14ac:dyDescent="0.25">
      <c r="A4437" s="1" t="s">
        <v>4560</v>
      </c>
      <c r="B4437" s="76">
        <v>75.699996999999996</v>
      </c>
      <c r="C4437" s="76">
        <v>76.120002999999997</v>
      </c>
      <c r="D4437" s="76">
        <v>75.230002999999996</v>
      </c>
      <c r="E4437" s="76">
        <v>75.300003000000004</v>
      </c>
      <c r="F4437" s="76">
        <v>74.689712999999998</v>
      </c>
      <c r="G4437" s="79">
        <v>1116200</v>
      </c>
    </row>
    <row r="4438" spans="1:7" x14ac:dyDescent="0.25">
      <c r="A4438" s="1" t="s">
        <v>4561</v>
      </c>
      <c r="B4438" s="76">
        <v>75.040001000000004</v>
      </c>
      <c r="C4438" s="76">
        <v>75.319999999999993</v>
      </c>
      <c r="D4438" s="76">
        <v>73.480002999999996</v>
      </c>
      <c r="E4438" s="76">
        <v>73.910004000000001</v>
      </c>
      <c r="F4438" s="76">
        <v>73.310974000000002</v>
      </c>
      <c r="G4438" s="79">
        <v>1098300</v>
      </c>
    </row>
    <row r="4439" spans="1:7" x14ac:dyDescent="0.25">
      <c r="A4439" s="1" t="s">
        <v>4562</v>
      </c>
      <c r="B4439" s="76">
        <v>73.959998999999996</v>
      </c>
      <c r="C4439" s="76">
        <v>74.220000999999996</v>
      </c>
      <c r="D4439" s="76">
        <v>73.190002000000007</v>
      </c>
      <c r="E4439" s="76">
        <v>73.879997000000003</v>
      </c>
      <c r="F4439" s="76">
        <v>73.281211999999996</v>
      </c>
      <c r="G4439" s="79">
        <v>1029600</v>
      </c>
    </row>
    <row r="4440" spans="1:7" x14ac:dyDescent="0.25">
      <c r="A4440" s="1" t="s">
        <v>4563</v>
      </c>
      <c r="B4440" s="76">
        <v>74.059997999999993</v>
      </c>
      <c r="C4440" s="76">
        <v>74.25</v>
      </c>
      <c r="D4440" s="76">
        <v>73.019997000000004</v>
      </c>
      <c r="E4440" s="76">
        <v>73.379997000000003</v>
      </c>
      <c r="F4440" s="76">
        <v>72.785270999999995</v>
      </c>
      <c r="G4440" s="79">
        <v>1019100</v>
      </c>
    </row>
    <row r="4441" spans="1:7" x14ac:dyDescent="0.25">
      <c r="A4441" s="1" t="s">
        <v>4564</v>
      </c>
      <c r="B4441" s="76">
        <v>73.260002</v>
      </c>
      <c r="C4441" s="76">
        <v>74.589995999999999</v>
      </c>
      <c r="D4441" s="76">
        <v>73.199996999999996</v>
      </c>
      <c r="E4441" s="76">
        <v>74.059997999999993</v>
      </c>
      <c r="F4441" s="76">
        <v>73.459755000000001</v>
      </c>
      <c r="G4441" s="79">
        <v>900300</v>
      </c>
    </row>
    <row r="4442" spans="1:7" x14ac:dyDescent="0.25">
      <c r="A4442" s="1" t="s">
        <v>4565</v>
      </c>
      <c r="B4442" s="76">
        <v>74.720000999999996</v>
      </c>
      <c r="C4442" s="76">
        <v>75.230002999999996</v>
      </c>
      <c r="D4442" s="76">
        <v>73.980002999999996</v>
      </c>
      <c r="E4442" s="76">
        <v>74</v>
      </c>
      <c r="F4442" s="76">
        <v>73.400245999999996</v>
      </c>
      <c r="G4442" s="79">
        <v>1505100</v>
      </c>
    </row>
    <row r="4443" spans="1:7" x14ac:dyDescent="0.25">
      <c r="A4443" s="1" t="s">
        <v>4566</v>
      </c>
      <c r="B4443" s="76">
        <v>74.160004000000001</v>
      </c>
      <c r="C4443" s="76">
        <v>75.089995999999999</v>
      </c>
      <c r="D4443" s="76">
        <v>73.790001000000004</v>
      </c>
      <c r="E4443" s="76">
        <v>74.699996999999996</v>
      </c>
      <c r="F4443" s="76">
        <v>74.094566</v>
      </c>
      <c r="G4443" s="79">
        <v>1263100</v>
      </c>
    </row>
    <row r="4444" spans="1:7" x14ac:dyDescent="0.25">
      <c r="A4444" s="1" t="s">
        <v>4567</v>
      </c>
      <c r="B4444" s="76">
        <v>75.510002</v>
      </c>
      <c r="C4444" s="76">
        <v>75.510002</v>
      </c>
      <c r="D4444" s="76">
        <v>73.900002000000001</v>
      </c>
      <c r="E4444" s="76">
        <v>74.449996999999996</v>
      </c>
      <c r="F4444" s="76">
        <v>73.846595999999906</v>
      </c>
      <c r="G4444" s="79">
        <v>1200200</v>
      </c>
    </row>
    <row r="4445" spans="1:7" x14ac:dyDescent="0.25">
      <c r="A4445" s="1" t="s">
        <v>4568</v>
      </c>
      <c r="B4445" s="76">
        <v>74.360000999999997</v>
      </c>
      <c r="C4445" s="76">
        <v>74.5</v>
      </c>
      <c r="D4445" s="76">
        <v>73.680000000000007</v>
      </c>
      <c r="E4445" s="76">
        <v>74.160004000000001</v>
      </c>
      <c r="F4445" s="76">
        <v>73.558952000000005</v>
      </c>
      <c r="G4445" s="79">
        <v>649900</v>
      </c>
    </row>
    <row r="4446" spans="1:7" x14ac:dyDescent="0.25">
      <c r="A4446" s="1" t="s">
        <v>4569</v>
      </c>
      <c r="B4446" s="76">
        <v>73.529999000000004</v>
      </c>
      <c r="C4446" s="76">
        <v>74.5</v>
      </c>
      <c r="D4446" s="76">
        <v>73.169997999999893</v>
      </c>
      <c r="E4446" s="76">
        <v>74.260002</v>
      </c>
      <c r="F4446" s="76">
        <v>73.658141999999998</v>
      </c>
      <c r="G4446" s="79">
        <v>1008500</v>
      </c>
    </row>
    <row r="4447" spans="1:7" x14ac:dyDescent="0.25">
      <c r="A4447" s="1" t="s">
        <v>4570</v>
      </c>
      <c r="B4447" s="76">
        <v>74.529999000000004</v>
      </c>
      <c r="C4447" s="76">
        <v>74.860000999999997</v>
      </c>
      <c r="D4447" s="76">
        <v>74.129997000000003</v>
      </c>
      <c r="E4447" s="76">
        <v>74.489998</v>
      </c>
      <c r="F4447" s="76">
        <v>73.886268999999999</v>
      </c>
      <c r="G4447" s="79">
        <v>1249900</v>
      </c>
    </row>
    <row r="4448" spans="1:7" x14ac:dyDescent="0.25">
      <c r="A4448" s="1" t="s">
        <v>4571</v>
      </c>
      <c r="B4448" s="76">
        <v>74.519997000000004</v>
      </c>
      <c r="C4448" s="76">
        <v>75.199996999999996</v>
      </c>
      <c r="D4448" s="76">
        <v>74.209998999999996</v>
      </c>
      <c r="E4448" s="76">
        <v>74.989998</v>
      </c>
      <c r="F4448" s="76">
        <v>74.382216999999997</v>
      </c>
      <c r="G4448" s="79">
        <v>616400</v>
      </c>
    </row>
    <row r="4449" spans="1:7" x14ac:dyDescent="0.25">
      <c r="A4449" s="1" t="s">
        <v>4572</v>
      </c>
      <c r="B4449" s="76">
        <v>75.190002000000007</v>
      </c>
      <c r="C4449" s="76">
        <v>75.430000000000007</v>
      </c>
      <c r="D4449" s="76">
        <v>73.839995999999999</v>
      </c>
      <c r="E4449" s="76">
        <v>74.349997999999999</v>
      </c>
      <c r="F4449" s="76">
        <v>73.747405999999998</v>
      </c>
      <c r="G4449" s="79">
        <v>658300</v>
      </c>
    </row>
    <row r="4450" spans="1:7" x14ac:dyDescent="0.25">
      <c r="A4450" s="1" t="s">
        <v>4573</v>
      </c>
      <c r="B4450" s="76">
        <v>74.680000000000007</v>
      </c>
      <c r="C4450" s="76">
        <v>75.110000999999997</v>
      </c>
      <c r="D4450" s="76">
        <v>74.279999000000004</v>
      </c>
      <c r="E4450" s="76">
        <v>74.370002999999997</v>
      </c>
      <c r="F4450" s="76">
        <v>73.767250000000004</v>
      </c>
      <c r="G4450" s="79">
        <v>1054900</v>
      </c>
    </row>
    <row r="4451" spans="1:7" x14ac:dyDescent="0.25">
      <c r="A4451" s="1" t="s">
        <v>4574</v>
      </c>
      <c r="B4451" s="76">
        <v>74.540001000000004</v>
      </c>
      <c r="C4451" s="76">
        <v>74.830001999999993</v>
      </c>
      <c r="D4451" s="76">
        <v>73.239998</v>
      </c>
      <c r="E4451" s="76">
        <v>73.519997000000004</v>
      </c>
      <c r="F4451" s="76">
        <v>72.924132999999998</v>
      </c>
      <c r="G4451" s="79">
        <v>1176600</v>
      </c>
    </row>
    <row r="4452" spans="1:7" x14ac:dyDescent="0.25">
      <c r="A4452" s="1" t="s">
        <v>4575</v>
      </c>
      <c r="B4452" s="76">
        <v>73.370002999999997</v>
      </c>
      <c r="C4452" s="76">
        <v>74.470000999999996</v>
      </c>
      <c r="D4452" s="76">
        <v>73.370002999999997</v>
      </c>
      <c r="E4452" s="76">
        <v>73.900002000000001</v>
      </c>
      <c r="F4452" s="76">
        <v>73.301056000000003</v>
      </c>
      <c r="G4452" s="79">
        <v>1286600</v>
      </c>
    </row>
    <row r="4453" spans="1:7" x14ac:dyDescent="0.25">
      <c r="A4453" s="1" t="s">
        <v>4576</v>
      </c>
      <c r="B4453" s="76">
        <v>74.309997999999993</v>
      </c>
      <c r="C4453" s="76">
        <v>75.040001000000004</v>
      </c>
      <c r="D4453" s="76">
        <v>73.879997000000003</v>
      </c>
      <c r="E4453" s="76">
        <v>74.910004000000001</v>
      </c>
      <c r="F4453" s="76">
        <v>74.302871999999994</v>
      </c>
      <c r="G4453" s="79">
        <v>711600</v>
      </c>
    </row>
    <row r="4454" spans="1:7" x14ac:dyDescent="0.25">
      <c r="A4454" s="1" t="s">
        <v>4577</v>
      </c>
      <c r="B4454" s="76">
        <v>74.910004000000001</v>
      </c>
      <c r="C4454" s="76">
        <v>75.160004000000001</v>
      </c>
      <c r="D4454" s="76">
        <v>74</v>
      </c>
      <c r="E4454" s="76">
        <v>74.300003000000004</v>
      </c>
      <c r="F4454" s="76">
        <v>73.697815000000006</v>
      </c>
      <c r="G4454" s="79">
        <v>645800</v>
      </c>
    </row>
    <row r="4455" spans="1:7" x14ac:dyDescent="0.25">
      <c r="A4455" s="1" t="s">
        <v>4578</v>
      </c>
      <c r="B4455" s="76">
        <v>74.199996999999996</v>
      </c>
      <c r="C4455" s="76">
        <v>74.669997999999893</v>
      </c>
      <c r="D4455" s="76">
        <v>73.940002000000007</v>
      </c>
      <c r="E4455" s="76">
        <v>74.519997000000004</v>
      </c>
      <c r="F4455" s="76">
        <v>73.916022999999996</v>
      </c>
      <c r="G4455" s="79">
        <v>1308700</v>
      </c>
    </row>
    <row r="4456" spans="1:7" x14ac:dyDescent="0.25">
      <c r="A4456" s="1" t="s">
        <v>4579</v>
      </c>
      <c r="B4456" s="76">
        <v>74.480002999999996</v>
      </c>
      <c r="C4456" s="76">
        <v>75.660004000000001</v>
      </c>
      <c r="D4456" s="76">
        <v>74.309997999999993</v>
      </c>
      <c r="E4456" s="76">
        <v>75.180000000000007</v>
      </c>
      <c r="F4456" s="76">
        <v>74.570678999999998</v>
      </c>
      <c r="G4456" s="79">
        <v>1435000</v>
      </c>
    </row>
    <row r="4457" spans="1:7" x14ac:dyDescent="0.25">
      <c r="A4457" s="1" t="s">
        <v>4580</v>
      </c>
      <c r="B4457" s="76">
        <v>75.230002999999996</v>
      </c>
      <c r="C4457" s="76">
        <v>75.540001000000004</v>
      </c>
      <c r="D4457" s="76">
        <v>74.709998999999996</v>
      </c>
      <c r="E4457" s="76">
        <v>75.110000999999997</v>
      </c>
      <c r="F4457" s="76">
        <v>74.501250999999996</v>
      </c>
      <c r="G4457" s="79">
        <v>1704000</v>
      </c>
    </row>
    <row r="4458" spans="1:7" x14ac:dyDescent="0.25">
      <c r="A4458" s="1" t="s">
        <v>4581</v>
      </c>
      <c r="B4458" s="76">
        <v>75.069999999999993</v>
      </c>
      <c r="C4458" s="76">
        <v>75.360000999999997</v>
      </c>
      <c r="D4458" s="76">
        <v>74.459998999999996</v>
      </c>
      <c r="E4458" s="76">
        <v>74.559997999999993</v>
      </c>
      <c r="F4458" s="76">
        <v>73.955703999999997</v>
      </c>
      <c r="G4458" s="79">
        <v>1347800</v>
      </c>
    </row>
    <row r="4459" spans="1:7" x14ac:dyDescent="0.25">
      <c r="A4459" s="1" t="s">
        <v>4582</v>
      </c>
      <c r="B4459" s="76">
        <v>74.529999000000004</v>
      </c>
      <c r="C4459" s="76">
        <v>74.589995999999999</v>
      </c>
      <c r="D4459" s="76">
        <v>73.330001999999993</v>
      </c>
      <c r="E4459" s="76">
        <v>73.370002999999997</v>
      </c>
      <c r="F4459" s="76">
        <v>72.775351999999998</v>
      </c>
      <c r="G4459" s="79">
        <v>1382700</v>
      </c>
    </row>
    <row r="4460" spans="1:7" x14ac:dyDescent="0.25">
      <c r="A4460" s="1" t="s">
        <v>4583</v>
      </c>
      <c r="B4460" s="76">
        <v>73.370002999999997</v>
      </c>
      <c r="C4460" s="76">
        <v>73.860000999999997</v>
      </c>
      <c r="D4460" s="76">
        <v>72.769997000000004</v>
      </c>
      <c r="E4460" s="76">
        <v>73.830001999999993</v>
      </c>
      <c r="F4460" s="76">
        <v>73.231620999999905</v>
      </c>
      <c r="G4460" s="79">
        <v>1025300</v>
      </c>
    </row>
    <row r="4461" spans="1:7" x14ac:dyDescent="0.25">
      <c r="A4461" s="1" t="s">
        <v>4584</v>
      </c>
      <c r="B4461" s="76">
        <v>73.910004000000001</v>
      </c>
      <c r="C4461" s="76">
        <v>75.809997999999993</v>
      </c>
      <c r="D4461" s="76">
        <v>73.889999000000003</v>
      </c>
      <c r="E4461" s="76">
        <v>75.629997000000003</v>
      </c>
      <c r="F4461" s="76">
        <v>75.017028999999994</v>
      </c>
      <c r="G4461" s="79">
        <v>1270700</v>
      </c>
    </row>
    <row r="4462" spans="1:7" x14ac:dyDescent="0.25">
      <c r="A4462" s="1" t="s">
        <v>4585</v>
      </c>
      <c r="B4462" s="76">
        <v>75.639999000000003</v>
      </c>
      <c r="C4462" s="76">
        <v>76.089995999999999</v>
      </c>
      <c r="D4462" s="76">
        <v>75.260002</v>
      </c>
      <c r="E4462" s="76">
        <v>75.660004000000001</v>
      </c>
      <c r="F4462" s="76">
        <v>75.046790999999999</v>
      </c>
      <c r="G4462" s="79">
        <v>2078800</v>
      </c>
    </row>
    <row r="4463" spans="1:7" x14ac:dyDescent="0.25">
      <c r="A4463" s="1" t="s">
        <v>4586</v>
      </c>
      <c r="B4463" s="76">
        <v>75.660004000000001</v>
      </c>
      <c r="C4463" s="76">
        <v>76.360000999999997</v>
      </c>
      <c r="D4463" s="76">
        <v>75.430000000000007</v>
      </c>
      <c r="E4463" s="76">
        <v>76.110000999999997</v>
      </c>
      <c r="F4463" s="76">
        <v>75.493140999999994</v>
      </c>
      <c r="G4463" s="79">
        <v>869000</v>
      </c>
    </row>
    <row r="4464" spans="1:7" x14ac:dyDescent="0.25">
      <c r="A4464" s="1" t="s">
        <v>4587</v>
      </c>
      <c r="B4464" s="76">
        <v>76.099997999999999</v>
      </c>
      <c r="C4464" s="76">
        <v>77.150002000000001</v>
      </c>
      <c r="D4464" s="76">
        <v>75.800003000000004</v>
      </c>
      <c r="E4464" s="76">
        <v>76.959998999999996</v>
      </c>
      <c r="F4464" s="76">
        <v>76.336250000000007</v>
      </c>
      <c r="G4464" s="79">
        <v>1570800</v>
      </c>
    </row>
    <row r="4465" spans="1:7" x14ac:dyDescent="0.25">
      <c r="A4465" s="1" t="s">
        <v>4588</v>
      </c>
      <c r="B4465" s="76">
        <v>76.800003000000004</v>
      </c>
      <c r="C4465" s="76">
        <v>77.019997000000004</v>
      </c>
      <c r="D4465" s="76">
        <v>76.449996999999996</v>
      </c>
      <c r="E4465" s="76">
        <v>76.849997999999999</v>
      </c>
      <c r="F4465" s="76">
        <v>76.227142000000001</v>
      </c>
      <c r="G4465" s="79">
        <v>1644700</v>
      </c>
    </row>
    <row r="4466" spans="1:7" x14ac:dyDescent="0.25">
      <c r="A4466" s="1" t="s">
        <v>4589</v>
      </c>
      <c r="B4466" s="76">
        <v>76.830001999999993</v>
      </c>
      <c r="C4466" s="76">
        <v>77.569999999999993</v>
      </c>
      <c r="D4466" s="76">
        <v>76.669997999999893</v>
      </c>
      <c r="E4466" s="76">
        <v>77.300003000000004</v>
      </c>
      <c r="F4466" s="76">
        <v>76.673500000000004</v>
      </c>
      <c r="G4466" s="79">
        <v>1266700</v>
      </c>
    </row>
    <row r="4467" spans="1:7" x14ac:dyDescent="0.25">
      <c r="A4467" s="1" t="s">
        <v>4590</v>
      </c>
      <c r="B4467" s="76">
        <v>77.199996999999996</v>
      </c>
      <c r="C4467" s="76">
        <v>77.489998</v>
      </c>
      <c r="D4467" s="76">
        <v>76.319999999999993</v>
      </c>
      <c r="E4467" s="76">
        <v>76.879997000000003</v>
      </c>
      <c r="F4467" s="76">
        <v>76.256896999999995</v>
      </c>
      <c r="G4467" s="79">
        <v>1400400</v>
      </c>
    </row>
    <row r="4468" spans="1:7" x14ac:dyDescent="0.25">
      <c r="A4468" s="1" t="s">
        <v>4591</v>
      </c>
      <c r="B4468" s="76">
        <v>77</v>
      </c>
      <c r="C4468" s="76">
        <v>77.360000999999997</v>
      </c>
      <c r="D4468" s="76">
        <v>76.580001999999993</v>
      </c>
      <c r="E4468" s="76">
        <v>77.010002</v>
      </c>
      <c r="F4468" s="76">
        <v>76.385848999999993</v>
      </c>
      <c r="G4468" s="79">
        <v>849600</v>
      </c>
    </row>
    <row r="4469" spans="1:7" x14ac:dyDescent="0.25">
      <c r="A4469" s="1" t="s">
        <v>4592</v>
      </c>
      <c r="B4469" s="76">
        <v>77.050003000000004</v>
      </c>
      <c r="C4469" s="76">
        <v>77.330001999999993</v>
      </c>
      <c r="D4469" s="76">
        <v>76.720000999999996</v>
      </c>
      <c r="E4469" s="76">
        <v>77.290001000000004</v>
      </c>
      <c r="F4469" s="76">
        <v>76.663581999999906</v>
      </c>
      <c r="G4469" s="79">
        <v>777000</v>
      </c>
    </row>
    <row r="4470" spans="1:7" x14ac:dyDescent="0.25">
      <c r="A4470" s="1" t="s">
        <v>4593</v>
      </c>
      <c r="B4470" s="76">
        <v>77.319999999999993</v>
      </c>
      <c r="C4470" s="76">
        <v>77.669997999999893</v>
      </c>
      <c r="D4470" s="76">
        <v>77.029999000000004</v>
      </c>
      <c r="E4470" s="76">
        <v>77.660004000000001</v>
      </c>
      <c r="F4470" s="76">
        <v>77.030586</v>
      </c>
      <c r="G4470" s="79">
        <v>611000</v>
      </c>
    </row>
    <row r="4471" spans="1:7" x14ac:dyDescent="0.25">
      <c r="A4471" s="1" t="s">
        <v>4594</v>
      </c>
      <c r="B4471" s="76">
        <v>77.779999000000004</v>
      </c>
      <c r="C4471" s="76">
        <v>78.860000999999997</v>
      </c>
      <c r="D4471" s="76">
        <v>77.650002000000001</v>
      </c>
      <c r="E4471" s="76">
        <v>78.139999000000003</v>
      </c>
      <c r="F4471" s="76">
        <v>77.506691000000004</v>
      </c>
      <c r="G4471" s="79">
        <v>925000</v>
      </c>
    </row>
    <row r="4472" spans="1:7" x14ac:dyDescent="0.25">
      <c r="A4472" s="1" t="s">
        <v>4595</v>
      </c>
      <c r="B4472" s="76">
        <v>78.010002</v>
      </c>
      <c r="C4472" s="76">
        <v>78.190002000000007</v>
      </c>
      <c r="D4472" s="76">
        <v>77.290001000000004</v>
      </c>
      <c r="E4472" s="76">
        <v>78.089995999999999</v>
      </c>
      <c r="F4472" s="76">
        <v>77.457092000000003</v>
      </c>
      <c r="G4472" s="79">
        <v>437500</v>
      </c>
    </row>
    <row r="4473" spans="1:7" x14ac:dyDescent="0.25">
      <c r="A4473" s="1" t="s">
        <v>4596</v>
      </c>
      <c r="B4473" s="76">
        <v>77.970000999999996</v>
      </c>
      <c r="C4473" s="76">
        <v>78.25</v>
      </c>
      <c r="D4473" s="76">
        <v>77.699996999999996</v>
      </c>
      <c r="E4473" s="76">
        <v>77.800003000000004</v>
      </c>
      <c r="F4473" s="76">
        <v>77.169449</v>
      </c>
      <c r="G4473" s="79">
        <v>677200</v>
      </c>
    </row>
    <row r="4474" spans="1:7" x14ac:dyDescent="0.25">
      <c r="A4474" s="1" t="s">
        <v>4597</v>
      </c>
      <c r="B4474" s="76">
        <v>78.889999000000003</v>
      </c>
      <c r="C4474" s="76">
        <v>79.709998999999996</v>
      </c>
      <c r="D4474" s="76">
        <v>78.319999999999993</v>
      </c>
      <c r="E4474" s="76">
        <v>78.930000000000007</v>
      </c>
      <c r="F4474" s="76">
        <v>78.290290999999996</v>
      </c>
      <c r="G4474" s="79">
        <v>1353800</v>
      </c>
    </row>
    <row r="4475" spans="1:7" x14ac:dyDescent="0.25">
      <c r="A4475" s="1" t="s">
        <v>4598</v>
      </c>
      <c r="B4475" s="76">
        <v>78.949996999999996</v>
      </c>
      <c r="C4475" s="76">
        <v>79.800003000000004</v>
      </c>
      <c r="D4475" s="76">
        <v>78.720000999999996</v>
      </c>
      <c r="E4475" s="76">
        <v>79.360000999999997</v>
      </c>
      <c r="F4475" s="76">
        <v>78.716804999999994</v>
      </c>
      <c r="G4475" s="79">
        <v>1078800</v>
      </c>
    </row>
    <row r="4476" spans="1:7" x14ac:dyDescent="0.25">
      <c r="A4476" s="1" t="s">
        <v>4599</v>
      </c>
      <c r="B4476" s="76">
        <v>79.300003000000004</v>
      </c>
      <c r="C4476" s="76">
        <v>79.589995999999999</v>
      </c>
      <c r="D4476" s="76">
        <v>78.900002000000001</v>
      </c>
      <c r="E4476" s="76">
        <v>79.569999999999993</v>
      </c>
      <c r="F4476" s="76">
        <v>78.925101999999995</v>
      </c>
      <c r="G4476" s="79">
        <v>806700</v>
      </c>
    </row>
    <row r="4477" spans="1:7" x14ac:dyDescent="0.25">
      <c r="A4477" s="1" t="s">
        <v>4600</v>
      </c>
      <c r="B4477" s="76">
        <v>79.970000999999996</v>
      </c>
      <c r="C4477" s="76">
        <v>80.300003000000004</v>
      </c>
      <c r="D4477" s="76">
        <v>79.419997999999893</v>
      </c>
      <c r="E4477" s="76">
        <v>79.889999000000003</v>
      </c>
      <c r="F4477" s="76">
        <v>79.242508000000001</v>
      </c>
      <c r="G4477" s="79">
        <v>610800</v>
      </c>
    </row>
    <row r="4478" spans="1:7" x14ac:dyDescent="0.25">
      <c r="A4478" s="1" t="s">
        <v>4601</v>
      </c>
      <c r="B4478" s="76">
        <v>79.860000999999997</v>
      </c>
      <c r="C4478" s="76">
        <v>79.959998999999996</v>
      </c>
      <c r="D4478" s="76">
        <v>78.889999000000003</v>
      </c>
      <c r="E4478" s="76">
        <v>78.930000000000007</v>
      </c>
      <c r="F4478" s="76">
        <v>78.290290999999996</v>
      </c>
      <c r="G4478" s="79">
        <v>921400</v>
      </c>
    </row>
    <row r="4479" spans="1:7" x14ac:dyDescent="0.25">
      <c r="A4479" s="1" t="s">
        <v>4602</v>
      </c>
      <c r="B4479" s="76">
        <v>78.639999000000003</v>
      </c>
      <c r="C4479" s="76">
        <v>79.150002000000001</v>
      </c>
      <c r="D4479" s="76">
        <v>78.180000000000007</v>
      </c>
      <c r="E4479" s="76">
        <v>78.279999000000004</v>
      </c>
      <c r="F4479" s="76">
        <v>77.645554000000004</v>
      </c>
      <c r="G4479" s="79">
        <v>704500</v>
      </c>
    </row>
    <row r="4480" spans="1:7" x14ac:dyDescent="0.25">
      <c r="A4480" s="1" t="s">
        <v>4603</v>
      </c>
      <c r="B4480" s="76">
        <v>78.220000999999996</v>
      </c>
      <c r="C4480" s="76">
        <v>78.510002</v>
      </c>
      <c r="D4480" s="76">
        <v>76.769997000000004</v>
      </c>
      <c r="E4480" s="76">
        <v>77</v>
      </c>
      <c r="F4480" s="76">
        <v>76.375930999999994</v>
      </c>
      <c r="G4480" s="79">
        <v>1554600</v>
      </c>
    </row>
    <row r="4481" spans="1:7" x14ac:dyDescent="0.25">
      <c r="A4481" s="1" t="s">
        <v>4604</v>
      </c>
      <c r="B4481" s="76">
        <v>76.839995999999999</v>
      </c>
      <c r="C4481" s="76">
        <v>76.839995999999999</v>
      </c>
      <c r="D4481" s="76">
        <v>74.730002999999996</v>
      </c>
      <c r="E4481" s="76">
        <v>74.849997999999999</v>
      </c>
      <c r="F4481" s="76">
        <v>74.243354999999994</v>
      </c>
      <c r="G4481" s="79">
        <v>2364600</v>
      </c>
    </row>
    <row r="4482" spans="1:7" x14ac:dyDescent="0.25">
      <c r="A4482" s="1" t="s">
        <v>4605</v>
      </c>
      <c r="B4482" s="76">
        <v>74.720000999999996</v>
      </c>
      <c r="C4482" s="76">
        <v>74.919997999999893</v>
      </c>
      <c r="D4482" s="76">
        <v>73.660004000000001</v>
      </c>
      <c r="E4482" s="76">
        <v>74.5</v>
      </c>
      <c r="F4482" s="76">
        <v>73.896193999999994</v>
      </c>
      <c r="G4482" s="79">
        <v>1921300</v>
      </c>
    </row>
    <row r="4483" spans="1:7" x14ac:dyDescent="0.25">
      <c r="A4483" s="1" t="s">
        <v>4606</v>
      </c>
      <c r="B4483" s="76">
        <v>74.830001999999993</v>
      </c>
      <c r="C4483" s="76">
        <v>74.940002000000007</v>
      </c>
      <c r="D4483" s="76">
        <v>74.269997000000004</v>
      </c>
      <c r="E4483" s="76">
        <v>74.569999999999993</v>
      </c>
      <c r="F4483" s="76">
        <v>73.965621999999996</v>
      </c>
      <c r="G4483" s="79">
        <v>838200</v>
      </c>
    </row>
    <row r="4484" spans="1:7" x14ac:dyDescent="0.25">
      <c r="A4484" s="1" t="s">
        <v>4607</v>
      </c>
      <c r="B4484" s="76">
        <v>74.449996999999996</v>
      </c>
      <c r="C4484" s="76">
        <v>74.510002</v>
      </c>
      <c r="D4484" s="76">
        <v>73.430000000000007</v>
      </c>
      <c r="E4484" s="76">
        <v>73.639999000000003</v>
      </c>
      <c r="F4484" s="76">
        <v>73.043159000000003</v>
      </c>
      <c r="G4484" s="79">
        <v>830300</v>
      </c>
    </row>
    <row r="4485" spans="1:7" x14ac:dyDescent="0.25">
      <c r="A4485" s="1" t="s">
        <v>4608</v>
      </c>
      <c r="B4485" s="76">
        <v>73.610000999999997</v>
      </c>
      <c r="C4485" s="76">
        <v>73.720000999999996</v>
      </c>
      <c r="D4485" s="76">
        <v>72.410004000000001</v>
      </c>
      <c r="E4485" s="76">
        <v>72.809997999999993</v>
      </c>
      <c r="F4485" s="76">
        <v>72.219887</v>
      </c>
      <c r="G4485" s="79">
        <v>944300</v>
      </c>
    </row>
    <row r="4486" spans="1:7" x14ac:dyDescent="0.25">
      <c r="A4486" s="1" t="s">
        <v>4609</v>
      </c>
      <c r="B4486" s="76">
        <v>73.319999999999993</v>
      </c>
      <c r="C4486" s="76">
        <v>73.449996999999996</v>
      </c>
      <c r="D4486" s="76">
        <v>72.519997000000004</v>
      </c>
      <c r="E4486" s="76">
        <v>72.980002999999996</v>
      </c>
      <c r="F4486" s="76">
        <v>72.388512000000006</v>
      </c>
      <c r="G4486" s="79">
        <v>886200</v>
      </c>
    </row>
    <row r="4487" spans="1:7" x14ac:dyDescent="0.25">
      <c r="A4487" s="1" t="s">
        <v>4610</v>
      </c>
      <c r="B4487" s="76">
        <v>72.849997999999999</v>
      </c>
      <c r="C4487" s="76">
        <v>73.129997000000003</v>
      </c>
      <c r="D4487" s="76">
        <v>72.269997000000004</v>
      </c>
      <c r="E4487" s="76">
        <v>72.919997999999893</v>
      </c>
      <c r="F4487" s="76">
        <v>72.328994999999907</v>
      </c>
      <c r="G4487" s="79">
        <v>782900</v>
      </c>
    </row>
    <row r="4488" spans="1:7" x14ac:dyDescent="0.25">
      <c r="A4488" s="1" t="s">
        <v>4611</v>
      </c>
      <c r="B4488" s="76">
        <v>72.75</v>
      </c>
      <c r="C4488" s="76">
        <v>73.019997000000004</v>
      </c>
      <c r="D4488" s="76">
        <v>71.900002000000001</v>
      </c>
      <c r="E4488" s="76">
        <v>72.379997000000003</v>
      </c>
      <c r="F4488" s="76">
        <v>71.793373000000003</v>
      </c>
      <c r="G4488" s="79">
        <v>1217400</v>
      </c>
    </row>
    <row r="4489" spans="1:7" x14ac:dyDescent="0.25">
      <c r="A4489" s="1" t="s">
        <v>4612</v>
      </c>
      <c r="B4489" s="76">
        <v>73.449996999999996</v>
      </c>
      <c r="C4489" s="76">
        <v>75.069999999999993</v>
      </c>
      <c r="D4489" s="76">
        <v>72.370002999999997</v>
      </c>
      <c r="E4489" s="76">
        <v>74.860000999999997</v>
      </c>
      <c r="F4489" s="76">
        <v>74.253272999999993</v>
      </c>
      <c r="G4489" s="79">
        <v>1793800</v>
      </c>
    </row>
    <row r="4490" spans="1:7" x14ac:dyDescent="0.25">
      <c r="A4490" s="1" t="s">
        <v>4613</v>
      </c>
      <c r="B4490" s="76">
        <v>74.889999000000003</v>
      </c>
      <c r="C4490" s="76">
        <v>75</v>
      </c>
      <c r="D4490" s="76">
        <v>74.25</v>
      </c>
      <c r="E4490" s="76">
        <v>74.599997999999999</v>
      </c>
      <c r="F4490" s="76">
        <v>73.995377000000005</v>
      </c>
      <c r="G4490" s="79">
        <v>1122300</v>
      </c>
    </row>
    <row r="4491" spans="1:7" x14ac:dyDescent="0.25">
      <c r="A4491" s="1" t="s">
        <v>4614</v>
      </c>
      <c r="B4491" s="76">
        <v>74.569999999999993</v>
      </c>
      <c r="C4491" s="76">
        <v>74.830001999999993</v>
      </c>
      <c r="D4491" s="76">
        <v>73.599997999999999</v>
      </c>
      <c r="E4491" s="76">
        <v>74.029999000000004</v>
      </c>
      <c r="F4491" s="76">
        <v>73.430000000000007</v>
      </c>
      <c r="G4491" s="79">
        <v>1055200</v>
      </c>
    </row>
    <row r="4492" spans="1:7" x14ac:dyDescent="0.25">
      <c r="A4492" s="1" t="s">
        <v>4615</v>
      </c>
      <c r="B4492" s="76">
        <v>72.970000999999996</v>
      </c>
      <c r="C4492" s="76">
        <v>73.5</v>
      </c>
      <c r="D4492" s="76">
        <v>72.760002</v>
      </c>
      <c r="E4492" s="76">
        <v>73.25</v>
      </c>
      <c r="F4492" s="76">
        <v>73.25</v>
      </c>
      <c r="G4492" s="79">
        <v>1033500</v>
      </c>
    </row>
    <row r="4493" spans="1:7" x14ac:dyDescent="0.25">
      <c r="A4493" s="1" t="s">
        <v>4616</v>
      </c>
      <c r="B4493" s="76">
        <v>73.540001000000004</v>
      </c>
      <c r="C4493" s="76">
        <v>74.519997000000004</v>
      </c>
      <c r="D4493" s="76">
        <v>73.410004000000001</v>
      </c>
      <c r="E4493" s="76">
        <v>74.25</v>
      </c>
      <c r="F4493" s="76">
        <v>74.25</v>
      </c>
      <c r="G4493" s="79">
        <v>1137900</v>
      </c>
    </row>
    <row r="4494" spans="1:7" x14ac:dyDescent="0.25">
      <c r="A4494" s="1" t="s">
        <v>4617</v>
      </c>
      <c r="B4494" s="76">
        <v>74.300003000000004</v>
      </c>
      <c r="C4494" s="76">
        <v>75.349997999999999</v>
      </c>
      <c r="D4494" s="76">
        <v>73.860000999999997</v>
      </c>
      <c r="E4494" s="76">
        <v>73.970000999999996</v>
      </c>
      <c r="F4494" s="76">
        <v>73.970000999999996</v>
      </c>
      <c r="G4494" s="79">
        <v>1014700</v>
      </c>
    </row>
    <row r="4495" spans="1:7" x14ac:dyDescent="0.25">
      <c r="A4495" s="1" t="s">
        <v>4618</v>
      </c>
      <c r="B4495" s="76">
        <v>74</v>
      </c>
      <c r="C4495" s="76">
        <v>74.75</v>
      </c>
      <c r="D4495" s="76">
        <v>74</v>
      </c>
      <c r="E4495" s="76">
        <v>74.239998</v>
      </c>
      <c r="F4495" s="76">
        <v>74.239998</v>
      </c>
      <c r="G4495" s="79">
        <v>1372000</v>
      </c>
    </row>
    <row r="4496" spans="1:7" x14ac:dyDescent="0.25">
      <c r="A4496" s="1" t="s">
        <v>4619</v>
      </c>
      <c r="B4496" s="76">
        <v>74.069999999999993</v>
      </c>
      <c r="C4496" s="76">
        <v>75.449996999999996</v>
      </c>
      <c r="D4496" s="76">
        <v>73.779999000000004</v>
      </c>
      <c r="E4496" s="76">
        <v>75.260002</v>
      </c>
      <c r="F4496" s="76">
        <v>75.260002</v>
      </c>
      <c r="G4496" s="79">
        <v>1699700</v>
      </c>
    </row>
    <row r="4497" spans="1:7" x14ac:dyDescent="0.25">
      <c r="A4497" s="1" t="s">
        <v>4620</v>
      </c>
      <c r="B4497" s="76">
        <v>74.870002999999997</v>
      </c>
      <c r="C4497" s="76">
        <v>76.190002000000007</v>
      </c>
      <c r="D4497" s="76">
        <v>74.870002999999997</v>
      </c>
      <c r="E4497" s="76">
        <v>75.610000999999997</v>
      </c>
      <c r="F4497" s="76">
        <v>75.610000999999997</v>
      </c>
      <c r="G4497" s="79">
        <v>763900</v>
      </c>
    </row>
    <row r="4498" spans="1:7" x14ac:dyDescent="0.25">
      <c r="A4498" s="1" t="s">
        <v>4621</v>
      </c>
      <c r="B4498" s="76">
        <v>75.459998999999996</v>
      </c>
      <c r="C4498" s="76">
        <v>76.069999999999993</v>
      </c>
      <c r="D4498" s="76">
        <v>75.260002</v>
      </c>
      <c r="E4498" s="76">
        <v>75.970000999999996</v>
      </c>
      <c r="F4498" s="76">
        <v>75.970000999999996</v>
      </c>
      <c r="G4498" s="79">
        <v>792100</v>
      </c>
    </row>
    <row r="4499" spans="1:7" x14ac:dyDescent="0.25">
      <c r="A4499" s="1" t="s">
        <v>4622</v>
      </c>
      <c r="B4499" s="76">
        <v>75.930000000000007</v>
      </c>
      <c r="C4499" s="76">
        <v>76.360000999999997</v>
      </c>
      <c r="D4499" s="76">
        <v>75.610000999999997</v>
      </c>
      <c r="E4499" s="76">
        <v>76.139999000000003</v>
      </c>
      <c r="F4499" s="76">
        <v>76.139999000000003</v>
      </c>
      <c r="G4499" s="79">
        <v>1094500</v>
      </c>
    </row>
    <row r="4500" spans="1:7" x14ac:dyDescent="0.25">
      <c r="A4500" s="1" t="s">
        <v>4623</v>
      </c>
      <c r="B4500" s="76">
        <v>76.110000999999997</v>
      </c>
      <c r="C4500" s="76">
        <v>76.879997000000003</v>
      </c>
      <c r="D4500" s="76">
        <v>75.540001000000004</v>
      </c>
      <c r="E4500" s="76">
        <v>76.629997000000003</v>
      </c>
      <c r="F4500" s="76">
        <v>76.629997000000003</v>
      </c>
      <c r="G4500" s="79">
        <v>951400</v>
      </c>
    </row>
    <row r="4501" spans="1:7" x14ac:dyDescent="0.25">
      <c r="A4501" s="1" t="s">
        <v>4624</v>
      </c>
      <c r="B4501" s="76">
        <v>76.550003000000004</v>
      </c>
      <c r="C4501" s="76">
        <v>77.220000999999996</v>
      </c>
      <c r="D4501" s="76">
        <v>76.489998</v>
      </c>
      <c r="E4501" s="76">
        <v>76.819999999999993</v>
      </c>
      <c r="F4501" s="76">
        <v>76.819999999999993</v>
      </c>
      <c r="G4501" s="79">
        <v>981200</v>
      </c>
    </row>
    <row r="4502" spans="1:7" x14ac:dyDescent="0.25">
      <c r="A4502" s="1" t="s">
        <v>4625</v>
      </c>
      <c r="B4502" s="76">
        <v>76.569999999999993</v>
      </c>
      <c r="C4502" s="76">
        <v>77.069999999999993</v>
      </c>
      <c r="D4502" s="76">
        <v>76.440002000000007</v>
      </c>
      <c r="E4502" s="76">
        <v>76.599997999999999</v>
      </c>
      <c r="F4502" s="76">
        <v>76.599997999999999</v>
      </c>
      <c r="G4502" s="79">
        <v>509800</v>
      </c>
    </row>
    <row r="4503" spans="1:7" x14ac:dyDescent="0.25">
      <c r="A4503" s="1" t="s">
        <v>4626</v>
      </c>
      <c r="B4503" s="76">
        <v>76.480002999999996</v>
      </c>
      <c r="C4503" s="76">
        <v>76.620002999999997</v>
      </c>
      <c r="D4503" s="76">
        <v>75.709998999999996</v>
      </c>
      <c r="E4503" s="76">
        <v>76.260002</v>
      </c>
      <c r="F4503" s="76">
        <v>76.260002</v>
      </c>
      <c r="G4503" s="79">
        <v>740200</v>
      </c>
    </row>
    <row r="4504" spans="1:7" x14ac:dyDescent="0.25">
      <c r="A4504" s="1" t="s">
        <v>4627</v>
      </c>
      <c r="B4504" s="76">
        <v>76.360000999999997</v>
      </c>
      <c r="C4504" s="76">
        <v>76.739998</v>
      </c>
      <c r="D4504" s="76">
        <v>76.209998999999996</v>
      </c>
      <c r="E4504" s="76">
        <v>76.639999000000003</v>
      </c>
      <c r="F4504" s="76">
        <v>76.639999000000003</v>
      </c>
      <c r="G4504" s="79">
        <v>681700</v>
      </c>
    </row>
    <row r="4505" spans="1:7" x14ac:dyDescent="0.25">
      <c r="A4505" s="1" t="s">
        <v>4628</v>
      </c>
      <c r="B4505" s="76">
        <v>76.419997999999893</v>
      </c>
      <c r="C4505" s="76">
        <v>77.089995999999999</v>
      </c>
      <c r="D4505" s="76">
        <v>76.260002</v>
      </c>
      <c r="E4505" s="76">
        <v>76.75</v>
      </c>
      <c r="F4505" s="76">
        <v>76.75</v>
      </c>
      <c r="G4505" s="79">
        <v>476800</v>
      </c>
    </row>
    <row r="4506" spans="1:7" x14ac:dyDescent="0.25">
      <c r="A4506" s="1" t="s">
        <v>4629</v>
      </c>
      <c r="B4506" s="76">
        <v>76.75</v>
      </c>
      <c r="C4506" s="76">
        <v>76.940002000000007</v>
      </c>
      <c r="D4506" s="76">
        <v>76.029999000000004</v>
      </c>
      <c r="E4506" s="76">
        <v>76.150002000000001</v>
      </c>
      <c r="F4506" s="76">
        <v>76.150002000000001</v>
      </c>
      <c r="G4506" s="79">
        <v>261000</v>
      </c>
    </row>
    <row r="4507" spans="1:7" x14ac:dyDescent="0.25">
      <c r="A4507" s="1" t="s">
        <v>4630</v>
      </c>
      <c r="B4507" s="76">
        <v>76.230002999999996</v>
      </c>
      <c r="C4507" s="76">
        <v>76.529999000000004</v>
      </c>
      <c r="D4507" s="76">
        <v>75.940002000000007</v>
      </c>
      <c r="E4507" s="76">
        <v>76.290001000000004</v>
      </c>
      <c r="F4507" s="76">
        <v>76.290001000000004</v>
      </c>
      <c r="G4507" s="79">
        <v>427900</v>
      </c>
    </row>
    <row r="4508" spans="1:7" x14ac:dyDescent="0.25">
      <c r="A4508" s="1" t="s">
        <v>4631</v>
      </c>
      <c r="B4508" s="76">
        <v>76.199996999999996</v>
      </c>
      <c r="C4508" s="76">
        <v>76.870002999999997</v>
      </c>
      <c r="D4508" s="76">
        <v>76.059997999999993</v>
      </c>
      <c r="E4508" s="76">
        <v>76.720000999999996</v>
      </c>
      <c r="F4508" s="76">
        <v>76.720000999999996</v>
      </c>
      <c r="G4508" s="79">
        <v>644000</v>
      </c>
    </row>
    <row r="4509" spans="1:7" x14ac:dyDescent="0.25">
      <c r="A4509" s="1" t="s">
        <v>4632</v>
      </c>
      <c r="B4509" s="76">
        <v>76.720000999999996</v>
      </c>
      <c r="C4509" s="76">
        <v>77.129997000000003</v>
      </c>
      <c r="D4509" s="76">
        <v>76.430000000000007</v>
      </c>
      <c r="E4509" s="76">
        <v>76.930000000000007</v>
      </c>
      <c r="F4509" s="76">
        <v>76.930000000000007</v>
      </c>
      <c r="G4509" s="79">
        <v>1347500</v>
      </c>
    </row>
    <row r="4510" spans="1:7" x14ac:dyDescent="0.25">
      <c r="A4510" s="1" t="s">
        <v>4633</v>
      </c>
      <c r="B4510" s="76">
        <v>77.449996999999996</v>
      </c>
      <c r="C4510" s="76">
        <v>77.839995999999999</v>
      </c>
      <c r="D4510" s="76">
        <v>77.139999000000003</v>
      </c>
      <c r="E4510" s="76">
        <v>77.620002999999997</v>
      </c>
      <c r="F4510" s="76">
        <v>77.620002999999997</v>
      </c>
      <c r="G4510" s="79">
        <v>1392300</v>
      </c>
    </row>
    <row r="4511" spans="1:7" x14ac:dyDescent="0.25">
      <c r="A4511" s="1" t="s">
        <v>4634</v>
      </c>
      <c r="B4511" s="76">
        <v>77.779999000000004</v>
      </c>
      <c r="C4511" s="76">
        <v>78.300003000000004</v>
      </c>
      <c r="D4511" s="76">
        <v>77.449996999999996</v>
      </c>
      <c r="E4511" s="76">
        <v>77.919997999999893</v>
      </c>
      <c r="F4511" s="76">
        <v>77.919997999999893</v>
      </c>
      <c r="G4511" s="79">
        <v>1026900</v>
      </c>
    </row>
    <row r="4512" spans="1:7" x14ac:dyDescent="0.25">
      <c r="A4512" s="1" t="s">
        <v>4635</v>
      </c>
      <c r="B4512" s="76">
        <v>77.650002000000001</v>
      </c>
      <c r="C4512" s="76">
        <v>77.930000000000007</v>
      </c>
      <c r="D4512" s="76">
        <v>76.769997000000004</v>
      </c>
      <c r="E4512" s="76">
        <v>77.319999999999993</v>
      </c>
      <c r="F4512" s="76">
        <v>77.319999999999993</v>
      </c>
      <c r="G4512" s="79">
        <v>2248900</v>
      </c>
    </row>
    <row r="4513" spans="1:7" x14ac:dyDescent="0.25">
      <c r="A4513" s="1" t="s">
        <v>4636</v>
      </c>
      <c r="B4513" s="76">
        <v>77.290001000000004</v>
      </c>
      <c r="C4513" s="76">
        <v>77.669997999999893</v>
      </c>
      <c r="D4513" s="76">
        <v>76.709998999999996</v>
      </c>
      <c r="E4513" s="76">
        <v>76.910004000000001</v>
      </c>
      <c r="F4513" s="76">
        <v>76.910004000000001</v>
      </c>
      <c r="G4513" s="79">
        <v>1005500</v>
      </c>
    </row>
    <row r="4514" spans="1:7" x14ac:dyDescent="0.25">
      <c r="A4514" s="1" t="s">
        <v>4637</v>
      </c>
      <c r="B4514" s="76">
        <v>77.059997999999993</v>
      </c>
      <c r="C4514" s="76">
        <v>77.069999999999993</v>
      </c>
      <c r="D4514" s="76">
        <v>75.830001999999993</v>
      </c>
      <c r="E4514" s="76">
        <v>76.419997999999893</v>
      </c>
      <c r="F4514" s="76">
        <v>76.419997999999893</v>
      </c>
      <c r="G4514" s="79">
        <v>2176600</v>
      </c>
    </row>
    <row r="4515" spans="1:7" x14ac:dyDescent="0.25">
      <c r="A4515" s="1" t="s">
        <v>4638</v>
      </c>
      <c r="B4515" s="76">
        <v>76.129997000000003</v>
      </c>
      <c r="C4515" s="76">
        <v>76.220000999999996</v>
      </c>
      <c r="D4515" s="76">
        <v>75.269997000000004</v>
      </c>
      <c r="E4515" s="76">
        <v>76.059997999999993</v>
      </c>
      <c r="F4515" s="76">
        <v>76.059997999999993</v>
      </c>
      <c r="G4515" s="79">
        <v>1483300</v>
      </c>
    </row>
    <row r="4516" spans="1:7" x14ac:dyDescent="0.25">
      <c r="A4516" s="1" t="s">
        <v>4639</v>
      </c>
      <c r="B4516" s="76">
        <v>76.290001000000004</v>
      </c>
      <c r="C4516" s="76">
        <v>76.989998</v>
      </c>
      <c r="D4516" s="76">
        <v>75.900002000000001</v>
      </c>
      <c r="E4516" s="76">
        <v>76.989998</v>
      </c>
      <c r="F4516" s="76">
        <v>76.989998</v>
      </c>
      <c r="G4516" s="79">
        <v>953700</v>
      </c>
    </row>
    <row r="4517" spans="1:7" x14ac:dyDescent="0.25">
      <c r="A4517" s="1" t="s">
        <v>4640</v>
      </c>
      <c r="B4517" s="76">
        <v>77.019997000000004</v>
      </c>
      <c r="C4517" s="76">
        <v>77.319999999999993</v>
      </c>
      <c r="D4517" s="76">
        <v>76.690002000000007</v>
      </c>
      <c r="E4517" s="76">
        <v>77.010002</v>
      </c>
      <c r="F4517" s="76">
        <v>77.010002</v>
      </c>
      <c r="G4517" s="79">
        <v>892800</v>
      </c>
    </row>
    <row r="4518" spans="1:7" x14ac:dyDescent="0.25">
      <c r="A4518" s="1" t="s">
        <v>4641</v>
      </c>
      <c r="B4518" s="76">
        <v>77.300003000000004</v>
      </c>
      <c r="C4518" s="76">
        <v>78.019997000000004</v>
      </c>
      <c r="D4518" s="76">
        <v>77.040001000000004</v>
      </c>
      <c r="E4518" s="76">
        <v>77.709998999999996</v>
      </c>
      <c r="F4518" s="76">
        <v>77.709998999999996</v>
      </c>
      <c r="G4518" s="79">
        <v>908200</v>
      </c>
    </row>
    <row r="4519" spans="1:7" x14ac:dyDescent="0.25">
      <c r="A4519" s="1" t="s">
        <v>4642</v>
      </c>
      <c r="B4519" s="76">
        <v>77.819999999999993</v>
      </c>
      <c r="C4519" s="76">
        <v>78.309997999999993</v>
      </c>
      <c r="D4519" s="76">
        <v>77.379997000000003</v>
      </c>
      <c r="E4519" s="76">
        <v>77.419997999999893</v>
      </c>
      <c r="F4519" s="76">
        <v>77.419997999999893</v>
      </c>
      <c r="G4519" s="79">
        <v>1675900</v>
      </c>
    </row>
    <row r="4520" spans="1:7" x14ac:dyDescent="0.25">
      <c r="A4520" s="1" t="s">
        <v>4643</v>
      </c>
      <c r="B4520" s="76">
        <v>77.489998</v>
      </c>
      <c r="C4520" s="76">
        <v>77.650002000000001</v>
      </c>
      <c r="D4520" s="76">
        <v>77.230002999999996</v>
      </c>
      <c r="E4520" s="76">
        <v>77.480002999999996</v>
      </c>
      <c r="F4520" s="76">
        <v>77.480002999999996</v>
      </c>
      <c r="G4520" s="79">
        <v>1221400</v>
      </c>
    </row>
    <row r="4521" spans="1:7" x14ac:dyDescent="0.25">
      <c r="A4521" s="1" t="s">
        <v>4644</v>
      </c>
      <c r="B4521" s="76">
        <v>77.830001999999993</v>
      </c>
      <c r="C4521" s="76">
        <v>78.209998999999996</v>
      </c>
      <c r="D4521" s="76">
        <v>77.290001000000004</v>
      </c>
      <c r="E4521" s="76">
        <v>77.839995999999999</v>
      </c>
      <c r="F4521" s="76">
        <v>77.839995999999999</v>
      </c>
      <c r="G4521" s="79">
        <v>2111100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34506</xdr:colOff>
                <xdr:row>7</xdr:row>
                <xdr:rowOff>172528</xdr:rowOff>
              </from>
              <to>
                <xdr:col>13</xdr:col>
                <xdr:colOff>8626</xdr:colOff>
                <xdr:row>9</xdr:row>
                <xdr:rowOff>86264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05" customHeight="1" x14ac:dyDescent="0.25"/>
  <cols>
    <col min="17" max="17" width="16.875" bestFit="1" customWidth="1"/>
    <col min="18" max="18" width="5" bestFit="1" customWidth="1"/>
    <col min="19" max="19" width="5.25" bestFit="1" customWidth="1"/>
    <col min="20" max="20" width="2.5" bestFit="1" customWidth="1"/>
    <col min="21" max="21" width="2.75" bestFit="1" customWidth="1"/>
    <col min="22" max="22" width="6.75" bestFit="1" customWidth="1"/>
    <col min="23" max="23" width="10.125" bestFit="1" customWidth="1"/>
    <col min="24" max="24" width="9.625" bestFit="1" customWidth="1"/>
  </cols>
  <sheetData>
    <row r="1" spans="16:25" ht="11.05" customHeight="1" thickBot="1" x14ac:dyDescent="0.3"/>
    <row r="2" spans="16:25" ht="11.05" customHeight="1" thickBot="1" x14ac:dyDescent="0.3">
      <c r="P2" s="36"/>
      <c r="Q2" s="40" t="s">
        <v>97</v>
      </c>
      <c r="R2" s="37"/>
      <c r="S2" s="37"/>
      <c r="T2" s="37"/>
      <c r="U2" s="37"/>
      <c r="V2" s="37"/>
      <c r="W2" s="37"/>
      <c r="X2" s="37"/>
      <c r="Y2" s="38"/>
    </row>
    <row r="3" spans="16:25" ht="11.05" customHeight="1" thickBot="1" x14ac:dyDescent="0.3">
      <c r="P3" s="39"/>
      <c r="Q3" s="64" t="s">
        <v>31</v>
      </c>
      <c r="R3" s="65" t="s">
        <v>41</v>
      </c>
      <c r="S3" s="65" t="s">
        <v>40</v>
      </c>
      <c r="T3" s="65" t="s">
        <v>36</v>
      </c>
      <c r="U3" s="65" t="s">
        <v>37</v>
      </c>
      <c r="V3" s="65" t="s">
        <v>50</v>
      </c>
      <c r="W3" s="69" t="s">
        <v>38</v>
      </c>
      <c r="X3" s="61" t="s">
        <v>106</v>
      </c>
      <c r="Y3" s="41"/>
    </row>
    <row r="4" spans="16:25" ht="11.05" customHeight="1" x14ac:dyDescent="0.25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05" customHeight="1" thickBot="1" x14ac:dyDescent="0.3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6"/>
  </cols>
  <sheetData>
    <row r="1" spans="1:60" ht="19.05" x14ac:dyDescent="0.35">
      <c r="A1" s="80" t="s">
        <v>29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N3" sqref="N3"/>
    </sheetView>
  </sheetViews>
  <sheetFormatPr defaultColWidth="9" defaultRowHeight="14.3" x14ac:dyDescent="0.25"/>
  <cols>
    <col min="1" max="1" width="20.25" style="6" bestFit="1" customWidth="1"/>
    <col min="2" max="2" width="42.5" style="7" bestFit="1" customWidth="1"/>
    <col min="3" max="7" width="9" style="6"/>
    <col min="8" max="9" width="10.5" style="6" bestFit="1" customWidth="1"/>
    <col min="10" max="10" width="13.25" style="6" bestFit="1" customWidth="1"/>
    <col min="11" max="12" width="9" style="6"/>
    <col min="13" max="13" width="19.625" style="6" bestFit="1" customWidth="1"/>
    <col min="14" max="14" width="5.625" style="6" bestFit="1" customWidth="1"/>
    <col min="15" max="16384" width="9" style="6"/>
  </cols>
  <sheetData>
    <row r="1" spans="1:14" x14ac:dyDescent="0.25">
      <c r="A1" s="2" t="s">
        <v>26</v>
      </c>
      <c r="B1" s="2" t="s">
        <v>27</v>
      </c>
      <c r="H1" s="22" t="s">
        <v>47</v>
      </c>
      <c r="I1" s="22" t="s">
        <v>46</v>
      </c>
      <c r="J1" s="71" t="s">
        <v>115</v>
      </c>
      <c r="M1" s="2" t="s">
        <v>87</v>
      </c>
      <c r="N1" s="2" t="s">
        <v>27</v>
      </c>
    </row>
    <row r="2" spans="1:14" x14ac:dyDescent="0.25">
      <c r="A2" s="8" t="s">
        <v>16</v>
      </c>
      <c r="B2" s="3" t="s">
        <v>18</v>
      </c>
      <c r="H2" s="23" t="s">
        <v>42</v>
      </c>
      <c r="I2" s="23" t="s">
        <v>48</v>
      </c>
      <c r="J2" s="72" t="s">
        <v>114</v>
      </c>
      <c r="M2" s="8" t="s">
        <v>88</v>
      </c>
      <c r="N2" s="8">
        <v>0</v>
      </c>
    </row>
    <row r="3" spans="1:14" x14ac:dyDescent="0.25">
      <c r="A3" s="8" t="s">
        <v>17</v>
      </c>
      <c r="B3" s="3" t="s">
        <v>19</v>
      </c>
      <c r="H3" s="23" t="s">
        <v>43</v>
      </c>
      <c r="I3" s="23" t="s">
        <v>98</v>
      </c>
      <c r="J3" s="72" t="s">
        <v>116</v>
      </c>
    </row>
    <row r="4" spans="1:14" x14ac:dyDescent="0.25">
      <c r="A4" s="8" t="s">
        <v>20</v>
      </c>
      <c r="B4" s="3" t="s">
        <v>21</v>
      </c>
      <c r="H4" s="23" t="s">
        <v>44</v>
      </c>
      <c r="I4" s="23" t="s">
        <v>49</v>
      </c>
      <c r="J4" s="72" t="s">
        <v>111</v>
      </c>
    </row>
    <row r="5" spans="1:14" x14ac:dyDescent="0.25">
      <c r="A5" s="8" t="s">
        <v>24</v>
      </c>
      <c r="B5" s="3" t="s">
        <v>25</v>
      </c>
      <c r="H5" s="23" t="s">
        <v>45</v>
      </c>
      <c r="I5" s="23" t="s">
        <v>51</v>
      </c>
      <c r="J5" s="72" t="s">
        <v>113</v>
      </c>
    </row>
    <row r="6" spans="1:14" x14ac:dyDescent="0.25">
      <c r="A6" s="4" t="s">
        <v>2</v>
      </c>
      <c r="B6" s="5">
        <v>100</v>
      </c>
      <c r="I6" s="23" t="s">
        <v>0</v>
      </c>
      <c r="J6" s="72" t="s">
        <v>117</v>
      </c>
    </row>
    <row r="7" spans="1:14" x14ac:dyDescent="0.25">
      <c r="A7" s="4" t="s">
        <v>3</v>
      </c>
      <c r="B7" s="5">
        <v>30</v>
      </c>
      <c r="I7" s="23" t="s">
        <v>36</v>
      </c>
      <c r="J7" s="72" t="s">
        <v>118</v>
      </c>
    </row>
    <row r="8" spans="1:14" x14ac:dyDescent="0.25">
      <c r="A8" s="4" t="s">
        <v>79</v>
      </c>
      <c r="B8" s="5">
        <v>120</v>
      </c>
      <c r="I8" s="23" t="s">
        <v>37</v>
      </c>
    </row>
    <row r="9" spans="1:14" x14ac:dyDescent="0.25">
      <c r="A9" s="4" t="s">
        <v>86</v>
      </c>
      <c r="B9" s="5">
        <v>200</v>
      </c>
    </row>
    <row r="10" spans="1:14" x14ac:dyDescent="0.25">
      <c r="A10" s="8" t="s">
        <v>4</v>
      </c>
      <c r="B10" s="3" t="s">
        <v>5</v>
      </c>
    </row>
    <row r="11" spans="1:14" x14ac:dyDescent="0.25">
      <c r="A11" s="8" t="s">
        <v>6</v>
      </c>
      <c r="B11" s="3" t="s">
        <v>7</v>
      </c>
    </row>
    <row r="12" spans="1:14" x14ac:dyDescent="0.25">
      <c r="A12" s="8" t="s">
        <v>13</v>
      </c>
      <c r="B12" s="3" t="s">
        <v>8</v>
      </c>
    </row>
    <row r="13" spans="1:14" x14ac:dyDescent="0.25">
      <c r="A13" s="8" t="s">
        <v>14</v>
      </c>
      <c r="B13" s="3" t="s">
        <v>9</v>
      </c>
    </row>
    <row r="14" spans="1:14" x14ac:dyDescent="0.25">
      <c r="A14" s="8" t="s">
        <v>12</v>
      </c>
      <c r="B14" s="3" t="s">
        <v>10</v>
      </c>
    </row>
    <row r="15" spans="1:14" x14ac:dyDescent="0.25">
      <c r="A15" s="8" t="s">
        <v>15</v>
      </c>
      <c r="B15" s="3" t="s">
        <v>11</v>
      </c>
    </row>
    <row r="16" spans="1:14" x14ac:dyDescent="0.25">
      <c r="A16" s="8" t="s">
        <v>22</v>
      </c>
      <c r="B16" s="3" t="str">
        <f>[0]!instrument_name</f>
        <v>FCB</v>
      </c>
    </row>
    <row r="17" spans="1:2" x14ac:dyDescent="0.25">
      <c r="A17" s="4" t="s">
        <v>23</v>
      </c>
      <c r="B17" s="26" t="str">
        <f>INDEX(dates_no_header,1)</f>
        <v>1999-12-31</v>
      </c>
    </row>
    <row r="18" spans="1:2" x14ac:dyDescent="0.25">
      <c r="A18" s="4" t="s">
        <v>28</v>
      </c>
      <c r="B18" s="5">
        <v>0</v>
      </c>
    </row>
    <row r="19" spans="1:2" x14ac:dyDescent="0.25">
      <c r="A19" s="8" t="s">
        <v>55</v>
      </c>
      <c r="B19" s="3" t="s">
        <v>100</v>
      </c>
    </row>
    <row r="20" spans="1:2" x14ac:dyDescent="0.25">
      <c r="A20" s="8" t="s">
        <v>56</v>
      </c>
      <c r="B20" s="3" t="s">
        <v>101</v>
      </c>
    </row>
    <row r="21" spans="1:2" x14ac:dyDescent="0.25">
      <c r="A21" s="8" t="s">
        <v>57</v>
      </c>
      <c r="B21" s="3" t="s">
        <v>102</v>
      </c>
    </row>
    <row r="22" spans="1:2" x14ac:dyDescent="0.25">
      <c r="A22" s="8" t="s">
        <v>58</v>
      </c>
      <c r="B22" s="3" t="s">
        <v>103</v>
      </c>
    </row>
    <row r="23" spans="1:2" x14ac:dyDescent="0.25">
      <c r="A23" s="8" t="s">
        <v>59</v>
      </c>
      <c r="B23" s="3" t="s">
        <v>104</v>
      </c>
    </row>
    <row r="24" spans="1:2" x14ac:dyDescent="0.25">
      <c r="A24" s="8" t="s">
        <v>60</v>
      </c>
      <c r="B24" s="3" t="s">
        <v>78</v>
      </c>
    </row>
    <row r="25" spans="1:2" x14ac:dyDescent="0.25">
      <c r="A25" s="8" t="s">
        <v>61</v>
      </c>
      <c r="B25" s="3" t="s">
        <v>89</v>
      </c>
    </row>
    <row r="26" spans="1:2" x14ac:dyDescent="0.25">
      <c r="A26" s="8" t="s">
        <v>62</v>
      </c>
      <c r="B26" s="3" t="s">
        <v>90</v>
      </c>
    </row>
    <row r="27" spans="1:2" x14ac:dyDescent="0.25">
      <c r="A27" s="8" t="s">
        <v>96</v>
      </c>
      <c r="B27" s="3" t="s">
        <v>91</v>
      </c>
    </row>
    <row r="28" spans="1:2" x14ac:dyDescent="0.25">
      <c r="A28" s="8" t="s">
        <v>63</v>
      </c>
      <c r="B28" s="3" t="s">
        <v>92</v>
      </c>
    </row>
    <row r="29" spans="1:2" x14ac:dyDescent="0.25">
      <c r="A29" s="8" t="s">
        <v>64</v>
      </c>
      <c r="B29" s="3" t="s">
        <v>93</v>
      </c>
    </row>
    <row r="30" spans="1:2" x14ac:dyDescent="0.25">
      <c r="A30" s="8" t="s">
        <v>65</v>
      </c>
      <c r="B30" s="3" t="s">
        <v>94</v>
      </c>
    </row>
    <row r="31" spans="1:2" x14ac:dyDescent="0.25">
      <c r="A31" s="8" t="s">
        <v>66</v>
      </c>
      <c r="B31" s="3" t="s">
        <v>95</v>
      </c>
    </row>
    <row r="32" spans="1:2" x14ac:dyDescent="0.25">
      <c r="A32" s="8" t="s">
        <v>67</v>
      </c>
      <c r="B32" s="3" t="s">
        <v>73</v>
      </c>
    </row>
    <row r="33" spans="1:2" x14ac:dyDescent="0.25">
      <c r="A33" s="8" t="s">
        <v>68</v>
      </c>
      <c r="B33" s="3" t="str">
        <f>CONCATENATE("Sort Chart - ",instrument_name_rng)</f>
        <v>Sort Chart - FCB</v>
      </c>
    </row>
    <row r="34" spans="1:2" x14ac:dyDescent="0.25">
      <c r="A34" s="8" t="s">
        <v>69</v>
      </c>
      <c r="B34" s="3" t="s">
        <v>74</v>
      </c>
    </row>
    <row r="35" spans="1:2" x14ac:dyDescent="0.25">
      <c r="A35" s="8" t="s">
        <v>70</v>
      </c>
      <c r="B35" s="3" t="str">
        <f>CONCATENATE("Long Chart - ",instrument_name_rng)</f>
        <v>Long Chart - FCB</v>
      </c>
    </row>
    <row r="36" spans="1:2" x14ac:dyDescent="0.25">
      <c r="A36" s="8" t="s">
        <v>71</v>
      </c>
      <c r="B36" s="3" t="s">
        <v>75</v>
      </c>
    </row>
    <row r="37" spans="1:2" x14ac:dyDescent="0.25">
      <c r="A37" s="8" t="s">
        <v>72</v>
      </c>
      <c r="B37" s="3" t="str">
        <f>CONCATENATE("Close - SMAs 10-20-50 + Linear Regression
 - ",instrument_name_rng)</f>
        <v>Close - SMAs 10-20-50 + Linear Regression
 - FCB</v>
      </c>
    </row>
    <row r="38" spans="1:2" x14ac:dyDescent="0.25">
      <c r="A38" s="8" t="s">
        <v>76</v>
      </c>
      <c r="B38" s="27" t="s">
        <v>77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2018-01-05T23:47:49Z</dcterms:modified>
</cp:coreProperties>
</file>